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harts/_rels/chart9.xml.rels" ContentType="application/vnd.openxmlformats-package.relationships+xml"/>
  <Override PartName="/xl/charts/_rels/chart8.xml.rels" ContentType="application/vnd.openxmlformats-package.relationships+xml"/>
  <Override PartName="/xl/charts/_rels/chart7.xml.rels" ContentType="application/vnd.openxmlformats-package.relationships+xml"/>
  <Override PartName="/xl/charts/_rels/chart6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ml.chartshapes+xml"/>
  <Override PartName="/xl/drawings/drawing7.xml" ContentType="application/vnd.openxmlformats-officedocument.drawingml.chartshapes+xml"/>
  <Override PartName="/xl/drawings/drawing8.xml" ContentType="application/vnd.openxmlformats-officedocument.drawingml.chartshapes+xml"/>
  <Override PartName="/xl/drawings/vmlDrawing2.vml" ContentType="application/vnd.openxmlformats-officedocument.vmlDrawing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comments2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Infos Protocole" sheetId="1" state="visible" r:id="rId3"/>
    <sheet name="Planning" sheetId="2" state="visible" r:id="rId4"/>
    <sheet name="Harnais Béliers" sheetId="3" state="visible" r:id="rId5"/>
    <sheet name="Correspondance Tags" sheetId="4" state="visible" r:id="rId6"/>
    <sheet name="Data Béliers" sheetId="5" state="visible" r:id="rId7"/>
    <sheet name="Data lots" sheetId="6" state="visible" r:id="rId8"/>
    <sheet name="Data détecteurs All" sheetId="7" state="visible" r:id="rId9"/>
    <sheet name="AllData" sheetId="8" state="visible" r:id="rId10"/>
    <sheet name="IA" sheetId="9" state="visible" r:id="rId11"/>
  </sheets>
  <externalReferences>
    <externalReference r:id="rId12"/>
    <externalReference r:id="rId13"/>
    <externalReference r:id="rId14"/>
  </externalReferences>
  <definedNames>
    <definedName function="false" hidden="true" localSheetId="7" name="_xlnm._FilterDatabase" vbProcedure="false">AllData!$A$1:$DT$112</definedName>
    <definedName function="false" hidden="true" name="_xlchart.v1.0" vbProcedure="false">#REF!</definedName>
    <definedName function="false" hidden="true" name="_xlchart.v1.1" vbProcedure="false">#REF!</definedName>
    <definedName function="false" hidden="true" name="_xlchart.v1.10" vbProcedure="false">#REF!</definedName>
    <definedName function="false" hidden="true" name="_xlchart.v1.11" vbProcedure="false">#REF!</definedName>
    <definedName function="false" hidden="true" name="_xlchart.v1.12" vbProcedure="false">#REF!</definedName>
    <definedName function="false" hidden="true" name="_xlchart.v1.13" vbProcedure="false">#REF!</definedName>
    <definedName function="false" hidden="true" name="_xlchart.v1.14" vbProcedure="false">#REF!</definedName>
    <definedName function="false" hidden="true" name="_xlchart.v1.15" vbProcedure="false">#REF!</definedName>
    <definedName function="false" hidden="true" name="_xlchart.v1.16" vbProcedure="false">#REF!</definedName>
    <definedName function="false" hidden="true" name="_xlchart.v1.17" vbProcedure="false">#REF!</definedName>
    <definedName function="false" hidden="true" name="_xlchart.v1.18" vbProcedure="false">#REF!</definedName>
    <definedName function="false" hidden="true" name="_xlchart.v1.19" vbProcedure="false">#REF!</definedName>
    <definedName function="false" hidden="true" name="_xlchart.v1.2" vbProcedure="false">#REF!</definedName>
    <definedName function="false" hidden="true" name="_xlchart.v1.20" vbProcedure="false">#REF!</definedName>
    <definedName function="false" hidden="true" name="_xlchart.v1.21" vbProcedure="false">#REF!</definedName>
    <definedName function="false" hidden="true" name="_xlchart.v1.22" vbProcedure="false">#REF!</definedName>
    <definedName function="false" hidden="true" name="_xlchart.v1.23" vbProcedure="false">#REF!</definedName>
    <definedName function="false" hidden="true" name="_xlchart.v1.24" vbProcedure="false">#REF!</definedName>
    <definedName function="false" hidden="true" name="_xlchart.v1.25" vbProcedure="false">#REF!</definedName>
    <definedName function="false" hidden="true" name="_xlchart.v1.26" vbProcedure="false">#REF!</definedName>
    <definedName function="false" hidden="true" name="_xlchart.v1.27" vbProcedure="false">#REF!</definedName>
    <definedName function="false" hidden="true" name="_xlchart.v1.28" vbProcedure="false">#REF!</definedName>
    <definedName function="false" hidden="true" name="_xlchart.v1.29" vbProcedure="false">#REF!</definedName>
    <definedName function="false" hidden="true" name="_xlchart.v1.3" vbProcedure="false">#REF!</definedName>
    <definedName function="false" hidden="true" name="_xlchart.v1.30" vbProcedure="false">#REF!</definedName>
    <definedName function="false" hidden="true" name="_xlchart.v1.31" vbProcedure="false">#REF!</definedName>
    <definedName function="false" hidden="true" name="_xlchart.v1.32" vbProcedure="false">#REF!</definedName>
    <definedName function="false" hidden="true" name="_xlchart.v1.33" vbProcedure="false">#REF!</definedName>
    <definedName function="false" hidden="true" name="_xlchart.v1.34" vbProcedure="false">#REF!</definedName>
    <definedName function="false" hidden="true" name="_xlchart.v1.35" vbProcedure="false">#REF!</definedName>
    <definedName function="false" hidden="true" name="_xlchart.v1.4" vbProcedure="false">#REF!</definedName>
    <definedName function="false" hidden="true" name="_xlchart.v1.5" vbProcedure="false">#REF!</definedName>
    <definedName function="false" hidden="true" name="_xlchart.v1.6" vbProcedure="false">#REF!</definedName>
    <definedName function="false" hidden="true" name="_xlchart.v1.7" vbProcedure="false">#REF!</definedName>
    <definedName function="false" hidden="true" name="_xlchart.v1.8" vbProcedure="false">#REF!</definedName>
    <definedName function="false" hidden="true" name="_xlchart.v1.9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35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Déplaçables de quelques jours en fonction des contraintes de travail de La Cazotte. A faire avant le retrait des éponges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528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En remplacement de 21456</t>
        </r>
      </text>
    </comment>
    <comment ref="G1529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En remplacement de 21456</t>
        </r>
      </text>
    </comment>
    <comment ref="G1530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En remplacement de 21456</t>
        </r>
      </text>
    </comment>
    <comment ref="G1531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En remplacement de 21456</t>
        </r>
      </text>
    </comment>
    <comment ref="G1532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En remplacement de 21456</t>
        </r>
      </text>
    </comment>
    <comment ref="G1533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En remplacement de 21456</t>
        </r>
      </text>
    </comment>
    <comment ref="G1534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En remplacement de 21456</t>
        </r>
      </text>
    </comment>
    <comment ref="G1535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En remplacement de 21456</t>
        </r>
      </text>
    </comment>
    <comment ref="G1536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En remplacement de 21456</t>
        </r>
      </text>
    </comment>
    <comment ref="G1537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En remplacement de 21456</t>
        </r>
      </text>
    </comment>
    <comment ref="G1538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En remplacement de 21456</t>
        </r>
      </text>
    </comment>
    <comment ref="G1539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En remplacement de 21456</t>
        </r>
      </text>
    </comment>
    <comment ref="G1540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En remplacement de 21456</t>
        </r>
      </text>
    </comment>
    <comment ref="G1541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En remplacement de 21456</t>
        </r>
      </text>
    </comment>
    <comment ref="G1542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En remplacement de 21456</t>
        </r>
      </text>
    </comment>
    <comment ref="G1543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En remplacement de 21456</t>
        </r>
      </text>
    </comment>
    <comment ref="G1544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En remplacement de 21456</t>
        </r>
      </text>
    </comment>
    <comment ref="G1545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En remplacement de 21456</t>
        </r>
      </text>
    </comment>
    <comment ref="G1546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En remplacement de 21456</t>
        </r>
      </text>
    </comment>
    <comment ref="G1547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En remplacement de 21456</t>
        </r>
      </text>
    </comment>
    <comment ref="G1548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En remplacement de 21456</t>
        </r>
      </text>
    </comment>
    <comment ref="G1549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En remplacement de 21456</t>
        </r>
      </text>
    </comment>
    <comment ref="G1550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En remplacement de 21456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Lecteur2:
</t>
        </r>
        <r>
          <rPr>
            <sz val="9"/>
            <color rgb="FF000000"/>
            <rFont val="Tahoma"/>
            <family val="2"/>
            <charset val="1"/>
          </rPr>
          <t xml:space="preserve">En remplacement de la 162627_21456.
Donc n'a pas eu les PL1 et PL2</t>
        </r>
      </text>
    </comment>
    <comment ref="AR3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5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6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7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8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11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13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15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16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17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18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19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20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23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25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26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29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31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32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33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34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35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55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64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65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66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67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68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69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72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73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74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75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76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78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79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83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84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85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86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87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89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92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95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96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97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98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100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101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  <comment ref="AR102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semence de Suffolk en mélange </t>
        </r>
      </text>
    </comment>
  </commentList>
</comments>
</file>

<file path=xl/sharedStrings.xml><?xml version="1.0" encoding="utf-8"?>
<sst xmlns="http://schemas.openxmlformats.org/spreadsheetml/2006/main" count="18865" uniqueCount="739">
  <si>
    <t xml:space="preserve">Manip 23-02: Effet mâle et prétraitement à la progestérone - La Cazotte 2023</t>
  </si>
  <si>
    <t xml:space="preserve">Pesée, NEC</t>
  </si>
  <si>
    <t xml:space="preserve">Prélèvement lait 1</t>
  </si>
  <si>
    <t xml:space="preserve">P4-PL1</t>
  </si>
  <si>
    <t xml:space="preserve">Prélèvement lait 2</t>
  </si>
  <si>
    <t xml:space="preserve">P4-PL2</t>
  </si>
  <si>
    <t xml:space="preserve">Prélèvement lait 3</t>
  </si>
  <si>
    <t xml:space="preserve">P4-PL3</t>
  </si>
  <si>
    <t xml:space="preserve">LH-PL1 et LH-PL2</t>
  </si>
  <si>
    <t xml:space="preserve">Prélèvement lait 4</t>
  </si>
  <si>
    <t xml:space="preserve">P4-PL4</t>
  </si>
  <si>
    <t xml:space="preserve">LH-PL3 et LH-PL4</t>
  </si>
  <si>
    <t xml:space="preserve">Prélèvement lait 5</t>
  </si>
  <si>
    <t xml:space="preserve">P4-PL5</t>
  </si>
  <si>
    <t xml:space="preserve">LH-PL5 et LH-PL6</t>
  </si>
  <si>
    <t xml:space="preserve">Prélèvement lait 6</t>
  </si>
  <si>
    <t xml:space="preserve">P4-PL6</t>
  </si>
  <si>
    <t xml:space="preserve">LH-PL7 et LH-PL8</t>
  </si>
  <si>
    <t xml:space="preserve">Prélèvement lait 7</t>
  </si>
  <si>
    <t xml:space="preserve">P4-PL7</t>
  </si>
  <si>
    <t xml:space="preserve">LH-PL9 et LH-PL10</t>
  </si>
  <si>
    <t xml:space="preserve">Prélèvement lait 8</t>
  </si>
  <si>
    <t xml:space="preserve">P4-PL8</t>
  </si>
  <si>
    <t xml:space="preserve">LH-PL11 et LH-PL12</t>
  </si>
  <si>
    <t xml:space="preserve">Prélèvement lait 9</t>
  </si>
  <si>
    <t xml:space="preserve">P4-PL9</t>
  </si>
  <si>
    <t xml:space="preserve">Prélèvement lait 10</t>
  </si>
  <si>
    <t xml:space="preserve">P4-PL10</t>
  </si>
  <si>
    <t xml:space="preserve">Prélèvement lait 11</t>
  </si>
  <si>
    <t xml:space="preserve">P4-PL11</t>
  </si>
  <si>
    <t xml:space="preserve">Pose éponges</t>
  </si>
  <si>
    <t xml:space="preserve">Retrait éponges</t>
  </si>
  <si>
    <t xml:space="preserve">à 9h15</t>
  </si>
  <si>
    <t xml:space="preserve">Intro béliers vasecto</t>
  </si>
  <si>
    <t xml:space="preserve">à 11h</t>
  </si>
  <si>
    <t xml:space="preserve">IA</t>
  </si>
  <si>
    <t xml:space="preserve">à 16h15</t>
  </si>
  <si>
    <t xml:space="preserve">Fin effet mâle</t>
  </si>
  <si>
    <t xml:space="preserve">à 9h30</t>
  </si>
  <si>
    <t xml:space="preserve">Intro Bélier lutte</t>
  </si>
  <si>
    <t xml:space="preserve">Fin lutte</t>
  </si>
  <si>
    <t xml:space="preserve">Echographie</t>
  </si>
  <si>
    <t xml:space="preserve">cf onglet Harnais béliers</t>
  </si>
  <si>
    <t xml:space="preserve">N°Belier</t>
  </si>
  <si>
    <t xml:space="preserve">Type</t>
  </si>
  <si>
    <t xml:space="preserve">lettre</t>
  </si>
  <si>
    <t xml:space="preserve">Date</t>
  </si>
  <si>
    <t xml:space="preserve">harnais</t>
  </si>
  <si>
    <t xml:space="preserve">Entiers</t>
  </si>
  <si>
    <t xml:space="preserve">F</t>
  </si>
  <si>
    <t xml:space="preserve">beige</t>
  </si>
  <si>
    <t xml:space="preserve">maron</t>
  </si>
  <si>
    <t xml:space="preserve">02322</t>
  </si>
  <si>
    <t xml:space="preserve">D</t>
  </si>
  <si>
    <t xml:space="preserve">bleu</t>
  </si>
  <si>
    <t xml:space="preserve">rouge</t>
  </si>
  <si>
    <t xml:space="preserve">C3</t>
  </si>
  <si>
    <t xml:space="preserve">marron</t>
  </si>
  <si>
    <t xml:space="preserve">02568</t>
  </si>
  <si>
    <t xml:space="preserve">G</t>
  </si>
  <si>
    <t xml:space="preserve">marron clair</t>
  </si>
  <si>
    <t xml:space="preserve">grise</t>
  </si>
  <si>
    <t xml:space="preserve">C1</t>
  </si>
  <si>
    <t xml:space="preserve">orangée</t>
  </si>
  <si>
    <t xml:space="preserve">A</t>
  </si>
  <si>
    <t xml:space="preserve">C</t>
  </si>
  <si>
    <t xml:space="preserve">blanc</t>
  </si>
  <si>
    <t xml:space="preserve"> marron (attention connecteur)</t>
  </si>
  <si>
    <t xml:space="preserve">02644</t>
  </si>
  <si>
    <t xml:space="preserve">rouge16</t>
  </si>
  <si>
    <t xml:space="preserve">C2</t>
  </si>
  <si>
    <t xml:space="preserve">Marron beige </t>
  </si>
  <si>
    <t xml:space="preserve">beige grise</t>
  </si>
  <si>
    <t xml:space="preserve">beige c1</t>
  </si>
  <si>
    <t xml:space="preserve">E</t>
  </si>
  <si>
    <t xml:space="preserve">02265</t>
  </si>
  <si>
    <t xml:space="preserve">B</t>
  </si>
  <si>
    <t xml:space="preserve">Retrait éponges le 09/05/23 à 9h15</t>
  </si>
  <si>
    <t xml:space="preserve">Intro des béliers vasecto le 09/05/23 à 11h</t>
  </si>
  <si>
    <t xml:space="preserve">Si IA à 53h début chaleurs entre 3h15 le 10/05/23 et 14h15 le 11/05/23</t>
  </si>
  <si>
    <t xml:space="preserve">Si IA à 55h début chaleurs entre 5h15 le 10/05/23 et 16h15 le 11/05/23</t>
  </si>
  <si>
    <t xml:space="preserve">Si IA à 60h début chaleurs entre 10h15 le 10/05/23 et 21h15 le 11/05/23</t>
  </si>
  <si>
    <t xml:space="preserve">Age (en années); Lact_tot =Production laitière totale(L) ; MB_EM= Intervalle mise bas/effet mâle(jours); Ctl3= Contrôle laitier3 (en ml) </t>
  </si>
  <si>
    <t xml:space="preserve">Planning manips printemps 2023</t>
  </si>
  <si>
    <t xml:space="preserve">Manip NDe23-02</t>
  </si>
  <si>
    <t xml:space="preserve">100 brebis</t>
  </si>
  <si>
    <t xml:space="preserve">FGA et Effet mâle</t>
  </si>
  <si>
    <t xml:space="preserve">Nb détecteurs</t>
  </si>
  <si>
    <t xml:space="preserve">Cazotte validé</t>
  </si>
  <si>
    <t xml:space="preserve">Autres interventions</t>
  </si>
  <si>
    <t xml:space="preserve">Prélèvements lait</t>
  </si>
  <si>
    <t xml:space="preserve">P4 matin</t>
  </si>
  <si>
    <t xml:space="preserve">LH matin et soir</t>
  </si>
  <si>
    <t xml:space="preserve">S</t>
  </si>
  <si>
    <t xml:space="preserve">L</t>
  </si>
  <si>
    <t xml:space="preserve">M</t>
  </si>
  <si>
    <t xml:space="preserve">Tri brebis, Pesée, NEC</t>
  </si>
  <si>
    <t xml:space="preserve">J</t>
  </si>
  <si>
    <t xml:space="preserve">V</t>
  </si>
  <si>
    <t xml:space="preserve">Vacances Pâques Montpellier/Toulouse</t>
  </si>
  <si>
    <t xml:space="preserve">Pose tags</t>
  </si>
  <si>
    <t xml:space="preserve">Retrait éponge+intro 2 ou 5 vasectos avec détecteur</t>
  </si>
  <si>
    <t xml:space="preserve">Suivi chaleurs</t>
  </si>
  <si>
    <r>
      <rPr>
        <b val="true"/>
        <sz val="11"/>
        <color rgb="FF000000"/>
        <rFont val="Calibri"/>
        <family val="2"/>
        <charset val="1"/>
      </rPr>
      <t xml:space="preserve">Suivi chaleurs + </t>
    </r>
    <r>
      <rPr>
        <b val="true"/>
        <sz val="11"/>
        <color rgb="FFFF0000"/>
        <rFont val="Calibri"/>
        <family val="2"/>
        <charset val="1"/>
      </rPr>
      <t xml:space="preserve">IA à 55h </t>
    </r>
    <r>
      <rPr>
        <b val="true"/>
        <sz val="11"/>
        <rFont val="Calibri"/>
        <family val="2"/>
        <charset val="1"/>
      </rPr>
      <t xml:space="preserve">+ NEC</t>
    </r>
  </si>
  <si>
    <t xml:space="preserve">En même temps que le reste du troupeau pour pas trop décaler la production laitière</t>
  </si>
  <si>
    <t xml:space="preserve">Harnais marchent bien jusqu'à samedi 13/05</t>
  </si>
  <si>
    <t xml:space="preserve">N'arrivent plus à récupérer les données</t>
  </si>
  <si>
    <t xml:space="preserve"> début "Retour" 4 Béliers entiers avec détecteur</t>
  </si>
  <si>
    <t xml:space="preserve">suivi chaleurs</t>
  </si>
  <si>
    <t xml:space="preserve">Echographies avec stade + NEC</t>
  </si>
  <si>
    <t xml:space="preserve">Suivi expé RESPOL, </t>
  </si>
  <si>
    <t xml:space="preserve">Eléments à prendre en compte</t>
  </si>
  <si>
    <t xml:space="preserve">9/05 12h</t>
  </si>
  <si>
    <t xml:space="preserve">introduction des béliers équipés</t>
  </si>
  <si>
    <t xml:space="preserve">mort du belier 81179 remplacement par le 2265</t>
  </si>
  <si>
    <t xml:space="preserve">Remplacement bélier 91601 (inflamation pénis) par num 02644</t>
  </si>
  <si>
    <t xml:space="preserve">Remplacement du 11490 vasecto par le 91601 </t>
  </si>
  <si>
    <t xml:space="preserve">Bb 0292 morte </t>
  </si>
  <si>
    <t xml:space="preserve">02/06 impossible de relever données harnais 2801 changé ce jour</t>
  </si>
  <si>
    <t xml:space="preserve">05/06/2023 Relevé données, recupération harnais 28 erreur num 2801 correction 6889</t>
  </si>
  <si>
    <t xml:space="preserve">ROTATION DES BELIERS</t>
  </si>
  <si>
    <t xml:space="preserve">REALISE</t>
  </si>
  <si>
    <t xml:space="preserve">IA à 55h</t>
  </si>
  <si>
    <t xml:space="preserve">Lot 1/25
rouge</t>
  </si>
  <si>
    <t xml:space="preserve">Meme belier </t>
  </si>
  <si>
    <t xml:space="preserve">du 26/05/23</t>
  </si>
  <si>
    <t xml:space="preserve">lot 1/10
vert</t>
  </si>
  <si>
    <t xml:space="preserve">au </t>
  </si>
  <si>
    <t xml:space="preserve">De l'IA au 24/05</t>
  </si>
  <si>
    <t xml:space="preserve">Changement de harnais</t>
  </si>
  <si>
    <t xml:space="preserve">N° Harnais</t>
  </si>
  <si>
    <t xml:space="preserve">N°</t>
  </si>
  <si>
    <t xml:space="preserve">Remplacement bélier num 02644</t>
  </si>
  <si>
    <t xml:space="preserve">mort le 10/05/23</t>
  </si>
  <si>
    <t xml:space="preserve">c1</t>
  </si>
  <si>
    <t xml:space="preserve">Remplacement du 11490 vasecto par le 91601 bélier A</t>
  </si>
  <si>
    <t xml:space="preserve">ZERO2322</t>
  </si>
  <si>
    <t xml:space="preserve">ZERO2568</t>
  </si>
  <si>
    <t xml:space="preserve">Sans harnais </t>
  </si>
  <si>
    <t xml:space="preserve">ZERO2644</t>
  </si>
  <si>
    <t xml:space="preserve"> </t>
  </si>
  <si>
    <t xml:space="preserve">Lot</t>
  </si>
  <si>
    <t xml:space="preserve">N° W</t>
  </si>
  <si>
    <t xml:space="preserve">N° Off</t>
  </si>
  <si>
    <t xml:space="preserve">N° Off tronqué</t>
  </si>
  <si>
    <t xml:space="preserve">Plq</t>
  </si>
  <si>
    <t xml:space="preserve">N° Tag</t>
  </si>
  <si>
    <t xml:space="preserve">Remplact TAG</t>
  </si>
  <si>
    <t xml:space="preserve">SR 1/25</t>
  </si>
  <si>
    <t xml:space="preserve">162627_02128</t>
  </si>
  <si>
    <t xml:space="preserve">02128</t>
  </si>
  <si>
    <t xml:space="preserve">0128</t>
  </si>
  <si>
    <t xml:space="preserve">SR 1/10</t>
  </si>
  <si>
    <t xml:space="preserve">162627_11260</t>
  </si>
  <si>
    <t xml:space="preserve">11260</t>
  </si>
  <si>
    <t xml:space="preserve">1260</t>
  </si>
  <si>
    <t xml:space="preserve">162627_02159</t>
  </si>
  <si>
    <t xml:space="preserve">02159</t>
  </si>
  <si>
    <t xml:space="preserve">0159</t>
  </si>
  <si>
    <t xml:space="preserve">162627_91743</t>
  </si>
  <si>
    <t xml:space="preserve">91743</t>
  </si>
  <si>
    <t xml:space="preserve">9743</t>
  </si>
  <si>
    <t xml:space="preserve">162627_02162</t>
  </si>
  <si>
    <t xml:space="preserve">02162</t>
  </si>
  <si>
    <t xml:space="preserve">0162</t>
  </si>
  <si>
    <t xml:space="preserve">162627_91714</t>
  </si>
  <si>
    <t xml:space="preserve">91714</t>
  </si>
  <si>
    <t xml:space="preserve">9714</t>
  </si>
  <si>
    <t xml:space="preserve">162627_02169</t>
  </si>
  <si>
    <t xml:space="preserve">02169</t>
  </si>
  <si>
    <t xml:space="preserve">0169</t>
  </si>
  <si>
    <t xml:space="preserve">162627_11172</t>
  </si>
  <si>
    <t xml:space="preserve">11172</t>
  </si>
  <si>
    <t xml:space="preserve">1172</t>
  </si>
  <si>
    <t xml:space="preserve">162627_02221</t>
  </si>
  <si>
    <t xml:space="preserve">02221</t>
  </si>
  <si>
    <t xml:space="preserve">0221</t>
  </si>
  <si>
    <t xml:space="preserve">162627_02192</t>
  </si>
  <si>
    <t xml:space="preserve">02192</t>
  </si>
  <si>
    <t xml:space="preserve">0192</t>
  </si>
  <si>
    <t xml:space="preserve">162627_21429</t>
  </si>
  <si>
    <t xml:space="preserve">21429</t>
  </si>
  <si>
    <t xml:space="preserve">2429</t>
  </si>
  <si>
    <t xml:space="preserve">162627_02253</t>
  </si>
  <si>
    <t xml:space="preserve">02253</t>
  </si>
  <si>
    <t xml:space="preserve">0253</t>
  </si>
  <si>
    <t xml:space="preserve">162627_91207</t>
  </si>
  <si>
    <t xml:space="preserve">91207</t>
  </si>
  <si>
    <t xml:space="preserve">9207</t>
  </si>
  <si>
    <t xml:space="preserve">162627_02378</t>
  </si>
  <si>
    <t xml:space="preserve">02378</t>
  </si>
  <si>
    <t xml:space="preserve">0378</t>
  </si>
  <si>
    <t xml:space="preserve">162627_02243</t>
  </si>
  <si>
    <t xml:space="preserve">02243</t>
  </si>
  <si>
    <t xml:space="preserve">0243</t>
  </si>
  <si>
    <t xml:space="preserve">31/05 :  89089</t>
  </si>
  <si>
    <t xml:space="preserve">162627_91251</t>
  </si>
  <si>
    <t xml:space="preserve">91251</t>
  </si>
  <si>
    <t xml:space="preserve">9251</t>
  </si>
  <si>
    <t xml:space="preserve">162627_02502</t>
  </si>
  <si>
    <t xml:space="preserve">02502</t>
  </si>
  <si>
    <t xml:space="preserve">0502</t>
  </si>
  <si>
    <t xml:space="preserve">162627_91392</t>
  </si>
  <si>
    <t xml:space="preserve">91392</t>
  </si>
  <si>
    <t xml:space="preserve">9392</t>
  </si>
  <si>
    <t xml:space="preserve">162627_02516</t>
  </si>
  <si>
    <t xml:space="preserve">02516</t>
  </si>
  <si>
    <t xml:space="preserve">0516</t>
  </si>
  <si>
    <t xml:space="preserve">162627_21491</t>
  </si>
  <si>
    <t xml:space="preserve">21491</t>
  </si>
  <si>
    <t xml:space="preserve">2491</t>
  </si>
  <si>
    <t xml:space="preserve">162627_11141</t>
  </si>
  <si>
    <t xml:space="preserve">11141</t>
  </si>
  <si>
    <t xml:space="preserve">1141</t>
  </si>
  <si>
    <t xml:space="preserve">162627_02479</t>
  </si>
  <si>
    <t xml:space="preserve">02479</t>
  </si>
  <si>
    <t xml:space="preserve">0479</t>
  </si>
  <si>
    <t xml:space="preserve">31/05 :  88837</t>
  </si>
  <si>
    <t xml:space="preserve">162627_11163</t>
  </si>
  <si>
    <t xml:space="preserve">11163</t>
  </si>
  <si>
    <t xml:space="preserve">1163</t>
  </si>
  <si>
    <t xml:space="preserve">162627_02490</t>
  </si>
  <si>
    <t xml:space="preserve">02490</t>
  </si>
  <si>
    <t xml:space="preserve">0490</t>
  </si>
  <si>
    <t xml:space="preserve">162627_91553</t>
  </si>
  <si>
    <t xml:space="preserve">91553</t>
  </si>
  <si>
    <t xml:space="preserve">9553</t>
  </si>
  <si>
    <t xml:space="preserve">162627_11232</t>
  </si>
  <si>
    <t xml:space="preserve">11232</t>
  </si>
  <si>
    <t xml:space="preserve">1232</t>
  </si>
  <si>
    <t xml:space="preserve">162627_21193</t>
  </si>
  <si>
    <t xml:space="preserve">21193</t>
  </si>
  <si>
    <t xml:space="preserve">2193</t>
  </si>
  <si>
    <t xml:space="preserve">162627_11526</t>
  </si>
  <si>
    <t xml:space="preserve">11526</t>
  </si>
  <si>
    <t xml:space="preserve">1526</t>
  </si>
  <si>
    <t xml:space="preserve">162627_11637</t>
  </si>
  <si>
    <t xml:space="preserve">11637</t>
  </si>
  <si>
    <t xml:space="preserve">1637</t>
  </si>
  <si>
    <t xml:space="preserve">162627_02531</t>
  </si>
  <si>
    <t xml:space="preserve">02531</t>
  </si>
  <si>
    <t xml:space="preserve">0531</t>
  </si>
  <si>
    <t xml:space="preserve">162627_81300</t>
  </si>
  <si>
    <t xml:space="preserve">81300</t>
  </si>
  <si>
    <t xml:space="preserve">8300</t>
  </si>
  <si>
    <t xml:space="preserve">162627_11708</t>
  </si>
  <si>
    <t xml:space="preserve">11708</t>
  </si>
  <si>
    <t xml:space="preserve">1708</t>
  </si>
  <si>
    <t xml:space="preserve">162627_02602</t>
  </si>
  <si>
    <t xml:space="preserve">02602</t>
  </si>
  <si>
    <t xml:space="preserve">0602</t>
  </si>
  <si>
    <t xml:space="preserve">162627_21455</t>
  </si>
  <si>
    <t xml:space="preserve">21455</t>
  </si>
  <si>
    <t xml:space="preserve">2455</t>
  </si>
  <si>
    <t xml:space="preserve">162627_11729</t>
  </si>
  <si>
    <t xml:space="preserve">11729</t>
  </si>
  <si>
    <t xml:space="preserve">1729</t>
  </si>
  <si>
    <t xml:space="preserve">162627_11131</t>
  </si>
  <si>
    <t xml:space="preserve">11131</t>
  </si>
  <si>
    <t xml:space="preserve">1131</t>
  </si>
  <si>
    <t xml:space="preserve">162627_21324</t>
  </si>
  <si>
    <t xml:space="preserve">21324</t>
  </si>
  <si>
    <t xml:space="preserve">2324</t>
  </si>
  <si>
    <t xml:space="preserve">162627_11758</t>
  </si>
  <si>
    <t xml:space="preserve">11758</t>
  </si>
  <si>
    <t xml:space="preserve">1758</t>
  </si>
  <si>
    <t xml:space="preserve">162627_21184</t>
  </si>
  <si>
    <t xml:space="preserve">21184</t>
  </si>
  <si>
    <t xml:space="preserve">2184</t>
  </si>
  <si>
    <t xml:space="preserve">162627_11767</t>
  </si>
  <si>
    <t xml:space="preserve">11767</t>
  </si>
  <si>
    <t xml:space="preserve">1767</t>
  </si>
  <si>
    <t xml:space="preserve">162627_21323</t>
  </si>
  <si>
    <t xml:space="preserve">21323</t>
  </si>
  <si>
    <t xml:space="preserve">2323</t>
  </si>
  <si>
    <t xml:space="preserve">162627_21126</t>
  </si>
  <si>
    <t xml:space="preserve">21126</t>
  </si>
  <si>
    <t xml:space="preserve">2126</t>
  </si>
  <si>
    <t xml:space="preserve">31/05:  88639</t>
  </si>
  <si>
    <t xml:space="preserve">162627_81607</t>
  </si>
  <si>
    <t xml:space="preserve">81607</t>
  </si>
  <si>
    <t xml:space="preserve">8607</t>
  </si>
  <si>
    <t xml:space="preserve">162627_21191</t>
  </si>
  <si>
    <t xml:space="preserve">21191</t>
  </si>
  <si>
    <t xml:space="preserve">2191</t>
  </si>
  <si>
    <t xml:space="preserve">162627_11205</t>
  </si>
  <si>
    <t xml:space="preserve">11205</t>
  </si>
  <si>
    <t xml:space="preserve">1205</t>
  </si>
  <si>
    <t xml:space="preserve">162627_11214</t>
  </si>
  <si>
    <t xml:space="preserve">11214</t>
  </si>
  <si>
    <t xml:space="preserve">1214</t>
  </si>
  <si>
    <t xml:space="preserve">162627_21258</t>
  </si>
  <si>
    <t xml:space="preserve">21258</t>
  </si>
  <si>
    <t xml:space="preserve">2258</t>
  </si>
  <si>
    <t xml:space="preserve">31/05:  88216</t>
  </si>
  <si>
    <t xml:space="preserve">162627_21677</t>
  </si>
  <si>
    <t xml:space="preserve">21677</t>
  </si>
  <si>
    <t xml:space="preserve">2677</t>
  </si>
  <si>
    <t xml:space="preserve">162627_21300</t>
  </si>
  <si>
    <t xml:space="preserve">21300</t>
  </si>
  <si>
    <t xml:space="preserve">2300</t>
  </si>
  <si>
    <t xml:space="preserve">162627_91446</t>
  </si>
  <si>
    <t xml:space="preserve">91446</t>
  </si>
  <si>
    <t xml:space="preserve">9446</t>
  </si>
  <si>
    <t xml:space="preserve">162627_21356</t>
  </si>
  <si>
    <t xml:space="preserve">21356</t>
  </si>
  <si>
    <t xml:space="preserve">2356</t>
  </si>
  <si>
    <t xml:space="preserve">162627_11439</t>
  </si>
  <si>
    <t xml:space="preserve">11439</t>
  </si>
  <si>
    <t xml:space="preserve">1439</t>
  </si>
  <si>
    <t xml:space="preserve">162627_91200</t>
  </si>
  <si>
    <t xml:space="preserve">91200</t>
  </si>
  <si>
    <t xml:space="preserve">9200</t>
  </si>
  <si>
    <t xml:space="preserve">162627_21362</t>
  </si>
  <si>
    <t xml:space="preserve">21362</t>
  </si>
  <si>
    <t xml:space="preserve">2362</t>
  </si>
  <si>
    <t xml:space="preserve">162627_71422</t>
  </si>
  <si>
    <t xml:space="preserve">71422</t>
  </si>
  <si>
    <t xml:space="preserve">755</t>
  </si>
  <si>
    <t xml:space="preserve">162627_21416</t>
  </si>
  <si>
    <t xml:space="preserve">21416</t>
  </si>
  <si>
    <t xml:space="preserve">2416</t>
  </si>
  <si>
    <t xml:space="preserve">162627_11627</t>
  </si>
  <si>
    <t xml:space="preserve">11627</t>
  </si>
  <si>
    <t xml:space="preserve">1627</t>
  </si>
  <si>
    <t xml:space="preserve">31/05:  88276</t>
  </si>
  <si>
    <t xml:space="preserve">162627_71111</t>
  </si>
  <si>
    <t xml:space="preserve">71111</t>
  </si>
  <si>
    <t xml:space="preserve">741</t>
  </si>
  <si>
    <t xml:space="preserve">162627_21471</t>
  </si>
  <si>
    <t xml:space="preserve">21471</t>
  </si>
  <si>
    <t xml:space="preserve">2471</t>
  </si>
  <si>
    <t xml:space="preserve">162627_11697</t>
  </si>
  <si>
    <t xml:space="preserve">11697</t>
  </si>
  <si>
    <t xml:space="preserve">1697</t>
  </si>
  <si>
    <t xml:space="preserve">162627_81420</t>
  </si>
  <si>
    <t xml:space="preserve">81420</t>
  </si>
  <si>
    <t xml:space="preserve">8420</t>
  </si>
  <si>
    <t xml:space="preserve">162627_21537</t>
  </si>
  <si>
    <t xml:space="preserve">21537</t>
  </si>
  <si>
    <t xml:space="preserve">2537</t>
  </si>
  <si>
    <t xml:space="preserve">162627_21652</t>
  </si>
  <si>
    <t xml:space="preserve">21652</t>
  </si>
  <si>
    <t xml:space="preserve">2652</t>
  </si>
  <si>
    <t xml:space="preserve">162627_21593</t>
  </si>
  <si>
    <t xml:space="preserve">21593</t>
  </si>
  <si>
    <t xml:space="preserve">2593</t>
  </si>
  <si>
    <t xml:space="preserve">162627_21608</t>
  </si>
  <si>
    <t xml:space="preserve">21608</t>
  </si>
  <si>
    <t xml:space="preserve">2608</t>
  </si>
  <si>
    <t xml:space="preserve">162627_21637</t>
  </si>
  <si>
    <t xml:space="preserve">21637</t>
  </si>
  <si>
    <t xml:space="preserve">2637</t>
  </si>
  <si>
    <t xml:space="preserve">162627_81296</t>
  </si>
  <si>
    <t xml:space="preserve">81296</t>
  </si>
  <si>
    <t xml:space="preserve">162627_71451</t>
  </si>
  <si>
    <t xml:space="preserve">71451</t>
  </si>
  <si>
    <t xml:space="preserve">714</t>
  </si>
  <si>
    <t xml:space="preserve">162627_11786</t>
  </si>
  <si>
    <t xml:space="preserve">11786</t>
  </si>
  <si>
    <t xml:space="preserve">1786</t>
  </si>
  <si>
    <t xml:space="preserve">162627_81661</t>
  </si>
  <si>
    <t xml:space="preserve">81661</t>
  </si>
  <si>
    <t xml:space="preserve">8661</t>
  </si>
  <si>
    <t xml:space="preserve">162627_81108</t>
  </si>
  <si>
    <t xml:space="preserve">81108</t>
  </si>
  <si>
    <t xml:space="preserve">8108</t>
  </si>
  <si>
    <t xml:space="preserve">162627_21110</t>
  </si>
  <si>
    <t xml:space="preserve">21110</t>
  </si>
  <si>
    <t xml:space="preserve">2110</t>
  </si>
  <si>
    <t xml:space="preserve">162627_81239</t>
  </si>
  <si>
    <t xml:space="preserve">81239</t>
  </si>
  <si>
    <t xml:space="preserve">8239</t>
  </si>
  <si>
    <t xml:space="preserve">162627_81616</t>
  </si>
  <si>
    <t xml:space="preserve">81616</t>
  </si>
  <si>
    <t xml:space="preserve">8616</t>
  </si>
  <si>
    <t xml:space="preserve">162627_91253</t>
  </si>
  <si>
    <t xml:space="preserve">91253</t>
  </si>
  <si>
    <t xml:space="preserve">9253</t>
  </si>
  <si>
    <t xml:space="preserve">162627_91143</t>
  </si>
  <si>
    <t xml:space="preserve">91143</t>
  </si>
  <si>
    <t xml:space="preserve">9143</t>
  </si>
  <si>
    <t xml:space="preserve">162627_91244</t>
  </si>
  <si>
    <t xml:space="preserve">91244</t>
  </si>
  <si>
    <t xml:space="preserve">9244</t>
  </si>
  <si>
    <t xml:space="preserve">162627_21216</t>
  </si>
  <si>
    <t xml:space="preserve">21216</t>
  </si>
  <si>
    <t xml:space="preserve">2216</t>
  </si>
  <si>
    <t xml:space="preserve">162627_91379</t>
  </si>
  <si>
    <t xml:space="preserve">91379</t>
  </si>
  <si>
    <t xml:space="preserve">9379</t>
  </si>
  <si>
    <t xml:space="preserve">162627_91258</t>
  </si>
  <si>
    <t xml:space="preserve">91258</t>
  </si>
  <si>
    <t xml:space="preserve">9258</t>
  </si>
  <si>
    <t xml:space="preserve">162627_91276</t>
  </si>
  <si>
    <t xml:space="preserve">91276</t>
  </si>
  <si>
    <t xml:space="preserve">9276</t>
  </si>
  <si>
    <t xml:space="preserve">162627_91671</t>
  </si>
  <si>
    <t xml:space="preserve">91671</t>
  </si>
  <si>
    <t xml:space="preserve">9671</t>
  </si>
  <si>
    <t xml:space="preserve">162627_91333</t>
  </si>
  <si>
    <t xml:space="preserve">91333</t>
  </si>
  <si>
    <t xml:space="preserve">9333</t>
  </si>
  <si>
    <t xml:space="preserve">162627_91413</t>
  </si>
  <si>
    <t xml:space="preserve">91413</t>
  </si>
  <si>
    <t xml:space="preserve">9413</t>
  </si>
  <si>
    <t xml:space="preserve">162627_21361</t>
  </si>
  <si>
    <t xml:space="preserve">21361</t>
  </si>
  <si>
    <t xml:space="preserve">2361</t>
  </si>
  <si>
    <t xml:space="preserve">162627_91567</t>
  </si>
  <si>
    <t xml:space="preserve">91567</t>
  </si>
  <si>
    <t xml:space="preserve">9567</t>
  </si>
  <si>
    <t xml:space="preserve">162627_91570</t>
  </si>
  <si>
    <t xml:space="preserve">91570</t>
  </si>
  <si>
    <t xml:space="preserve">9570</t>
  </si>
  <si>
    <t xml:space="preserve">162627_91685</t>
  </si>
  <si>
    <t xml:space="preserve">91685</t>
  </si>
  <si>
    <t xml:space="preserve">9685</t>
  </si>
  <si>
    <t xml:space="preserve">162627_21373</t>
  </si>
  <si>
    <t xml:space="preserve">162627_21461</t>
  </si>
  <si>
    <t xml:space="preserve">21461</t>
  </si>
  <si>
    <t xml:space="preserve">2461</t>
  </si>
  <si>
    <t xml:space="preserve">162627_71261</t>
  </si>
  <si>
    <t xml:space="preserve">71261</t>
  </si>
  <si>
    <t xml:space="preserve">7170</t>
  </si>
  <si>
    <t xml:space="preserve">162627_21512</t>
  </si>
  <si>
    <t xml:space="preserve">21512</t>
  </si>
  <si>
    <t xml:space="preserve">2512</t>
  </si>
  <si>
    <t xml:space="preserve">162627_91679</t>
  </si>
  <si>
    <t xml:space="preserve">91679</t>
  </si>
  <si>
    <t xml:space="preserve">9679</t>
  </si>
  <si>
    <t xml:space="preserve">162627_21689</t>
  </si>
  <si>
    <t xml:space="preserve">21689</t>
  </si>
  <si>
    <t xml:space="preserve">2689</t>
  </si>
  <si>
    <t xml:space="preserve">162627_91495</t>
  </si>
  <si>
    <t xml:space="preserve">91495</t>
  </si>
  <si>
    <t xml:space="preserve">9495</t>
  </si>
  <si>
    <t xml:space="preserve">31/05:  88607</t>
  </si>
  <si>
    <t xml:space="preserve">31/05:  89126</t>
  </si>
  <si>
    <t xml:space="preserve">162627_91534</t>
  </si>
  <si>
    <t xml:space="preserve">91534</t>
  </si>
  <si>
    <t xml:space="preserve">9534</t>
  </si>
  <si>
    <t xml:space="preserve">162627_81332</t>
  </si>
  <si>
    <t xml:space="preserve">81332</t>
  </si>
  <si>
    <t xml:space="preserve">8332</t>
  </si>
  <si>
    <t xml:space="preserve">31/05:  88869</t>
  </si>
  <si>
    <t xml:space="preserve">31/05:  89248</t>
  </si>
  <si>
    <t xml:space="preserve">31/05:  88148</t>
  </si>
  <si>
    <t xml:space="preserve">162627_91631</t>
  </si>
  <si>
    <t xml:space="preserve">91631</t>
  </si>
  <si>
    <t xml:space="preserve">9631</t>
  </si>
  <si>
    <t xml:space="preserve">31/05:  89228</t>
  </si>
  <si>
    <t xml:space="preserve">eponge perdu</t>
  </si>
  <si>
    <t xml:space="preserve">162627_91489</t>
  </si>
  <si>
    <t xml:space="preserve">91489</t>
  </si>
  <si>
    <t xml:space="preserve">9489</t>
  </si>
  <si>
    <t xml:space="preserve">162627_91501</t>
  </si>
  <si>
    <t xml:space="preserve">91501</t>
  </si>
  <si>
    <t xml:space="preserve">9501</t>
  </si>
  <si>
    <t xml:space="preserve">sorti essai le 25/04 impossible de l'éponger</t>
  </si>
  <si>
    <t xml:space="preserve">N</t>
  </si>
  <si>
    <t xml:space="preserve"> ID</t>
  </si>
  <si>
    <t xml:space="preserve">Bélier</t>
  </si>
  <si>
    <t xml:space="preserve">Lettre bélier </t>
  </si>
  <si>
    <t xml:space="preserve">Lot bélier ?</t>
  </si>
  <si>
    <t xml:space="preserve"> TAG</t>
  </si>
  <si>
    <t xml:space="preserve">N° Brebis</t>
  </si>
  <si>
    <t xml:space="preserve">N° W brebis</t>
  </si>
  <si>
    <t xml:space="preserve">Lot brebis</t>
  </si>
  <si>
    <t xml:space="preserve"> DATE (dd_mm_yyyy)2</t>
  </si>
  <si>
    <t xml:space="preserve"> TIME</t>
  </si>
  <si>
    <t xml:space="preserve">N° ordre brebis</t>
  </si>
  <si>
    <t xml:space="preserve">Nb Chev cumules Brebis</t>
  </si>
  <si>
    <t xml:space="preserve">ID-1460541931523876895</t>
  </si>
  <si>
    <t xml:space="preserve">1/10</t>
  </si>
  <si>
    <t xml:space="preserve">ID-1460541931523875380</t>
  </si>
  <si>
    <t xml:space="preserve">ID-1460541931523872777</t>
  </si>
  <si>
    <t xml:space="preserve">ID-1460541931523878688</t>
  </si>
  <si>
    <t xml:space="preserve">ID-1460541931523875891</t>
  </si>
  <si>
    <t xml:space="preserve">1/25</t>
  </si>
  <si>
    <t xml:space="preserve">200025888521</t>
  </si>
  <si>
    <t xml:space="preserve">Rond= lot SR 1/10, Triangle = lot SR 1/25, rouge= pleine de l'IA, gris = pleine du retour, blanc= vide, orange= morte</t>
  </si>
  <si>
    <t xml:space="preserve">Dans le lot 1/10, 45 brebis /50 vues pendant la période d'effet mâle et 32/50 dans le lot 1/25</t>
  </si>
  <si>
    <t xml:space="preserve">Dans le lot 1/10, 37 brebis /50 vues pendant la période de lutte et 26/50 dans le lot 1/25</t>
  </si>
  <si>
    <t xml:space="preserve">De 1 à 156 chev/brebis sur une periode de 14j  pour le lot 1/10</t>
  </si>
  <si>
    <t xml:space="preserve">De 1 à 104 chev/brebis sur une periode de 22j  pour le lot 1/10</t>
  </si>
  <si>
    <t xml:space="preserve">De 1 à 68 chev/brebis sur une periode de 14j pour le lot 1/25 </t>
  </si>
  <si>
    <t xml:space="preserve">De 1 à 102 chev/brebis sur une periode de 22j pour le lot 1/25 </t>
  </si>
  <si>
    <t xml:space="preserve">ID-1460541931523873317</t>
  </si>
  <si>
    <t xml:space="preserve">200025888213</t>
  </si>
  <si>
    <t xml:space="preserve">ID-1820937636673162540</t>
  </si>
  <si>
    <t xml:space="preserve">ID-884151479245148968</t>
  </si>
  <si>
    <t xml:space="preserve">200025888566</t>
  </si>
  <si>
    <t xml:space="preserve">200025889154</t>
  </si>
  <si>
    <t xml:space="preserve">200025889203</t>
  </si>
  <si>
    <t xml:space="preserve">ID-1460541931523873817</t>
  </si>
  <si>
    <t xml:space="preserve">ID-884151479245149213</t>
  </si>
  <si>
    <t xml:space="preserve">91601</t>
  </si>
  <si>
    <t xml:space="preserve">200025889367</t>
  </si>
  <si>
    <t xml:space="preserve">ID-1317755739475482420</t>
  </si>
  <si>
    <t xml:space="preserve">200025888228</t>
  </si>
  <si>
    <t xml:space="preserve">200025889375</t>
  </si>
  <si>
    <t xml:space="preserve">200025889784</t>
  </si>
  <si>
    <t xml:space="preserve">200025888529</t>
  </si>
  <si>
    <t xml:space="preserve">200025889262</t>
  </si>
  <si>
    <t xml:space="preserve">200025888844</t>
  </si>
  <si>
    <t xml:space="preserve">200025889052</t>
  </si>
  <si>
    <t xml:space="preserve">Transpondeur Initial</t>
  </si>
  <si>
    <t xml:space="preserve">Transpondeur remplacement</t>
  </si>
  <si>
    <t xml:space="preserve">Date naissance</t>
  </si>
  <si>
    <t xml:space="preserve">Age (années)</t>
  </si>
  <si>
    <t xml:space="preserve">Mise bas </t>
  </si>
  <si>
    <t xml:space="preserve">Pesée 12/04</t>
  </si>
  <si>
    <t xml:space="preserve">NEC </t>
  </si>
  <si>
    <t xml:space="preserve">Interv MB-EM (jours)</t>
  </si>
  <si>
    <t xml:space="preserve">Lactation moyenne (toutes connues)</t>
  </si>
  <si>
    <t xml:space="preserve">Ctrl 1</t>
  </si>
  <si>
    <t xml:space="preserve">Ctrl 2</t>
  </si>
  <si>
    <t xml:space="preserve">Ctrl 3</t>
  </si>
  <si>
    <t xml:space="preserve">Ctrl 4</t>
  </si>
  <si>
    <t xml:space="preserve">Ctrl 5</t>
  </si>
  <si>
    <t xml:space="preserve">Ctrl 6</t>
  </si>
  <si>
    <t xml:space="preserve">ISOL</t>
  </si>
  <si>
    <t xml:space="preserve">Proba Cyc</t>
  </si>
  <si>
    <t xml:space="preserve">Proba rep EM</t>
  </si>
  <si>
    <t xml:space="preserve">Jour + Heure début</t>
  </si>
  <si>
    <t xml:space="preserve">Jour + Heure fin</t>
  </si>
  <si>
    <t xml:space="preserve">Durée chaleur (h)</t>
  </si>
  <si>
    <t xml:space="preserve">Jour + Heure début corrigée</t>
  </si>
  <si>
    <t xml:space="preserve">Jour + Heure fin corrigée</t>
  </si>
  <si>
    <t xml:space="preserve">Durée chaleur corrigée (h)</t>
  </si>
  <si>
    <t xml:space="preserve">Jour + Heure début cycle court</t>
  </si>
  <si>
    <t xml:space="preserve">Jour + Heure fin cycle court</t>
  </si>
  <si>
    <t xml:space="preserve">Début chaleur/retrait éponges (h)</t>
  </si>
  <si>
    <t xml:space="preserve">Début chaleur + 35h (en h)</t>
  </si>
  <si>
    <t xml:space="preserve">Nb Chev cumules</t>
  </si>
  <si>
    <t xml:space="preserve">Cible</t>
  </si>
  <si>
    <t xml:space="preserve">Date/Heure IA</t>
  </si>
  <si>
    <t xml:space="preserve">Inséminateur</t>
  </si>
  <si>
    <t xml:space="preserve">Jour + Heure début retour</t>
  </si>
  <si>
    <t xml:space="preserve">Jour + Heure fin retour</t>
  </si>
  <si>
    <t xml:space="preserve">Echo 10/07/2023</t>
  </si>
  <si>
    <t xml:space="preserve">Nbre Agneaux</t>
  </si>
  <si>
    <t xml:space="preserve">Retour</t>
  </si>
  <si>
    <t xml:space="preserve">Echo global</t>
  </si>
  <si>
    <t xml:space="preserve">Données détecteur en accord avec echo</t>
  </si>
  <si>
    <t xml:space="preserve">Nb Agneaux Vivants MB 2023</t>
  </si>
  <si>
    <t xml:space="preserve">Date agnelage</t>
  </si>
  <si>
    <t xml:space="preserve">Date theorique agnelage</t>
  </si>
  <si>
    <t xml:space="preserve">Durée gesta</t>
  </si>
  <si>
    <t xml:space="preserve">Agnelage IA-Retour)</t>
  </si>
  <si>
    <t xml:space="preserve">Données détecteur en accord avec agnelage</t>
  </si>
  <si>
    <t xml:space="preserve">C/NC</t>
  </si>
  <si>
    <t xml:space="preserve">Rep Effet mâle</t>
  </si>
  <si>
    <t xml:space="preserve">Cyclicité: CC/CN</t>
  </si>
  <si>
    <t xml:space="preserve">Effet mâle: CC/CN</t>
  </si>
  <si>
    <t xml:space="preserve">Début P4 (j)</t>
  </si>
  <si>
    <t xml:space="preserve">LH-PL1</t>
  </si>
  <si>
    <t xml:space="preserve">LH-PL2</t>
  </si>
  <si>
    <t xml:space="preserve">LH-PL3</t>
  </si>
  <si>
    <t xml:space="preserve">LH-PL4</t>
  </si>
  <si>
    <t xml:space="preserve">LH-PL5</t>
  </si>
  <si>
    <t xml:space="preserve">LH-PL6</t>
  </si>
  <si>
    <t xml:space="preserve">LH-PL7</t>
  </si>
  <si>
    <t xml:space="preserve">LH-PL8</t>
  </si>
  <si>
    <t xml:space="preserve">LH-PL9</t>
  </si>
  <si>
    <t xml:space="preserve">LH-PL10</t>
  </si>
  <si>
    <t xml:space="preserve">LH-PL11</t>
  </si>
  <si>
    <t xml:space="preserve">LH-PL12</t>
  </si>
  <si>
    <t xml:space="preserve">Moy base</t>
  </si>
  <si>
    <t xml:space="preserve">ET base</t>
  </si>
  <si>
    <t xml:space="preserve">Moy+2ET</t>
  </si>
  <si>
    <t xml:space="preserve">Heure pic LH</t>
  </si>
  <si>
    <t xml:space="preserve">Date pic LH</t>
  </si>
  <si>
    <t xml:space="preserve">Début pic</t>
  </si>
  <si>
    <t xml:space="preserve">Fin pic</t>
  </si>
  <si>
    <t xml:space="preserve">Durée pic</t>
  </si>
  <si>
    <t xml:space="preserve">Max pic</t>
  </si>
  <si>
    <t xml:space="preserve">Intervalle début oestrus/pic LH (h)</t>
  </si>
  <si>
    <t xml:space="preserve">Données détecteur en accord avec pic</t>
  </si>
  <si>
    <t xml:space="preserve">Intervalle pic LH / IA</t>
  </si>
  <si>
    <t xml:space="preserve">622</t>
  </si>
  <si>
    <t xml:space="preserve">Non</t>
  </si>
  <si>
    <t xml:space="preserve">S141</t>
  </si>
  <si>
    <t xml:space="preserve">96</t>
  </si>
  <si>
    <t xml:space="preserve">Vide</t>
  </si>
  <si>
    <t xml:space="preserve">Vue retour</t>
  </si>
  <si>
    <t xml:space="preserve">OK</t>
  </si>
  <si>
    <t xml:space="preserve">NC</t>
  </si>
  <si>
    <t xml:space="preserve">Oui</t>
  </si>
  <si>
    <t xml:space="preserve">nd</t>
  </si>
  <si>
    <t xml:space="preserve">-122</t>
  </si>
  <si>
    <t xml:space="preserve">9999</t>
  </si>
  <si>
    <t xml:space="preserve">88</t>
  </si>
  <si>
    <t xml:space="preserve">Repasse</t>
  </si>
  <si>
    <t xml:space="preserve">CN</t>
  </si>
  <si>
    <t xml:space="preserve">Trop tard</t>
  </si>
  <si>
    <t xml:space="preserve">Final SR 1/25</t>
  </si>
  <si>
    <t xml:space="preserve">-26</t>
  </si>
  <si>
    <t xml:space="preserve">T113</t>
  </si>
  <si>
    <t xml:space="preserve">Pleine IA</t>
  </si>
  <si>
    <t xml:space="preserve">oui</t>
  </si>
  <si>
    <t xml:space="preserve">-24</t>
  </si>
  <si>
    <t xml:space="preserve">Pas vue</t>
  </si>
  <si>
    <t xml:space="preserve">CC</t>
  </si>
  <si>
    <t xml:space="preserve">morte</t>
  </si>
  <si>
    <t xml:space="preserve">R102</t>
  </si>
  <si>
    <t xml:space="preserve">368</t>
  </si>
  <si>
    <t xml:space="preserve">R040</t>
  </si>
  <si>
    <t xml:space="preserve">non</t>
  </si>
  <si>
    <t xml:space="preserve">-30</t>
  </si>
  <si>
    <t xml:space="preserve">vide vendue</t>
  </si>
  <si>
    <t xml:space="preserve">Vue IA</t>
  </si>
  <si>
    <t xml:space="preserve">15</t>
  </si>
  <si>
    <t xml:space="preserve">-113</t>
  </si>
  <si>
    <t xml:space="preserve">Vue après IA (après-midi/nuit)</t>
  </si>
  <si>
    <t xml:space="preserve">-60</t>
  </si>
  <si>
    <t xml:space="preserve">Vue après IA mais &lt;3ch</t>
  </si>
  <si>
    <t xml:space="preserve">%C</t>
  </si>
  <si>
    <t xml:space="preserve">%CC</t>
  </si>
  <si>
    <t xml:space="preserve">-74</t>
  </si>
  <si>
    <t xml:space="preserve">Reponse effet bélier</t>
  </si>
  <si>
    <t xml:space="preserve">retour</t>
  </si>
  <si>
    <t xml:space="preserve">Cyc + repondantes</t>
  </si>
  <si>
    <t xml:space="preserve">-4</t>
  </si>
  <si>
    <t xml:space="preserve">S105</t>
  </si>
  <si>
    <t xml:space="preserve">% synchronisées</t>
  </si>
  <si>
    <t xml:space="preserve">Final SR 1/10</t>
  </si>
  <si>
    <t xml:space="preserve">-92</t>
  </si>
  <si>
    <t xml:space="preserve">-69</t>
  </si>
  <si>
    <t xml:space="preserve">273</t>
  </si>
  <si>
    <t xml:space="preserve">356</t>
  </si>
  <si>
    <t xml:space="preserve">?</t>
  </si>
  <si>
    <t xml:space="preserve">285</t>
  </si>
  <si>
    <t xml:space="preserve">219</t>
  </si>
  <si>
    <t xml:space="preserve">220</t>
  </si>
  <si>
    <t xml:space="preserve">169</t>
  </si>
  <si>
    <t xml:space="preserve">253</t>
  </si>
  <si>
    <t xml:space="preserve">179</t>
  </si>
  <si>
    <t xml:space="preserve">371</t>
  </si>
  <si>
    <t xml:space="preserve">164</t>
  </si>
  <si>
    <t xml:space="preserve">268</t>
  </si>
  <si>
    <t xml:space="preserve">309</t>
  </si>
  <si>
    <t xml:space="preserve">266</t>
  </si>
  <si>
    <t xml:space="preserve">158</t>
  </si>
  <si>
    <t xml:space="preserve">  </t>
  </si>
  <si>
    <t xml:space="preserve">162627_21456</t>
  </si>
  <si>
    <t xml:space="preserve">21456</t>
  </si>
  <si>
    <t xml:space="preserve">2456</t>
  </si>
  <si>
    <t xml:space="preserve">264</t>
  </si>
  <si>
    <t xml:space="preserve">249</t>
  </si>
  <si>
    <t xml:space="preserve">175</t>
  </si>
  <si>
    <t xml:space="preserve">349</t>
  </si>
  <si>
    <t xml:space="preserve">18</t>
  </si>
  <si>
    <t xml:space="preserve">Vue retour (1ch)</t>
  </si>
  <si>
    <t xml:space="preserve">-139</t>
  </si>
  <si>
    <t xml:space="preserve">-11</t>
  </si>
  <si>
    <t xml:space="preserve">-75</t>
  </si>
  <si>
    <t xml:space="preserve">262</t>
  </si>
  <si>
    <t xml:space="preserve">46</t>
  </si>
  <si>
    <t xml:space="preserve">-34</t>
  </si>
  <si>
    <t xml:space="preserve">-78</t>
  </si>
  <si>
    <t xml:space="preserve">54</t>
  </si>
  <si>
    <t xml:space="preserve">-52</t>
  </si>
  <si>
    <t xml:space="preserve">-10</t>
  </si>
  <si>
    <t xml:space="preserve">5</t>
  </si>
  <si>
    <t xml:space="preserve">-88</t>
  </si>
  <si>
    <t xml:space="preserve">13</t>
  </si>
  <si>
    <t xml:space="preserve">avortement</t>
  </si>
  <si>
    <t xml:space="preserve">19</t>
  </si>
  <si>
    <t xml:space="preserve">-43</t>
  </si>
  <si>
    <t xml:space="preserve">-64</t>
  </si>
  <si>
    <t xml:space="preserve">-127</t>
  </si>
  <si>
    <t xml:space="preserve">-70</t>
  </si>
  <si>
    <t xml:space="preserve">Moy</t>
  </si>
  <si>
    <t xml:space="preserve">ET</t>
  </si>
  <si>
    <t xml:space="preserve">SEM</t>
  </si>
  <si>
    <t xml:space="preserve">Nb</t>
  </si>
  <si>
    <t xml:space="preserve">Min </t>
  </si>
  <si>
    <t xml:space="preserve">Max</t>
  </si>
  <si>
    <t xml:space="preserve">Dispersion</t>
  </si>
  <si>
    <t xml:space="preserve">Toutes</t>
  </si>
  <si>
    <t xml:space="preserve">Pleines IA</t>
  </si>
  <si>
    <t xml:space="preserve">Vides + Retour</t>
  </si>
  <si>
    <t xml:space="preserve">Dans la cible</t>
  </si>
  <si>
    <t xml:space="preserve">Pleines IA 1/25</t>
  </si>
  <si>
    <t xml:space="preserve">Agnelage IA 1/25</t>
  </si>
  <si>
    <t xml:space="preserve">Lot SR1/25 - IA 53h: 20 (18+2) brebis +4 rattrapables</t>
  </si>
  <si>
    <t xml:space="preserve">Lot SR1/25: Début des chaleurs entre 2,7h et 59,58h après retrait éponges sauf 5 brebis sur 50 à plus de 100h mais moins de 3 chev</t>
  </si>
  <si>
    <t xml:space="preserve">Les résultats de comportements sont conformes aux résultats de l'écho pour 59 brebis sur 99 soit 59,6%</t>
  </si>
  <si>
    <t xml:space="preserve">Retour 1/25</t>
  </si>
  <si>
    <t xml:space="preserve">Lot SR1/25 - IA 55h: 19 (17+2) brebis +5 rattrapables</t>
  </si>
  <si>
    <t xml:space="preserve">Lot SR1/25: Début des chaleurs +35h entre 37,7h et 94,58h après retrait éponges sauf 5 brebis sur 50 à plus de 140h mais moins de 3 chev</t>
  </si>
  <si>
    <t xml:space="preserve">59= 56 (30 pleines/57, 13 retours/13, 13 vides/29) +3 vues juste après l'IA</t>
  </si>
  <si>
    <t xml:space="preserve">Vides 1/25</t>
  </si>
  <si>
    <t xml:space="preserve">Vides ou mortes 1/25</t>
  </si>
  <si>
    <t xml:space="preserve">Lot SR1/25 - IA 60h: 22 (17+5) brebis plus 6 rattrapables de la veille</t>
  </si>
  <si>
    <t xml:space="preserve">En accord avec résultats de 2022</t>
  </si>
  <si>
    <t xml:space="preserve">18 (12+6 vues après IA mais &lt;3ch) brebis pleines de l'IA n'ont pas été vues soit 18,2%</t>
  </si>
  <si>
    <t xml:space="preserve">Total 1/25</t>
  </si>
  <si>
    <t xml:space="preserve">Lot SR1/25: 33 brebis vues en chaleur</t>
  </si>
  <si>
    <t xml:space="preserve">Lot SR1/10: Début des chaleurs entre 2,79h et 82,90h après retrait éponges sauf 2 brebis sur 50 à plus de 215h mais moins de 3 chev</t>
  </si>
  <si>
    <t xml:space="preserve">6 sont pleines de l'IA alors qu'elles ont été vues sur retour</t>
  </si>
  <si>
    <t xml:space="preserve">Fertilité IA 1/25</t>
  </si>
  <si>
    <t xml:space="preserve">NS</t>
  </si>
  <si>
    <t xml:space="preserve">Lot SR1/10: Début des chaleurs +35h entre 37,79h et 117,09h après retrait éponges auf 2 brebis sur 50 à plus de 250h mais moins de 3 chev</t>
  </si>
  <si>
    <t xml:space="preserve">6 ont été vues au moment de l'IA et 10 au moment du retour mais sont vides</t>
  </si>
  <si>
    <t xml:space="preserve">Fertilité totale 1/25</t>
  </si>
  <si>
    <t xml:space="preserve">Lot SR1/10 - IA 53h: 14 (11+3) brebis +15 rattrapables</t>
  </si>
  <si>
    <t xml:space="preserve">Prolif</t>
  </si>
  <si>
    <t xml:space="preserve">Non vues ou hors cible</t>
  </si>
  <si>
    <t xml:space="preserve">Lot SR1/10 - IA 55h: 15 (12+3) brebis +15 rattrapables</t>
  </si>
  <si>
    <t xml:space="preserve">Moins de brebis vues en chaleurs pour le lot SR1/25 en 2023 qu'en 2022</t>
  </si>
  <si>
    <t xml:space="preserve">Lot SR1/10 - IA 60h: 20 (17+3) brebis plus 17 rattrapables de la veille</t>
  </si>
  <si>
    <t xml:space="preserve">Légèrement plus de brebis dans la cible pour une IA à 60h </t>
  </si>
  <si>
    <t xml:space="preserve">Les résultats de comportements sont conformes aux résultats de l'écho pour 31 brebis sur 50 soit 62%</t>
  </si>
  <si>
    <t xml:space="preserve">Pleines IA 1/10</t>
  </si>
  <si>
    <t xml:space="preserve">Lot SR1/10: 43 brebis vues en chaleur</t>
  </si>
  <si>
    <t xml:space="preserve">31= 31 (16 pleines/33, 5 retours/5, 10 vides/12) </t>
  </si>
  <si>
    <t xml:space="preserve">Retour 1/10</t>
  </si>
  <si>
    <t xml:space="preserve">Le lot SR1/10 a des chaleurs plus dispersées que le lot SR1/25</t>
  </si>
  <si>
    <t xml:space="preserve">15 (9+6 vues après IA mais &lt;3ch) brebis pleines de l'IA n'ont pas été vues soit 30%</t>
  </si>
  <si>
    <t xml:space="preserve">Vides 1/10</t>
  </si>
  <si>
    <t xml:space="preserve">Vides ou mortes 1/10</t>
  </si>
  <si>
    <t xml:space="preserve">Augmenter le sex ratio n'améliore pas les résultats au contraire</t>
  </si>
  <si>
    <t xml:space="preserve">2 sont pleines de l'IA alors qu'elles ont été vues sur retour</t>
  </si>
  <si>
    <t xml:space="preserve">Total 1/10</t>
  </si>
  <si>
    <t xml:space="preserve">Données 2022</t>
  </si>
  <si>
    <t xml:space="preserve">1 a été vues au moment de l'IA et 1 au moment du retour mais sont vides</t>
  </si>
  <si>
    <t xml:space="preserve">Fertilité IA 1/10</t>
  </si>
  <si>
    <t xml:space="preserve">Lot FGA- IA 53h: 27 (26+1) brebis +1 rattrapable</t>
  </si>
  <si>
    <t xml:space="preserve">Fertilité totale 1/10</t>
  </si>
  <si>
    <t xml:space="preserve">Lot FGA- IA 55h: 29 (28+1) brebis +1 rattrapable</t>
  </si>
  <si>
    <t xml:space="preserve">Lot FGA- IA 60h: 34 (30+4) brebis plus 3 rattrapables de la veille</t>
  </si>
  <si>
    <t xml:space="preserve">Les résultats de comportements sont conformes aux résultats de l'écho pour 26 brebis sur 49 soit 53%</t>
  </si>
  <si>
    <t xml:space="preserve">Lot FGA: 43 brebis vues en chaleur</t>
  </si>
  <si>
    <t xml:space="preserve">26= 23 (12 pleines/24, 8 retours/8, 3 vides/17) +3 vues juste après l'IA</t>
  </si>
  <si>
    <t xml:space="preserve">3 brebis pleines de l'IA n'ont pas été vues soit 6,1%</t>
  </si>
  <si>
    <t xml:space="preserve">5 ont été vues au moment de l'IA et 9 au moment du retour mais sont vides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</si>
</sst>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dd/mm/yy"/>
    <numFmt numFmtId="166" formatCode="dd/mm/yyyy\ hh:mm"/>
    <numFmt numFmtId="167" formatCode="dd/mm/yyyy"/>
    <numFmt numFmtId="168" formatCode="General"/>
    <numFmt numFmtId="169" formatCode="dd/mm"/>
    <numFmt numFmtId="170" formatCode="@"/>
    <numFmt numFmtId="171" formatCode="d/m;@"/>
    <numFmt numFmtId="172" formatCode="#,##0"/>
    <numFmt numFmtId="173" formatCode="0"/>
    <numFmt numFmtId="174" formatCode="dd/mm\ hh:mm"/>
    <numFmt numFmtId="175" formatCode="dd/mm/yy\ hh:mm"/>
    <numFmt numFmtId="176" formatCode="0.00"/>
    <numFmt numFmtId="177" formatCode="0.0"/>
    <numFmt numFmtId="178" formatCode="mmm\-yy"/>
    <numFmt numFmtId="179" formatCode="0\ %"/>
    <numFmt numFmtId="180" formatCode="0.0%"/>
  </numFmts>
  <fonts count="7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5"/>
      <color theme="1"/>
      <name val="Calibri"/>
      <family val="0"/>
    </font>
    <font>
      <b val="true"/>
      <sz val="15"/>
      <color theme="1"/>
      <name val="Cambria Math"/>
      <family val="0"/>
    </font>
    <font>
      <sz val="15"/>
      <color theme="1"/>
      <name val="Cambria Math"/>
      <family val="0"/>
    </font>
    <font>
      <b val="true"/>
      <sz val="15"/>
      <color theme="1"/>
      <name val="DejaVu Sans"/>
      <family val="2"/>
    </font>
    <font>
      <sz val="15"/>
      <color rgb="FF000000"/>
      <name val="Times New Roman"/>
      <family val="0"/>
    </font>
    <font>
      <b val="true"/>
      <sz val="14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10"/>
      <color rgb="FF000000"/>
      <name val="&quot;Arial&quot;"/>
      <family val="0"/>
      <charset val="1"/>
    </font>
    <font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1"/>
      <color rgb="FF00FF00"/>
      <name val="Arial"/>
      <family val="2"/>
      <charset val="1"/>
    </font>
    <font>
      <sz val="11"/>
      <color rgb="FFFF0000"/>
      <name val="Arial"/>
      <family val="2"/>
      <charset val="1"/>
    </font>
    <font>
      <sz val="12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4"/>
      <name val="Arial"/>
      <family val="2"/>
      <charset val="1"/>
    </font>
    <font>
      <sz val="20"/>
      <color rgb="FF000000"/>
      <name val="Calibri"/>
      <family val="2"/>
    </font>
    <font>
      <sz val="16"/>
      <color rgb="FF000000"/>
      <name val="Calibri"/>
      <family val="2"/>
    </font>
    <font>
      <sz val="18"/>
      <color rgb="FF000000"/>
      <name val="Calibri"/>
      <family val="2"/>
    </font>
    <font>
      <sz val="14"/>
      <color rgb="FF000000"/>
      <name val="Calibri"/>
      <family val="2"/>
    </font>
    <font>
      <sz val="11"/>
      <color theme="0"/>
      <name val="Calibri"/>
      <family val="0"/>
    </font>
    <font>
      <b val="true"/>
      <sz val="11"/>
      <color rgb="FF0070C0"/>
      <name val="Calibri"/>
      <family val="0"/>
    </font>
    <font>
      <sz val="12"/>
      <color rgb="FF000000"/>
      <name val="Calibri"/>
      <family val="2"/>
    </font>
    <font>
      <b val="true"/>
      <sz val="18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00"/>
      <name val="Calibri"/>
      <family val="2"/>
    </font>
    <font>
      <b val="true"/>
      <sz val="12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b val="true"/>
      <sz val="11"/>
      <color rgb="FF000000"/>
      <name val="Calibri"/>
      <family val="2"/>
    </font>
    <font>
      <b val="true"/>
      <sz val="12"/>
      <color theme="1"/>
      <name val="Calibri"/>
      <family val="2"/>
      <charset val="1"/>
    </font>
    <font>
      <b val="true"/>
      <sz val="9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8"/>
      <name val="Arial"/>
      <family val="2"/>
      <charset val="1"/>
    </font>
    <font>
      <b val="true"/>
      <sz val="8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9"/>
      <name val="Arial"/>
      <family val="2"/>
      <charset val="1"/>
    </font>
    <font>
      <sz val="10"/>
      <name val="Arial"/>
      <family val="2"/>
      <charset val="1"/>
    </font>
    <font>
      <sz val="8"/>
      <name val="Arial"/>
      <family val="2"/>
      <charset val="1"/>
    </font>
    <font>
      <b val="true"/>
      <sz val="9"/>
      <color theme="9" tint="0.3999"/>
      <name val="Arial"/>
      <family val="2"/>
      <charset val="1"/>
    </font>
    <font>
      <sz val="9"/>
      <color theme="1"/>
      <name val="Arial"/>
      <family val="2"/>
      <charset val="1"/>
    </font>
    <font>
      <b val="true"/>
      <sz val="9"/>
      <color theme="5"/>
      <name val="Arial"/>
      <family val="2"/>
      <charset val="1"/>
    </font>
    <font>
      <b val="true"/>
      <sz val="11"/>
      <color theme="5"/>
      <name val="Calibri"/>
      <family val="2"/>
      <charset val="1"/>
    </font>
    <font>
      <sz val="10"/>
      <color rgb="FFC00000"/>
      <name val="Arial"/>
      <family val="2"/>
      <charset val="1"/>
    </font>
    <font>
      <sz val="8"/>
      <color theme="1"/>
      <name val="Calibri"/>
      <family val="2"/>
      <charset val="1"/>
    </font>
    <font>
      <b val="true"/>
      <sz val="11"/>
      <name val="Arial"/>
      <family val="2"/>
      <charset val="1"/>
    </font>
    <font>
      <b val="true"/>
      <sz val="9"/>
      <color rgb="FF00B050"/>
      <name val="Arial"/>
      <family val="2"/>
      <charset val="1"/>
    </font>
    <font>
      <b val="true"/>
      <sz val="11"/>
      <color rgb="FF00B050"/>
      <name val="Calibri"/>
      <family val="2"/>
      <charset val="1"/>
    </font>
    <font>
      <sz val="11"/>
      <name val="Calibri"/>
      <family val="2"/>
      <charset val="1"/>
    </font>
    <font>
      <sz val="8"/>
      <color theme="1"/>
      <name val="Arial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FFC000"/>
      </patternFill>
    </fill>
    <fill>
      <patternFill patternType="solid">
        <fgColor rgb="FF92D050"/>
        <bgColor rgb="FFA9D18E"/>
      </patternFill>
    </fill>
    <fill>
      <patternFill patternType="solid">
        <fgColor theme="0" tint="-0.5"/>
        <bgColor rgb="FF8B8B8B"/>
      </patternFill>
    </fill>
    <fill>
      <patternFill patternType="solid">
        <fgColor theme="0" tint="-0.25"/>
        <bgColor rgb="FFCCCCCC"/>
      </patternFill>
    </fill>
    <fill>
      <patternFill patternType="solid">
        <fgColor rgb="FFFFC000"/>
        <bgColor rgb="FFE3AB00"/>
      </patternFill>
    </fill>
    <fill>
      <patternFill patternType="solid">
        <fgColor theme="0" tint="-0.35"/>
        <bgColor rgb="FF929292"/>
      </patternFill>
    </fill>
    <fill>
      <patternFill patternType="solid">
        <fgColor rgb="FFEA9999"/>
        <bgColor rgb="FFF1A78B"/>
      </patternFill>
    </fill>
    <fill>
      <patternFill patternType="solid">
        <fgColor rgb="FFCCCCCC"/>
        <bgColor rgb="FFBFBFBF"/>
      </patternFill>
    </fill>
    <fill>
      <patternFill patternType="solid">
        <fgColor rgb="FFB6D7A8"/>
        <bgColor rgb="FFA9D18E"/>
      </patternFill>
    </fill>
    <fill>
      <patternFill patternType="solid">
        <fgColor rgb="FFFCE4D6"/>
        <bgColor rgb="FFEBE6FE"/>
      </patternFill>
    </fill>
    <fill>
      <patternFill patternType="solid">
        <fgColor rgb="FFFFFFFF"/>
        <bgColor rgb="FFEBE6FE"/>
      </patternFill>
    </fill>
    <fill>
      <patternFill patternType="solid">
        <fgColor rgb="FF000000"/>
        <bgColor rgb="FF003300"/>
      </patternFill>
    </fill>
    <fill>
      <patternFill patternType="solid">
        <fgColor rgb="FF00B050"/>
        <bgColor rgb="FF00B0F0"/>
      </patternFill>
    </fill>
    <fill>
      <patternFill patternType="solid">
        <fgColor rgb="FFFF0000"/>
        <bgColor rgb="FFC00000"/>
      </patternFill>
    </fill>
    <fill>
      <patternFill patternType="solid">
        <fgColor theme="9"/>
        <bgColor rgb="FF639A3F"/>
      </patternFill>
    </fill>
    <fill>
      <patternFill patternType="solid">
        <fgColor rgb="FF00B0F0"/>
        <bgColor rgb="FF0070C0"/>
      </patternFill>
    </fill>
    <fill>
      <patternFill patternType="solid">
        <fgColor rgb="FF9954CC"/>
        <bgColor rgb="FF808080"/>
      </patternFill>
    </fill>
    <fill>
      <patternFill patternType="solid">
        <fgColor theme="8" tint="0.3999"/>
        <bgColor rgb="FF98B8DF"/>
      </patternFill>
    </fill>
    <fill>
      <patternFill patternType="solid">
        <fgColor theme="8" tint="0.7999"/>
        <bgColor rgb="FFEBE6FE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>
        <color theme="0" tint="-0.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thin">
        <color theme="0" tint="-0.5"/>
      </bottom>
      <diagonal/>
    </border>
    <border diagonalUp="false" diagonalDown="false">
      <left style="medium"/>
      <right style="medium"/>
      <top style="thin">
        <color theme="0" tint="-0.5"/>
      </top>
      <bottom style="thin">
        <color theme="0" tint="-0.5"/>
      </bottom>
      <diagonal/>
    </border>
    <border diagonalUp="false" diagonalDown="false">
      <left style="medium"/>
      <right/>
      <top style="thin">
        <color theme="0" tint="-0.5"/>
      </top>
      <bottom style="thin">
        <color theme="0" tint="-0.5"/>
      </bottom>
      <diagonal/>
    </border>
    <border diagonalUp="false" diagonalDown="false">
      <left/>
      <right style="medium"/>
      <top style="thin">
        <color theme="0" tint="-0.5"/>
      </top>
      <bottom style="thin">
        <color theme="0" tint="-0.5"/>
      </bottom>
      <diagonal/>
    </border>
    <border diagonalUp="false" diagonalDown="false">
      <left style="medium"/>
      <right style="medium"/>
      <top style="thin">
        <color theme="0" tint="-0.5"/>
      </top>
      <bottom style="medium"/>
      <diagonal/>
    </border>
    <border diagonalUp="false" diagonalDown="false">
      <left style="medium"/>
      <right style="medium"/>
      <top style="thin">
        <color theme="0" tint="-0.5"/>
      </top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>
        <color theme="9" tint="0.3999"/>
      </top>
      <bottom style="thin">
        <color theme="9" tint="0.3999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 readingOrder="1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9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4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0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5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5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5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9" fillId="4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5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4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7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7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6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26" fillId="0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27" fillId="0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6" fillId="8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6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6" fillId="1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6" fillId="1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1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11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7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7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6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13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2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30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73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5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51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5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5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50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2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4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0" fillId="1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9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5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2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7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center" textRotation="0" wrapText="false" indent="0" shrinkToFit="false" readingOrder="1"/>
      <protection locked="true" hidden="false"/>
    </xf>
    <xf numFmtId="176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5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57" fillId="15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57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58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8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58" fillId="16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5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5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59" fillId="12" borderId="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60" fillId="12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60" fillId="3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60" fillId="12" borderId="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56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61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2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9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5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5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7" fillId="0" borderId="0" xfId="20" applyFont="true" applyBorder="true" applyAlignment="true" applyProtection="true">
      <alignment horizontal="right" vertical="center" textRotation="0" wrapText="false" indent="0" shrinkToFit="false" readingOrder="1"/>
      <protection locked="true" hidden="false"/>
    </xf>
    <xf numFmtId="166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76" fontId="0" fillId="0" borderId="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73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57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63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60" fillId="6" borderId="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60" fillId="3" borderId="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5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5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4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5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57" fillId="12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60" fillId="0" borderId="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5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8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58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8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58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57" fillId="17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58" fillId="18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58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7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7" fontId="57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58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7" fontId="57" fillId="19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63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63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58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58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8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4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6" fontId="5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6" fontId="5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52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6" fontId="6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6" fontId="59" fillId="12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6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7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57" fillId="2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6" fontId="5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5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61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60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60" fillId="6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5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6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56" fillId="3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56" fillId="6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56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57" fillId="2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56" fillId="6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56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56" fillId="3" borderId="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56" fillId="0" borderId="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56" fillId="6" borderId="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59" fillId="0" borderId="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59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57" fillId="19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4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5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1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6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5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4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0" fontId="49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1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0" fillId="0" borderId="2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1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dxfs count="234"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8FAADC"/>
          <bgColor rgb="FF000000"/>
        </patternFill>
      </fill>
    </dxf>
    <dxf>
      <fill>
        <patternFill patternType="solid">
          <fgColor rgb="FFC199DF"/>
          <bgColor rgb="FF000000"/>
        </patternFill>
      </fill>
    </dxf>
    <dxf>
      <fill>
        <patternFill patternType="solid">
          <fgColor rgb="FFE6D5F3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9954CC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E6D5F3"/>
        </patternFill>
      </fill>
    </dxf>
    <dxf>
      <fill>
        <patternFill>
          <bgColor rgb="FFC199DF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theme="9" tint="0.7999"/>
        </patternFill>
      </fill>
    </dxf>
    <dxf>
      <font>
        <color rgb="FFFFFFFF"/>
      </font>
      <fill>
        <patternFill>
          <bgColor theme="9" tint="0.3999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EBE6FE"/>
        </patternFill>
      </fill>
    </dxf>
    <dxf>
      <fill>
        <patternFill>
          <bgColor rgb="FFC198E0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EBE6FE"/>
        </patternFill>
      </fill>
    </dxf>
    <dxf>
      <fill>
        <patternFill>
          <bgColor rgb="FFC198E0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  <dxf>
      <fill>
        <patternFill>
          <bgColor rgb="FF00B0F0"/>
        </patternFill>
      </fill>
    </dxf>
    <dxf>
      <fill>
        <patternFill>
          <bgColor theme="5" tint="-0.2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C199DF"/>
      <rgbColor rgb="FFB7E1CD"/>
      <rgbColor rgb="FFC00000"/>
      <rgbColor rgb="FF70AD47"/>
      <rgbColor rgb="FF000080"/>
      <rgbColor rgb="FFBF9000"/>
      <rgbColor rgb="FF800080"/>
      <rgbColor rgb="FF00B050"/>
      <rgbColor rgb="FFBFBFBF"/>
      <rgbColor rgb="FF808080"/>
      <rgbColor rgb="FF8FAADC"/>
      <rgbColor rgb="FF9954CC"/>
      <rgbColor rgb="FFFCE4D6"/>
      <rgbColor rgb="FFDAE3F3"/>
      <rgbColor rgb="FF660066"/>
      <rgbColor rgb="FFD36F2B"/>
      <rgbColor rgb="FF0070C0"/>
      <rgbColor rgb="FFE6D5F3"/>
      <rgbColor rgb="FF000080"/>
      <rgbColor rgb="FFFF00FF"/>
      <rgbColor rgb="FFB6D7A8"/>
      <rgbColor rgb="FFA9D18E"/>
      <rgbColor rgb="FF800080"/>
      <rgbColor rgb="FF800000"/>
      <rgbColor rgb="FF518ABD"/>
      <rgbColor rgb="FF0000FF"/>
      <rgbColor rgb="FF00B0F0"/>
      <rgbColor rgb="FFEBE6FE"/>
      <rgbColor rgb="FFE2F0D9"/>
      <rgbColor rgb="FFD9D9D9"/>
      <rgbColor rgb="FF98B8DF"/>
      <rgbColor rgb="FFEA9999"/>
      <rgbColor rgb="FFC198E0"/>
      <rgbColor rgb="FFF1A78B"/>
      <rgbColor rgb="FF3C65AE"/>
      <rgbColor rgb="FF5B9BD5"/>
      <rgbColor rgb="FF92D050"/>
      <rgbColor rgb="FFFFC000"/>
      <rgbColor rgb="FFE3AB00"/>
      <rgbColor rgb="FFED7D31"/>
      <rgbColor rgb="FF587CC6"/>
      <rgbColor rgb="FF929292"/>
      <rgbColor rgb="FF003366"/>
      <rgbColor rgb="FF639A3F"/>
      <rgbColor rgb="FF003300"/>
      <rgbColor rgb="FF333300"/>
      <rgbColor rgb="FFC55A11"/>
      <rgbColor rgb="FF8B8B8B"/>
      <rgbColor rgb="FFA6A6A6"/>
      <rgbColor rgb="FFCCCC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externalLink" Target="externalLinks/externalLink1.xml"/><Relationship Id="rId13" Type="http://schemas.openxmlformats.org/officeDocument/2006/relationships/externalLink" Target="externalLinks/externalLink2.xml"/><Relationship Id="rId14" Type="http://schemas.openxmlformats.org/officeDocument/2006/relationships/externalLink" Target="externalLinks/externalLink3.xml"/><Relationship Id="rId15" Type="http://schemas.openxmlformats.org/officeDocument/2006/relationships/sharedStrings" Target="sharedStrings.xml"/>
</Relationships>
</file>

<file path=xl/charts/_rels/chart6.xml.rels><?xml version="1.0" encoding="UTF-8"?>
<Relationships xmlns="http://schemas.openxmlformats.org/package/2006/relationships"><Relationship Id="rId1" Type="http://schemas.openxmlformats.org/officeDocument/2006/relationships/chartUserShapes" Target="../drawings/drawing4.xml"/>
</Relationships>
</file>

<file path=xl/charts/_rels/chart7.xml.rels><?xml version="1.0" encoding="UTF-8"?>
<Relationships xmlns="http://schemas.openxmlformats.org/package/2006/relationships"><Relationship Id="rId1" Type="http://schemas.openxmlformats.org/officeDocument/2006/relationships/chartUserShapes" Target="../drawings/drawing6.xml"/>
</Relationships>
</file>

<file path=xl/charts/_rels/chart8.xml.rels><?xml version="1.0" encoding="UTF-8"?>
<Relationships xmlns="http://schemas.openxmlformats.org/package/2006/relationships"><Relationship Id="rId1" Type="http://schemas.openxmlformats.org/officeDocument/2006/relationships/chartUserShapes" Target="../drawings/drawing7.xml"/>
</Relationships>
</file>

<file path=xl/charts/_rels/chart9.xml.rels><?xml version="1.0" encoding="UTF-8"?>
<Relationships xmlns="http://schemas.openxmlformats.org/package/2006/relationships"><Relationship Id="rId1" Type="http://schemas.openxmlformats.org/officeDocument/2006/relationships/chartUserShapes" Target="../drawings/drawing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20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fr-FR" sz="2000" spc="-1" strike="noStrike">
                <a:solidFill>
                  <a:srgbClr val="000000"/>
                </a:solidFill>
                <a:latin typeface="Calibri"/>
              </a:rPr>
              <a:t>Activité des béliers pendant le retour (La Cazotte 2023)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56408741878"/>
          <c:y val="0.119671403197158"/>
          <c:w val="0.86674542232723"/>
          <c:h val="0.7901865008881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'[1]Lutte Béliers'!$C$2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18abd"/>
            </a:solidFill>
            <a:ln w="19080">
              <a:solidFill>
                <a:srgbClr val="518abd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'[1]Lutte Béliers'!$J$2:$J$254</c:f>
              <c:numCache>
                <c:formatCode>General</c:formatCode>
                <c:ptCount val="253"/>
              </c:numCache>
            </c:numRef>
          </c:xVal>
          <c:yVal>
            <c:numRef>
              <c:f>'[1]Lutte Béliers'!$M$2:$M$254</c:f>
              <c:numCache>
                <c:formatCode>General</c:formatCode>
                <c:ptCount val="253"/>
              </c:numCache>
            </c:numRef>
          </c:yVal>
          <c:smooth val="0"/>
        </c:ser>
        <c:ser>
          <c:idx val="1"/>
          <c:order val="1"/>
          <c:tx>
            <c:strRef>
              <c:f>'[1]Lutte Béliers'!$C$255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d36f2b"/>
            </a:solidFill>
            <a:ln w="19080">
              <a:solidFill>
                <a:srgbClr val="d36f2b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'[1]Lutte Béliers'!$J$255:$J$259</c:f>
              <c:numCache>
                <c:formatCode>General</c:formatCode>
                <c:ptCount val="5"/>
              </c:numCache>
            </c:numRef>
          </c:xVal>
          <c:yVal>
            <c:numRef>
              <c:f>'[1]Lutte Béliers'!$M$255:$M$259</c:f>
              <c:numCache>
                <c:formatCode>General</c:formatCode>
                <c:ptCount val="5"/>
              </c:numCache>
            </c:numRef>
          </c:yVal>
          <c:smooth val="0"/>
        </c:ser>
        <c:ser>
          <c:idx val="2"/>
          <c:order val="2"/>
          <c:tx>
            <c:strRef>
              <c:f>'[1]Lutte Béliers'!$C$260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29292"/>
            </a:solidFill>
            <a:ln w="19080">
              <a:solidFill>
                <a:srgbClr val="92929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'[1]Lutte Béliers'!$J$260:$J$618</c:f>
              <c:numCache>
                <c:formatCode>General</c:formatCode>
                <c:ptCount val="359"/>
              </c:numCache>
            </c:numRef>
          </c:xVal>
          <c:yVal>
            <c:numRef>
              <c:f>'[1]Lutte Béliers'!$M$260:$M$618</c:f>
              <c:numCache>
                <c:formatCode>General</c:formatCode>
                <c:ptCount val="359"/>
              </c:numCache>
            </c:numRef>
          </c:yVal>
          <c:smooth val="0"/>
        </c:ser>
        <c:ser>
          <c:idx val="3"/>
          <c:order val="3"/>
          <c:tx>
            <c:strRef>
              <c:f>'[1]Lutte Béliers'!$C$619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3ab00"/>
            </a:solidFill>
            <a:ln w="19080">
              <a:solidFill>
                <a:srgbClr val="e3ab00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'[1]Lutte Béliers'!$J$619:$J$665</c:f>
              <c:numCache>
                <c:formatCode>General</c:formatCode>
                <c:ptCount val="47"/>
              </c:numCache>
            </c:numRef>
          </c:xVal>
          <c:yVal>
            <c:numRef>
              <c:f>'[1]Lutte Béliers'!$M$619:$M$665</c:f>
              <c:numCache>
                <c:formatCode>General</c:formatCode>
                <c:ptCount val="47"/>
              </c:numCache>
            </c:numRef>
          </c:yVal>
          <c:smooth val="0"/>
        </c:ser>
        <c:ser>
          <c:idx val="4"/>
          <c:order val="4"/>
          <c:tx>
            <c:strRef>
              <c:f>'[1]Lutte Béliers'!$C$666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3c65ae"/>
            </a:solidFill>
            <a:ln w="19080">
              <a:solidFill>
                <a:srgbClr val="3c65ae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'[1]Lutte Béliers'!$J$666:$J$674</c:f>
              <c:numCache>
                <c:formatCode>General</c:formatCode>
                <c:ptCount val="9"/>
              </c:numCache>
            </c:numRef>
          </c:xVal>
          <c:yVal>
            <c:numRef>
              <c:f>'[1]Lutte Béliers'!$L$666:$L$674</c:f>
              <c:numCache>
                <c:formatCode>General</c:formatCode>
                <c:ptCount val="9"/>
              </c:numCache>
            </c:numRef>
          </c:yVal>
          <c:smooth val="0"/>
        </c:ser>
        <c:ser>
          <c:idx val="5"/>
          <c:order val="5"/>
          <c:tx>
            <c:strRef>
              <c:f>'[1]Lutte Béliers'!$C$675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639a3f"/>
            </a:solidFill>
            <a:ln w="19080">
              <a:solidFill>
                <a:srgbClr val="639a3f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'[1]Lutte Béliers'!$J$675:$J$988</c:f>
              <c:numCache>
                <c:formatCode>General</c:formatCode>
                <c:ptCount val="314"/>
              </c:numCache>
            </c:numRef>
          </c:xVal>
          <c:yVal>
            <c:numRef>
              <c:f>'[1]Lutte Béliers'!$M$675:$M$988</c:f>
              <c:numCache>
                <c:formatCode>General</c:formatCode>
                <c:ptCount val="314"/>
              </c:numCache>
            </c:numRef>
          </c:yVal>
          <c:smooth val="0"/>
        </c:ser>
        <c:ser>
          <c:idx val="6"/>
          <c:order val="6"/>
          <c:tx>
            <c:strRef>
              <c:f>'[1]Lutte Béliers'!$C$989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8b8df"/>
            </a:solidFill>
            <a:ln w="19080">
              <a:solidFill>
                <a:srgbClr val="98b8df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'[1]Lutte Béliers'!$J$989:$J$1172</c:f>
              <c:numCache>
                <c:formatCode>General</c:formatCode>
                <c:ptCount val="184"/>
              </c:numCache>
            </c:numRef>
          </c:xVal>
          <c:yVal>
            <c:numRef>
              <c:f>'[1]Lutte Béliers'!$M$989:$M$1172</c:f>
              <c:numCache>
                <c:formatCode>General</c:formatCode>
                <c:ptCount val="184"/>
              </c:numCache>
            </c:numRef>
          </c:yVal>
          <c:smooth val="0"/>
        </c:ser>
        <c:axId val="99687697"/>
        <c:axId val="61322659"/>
      </c:scatterChart>
      <c:valAx>
        <c:axId val="99687697"/>
        <c:scaling>
          <c:orientation val="minMax"/>
          <c:min val="45067"/>
        </c:scaling>
        <c:delete val="0"/>
        <c:axPos val="b"/>
        <c:numFmt formatCode="d/m;@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6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1322659"/>
        <c:crosses val="autoZero"/>
        <c:crossBetween val="midCat"/>
        <c:majorUnit val="2"/>
      </c:valAx>
      <c:valAx>
        <c:axId val="61322659"/>
        <c:scaling>
          <c:orientation val="minMax"/>
          <c:max val="60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fr-FR" sz="18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0" lang="fr-FR" sz="1800" spc="-1" strike="noStrike">
                    <a:solidFill>
                      <a:srgbClr val="000000"/>
                    </a:solidFill>
                    <a:latin typeface="Calibri"/>
                  </a:rPr>
                  <a:t>Nb lectures cumulées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6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87697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103491083768903"/>
          <c:y val="0.123001485279456"/>
          <c:w val="0.096082173087378"/>
          <c:h val="0.398491889333506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20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fr-FR" sz="2000" spc="-1" strike="noStrike">
                <a:solidFill>
                  <a:srgbClr val="000000"/>
                </a:solidFill>
                <a:latin typeface="Calibri"/>
              </a:rPr>
              <a:t>Activité des béliers pendant l'effet mâle (La Cazotte 2023)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9158922665"/>
          <c:y val="0.119671403197158"/>
          <c:w val="0.866750669396755"/>
          <c:h val="0.7901865008881"/>
        </c:manualLayout>
      </c:layout>
      <c:scatterChart>
        <c:scatterStyle val="lineMarker"/>
        <c:varyColors val="0"/>
        <c:ser>
          <c:idx val="0"/>
          <c:order val="0"/>
          <c:tx>
            <c:strRef>
              <c:f>'[2]EM Béliers'!$C$2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18abd"/>
            </a:solidFill>
            <a:ln w="19080">
              <a:solidFill>
                <a:srgbClr val="518abd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Béliers'!$J$2:$J$333</c:f>
              <c:numCache>
                <c:formatCode>General</c:formatCode>
                <c:ptCount val="332"/>
              </c:numCache>
            </c:numRef>
          </c:xVal>
          <c:yVal>
            <c:numRef>
              <c:f>'[2]EM Béliers'!$M$2:$M$333</c:f>
              <c:numCache>
                <c:formatCode>General</c:formatCode>
                <c:ptCount val="332"/>
              </c:numCache>
            </c:numRef>
          </c:yVal>
          <c:smooth val="0"/>
        </c:ser>
        <c:ser>
          <c:idx val="1"/>
          <c:order val="1"/>
          <c:tx>
            <c:strRef>
              <c:f>'[2]EM Béliers'!$C$334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d36f2b"/>
            </a:solidFill>
            <a:ln w="19080">
              <a:solidFill>
                <a:srgbClr val="d36f2b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Béliers'!$J$334:$J$683</c:f>
              <c:numCache>
                <c:formatCode>General</c:formatCode>
                <c:ptCount val="350"/>
              </c:numCache>
            </c:numRef>
          </c:xVal>
          <c:yVal>
            <c:numRef>
              <c:f>'[2]EM Béliers'!$M$334:$M$683</c:f>
              <c:numCache>
                <c:formatCode>General</c:formatCode>
                <c:ptCount val="350"/>
              </c:numCache>
            </c:numRef>
          </c:yVal>
          <c:smooth val="0"/>
        </c:ser>
        <c:ser>
          <c:idx val="2"/>
          <c:order val="2"/>
          <c:tx>
            <c:strRef>
              <c:f>'[2]EM Béliers'!$C$684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29292"/>
            </a:solidFill>
            <a:ln w="19080">
              <a:solidFill>
                <a:srgbClr val="92929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Béliers'!$J$684:$J$686</c:f>
              <c:numCache>
                <c:formatCode>General</c:formatCode>
                <c:ptCount val="3"/>
              </c:numCache>
            </c:numRef>
          </c:xVal>
          <c:yVal>
            <c:numRef>
              <c:f>'[2]EM Béliers'!$M$684:$M$686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3"/>
          <c:order val="3"/>
          <c:tx>
            <c:strRef>
              <c:f>'[2]EM Béliers'!$C$687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3ab00"/>
            </a:solidFill>
            <a:ln w="19080">
              <a:solidFill>
                <a:srgbClr val="e3ab00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Béliers'!$J$687:$J$726</c:f>
              <c:numCache>
                <c:formatCode>General</c:formatCode>
                <c:ptCount val="40"/>
              </c:numCache>
            </c:numRef>
          </c:xVal>
          <c:yVal>
            <c:numRef>
              <c:f>'[2]EM Béliers'!$M$687:$M$726</c:f>
              <c:numCache>
                <c:formatCode>General</c:formatCode>
                <c:ptCount val="40"/>
              </c:numCache>
            </c:numRef>
          </c:yVal>
          <c:smooth val="0"/>
        </c:ser>
        <c:ser>
          <c:idx val="4"/>
          <c:order val="4"/>
          <c:tx>
            <c:strRef>
              <c:f>'[2]EM Béliers'!$C$727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3c65ae"/>
            </a:solidFill>
            <a:ln w="19080">
              <a:solidFill>
                <a:srgbClr val="3c65ae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Béliers'!$J$727:$J$1267</c:f>
              <c:numCache>
                <c:formatCode>General</c:formatCode>
                <c:ptCount val="541"/>
              </c:numCache>
            </c:numRef>
          </c:xVal>
          <c:yVal>
            <c:numRef>
              <c:f>'[2]EM Béliers'!$M$727:$M$1267</c:f>
              <c:numCache>
                <c:formatCode>General</c:formatCode>
                <c:ptCount val="541"/>
              </c:numCache>
            </c:numRef>
          </c:yVal>
          <c:smooth val="0"/>
        </c:ser>
        <c:ser>
          <c:idx val="5"/>
          <c:order val="5"/>
          <c:tx>
            <c:strRef>
              <c:f>'[2]EM Béliers'!$C$1268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639a3f"/>
            </a:solidFill>
            <a:ln w="19080">
              <a:solidFill>
                <a:srgbClr val="639a3f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Béliers'!$J$1268:$J$1281</c:f>
              <c:numCache>
                <c:formatCode>General</c:formatCode>
                <c:ptCount val="14"/>
              </c:numCache>
            </c:numRef>
          </c:xVal>
          <c:yVal>
            <c:numRef>
              <c:f>'[2]EM Béliers'!$M$1268:$M$1281</c:f>
              <c:numCache>
                <c:formatCode>General</c:formatCode>
                <c:ptCount val="14"/>
              </c:numCache>
            </c:numRef>
          </c:yVal>
          <c:smooth val="0"/>
        </c:ser>
        <c:ser>
          <c:idx val="6"/>
          <c:order val="6"/>
          <c:tx>
            <c:strRef>
              <c:f>'[2]EM Béliers'!$C$1282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8b8df"/>
            </a:solidFill>
            <a:ln w="19080">
              <a:solidFill>
                <a:srgbClr val="98b8df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Béliers'!$J$1282:$J$1521</c:f>
              <c:numCache>
                <c:formatCode>General</c:formatCode>
                <c:ptCount val="240"/>
              </c:numCache>
            </c:numRef>
          </c:xVal>
          <c:yVal>
            <c:numRef>
              <c:f>'[2]EM Béliers'!$M$1282:$M$1521</c:f>
              <c:numCache>
                <c:formatCode>General</c:formatCode>
                <c:ptCount val="240"/>
              </c:numCache>
            </c:numRef>
          </c:yVal>
          <c:smooth val="0"/>
        </c:ser>
        <c:axId val="62872111"/>
        <c:axId val="15792023"/>
      </c:scatterChart>
      <c:valAx>
        <c:axId val="62872111"/>
        <c:scaling>
          <c:orientation val="minMax"/>
          <c:max val="45067"/>
          <c:min val="45055"/>
        </c:scaling>
        <c:delete val="0"/>
        <c:axPos val="b"/>
        <c:numFmt formatCode="d/m;@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6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5792023"/>
        <c:crosses val="autoZero"/>
        <c:crossBetween val="midCat"/>
      </c:valAx>
      <c:valAx>
        <c:axId val="1579202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fr-FR" sz="18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0" lang="fr-FR" sz="1800" spc="-1" strike="noStrike">
                    <a:solidFill>
                      <a:srgbClr val="000000"/>
                    </a:solidFill>
                    <a:latin typeface="Calibri"/>
                  </a:rPr>
                  <a:t>Nb lectures cumulées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6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72111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103491083768903"/>
          <c:y val="0.123001485279456"/>
          <c:w val="0.0935894752006771"/>
          <c:h val="0.414555128283383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20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fr-FR" sz="2000" spc="-1" strike="noStrike">
                <a:solidFill>
                  <a:srgbClr val="000000"/>
                </a:solidFill>
                <a:latin typeface="Calibri"/>
              </a:rPr>
              <a:t>Activité des béliers (La Cazotte 2023)</a:t>
            </a:r>
          </a:p>
        </c:rich>
      </c:tx>
      <c:layout>
        <c:manualLayout>
          <c:xMode val="edge"/>
          <c:yMode val="edge"/>
          <c:x val="0.278784060481966"/>
          <c:y val="0.044271412680756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9158922665"/>
          <c:y val="0.119614386355209"/>
          <c:w val="0.866750669396755"/>
          <c:h val="0.790211345939933"/>
        </c:manualLayout>
      </c:layout>
      <c:scatterChart>
        <c:scatterStyle val="lineMarker"/>
        <c:varyColors val="0"/>
        <c:ser>
          <c:idx val="0"/>
          <c:order val="0"/>
          <c:tx>
            <c:strRef>
              <c:f>'[3]Activité Béliers'!$C$2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18abd"/>
            </a:solidFill>
            <a:ln w="19080">
              <a:solidFill>
                <a:srgbClr val="518abd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'[3]Activité Béliers'!$J$2:$J$586</c:f>
              <c:numCache>
                <c:formatCode>General</c:formatCode>
                <c:ptCount val="585"/>
              </c:numCache>
            </c:numRef>
          </c:xVal>
          <c:yVal>
            <c:numRef>
              <c:f>'[3]Activité Béliers'!$M$2:$M$586</c:f>
              <c:numCache>
                <c:formatCode>General</c:formatCode>
                <c:ptCount val="585"/>
              </c:numCache>
            </c:numRef>
          </c:yVal>
          <c:smooth val="0"/>
        </c:ser>
        <c:ser>
          <c:idx val="1"/>
          <c:order val="1"/>
          <c:tx>
            <c:strRef>
              <c:f>'[3]Activité Béliers'!$C$587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d36f2b"/>
            </a:solidFill>
            <a:ln w="19080">
              <a:solidFill>
                <a:srgbClr val="d36f2b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'[3]Activité Béliers'!$J$587:$J$936</c:f>
              <c:numCache>
                <c:formatCode>General</c:formatCode>
                <c:ptCount val="350"/>
              </c:numCache>
            </c:numRef>
          </c:xVal>
          <c:yVal>
            <c:numRef>
              <c:f>'[3]Activité Béliers'!$M$587:$M$936</c:f>
              <c:numCache>
                <c:formatCode>General</c:formatCode>
                <c:ptCount val="350"/>
              </c:numCache>
            </c:numRef>
          </c:yVal>
          <c:smooth val="0"/>
        </c:ser>
        <c:ser>
          <c:idx val="2"/>
          <c:order val="2"/>
          <c:tx>
            <c:strRef>
              <c:f>'[3]Activité Béliers'!$C$937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29292"/>
            </a:solidFill>
            <a:ln w="19080">
              <a:solidFill>
                <a:srgbClr val="92929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'[3]Activité Béliers'!$J$937:$J$944</c:f>
              <c:numCache>
                <c:formatCode>General</c:formatCode>
                <c:ptCount val="8"/>
              </c:numCache>
            </c:numRef>
          </c:xVal>
          <c:yVal>
            <c:numRef>
              <c:f>'[3]Activité Béliers'!$M$937:$M$944</c:f>
              <c:numCache>
                <c:formatCode>General</c:formatCode>
                <c:ptCount val="8"/>
              </c:numCache>
            </c:numRef>
          </c:yVal>
          <c:smooth val="0"/>
        </c:ser>
        <c:ser>
          <c:idx val="3"/>
          <c:order val="3"/>
          <c:tx>
            <c:strRef>
              <c:f>'[3]Activité Béliers'!$C$945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3ab00"/>
            </a:solidFill>
            <a:ln w="19080">
              <a:solidFill>
                <a:srgbClr val="e3ab00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'[3]Activité Béliers'!$J$945:$J$1343</c:f>
              <c:numCache>
                <c:formatCode>General</c:formatCode>
                <c:ptCount val="399"/>
              </c:numCache>
            </c:numRef>
          </c:xVal>
          <c:yVal>
            <c:numRef>
              <c:f>'[3]Activité Béliers'!$M$945:$M$1343</c:f>
              <c:numCache>
                <c:formatCode>General</c:formatCode>
                <c:ptCount val="399"/>
              </c:numCache>
            </c:numRef>
          </c:yVal>
          <c:smooth val="0"/>
        </c:ser>
        <c:ser>
          <c:idx val="4"/>
          <c:order val="4"/>
          <c:tx>
            <c:strRef>
              <c:f>'[3]Activité Béliers'!$C$1344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1a78b"/>
            </a:solidFill>
            <a:ln w="19080">
              <a:solidFill>
                <a:srgbClr val="f1a78b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'[3]Activité Béliers'!$J$1344:$J$1390</c:f>
              <c:numCache>
                <c:formatCode>General</c:formatCode>
                <c:ptCount val="47"/>
              </c:numCache>
            </c:numRef>
          </c:xVal>
          <c:yVal>
            <c:numRef>
              <c:f>'[3]Activité Béliers'!$M$1344:$M$1390</c:f>
              <c:numCache>
                <c:formatCode>General</c:formatCode>
                <c:ptCount val="47"/>
              </c:numCache>
            </c:numRef>
          </c:yVal>
          <c:smooth val="0"/>
        </c:ser>
        <c:ser>
          <c:idx val="5"/>
          <c:order val="5"/>
          <c:tx>
            <c:strRef>
              <c:f>'[3]Activité Béliers'!$C$1391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3c65ae"/>
            </a:solidFill>
            <a:ln w="19080">
              <a:solidFill>
                <a:srgbClr val="3c65ae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'[3]Activité Béliers'!$J$1391:$J$1940</c:f>
              <c:numCache>
                <c:formatCode>General</c:formatCode>
                <c:ptCount val="550"/>
              </c:numCache>
            </c:numRef>
          </c:xVal>
          <c:yVal>
            <c:numRef>
              <c:f>'[3]Activité Béliers'!$M$1391:$M$1940</c:f>
              <c:numCache>
                <c:formatCode>General</c:formatCode>
                <c:ptCount val="550"/>
              </c:numCache>
            </c:numRef>
          </c:yVal>
          <c:smooth val="0"/>
        </c:ser>
        <c:ser>
          <c:idx val="6"/>
          <c:order val="6"/>
          <c:tx>
            <c:strRef>
              <c:f>'[3]Activité Béliers'!$C$1941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639a3f"/>
            </a:solidFill>
            <a:ln w="19080">
              <a:solidFill>
                <a:srgbClr val="639a3f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'[3]Activité Béliers'!$J$1941:$J$2268</c:f>
              <c:numCache>
                <c:formatCode>General</c:formatCode>
                <c:ptCount val="328"/>
              </c:numCache>
            </c:numRef>
          </c:xVal>
          <c:yVal>
            <c:numRef>
              <c:f>'[3]Activité Béliers'!$M$1941:$M$2268</c:f>
              <c:numCache>
                <c:formatCode>General</c:formatCode>
                <c:ptCount val="328"/>
              </c:numCache>
            </c:numRef>
          </c:yVal>
          <c:smooth val="0"/>
        </c:ser>
        <c:ser>
          <c:idx val="7"/>
          <c:order val="7"/>
          <c:tx>
            <c:strRef>
              <c:f>'[3]Activité Béliers'!$C$2269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8b8df"/>
            </a:solidFill>
            <a:ln w="19080">
              <a:solidFill>
                <a:srgbClr val="98b8df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'[3]Activité Béliers'!$J$2269:$J$2692</c:f>
              <c:numCache>
                <c:formatCode>General</c:formatCode>
                <c:ptCount val="424"/>
              </c:numCache>
            </c:numRef>
          </c:xVal>
          <c:yVal>
            <c:numRef>
              <c:f>'[3]Activité Béliers'!$M$2269:$M$2692</c:f>
              <c:numCache>
                <c:formatCode>General</c:formatCode>
                <c:ptCount val="424"/>
              </c:numCache>
            </c:numRef>
          </c:yVal>
          <c:smooth val="0"/>
        </c:ser>
        <c:axId val="32687960"/>
        <c:axId val="90932872"/>
      </c:scatterChart>
      <c:valAx>
        <c:axId val="32687960"/>
        <c:scaling>
          <c:orientation val="minMax"/>
          <c:min val="45055"/>
        </c:scaling>
        <c:delete val="0"/>
        <c:axPos val="b"/>
        <c:numFmt formatCode="d/m;@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4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0932872"/>
        <c:crosses val="autoZero"/>
        <c:crossBetween val="midCat"/>
      </c:valAx>
      <c:valAx>
        <c:axId val="90932872"/>
        <c:scaling>
          <c:orientation val="minMax"/>
          <c:max val="70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fr-FR" sz="16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0" lang="fr-FR" sz="1600" spc="-1" strike="noStrike">
                    <a:solidFill>
                      <a:srgbClr val="000000"/>
                    </a:solidFill>
                    <a:latin typeface="Calibri"/>
                  </a:rPr>
                  <a:t>Nb lectures cumulées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4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687960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91516642083838"/>
          <c:y val="0.396225518382482"/>
          <c:w val="0.096082173087378"/>
          <c:h val="0.455419302095435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20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fr-FR" sz="2000" spc="-1" strike="noStrike">
                <a:solidFill>
                  <a:srgbClr val="000000"/>
                </a:solidFill>
                <a:latin typeface="Calibri"/>
              </a:rPr>
              <a:t>Activité des béliers pendant la lutte par lot (La Cazotte 2023)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87081645705"/>
          <c:y val="0.119671403197158"/>
          <c:w val="0.866723513110211"/>
          <c:h val="0.7901865008881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'[1]Lutte Lots'!$I$2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'[1]Lutte Lots'!$J$2:$J$581</c:f>
              <c:numCache>
                <c:formatCode>General</c:formatCode>
                <c:ptCount val="580"/>
              </c:numCache>
            </c:numRef>
          </c:xVal>
          <c:yVal>
            <c:numRef>
              <c:f>'[1]Lutte Lots'!$M$2:$M$581</c:f>
              <c:numCache>
                <c:formatCode>General</c:formatCode>
                <c:ptCount val="580"/>
              </c:numCache>
            </c:numRef>
          </c:yVal>
          <c:smooth val="0"/>
        </c:ser>
        <c:ser>
          <c:idx val="1"/>
          <c:order val="1"/>
          <c:tx>
            <c:strRef>
              <c:f>'[1]Lutte Lots'!$I$582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'[1]Lutte Lots'!$J$582:$J$1172</c:f>
              <c:numCache>
                <c:formatCode>General</c:formatCode>
                <c:ptCount val="591"/>
              </c:numCache>
            </c:numRef>
          </c:xVal>
          <c:yVal>
            <c:numRef>
              <c:f>'[1]Lutte Lots'!$M$582:$M$1172</c:f>
              <c:numCache>
                <c:formatCode>General</c:formatCode>
                <c:ptCount val="591"/>
              </c:numCache>
            </c:numRef>
          </c:yVal>
          <c:smooth val="0"/>
        </c:ser>
        <c:axId val="28955753"/>
        <c:axId val="43835617"/>
      </c:scatterChart>
      <c:valAx>
        <c:axId val="28955753"/>
        <c:scaling>
          <c:orientation val="minMax"/>
          <c:max val="45092"/>
          <c:min val="45067"/>
        </c:scaling>
        <c:delete val="0"/>
        <c:axPos val="b"/>
        <c:numFmt formatCode="d/m;@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6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3835617"/>
        <c:crosses val="autoZero"/>
        <c:crossBetween val="midCat"/>
        <c:majorUnit val="2"/>
      </c:valAx>
      <c:valAx>
        <c:axId val="43835617"/>
        <c:scaling>
          <c:orientation val="minMax"/>
          <c:max val="140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fr-FR" sz="18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0" lang="fr-FR" sz="1800" spc="-1" strike="noStrike">
                    <a:solidFill>
                      <a:srgbClr val="000000"/>
                    </a:solidFill>
                    <a:latin typeface="Calibri"/>
                  </a:rPr>
                  <a:t>Nb lectures cumulées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4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55753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103491083768903"/>
          <c:y val="0.123001485279456"/>
          <c:w val="0.10843089914223"/>
          <c:h val="0.113854825523859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20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fr-FR" sz="2000" spc="-1" strike="noStrike">
                <a:solidFill>
                  <a:srgbClr val="000000"/>
                </a:solidFill>
                <a:latin typeface="Calibri"/>
              </a:rPr>
              <a:t>Activité des béliers pendant l'effet mâle par lot (La Cazotte 2023)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86372441674"/>
          <c:y val="0.119614386355209"/>
          <c:w val="0.866756506358966"/>
          <c:h val="0.790211345939933"/>
        </c:manualLayout>
      </c:layout>
      <c:scatterChart>
        <c:scatterStyle val="lineMarker"/>
        <c:varyColors val="0"/>
        <c:ser>
          <c:idx val="0"/>
          <c:order val="0"/>
          <c:tx>
            <c:strRef>
              <c:f>'[2]EM Lots'!$I$2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Lots'!$J$2:$J$1233</c:f>
              <c:numCache>
                <c:formatCode>General</c:formatCode>
                <c:ptCount val="1232"/>
              </c:numCache>
            </c:numRef>
          </c:xVal>
          <c:yVal>
            <c:numRef>
              <c:f>'[2]EM Lots'!$M$2:$M$1233</c:f>
              <c:numCache>
                <c:formatCode>General</c:formatCode>
                <c:ptCount val="1232"/>
              </c:numCache>
            </c:numRef>
          </c:yVal>
          <c:smooth val="0"/>
        </c:ser>
        <c:ser>
          <c:idx val="1"/>
          <c:order val="1"/>
          <c:tx>
            <c:strRef>
              <c:f>'[2]EM Lots'!$L$1234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Lots'!$J$1234:$J$1521</c:f>
              <c:numCache>
                <c:formatCode>General</c:formatCode>
                <c:ptCount val="288"/>
              </c:numCache>
            </c:numRef>
          </c:xVal>
          <c:yVal>
            <c:numRef>
              <c:f>'[2]EM Lots'!$M$1234:$M$1521</c:f>
              <c:numCache>
                <c:formatCode>General</c:formatCode>
                <c:ptCount val="288"/>
              </c:numCache>
            </c:numRef>
          </c:yVal>
          <c:smooth val="0"/>
        </c:ser>
        <c:axId val="34578688"/>
        <c:axId val="13524585"/>
      </c:scatterChart>
      <c:valAx>
        <c:axId val="34578688"/>
        <c:scaling>
          <c:orientation val="minMax"/>
          <c:max val="45067"/>
          <c:min val="45055"/>
        </c:scaling>
        <c:delete val="0"/>
        <c:axPos val="b"/>
        <c:numFmt formatCode="d/m;@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6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3524585"/>
        <c:crosses val="autoZero"/>
        <c:crossBetween val="midCat"/>
      </c:valAx>
      <c:valAx>
        <c:axId val="1352458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fr-FR" sz="18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0" lang="fr-FR" sz="1800" spc="-1" strike="noStrike">
                    <a:solidFill>
                      <a:srgbClr val="000000"/>
                    </a:solidFill>
                    <a:latin typeface="Calibri"/>
                  </a:rPr>
                  <a:t>Nb lectures cumulées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4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578688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103491083768903"/>
          <c:y val="0.123001485279456"/>
          <c:w val="0.105617833362596"/>
          <c:h val="0.118444322366681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20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fr-FR" sz="2000" spc="-1" strike="noStrike">
                <a:solidFill>
                  <a:srgbClr val="000000"/>
                </a:solidFill>
                <a:latin typeface="Calibri"/>
              </a:rPr>
              <a:t>Activité des béliers par lot (La Cazotte 2023)</a:t>
            </a:r>
          </a:p>
        </c:rich>
      </c:tx>
      <c:layout>
        <c:manualLayout>
          <c:xMode val="edge"/>
          <c:yMode val="edge"/>
          <c:x val="0.24025098964036"/>
          <c:y val="0.044271412680756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86372441674"/>
          <c:y val="0.119614386355209"/>
          <c:w val="0.866756506358966"/>
          <c:h val="0.790211345939933"/>
        </c:manualLayout>
      </c:layout>
      <c:scatterChart>
        <c:scatterStyle val="lineMarker"/>
        <c:varyColors val="0"/>
        <c:ser>
          <c:idx val="0"/>
          <c:order val="0"/>
          <c:tx>
            <c:strRef>
              <c:f>'[3]Activité par Lots'!$I$2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circle"/>
            <c:size val="7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'[3]Activité par Lots'!$J$2:$J$1813</c:f>
              <c:numCache>
                <c:formatCode>General</c:formatCode>
                <c:ptCount val="1812"/>
              </c:numCache>
            </c:numRef>
          </c:xVal>
          <c:yVal>
            <c:numRef>
              <c:f>'[3]Activité par Lots'!$M$2:$M$1813</c:f>
              <c:numCache>
                <c:formatCode>General</c:formatCode>
                <c:ptCount val="1812"/>
              </c:numCache>
            </c:numRef>
          </c:yVal>
          <c:smooth val="0"/>
        </c:ser>
        <c:ser>
          <c:idx val="1"/>
          <c:order val="1"/>
          <c:tx>
            <c:strRef>
              <c:f>'[3]Activité par Lots'!$L$1814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9000"/>
            </a:solidFill>
            <a:ln w="19080">
              <a:solidFill>
                <a:srgbClr val="bf9000"/>
              </a:solidFill>
              <a:round/>
            </a:ln>
          </c:spPr>
          <c:marker>
            <c:symbol val="triangle"/>
            <c:size val="7"/>
            <c:spPr>
              <a:solidFill>
                <a:srgbClr val="bf9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'[3]Activité par Lots'!$J$1814:$J$2692</c:f>
              <c:numCache>
                <c:formatCode>General</c:formatCode>
                <c:ptCount val="879"/>
              </c:numCache>
            </c:numRef>
          </c:xVal>
          <c:yVal>
            <c:numRef>
              <c:f>'[3]Activité par Lots'!$M$1814:$M$2692</c:f>
              <c:numCache>
                <c:formatCode>General</c:formatCode>
                <c:ptCount val="879"/>
              </c:numCache>
            </c:numRef>
          </c:yVal>
          <c:smooth val="0"/>
        </c:ser>
        <c:axId val="28434297"/>
        <c:axId val="81304986"/>
      </c:scatterChart>
      <c:valAx>
        <c:axId val="28434297"/>
        <c:scaling>
          <c:orientation val="minMax"/>
          <c:min val="45055"/>
        </c:scaling>
        <c:delete val="0"/>
        <c:axPos val="b"/>
        <c:numFmt formatCode="d/m;@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4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1304986"/>
        <c:crosses val="autoZero"/>
        <c:crossBetween val="midCat"/>
      </c:valAx>
      <c:valAx>
        <c:axId val="8130498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fr-FR" sz="16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0" lang="fr-FR" sz="1600" spc="-1" strike="noStrike">
                    <a:solidFill>
                      <a:srgbClr val="000000"/>
                    </a:solidFill>
                    <a:latin typeface="Calibri"/>
                  </a:rPr>
                  <a:t>Nb lectures cumulées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434297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53770511680318"/>
          <c:y val="0.786398982735854"/>
          <c:w val="0.105617833362596"/>
          <c:h val="0.118444322366681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fr-FR" sz="1800" spc="-1" strike="noStrike">
                <a:solidFill>
                  <a:srgbClr val="000000"/>
                </a:solidFill>
                <a:latin typeface="Calibri"/>
              </a:rPr>
              <a:t>Brebis chevauchées (La Cazotte 2023) </a:t>
            </a:r>
          </a:p>
        </c:rich>
      </c:tx>
      <c:layout>
        <c:manualLayout>
          <c:xMode val="edge"/>
          <c:yMode val="edge"/>
          <c:x val="0.334120498399776"/>
          <c:y val="0.0097029612339237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84780784886431"/>
          <c:y val="0.0611469632477459"/>
          <c:w val="0.877419755771681"/>
          <c:h val="0.8232871069614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'[3]Chaleurs Brebis Points Rouges'!$G$2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Rouges'!$J$2:$J$3</c:f>
              <c:numCache>
                <c:formatCode>General</c:formatCode>
                <c:ptCount val="2"/>
              </c:numCache>
            </c:numRef>
          </c:xVal>
          <c:yVal>
            <c:numRef>
              <c:f>'[3]Chaleurs Brebis Points Rouges'!$M$2:$M$3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1"/>
          <c:order val="1"/>
          <c:tx>
            <c:strRef>
              <c:f>'[3]Chaleurs Brebis Points Rouges'!$G$4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Rouges'!$J$4:$J$29</c:f>
              <c:numCache>
                <c:formatCode>General</c:formatCode>
                <c:ptCount val="26"/>
              </c:numCache>
            </c:numRef>
          </c:xVal>
          <c:yVal>
            <c:numRef>
              <c:f>'[3]Chaleurs Brebis Points Rouges'!$M$4:$M$29</c:f>
              <c:numCache>
                <c:formatCode>General</c:formatCode>
                <c:ptCount val="26"/>
              </c:numCache>
            </c:numRef>
          </c:yVal>
          <c:smooth val="0"/>
        </c:ser>
        <c:ser>
          <c:idx val="2"/>
          <c:order val="2"/>
          <c:tx>
            <c:strRef>
              <c:f>'[3]Chaleurs Brebis Points Rouges'!$G$30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Rouges'!$J$30:$J$115</c:f>
              <c:numCache>
                <c:formatCode>General</c:formatCode>
                <c:ptCount val="86"/>
              </c:numCache>
            </c:numRef>
          </c:xVal>
          <c:yVal>
            <c:numRef>
              <c:f>'[3]Chaleurs Brebis Points Rouges'!$M$30:$M$115</c:f>
              <c:numCache>
                <c:formatCode>General</c:formatCode>
                <c:ptCount val="86"/>
              </c:numCache>
            </c:numRef>
          </c:yVal>
          <c:smooth val="0"/>
        </c:ser>
        <c:ser>
          <c:idx val="3"/>
          <c:order val="3"/>
          <c:tx>
            <c:strRef>
              <c:f>'[3]Chaleurs Brebis Points Rouges'!$G$116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Rouges'!$J$116:$J$140</c:f>
              <c:numCache>
                <c:formatCode>General</c:formatCode>
                <c:ptCount val="25"/>
              </c:numCache>
            </c:numRef>
          </c:xVal>
          <c:yVal>
            <c:numRef>
              <c:f>'[3]Chaleurs Brebis Points Rouges'!$M$116:$M$140</c:f>
              <c:numCache>
                <c:formatCode>General</c:formatCode>
                <c:ptCount val="25"/>
              </c:numCache>
            </c:numRef>
          </c:yVal>
          <c:smooth val="0"/>
        </c:ser>
        <c:ser>
          <c:idx val="4"/>
          <c:order val="4"/>
          <c:tx>
            <c:strRef>
              <c:f>'[3]Chaleurs Brebis Points Rouges'!$G$141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Rouges'!$J$141:$J$143</c:f>
              <c:numCache>
                <c:formatCode>General</c:formatCode>
                <c:ptCount val="3"/>
              </c:numCache>
            </c:numRef>
          </c:xVal>
          <c:yVal>
            <c:numRef>
              <c:f>'[3]Chaleurs Brebis Points Rouges'!$M$141:$M$143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5"/>
          <c:order val="5"/>
          <c:tx>
            <c:strRef>
              <c:f>'[3]Chaleurs Brebis Points Rouges'!$G$144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Rouges'!$J$144:$J$151</c:f>
              <c:numCache>
                <c:formatCode>General</c:formatCode>
                <c:ptCount val="8"/>
              </c:numCache>
            </c:numRef>
          </c:xVal>
          <c:yVal>
            <c:numRef>
              <c:f>'[3]Chaleurs Brebis Points Rouges'!$M$144:$M$151</c:f>
              <c:numCache>
                <c:formatCode>General</c:formatCode>
                <c:ptCount val="8"/>
              </c:numCache>
            </c:numRef>
          </c:yVal>
          <c:smooth val="0"/>
        </c:ser>
        <c:ser>
          <c:idx val="6"/>
          <c:order val="6"/>
          <c:tx>
            <c:strRef>
              <c:f>'[3]Chaleurs Brebis Points Rouges'!$G$152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Rouges'!$J$152:$J$231</c:f>
              <c:numCache>
                <c:formatCode>General</c:formatCode>
                <c:ptCount val="80"/>
              </c:numCache>
            </c:numRef>
          </c:xVal>
          <c:yVal>
            <c:numRef>
              <c:f>'[3]Chaleurs Brebis Points Rouges'!$M$152:$M$231</c:f>
              <c:numCache>
                <c:formatCode>General</c:formatCode>
                <c:ptCount val="80"/>
              </c:numCache>
            </c:numRef>
          </c:yVal>
          <c:smooth val="0"/>
        </c:ser>
        <c:ser>
          <c:idx val="7"/>
          <c:order val="7"/>
          <c:tx>
            <c:strRef>
              <c:f>'[3]Chaleurs Brebis Points Rouges'!$G$232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Rouges'!$J$232:$J$277</c:f>
              <c:numCache>
                <c:formatCode>General</c:formatCode>
                <c:ptCount val="46"/>
              </c:numCache>
            </c:numRef>
          </c:xVal>
          <c:yVal>
            <c:numRef>
              <c:f>'[3]Chaleurs Brebis Points Rouges'!$N$232:$N$277</c:f>
              <c:numCache>
                <c:formatCode>General</c:formatCode>
                <c:ptCount val="46"/>
              </c:numCache>
            </c:numRef>
          </c:yVal>
          <c:smooth val="0"/>
        </c:ser>
        <c:ser>
          <c:idx val="8"/>
          <c:order val="8"/>
          <c:tx>
            <c:strRef>
              <c:f>'[3]Chaleurs Brebis Points Rouges'!$G$278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Rouges'!$J$278:$J$421</c:f>
              <c:numCache>
                <c:formatCode>General</c:formatCode>
                <c:ptCount val="144"/>
              </c:numCache>
            </c:numRef>
          </c:xVal>
          <c:yVal>
            <c:numRef>
              <c:f>'[3]Chaleurs Brebis Points Rouges'!$M$278:$M$421</c:f>
              <c:numCache>
                <c:formatCode>General</c:formatCode>
                <c:ptCount val="144"/>
              </c:numCache>
            </c:numRef>
          </c:yVal>
          <c:smooth val="0"/>
        </c:ser>
        <c:ser>
          <c:idx val="9"/>
          <c:order val="9"/>
          <c:tx>
            <c:strRef>
              <c:f>'[3]Chaleurs Brebis Points Rouges'!$G$422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Rouges'!$J$422:$J$442</c:f>
              <c:numCache>
                <c:formatCode>General</c:formatCode>
                <c:ptCount val="21"/>
              </c:numCache>
            </c:numRef>
          </c:xVal>
          <c:yVal>
            <c:numRef>
              <c:f>'[3]Chaleurs Brebis Points Rouges'!$M$422:$M$442</c:f>
              <c:numCache>
                <c:formatCode>General</c:formatCode>
                <c:ptCount val="21"/>
              </c:numCache>
            </c:numRef>
          </c:yVal>
          <c:smooth val="0"/>
        </c:ser>
        <c:ser>
          <c:idx val="10"/>
          <c:order val="10"/>
          <c:tx>
            <c:strRef>
              <c:f>'[3]Chaleurs Brebis Points Rouges'!$G$443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Rouges'!$J$443:$J$462</c:f>
              <c:numCache>
                <c:formatCode>General</c:formatCode>
                <c:ptCount val="20"/>
              </c:numCache>
            </c:numRef>
          </c:xVal>
          <c:yVal>
            <c:numRef>
              <c:f>'[3]Chaleurs Brebis Points Rouges'!$M$443:$M$462</c:f>
              <c:numCache>
                <c:formatCode>General</c:formatCode>
                <c:ptCount val="20"/>
              </c:numCache>
            </c:numRef>
          </c:yVal>
          <c:smooth val="0"/>
        </c:ser>
        <c:ser>
          <c:idx val="11"/>
          <c:order val="11"/>
          <c:tx>
            <c:strRef>
              <c:f>'[3]Chaleurs Brebis Points Rouges'!$G$463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Rouges'!$J$463:$J$520</c:f>
              <c:numCache>
                <c:formatCode>General</c:formatCode>
                <c:ptCount val="58"/>
              </c:numCache>
            </c:numRef>
          </c:xVal>
          <c:yVal>
            <c:numRef>
              <c:f>'[3]Chaleurs Brebis Points Rouges'!$M$463:$M$520</c:f>
              <c:numCache>
                <c:formatCode>General</c:formatCode>
                <c:ptCount val="58"/>
              </c:numCache>
            </c:numRef>
          </c:yVal>
          <c:smooth val="0"/>
        </c:ser>
        <c:ser>
          <c:idx val="12"/>
          <c:order val="12"/>
          <c:tx>
            <c:strRef>
              <c:f>'[3]Chaleurs Brebis Points Rouges'!$G$521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Rouges'!$J$521:$J$563</c:f>
              <c:numCache>
                <c:formatCode>General</c:formatCode>
                <c:ptCount val="43"/>
              </c:numCache>
            </c:numRef>
          </c:xVal>
          <c:yVal>
            <c:numRef>
              <c:f>'[3]Chaleurs Brebis Points Rouges'!$M$521:$M$563</c:f>
              <c:numCache>
                <c:formatCode>General</c:formatCode>
                <c:ptCount val="43"/>
              </c:numCache>
            </c:numRef>
          </c:yVal>
          <c:smooth val="0"/>
        </c:ser>
        <c:ser>
          <c:idx val="13"/>
          <c:order val="13"/>
          <c:tx>
            <c:strRef>
              <c:f>'[3]Chaleurs Brebis Points Rouges'!$G$564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Rouges'!$J$564:$J$617</c:f>
              <c:numCache>
                <c:formatCode>General</c:formatCode>
                <c:ptCount val="54"/>
              </c:numCache>
            </c:numRef>
          </c:xVal>
          <c:yVal>
            <c:numRef>
              <c:f>'[3]Chaleurs Brebis Points Rouges'!$M$564:$M$617</c:f>
              <c:numCache>
                <c:formatCode>General</c:formatCode>
                <c:ptCount val="54"/>
              </c:numCache>
            </c:numRef>
          </c:yVal>
          <c:smooth val="0"/>
        </c:ser>
        <c:ser>
          <c:idx val="14"/>
          <c:order val="14"/>
          <c:tx>
            <c:strRef>
              <c:f>'[3]Chaleurs Brebis Points Rouges'!$G$618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Rouges'!$J$618:$J$749</c:f>
              <c:numCache>
                <c:formatCode>General</c:formatCode>
                <c:ptCount val="132"/>
              </c:numCache>
            </c:numRef>
          </c:xVal>
          <c:yVal>
            <c:numRef>
              <c:f>'[3]Chaleurs Brebis Points Rouges'!$M$618:$M$749</c:f>
              <c:numCache>
                <c:formatCode>General</c:formatCode>
                <c:ptCount val="132"/>
              </c:numCache>
            </c:numRef>
          </c:yVal>
          <c:smooth val="0"/>
        </c:ser>
        <c:ser>
          <c:idx val="15"/>
          <c:order val="15"/>
          <c:tx>
            <c:strRef>
              <c:f>'[3]Chaleurs Brebis Points Rouges'!$G$750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Rouges'!$J$750:$J$905</c:f>
              <c:numCache>
                <c:formatCode>General</c:formatCode>
                <c:ptCount val="156"/>
              </c:numCache>
            </c:numRef>
          </c:xVal>
          <c:yVal>
            <c:numRef>
              <c:f>'[3]Chaleurs Brebis Points Rouges'!$M$750:$M$905</c:f>
              <c:numCache>
                <c:formatCode>General</c:formatCode>
                <c:ptCount val="156"/>
              </c:numCache>
            </c:numRef>
          </c:yVal>
          <c:smooth val="0"/>
        </c:ser>
        <c:ser>
          <c:idx val="16"/>
          <c:order val="16"/>
          <c:tx>
            <c:strRef>
              <c:f>'[3]Chaleurs Brebis Points Rouges'!$G$906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c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Rouges'!$J$906:$J$933</c:f>
              <c:numCache>
                <c:formatCode>General</c:formatCode>
                <c:ptCount val="28"/>
              </c:numCache>
            </c:numRef>
          </c:xVal>
          <c:yVal>
            <c:numRef>
              <c:f>'[3]Chaleurs Brebis Points Rouges'!$M$906:$M$933</c:f>
              <c:numCache>
                <c:formatCode>General</c:formatCode>
                <c:ptCount val="28"/>
              </c:numCache>
            </c:numRef>
          </c:yVal>
          <c:smooth val="0"/>
        </c:ser>
        <c:ser>
          <c:idx val="17"/>
          <c:order val="17"/>
          <c:tx>
            <c:strRef>
              <c:f>'[3]Chaleurs Brebis Points Rouges'!$G$934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Rouges'!$J$934:$J$964</c:f>
              <c:numCache>
                <c:formatCode>General</c:formatCode>
                <c:ptCount val="31"/>
              </c:numCache>
            </c:numRef>
          </c:xVal>
          <c:yVal>
            <c:numRef>
              <c:f>'[3]Chaleurs Brebis Points Rouges'!$M$934:$M$964</c:f>
              <c:numCache>
                <c:formatCode>General</c:formatCode>
                <c:ptCount val="31"/>
              </c:numCache>
            </c:numRef>
          </c:yVal>
          <c:smooth val="0"/>
        </c:ser>
        <c:ser>
          <c:idx val="18"/>
          <c:order val="18"/>
          <c:tx>
            <c:strRef>
              <c:f>'[3]Chaleurs Brebis Points Rouges'!$G$965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Rouges'!$J$965:$J$989</c:f>
              <c:numCache>
                <c:formatCode>General</c:formatCode>
                <c:ptCount val="25"/>
              </c:numCache>
            </c:numRef>
          </c:xVal>
          <c:yVal>
            <c:numRef>
              <c:f>'[3]Chaleurs Brebis Points Rouges'!$M$965:$M$989</c:f>
              <c:numCache>
                <c:formatCode>General</c:formatCode>
                <c:ptCount val="25"/>
              </c:numCache>
            </c:numRef>
          </c:yVal>
          <c:smooth val="0"/>
        </c:ser>
        <c:ser>
          <c:idx val="19"/>
          <c:order val="19"/>
          <c:tx>
            <c:strRef>
              <c:f>'[3]Chaleurs Brebis Points Rouges'!$G$990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Rouges'!$J$990:$J$994</c:f>
              <c:numCache>
                <c:formatCode>General</c:formatCode>
                <c:ptCount val="5"/>
              </c:numCache>
            </c:numRef>
          </c:xVal>
          <c:yVal>
            <c:numRef>
              <c:f>'[3]Chaleurs Brebis Points Rouges'!$M$990:$M$994</c:f>
              <c:numCache>
                <c:formatCode>General</c:formatCode>
                <c:ptCount val="5"/>
              </c:numCache>
            </c:numRef>
          </c:yVal>
          <c:smooth val="0"/>
        </c:ser>
        <c:ser>
          <c:idx val="20"/>
          <c:order val="20"/>
          <c:tx>
            <c:strRef>
              <c:f>'[3]Chaleurs Brebis Points Rouges'!$G$995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Rouges'!$J$995:$J$1012</c:f>
              <c:numCache>
                <c:formatCode>General</c:formatCode>
                <c:ptCount val="18"/>
              </c:numCache>
            </c:numRef>
          </c:xVal>
          <c:yVal>
            <c:numRef>
              <c:f>'[3]Chaleurs Brebis Points Rouges'!$M$995:$M$1012</c:f>
              <c:numCache>
                <c:formatCode>General</c:formatCode>
                <c:ptCount val="18"/>
              </c:numCache>
            </c:numRef>
          </c:yVal>
          <c:smooth val="0"/>
        </c:ser>
        <c:ser>
          <c:idx val="21"/>
          <c:order val="21"/>
          <c:tx>
            <c:strRef>
              <c:f>'[3]Chaleurs Brebis Points Rouges'!$G$1013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Rouges'!$J$1013:$J$1039</c:f>
              <c:numCache>
                <c:formatCode>General</c:formatCode>
                <c:ptCount val="27"/>
              </c:numCache>
            </c:numRef>
          </c:xVal>
          <c:yVal>
            <c:numRef>
              <c:f>'[3]Chaleurs Brebis Points Rouges'!$M$1013:$M$1039</c:f>
              <c:numCache>
                <c:formatCode>General</c:formatCode>
                <c:ptCount val="27"/>
              </c:numCache>
            </c:numRef>
          </c:yVal>
          <c:smooth val="0"/>
        </c:ser>
        <c:ser>
          <c:idx val="22"/>
          <c:order val="22"/>
          <c:tx>
            <c:strRef>
              <c:f>'[3]Chaleurs Brebis Points Rouges'!$G$1040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Rouges'!$J$1040:$J$1102</c:f>
              <c:numCache>
                <c:formatCode>General</c:formatCode>
                <c:ptCount val="63"/>
              </c:numCache>
            </c:numRef>
          </c:xVal>
          <c:yVal>
            <c:numRef>
              <c:f>'[3]Chaleurs Brebis Points Rouges'!$M$1040:$M$1102</c:f>
              <c:numCache>
                <c:formatCode>General</c:formatCode>
                <c:ptCount val="63"/>
              </c:numCache>
            </c:numRef>
          </c:yVal>
          <c:smooth val="0"/>
        </c:ser>
        <c:ser>
          <c:idx val="23"/>
          <c:order val="23"/>
          <c:tx>
            <c:strRef>
              <c:f>'[3]Chaleurs Brebis Points Rouges'!$G$1103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Rouges'!$J$1103:$J$1133</c:f>
              <c:numCache>
                <c:formatCode>General</c:formatCode>
                <c:ptCount val="31"/>
              </c:numCache>
            </c:numRef>
          </c:xVal>
          <c:yVal>
            <c:numRef>
              <c:f>'[3]Chaleurs Brebis Points Rouges'!$M$1103:$M$1133</c:f>
              <c:numCache>
                <c:formatCode>General</c:formatCode>
                <c:ptCount val="31"/>
              </c:numCache>
            </c:numRef>
          </c:yVal>
          <c:smooth val="0"/>
        </c:ser>
        <c:ser>
          <c:idx val="24"/>
          <c:order val="24"/>
          <c:tx>
            <c:strRef>
              <c:f>'[3]Chaleurs Brebis Points Rouges'!$G$1134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Rouges'!$J$1134:$J$1148</c:f>
              <c:numCache>
                <c:formatCode>General</c:formatCode>
                <c:ptCount val="15"/>
              </c:numCache>
            </c:numRef>
          </c:xVal>
          <c:yVal>
            <c:numRef>
              <c:f>'[3]Chaleurs Brebis Points Rouges'!$M$1134:$M$1148</c:f>
              <c:numCache>
                <c:formatCode>General</c:formatCode>
                <c:ptCount val="15"/>
              </c:numCache>
            </c:numRef>
          </c:yVal>
          <c:smooth val="0"/>
        </c:ser>
        <c:ser>
          <c:idx val="25"/>
          <c:order val="25"/>
          <c:tx>
            <c:strRef>
              <c:f>'[3]Chaleurs Brebis Points Rouges'!$G$1149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Rouges'!$J$1149:$J$1181</c:f>
              <c:numCache>
                <c:formatCode>General</c:formatCode>
                <c:ptCount val="33"/>
              </c:numCache>
            </c:numRef>
          </c:xVal>
          <c:yVal>
            <c:numRef>
              <c:f>'[3]Chaleurs Brebis Points Rouges'!$M$1149:$M$1181</c:f>
              <c:numCache>
                <c:formatCode>General</c:formatCode>
                <c:ptCount val="33"/>
              </c:numCache>
            </c:numRef>
          </c:yVal>
          <c:smooth val="0"/>
        </c:ser>
        <c:ser>
          <c:idx val="26"/>
          <c:order val="26"/>
          <c:tx>
            <c:strRef>
              <c:f>'[3]Chaleurs Brebis Points Rouges'!$G$1182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Rouges'!$J$1182:$J$1189</c:f>
              <c:numCache>
                <c:formatCode>General</c:formatCode>
                <c:ptCount val="8"/>
              </c:numCache>
            </c:numRef>
          </c:xVal>
          <c:yVal>
            <c:numRef>
              <c:f>'[3]Chaleurs Brebis Points Rouges'!$M$1182:$M$1189</c:f>
              <c:numCache>
                <c:formatCode>General</c:formatCode>
                <c:ptCount val="8"/>
              </c:numCache>
            </c:numRef>
          </c:yVal>
          <c:smooth val="0"/>
        </c:ser>
        <c:ser>
          <c:idx val="27"/>
          <c:order val="27"/>
          <c:tx>
            <c:strRef>
              <c:f>'[3]Chaleurs Brebis Points Rouges'!$G$1190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Rouges'!$J$1190:$J$1231</c:f>
              <c:numCache>
                <c:formatCode>General</c:formatCode>
                <c:ptCount val="42"/>
              </c:numCache>
            </c:numRef>
          </c:xVal>
          <c:yVal>
            <c:numRef>
              <c:f>'[3]Chaleurs Brebis Points Rouges'!$M$1190:$M$1231</c:f>
              <c:numCache>
                <c:formatCode>General</c:formatCode>
                <c:ptCount val="42"/>
              </c:numCache>
            </c:numRef>
          </c:yVal>
          <c:smooth val="0"/>
        </c:ser>
        <c:ser>
          <c:idx val="28"/>
          <c:order val="28"/>
          <c:tx>
            <c:strRef>
              <c:f>'[3]Chaleurs Brebis Points Rouges'!$G$1232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Rouges'!$J$1232:$J$1270</c:f>
              <c:numCache>
                <c:formatCode>General</c:formatCode>
                <c:ptCount val="39"/>
              </c:numCache>
            </c:numRef>
          </c:xVal>
          <c:yVal>
            <c:numRef>
              <c:f>'[3]Chaleurs Brebis Points Rouges'!$M$1232:$M$1270</c:f>
              <c:numCache>
                <c:formatCode>General</c:formatCode>
                <c:ptCount val="39"/>
              </c:numCache>
            </c:numRef>
          </c:yVal>
          <c:smooth val="0"/>
        </c:ser>
        <c:ser>
          <c:idx val="29"/>
          <c:order val="29"/>
          <c:tx>
            <c:strRef>
              <c:f>'[3]Chaleurs Brebis Points Rouges'!$G$1271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Rouges'!$J$1271:$J$1303</c:f>
              <c:numCache>
                <c:formatCode>General</c:formatCode>
                <c:ptCount val="33"/>
              </c:numCache>
            </c:numRef>
          </c:xVal>
          <c:yVal>
            <c:numRef>
              <c:f>'[3]Chaleurs Brebis Points Rouges'!$M$1271:$M$1303</c:f>
              <c:numCache>
                <c:formatCode>General</c:formatCode>
                <c:ptCount val="33"/>
              </c:numCache>
            </c:numRef>
          </c:yVal>
          <c:smooth val="0"/>
        </c:ser>
        <c:ser>
          <c:idx val="30"/>
          <c:order val="30"/>
          <c:tx>
            <c:strRef>
              <c:f>'[3]Chaleurs Brebis Points Rouges'!$G$1304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Rouges'!$J$1304:$J$1330</c:f>
              <c:numCache>
                <c:formatCode>General</c:formatCode>
                <c:ptCount val="27"/>
              </c:numCache>
            </c:numRef>
          </c:xVal>
          <c:yVal>
            <c:numRef>
              <c:f>'[3]Chaleurs Brebis Points Rouges'!$M$1304:$M$1330</c:f>
              <c:numCache>
                <c:formatCode>General</c:formatCode>
                <c:ptCount val="27"/>
              </c:numCache>
            </c:numRef>
          </c:yVal>
          <c:smooth val="0"/>
        </c:ser>
        <c:ser>
          <c:idx val="31"/>
          <c:order val="31"/>
          <c:tx>
            <c:strRef>
              <c:f>'[3]Chaleurs Brebis Points Rouges'!$G$1331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Rouges'!$J$1331:$J$1359</c:f>
              <c:numCache>
                <c:formatCode>General</c:formatCode>
                <c:ptCount val="29"/>
              </c:numCache>
            </c:numRef>
          </c:xVal>
          <c:yVal>
            <c:numRef>
              <c:f>'[3]Chaleurs Brebis Points Rouges'!$M$1331:$M$1359</c:f>
              <c:numCache>
                <c:formatCode>General</c:formatCode>
                <c:ptCount val="29"/>
              </c:numCache>
            </c:numRef>
          </c:yVal>
          <c:smooth val="0"/>
        </c:ser>
        <c:ser>
          <c:idx val="32"/>
          <c:order val="32"/>
          <c:tx>
            <c:strRef>
              <c:f>'[3]Chaleurs Brebis Points Rouges'!$G$1360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Rouges'!$J$1360</c:f>
              <c:numCache>
                <c:formatCode>General</c:formatCode>
                <c:ptCount val="1"/>
              </c:numCache>
            </c:numRef>
          </c:xVal>
          <c:yVal>
            <c:numRef>
              <c:f>'[3]Chaleurs Brebis Points Rouges'!$M$1360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33"/>
          <c:order val="33"/>
          <c:tx>
            <c:strRef>
              <c:f>'[3]Chaleurs Brebis Points Rouges'!$G$1361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Rouges'!$J$1361:$J$1396</c:f>
              <c:numCache>
                <c:formatCode>General</c:formatCode>
                <c:ptCount val="36"/>
              </c:numCache>
            </c:numRef>
          </c:xVal>
          <c:yVal>
            <c:numRef>
              <c:f>'[3]Chaleurs Brebis Points Rouges'!$M$1361:$M$1396</c:f>
              <c:numCache>
                <c:formatCode>General</c:formatCode>
                <c:ptCount val="36"/>
              </c:numCache>
            </c:numRef>
          </c:yVal>
          <c:smooth val="0"/>
        </c:ser>
        <c:ser>
          <c:idx val="34"/>
          <c:order val="34"/>
          <c:tx>
            <c:strRef>
              <c:f>'[3]Chaleurs Brebis Points Rouges'!$G$1397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Rouges'!$J$1397:$J$1450</c:f>
              <c:numCache>
                <c:formatCode>General</c:formatCode>
                <c:ptCount val="54"/>
              </c:numCache>
            </c:numRef>
          </c:xVal>
          <c:yVal>
            <c:numRef>
              <c:f>'[3]Chaleurs Brebis Points Rouges'!$M$1397:$M$1450</c:f>
              <c:numCache>
                <c:formatCode>General</c:formatCode>
                <c:ptCount val="54"/>
              </c:numCache>
            </c:numRef>
          </c:yVal>
          <c:smooth val="0"/>
        </c:ser>
        <c:ser>
          <c:idx val="35"/>
          <c:order val="35"/>
          <c:tx>
            <c:strRef>
              <c:f>'[3]Chaleurs Brebis Points Rouges'!$G$1451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Rouges'!$J$1451:$J$1466</c:f>
              <c:numCache>
                <c:formatCode>General</c:formatCode>
                <c:ptCount val="16"/>
              </c:numCache>
            </c:numRef>
          </c:xVal>
          <c:yVal>
            <c:numRef>
              <c:f>'[3]Chaleurs Brebis Points Rouges'!$M$1451:$M$1466</c:f>
              <c:numCache>
                <c:formatCode>General</c:formatCode>
                <c:ptCount val="16"/>
              </c:numCache>
            </c:numRef>
          </c:yVal>
          <c:smooth val="0"/>
        </c:ser>
        <c:ser>
          <c:idx val="36"/>
          <c:order val="36"/>
          <c:tx>
            <c:strRef>
              <c:f>'[3]Chaleurs Brebis Points Rouges'!$G$1467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Rouges'!$J$1467:$J$1527</c:f>
              <c:numCache>
                <c:formatCode>General</c:formatCode>
                <c:ptCount val="61"/>
              </c:numCache>
            </c:numRef>
          </c:xVal>
          <c:yVal>
            <c:numRef>
              <c:f>'[3]Chaleurs Brebis Points Rouges'!$M$1467:$M$1527</c:f>
              <c:numCache>
                <c:formatCode>General</c:formatCode>
                <c:ptCount val="61"/>
              </c:numCache>
            </c:numRef>
          </c:yVal>
          <c:smooth val="0"/>
        </c:ser>
        <c:ser>
          <c:idx val="37"/>
          <c:order val="37"/>
          <c:tx>
            <c:strRef>
              <c:f>'[3]Chaleurs Brebis Points Rouges'!$G$1528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Rouges'!$J$1528:$J$1550</c:f>
              <c:numCache>
                <c:formatCode>General</c:formatCode>
                <c:ptCount val="23"/>
              </c:numCache>
            </c:numRef>
          </c:xVal>
          <c:yVal>
            <c:numRef>
              <c:f>'[3]Chaleurs Brebis Points Rouges'!$M$1528:$M$1550</c:f>
              <c:numCache>
                <c:formatCode>General</c:formatCode>
                <c:ptCount val="23"/>
              </c:numCache>
            </c:numRef>
          </c:yVal>
          <c:smooth val="0"/>
        </c:ser>
        <c:ser>
          <c:idx val="38"/>
          <c:order val="38"/>
          <c:tx>
            <c:strRef>
              <c:f>'[3]Chaleurs Brebis Points Rouges'!$G$1551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Rouges'!$J$1551:$J$1593</c:f>
              <c:numCache>
                <c:formatCode>General</c:formatCode>
                <c:ptCount val="43"/>
              </c:numCache>
            </c:numRef>
          </c:xVal>
          <c:yVal>
            <c:numRef>
              <c:f>'[3]Chaleurs Brebis Points Rouges'!$M$1551:$M$1593</c:f>
              <c:numCache>
                <c:formatCode>General</c:formatCode>
                <c:ptCount val="43"/>
              </c:numCache>
            </c:numRef>
          </c:yVal>
          <c:smooth val="0"/>
        </c:ser>
        <c:ser>
          <c:idx val="39"/>
          <c:order val="39"/>
          <c:tx>
            <c:strRef>
              <c:f>'[3]Chaleurs Brebis Points Rouges'!$G$1594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Rouges'!$J$1594:$J$1628</c:f>
              <c:numCache>
                <c:formatCode>General</c:formatCode>
                <c:ptCount val="35"/>
              </c:numCache>
            </c:numRef>
          </c:xVal>
          <c:yVal>
            <c:numRef>
              <c:f>'[3]Chaleurs Brebis Points Rouges'!$M$1594:$M$1628</c:f>
              <c:numCache>
                <c:formatCode>General</c:formatCode>
                <c:ptCount val="35"/>
              </c:numCache>
            </c:numRef>
          </c:yVal>
          <c:smooth val="0"/>
        </c:ser>
        <c:ser>
          <c:idx val="40"/>
          <c:order val="40"/>
          <c:tx>
            <c:strRef>
              <c:f>'[3]Chaleurs Brebis Points Rouges'!$G$1629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Rouges'!$J$1629:$J$1634</c:f>
              <c:numCache>
                <c:formatCode>General</c:formatCode>
                <c:ptCount val="6"/>
              </c:numCache>
            </c:numRef>
          </c:xVal>
          <c:yVal>
            <c:numRef>
              <c:f>'[3]Chaleurs Brebis Points Rouges'!$M$1629:$M$1634</c:f>
              <c:numCache>
                <c:formatCode>General</c:formatCode>
                <c:ptCount val="6"/>
              </c:numCache>
            </c:numRef>
          </c:yVal>
          <c:smooth val="0"/>
        </c:ser>
        <c:ser>
          <c:idx val="41"/>
          <c:order val="41"/>
          <c:tx>
            <c:strRef>
              <c:f>'[3]Chaleurs Brebis Points Rouges'!$G$1635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Rouges'!$J$1635:$J$1662</c:f>
              <c:numCache>
                <c:formatCode>General</c:formatCode>
                <c:ptCount val="28"/>
              </c:numCache>
            </c:numRef>
          </c:xVal>
          <c:yVal>
            <c:numRef>
              <c:f>'[3]Chaleurs Brebis Points Rouges'!$M$1635:$M$1662</c:f>
              <c:numCache>
                <c:formatCode>General</c:formatCode>
                <c:ptCount val="28"/>
              </c:numCache>
            </c:numRef>
          </c:yVal>
          <c:smooth val="0"/>
        </c:ser>
        <c:ser>
          <c:idx val="42"/>
          <c:order val="42"/>
          <c:tx>
            <c:strRef>
              <c:f>'[3]Chaleurs Brebis Points Rouges'!$G$1663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Rouges'!$J$1663:$J$1666</c:f>
              <c:numCache>
                <c:formatCode>General</c:formatCode>
                <c:ptCount val="4"/>
              </c:numCache>
            </c:numRef>
          </c:xVal>
          <c:yVal>
            <c:numRef>
              <c:f>'[3]Chaleurs Brebis Points Rouges'!$M$1663:$M$1666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43"/>
          <c:order val="43"/>
          <c:tx>
            <c:strRef>
              <c:f>'[3]Chaleurs Brebis Points Rouges'!$G$1667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Rouges'!$J$1667:$J$1677</c:f>
              <c:numCache>
                <c:formatCode>General</c:formatCode>
                <c:ptCount val="11"/>
              </c:numCache>
            </c:numRef>
          </c:xVal>
          <c:yVal>
            <c:numRef>
              <c:f>'[3]Chaleurs Brebis Points Rouges'!$M$1667:$M$1677</c:f>
              <c:numCache>
                <c:formatCode>General</c:formatCode>
                <c:ptCount val="11"/>
              </c:numCache>
            </c:numRef>
          </c:yVal>
          <c:smooth val="0"/>
        </c:ser>
        <c:ser>
          <c:idx val="44"/>
          <c:order val="44"/>
          <c:tx>
            <c:strRef>
              <c:f>'[3]Chaleurs Brebis Points Rouges'!$G$1678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Rouges'!$J$1678:$J$1687</c:f>
              <c:numCache>
                <c:formatCode>General</c:formatCode>
                <c:ptCount val="10"/>
              </c:numCache>
            </c:numRef>
          </c:xVal>
          <c:yVal>
            <c:numRef>
              <c:f>'[3]Chaleurs Brebis Points Rouges'!$M$1678:$M$1687</c:f>
              <c:numCache>
                <c:formatCode>General</c:formatCode>
                <c:ptCount val="10"/>
              </c:numCache>
            </c:numRef>
          </c:yVal>
          <c:smooth val="0"/>
        </c:ser>
        <c:ser>
          <c:idx val="45"/>
          <c:order val="45"/>
          <c:tx>
            <c:strRef>
              <c:f>'[3]Chaleurs Brebis Points Rouges'!$G$1688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Rouges'!$J$1688:$J$1689</c:f>
              <c:numCache>
                <c:formatCode>General</c:formatCode>
                <c:ptCount val="2"/>
              </c:numCache>
            </c:numRef>
          </c:xVal>
          <c:yVal>
            <c:numRef>
              <c:f>'[3]Chaleurs Brebis Points Rouges'!$M$1688:$M$1689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46"/>
          <c:order val="46"/>
          <c:tx>
            <c:strRef>
              <c:f>'[3]Chaleurs Brebis Points Rouges'!$G$1690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Rouges'!$J$1690:$J$1698</c:f>
              <c:numCache>
                <c:formatCode>General</c:formatCode>
                <c:ptCount val="9"/>
              </c:numCache>
            </c:numRef>
          </c:xVal>
          <c:yVal>
            <c:numRef>
              <c:f>'[3]Chaleurs Brebis Points Rouges'!$M$1690:$M$1698</c:f>
              <c:numCache>
                <c:formatCode>General</c:formatCode>
                <c:ptCount val="9"/>
              </c:numCache>
            </c:numRef>
          </c:yVal>
          <c:smooth val="0"/>
        </c:ser>
        <c:ser>
          <c:idx val="47"/>
          <c:order val="47"/>
          <c:tx>
            <c:strRef>
              <c:f>'[3]Chaleurs Brebis Points Rouges'!$G$1699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Rouges'!$J$1699</c:f>
              <c:numCache>
                <c:formatCode>General</c:formatCode>
                <c:ptCount val="1"/>
              </c:numCache>
            </c:numRef>
          </c:xVal>
          <c:yVal>
            <c:numRef>
              <c:f>'[3]Chaleurs Brebis Points Rouges'!$M$1699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48"/>
          <c:order val="48"/>
          <c:tx>
            <c:strRef>
              <c:f>'[3]Chaleurs Brebis Points Rouges'!$G$1700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Rouges'!$J$1700:$J$1717</c:f>
              <c:numCache>
                <c:formatCode>General</c:formatCode>
                <c:ptCount val="18"/>
              </c:numCache>
            </c:numRef>
          </c:xVal>
          <c:yVal>
            <c:numRef>
              <c:f>'[3]Chaleurs Brebis Points Rouges'!$M$1700:$M$1717</c:f>
              <c:numCache>
                <c:formatCode>General</c:formatCode>
                <c:ptCount val="18"/>
              </c:numCache>
            </c:numRef>
          </c:yVal>
          <c:smooth val="0"/>
        </c:ser>
        <c:ser>
          <c:idx val="49"/>
          <c:order val="49"/>
          <c:tx>
            <c:strRef>
              <c:f>'[3]Chaleurs Brebis Points Rouges'!$G$1718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Rouges'!$J$1718:$J$1745</c:f>
              <c:numCache>
                <c:formatCode>General</c:formatCode>
                <c:ptCount val="28"/>
              </c:numCache>
            </c:numRef>
          </c:xVal>
          <c:yVal>
            <c:numRef>
              <c:f>'[3]Chaleurs Brebis Points Rouges'!$M$1718:$M$1745</c:f>
              <c:numCache>
                <c:formatCode>General</c:formatCode>
                <c:ptCount val="28"/>
              </c:numCache>
            </c:numRef>
          </c:yVal>
          <c:smooth val="0"/>
        </c:ser>
        <c:ser>
          <c:idx val="50"/>
          <c:order val="50"/>
          <c:tx>
            <c:strRef>
              <c:f>'[3]Chaleurs Brebis Points Rouges'!$G$1746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Rouges'!$J$1746:$J$1847</c:f>
              <c:numCache>
                <c:formatCode>General</c:formatCode>
                <c:ptCount val="102"/>
              </c:numCache>
            </c:numRef>
          </c:xVal>
          <c:yVal>
            <c:numRef>
              <c:f>'[3]Chaleurs Brebis Points Rouges'!$M$1746:$M$1847</c:f>
              <c:numCache>
                <c:formatCode>General</c:formatCode>
                <c:ptCount val="102"/>
              </c:numCache>
            </c:numRef>
          </c:yVal>
          <c:smooth val="0"/>
        </c:ser>
        <c:ser>
          <c:idx val="51"/>
          <c:order val="51"/>
          <c:tx>
            <c:strRef>
              <c:f>'[3]Chaleurs Brebis Points Rouges'!$G$1848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Rouges'!$J$1848:$J$1873</c:f>
              <c:numCache>
                <c:formatCode>General</c:formatCode>
                <c:ptCount val="26"/>
              </c:numCache>
            </c:numRef>
          </c:xVal>
          <c:yVal>
            <c:numRef>
              <c:f>'[3]Chaleurs Brebis Points Rouges'!$M$1848:$M$1873</c:f>
              <c:numCache>
                <c:formatCode>General</c:formatCode>
                <c:ptCount val="26"/>
              </c:numCache>
            </c:numRef>
          </c:yVal>
          <c:smooth val="0"/>
        </c:ser>
        <c:ser>
          <c:idx val="52"/>
          <c:order val="52"/>
          <c:tx>
            <c:strRef>
              <c:f>'[3]Chaleurs Brebis Points Rouges'!$G$1874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87cc6"/>
            </a:solidFill>
            <a:ln w="19080">
              <a:solidFill>
                <a:srgbClr val="587cc6"/>
              </a:solidFill>
              <a:round/>
            </a:ln>
          </c:spPr>
          <c:marker>
            <c:symbol val="triangle"/>
            <c:size val="7"/>
            <c:spPr>
              <a:solidFill>
                <a:srgbClr val="587cc6"/>
              </a:solidFill>
            </c:spPr>
          </c:marker>
          <c:dPt>
            <c:idx val="1"/>
            <c:marker>
              <c:symbol val="triangle"/>
              <c:size val="7"/>
              <c:spPr>
                <a:solidFill>
                  <a:srgbClr val="587cc6"/>
                </a:solidFill>
              </c:spPr>
            </c:marker>
          </c:dPt>
          <c:dPt>
            <c:idx val="8"/>
            <c:marker>
              <c:symbol val="triangle"/>
              <c:size val="7"/>
              <c:spPr>
                <a:solidFill>
                  <a:srgbClr val="587cc6"/>
                </a:solidFill>
              </c:spPr>
            </c:marker>
          </c:dPt>
          <c:dLbls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Rouges'!$J$1874:$J$1882</c:f>
              <c:numCache>
                <c:formatCode>General</c:formatCode>
                <c:ptCount val="9"/>
              </c:numCache>
            </c:numRef>
          </c:xVal>
          <c:yVal>
            <c:numRef>
              <c:f>'[3]Chaleurs Brebis Points Rouges'!$M$1874:$M$1882</c:f>
              <c:numCache>
                <c:formatCode>General</c:formatCode>
                <c:ptCount val="9"/>
              </c:numCache>
            </c:numRef>
          </c:yVal>
          <c:smooth val="0"/>
        </c:ser>
        <c:ser>
          <c:idx val="53"/>
          <c:order val="53"/>
          <c:tx>
            <c:strRef>
              <c:f>'[3]Chaleurs Brebis Points Rouges'!$G$1883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Rouges'!$J$1883:$J$1935</c:f>
              <c:numCache>
                <c:formatCode>General</c:formatCode>
                <c:ptCount val="53"/>
              </c:numCache>
            </c:numRef>
          </c:xVal>
          <c:yVal>
            <c:numRef>
              <c:f>'[3]Chaleurs Brebis Points Rouges'!$M$1883:$M$1935</c:f>
              <c:numCache>
                <c:formatCode>General</c:formatCode>
                <c:ptCount val="53"/>
              </c:numCache>
            </c:numRef>
          </c:yVal>
          <c:smooth val="0"/>
        </c:ser>
        <c:ser>
          <c:idx val="54"/>
          <c:order val="54"/>
          <c:tx>
            <c:strRef>
              <c:f>'[3]Chaleurs Brebis Points Rouges'!$G$1936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Rouges'!$J$1936:$J$1994</c:f>
              <c:numCache>
                <c:formatCode>General</c:formatCode>
                <c:ptCount val="59"/>
              </c:numCache>
            </c:numRef>
          </c:xVal>
          <c:yVal>
            <c:numRef>
              <c:f>'[3]Chaleurs Brebis Points Rouges'!$M$1936:$M$1994</c:f>
              <c:numCache>
                <c:formatCode>General</c:formatCode>
                <c:ptCount val="59"/>
              </c:numCache>
            </c:numRef>
          </c:yVal>
          <c:smooth val="0"/>
        </c:ser>
        <c:ser>
          <c:idx val="55"/>
          <c:order val="55"/>
          <c:tx>
            <c:strRef>
              <c:f>'[3]Chaleurs Brebis Points Rouges'!$G$1995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Rouges'!$J$1995:$J$2022</c:f>
              <c:numCache>
                <c:formatCode>General</c:formatCode>
                <c:ptCount val="28"/>
              </c:numCache>
            </c:numRef>
          </c:xVal>
          <c:yVal>
            <c:numRef>
              <c:f>'[3]Chaleurs Brebis Points Rouges'!$M$1995:$M$2022</c:f>
              <c:numCache>
                <c:formatCode>General</c:formatCode>
                <c:ptCount val="28"/>
              </c:numCache>
            </c:numRef>
          </c:yVal>
          <c:smooth val="0"/>
        </c:ser>
        <c:ser>
          <c:idx val="56"/>
          <c:order val="56"/>
          <c:tx>
            <c:strRef>
              <c:f>'[3]Chaleurs Brebis Points Rouges'!$G$2023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Rouges'!$J$2023:$J$2028</c:f>
              <c:numCache>
                <c:formatCode>General</c:formatCode>
                <c:ptCount val="6"/>
              </c:numCache>
            </c:numRef>
          </c:xVal>
          <c:yVal>
            <c:numRef>
              <c:f>'[3]Chaleurs Brebis Points Rouges'!$M$2023:$M$2028</c:f>
              <c:numCache>
                <c:formatCode>General</c:formatCode>
                <c:ptCount val="6"/>
              </c:numCache>
            </c:numRef>
          </c:yVal>
          <c:smooth val="0"/>
        </c:ser>
        <c:ser>
          <c:idx val="57"/>
          <c:order val="57"/>
          <c:tx>
            <c:strRef>
              <c:f>'[3]Chaleurs Brebis Points Rouges'!$G$2029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Rouges'!$J$2029:$J$2044</c:f>
              <c:numCache>
                <c:formatCode>General</c:formatCode>
                <c:ptCount val="16"/>
              </c:numCache>
            </c:numRef>
          </c:xVal>
          <c:yVal>
            <c:numRef>
              <c:f>'[3]Chaleurs Brebis Points Rouges'!$M$2029:$M$2044</c:f>
              <c:numCache>
                <c:formatCode>General</c:formatCode>
                <c:ptCount val="16"/>
              </c:numCache>
            </c:numRef>
          </c:yVal>
          <c:smooth val="0"/>
        </c:ser>
        <c:ser>
          <c:idx val="58"/>
          <c:order val="58"/>
          <c:tx>
            <c:strRef>
              <c:f>'[3]Chaleurs Brebis Points Rouges'!$G$2045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Rouges'!$J$2045:$J$2059</c:f>
              <c:numCache>
                <c:formatCode>General</c:formatCode>
                <c:ptCount val="15"/>
              </c:numCache>
            </c:numRef>
          </c:xVal>
          <c:yVal>
            <c:numRef>
              <c:f>'[3]Chaleurs Brebis Points Rouges'!$M$2045:$M$2059</c:f>
              <c:numCache>
                <c:formatCode>General</c:formatCode>
                <c:ptCount val="15"/>
              </c:numCache>
            </c:numRef>
          </c:yVal>
          <c:smooth val="0"/>
        </c:ser>
        <c:ser>
          <c:idx val="59"/>
          <c:order val="59"/>
          <c:tx>
            <c:strRef>
              <c:f>'[3]Chaleurs Brebis Points Rouges'!$G$2060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Rouges'!$J$2060:$J$2099</c:f>
              <c:numCache>
                <c:formatCode>General</c:formatCode>
                <c:ptCount val="40"/>
              </c:numCache>
            </c:numRef>
          </c:xVal>
          <c:yVal>
            <c:numRef>
              <c:f>'[3]Chaleurs Brebis Points Rouges'!$M$2060:$M$2099</c:f>
              <c:numCache>
                <c:formatCode>General</c:formatCode>
                <c:ptCount val="40"/>
              </c:numCache>
            </c:numRef>
          </c:yVal>
          <c:smooth val="0"/>
        </c:ser>
        <c:ser>
          <c:idx val="60"/>
          <c:order val="60"/>
          <c:tx>
            <c:strRef>
              <c:f>'[3]Chaleurs Brebis Points Rouges'!$G$2100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Rouges'!$J$2100:$J$2104</c:f>
              <c:numCache>
                <c:formatCode>General</c:formatCode>
                <c:ptCount val="5"/>
              </c:numCache>
            </c:numRef>
          </c:xVal>
          <c:yVal>
            <c:numRef>
              <c:f>'[3]Chaleurs Brebis Points Rouges'!$M$2100:$M$2104</c:f>
              <c:numCache>
                <c:formatCode>General</c:formatCode>
                <c:ptCount val="5"/>
              </c:numCache>
            </c:numRef>
          </c:yVal>
          <c:smooth val="0"/>
        </c:ser>
        <c:ser>
          <c:idx val="61"/>
          <c:order val="61"/>
          <c:tx>
            <c:strRef>
              <c:f>'[3]Chaleurs Brebis Points Rouges'!$G$2105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Rouges'!$J$2105:$J$2107</c:f>
              <c:numCache>
                <c:formatCode>General</c:formatCode>
                <c:ptCount val="3"/>
              </c:numCache>
            </c:numRef>
          </c:xVal>
          <c:yVal>
            <c:numRef>
              <c:f>'[3]Chaleurs Brebis Points Rouges'!$M$2105:$M$2107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62"/>
          <c:order val="62"/>
          <c:tx>
            <c:strRef>
              <c:f>'[3]Chaleurs Brebis Points Rouges'!$G$2108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Rouges'!$J$2108:$J$2112</c:f>
              <c:numCache>
                <c:formatCode>General</c:formatCode>
                <c:ptCount val="5"/>
              </c:numCache>
            </c:numRef>
          </c:xVal>
          <c:yVal>
            <c:numRef>
              <c:f>'[3]Chaleurs Brebis Points Rouges'!$M$2108:$M$2112</c:f>
              <c:numCache>
                <c:formatCode>General</c:formatCode>
                <c:ptCount val="5"/>
              </c:numCache>
            </c:numRef>
          </c:yVal>
          <c:smooth val="0"/>
        </c:ser>
        <c:ser>
          <c:idx val="63"/>
          <c:order val="63"/>
          <c:tx>
            <c:strRef>
              <c:f>'[3]Chaleurs Brebis Points Rouges'!$G$2113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Rouges'!$J$2113:$J$2115</c:f>
              <c:numCache>
                <c:formatCode>General</c:formatCode>
                <c:ptCount val="3"/>
              </c:numCache>
            </c:numRef>
          </c:xVal>
          <c:yVal>
            <c:numRef>
              <c:f>'[3]Chaleurs Brebis Points Rouges'!$M$2113:$M$2115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64"/>
          <c:order val="64"/>
          <c:tx>
            <c:strRef>
              <c:f>'[3]Chaleurs Brebis Points Rouges'!$G$2116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Rouges'!$J$2116:$J$2118</c:f>
              <c:numCache>
                <c:formatCode>General</c:formatCode>
                <c:ptCount val="3"/>
              </c:numCache>
            </c:numRef>
          </c:xVal>
          <c:yVal>
            <c:numRef>
              <c:f>'[3]Chaleurs Brebis Points Rouges'!$M$2116:$M$2118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65"/>
          <c:order val="65"/>
          <c:tx>
            <c:strRef>
              <c:f>'[3]Chaleurs Brebis Points Rouges'!$G$2119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Rouges'!$J$2119:$J$2122</c:f>
              <c:numCache>
                <c:formatCode>General</c:formatCode>
                <c:ptCount val="4"/>
              </c:numCache>
            </c:numRef>
          </c:xVal>
          <c:yVal>
            <c:numRef>
              <c:f>'[3]Chaleurs Brebis Points Rouges'!$M$2119:$M$2122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66"/>
          <c:order val="66"/>
          <c:tx>
            <c:strRef>
              <c:f>'[3]Chaleurs Brebis Points Rouges'!$G$2123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Rouges'!$J$2123</c:f>
              <c:numCache>
                <c:formatCode>General</c:formatCode>
                <c:ptCount val="1"/>
              </c:numCache>
            </c:numRef>
          </c:xVal>
          <c:yVal>
            <c:numRef>
              <c:f>'[3]Chaleurs Brebis Points Rouges'!$M$2123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67"/>
          <c:order val="67"/>
          <c:tx>
            <c:strRef>
              <c:f>'[3]Chaleurs Brebis Points Rouges'!$G$2124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Rouges'!$J$2124:$J$2125</c:f>
              <c:numCache>
                <c:formatCode>General</c:formatCode>
                <c:ptCount val="2"/>
              </c:numCache>
            </c:numRef>
          </c:xVal>
          <c:yVal>
            <c:numRef>
              <c:f>'[3]Chaleurs Brebis Points Rouges'!$M$2124:$M$2125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68"/>
          <c:order val="68"/>
          <c:tx>
            <c:strRef>
              <c:f>'[3]Chaleurs Brebis Points Rouges'!$G$2126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Rouges'!$J$2126:$J$2132</c:f>
              <c:numCache>
                <c:formatCode>General</c:formatCode>
                <c:ptCount val="7"/>
              </c:numCache>
            </c:numRef>
          </c:xVal>
          <c:yVal>
            <c:numRef>
              <c:f>'[3]Chaleurs Brebis Points Rouges'!$M$2126:$M$2132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69"/>
          <c:order val="69"/>
          <c:tx>
            <c:strRef>
              <c:f>'[3]Chaleurs Brebis Points Rouges'!$G$2133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Rouges'!$J$2133:$J$2134</c:f>
              <c:numCache>
                <c:formatCode>General</c:formatCode>
                <c:ptCount val="2"/>
              </c:numCache>
            </c:numRef>
          </c:xVal>
          <c:yVal>
            <c:numRef>
              <c:f>'[3]Chaleurs Brebis Points Rouges'!$M$2133:$M$2134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70"/>
          <c:order val="70"/>
          <c:tx>
            <c:strRef>
              <c:f>'[3]Chaleurs Brebis Points Rouges'!$G$2135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1908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Rouges'!$J$2135</c:f>
              <c:numCache>
                <c:formatCode>General</c:formatCode>
                <c:ptCount val="1"/>
              </c:numCache>
            </c:numRef>
          </c:xVal>
          <c:yVal>
            <c:numRef>
              <c:f>'[3]Chaleurs Brebis Points Rouges'!$M$2135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71"/>
          <c:order val="71"/>
          <c:tx>
            <c:strRef>
              <c:f>'[3]Chaleurs Brebis Points Rouges'!$G$2136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Rouges'!$J$2136:$J$2187</c:f>
              <c:numCache>
                <c:formatCode>General</c:formatCode>
                <c:ptCount val="52"/>
              </c:numCache>
            </c:numRef>
          </c:xVal>
          <c:yVal>
            <c:numRef>
              <c:f>'[3]Chaleurs Brebis Points Rouges'!$M$2136:$M$2187</c:f>
              <c:numCache>
                <c:formatCode>General</c:formatCode>
                <c:ptCount val="52"/>
              </c:numCache>
            </c:numRef>
          </c:yVal>
          <c:smooth val="0"/>
        </c:ser>
        <c:ser>
          <c:idx val="72"/>
          <c:order val="72"/>
          <c:tx>
            <c:strRef>
              <c:f>'[3]Chaleurs Brebis Points Rouges'!$G$2188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Rouges'!$J$2188:$J$2215</c:f>
              <c:numCache>
                <c:formatCode>General</c:formatCode>
                <c:ptCount val="28"/>
              </c:numCache>
            </c:numRef>
          </c:xVal>
          <c:yVal>
            <c:numRef>
              <c:f>'[3]Chaleurs Brebis Points Rouges'!$M$2188:$M$2215</c:f>
              <c:numCache>
                <c:formatCode>General</c:formatCode>
                <c:ptCount val="28"/>
              </c:numCache>
            </c:numRef>
          </c:yVal>
          <c:smooth val="0"/>
        </c:ser>
        <c:ser>
          <c:idx val="73"/>
          <c:order val="73"/>
          <c:tx>
            <c:strRef>
              <c:f>'[3]Chaleurs Brebis Points Rouges'!$G$2216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Rouges'!$J$2216:$J$2217</c:f>
              <c:numCache>
                <c:formatCode>General</c:formatCode>
                <c:ptCount val="2"/>
              </c:numCache>
            </c:numRef>
          </c:xVal>
          <c:yVal>
            <c:numRef>
              <c:f>'[3]Chaleurs Brebis Points Rouges'!$M$2216:$M$2217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74"/>
          <c:order val="74"/>
          <c:tx>
            <c:strRef>
              <c:f>'[3]Chaleurs Brebis Points Rouges'!$G$2218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Rouges'!$J$2218</c:f>
              <c:numCache>
                <c:formatCode>General</c:formatCode>
                <c:ptCount val="1"/>
              </c:numCache>
            </c:numRef>
          </c:xVal>
          <c:yVal>
            <c:numRef>
              <c:f>'[3]Chaleurs Brebis Points Rouges'!$M$2218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75"/>
          <c:order val="75"/>
          <c:tx>
            <c:strRef>
              <c:f>'[3]Chaleurs Brebis Points Rouges'!$G$2219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Rouges'!$J$2219</c:f>
              <c:numCache>
                <c:formatCode>General</c:formatCode>
                <c:ptCount val="1"/>
              </c:numCache>
            </c:numRef>
          </c:xVal>
          <c:yVal>
            <c:numRef>
              <c:f>'[3]Chaleurs Brebis Points Rouges'!$M$2219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76"/>
          <c:order val="76"/>
          <c:tx>
            <c:strRef>
              <c:f>'[3]Chaleurs Brebis Points Rouges'!$G$2220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</c:spPr>
          </c:marker>
          <c:dPt>
            <c:idx val="1"/>
            <c:marker>
              <c:symbol val="triangle"/>
              <c:size val="7"/>
              <c:spPr>
                <a:solidFill>
                  <a:srgbClr val="ffffff"/>
                </a:solidFill>
              </c:spPr>
            </c:marker>
          </c:dPt>
          <c:dLbls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Rouges'!$J$2220:$J$2308</c:f>
              <c:numCache>
                <c:formatCode>General</c:formatCode>
                <c:ptCount val="89"/>
              </c:numCache>
            </c:numRef>
          </c:xVal>
          <c:yVal>
            <c:numRef>
              <c:f>'[3]Chaleurs Brebis Points Rouges'!$M$2220:$M$2308</c:f>
              <c:numCache>
                <c:formatCode>General</c:formatCode>
                <c:ptCount val="89"/>
              </c:numCache>
            </c:numRef>
          </c:yVal>
          <c:smooth val="0"/>
        </c:ser>
        <c:ser>
          <c:idx val="77"/>
          <c:order val="77"/>
          <c:tx>
            <c:strRef>
              <c:f>'[3]Chaleurs Brebis Points Rouges'!$G$2309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Rouges'!$J$2309:$J$2310</c:f>
              <c:numCache>
                <c:formatCode>General</c:formatCode>
                <c:ptCount val="2"/>
              </c:numCache>
            </c:numRef>
          </c:xVal>
          <c:yVal>
            <c:numRef>
              <c:f>'[3]Chaleurs Brebis Points Rouges'!$M$2309:$M$2310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78"/>
          <c:order val="78"/>
          <c:tx>
            <c:strRef>
              <c:f>'[3]Chaleurs Brebis Points Rouges'!$G$2311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Rouges'!$J$2311:$J$2326</c:f>
              <c:numCache>
                <c:formatCode>General</c:formatCode>
                <c:ptCount val="16"/>
              </c:numCache>
            </c:numRef>
          </c:xVal>
          <c:yVal>
            <c:numRef>
              <c:f>'[3]Chaleurs Brebis Points Rouges'!$M$2311:$M$2326</c:f>
              <c:numCache>
                <c:formatCode>General</c:formatCode>
                <c:ptCount val="16"/>
              </c:numCache>
            </c:numRef>
          </c:yVal>
          <c:smooth val="0"/>
        </c:ser>
        <c:ser>
          <c:idx val="79"/>
          <c:order val="79"/>
          <c:tx>
            <c:strRef>
              <c:f>'[3]Chaleurs Brebis Points Rouges'!$G$2327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Rouges'!$J$2327:$J$2402</c:f>
              <c:numCache>
                <c:formatCode>General</c:formatCode>
                <c:ptCount val="76"/>
              </c:numCache>
            </c:numRef>
          </c:xVal>
          <c:yVal>
            <c:numRef>
              <c:f>'[3]Chaleurs Brebis Points Rouges'!$M$2327:$M$2402</c:f>
              <c:numCache>
                <c:formatCode>General</c:formatCode>
                <c:ptCount val="76"/>
              </c:numCache>
            </c:numRef>
          </c:yVal>
          <c:smooth val="0"/>
        </c:ser>
        <c:ser>
          <c:idx val="80"/>
          <c:order val="80"/>
          <c:tx>
            <c:strRef>
              <c:f>'[3]Chaleurs Brebis Points Rouges'!$G$2403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Rouges'!$J$2403:$J$2505</c:f>
              <c:numCache>
                <c:formatCode>General</c:formatCode>
                <c:ptCount val="103"/>
              </c:numCache>
            </c:numRef>
          </c:xVal>
          <c:yVal>
            <c:numRef>
              <c:f>'[3]Chaleurs Brebis Points Rouges'!$M$2403:$M$2505</c:f>
              <c:numCache>
                <c:formatCode>General</c:formatCode>
                <c:ptCount val="103"/>
              </c:numCache>
            </c:numRef>
          </c:yVal>
          <c:smooth val="0"/>
        </c:ser>
        <c:ser>
          <c:idx val="81"/>
          <c:order val="81"/>
          <c:tx>
            <c:strRef>
              <c:f>'[3]Chaleurs Brebis Points Rouges'!$G$2506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Rouges'!$J$2506:$J$2607</c:f>
              <c:numCache>
                <c:formatCode>General</c:formatCode>
                <c:ptCount val="102"/>
              </c:numCache>
            </c:numRef>
          </c:xVal>
          <c:yVal>
            <c:numRef>
              <c:f>'[3]Chaleurs Brebis Points Rouges'!$M$2506:$M$2607</c:f>
              <c:numCache>
                <c:formatCode>General</c:formatCode>
                <c:ptCount val="102"/>
              </c:numCache>
            </c:numRef>
          </c:yVal>
          <c:smooth val="0"/>
        </c:ser>
        <c:ser>
          <c:idx val="82"/>
          <c:order val="82"/>
          <c:tx>
            <c:strRef>
              <c:f>'[3]Chaleurs Brebis Points Rouges'!$G$2608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Rouges'!$J$2608:$J$2672</c:f>
              <c:numCache>
                <c:formatCode>General</c:formatCode>
                <c:ptCount val="65"/>
              </c:numCache>
            </c:numRef>
          </c:xVal>
          <c:yVal>
            <c:numRef>
              <c:f>'[3]Chaleurs Brebis Points Rouges'!$M$2608:$M$2672</c:f>
              <c:numCache>
                <c:formatCode>General</c:formatCode>
                <c:ptCount val="65"/>
              </c:numCache>
            </c:numRef>
          </c:yVal>
          <c:smooth val="0"/>
        </c:ser>
        <c:ser>
          <c:idx val="83"/>
          <c:order val="83"/>
          <c:tx>
            <c:strRef>
              <c:f>'[3]Chaleurs Brebis Points Rouges'!$G$2673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Rouges'!$J$2673:$J$2678</c:f>
              <c:numCache>
                <c:formatCode>General</c:formatCode>
                <c:ptCount val="6"/>
              </c:numCache>
            </c:numRef>
          </c:xVal>
          <c:yVal>
            <c:numRef>
              <c:f>'[3]Chaleurs Brebis Points Rouges'!$M$2673:$M$2678</c:f>
              <c:numCache>
                <c:formatCode>General</c:formatCode>
                <c:ptCount val="6"/>
              </c:numCache>
            </c:numRef>
          </c:yVal>
          <c:smooth val="0"/>
        </c:ser>
        <c:ser>
          <c:idx val="84"/>
          <c:order val="84"/>
          <c:tx>
            <c:strRef>
              <c:f>'[3]Chaleurs Brebis Points Rouges'!$G$2679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Rouges'!$J$2679</c:f>
              <c:numCache>
                <c:formatCode>General</c:formatCode>
                <c:ptCount val="1"/>
              </c:numCache>
            </c:numRef>
          </c:xVal>
          <c:yVal>
            <c:numRef>
              <c:f>'[3]Chaleurs Brebis Points Rouges'!$M$2679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85"/>
          <c:order val="85"/>
          <c:tx>
            <c:strRef>
              <c:f>'[3]Chaleurs Brebis Points Rouges'!$G$2680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Rouges'!$J$2680:$J$2682</c:f>
              <c:numCache>
                <c:formatCode>General</c:formatCode>
                <c:ptCount val="3"/>
              </c:numCache>
            </c:numRef>
          </c:xVal>
          <c:yVal>
            <c:numRef>
              <c:f>'[3]Chaleurs Brebis Points Rouges'!$M$2680:$M$2682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86"/>
          <c:order val="86"/>
          <c:tx>
            <c:strRef>
              <c:f>'[3]Chaleurs Brebis Points Rouges'!$G$2683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Rouges'!$J$2683:$J$2684</c:f>
              <c:numCache>
                <c:formatCode>General</c:formatCode>
                <c:ptCount val="2"/>
              </c:numCache>
            </c:numRef>
          </c:xVal>
          <c:yVal>
            <c:numRef>
              <c:f>'[3]Chaleurs Brebis Points Rouges'!$M$2683:$M$2684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87"/>
          <c:order val="87"/>
          <c:tx>
            <c:strRef>
              <c:f>'[3]Chaleurs Brebis Points Rouges'!$G$2685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Rouges'!$J$2685:$J$2686</c:f>
              <c:numCache>
                <c:formatCode>General</c:formatCode>
                <c:ptCount val="2"/>
              </c:numCache>
            </c:numRef>
          </c:xVal>
          <c:yVal>
            <c:numRef>
              <c:f>'[3]Chaleurs Brebis Points Rouges'!$M$2685:$M$2686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88"/>
          <c:order val="88"/>
          <c:tx>
            <c:strRef>
              <c:f>'[3]Chaleurs Brebis Points Rouges'!$G$2687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Rouges'!$J$2687:$J$2688</c:f>
              <c:numCache>
                <c:formatCode>General</c:formatCode>
                <c:ptCount val="2"/>
              </c:numCache>
            </c:numRef>
          </c:xVal>
          <c:yVal>
            <c:numRef>
              <c:f>'[3]Chaleurs Brebis Points Rouges'!$M$2687:$M$2688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89"/>
          <c:order val="89"/>
          <c:tx>
            <c:strRef>
              <c:f>'[3]Chaleurs Brebis Points Rouges'!$G$2689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Rouges'!$J$2689</c:f>
              <c:numCache>
                <c:formatCode>General</c:formatCode>
                <c:ptCount val="1"/>
              </c:numCache>
            </c:numRef>
          </c:xVal>
          <c:yVal>
            <c:numRef>
              <c:f>'[3]Chaleurs Brebis Points Rouges'!$M$2689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90"/>
          <c:order val="90"/>
          <c:tx>
            <c:strRef>
              <c:f>'[3]Chaleurs Brebis Points Rouges'!$G$2690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Rouges'!$J$2690:$J$2691</c:f>
              <c:numCache>
                <c:formatCode>General</c:formatCode>
                <c:ptCount val="2"/>
              </c:numCache>
            </c:numRef>
          </c:xVal>
          <c:yVal>
            <c:numRef>
              <c:f>'[3]Chaleurs Brebis Points Rouges'!$M$2690:$M$2691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91"/>
          <c:order val="91"/>
          <c:tx>
            <c:strRef>
              <c:f>'[3]Chaleurs Brebis Points Rouges'!$G$2692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Rouges'!$J$2692</c:f>
              <c:numCache>
                <c:formatCode>General</c:formatCode>
                <c:ptCount val="1"/>
              </c:numCache>
            </c:numRef>
          </c:xVal>
          <c:yVal>
            <c:numRef>
              <c:f>'[3]Chaleurs Brebis Points Rouges'!$M$2692</c:f>
              <c:numCache>
                <c:formatCode>General</c:formatCode>
                <c:ptCount val="1"/>
              </c:numCache>
            </c:numRef>
          </c:yVal>
          <c:smooth val="0"/>
        </c:ser>
        <c:axId val="643229"/>
        <c:axId val="78753990"/>
      </c:scatterChart>
      <c:valAx>
        <c:axId val="643229"/>
        <c:scaling>
          <c:orientation val="minMax"/>
          <c:max val="45090"/>
          <c:min val="45055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Temps</a:t>
                </a:r>
              </a:p>
            </c:rich>
          </c:tx>
          <c:layout>
            <c:manualLayout>
              <c:xMode val="edge"/>
              <c:yMode val="edge"/>
              <c:x val="0.949911443930025"/>
              <c:y val="0.937068058034693"/>
            </c:manualLayout>
          </c:layout>
          <c:overlay val="0"/>
          <c:spPr>
            <a:noFill/>
            <a:ln w="0">
              <a:noFill/>
            </a:ln>
          </c:spPr>
        </c:title>
        <c:numFmt formatCode="dd/mm\ hh:mm" sourceLinked="0"/>
        <c:majorTickMark val="out"/>
        <c:minorTickMark val="out"/>
        <c:tickLblPos val="nextTo"/>
        <c:spPr>
          <a:ln w="648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8753990"/>
        <c:crosses val="autoZero"/>
        <c:crossBetween val="midCat"/>
        <c:majorUnit val="4"/>
        <c:minorUnit val="0.0833333333333333"/>
      </c:valAx>
      <c:valAx>
        <c:axId val="78753990"/>
        <c:scaling>
          <c:orientation val="minMax"/>
          <c:max val="100"/>
        </c:scaling>
        <c:delete val="0"/>
        <c:axPos val="l"/>
        <c:majorGridlines>
          <c:spPr>
            <a:ln w="3240">
              <a:solidFill>
                <a:srgbClr val="a6a6a6"/>
              </a:solidFill>
              <a:round/>
            </a:ln>
          </c:spPr>
        </c:majorGridlines>
        <c:minorGridlines>
          <c:spPr>
            <a:ln w="3240">
              <a:solidFill>
                <a:srgbClr val="a6a6a6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1" lang="fr-FR" sz="12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200" spc="-1" strike="noStrike">
                    <a:solidFill>
                      <a:srgbClr val="000000"/>
                    </a:solidFill>
                    <a:latin typeface="Calibri"/>
                  </a:rPr>
                  <a:t>N° des brebis</a:t>
                </a:r>
              </a:p>
            </c:rich>
          </c:tx>
          <c:layout>
            <c:manualLayout>
              <c:xMode val="edge"/>
              <c:yMode val="edge"/>
              <c:x val="0.00960134232358699"/>
              <c:y val="0.42258226921140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1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229"/>
        <c:crosses val="autoZero"/>
        <c:crossBetween val="midCat"/>
        <c:majorUnit val="2"/>
        <c:minorUnit val="1"/>
      </c:valAx>
      <c:spPr>
        <a:noFill/>
        <a:ln w="0">
          <a:solidFill>
            <a:srgbClr val="000000"/>
          </a:solidFill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fr-FR" sz="1800" spc="-1" strike="noStrike">
                <a:solidFill>
                  <a:srgbClr val="000000"/>
                </a:solidFill>
                <a:latin typeface="Calibri"/>
              </a:rPr>
              <a:t>Brebis chevauchées: lot SR 1/10 (La Cazotte 2023) </a:t>
            </a:r>
          </a:p>
        </c:rich>
      </c:tx>
      <c:layout>
        <c:manualLayout>
          <c:xMode val="edge"/>
          <c:yMode val="edge"/>
          <c:x val="0.334120498399776"/>
          <c:y val="0.0097034053460271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84780784886431"/>
          <c:y val="0.0611497619919443"/>
          <c:w val="0.877419755771681"/>
          <c:h val="0.8233247894544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'[3]Chaleurs Brebis Points Rouges'!$G$2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Rouges'!$J$2:$J$3</c:f>
              <c:numCache>
                <c:formatCode>General</c:formatCode>
                <c:ptCount val="2"/>
              </c:numCache>
            </c:numRef>
          </c:xVal>
          <c:yVal>
            <c:numRef>
              <c:f>'[3]Chaleurs Brebis Points Rouges'!$M$2:$M$3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1"/>
          <c:order val="1"/>
          <c:tx>
            <c:strRef>
              <c:f>'[3]Chaleurs Brebis Points Rouges'!$G$4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Rouges'!$J$4:$J$29</c:f>
              <c:numCache>
                <c:formatCode>General</c:formatCode>
                <c:ptCount val="26"/>
              </c:numCache>
            </c:numRef>
          </c:xVal>
          <c:yVal>
            <c:numRef>
              <c:f>'[3]Chaleurs Brebis Points Rouges'!$M$4:$M$29</c:f>
              <c:numCache>
                <c:formatCode>General</c:formatCode>
                <c:ptCount val="26"/>
              </c:numCache>
            </c:numRef>
          </c:yVal>
          <c:smooth val="0"/>
        </c:ser>
        <c:ser>
          <c:idx val="2"/>
          <c:order val="2"/>
          <c:tx>
            <c:strRef>
              <c:f>'[3]Chaleurs Brebis Points Rouges'!$G$30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Rouges'!$J$30:$J$115</c:f>
              <c:numCache>
                <c:formatCode>General</c:formatCode>
                <c:ptCount val="86"/>
              </c:numCache>
            </c:numRef>
          </c:xVal>
          <c:yVal>
            <c:numRef>
              <c:f>'[3]Chaleurs Brebis Points Rouges'!$M$30:$M$115</c:f>
              <c:numCache>
                <c:formatCode>General</c:formatCode>
                <c:ptCount val="86"/>
              </c:numCache>
            </c:numRef>
          </c:yVal>
          <c:smooth val="0"/>
        </c:ser>
        <c:ser>
          <c:idx val="3"/>
          <c:order val="3"/>
          <c:tx>
            <c:strRef>
              <c:f>'[3]Chaleurs Brebis Points Rouges'!$G$116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Rouges'!$J$116:$J$140</c:f>
              <c:numCache>
                <c:formatCode>General</c:formatCode>
                <c:ptCount val="25"/>
              </c:numCache>
            </c:numRef>
          </c:xVal>
          <c:yVal>
            <c:numRef>
              <c:f>'[3]Chaleurs Brebis Points Rouges'!$M$116:$M$140</c:f>
              <c:numCache>
                <c:formatCode>General</c:formatCode>
                <c:ptCount val="25"/>
              </c:numCache>
            </c:numRef>
          </c:yVal>
          <c:smooth val="0"/>
        </c:ser>
        <c:ser>
          <c:idx val="4"/>
          <c:order val="4"/>
          <c:tx>
            <c:strRef>
              <c:f>'[3]Chaleurs Brebis Points Rouges'!$G$141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Rouges'!$J$141:$J$143</c:f>
              <c:numCache>
                <c:formatCode>General</c:formatCode>
                <c:ptCount val="3"/>
              </c:numCache>
            </c:numRef>
          </c:xVal>
          <c:yVal>
            <c:numRef>
              <c:f>'[3]Chaleurs Brebis Points Rouges'!$M$141:$M$143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5"/>
          <c:order val="5"/>
          <c:tx>
            <c:strRef>
              <c:f>'[3]Chaleurs Brebis Points Rouges'!$G$144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Rouges'!$J$144:$J$151</c:f>
              <c:numCache>
                <c:formatCode>General</c:formatCode>
                <c:ptCount val="8"/>
              </c:numCache>
            </c:numRef>
          </c:xVal>
          <c:yVal>
            <c:numRef>
              <c:f>'[3]Chaleurs Brebis Points Rouges'!$M$144:$M$151</c:f>
              <c:numCache>
                <c:formatCode>General</c:formatCode>
                <c:ptCount val="8"/>
              </c:numCache>
            </c:numRef>
          </c:yVal>
          <c:smooth val="0"/>
        </c:ser>
        <c:ser>
          <c:idx val="6"/>
          <c:order val="6"/>
          <c:tx>
            <c:strRef>
              <c:f>'[3]Chaleurs Brebis Points Rouges'!$G$152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Rouges'!$J$152:$J$231</c:f>
              <c:numCache>
                <c:formatCode>General</c:formatCode>
                <c:ptCount val="80"/>
              </c:numCache>
            </c:numRef>
          </c:xVal>
          <c:yVal>
            <c:numRef>
              <c:f>'[3]Chaleurs Brebis Points Rouges'!$M$152:$M$231</c:f>
              <c:numCache>
                <c:formatCode>General</c:formatCode>
                <c:ptCount val="80"/>
              </c:numCache>
            </c:numRef>
          </c:yVal>
          <c:smooth val="0"/>
        </c:ser>
        <c:ser>
          <c:idx val="7"/>
          <c:order val="7"/>
          <c:tx>
            <c:strRef>
              <c:f>'[3]Chaleurs Brebis Points Rouges'!$G$232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Rouges'!$J$232:$J$277</c:f>
              <c:numCache>
                <c:formatCode>General</c:formatCode>
                <c:ptCount val="46"/>
              </c:numCache>
            </c:numRef>
          </c:xVal>
          <c:yVal>
            <c:numRef>
              <c:f>'[3]Chaleurs Brebis Points Rouges'!$N$232:$N$277</c:f>
              <c:numCache>
                <c:formatCode>General</c:formatCode>
                <c:ptCount val="46"/>
              </c:numCache>
            </c:numRef>
          </c:yVal>
          <c:smooth val="0"/>
        </c:ser>
        <c:ser>
          <c:idx val="8"/>
          <c:order val="8"/>
          <c:tx>
            <c:strRef>
              <c:f>'[3]Chaleurs Brebis Points Rouges'!$G$278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Rouges'!$J$278:$J$421</c:f>
              <c:numCache>
                <c:formatCode>General</c:formatCode>
                <c:ptCount val="144"/>
              </c:numCache>
            </c:numRef>
          </c:xVal>
          <c:yVal>
            <c:numRef>
              <c:f>'[3]Chaleurs Brebis Points Rouges'!$M$278:$M$421</c:f>
              <c:numCache>
                <c:formatCode>General</c:formatCode>
                <c:ptCount val="144"/>
              </c:numCache>
            </c:numRef>
          </c:yVal>
          <c:smooth val="0"/>
        </c:ser>
        <c:ser>
          <c:idx val="9"/>
          <c:order val="9"/>
          <c:tx>
            <c:strRef>
              <c:f>'[3]Chaleurs Brebis Points Rouges'!$G$422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Rouges'!$J$422:$J$442</c:f>
              <c:numCache>
                <c:formatCode>General</c:formatCode>
                <c:ptCount val="21"/>
              </c:numCache>
            </c:numRef>
          </c:xVal>
          <c:yVal>
            <c:numRef>
              <c:f>'[3]Chaleurs Brebis Points Rouges'!$M$422:$M$442</c:f>
              <c:numCache>
                <c:formatCode>General</c:formatCode>
                <c:ptCount val="21"/>
              </c:numCache>
            </c:numRef>
          </c:yVal>
          <c:smooth val="0"/>
        </c:ser>
        <c:ser>
          <c:idx val="10"/>
          <c:order val="10"/>
          <c:tx>
            <c:strRef>
              <c:f>'[3]Chaleurs Brebis Points Rouges'!$G$443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Rouges'!$J$443:$J$462</c:f>
              <c:numCache>
                <c:formatCode>General</c:formatCode>
                <c:ptCount val="20"/>
              </c:numCache>
            </c:numRef>
          </c:xVal>
          <c:yVal>
            <c:numRef>
              <c:f>'[3]Chaleurs Brebis Points Rouges'!$M$443:$M$462</c:f>
              <c:numCache>
                <c:formatCode>General</c:formatCode>
                <c:ptCount val="20"/>
              </c:numCache>
            </c:numRef>
          </c:yVal>
          <c:smooth val="0"/>
        </c:ser>
        <c:ser>
          <c:idx val="11"/>
          <c:order val="11"/>
          <c:tx>
            <c:strRef>
              <c:f>'[3]Chaleurs Brebis Points Rouges'!$G$463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Rouges'!$J$463:$J$520</c:f>
              <c:numCache>
                <c:formatCode>General</c:formatCode>
                <c:ptCount val="58"/>
              </c:numCache>
            </c:numRef>
          </c:xVal>
          <c:yVal>
            <c:numRef>
              <c:f>'[3]Chaleurs Brebis Points Rouges'!$M$463:$M$520</c:f>
              <c:numCache>
                <c:formatCode>General</c:formatCode>
                <c:ptCount val="58"/>
              </c:numCache>
            </c:numRef>
          </c:yVal>
          <c:smooth val="0"/>
        </c:ser>
        <c:ser>
          <c:idx val="12"/>
          <c:order val="12"/>
          <c:tx>
            <c:strRef>
              <c:f>'[3]Chaleurs Brebis Points Rouges'!$G$521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Rouges'!$J$521:$J$563</c:f>
              <c:numCache>
                <c:formatCode>General</c:formatCode>
                <c:ptCount val="43"/>
              </c:numCache>
            </c:numRef>
          </c:xVal>
          <c:yVal>
            <c:numRef>
              <c:f>'[3]Chaleurs Brebis Points Rouges'!$M$521:$M$563</c:f>
              <c:numCache>
                <c:formatCode>General</c:formatCode>
                <c:ptCount val="43"/>
              </c:numCache>
            </c:numRef>
          </c:yVal>
          <c:smooth val="0"/>
        </c:ser>
        <c:ser>
          <c:idx val="13"/>
          <c:order val="13"/>
          <c:tx>
            <c:strRef>
              <c:f>'[3]Chaleurs Brebis Points Rouges'!$G$564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Rouges'!$J$564:$J$617</c:f>
              <c:numCache>
                <c:formatCode>General</c:formatCode>
                <c:ptCount val="54"/>
              </c:numCache>
            </c:numRef>
          </c:xVal>
          <c:yVal>
            <c:numRef>
              <c:f>'[3]Chaleurs Brebis Points Rouges'!$M$564:$M$617</c:f>
              <c:numCache>
                <c:formatCode>General</c:formatCode>
                <c:ptCount val="54"/>
              </c:numCache>
            </c:numRef>
          </c:yVal>
          <c:smooth val="0"/>
        </c:ser>
        <c:ser>
          <c:idx val="14"/>
          <c:order val="14"/>
          <c:tx>
            <c:strRef>
              <c:f>'[3]Chaleurs Brebis Points Rouges'!$G$618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Rouges'!$J$618:$J$749</c:f>
              <c:numCache>
                <c:formatCode>General</c:formatCode>
                <c:ptCount val="132"/>
              </c:numCache>
            </c:numRef>
          </c:xVal>
          <c:yVal>
            <c:numRef>
              <c:f>'[3]Chaleurs Brebis Points Rouges'!$M$618:$M$749</c:f>
              <c:numCache>
                <c:formatCode>General</c:formatCode>
                <c:ptCount val="132"/>
              </c:numCache>
            </c:numRef>
          </c:yVal>
          <c:smooth val="0"/>
        </c:ser>
        <c:ser>
          <c:idx val="15"/>
          <c:order val="15"/>
          <c:tx>
            <c:strRef>
              <c:f>'[3]Chaleurs Brebis Points Rouges'!$G$750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Rouges'!$J$750:$J$905</c:f>
              <c:numCache>
                <c:formatCode>General</c:formatCode>
                <c:ptCount val="156"/>
              </c:numCache>
            </c:numRef>
          </c:xVal>
          <c:yVal>
            <c:numRef>
              <c:f>'[3]Chaleurs Brebis Points Rouges'!$M$750:$M$905</c:f>
              <c:numCache>
                <c:formatCode>General</c:formatCode>
                <c:ptCount val="156"/>
              </c:numCache>
            </c:numRef>
          </c:yVal>
          <c:smooth val="0"/>
        </c:ser>
        <c:ser>
          <c:idx val="16"/>
          <c:order val="16"/>
          <c:tx>
            <c:strRef>
              <c:f>'[3]Chaleurs Brebis Points Rouges'!$G$906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c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Rouges'!$J$906:$J$933</c:f>
              <c:numCache>
                <c:formatCode>General</c:formatCode>
                <c:ptCount val="28"/>
              </c:numCache>
            </c:numRef>
          </c:xVal>
          <c:yVal>
            <c:numRef>
              <c:f>'[3]Chaleurs Brebis Points Rouges'!$M$906:$M$933</c:f>
              <c:numCache>
                <c:formatCode>General</c:formatCode>
                <c:ptCount val="28"/>
              </c:numCache>
            </c:numRef>
          </c:yVal>
          <c:smooth val="0"/>
        </c:ser>
        <c:ser>
          <c:idx val="17"/>
          <c:order val="17"/>
          <c:tx>
            <c:strRef>
              <c:f>'[3]Chaleurs Brebis Points Rouges'!$G$934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Rouges'!$J$934:$J$964</c:f>
              <c:numCache>
                <c:formatCode>General</c:formatCode>
                <c:ptCount val="31"/>
              </c:numCache>
            </c:numRef>
          </c:xVal>
          <c:yVal>
            <c:numRef>
              <c:f>'[3]Chaleurs Brebis Points Rouges'!$M$934:$M$964</c:f>
              <c:numCache>
                <c:formatCode>General</c:formatCode>
                <c:ptCount val="31"/>
              </c:numCache>
            </c:numRef>
          </c:yVal>
          <c:smooth val="0"/>
        </c:ser>
        <c:ser>
          <c:idx val="18"/>
          <c:order val="18"/>
          <c:tx>
            <c:strRef>
              <c:f>'[3]Chaleurs Brebis Points Rouges'!$G$965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Rouges'!$J$965:$J$989</c:f>
              <c:numCache>
                <c:formatCode>General</c:formatCode>
                <c:ptCount val="25"/>
              </c:numCache>
            </c:numRef>
          </c:xVal>
          <c:yVal>
            <c:numRef>
              <c:f>'[3]Chaleurs Brebis Points Rouges'!$M$965:$M$989</c:f>
              <c:numCache>
                <c:formatCode>General</c:formatCode>
                <c:ptCount val="25"/>
              </c:numCache>
            </c:numRef>
          </c:yVal>
          <c:smooth val="0"/>
        </c:ser>
        <c:ser>
          <c:idx val="19"/>
          <c:order val="19"/>
          <c:tx>
            <c:strRef>
              <c:f>'[3]Chaleurs Brebis Points Rouges'!$G$990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Rouges'!$J$990:$J$994</c:f>
              <c:numCache>
                <c:formatCode>General</c:formatCode>
                <c:ptCount val="5"/>
              </c:numCache>
            </c:numRef>
          </c:xVal>
          <c:yVal>
            <c:numRef>
              <c:f>'[3]Chaleurs Brebis Points Rouges'!$M$990:$M$994</c:f>
              <c:numCache>
                <c:formatCode>General</c:formatCode>
                <c:ptCount val="5"/>
              </c:numCache>
            </c:numRef>
          </c:yVal>
          <c:smooth val="0"/>
        </c:ser>
        <c:ser>
          <c:idx val="20"/>
          <c:order val="20"/>
          <c:tx>
            <c:strRef>
              <c:f>'[3]Chaleurs Brebis Points Rouges'!$G$995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Rouges'!$J$995:$J$1012</c:f>
              <c:numCache>
                <c:formatCode>General</c:formatCode>
                <c:ptCount val="18"/>
              </c:numCache>
            </c:numRef>
          </c:xVal>
          <c:yVal>
            <c:numRef>
              <c:f>'[3]Chaleurs Brebis Points Rouges'!$M$995:$M$1012</c:f>
              <c:numCache>
                <c:formatCode>General</c:formatCode>
                <c:ptCount val="18"/>
              </c:numCache>
            </c:numRef>
          </c:yVal>
          <c:smooth val="0"/>
        </c:ser>
        <c:ser>
          <c:idx val="21"/>
          <c:order val="21"/>
          <c:tx>
            <c:strRef>
              <c:f>'[3]Chaleurs Brebis Points Rouges'!$G$1013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Rouges'!$J$1013:$J$1039</c:f>
              <c:numCache>
                <c:formatCode>General</c:formatCode>
                <c:ptCount val="27"/>
              </c:numCache>
            </c:numRef>
          </c:xVal>
          <c:yVal>
            <c:numRef>
              <c:f>'[3]Chaleurs Brebis Points Rouges'!$M$1013:$M$1039</c:f>
              <c:numCache>
                <c:formatCode>General</c:formatCode>
                <c:ptCount val="27"/>
              </c:numCache>
            </c:numRef>
          </c:yVal>
          <c:smooth val="0"/>
        </c:ser>
        <c:ser>
          <c:idx val="22"/>
          <c:order val="22"/>
          <c:tx>
            <c:strRef>
              <c:f>'[3]Chaleurs Brebis Points Rouges'!$G$1040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Rouges'!$J$1040:$J$1102</c:f>
              <c:numCache>
                <c:formatCode>General</c:formatCode>
                <c:ptCount val="63"/>
              </c:numCache>
            </c:numRef>
          </c:xVal>
          <c:yVal>
            <c:numRef>
              <c:f>'[3]Chaleurs Brebis Points Rouges'!$M$1040:$M$1102</c:f>
              <c:numCache>
                <c:formatCode>General</c:formatCode>
                <c:ptCount val="63"/>
              </c:numCache>
            </c:numRef>
          </c:yVal>
          <c:smooth val="0"/>
        </c:ser>
        <c:ser>
          <c:idx val="23"/>
          <c:order val="23"/>
          <c:tx>
            <c:strRef>
              <c:f>'[3]Chaleurs Brebis Points Rouges'!$G$1103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Rouges'!$J$1103:$J$1133</c:f>
              <c:numCache>
                <c:formatCode>General</c:formatCode>
                <c:ptCount val="31"/>
              </c:numCache>
            </c:numRef>
          </c:xVal>
          <c:yVal>
            <c:numRef>
              <c:f>'[3]Chaleurs Brebis Points Rouges'!$M$1103:$M$1133</c:f>
              <c:numCache>
                <c:formatCode>General</c:formatCode>
                <c:ptCount val="31"/>
              </c:numCache>
            </c:numRef>
          </c:yVal>
          <c:smooth val="0"/>
        </c:ser>
        <c:ser>
          <c:idx val="24"/>
          <c:order val="24"/>
          <c:tx>
            <c:strRef>
              <c:f>'[3]Chaleurs Brebis Points Rouges'!$G$1134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Rouges'!$J$1134:$J$1148</c:f>
              <c:numCache>
                <c:formatCode>General</c:formatCode>
                <c:ptCount val="15"/>
              </c:numCache>
            </c:numRef>
          </c:xVal>
          <c:yVal>
            <c:numRef>
              <c:f>'[3]Chaleurs Brebis Points Rouges'!$M$1134:$M$1148</c:f>
              <c:numCache>
                <c:formatCode>General</c:formatCode>
                <c:ptCount val="15"/>
              </c:numCache>
            </c:numRef>
          </c:yVal>
          <c:smooth val="0"/>
        </c:ser>
        <c:ser>
          <c:idx val="25"/>
          <c:order val="25"/>
          <c:tx>
            <c:strRef>
              <c:f>'[3]Chaleurs Brebis Points Rouges'!$G$1149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Rouges'!$J$1149:$J$1181</c:f>
              <c:numCache>
                <c:formatCode>General</c:formatCode>
                <c:ptCount val="33"/>
              </c:numCache>
            </c:numRef>
          </c:xVal>
          <c:yVal>
            <c:numRef>
              <c:f>'[3]Chaleurs Brebis Points Rouges'!$M$1149:$M$1181</c:f>
              <c:numCache>
                <c:formatCode>General</c:formatCode>
                <c:ptCount val="33"/>
              </c:numCache>
            </c:numRef>
          </c:yVal>
          <c:smooth val="0"/>
        </c:ser>
        <c:ser>
          <c:idx val="26"/>
          <c:order val="26"/>
          <c:tx>
            <c:strRef>
              <c:f>'[3]Chaleurs Brebis Points Rouges'!$G$1182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Rouges'!$J$1182:$J$1189</c:f>
              <c:numCache>
                <c:formatCode>General</c:formatCode>
                <c:ptCount val="8"/>
              </c:numCache>
            </c:numRef>
          </c:xVal>
          <c:yVal>
            <c:numRef>
              <c:f>'[3]Chaleurs Brebis Points Rouges'!$M$1182:$M$1189</c:f>
              <c:numCache>
                <c:formatCode>General</c:formatCode>
                <c:ptCount val="8"/>
              </c:numCache>
            </c:numRef>
          </c:yVal>
          <c:smooth val="0"/>
        </c:ser>
        <c:ser>
          <c:idx val="27"/>
          <c:order val="27"/>
          <c:tx>
            <c:strRef>
              <c:f>'[3]Chaleurs Brebis Points Rouges'!$G$1190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Rouges'!$J$1190:$J$1231</c:f>
              <c:numCache>
                <c:formatCode>General</c:formatCode>
                <c:ptCount val="42"/>
              </c:numCache>
            </c:numRef>
          </c:xVal>
          <c:yVal>
            <c:numRef>
              <c:f>'[3]Chaleurs Brebis Points Rouges'!$M$1190:$M$1231</c:f>
              <c:numCache>
                <c:formatCode>General</c:formatCode>
                <c:ptCount val="42"/>
              </c:numCache>
            </c:numRef>
          </c:yVal>
          <c:smooth val="0"/>
        </c:ser>
        <c:ser>
          <c:idx val="28"/>
          <c:order val="28"/>
          <c:tx>
            <c:strRef>
              <c:f>'[3]Chaleurs Brebis Points Rouges'!$G$1232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Rouges'!$J$1232:$J$1270</c:f>
              <c:numCache>
                <c:formatCode>General</c:formatCode>
                <c:ptCount val="39"/>
              </c:numCache>
            </c:numRef>
          </c:xVal>
          <c:yVal>
            <c:numRef>
              <c:f>'[3]Chaleurs Brebis Points Rouges'!$M$1232:$M$1270</c:f>
              <c:numCache>
                <c:formatCode>General</c:formatCode>
                <c:ptCount val="39"/>
              </c:numCache>
            </c:numRef>
          </c:yVal>
          <c:smooth val="0"/>
        </c:ser>
        <c:ser>
          <c:idx val="29"/>
          <c:order val="29"/>
          <c:tx>
            <c:strRef>
              <c:f>'[3]Chaleurs Brebis Points Rouges'!$G$1271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Rouges'!$J$1271:$J$1303</c:f>
              <c:numCache>
                <c:formatCode>General</c:formatCode>
                <c:ptCount val="33"/>
              </c:numCache>
            </c:numRef>
          </c:xVal>
          <c:yVal>
            <c:numRef>
              <c:f>'[3]Chaleurs Brebis Points Rouges'!$M$1271:$M$1303</c:f>
              <c:numCache>
                <c:formatCode>General</c:formatCode>
                <c:ptCount val="33"/>
              </c:numCache>
            </c:numRef>
          </c:yVal>
          <c:smooth val="0"/>
        </c:ser>
        <c:ser>
          <c:idx val="30"/>
          <c:order val="30"/>
          <c:tx>
            <c:strRef>
              <c:f>'[3]Chaleurs Brebis Points Rouges'!$G$1304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Rouges'!$J$1304:$J$1330</c:f>
              <c:numCache>
                <c:formatCode>General</c:formatCode>
                <c:ptCount val="27"/>
              </c:numCache>
            </c:numRef>
          </c:xVal>
          <c:yVal>
            <c:numRef>
              <c:f>'[3]Chaleurs Brebis Points Rouges'!$M$1304:$M$1330</c:f>
              <c:numCache>
                <c:formatCode>General</c:formatCode>
                <c:ptCount val="27"/>
              </c:numCache>
            </c:numRef>
          </c:yVal>
          <c:smooth val="0"/>
        </c:ser>
        <c:ser>
          <c:idx val="31"/>
          <c:order val="31"/>
          <c:tx>
            <c:strRef>
              <c:f>'[3]Chaleurs Brebis Points Rouges'!$G$1331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Rouges'!$J$1331:$J$1359</c:f>
              <c:numCache>
                <c:formatCode>General</c:formatCode>
                <c:ptCount val="29"/>
              </c:numCache>
            </c:numRef>
          </c:xVal>
          <c:yVal>
            <c:numRef>
              <c:f>'[3]Chaleurs Brebis Points Rouges'!$M$1331:$M$1359</c:f>
              <c:numCache>
                <c:formatCode>General</c:formatCode>
                <c:ptCount val="29"/>
              </c:numCache>
            </c:numRef>
          </c:yVal>
          <c:smooth val="0"/>
        </c:ser>
        <c:ser>
          <c:idx val="32"/>
          <c:order val="32"/>
          <c:tx>
            <c:strRef>
              <c:f>'[3]Chaleurs Brebis Points Rouges'!$G$1360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Rouges'!$J$1360</c:f>
              <c:numCache>
                <c:formatCode>General</c:formatCode>
                <c:ptCount val="1"/>
              </c:numCache>
            </c:numRef>
          </c:xVal>
          <c:yVal>
            <c:numRef>
              <c:f>'[3]Chaleurs Brebis Points Rouges'!$M$1360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33"/>
          <c:order val="33"/>
          <c:tx>
            <c:strRef>
              <c:f>'[3]Chaleurs Brebis Points Rouges'!$G$1361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Rouges'!$J$1361:$J$1396</c:f>
              <c:numCache>
                <c:formatCode>General</c:formatCode>
                <c:ptCount val="36"/>
              </c:numCache>
            </c:numRef>
          </c:xVal>
          <c:yVal>
            <c:numRef>
              <c:f>'[3]Chaleurs Brebis Points Rouges'!$M$1361:$M$1396</c:f>
              <c:numCache>
                <c:formatCode>General</c:formatCode>
                <c:ptCount val="36"/>
              </c:numCache>
            </c:numRef>
          </c:yVal>
          <c:smooth val="0"/>
        </c:ser>
        <c:ser>
          <c:idx val="34"/>
          <c:order val="34"/>
          <c:tx>
            <c:strRef>
              <c:f>'[3]Chaleurs Brebis Points Rouges'!$G$1397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Rouges'!$J$1397:$J$1450</c:f>
              <c:numCache>
                <c:formatCode>General</c:formatCode>
                <c:ptCount val="54"/>
              </c:numCache>
            </c:numRef>
          </c:xVal>
          <c:yVal>
            <c:numRef>
              <c:f>'[3]Chaleurs Brebis Points Rouges'!$M$1397:$M$1450</c:f>
              <c:numCache>
                <c:formatCode>General</c:formatCode>
                <c:ptCount val="54"/>
              </c:numCache>
            </c:numRef>
          </c:yVal>
          <c:smooth val="0"/>
        </c:ser>
        <c:ser>
          <c:idx val="35"/>
          <c:order val="35"/>
          <c:tx>
            <c:strRef>
              <c:f>'[3]Chaleurs Brebis Points Rouges'!$G$1451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Rouges'!$J$1451:$J$1466</c:f>
              <c:numCache>
                <c:formatCode>General</c:formatCode>
                <c:ptCount val="16"/>
              </c:numCache>
            </c:numRef>
          </c:xVal>
          <c:yVal>
            <c:numRef>
              <c:f>'[3]Chaleurs Brebis Points Rouges'!$M$1451:$M$1466</c:f>
              <c:numCache>
                <c:formatCode>General</c:formatCode>
                <c:ptCount val="16"/>
              </c:numCache>
            </c:numRef>
          </c:yVal>
          <c:smooth val="0"/>
        </c:ser>
        <c:ser>
          <c:idx val="36"/>
          <c:order val="36"/>
          <c:tx>
            <c:strRef>
              <c:f>'[3]Chaleurs Brebis Points Rouges'!$G$1467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Rouges'!$J$1467:$J$1527</c:f>
              <c:numCache>
                <c:formatCode>General</c:formatCode>
                <c:ptCount val="61"/>
              </c:numCache>
            </c:numRef>
          </c:xVal>
          <c:yVal>
            <c:numRef>
              <c:f>'[3]Chaleurs Brebis Points Rouges'!$M$1467:$M$1527</c:f>
              <c:numCache>
                <c:formatCode>General</c:formatCode>
                <c:ptCount val="61"/>
              </c:numCache>
            </c:numRef>
          </c:yVal>
          <c:smooth val="0"/>
        </c:ser>
        <c:ser>
          <c:idx val="37"/>
          <c:order val="37"/>
          <c:tx>
            <c:strRef>
              <c:f>'[3]Chaleurs Brebis Points Rouges'!$G$1528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Rouges'!$J$1528:$J$1550</c:f>
              <c:numCache>
                <c:formatCode>General</c:formatCode>
                <c:ptCount val="23"/>
              </c:numCache>
            </c:numRef>
          </c:xVal>
          <c:yVal>
            <c:numRef>
              <c:f>'[3]Chaleurs Brebis Points Rouges'!$M$1528:$M$1550</c:f>
              <c:numCache>
                <c:formatCode>General</c:formatCode>
                <c:ptCount val="23"/>
              </c:numCache>
            </c:numRef>
          </c:yVal>
          <c:smooth val="0"/>
        </c:ser>
        <c:ser>
          <c:idx val="38"/>
          <c:order val="38"/>
          <c:tx>
            <c:strRef>
              <c:f>'[3]Chaleurs Brebis Points Rouges'!$G$1551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Rouges'!$J$1551:$J$1593</c:f>
              <c:numCache>
                <c:formatCode>General</c:formatCode>
                <c:ptCount val="43"/>
              </c:numCache>
            </c:numRef>
          </c:xVal>
          <c:yVal>
            <c:numRef>
              <c:f>'[3]Chaleurs Brebis Points Rouges'!$M$1551:$M$1593</c:f>
              <c:numCache>
                <c:formatCode>General</c:formatCode>
                <c:ptCount val="43"/>
              </c:numCache>
            </c:numRef>
          </c:yVal>
          <c:smooth val="0"/>
        </c:ser>
        <c:ser>
          <c:idx val="39"/>
          <c:order val="39"/>
          <c:tx>
            <c:strRef>
              <c:f>'[3]Chaleurs Brebis Points Rouges'!$G$1594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Rouges'!$J$1594:$J$1628</c:f>
              <c:numCache>
                <c:formatCode>General</c:formatCode>
                <c:ptCount val="35"/>
              </c:numCache>
            </c:numRef>
          </c:xVal>
          <c:yVal>
            <c:numRef>
              <c:f>'[3]Chaleurs Brebis Points Rouges'!$M$1594:$M$1628</c:f>
              <c:numCache>
                <c:formatCode>General</c:formatCode>
                <c:ptCount val="35"/>
              </c:numCache>
            </c:numRef>
          </c:yVal>
          <c:smooth val="0"/>
        </c:ser>
        <c:ser>
          <c:idx val="40"/>
          <c:order val="40"/>
          <c:tx>
            <c:strRef>
              <c:f>'[3]Chaleurs Brebis Points Rouges'!$G$1629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Rouges'!$J$1629:$J$1634</c:f>
              <c:numCache>
                <c:formatCode>General</c:formatCode>
                <c:ptCount val="6"/>
              </c:numCache>
            </c:numRef>
          </c:xVal>
          <c:yVal>
            <c:numRef>
              <c:f>'[3]Chaleurs Brebis Points Rouges'!$M$1629:$M$1634</c:f>
              <c:numCache>
                <c:formatCode>General</c:formatCode>
                <c:ptCount val="6"/>
              </c:numCache>
            </c:numRef>
          </c:yVal>
          <c:smooth val="0"/>
        </c:ser>
        <c:ser>
          <c:idx val="41"/>
          <c:order val="41"/>
          <c:tx>
            <c:strRef>
              <c:f>'[3]Chaleurs Brebis Points Rouges'!$G$1635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Rouges'!$J$1635:$J$1662</c:f>
              <c:numCache>
                <c:formatCode>General</c:formatCode>
                <c:ptCount val="28"/>
              </c:numCache>
            </c:numRef>
          </c:xVal>
          <c:yVal>
            <c:numRef>
              <c:f>'[3]Chaleurs Brebis Points Rouges'!$M$1635:$M$1662</c:f>
              <c:numCache>
                <c:formatCode>General</c:formatCode>
                <c:ptCount val="28"/>
              </c:numCache>
            </c:numRef>
          </c:yVal>
          <c:smooth val="0"/>
        </c:ser>
        <c:ser>
          <c:idx val="42"/>
          <c:order val="42"/>
          <c:tx>
            <c:strRef>
              <c:f>'[3]Chaleurs Brebis Points Rouges'!$G$1663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Rouges'!$J$1663:$J$1666</c:f>
              <c:numCache>
                <c:formatCode>General</c:formatCode>
                <c:ptCount val="4"/>
              </c:numCache>
            </c:numRef>
          </c:xVal>
          <c:yVal>
            <c:numRef>
              <c:f>'[3]Chaleurs Brebis Points Rouges'!$M$1663:$M$1666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43"/>
          <c:order val="43"/>
          <c:tx>
            <c:strRef>
              <c:f>'[3]Chaleurs Brebis Points Rouges'!$G$1667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Rouges'!$J$1667:$J$1677</c:f>
              <c:numCache>
                <c:formatCode>General</c:formatCode>
                <c:ptCount val="11"/>
              </c:numCache>
            </c:numRef>
          </c:xVal>
          <c:yVal>
            <c:numRef>
              <c:f>'[3]Chaleurs Brebis Points Rouges'!$M$1667:$M$1677</c:f>
              <c:numCache>
                <c:formatCode>General</c:formatCode>
                <c:ptCount val="11"/>
              </c:numCache>
            </c:numRef>
          </c:yVal>
          <c:smooth val="0"/>
        </c:ser>
        <c:ser>
          <c:idx val="44"/>
          <c:order val="44"/>
          <c:tx>
            <c:strRef>
              <c:f>'[3]Chaleurs Brebis Points Rouges'!$G$1678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Rouges'!$J$1678:$J$1687</c:f>
              <c:numCache>
                <c:formatCode>General</c:formatCode>
                <c:ptCount val="10"/>
              </c:numCache>
            </c:numRef>
          </c:xVal>
          <c:yVal>
            <c:numRef>
              <c:f>'[3]Chaleurs Brebis Points Rouges'!$M$1678:$M$1687</c:f>
              <c:numCache>
                <c:formatCode>General</c:formatCode>
                <c:ptCount val="10"/>
              </c:numCache>
            </c:numRef>
          </c:yVal>
          <c:smooth val="0"/>
        </c:ser>
        <c:ser>
          <c:idx val="45"/>
          <c:order val="45"/>
          <c:tx>
            <c:strRef>
              <c:f>'[3]Chaleurs Brebis Points Rouges'!$G$2311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Rouges'!$J$2311:$J$2326</c:f>
              <c:numCache>
                <c:formatCode>General</c:formatCode>
                <c:ptCount val="16"/>
              </c:numCache>
            </c:numRef>
          </c:xVal>
          <c:yVal>
            <c:numRef>
              <c:f>'[3]Chaleurs Brebis Points Rouges'!$M$2311:$M$2326</c:f>
              <c:numCache>
                <c:formatCode>General</c:formatCode>
                <c:ptCount val="16"/>
              </c:numCache>
            </c:numRef>
          </c:yVal>
          <c:smooth val="0"/>
        </c:ser>
        <c:ser>
          <c:idx val="46"/>
          <c:order val="46"/>
          <c:tx>
            <c:strRef>
              <c:f>'[3]Chaleurs Brebis Points Rouges'!$G$2403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Rouges'!$J$2403:$J$2505</c:f>
              <c:numCache>
                <c:formatCode>General</c:formatCode>
                <c:ptCount val="103"/>
              </c:numCache>
            </c:numRef>
          </c:xVal>
          <c:yVal>
            <c:numRef>
              <c:f>'[3]Chaleurs Brebis Points Rouges'!$M$2403:$M$2505</c:f>
              <c:numCache>
                <c:formatCode>General</c:formatCode>
                <c:ptCount val="103"/>
              </c:numCache>
            </c:numRef>
          </c:yVal>
          <c:smooth val="0"/>
        </c:ser>
        <c:ser>
          <c:idx val="47"/>
          <c:order val="47"/>
          <c:tx>
            <c:strRef>
              <c:f>'[3]Chaleurs Brebis Points Rouges'!$G$2673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Rouges'!$J$2673:$J$2678</c:f>
              <c:numCache>
                <c:formatCode>General</c:formatCode>
                <c:ptCount val="6"/>
              </c:numCache>
            </c:numRef>
          </c:xVal>
          <c:yVal>
            <c:numRef>
              <c:f>'[3]Chaleurs Brebis Points Rouges'!$M$2673:$M$2678</c:f>
              <c:numCache>
                <c:formatCode>General</c:formatCode>
                <c:ptCount val="6"/>
              </c:numCache>
            </c:numRef>
          </c:yVal>
          <c:smooth val="0"/>
        </c:ser>
        <c:ser>
          <c:idx val="48"/>
          <c:order val="48"/>
          <c:tx>
            <c:strRef>
              <c:f>'[3]Chaleurs Brebis Points Rouges'!$G$2679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Rouges'!$J$2679</c:f>
              <c:numCache>
                <c:formatCode>General</c:formatCode>
                <c:ptCount val="1"/>
              </c:numCache>
            </c:numRef>
          </c:xVal>
          <c:yVal>
            <c:numRef>
              <c:f>'[3]Chaleurs Brebis Points Rouges'!$M$2679</c:f>
              <c:numCache>
                <c:formatCode>General</c:formatCode>
                <c:ptCount val="1"/>
              </c:numCache>
            </c:numRef>
          </c:yVal>
          <c:smooth val="0"/>
        </c:ser>
        <c:axId val="8323554"/>
        <c:axId val="9102471"/>
      </c:scatterChart>
      <c:valAx>
        <c:axId val="8323554"/>
        <c:scaling>
          <c:orientation val="minMax"/>
          <c:max val="45090"/>
          <c:min val="45055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Temps</a:t>
                </a:r>
              </a:p>
            </c:rich>
          </c:tx>
          <c:layout>
            <c:manualLayout>
              <c:xMode val="edge"/>
              <c:yMode val="edge"/>
              <c:x val="0.949911443930025"/>
              <c:y val="0.937065177590626"/>
            </c:manualLayout>
          </c:layout>
          <c:overlay val="0"/>
          <c:spPr>
            <a:noFill/>
            <a:ln w="0">
              <a:noFill/>
            </a:ln>
          </c:spPr>
        </c:title>
        <c:numFmt formatCode="dd/mm/yy\ hh:mm" sourceLinked="0"/>
        <c:majorTickMark val="out"/>
        <c:minorTickMark val="out"/>
        <c:tickLblPos val="nextTo"/>
        <c:spPr>
          <a:ln w="6480">
            <a:solidFill>
              <a:srgbClr val="000000"/>
            </a:solidFill>
            <a:round/>
          </a:ln>
        </c:spPr>
        <c:txPr>
          <a:bodyPr rot="5400000"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102471"/>
        <c:crosses val="autoZero"/>
        <c:crossBetween val="midCat"/>
        <c:majorUnit val="1"/>
        <c:minorUnit val="0.0833333333333333"/>
      </c:valAx>
      <c:valAx>
        <c:axId val="9102471"/>
        <c:scaling>
          <c:orientation val="minMax"/>
          <c:max val="90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minorGridlines>
          <c:spPr>
            <a:ln w="3240">
              <a:solidFill>
                <a:srgbClr val="000000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1" lang="fr-FR" sz="11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100" spc="-1" strike="noStrike">
                    <a:solidFill>
                      <a:srgbClr val="000000"/>
                    </a:solidFill>
                    <a:latin typeface="Calibri"/>
                  </a:rPr>
                  <a:t>N° des brebis</a:t>
                </a:r>
              </a:p>
            </c:rich>
          </c:tx>
          <c:layout>
            <c:manualLayout>
              <c:xMode val="edge"/>
              <c:yMode val="edge"/>
              <c:x val="0.00947705310256968"/>
              <c:y val="0.422601611131454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3554"/>
        <c:crosses val="autoZero"/>
        <c:crossBetween val="midCat"/>
        <c:majorUnit val="2"/>
        <c:minorUnit val="1"/>
      </c:valAx>
      <c:spPr>
        <a:noFill/>
        <a:ln w="0">
          <a:solidFill>
            <a:srgbClr val="000000"/>
          </a:solidFill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fr-FR" sz="1800" spc="-1" strike="noStrike">
                <a:solidFill>
                  <a:srgbClr val="000000"/>
                </a:solidFill>
                <a:latin typeface="Calibri"/>
              </a:rPr>
              <a:t>Brebis chevauchées: lot SR 1/25 (La Cazotte 2023) </a:t>
            </a:r>
          </a:p>
        </c:rich>
      </c:tx>
      <c:layout>
        <c:manualLayout>
          <c:xMode val="edge"/>
          <c:yMode val="edge"/>
          <c:x val="0.334120498399776"/>
          <c:y val="0.0096624994275770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84780784886431"/>
          <c:y val="0.0611347712597884"/>
          <c:w val="0.877419755771681"/>
          <c:h val="0.823327380134634"/>
        </c:manualLayout>
      </c:layout>
      <c:scatterChart>
        <c:scatterStyle val="lineMarker"/>
        <c:varyColors val="0"/>
        <c:ser>
          <c:idx val="0"/>
          <c:order val="0"/>
          <c:tx>
            <c:strRef>
              <c:f>'[3]Chaleurs Brebis Points Rouges'!$G$1688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Rouges'!$J$1688:$J$1689</c:f>
              <c:numCache>
                <c:formatCode>General</c:formatCode>
                <c:ptCount val="2"/>
              </c:numCache>
            </c:numRef>
          </c:xVal>
          <c:yVal>
            <c:numRef>
              <c:f>'[3]Chaleurs Brebis Points Rouges'!$M$1688:$M$1689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1"/>
          <c:order val="1"/>
          <c:tx>
            <c:strRef>
              <c:f>'[3]Chaleurs Brebis Points Rouges'!$G$1690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Rouges'!$J$1690:$J$1698</c:f>
              <c:numCache>
                <c:formatCode>General</c:formatCode>
                <c:ptCount val="9"/>
              </c:numCache>
            </c:numRef>
          </c:xVal>
          <c:yVal>
            <c:numRef>
              <c:f>'[3]Chaleurs Brebis Points Rouges'!$M$1690:$M$1698</c:f>
              <c:numCache>
                <c:formatCode>General</c:formatCode>
                <c:ptCount val="9"/>
              </c:numCache>
            </c:numRef>
          </c:yVal>
          <c:smooth val="0"/>
        </c:ser>
        <c:ser>
          <c:idx val="2"/>
          <c:order val="2"/>
          <c:tx>
            <c:strRef>
              <c:f>'[3]Chaleurs Brebis Points Rouges'!$G$1699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Rouges'!$J$1699</c:f>
              <c:numCache>
                <c:formatCode>General</c:formatCode>
                <c:ptCount val="1"/>
              </c:numCache>
            </c:numRef>
          </c:xVal>
          <c:yVal>
            <c:numRef>
              <c:f>'[3]Chaleurs Brebis Points Rouges'!$M$1699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3"/>
          <c:order val="3"/>
          <c:tx>
            <c:strRef>
              <c:f>'[3]Chaleurs Brebis Points Rouges'!$G$1700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Rouges'!$J$1700:$J$1717</c:f>
              <c:numCache>
                <c:formatCode>General</c:formatCode>
                <c:ptCount val="18"/>
              </c:numCache>
            </c:numRef>
          </c:xVal>
          <c:yVal>
            <c:numRef>
              <c:f>'[3]Chaleurs Brebis Points Rouges'!$M$1700:$M$1717</c:f>
              <c:numCache>
                <c:formatCode>General</c:formatCode>
                <c:ptCount val="18"/>
              </c:numCache>
            </c:numRef>
          </c:yVal>
          <c:smooth val="0"/>
        </c:ser>
        <c:ser>
          <c:idx val="4"/>
          <c:order val="4"/>
          <c:tx>
            <c:strRef>
              <c:f>'[3]Chaleurs Brebis Points Rouges'!$G$1718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Rouges'!$J$1718:$J$1745</c:f>
              <c:numCache>
                <c:formatCode>General</c:formatCode>
                <c:ptCount val="28"/>
              </c:numCache>
            </c:numRef>
          </c:xVal>
          <c:yVal>
            <c:numRef>
              <c:f>'[3]Chaleurs Brebis Points Rouges'!$M$1718:$M$1745</c:f>
              <c:numCache>
                <c:formatCode>General</c:formatCode>
                <c:ptCount val="28"/>
              </c:numCache>
            </c:numRef>
          </c:yVal>
          <c:smooth val="0"/>
        </c:ser>
        <c:ser>
          <c:idx val="5"/>
          <c:order val="5"/>
          <c:tx>
            <c:strRef>
              <c:f>'[3]Chaleurs Brebis Points Rouges'!$G$1746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Rouges'!$J$1746:$J$1847</c:f>
              <c:numCache>
                <c:formatCode>General</c:formatCode>
                <c:ptCount val="102"/>
              </c:numCache>
            </c:numRef>
          </c:xVal>
          <c:yVal>
            <c:numRef>
              <c:f>'[3]Chaleurs Brebis Points Rouges'!$M$1746:$M$1847</c:f>
              <c:numCache>
                <c:formatCode>General</c:formatCode>
                <c:ptCount val="102"/>
              </c:numCache>
            </c:numRef>
          </c:yVal>
          <c:smooth val="0"/>
        </c:ser>
        <c:ser>
          <c:idx val="6"/>
          <c:order val="6"/>
          <c:tx>
            <c:strRef>
              <c:f>'[3]Chaleurs Brebis Points Rouges'!$G$1848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Rouges'!$J$1848:$J$1873</c:f>
              <c:numCache>
                <c:formatCode>General</c:formatCode>
                <c:ptCount val="26"/>
              </c:numCache>
            </c:numRef>
          </c:xVal>
          <c:yVal>
            <c:numRef>
              <c:f>'[3]Chaleurs Brebis Points Rouges'!$M$1848:$M$1873</c:f>
              <c:numCache>
                <c:formatCode>General</c:formatCode>
                <c:ptCount val="26"/>
              </c:numCache>
            </c:numRef>
          </c:yVal>
          <c:smooth val="0"/>
        </c:ser>
        <c:ser>
          <c:idx val="7"/>
          <c:order val="7"/>
          <c:tx>
            <c:strRef>
              <c:f>'[3]Chaleurs Brebis Points Rouges'!$G$1874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87cc6"/>
            </a:solidFill>
            <a:ln w="19080">
              <a:solidFill>
                <a:srgbClr val="587cc6"/>
              </a:solidFill>
              <a:round/>
            </a:ln>
          </c:spPr>
          <c:marker>
            <c:symbol val="triangle"/>
            <c:size val="7"/>
            <c:spPr>
              <a:solidFill>
                <a:srgbClr val="587cc6"/>
              </a:solidFill>
            </c:spPr>
          </c:marker>
          <c:dPt>
            <c:idx val="1"/>
            <c:marker>
              <c:symbol val="triangle"/>
              <c:size val="7"/>
              <c:spPr>
                <a:solidFill>
                  <a:srgbClr val="587cc6"/>
                </a:solidFill>
              </c:spPr>
            </c:marker>
          </c:dPt>
          <c:dPt>
            <c:idx val="8"/>
            <c:marker>
              <c:symbol val="triangle"/>
              <c:size val="7"/>
              <c:spPr>
                <a:solidFill>
                  <a:srgbClr val="587cc6"/>
                </a:solidFill>
              </c:spPr>
            </c:marker>
          </c:dPt>
          <c:dLbls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Rouges'!$J$1874:$J$1882</c:f>
              <c:numCache>
                <c:formatCode>General</c:formatCode>
                <c:ptCount val="9"/>
              </c:numCache>
            </c:numRef>
          </c:xVal>
          <c:yVal>
            <c:numRef>
              <c:f>'[3]Chaleurs Brebis Points Rouges'!$M$1874:$M$1882</c:f>
              <c:numCache>
                <c:formatCode>General</c:formatCode>
                <c:ptCount val="9"/>
              </c:numCache>
            </c:numRef>
          </c:yVal>
          <c:smooth val="0"/>
        </c:ser>
        <c:ser>
          <c:idx val="8"/>
          <c:order val="8"/>
          <c:tx>
            <c:strRef>
              <c:f>'[3]Chaleurs Brebis Points Rouges'!$G$1883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Rouges'!$J$1883:$J$1935</c:f>
              <c:numCache>
                <c:formatCode>General</c:formatCode>
                <c:ptCount val="53"/>
              </c:numCache>
            </c:numRef>
          </c:xVal>
          <c:yVal>
            <c:numRef>
              <c:f>'[3]Chaleurs Brebis Points Rouges'!$M$1883:$M$1935</c:f>
              <c:numCache>
                <c:formatCode>General</c:formatCode>
                <c:ptCount val="53"/>
              </c:numCache>
            </c:numRef>
          </c:yVal>
          <c:smooth val="0"/>
        </c:ser>
        <c:ser>
          <c:idx val="9"/>
          <c:order val="9"/>
          <c:tx>
            <c:strRef>
              <c:f>'[3]Chaleurs Brebis Points Rouges'!$G$1936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Rouges'!$J$1936:$J$1994</c:f>
              <c:numCache>
                <c:formatCode>General</c:formatCode>
                <c:ptCount val="59"/>
              </c:numCache>
            </c:numRef>
          </c:xVal>
          <c:yVal>
            <c:numRef>
              <c:f>'[3]Chaleurs Brebis Points Rouges'!$M$1936:$M$1994</c:f>
              <c:numCache>
                <c:formatCode>General</c:formatCode>
                <c:ptCount val="59"/>
              </c:numCache>
            </c:numRef>
          </c:yVal>
          <c:smooth val="0"/>
        </c:ser>
        <c:ser>
          <c:idx val="10"/>
          <c:order val="10"/>
          <c:tx>
            <c:strRef>
              <c:f>'[3]Chaleurs Brebis Points Rouges'!$G$1995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Rouges'!$J$1995:$J$2022</c:f>
              <c:numCache>
                <c:formatCode>General</c:formatCode>
                <c:ptCount val="28"/>
              </c:numCache>
            </c:numRef>
          </c:xVal>
          <c:yVal>
            <c:numRef>
              <c:f>'[3]Chaleurs Brebis Points Rouges'!$M$1995:$M$2022</c:f>
              <c:numCache>
                <c:formatCode>General</c:formatCode>
                <c:ptCount val="28"/>
              </c:numCache>
            </c:numRef>
          </c:yVal>
          <c:smooth val="0"/>
        </c:ser>
        <c:ser>
          <c:idx val="11"/>
          <c:order val="11"/>
          <c:tx>
            <c:strRef>
              <c:f>'[3]Chaleurs Brebis Points Rouges'!$G$2023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Rouges'!$J$2023:$J$2028</c:f>
              <c:numCache>
                <c:formatCode>General</c:formatCode>
                <c:ptCount val="6"/>
              </c:numCache>
            </c:numRef>
          </c:xVal>
          <c:yVal>
            <c:numRef>
              <c:f>'[3]Chaleurs Brebis Points Rouges'!$M$2023:$M$2028</c:f>
              <c:numCache>
                <c:formatCode>General</c:formatCode>
                <c:ptCount val="6"/>
              </c:numCache>
            </c:numRef>
          </c:yVal>
          <c:smooth val="0"/>
        </c:ser>
        <c:ser>
          <c:idx val="12"/>
          <c:order val="12"/>
          <c:tx>
            <c:strRef>
              <c:f>'[3]Chaleurs Brebis Points Rouges'!$G$2029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Rouges'!$J$2029:$J$2044</c:f>
              <c:numCache>
                <c:formatCode>General</c:formatCode>
                <c:ptCount val="16"/>
              </c:numCache>
            </c:numRef>
          </c:xVal>
          <c:yVal>
            <c:numRef>
              <c:f>'[3]Chaleurs Brebis Points Rouges'!$M$2029:$M$2044</c:f>
              <c:numCache>
                <c:formatCode>General</c:formatCode>
                <c:ptCount val="16"/>
              </c:numCache>
            </c:numRef>
          </c:yVal>
          <c:smooth val="0"/>
        </c:ser>
        <c:ser>
          <c:idx val="13"/>
          <c:order val="13"/>
          <c:tx>
            <c:strRef>
              <c:f>'[3]Chaleurs Brebis Points Rouges'!$G$2045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Rouges'!$J$2045:$J$2059</c:f>
              <c:numCache>
                <c:formatCode>General</c:formatCode>
                <c:ptCount val="15"/>
              </c:numCache>
            </c:numRef>
          </c:xVal>
          <c:yVal>
            <c:numRef>
              <c:f>'[3]Chaleurs Brebis Points Rouges'!$M$2045:$M$2059</c:f>
              <c:numCache>
                <c:formatCode>General</c:formatCode>
                <c:ptCount val="15"/>
              </c:numCache>
            </c:numRef>
          </c:yVal>
          <c:smooth val="0"/>
        </c:ser>
        <c:ser>
          <c:idx val="14"/>
          <c:order val="14"/>
          <c:tx>
            <c:strRef>
              <c:f>'[3]Chaleurs Brebis Points Rouges'!$G$2060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Rouges'!$J$2060:$J$2099</c:f>
              <c:numCache>
                <c:formatCode>General</c:formatCode>
                <c:ptCount val="40"/>
              </c:numCache>
            </c:numRef>
          </c:xVal>
          <c:yVal>
            <c:numRef>
              <c:f>'[3]Chaleurs Brebis Points Rouges'!$M$2060:$M$2099</c:f>
              <c:numCache>
                <c:formatCode>General</c:formatCode>
                <c:ptCount val="40"/>
              </c:numCache>
            </c:numRef>
          </c:yVal>
          <c:smooth val="0"/>
        </c:ser>
        <c:ser>
          <c:idx val="15"/>
          <c:order val="15"/>
          <c:tx>
            <c:strRef>
              <c:f>'[3]Chaleurs Brebis Points Rouges'!$G$2100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Rouges'!$J$2100:$J$2104</c:f>
              <c:numCache>
                <c:formatCode>General</c:formatCode>
                <c:ptCount val="5"/>
              </c:numCache>
            </c:numRef>
          </c:xVal>
          <c:yVal>
            <c:numRef>
              <c:f>'[3]Chaleurs Brebis Points Rouges'!$M$2100:$M$2104</c:f>
              <c:numCache>
                <c:formatCode>General</c:formatCode>
                <c:ptCount val="5"/>
              </c:numCache>
            </c:numRef>
          </c:yVal>
          <c:smooth val="0"/>
        </c:ser>
        <c:ser>
          <c:idx val="16"/>
          <c:order val="16"/>
          <c:tx>
            <c:strRef>
              <c:f>'[3]Chaleurs Brebis Points Rouges'!$G$2105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Rouges'!$J$2105:$J$2107</c:f>
              <c:numCache>
                <c:formatCode>General</c:formatCode>
                <c:ptCount val="3"/>
              </c:numCache>
            </c:numRef>
          </c:xVal>
          <c:yVal>
            <c:numRef>
              <c:f>'[3]Chaleurs Brebis Points Rouges'!$M$2105:$M$2107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17"/>
          <c:order val="17"/>
          <c:tx>
            <c:strRef>
              <c:f>'[3]Chaleurs Brebis Points Rouges'!$G$2108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Rouges'!$J$2108:$J$2112</c:f>
              <c:numCache>
                <c:formatCode>General</c:formatCode>
                <c:ptCount val="5"/>
              </c:numCache>
            </c:numRef>
          </c:xVal>
          <c:yVal>
            <c:numRef>
              <c:f>'[3]Chaleurs Brebis Points Rouges'!$M$2108:$M$2112</c:f>
              <c:numCache>
                <c:formatCode>General</c:formatCode>
                <c:ptCount val="5"/>
              </c:numCache>
            </c:numRef>
          </c:yVal>
          <c:smooth val="0"/>
        </c:ser>
        <c:ser>
          <c:idx val="18"/>
          <c:order val="18"/>
          <c:tx>
            <c:strRef>
              <c:f>'[3]Chaleurs Brebis Points Rouges'!$G$2113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Rouges'!$J$2113:$J$2115</c:f>
              <c:numCache>
                <c:formatCode>General</c:formatCode>
                <c:ptCount val="3"/>
              </c:numCache>
            </c:numRef>
          </c:xVal>
          <c:yVal>
            <c:numRef>
              <c:f>'[3]Chaleurs Brebis Points Rouges'!$M$2113:$M$2115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19"/>
          <c:order val="19"/>
          <c:tx>
            <c:strRef>
              <c:f>'[3]Chaleurs Brebis Points Rouges'!$G$2116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Rouges'!$J$2116:$J$2118</c:f>
              <c:numCache>
                <c:formatCode>General</c:formatCode>
                <c:ptCount val="3"/>
              </c:numCache>
            </c:numRef>
          </c:xVal>
          <c:yVal>
            <c:numRef>
              <c:f>'[3]Chaleurs Brebis Points Rouges'!$M$2116:$M$2118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20"/>
          <c:order val="20"/>
          <c:tx>
            <c:strRef>
              <c:f>'[3]Chaleurs Brebis Points Rouges'!$G$2119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Rouges'!$J$2119:$J$2122</c:f>
              <c:numCache>
                <c:formatCode>General</c:formatCode>
                <c:ptCount val="4"/>
              </c:numCache>
            </c:numRef>
          </c:xVal>
          <c:yVal>
            <c:numRef>
              <c:f>'[3]Chaleurs Brebis Points Rouges'!$M$2119:$M$2122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21"/>
          <c:order val="21"/>
          <c:tx>
            <c:strRef>
              <c:f>'[3]Chaleurs Brebis Points Rouges'!$G$2123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Rouges'!$J$2123</c:f>
              <c:numCache>
                <c:formatCode>General</c:formatCode>
                <c:ptCount val="1"/>
              </c:numCache>
            </c:numRef>
          </c:xVal>
          <c:yVal>
            <c:numRef>
              <c:f>'[3]Chaleurs Brebis Points Rouges'!$M$2123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22"/>
          <c:order val="22"/>
          <c:tx>
            <c:strRef>
              <c:f>'[3]Chaleurs Brebis Points Rouges'!$G$2124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Rouges'!$J$2124:$J$2125</c:f>
              <c:numCache>
                <c:formatCode>General</c:formatCode>
                <c:ptCount val="2"/>
              </c:numCache>
            </c:numRef>
          </c:xVal>
          <c:yVal>
            <c:numRef>
              <c:f>'[3]Chaleurs Brebis Points Rouges'!$M$2124:$M$2125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23"/>
          <c:order val="23"/>
          <c:tx>
            <c:strRef>
              <c:f>'[3]Chaleurs Brebis Points Rouges'!$G$2126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Rouges'!$J$2126:$J$2132</c:f>
              <c:numCache>
                <c:formatCode>General</c:formatCode>
                <c:ptCount val="7"/>
              </c:numCache>
            </c:numRef>
          </c:xVal>
          <c:yVal>
            <c:numRef>
              <c:f>'[3]Chaleurs Brebis Points Rouges'!$M$2126:$M$2132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4"/>
          <c:order val="24"/>
          <c:tx>
            <c:strRef>
              <c:f>'[3]Chaleurs Brebis Points Rouges'!$G$2133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Rouges'!$J$2133:$J$2134</c:f>
              <c:numCache>
                <c:formatCode>General</c:formatCode>
                <c:ptCount val="2"/>
              </c:numCache>
            </c:numRef>
          </c:xVal>
          <c:yVal>
            <c:numRef>
              <c:f>'[3]Chaleurs Brebis Points Rouges'!$M$2133:$M$2134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25"/>
          <c:order val="25"/>
          <c:tx>
            <c:strRef>
              <c:f>'[3]Chaleurs Brebis Points Rouges'!$G$2135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1908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Rouges'!$J$2135</c:f>
              <c:numCache>
                <c:formatCode>General</c:formatCode>
                <c:ptCount val="1"/>
              </c:numCache>
            </c:numRef>
          </c:xVal>
          <c:yVal>
            <c:numRef>
              <c:f>'[3]Chaleurs Brebis Points Rouges'!$M$2135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26"/>
          <c:order val="26"/>
          <c:tx>
            <c:strRef>
              <c:f>'[3]Chaleurs Brebis Points Rouges'!$G$2136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Rouges'!$J$2136:$J$2187</c:f>
              <c:numCache>
                <c:formatCode>General</c:formatCode>
                <c:ptCount val="52"/>
              </c:numCache>
            </c:numRef>
          </c:xVal>
          <c:yVal>
            <c:numRef>
              <c:f>'[3]Chaleurs Brebis Points Rouges'!$M$2136:$M$2187</c:f>
              <c:numCache>
                <c:formatCode>General</c:formatCode>
                <c:ptCount val="52"/>
              </c:numCache>
            </c:numRef>
          </c:yVal>
          <c:smooth val="0"/>
        </c:ser>
        <c:ser>
          <c:idx val="27"/>
          <c:order val="27"/>
          <c:tx>
            <c:strRef>
              <c:f>'[3]Chaleurs Brebis Points Rouges'!$G$2188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Rouges'!$J$2188:$J$2215</c:f>
              <c:numCache>
                <c:formatCode>General</c:formatCode>
                <c:ptCount val="28"/>
              </c:numCache>
            </c:numRef>
          </c:xVal>
          <c:yVal>
            <c:numRef>
              <c:f>'[3]Chaleurs Brebis Points Rouges'!$M$2188:$M$2215</c:f>
              <c:numCache>
                <c:formatCode>General</c:formatCode>
                <c:ptCount val="28"/>
              </c:numCache>
            </c:numRef>
          </c:yVal>
          <c:smooth val="0"/>
        </c:ser>
        <c:ser>
          <c:idx val="28"/>
          <c:order val="28"/>
          <c:tx>
            <c:strRef>
              <c:f>'[3]Chaleurs Brebis Points Rouges'!$G$2216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Rouges'!$J$2216:$J$2217</c:f>
              <c:numCache>
                <c:formatCode>General</c:formatCode>
                <c:ptCount val="2"/>
              </c:numCache>
            </c:numRef>
          </c:xVal>
          <c:yVal>
            <c:numRef>
              <c:f>'[3]Chaleurs Brebis Points Rouges'!$M$2216:$M$2217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29"/>
          <c:order val="29"/>
          <c:tx>
            <c:strRef>
              <c:f>'[3]Chaleurs Brebis Points Rouges'!$G$2218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Rouges'!$J$2218</c:f>
              <c:numCache>
                <c:formatCode>General</c:formatCode>
                <c:ptCount val="1"/>
              </c:numCache>
            </c:numRef>
          </c:xVal>
          <c:yVal>
            <c:numRef>
              <c:f>'[3]Chaleurs Brebis Points Rouges'!$M$2218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30"/>
          <c:order val="30"/>
          <c:tx>
            <c:strRef>
              <c:f>'[3]Chaleurs Brebis Points Rouges'!$G$2219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Rouges'!$J$2219</c:f>
              <c:numCache>
                <c:formatCode>General</c:formatCode>
                <c:ptCount val="1"/>
              </c:numCache>
            </c:numRef>
          </c:xVal>
          <c:yVal>
            <c:numRef>
              <c:f>'[3]Chaleurs Brebis Points Rouges'!$M$2219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31"/>
          <c:order val="31"/>
          <c:tx>
            <c:strRef>
              <c:f>'[3]Chaleurs Brebis Points Rouges'!$G$2220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</c:spPr>
          </c:marker>
          <c:dPt>
            <c:idx val="1"/>
            <c:marker>
              <c:symbol val="triangle"/>
              <c:size val="7"/>
              <c:spPr>
                <a:solidFill>
                  <a:srgbClr val="ffffff"/>
                </a:solidFill>
              </c:spPr>
            </c:marker>
          </c:dPt>
          <c:dLbls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Rouges'!$J$2220:$J$2308</c:f>
              <c:numCache>
                <c:formatCode>General</c:formatCode>
                <c:ptCount val="89"/>
              </c:numCache>
            </c:numRef>
          </c:xVal>
          <c:yVal>
            <c:numRef>
              <c:f>'[3]Chaleurs Brebis Points Rouges'!$M$2220:$M$2308</c:f>
              <c:numCache>
                <c:formatCode>General</c:formatCode>
                <c:ptCount val="89"/>
              </c:numCache>
            </c:numRef>
          </c:yVal>
          <c:smooth val="0"/>
        </c:ser>
        <c:ser>
          <c:idx val="32"/>
          <c:order val="32"/>
          <c:tx>
            <c:strRef>
              <c:f>'[3]Chaleurs Brebis Points Rouges'!$G$2309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Rouges'!$J$2309:$J$2310</c:f>
              <c:numCache>
                <c:formatCode>General</c:formatCode>
                <c:ptCount val="2"/>
              </c:numCache>
            </c:numRef>
          </c:xVal>
          <c:yVal>
            <c:numRef>
              <c:f>'[3]Chaleurs Brebis Points Rouges'!$M$2309:$M$2310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33"/>
          <c:order val="33"/>
          <c:tx>
            <c:strRef>
              <c:f>'[3]Chaleurs Brebis Points Rouges'!$G$2327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Rouges'!$J$2327:$J$2402</c:f>
              <c:numCache>
                <c:formatCode>General</c:formatCode>
                <c:ptCount val="76"/>
              </c:numCache>
            </c:numRef>
          </c:xVal>
          <c:yVal>
            <c:numRef>
              <c:f>'[3]Chaleurs Brebis Points Rouges'!$M$2327:$M$2402</c:f>
              <c:numCache>
                <c:formatCode>General</c:formatCode>
                <c:ptCount val="76"/>
              </c:numCache>
            </c:numRef>
          </c:yVal>
          <c:smooth val="0"/>
        </c:ser>
        <c:ser>
          <c:idx val="34"/>
          <c:order val="34"/>
          <c:tx>
            <c:strRef>
              <c:f>'[3]Chaleurs Brebis Points Rouges'!$G$2506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Rouges'!$J$2506:$J$2607</c:f>
              <c:numCache>
                <c:formatCode>General</c:formatCode>
                <c:ptCount val="102"/>
              </c:numCache>
            </c:numRef>
          </c:xVal>
          <c:yVal>
            <c:numRef>
              <c:f>'[3]Chaleurs Brebis Points Rouges'!$M$2506:$M$2607</c:f>
              <c:numCache>
                <c:formatCode>General</c:formatCode>
                <c:ptCount val="102"/>
              </c:numCache>
            </c:numRef>
          </c:yVal>
          <c:smooth val="0"/>
        </c:ser>
        <c:ser>
          <c:idx val="35"/>
          <c:order val="35"/>
          <c:tx>
            <c:strRef>
              <c:f>'[3]Chaleurs Brebis Points Rouges'!$G$2608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Rouges'!$J$2608:$J$2672</c:f>
              <c:numCache>
                <c:formatCode>General</c:formatCode>
                <c:ptCount val="65"/>
              </c:numCache>
            </c:numRef>
          </c:xVal>
          <c:yVal>
            <c:numRef>
              <c:f>'[3]Chaleurs Brebis Points Rouges'!$M$2608:$M$2672</c:f>
              <c:numCache>
                <c:formatCode>General</c:formatCode>
                <c:ptCount val="65"/>
              </c:numCache>
            </c:numRef>
          </c:yVal>
          <c:smooth val="0"/>
        </c:ser>
        <c:ser>
          <c:idx val="36"/>
          <c:order val="36"/>
          <c:tx>
            <c:strRef>
              <c:f>'[3]Chaleurs Brebis Points Rouges'!$G$2680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Rouges'!$J$2680:$J$2682</c:f>
              <c:numCache>
                <c:formatCode>General</c:formatCode>
                <c:ptCount val="3"/>
              </c:numCache>
            </c:numRef>
          </c:xVal>
          <c:yVal>
            <c:numRef>
              <c:f>'[3]Chaleurs Brebis Points Rouges'!$M$2680:$M$2682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37"/>
          <c:order val="37"/>
          <c:tx>
            <c:strRef>
              <c:f>'[3]Chaleurs Brebis Points Rouges'!$G$2683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Rouges'!$J$2683:$J$2684</c:f>
              <c:numCache>
                <c:formatCode>General</c:formatCode>
                <c:ptCount val="2"/>
              </c:numCache>
            </c:numRef>
          </c:xVal>
          <c:yVal>
            <c:numRef>
              <c:f>'[3]Chaleurs Brebis Points Rouges'!$M$2683:$M$2684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38"/>
          <c:order val="38"/>
          <c:tx>
            <c:strRef>
              <c:f>'[3]Chaleurs Brebis Points Rouges'!$G$2685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Rouges'!$J$2685:$J$2686</c:f>
              <c:numCache>
                <c:formatCode>General</c:formatCode>
                <c:ptCount val="2"/>
              </c:numCache>
            </c:numRef>
          </c:xVal>
          <c:yVal>
            <c:numRef>
              <c:f>'[3]Chaleurs Brebis Points Rouges'!$M$2685:$M$2686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39"/>
          <c:order val="39"/>
          <c:tx>
            <c:strRef>
              <c:f>'[3]Chaleurs Brebis Points Rouges'!$G$2687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Rouges'!$J$2687:$J$2688</c:f>
              <c:numCache>
                <c:formatCode>General</c:formatCode>
                <c:ptCount val="2"/>
              </c:numCache>
            </c:numRef>
          </c:xVal>
          <c:yVal>
            <c:numRef>
              <c:f>'[3]Chaleurs Brebis Points Rouges'!$M$2687:$M$2688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40"/>
          <c:order val="40"/>
          <c:tx>
            <c:strRef>
              <c:f>'[3]Chaleurs Brebis Points Rouges'!$G$2689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Rouges'!$J$2689</c:f>
              <c:numCache>
                <c:formatCode>General</c:formatCode>
                <c:ptCount val="1"/>
              </c:numCache>
            </c:numRef>
          </c:xVal>
          <c:yVal>
            <c:numRef>
              <c:f>'[3]Chaleurs Brebis Points Rouges'!$M$2689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41"/>
          <c:order val="41"/>
          <c:tx>
            <c:strRef>
              <c:f>'[3]Chaleurs Brebis Points Rouges'!$G$2690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Rouges'!$J$2690:$J$2691</c:f>
              <c:numCache>
                <c:formatCode>General</c:formatCode>
                <c:ptCount val="2"/>
              </c:numCache>
            </c:numRef>
          </c:xVal>
          <c:yVal>
            <c:numRef>
              <c:f>'[3]Chaleurs Brebis Points Rouges'!$M$2690:$M$2691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42"/>
          <c:order val="42"/>
          <c:tx>
            <c:strRef>
              <c:f>'[3]Chaleurs Brebis Points Rouges'!$G$2692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'[3]Chaleurs Brebis Points Rouges'!$J$2692</c:f>
              <c:numCache>
                <c:formatCode>General</c:formatCode>
                <c:ptCount val="1"/>
              </c:numCache>
            </c:numRef>
          </c:xVal>
          <c:yVal>
            <c:numRef>
              <c:f>'[3]Chaleurs Brebis Points Rouges'!$M$2692</c:f>
              <c:numCache>
                <c:formatCode>General</c:formatCode>
                <c:ptCount val="1"/>
              </c:numCache>
            </c:numRef>
          </c:yVal>
          <c:smooth val="0"/>
        </c:ser>
        <c:axId val="54780433"/>
        <c:axId val="44208363"/>
      </c:scatterChart>
      <c:valAx>
        <c:axId val="54780433"/>
        <c:scaling>
          <c:orientation val="minMax"/>
          <c:max val="45090"/>
          <c:min val="45055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Temps</a:t>
                </a:r>
              </a:p>
            </c:rich>
          </c:tx>
          <c:layout>
            <c:manualLayout>
              <c:xMode val="edge"/>
              <c:yMode val="edge"/>
              <c:x val="0.949911443930025"/>
              <c:y val="0.937079269130375"/>
            </c:manualLayout>
          </c:layout>
          <c:overlay val="0"/>
          <c:spPr>
            <a:noFill/>
            <a:ln w="0">
              <a:noFill/>
            </a:ln>
          </c:spPr>
        </c:title>
        <c:numFmt formatCode="dd/mm/yy\ hh:mm" sourceLinked="0"/>
        <c:majorTickMark val="out"/>
        <c:minorTickMark val="out"/>
        <c:tickLblPos val="nextTo"/>
        <c:spPr>
          <a:ln w="6480">
            <a:solidFill>
              <a:srgbClr val="000000"/>
            </a:solidFill>
            <a:round/>
          </a:ln>
        </c:spPr>
        <c:txPr>
          <a:bodyPr rot="5400000"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4208363"/>
        <c:crosses val="autoZero"/>
        <c:crossBetween val="midCat"/>
        <c:majorUnit val="1"/>
        <c:minorUnit val="0.0833333333333333"/>
      </c:valAx>
      <c:valAx>
        <c:axId val="44208363"/>
        <c:scaling>
          <c:orientation val="minMax"/>
          <c:max val="100"/>
          <c:min val="45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minorGridlines>
          <c:spPr>
            <a:ln w="3240">
              <a:solidFill>
                <a:srgbClr val="000000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1" lang="fr-FR" sz="11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100" spc="-1" strike="noStrike">
                    <a:solidFill>
                      <a:srgbClr val="000000"/>
                    </a:solidFill>
                    <a:latin typeface="Calibri"/>
                  </a:rPr>
                  <a:t>N° des brebis</a:t>
                </a:r>
              </a:p>
            </c:rich>
          </c:tx>
          <c:layout>
            <c:manualLayout>
              <c:xMode val="edge"/>
              <c:yMode val="edge"/>
              <c:x val="0.00947705310256968"/>
              <c:y val="0.4225855199890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80433"/>
        <c:crosses val="autoZero"/>
        <c:crossBetween val="midCat"/>
        <c:majorUnit val="2"/>
        <c:minorUnit val="1"/>
      </c:valAx>
      <c:spPr>
        <a:noFill/>
        <a:ln w="0">
          <a:solidFill>
            <a:srgbClr val="000000"/>
          </a:solidFill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  <c:userShapes r:id="rId1"/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45</xdr:row>
      <xdr:rowOff>9720</xdr:rowOff>
    </xdr:from>
    <xdr:to>
      <xdr:col>11</xdr:col>
      <xdr:colOff>360720</xdr:colOff>
      <xdr:row>69</xdr:row>
      <xdr:rowOff>33120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0" y="8201160"/>
          <a:ext cx="10848960" cy="43668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0</xdr:colOff>
      <xdr:row>70</xdr:row>
      <xdr:rowOff>9360</xdr:rowOff>
    </xdr:from>
    <xdr:to>
      <xdr:col>12</xdr:col>
      <xdr:colOff>242280</xdr:colOff>
      <xdr:row>93</xdr:row>
      <xdr:rowOff>153360</xdr:rowOff>
    </xdr:to>
    <xdr:sp>
      <xdr:nvSpPr>
        <xdr:cNvPr id="1" name="Espace réservé du contenu 2"/>
        <xdr:cNvSpPr/>
      </xdr:nvSpPr>
      <xdr:spPr>
        <a:xfrm>
          <a:off x="0" y="12725280"/>
          <a:ext cx="11545200" cy="430632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  <xdr:txBody>
        <a:bodyPr lIns="90000" rIns="90000" tIns="45000" bIns="45000" anchor="t">
          <a:noAutofit/>
        </a:bodyPr>
        <a:p>
          <a:pPr defTabSz="914400">
            <a:lnSpc>
              <a:spcPct val="90000"/>
            </a:lnSpc>
            <a:spcBef>
              <a:spcPts val="1001"/>
            </a:spcBef>
          </a:pPr>
          <a:r>
            <a:rPr b="1" lang="fr-FR" sz="1500" spc="-1" strike="noStrike">
              <a:solidFill>
                <a:schemeClr val="dk1"/>
              </a:solidFill>
              <a:latin typeface="Calibri"/>
            </a:rPr>
            <a:t>Si NEC «Basse» (&lt;=2):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 </a:t>
          </a:r>
          <a:endParaRPr b="0" lang="fr-FR" sz="1500" spc="-1" strike="noStrike">
            <a:latin typeface="Times New Roman"/>
          </a:endParaRPr>
        </a:p>
        <a:p>
          <a:pPr defTabSz="914400">
            <a:lnSpc>
              <a:spcPct val="90000"/>
            </a:lnSpc>
            <a:spcBef>
              <a:spcPts val="1001"/>
            </a:spcBef>
            <a:tabLst>
              <a:tab algn="l" pos="0"/>
            </a:tabLst>
          </a:pP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𝑃𝑟𝑜𝑏𝑎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(𝐶𝑦𝑐𝑙𝑖𝑞𝑢𝑒)=𝑒^((0,102∗Age+0,007∗</a:t>
          </a:r>
          <a:r>
            <a:rPr b="1" lang="zh-CN" sz="1500" spc="-1" strike="noStrike">
              <a:solidFill>
                <a:schemeClr val="dk1"/>
              </a:solidFill>
              <a:latin typeface="Cambria Math"/>
            </a:rPr>
            <a:t>〖𝑳𝒂𝒄𝒕〗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_𝒕𝒐𝒕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−0,001∗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𝐂𝐭𝐥𝟑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+0,008</a:t>
          </a:r>
          <a:r>
            <a:rPr b="1" lang="zh-CN" sz="1500" spc="-1" strike="noStrike">
              <a:solidFill>
                <a:schemeClr val="dk1"/>
              </a:solidFill>
              <a:latin typeface="Cambria Math"/>
            </a:rPr>
            <a:t>〖∗𝑴𝑩〗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_𝑬𝑴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−2,723))/(1+𝑒^((0,102∗Age+0,007∗</a:t>
          </a:r>
          <a:r>
            <a:rPr b="1" lang="zh-CN" sz="1500" spc="-1" strike="noStrike">
              <a:solidFill>
                <a:schemeClr val="dk1"/>
              </a:solidFill>
              <a:latin typeface="Cambria Math"/>
            </a:rPr>
            <a:t>〖𝑳𝒂𝒄𝒕〗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_𝒕𝒐𝒕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−0,001∗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𝐂𝐭𝐥𝟑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+0,008</a:t>
          </a:r>
          <a:r>
            <a:rPr b="1" lang="zh-CN" sz="1500" spc="-1" strike="noStrike">
              <a:solidFill>
                <a:schemeClr val="dk1"/>
              </a:solidFill>
              <a:latin typeface="Cambria Math"/>
            </a:rPr>
            <a:t>〖∗𝑴𝑩〗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_𝑬𝑴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−2,723)) )</a:t>
          </a:r>
          <a:endParaRPr b="0" lang="fr-FR" sz="1500" spc="-1" strike="noStrike">
            <a:latin typeface="Times New Roman"/>
          </a:endParaRPr>
        </a:p>
        <a:p>
          <a:pPr defTabSz="914400">
            <a:lnSpc>
              <a:spcPct val="90000"/>
            </a:lnSpc>
            <a:spcBef>
              <a:spcPts val="1001"/>
            </a:spcBef>
            <a:tabLst>
              <a:tab algn="l" pos="0"/>
            </a:tabLst>
          </a:pPr>
          <a:endParaRPr b="0" lang="fr-FR" sz="1500" spc="-1" strike="noStrike">
            <a:latin typeface="Times New Roman"/>
          </a:endParaRPr>
        </a:p>
        <a:p>
          <a:pPr defTabSz="914400">
            <a:lnSpc>
              <a:spcPct val="90000"/>
            </a:lnSpc>
            <a:spcBef>
              <a:spcPts val="1001"/>
            </a:spcBef>
            <a:tabLst>
              <a:tab algn="l" pos="0"/>
            </a:tabLst>
          </a:pPr>
          <a:r>
            <a:rPr b="1" lang="fr-FR" sz="1500" spc="-1" strike="noStrike">
              <a:solidFill>
                <a:schemeClr val="dk1"/>
              </a:solidFill>
              <a:latin typeface="Calibri"/>
            </a:rPr>
            <a:t>Si NEC « Haute » (&gt;3):</a:t>
          </a:r>
          <a:endParaRPr b="0" lang="fr-FR" sz="1500" spc="-1" strike="noStrike">
            <a:latin typeface="Times New Roman"/>
          </a:endParaRPr>
        </a:p>
        <a:p>
          <a:pPr defTabSz="914400">
            <a:lnSpc>
              <a:spcPct val="90000"/>
            </a:lnSpc>
            <a:spcBef>
              <a:spcPts val="1001"/>
            </a:spcBef>
            <a:tabLst>
              <a:tab algn="l" pos="0"/>
            </a:tabLst>
          </a:pP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𝑃𝑟𝑜𝑏𝑎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(𝐶𝑦𝑐𝑙𝑖𝑞𝑢𝑒)=𝑒^((1,204+0,102∗Age+0,007∗</a:t>
          </a:r>
          <a:r>
            <a:rPr b="1" lang="zh-CN" sz="1500" spc="-1" strike="noStrike">
              <a:solidFill>
                <a:schemeClr val="dk1"/>
              </a:solidFill>
              <a:latin typeface="Cambria Math"/>
            </a:rPr>
            <a:t>〖𝑳𝒂𝒄𝒕〗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_𝒕𝒐𝒕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−0,001∗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𝐂𝐭𝐥𝟑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+0,008</a:t>
          </a:r>
          <a:r>
            <a:rPr b="1" lang="zh-CN" sz="1500" spc="-1" strike="noStrike">
              <a:solidFill>
                <a:schemeClr val="dk1"/>
              </a:solidFill>
              <a:latin typeface="Cambria Math"/>
            </a:rPr>
            <a:t>〖∗𝑴𝑩〗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_𝑬𝑴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−2,723))/(1+𝑒^((1,204+0,102∗Age+0,007∗</a:t>
          </a:r>
          <a:r>
            <a:rPr b="1" lang="zh-CN" sz="1500" spc="-1" strike="noStrike">
              <a:solidFill>
                <a:schemeClr val="dk1"/>
              </a:solidFill>
              <a:latin typeface="Cambria Math"/>
            </a:rPr>
            <a:t>〖𝑳𝒂𝒄𝒕〗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_𝒕𝒐𝒕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−0,001∗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𝐂𝐭𝐥𝟑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+0,008</a:t>
          </a:r>
          <a:r>
            <a:rPr b="1" lang="zh-CN" sz="1500" spc="-1" strike="noStrike">
              <a:solidFill>
                <a:schemeClr val="dk1"/>
              </a:solidFill>
              <a:latin typeface="Cambria Math"/>
            </a:rPr>
            <a:t>〖∗𝑴𝑩〗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_𝑬𝑴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−2,723)) )</a:t>
          </a:r>
          <a:endParaRPr b="0" lang="fr-FR" sz="1500" spc="-1" strike="noStrike">
            <a:latin typeface="Times New Roman"/>
          </a:endParaRPr>
        </a:p>
        <a:p>
          <a:pPr defTabSz="914400">
            <a:lnSpc>
              <a:spcPct val="90000"/>
            </a:lnSpc>
            <a:spcBef>
              <a:spcPts val="1001"/>
            </a:spcBef>
            <a:tabLst>
              <a:tab algn="l" pos="0"/>
            </a:tabLst>
          </a:pPr>
          <a:endParaRPr b="0" lang="fr-FR" sz="1500" spc="-1" strike="noStrike">
            <a:latin typeface="Times New Roman"/>
          </a:endParaRPr>
        </a:p>
        <a:p>
          <a:pPr defTabSz="914400">
            <a:lnSpc>
              <a:spcPct val="90000"/>
            </a:lnSpc>
            <a:spcBef>
              <a:spcPts val="1001"/>
            </a:spcBef>
            <a:tabLst>
              <a:tab algn="l" pos="0"/>
            </a:tabLst>
          </a:pPr>
          <a:r>
            <a:rPr b="1" lang="fr-FR" sz="1500" spc="-1" strike="noStrike">
              <a:solidFill>
                <a:schemeClr val="dk1"/>
              </a:solidFill>
              <a:latin typeface="Calibri"/>
            </a:rPr>
            <a:t>Si NEC « Moyenne » (]2-3]): </a:t>
          </a:r>
          <a:endParaRPr b="0" lang="fr-FR" sz="1500" spc="-1" strike="noStrike">
            <a:latin typeface="Times New Roman"/>
          </a:endParaRPr>
        </a:p>
        <a:p>
          <a:pPr defTabSz="914400">
            <a:lnSpc>
              <a:spcPct val="90000"/>
            </a:lnSpc>
            <a:spcBef>
              <a:spcPts val="1001"/>
            </a:spcBef>
            <a:tabLst>
              <a:tab algn="l" pos="0"/>
            </a:tabLst>
          </a:pP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 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𝑃𝑟𝑜𝑏𝑎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(𝐶𝑦𝑐𝑙𝑖𝑞𝑢𝑒)=𝑒^((0,585+0,102∗Age+0,007∗</a:t>
          </a:r>
          <a:r>
            <a:rPr b="1" lang="zh-CN" sz="1500" spc="-1" strike="noStrike">
              <a:solidFill>
                <a:schemeClr val="dk1"/>
              </a:solidFill>
              <a:latin typeface="Cambria Math"/>
            </a:rPr>
            <a:t>〖𝑳𝒂𝒄𝒕〗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_𝒕𝒐𝒕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−0,001∗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𝐂𝐭𝐥𝟑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+0,008</a:t>
          </a:r>
          <a:r>
            <a:rPr b="1" lang="zh-CN" sz="1500" spc="-1" strike="noStrike">
              <a:solidFill>
                <a:schemeClr val="dk1"/>
              </a:solidFill>
              <a:latin typeface="Cambria Math"/>
            </a:rPr>
            <a:t>〖∗𝑴𝑩〗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_𝑬𝑴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−2,723))/(1+𝑒^((0,585+0,102∗Age+0,007∗</a:t>
          </a:r>
          <a:r>
            <a:rPr b="1" lang="zh-CN" sz="1500" spc="-1" strike="noStrike">
              <a:solidFill>
                <a:schemeClr val="dk1"/>
              </a:solidFill>
              <a:latin typeface="Cambria Math"/>
            </a:rPr>
            <a:t>〖𝑳𝒂𝒄𝒕〗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_𝒕𝒐𝒕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−0,001∗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𝐂𝐭𝐥𝟑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+0,008</a:t>
          </a:r>
          <a:r>
            <a:rPr b="1" lang="zh-CN" sz="1500" spc="-1" strike="noStrike">
              <a:solidFill>
                <a:schemeClr val="dk1"/>
              </a:solidFill>
              <a:latin typeface="Cambria Math"/>
            </a:rPr>
            <a:t>〖∗𝑴𝑩〗</a:t>
          </a:r>
          <a:r>
            <a:rPr b="1" lang="fr-FR" sz="1500" spc="-1" strike="noStrike">
              <a:solidFill>
                <a:schemeClr val="dk1"/>
              </a:solidFill>
              <a:latin typeface="Cambria Math"/>
            </a:rPr>
            <a:t>_𝑬𝑴</a:t>
          </a:r>
          <a:r>
            <a:rPr b="0" lang="fr-FR" sz="1500" spc="-1" strike="noStrike">
              <a:solidFill>
                <a:schemeClr val="dk1"/>
              </a:solidFill>
              <a:latin typeface="Cambria Math"/>
            </a:rPr>
            <a:t>−2,723)) )</a:t>
          </a:r>
          <a:endParaRPr b="0" lang="fr-FR" sz="1500" spc="-1" strike="noStrike">
            <a:latin typeface="Times New Roman"/>
          </a:endParaRPr>
        </a:p>
        <a:p>
          <a:pPr defTabSz="914400">
            <a:lnSpc>
              <a:spcPct val="90000"/>
            </a:lnSpc>
            <a:spcBef>
              <a:spcPts val="1001"/>
            </a:spcBef>
            <a:tabLst>
              <a:tab algn="l" pos="0"/>
            </a:tabLst>
          </a:pPr>
          <a:endParaRPr b="0" lang="fr-FR" sz="1500" spc="-1" strike="noStrike">
            <a:latin typeface="Times New Roman"/>
          </a:endParaRPr>
        </a:p>
        <a:p>
          <a:pPr defTabSz="914400">
            <a:lnSpc>
              <a:spcPct val="90000"/>
            </a:lnSpc>
            <a:spcBef>
              <a:spcPts val="1001"/>
            </a:spcBef>
            <a:tabLst>
              <a:tab algn="l" pos="0"/>
            </a:tabLst>
          </a:pPr>
          <a:endParaRPr b="0" lang="fr-FR" sz="15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</xdr:row>
      <xdr:rowOff>0</xdr:rowOff>
    </xdr:from>
    <xdr:to>
      <xdr:col>23</xdr:col>
      <xdr:colOff>271080</xdr:colOff>
      <xdr:row>27</xdr:row>
      <xdr:rowOff>158760</xdr:rowOff>
    </xdr:to>
    <xdr:graphicFrame>
      <xdr:nvGraphicFramePr>
        <xdr:cNvPr id="2" name="Graphique 4"/>
        <xdr:cNvGraphicFramePr/>
      </xdr:nvGraphicFramePr>
      <xdr:xfrm>
        <a:off x="9677520" y="181080"/>
        <a:ext cx="9141840" cy="486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285840</xdr:colOff>
      <xdr:row>1</xdr:row>
      <xdr:rowOff>9360</xdr:rowOff>
    </xdr:from>
    <xdr:to>
      <xdr:col>11</xdr:col>
      <xdr:colOff>556920</xdr:colOff>
      <xdr:row>27</xdr:row>
      <xdr:rowOff>168120</xdr:rowOff>
    </xdr:to>
    <xdr:graphicFrame>
      <xdr:nvGraphicFramePr>
        <xdr:cNvPr id="3" name="Graphique 10"/>
        <xdr:cNvGraphicFramePr/>
      </xdr:nvGraphicFramePr>
      <xdr:xfrm>
        <a:off x="285840" y="190440"/>
        <a:ext cx="9142200" cy="486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0</xdr:col>
      <xdr:colOff>247680</xdr:colOff>
      <xdr:row>28</xdr:row>
      <xdr:rowOff>123840</xdr:rowOff>
    </xdr:from>
    <xdr:to>
      <xdr:col>11</xdr:col>
      <xdr:colOff>518760</xdr:colOff>
      <xdr:row>55</xdr:row>
      <xdr:rowOff>91800</xdr:rowOff>
    </xdr:to>
    <xdr:grpSp>
      <xdr:nvGrpSpPr>
        <xdr:cNvPr id="4" name="Groupe 11"/>
        <xdr:cNvGrpSpPr/>
      </xdr:nvGrpSpPr>
      <xdr:grpSpPr>
        <a:xfrm>
          <a:off x="247680" y="5191200"/>
          <a:ext cx="9142200" cy="4854240"/>
          <a:chOff x="247680" y="5191200"/>
          <a:chExt cx="9142200" cy="4854240"/>
        </a:xfrm>
      </xdr:grpSpPr>
      <xdr:grpSp>
        <xdr:nvGrpSpPr>
          <xdr:cNvPr id="5" name="Groupe 12"/>
          <xdr:cNvGrpSpPr/>
        </xdr:nvGrpSpPr>
        <xdr:grpSpPr>
          <a:xfrm>
            <a:off x="247680" y="5191200"/>
            <a:ext cx="9142200" cy="4854240"/>
            <a:chOff x="247680" y="5191200"/>
            <a:chExt cx="9142200" cy="4854240"/>
          </a:xfrm>
        </xdr:grpSpPr>
        <xdr:graphicFrame>
          <xdr:nvGraphicFramePr>
            <xdr:cNvPr id="6" name="Graphique 15"/>
            <xdr:cNvGraphicFramePr/>
          </xdr:nvGraphicFramePr>
          <xdr:xfrm>
            <a:off x="247680" y="5191200"/>
            <a:ext cx="9142200" cy="485424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sp>
          <xdr:nvSpPr>
            <xdr:cNvPr id="7" name="Rectangle 16"/>
            <xdr:cNvSpPr/>
          </xdr:nvSpPr>
          <xdr:spPr>
            <a:xfrm>
              <a:off x="1173600" y="5779080"/>
              <a:ext cx="2363400" cy="161280"/>
            </a:xfrm>
            <a:prstGeom prst="rect">
              <a:avLst/>
            </a:prstGeom>
            <a:solidFill>
              <a:srgbClr val="bf9000"/>
            </a:solidFill>
            <a:ln w="12700">
              <a:solidFill>
                <a:srgbClr val="43729d"/>
              </a:solidFill>
              <a:miter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ctr">
                <a:lnSpc>
                  <a:spcPct val="100000"/>
                </a:lnSpc>
              </a:pPr>
              <a:r>
                <a:rPr b="0" lang="fr-FR" sz="1100" spc="-1" strike="noStrike">
                  <a:solidFill>
                    <a:schemeClr val="lt1"/>
                  </a:solidFill>
                  <a:latin typeface="Calibri"/>
                </a:rPr>
                <a:t>Effet bélier</a:t>
              </a:r>
              <a:endParaRPr b="0" lang="fr-FR" sz="1100" spc="-1" strike="noStrike">
                <a:latin typeface="Times New Roman"/>
              </a:endParaRPr>
            </a:p>
          </xdr:txBody>
        </xdr:sp>
        <xdr:sp>
          <xdr:nvSpPr>
            <xdr:cNvPr id="8" name="Rectangle 17"/>
            <xdr:cNvSpPr/>
          </xdr:nvSpPr>
          <xdr:spPr>
            <a:xfrm>
              <a:off x="3538440" y="5779080"/>
              <a:ext cx="4557240" cy="161280"/>
            </a:xfrm>
            <a:prstGeom prst="rect">
              <a:avLst/>
            </a:prstGeom>
            <a:solidFill>
              <a:srgbClr val="5b9bd5"/>
            </a:solidFill>
            <a:ln w="12700">
              <a:solidFill>
                <a:srgbClr val="43729d"/>
              </a:solidFill>
              <a:miter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/>
          </xdr:style>
          <xdr:txBody>
            <a:bodyPr horzOverflow="clip" vertOverflow="clip" lIns="90000" rIns="90000" tIns="45000" bIns="45000" anchor="ctr">
              <a:noAutofit/>
            </a:bodyPr>
            <a:p>
              <a:pPr algn="ctr">
                <a:lnSpc>
                  <a:spcPct val="100000"/>
                </a:lnSpc>
              </a:pPr>
              <a:r>
                <a:rPr b="0" lang="fr-FR" sz="1100" spc="-1" strike="noStrike">
                  <a:solidFill>
                    <a:schemeClr val="lt1"/>
                  </a:solidFill>
                  <a:latin typeface="Calibri"/>
                </a:rPr>
                <a:t>REtour</a:t>
              </a:r>
              <a:endParaRPr b="0" lang="fr-FR" sz="1100" spc="-1" strike="noStrike">
                <a:latin typeface="Times New Roman"/>
              </a:endParaRPr>
            </a:p>
          </xdr:txBody>
        </xdr:sp>
      </xdr:grpSp>
      <xdr:cxnSp>
        <xdr:nvCxnSpPr>
          <xdr:cNvPr id="9" name="Connecteur droit 13"/>
          <xdr:cNvCxnSpPr/>
        </xdr:nvCxnSpPr>
        <xdr:spPr>
          <a:xfrm flipV="1">
            <a:off x="1696680" y="6166080"/>
            <a:ext cx="2880" cy="3449880"/>
          </a:xfrm>
          <a:prstGeom prst="straightConnector1">
            <a:avLst/>
          </a:prstGeom>
          <a:ln w="19050">
            <a:solidFill>
              <a:srgbClr val="0070c0"/>
            </a:solidFill>
            <a:miter/>
          </a:ln>
        </xdr:spPr>
      </xdr:cxnSp>
      <xdr:sp>
        <xdr:nvSpPr>
          <xdr:cNvPr id="10" name="ZoneTexte 14"/>
          <xdr:cNvSpPr/>
        </xdr:nvSpPr>
        <xdr:spPr>
          <a:xfrm>
            <a:off x="1546560" y="5914800"/>
            <a:ext cx="301680" cy="26028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wrap="none" horzOverflow="clip" vertOverflow="clip" lIns="90000" rIns="90000" tIns="45000" bIns="45000" anchor="t">
            <a:spAutoFit/>
          </a:bodyPr>
          <a:p>
            <a:pPr>
              <a:lnSpc>
                <a:spcPct val="100000"/>
              </a:lnSpc>
            </a:pPr>
            <a:r>
              <a:rPr b="1" lang="fr-FR" sz="1100" spc="-1" strike="noStrike">
                <a:solidFill>
                  <a:srgbClr val="0070c0"/>
                </a:solidFill>
                <a:latin typeface="Calibri"/>
              </a:rPr>
              <a:t>IA</a:t>
            </a:r>
            <a:endParaRPr b="0" lang="fr-FR" sz="1100" spc="-1" strike="noStrike">
              <a:latin typeface="Times New Roman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</xdr:row>
      <xdr:rowOff>0</xdr:rowOff>
    </xdr:from>
    <xdr:to>
      <xdr:col>23</xdr:col>
      <xdr:colOff>166320</xdr:colOff>
      <xdr:row>27</xdr:row>
      <xdr:rowOff>158760</xdr:rowOff>
    </xdr:to>
    <xdr:graphicFrame>
      <xdr:nvGraphicFramePr>
        <xdr:cNvPr id="11" name="Graphique 4"/>
        <xdr:cNvGraphicFramePr/>
      </xdr:nvGraphicFramePr>
      <xdr:xfrm>
        <a:off x="9029880" y="181080"/>
        <a:ext cx="8443440" cy="486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181080</xdr:colOff>
      <xdr:row>0</xdr:row>
      <xdr:rowOff>152280</xdr:rowOff>
    </xdr:from>
    <xdr:to>
      <xdr:col>11</xdr:col>
      <xdr:colOff>452160</xdr:colOff>
      <xdr:row>27</xdr:row>
      <xdr:rowOff>120240</xdr:rowOff>
    </xdr:to>
    <xdr:graphicFrame>
      <xdr:nvGraphicFramePr>
        <xdr:cNvPr id="12" name="Graphique 3"/>
        <xdr:cNvGraphicFramePr/>
      </xdr:nvGraphicFramePr>
      <xdr:xfrm>
        <a:off x="181080" y="152280"/>
        <a:ext cx="8548200" cy="485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247680</xdr:colOff>
      <xdr:row>28</xdr:row>
      <xdr:rowOff>171360</xdr:rowOff>
    </xdr:from>
    <xdr:to>
      <xdr:col>11</xdr:col>
      <xdr:colOff>518760</xdr:colOff>
      <xdr:row>55</xdr:row>
      <xdr:rowOff>139320</xdr:rowOff>
    </xdr:to>
    <xdr:graphicFrame>
      <xdr:nvGraphicFramePr>
        <xdr:cNvPr id="13" name="Graphique 5"/>
        <xdr:cNvGraphicFramePr/>
      </xdr:nvGraphicFramePr>
      <xdr:xfrm>
        <a:off x="247680" y="5238720"/>
        <a:ext cx="8548200" cy="485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0.102712035711278</cdr:x>
      <cdr:y>0.121764923989618</cdr:y>
    </cdr:from>
    <cdr:to>
      <cdr:x>0.859597405878885</cdr:x>
      <cdr:y>0.911457174638487</cdr:y>
    </cdr:to>
    <cdr:grpSp>
      <cdr:nvGrpSpPr>
        <cdr:cNvPr id="14" name="Groupe 5"/>
        <cdr:cNvGrpSpPr/>
      </cdr:nvGrpSpPr>
      <cdr:grpSpPr>
        <a:xfrm>
          <a:off x="878040" y="591120"/>
          <a:ext cx="6470280" cy="3833640"/>
          <a:chOff x="878040" y="591120"/>
          <a:chExt cx="6470280" cy="3833640"/>
        </a:xfrm>
      </cdr:grpSpPr>
      <cdr:sp>
        <cdr:nvSpPr>
          <cdr:cNvPr id="15" name="Rectangle 1"/>
          <cdr:cNvSpPr/>
        </cdr:nvSpPr>
        <cdr:spPr>
          <a:xfrm>
            <a:off x="878040" y="591120"/>
            <a:ext cx="2208600" cy="161280"/>
          </a:xfrm>
          <a:prstGeom prst="rect">
            <a:avLst/>
          </a:prstGeom>
          <a:solidFill>
            <a:srgbClr val="bf9000"/>
          </a:solidFill>
          <a:ln w="12700">
            <a:solidFill>
              <a:srgbClr val="43729d"/>
            </a:solidFill>
            <a:miter/>
          </a:ln>
        </cdr:spPr>
        <c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cdr:style>
        <cdr:txBody>
          <a:bodyPr numCol="1" spcCol="0" lIns="90000" rIns="90000" tIns="45000" bIns="45000" anchor="ctr">
            <a:noAutofit/>
          </a:bodyPr>
          <a:p>
            <a:pPr algn="ctr">
              <a:lnSpc>
                <a:spcPct val="100000"/>
              </a:lnSpc>
              <a:tabLst>
                <a:tab algn="l" pos="0"/>
              </a:tabLst>
            </a:pPr>
            <a:r>
              <a:rPr b="0" lang="fr-FR" sz="1100" spc="-1" strike="noStrike">
                <a:solidFill>
                  <a:schemeClr val="lt1"/>
                </a:solidFill>
                <a:latin typeface="Calibri"/>
              </a:rPr>
              <a:t>Effet bélier</a:t>
            </a:r>
            <a:endParaRPr b="0" sz="1100" spc="-1" strike="noStrike">
              <a:latin typeface="Times New Roman"/>
            </a:endParaRPr>
          </a:p>
        </cdr:txBody>
      </cdr:sp>
      <cdr:sp>
        <cdr:nvSpPr>
          <cdr:cNvPr id="16" name="Rectangle 2"/>
          <cdr:cNvSpPr/>
        </cdr:nvSpPr>
        <cdr:spPr>
          <a:xfrm>
            <a:off x="3088440" y="591120"/>
            <a:ext cx="4259880" cy="161280"/>
          </a:xfrm>
          <a:prstGeom prst="rect">
            <a:avLst/>
          </a:prstGeom>
          <a:solidFill>
            <a:srgbClr val="5b9bd5"/>
          </a:solidFill>
          <a:ln w="12700">
            <a:solidFill>
              <a:srgbClr val="43729d"/>
            </a:solidFill>
            <a:miter/>
          </a:ln>
        </cdr:spPr>
        <c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cdr:style>
        <cdr:txBody>
          <a:bodyPr numCol="1" spcCol="0" lIns="90000" rIns="90000" tIns="45000" bIns="45000" anchor="ctr">
            <a:noAutofit/>
          </a:bodyPr>
          <a:p>
            <a:pPr algn="ctr">
              <a:lnSpc>
                <a:spcPct val="100000"/>
              </a:lnSpc>
              <a:tabLst>
                <a:tab algn="l" pos="0"/>
              </a:tabLst>
            </a:pPr>
            <a:r>
              <a:rPr b="0" lang="fr-FR" sz="1100" spc="-1" strike="noStrike">
                <a:solidFill>
                  <a:schemeClr val="lt1"/>
                </a:solidFill>
                <a:latin typeface="Calibri"/>
              </a:rPr>
              <a:t>Lutte</a:t>
            </a:r>
            <a:endParaRPr b="0" sz="1100" spc="-1" strike="noStrike">
              <a:latin typeface="Times New Roman"/>
            </a:endParaRPr>
          </a:p>
        </cdr:txBody>
      </cdr:sp>
      <cdr:cxnSp>
        <cdr:nvCxnSpPr>
          <cdr:cNvPr id="17" name="Connecteur droit 3"/>
          <cdr:cNvCxnSpPr/>
        </cdr:nvCxnSpPr>
        <cdr:spPr>
          <a:xfrm flipV="1">
            <a:off x="1366560" y="976680"/>
            <a:ext cx="2520" cy="3448440"/>
          </a:xfrm>
          <a:prstGeom prst="straightConnector1">
            <a:avLst/>
          </a:prstGeom>
          <a:ln w="19050">
            <a:solidFill>
              <a:srgbClr val="0070c0"/>
            </a:solidFill>
            <a:miter/>
          </a:ln>
        </cdr:spPr>
      </cdr:cxnSp>
      <cdr:sp>
        <cdr:nvSpPr>
          <cdr:cNvPr id="18" name="ZoneTexte 8"/>
          <cdr:cNvSpPr/>
        </cdr:nvSpPr>
        <cdr:spPr>
          <a:xfrm>
            <a:off x="1216800" y="726480"/>
            <a:ext cx="302760" cy="249840"/>
          </a:xfrm>
          <a:prstGeom prst="rect">
            <a:avLst/>
          </a:prstGeom>
          <a:noFill/>
          <a:ln w="0">
            <a:noFill/>
          </a:ln>
        </cdr:spPr>
        <cdr:style>
          <a:lnRef idx="0"/>
          <a:fillRef idx="0"/>
          <a:effectRef idx="0"/>
          <a:fontRef idx="minor"/>
        </cdr:style>
        <cdr:txBody>
          <a:bodyPr wrap="none" lIns="90000" rIns="90000" tIns="45000" bIns="45000" anchor="t">
            <a:noAutofit/>
          </a:bodyPr>
          <a:p>
            <a:pPr>
              <a:lnSpc>
                <a:spcPct val="100000"/>
              </a:lnSpc>
              <a:tabLst>
                <a:tab algn="l" pos="0"/>
              </a:tabLst>
            </a:pPr>
            <a:r>
              <a:rPr b="1" lang="fr-FR" sz="1100" spc="-1" strike="noStrike">
                <a:solidFill>
                  <a:srgbClr val="0070c0"/>
                </a:solidFill>
                <a:latin typeface="Calibri"/>
              </a:rPr>
              <a:t>IA</a:t>
            </a:r>
            <a:endParaRPr b="0" sz="1100" spc="-1" strike="noStrike">
              <a:latin typeface="Times New Roman"/>
            </a:endParaRPr>
          </a:p>
        </cdr:txBody>
      </cdr:sp>
    </cdr:grp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1</xdr:row>
      <xdr:rowOff>0</xdr:rowOff>
    </xdr:from>
    <xdr:to>
      <xdr:col>30</xdr:col>
      <xdr:colOff>179640</xdr:colOff>
      <xdr:row>44</xdr:row>
      <xdr:rowOff>83160</xdr:rowOff>
    </xdr:to>
    <xdr:graphicFrame>
      <xdr:nvGraphicFramePr>
        <xdr:cNvPr id="19" name="Graphique 4"/>
        <xdr:cNvGraphicFramePr/>
      </xdr:nvGraphicFramePr>
      <xdr:xfrm>
        <a:off x="10760040" y="609480"/>
        <a:ext cx="11585520" cy="786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51</xdr:row>
      <xdr:rowOff>0</xdr:rowOff>
    </xdr:from>
    <xdr:to>
      <xdr:col>30</xdr:col>
      <xdr:colOff>179640</xdr:colOff>
      <xdr:row>94</xdr:row>
      <xdr:rowOff>83160</xdr:rowOff>
    </xdr:to>
    <xdr:graphicFrame>
      <xdr:nvGraphicFramePr>
        <xdr:cNvPr id="32" name="Graphique 6"/>
        <xdr:cNvGraphicFramePr/>
      </xdr:nvGraphicFramePr>
      <xdr:xfrm>
        <a:off x="10760040" y="9658440"/>
        <a:ext cx="11585520" cy="786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0</xdr:colOff>
      <xdr:row>95</xdr:row>
      <xdr:rowOff>3960</xdr:rowOff>
    </xdr:from>
    <xdr:to>
      <xdr:col>30</xdr:col>
      <xdr:colOff>179640</xdr:colOff>
      <xdr:row>138</xdr:row>
      <xdr:rowOff>83160</xdr:rowOff>
    </xdr:to>
    <xdr:graphicFrame>
      <xdr:nvGraphicFramePr>
        <xdr:cNvPr id="45" name="Graphique 7"/>
        <xdr:cNvGraphicFramePr/>
      </xdr:nvGraphicFramePr>
      <xdr:xfrm>
        <a:off x="10760040" y="17625240"/>
        <a:ext cx="11585520" cy="7860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0.0680483485069757</cdr:x>
      <cdr:y>0.0592246784749874</cdr:y>
    </cdr:from>
    <cdr:to>
      <cdr:x>0.131435851225802</cdr:x>
      <cdr:y>0.884296764153966</cdr:y>
    </cdr:to>
    <cdr:grpSp>
      <cdr:nvGrpSpPr>
        <cdr:cNvPr id="20" name="Groupe 1"/>
        <cdr:cNvGrpSpPr/>
      </cdr:nvGrpSpPr>
      <cdr:grpSpPr>
        <a:xfrm>
          <a:off x="788400" y="465840"/>
          <a:ext cx="734400" cy="6489720"/>
          <a:chOff x="788400" y="465840"/>
          <a:chExt cx="734400" cy="6489720"/>
        </a:xfrm>
      </cdr:grpSpPr>
      <cdr:cxnSp>
        <cdr:nvCxnSpPr>
          <cdr:cNvPr id="21" name="Connecteur droit 2"/>
          <cdr:cNvCxnSpPr/>
        </cdr:nvCxnSpPr>
        <cdr:spPr>
          <a:xfrm flipV="1">
            <a:off x="1437480" y="493560"/>
            <a:ext cx="1440" cy="6460200"/>
          </a:xfrm>
          <a:prstGeom prst="straightConnector1">
            <a:avLst/>
          </a:prstGeom>
          <a:ln w="12700">
            <a:solidFill>
              <a:srgbClr val="000000"/>
            </a:solidFill>
            <a:miter/>
          </a:ln>
        </cdr:spPr>
      </cdr:cxnSp>
      <cdr:cxnSp>
        <cdr:nvCxnSpPr>
          <cdr:cNvPr id="22" name="Connecteur droit 3"/>
          <cdr:cNvCxnSpPr/>
        </cdr:nvCxnSpPr>
        <cdr:spPr>
          <a:xfrm flipV="1">
            <a:off x="1010880" y="469800"/>
            <a:ext cx="1440" cy="6482880"/>
          </a:xfrm>
          <a:prstGeom prst="straightConnector1">
            <a:avLst/>
          </a:prstGeom>
          <a:ln w="12700">
            <a:solidFill>
              <a:srgbClr val="000000"/>
            </a:solidFill>
            <a:miter/>
          </a:ln>
        </cdr:spPr>
      </cdr:cxnSp>
      <cdr:cxnSp>
        <cdr:nvCxnSpPr>
          <cdr:cNvPr id="23" name="Connecteur droit 4"/>
          <cdr:cNvCxnSpPr/>
        </cdr:nvCxnSpPr>
        <cdr:spPr>
          <a:xfrm flipV="1">
            <a:off x="1467000" y="474120"/>
            <a:ext cx="1440" cy="6480000"/>
          </a:xfrm>
          <a:prstGeom prst="straightConnector1">
            <a:avLst/>
          </a:prstGeom>
          <a:ln w="12700">
            <a:solidFill>
              <a:srgbClr val="0070c0"/>
            </a:solidFill>
            <a:miter/>
          </a:ln>
        </cdr:spPr>
      </cdr:cxnSp>
      <cdr:cxnSp>
        <cdr:nvCxnSpPr>
          <cdr:cNvPr id="24" name="Connecteur droit 5"/>
          <cdr:cNvCxnSpPr/>
        </cdr:nvCxnSpPr>
        <cdr:spPr>
          <a:xfrm flipH="1" flipV="1">
            <a:off x="1019880" y="474120"/>
            <a:ext cx="19080" cy="6477840"/>
          </a:xfrm>
          <a:prstGeom prst="straightConnector1">
            <a:avLst/>
          </a:prstGeom>
          <a:ln w="12700">
            <a:solidFill>
              <a:srgbClr val="0070c0"/>
            </a:solidFill>
            <a:miter/>
          </a:ln>
        </cdr:spPr>
      </cdr:cxnSp>
      <cdr:cxnSp>
        <cdr:nvCxnSpPr>
          <cdr:cNvPr id="25" name="Connecteur droit 6"/>
          <cdr:cNvCxnSpPr/>
        </cdr:nvCxnSpPr>
        <cdr:spPr>
          <a:xfrm flipV="1">
            <a:off x="1103400" y="492480"/>
            <a:ext cx="1440" cy="6457680"/>
          </a:xfrm>
          <a:prstGeom prst="straightConnector1">
            <a:avLst/>
          </a:prstGeom>
          <a:ln w="12700">
            <a:solidFill>
              <a:srgbClr val="00b050"/>
            </a:solidFill>
            <a:miter/>
          </a:ln>
        </cdr:spPr>
      </cdr:cxnSp>
      <cdr:cxnSp>
        <cdr:nvCxnSpPr>
          <cdr:cNvPr id="26" name="Connecteur droit 7"/>
          <cdr:cNvCxnSpPr/>
        </cdr:nvCxnSpPr>
        <cdr:spPr>
          <a:xfrm flipV="1">
            <a:off x="1521720" y="493560"/>
            <a:ext cx="1440" cy="6462360"/>
          </a:xfrm>
          <a:prstGeom prst="straightConnector1">
            <a:avLst/>
          </a:prstGeom>
          <a:ln w="12700">
            <a:solidFill>
              <a:srgbClr val="00b050"/>
            </a:solidFill>
            <a:miter/>
          </a:ln>
        </cdr:spPr>
      </cdr:cxnSp>
      <cdr:cxnSp>
        <cdr:nvCxnSpPr>
          <cdr:cNvPr id="27" name="Connecteur droit 8"/>
          <cdr:cNvCxnSpPr/>
        </cdr:nvCxnSpPr>
        <cdr:spPr>
          <a:xfrm flipV="1">
            <a:off x="788400" y="465840"/>
            <a:ext cx="1440" cy="6471720"/>
          </a:xfrm>
          <a:prstGeom prst="straightConnector1">
            <a:avLst/>
          </a:prstGeom>
          <a:ln w="12700">
            <a:solidFill>
              <a:srgbClr val="ff0000"/>
            </a:solidFill>
            <a:miter/>
          </a:ln>
        </cdr:spPr>
      </cdr:cxnSp>
    </cdr:grpSp>
  </cdr:relSizeAnchor>
  <cdr:relSizeAnchor>
    <cdr:from>
      <cdr:x>0.0699437591274897</cdr:x>
      <cdr:y>0.0620623369490595</cdr:y>
    </cdr:from>
    <cdr:to>
      <cdr:x>0.937606811049312</cdr:x>
      <cdr:y>0.114833630829786</cdr:y>
    </cdr:to>
    <cdr:grpSp>
      <cdr:nvGrpSpPr>
        <cdr:cNvPr id="28" name="Groupe 13"/>
        <cdr:cNvGrpSpPr/>
      </cdr:nvGrpSpPr>
      <cdr:grpSpPr>
        <a:xfrm>
          <a:off x="810360" y="488160"/>
          <a:ext cx="10052640" cy="415080"/>
          <a:chOff x="810360" y="488160"/>
          <a:chExt cx="10052640" cy="415080"/>
        </a:xfrm>
      </cdr:grpSpPr>
      <cdr:sp>
        <cdr:nvSpPr>
          <cdr:cNvPr id="29" name="Rectangle 9"/>
          <cdr:cNvSpPr/>
        </cdr:nvSpPr>
        <cdr:spPr>
          <a:xfrm>
            <a:off x="810360" y="490320"/>
            <a:ext cx="3463920" cy="140040"/>
          </a:xfrm>
          <a:prstGeom prst="rect">
            <a:avLst/>
          </a:prstGeom>
          <a:solidFill>
            <a:srgbClr val="bf9000"/>
          </a:solidFill>
          <a:ln w="12700">
            <a:solidFill>
              <a:srgbClr val="0070c0"/>
            </a:solidFill>
            <a:miter/>
          </a:ln>
        </cdr:spPr>
        <c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cdr:style>
        <cdr:txBody>
          <a:bodyPr numCol="1" spcCol="0" lIns="90000" rIns="90000" tIns="45000" bIns="45000" anchor="ctr">
            <a:noAutofit/>
          </a:bodyPr>
          <a:p>
            <a:pPr algn="ctr">
              <a:lnSpc>
                <a:spcPct val="100000"/>
              </a:lnSpc>
              <a:tabLst>
                <a:tab algn="l" pos="0"/>
              </a:tabLst>
            </a:pPr>
            <a:r>
              <a:rPr b="0" lang="fr-FR" sz="1100" spc="-1" strike="noStrike">
                <a:solidFill>
                  <a:schemeClr val="lt1"/>
                </a:solidFill>
                <a:latin typeface="Calibri"/>
              </a:rPr>
              <a:t>Effet bélier</a:t>
            </a:r>
            <a:endParaRPr b="0" sz="1100" spc="-1" strike="noStrike">
              <a:latin typeface="Times New Roman"/>
            </a:endParaRPr>
          </a:p>
        </cdr:txBody>
      </cdr:sp>
      <cdr:sp>
        <cdr:nvSpPr>
          <cdr:cNvPr id="30" name="Rectangle 10"/>
          <cdr:cNvSpPr/>
        </cdr:nvSpPr>
        <cdr:spPr>
          <a:xfrm>
            <a:off x="4289040" y="488160"/>
            <a:ext cx="6573960" cy="145800"/>
          </a:xfrm>
          <a:prstGeom prst="rect">
            <a:avLst/>
          </a:prstGeom>
          <a:solidFill>
            <a:srgbClr val="5b9bd5"/>
          </a:solidFill>
          <a:ln w="12700">
            <a:solidFill>
              <a:srgbClr val="43729d"/>
            </a:solidFill>
            <a:miter/>
          </a:ln>
        </cdr:spPr>
        <c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cdr:style>
        <cdr:txBody>
          <a:bodyPr numCol="1" spcCol="0" lIns="90000" rIns="90000" tIns="45000" bIns="45000" anchor="ctr">
            <a:noAutofit/>
          </a:bodyPr>
          <a:p>
            <a:pPr algn="ctr">
              <a:lnSpc>
                <a:spcPct val="100000"/>
              </a:lnSpc>
              <a:tabLst>
                <a:tab algn="l" pos="0"/>
              </a:tabLst>
            </a:pPr>
            <a:r>
              <a:rPr b="0" lang="fr-FR" sz="1100" spc="-1" strike="noStrike">
                <a:solidFill>
                  <a:schemeClr val="lt1"/>
                </a:solidFill>
                <a:latin typeface="Calibri"/>
              </a:rPr>
              <a:t>Retour</a:t>
            </a:r>
            <a:endParaRPr b="0" sz="1100" spc="-1" strike="noStrike">
              <a:latin typeface="Times New Roman"/>
            </a:endParaRPr>
          </a:p>
        </cdr:txBody>
      </cdr:sp>
      <cdr:sp>
        <cdr:nvSpPr>
          <cdr:cNvPr id="31" name="ZoneTexte 8"/>
          <cdr:cNvSpPr/>
        </cdr:nvSpPr>
        <cdr:spPr>
          <a:xfrm>
            <a:off x="1371600" y="665280"/>
            <a:ext cx="322920" cy="237960"/>
          </a:xfrm>
          <a:prstGeom prst="rect">
            <a:avLst/>
          </a:prstGeom>
          <a:solidFill>
            <a:srgbClr val="ffffff"/>
          </a:solidFill>
          <a:ln w="0">
            <a:noFill/>
          </a:ln>
        </cdr:spPr>
        <cdr:style>
          <a:lnRef idx="0"/>
          <a:fillRef idx="0"/>
          <a:effectRef idx="0"/>
          <a:fontRef idx="minor"/>
        </cdr:style>
        <cdr:txBody>
          <a:bodyPr wrap="none" lIns="90000" rIns="90000" tIns="45000" bIns="45000" anchor="t">
            <a:noAutofit/>
          </a:bodyPr>
          <a:p>
            <a:pPr>
              <a:lnSpc>
                <a:spcPct val="100000"/>
              </a:lnSpc>
              <a:tabLst>
                <a:tab algn="l" pos="0"/>
              </a:tabLst>
            </a:pPr>
            <a:r>
              <a:rPr b="1" lang="fr-FR" sz="1100" spc="-1" strike="noStrike">
                <a:solidFill>
                  <a:srgbClr val="0070c0"/>
                </a:solidFill>
                <a:latin typeface="Calibri"/>
              </a:rPr>
              <a:t>IA</a:t>
            </a:r>
            <a:endParaRPr b="0" sz="1100" spc="-1" strike="noStrike">
              <a:latin typeface="Times New Roman"/>
            </a:endParaRPr>
          </a:p>
        </cdr:txBody>
      </cdr:sp>
    </cdr:grpSp>
  </cdr:relSizeAnchor>
</c:userShapes>
</file>

<file path=xl/drawings/drawing7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0.0680483485069757</cdr:x>
      <cdr:y>0.0592273892347126</cdr:y>
    </cdr:from>
    <cdr:to>
      <cdr:x>0.131435851225802</cdr:x>
      <cdr:y>0.88429146832662</cdr:y>
    </cdr:to>
    <cdr:grpSp>
      <cdr:nvGrpSpPr>
        <cdr:cNvPr id="33" name="Groupe 1"/>
        <cdr:cNvGrpSpPr/>
      </cdr:nvGrpSpPr>
      <cdr:grpSpPr>
        <a:xfrm>
          <a:off x="788400" y="465840"/>
          <a:ext cx="734400" cy="6489360"/>
          <a:chOff x="788400" y="465840"/>
          <a:chExt cx="734400" cy="6489360"/>
        </a:xfrm>
      </cdr:grpSpPr>
      <cdr:cxnSp>
        <cdr:nvCxnSpPr>
          <cdr:cNvPr id="34" name="Connecteur droit 2"/>
          <cdr:cNvCxnSpPr/>
        </cdr:nvCxnSpPr>
        <cdr:spPr>
          <a:xfrm flipV="1">
            <a:off x="1437480" y="493560"/>
            <a:ext cx="1440" cy="6459840"/>
          </a:xfrm>
          <a:prstGeom prst="straightConnector1">
            <a:avLst/>
          </a:prstGeom>
          <a:ln w="12700">
            <a:solidFill>
              <a:srgbClr val="000000"/>
            </a:solidFill>
            <a:miter/>
          </a:ln>
        </cdr:spPr>
      </cdr:cxnSp>
      <cdr:cxnSp>
        <cdr:nvCxnSpPr>
          <cdr:cNvPr id="35" name="Connecteur droit 3"/>
          <cdr:cNvCxnSpPr/>
        </cdr:nvCxnSpPr>
        <cdr:spPr>
          <a:xfrm flipV="1">
            <a:off x="1010880" y="469800"/>
            <a:ext cx="1440" cy="6482520"/>
          </a:xfrm>
          <a:prstGeom prst="straightConnector1">
            <a:avLst/>
          </a:prstGeom>
          <a:ln w="12700">
            <a:solidFill>
              <a:srgbClr val="000000"/>
            </a:solidFill>
            <a:miter/>
          </a:ln>
        </cdr:spPr>
      </cdr:cxnSp>
      <cdr:cxnSp>
        <cdr:nvCxnSpPr>
          <cdr:cNvPr id="36" name="Connecteur droit 4"/>
          <cdr:cNvCxnSpPr/>
        </cdr:nvCxnSpPr>
        <cdr:spPr>
          <a:xfrm flipV="1">
            <a:off x="1467000" y="474120"/>
            <a:ext cx="1440" cy="6480000"/>
          </a:xfrm>
          <a:prstGeom prst="straightConnector1">
            <a:avLst/>
          </a:prstGeom>
          <a:ln w="12700">
            <a:solidFill>
              <a:srgbClr val="0070c0"/>
            </a:solidFill>
            <a:miter/>
          </a:ln>
        </cdr:spPr>
      </cdr:cxnSp>
      <cdr:cxnSp>
        <cdr:nvCxnSpPr>
          <cdr:cNvPr id="37" name="Connecteur droit 5"/>
          <cdr:cNvCxnSpPr/>
        </cdr:nvCxnSpPr>
        <cdr:spPr>
          <a:xfrm flipH="1" flipV="1">
            <a:off x="1019880" y="474120"/>
            <a:ext cx="19080" cy="6477480"/>
          </a:xfrm>
          <a:prstGeom prst="straightConnector1">
            <a:avLst/>
          </a:prstGeom>
          <a:ln w="12700">
            <a:solidFill>
              <a:srgbClr val="0070c0"/>
            </a:solidFill>
            <a:miter/>
          </a:ln>
        </cdr:spPr>
      </cdr:cxnSp>
      <cdr:cxnSp>
        <cdr:nvCxnSpPr>
          <cdr:cNvPr id="38" name="Connecteur droit 6"/>
          <cdr:cNvCxnSpPr/>
        </cdr:nvCxnSpPr>
        <cdr:spPr>
          <a:xfrm flipV="1">
            <a:off x="1103400" y="492480"/>
            <a:ext cx="1440" cy="6457320"/>
          </a:xfrm>
          <a:prstGeom prst="straightConnector1">
            <a:avLst/>
          </a:prstGeom>
          <a:ln w="12700">
            <a:solidFill>
              <a:srgbClr val="00b050"/>
            </a:solidFill>
            <a:miter/>
          </a:ln>
        </cdr:spPr>
      </cdr:cxnSp>
      <cdr:cxnSp>
        <cdr:nvCxnSpPr>
          <cdr:cNvPr id="39" name="Connecteur droit 7"/>
          <cdr:cNvCxnSpPr/>
        </cdr:nvCxnSpPr>
        <cdr:spPr>
          <a:xfrm flipV="1">
            <a:off x="1521720" y="493560"/>
            <a:ext cx="1440" cy="6462000"/>
          </a:xfrm>
          <a:prstGeom prst="straightConnector1">
            <a:avLst/>
          </a:prstGeom>
          <a:ln w="12700">
            <a:solidFill>
              <a:srgbClr val="00b050"/>
            </a:solidFill>
            <a:miter/>
          </a:ln>
        </cdr:spPr>
      </cdr:cxnSp>
      <cdr:cxnSp>
        <cdr:nvCxnSpPr>
          <cdr:cNvPr id="40" name="Connecteur droit 8"/>
          <cdr:cNvCxnSpPr/>
        </cdr:nvCxnSpPr>
        <cdr:spPr>
          <a:xfrm flipV="1">
            <a:off x="788400" y="465840"/>
            <a:ext cx="1440" cy="6471360"/>
          </a:xfrm>
          <a:prstGeom prst="straightConnector1">
            <a:avLst/>
          </a:prstGeom>
          <a:ln w="12700">
            <a:solidFill>
              <a:srgbClr val="ff0000"/>
            </a:solidFill>
            <a:miter/>
          </a:ln>
        </cdr:spPr>
      </cdr:cxnSp>
    </cdr:grpSp>
  </cdr:relSizeAnchor>
  <cdr:relSizeAnchor>
    <cdr:from>
      <cdr:x>0.0679240592859584</cdr:x>
      <cdr:y>0.0620651775906261</cdr:y>
    </cdr:from>
    <cdr:to>
      <cdr:x>0.934903520492185</cdr:x>
      <cdr:y>0.114838886854632</cdr:y>
    </cdr:to>
    <cdr:grpSp>
      <cdr:nvGrpSpPr>
        <cdr:cNvPr id="41" name="Groupe 13"/>
        <cdr:cNvGrpSpPr/>
      </cdr:nvGrpSpPr>
      <cdr:grpSpPr>
        <a:xfrm>
          <a:off x="786960" y="488160"/>
          <a:ext cx="10044720" cy="415080"/>
          <a:chOff x="786960" y="488160"/>
          <a:chExt cx="10044720" cy="415080"/>
        </a:xfrm>
      </cdr:grpSpPr>
      <cdr:sp>
        <cdr:nvSpPr>
          <cdr:cNvPr id="42" name="Rectangle 9"/>
          <cdr:cNvSpPr/>
        </cdr:nvSpPr>
        <cdr:spPr>
          <a:xfrm>
            <a:off x="786960" y="488160"/>
            <a:ext cx="3463920" cy="140040"/>
          </a:xfrm>
          <a:prstGeom prst="rect">
            <a:avLst/>
          </a:prstGeom>
          <a:solidFill>
            <a:srgbClr val="ed7d31"/>
          </a:solidFill>
          <a:ln w="12700">
            <a:solidFill>
              <a:srgbClr val="43729d"/>
            </a:solidFill>
            <a:miter/>
          </a:ln>
        </cdr:spPr>
        <c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cdr:style>
        <cdr:txBody>
          <a:bodyPr numCol="1" spcCol="0" lIns="90000" rIns="90000" tIns="45000" bIns="45000" anchor="ctr">
            <a:noAutofit/>
          </a:bodyPr>
          <a:p>
            <a:pPr algn="ctr">
              <a:lnSpc>
                <a:spcPct val="100000"/>
              </a:lnSpc>
              <a:tabLst>
                <a:tab algn="l" pos="0"/>
              </a:tabLst>
            </a:pPr>
            <a:r>
              <a:rPr b="0" lang="fr-FR" sz="1100" spc="-1" strike="noStrike">
                <a:solidFill>
                  <a:schemeClr val="lt1"/>
                </a:solidFill>
                <a:latin typeface="Calibri"/>
              </a:rPr>
              <a:t>Effet bélier</a:t>
            </a:r>
            <a:endParaRPr b="0" sz="1100" spc="-1" strike="noStrike">
              <a:latin typeface="Times New Roman"/>
            </a:endParaRPr>
          </a:p>
        </cdr:txBody>
      </cdr:sp>
      <cdr:sp>
        <cdr:nvSpPr>
          <cdr:cNvPr id="43" name="Rectangle 10"/>
          <cdr:cNvSpPr/>
        </cdr:nvSpPr>
        <cdr:spPr>
          <a:xfrm>
            <a:off x="4257720" y="488160"/>
            <a:ext cx="6573960" cy="145800"/>
          </a:xfrm>
          <a:prstGeom prst="rect">
            <a:avLst/>
          </a:prstGeom>
          <a:solidFill>
            <a:srgbClr val="5b9bd5"/>
          </a:solidFill>
          <a:ln w="12700">
            <a:solidFill>
              <a:srgbClr val="43729d"/>
            </a:solidFill>
            <a:miter/>
          </a:ln>
        </cdr:spPr>
        <c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cdr:style>
        <cdr:txBody>
          <a:bodyPr numCol="1" spcCol="0" lIns="90000" rIns="90000" tIns="45000" bIns="45000" anchor="ctr">
            <a:noAutofit/>
          </a:bodyPr>
          <a:p>
            <a:pPr algn="ctr">
              <a:lnSpc>
                <a:spcPct val="100000"/>
              </a:lnSpc>
              <a:tabLst>
                <a:tab algn="l" pos="0"/>
              </a:tabLst>
            </a:pPr>
            <a:r>
              <a:rPr b="0" lang="fr-FR" sz="1100" spc="-1" strike="noStrike">
                <a:solidFill>
                  <a:schemeClr val="lt1"/>
                </a:solidFill>
                <a:latin typeface="Calibri"/>
              </a:rPr>
              <a:t>Retour</a:t>
            </a:r>
            <a:endParaRPr b="0" sz="1100" spc="-1" strike="noStrike">
              <a:latin typeface="Times New Roman"/>
            </a:endParaRPr>
          </a:p>
        </cdr:txBody>
      </cdr:sp>
      <cdr:sp>
        <cdr:nvSpPr>
          <cdr:cNvPr id="44" name="ZoneTexte 8"/>
          <cdr:cNvSpPr/>
        </cdr:nvSpPr>
        <cdr:spPr>
          <a:xfrm>
            <a:off x="1340280" y="665280"/>
            <a:ext cx="322920" cy="237960"/>
          </a:xfrm>
          <a:prstGeom prst="rect">
            <a:avLst/>
          </a:prstGeom>
          <a:solidFill>
            <a:srgbClr val="ffffff"/>
          </a:solidFill>
          <a:ln w="0">
            <a:noFill/>
          </a:ln>
        </cdr:spPr>
        <cdr:style>
          <a:lnRef idx="0"/>
          <a:fillRef idx="0"/>
          <a:effectRef idx="0"/>
          <a:fontRef idx="minor"/>
        </cdr:style>
        <cdr:txBody>
          <a:bodyPr wrap="none" lIns="90000" rIns="90000" tIns="45000" bIns="45000" anchor="t">
            <a:noAutofit/>
          </a:bodyPr>
          <a:p>
            <a:pPr>
              <a:lnSpc>
                <a:spcPct val="100000"/>
              </a:lnSpc>
              <a:tabLst>
                <a:tab algn="l" pos="0"/>
              </a:tabLst>
            </a:pPr>
            <a:r>
              <a:rPr b="1" lang="fr-FR" sz="1100" spc="-1" strike="noStrike">
                <a:solidFill>
                  <a:srgbClr val="0070c0"/>
                </a:solidFill>
                <a:latin typeface="Calibri"/>
              </a:rPr>
              <a:t>IA</a:t>
            </a:r>
            <a:endParaRPr b="0" sz="1100" spc="-1" strike="noStrike">
              <a:latin typeface="Times New Roman"/>
            </a:endParaRPr>
          </a:p>
        </cdr:txBody>
      </cdr:sp>
    </cdr:grpSp>
  </cdr:relSizeAnchor>
</c:userShapes>
</file>

<file path=xl/drawings/drawing8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0.0680483485069757</cdr:x>
      <cdr:y>0.0592572239776526</cdr:y>
    </cdr:from>
    <cdr:to>
      <cdr:x>0.131435851225802</cdr:x>
      <cdr:y>0.884278976049824</cdr:y>
    </cdr:to>
    <cdr:grpSp>
      <cdr:nvGrpSpPr>
        <cdr:cNvPr id="46" name="Groupe 1"/>
        <cdr:cNvGrpSpPr/>
      </cdr:nvGrpSpPr>
      <cdr:grpSpPr>
        <a:xfrm>
          <a:off x="788400" y="465840"/>
          <a:ext cx="734400" cy="6485760"/>
          <a:chOff x="788400" y="465840"/>
          <a:chExt cx="734400" cy="6485760"/>
        </a:xfrm>
      </cdr:grpSpPr>
      <cdr:cxnSp>
        <cdr:nvCxnSpPr>
          <cdr:cNvPr id="47" name="Connecteur droit 2"/>
          <cdr:cNvCxnSpPr/>
        </cdr:nvCxnSpPr>
        <cdr:spPr>
          <a:xfrm flipV="1">
            <a:off x="1437480" y="493200"/>
            <a:ext cx="1440" cy="6456600"/>
          </a:xfrm>
          <a:prstGeom prst="straightConnector1">
            <a:avLst/>
          </a:prstGeom>
          <a:ln w="12700">
            <a:solidFill>
              <a:srgbClr val="000000"/>
            </a:solidFill>
            <a:miter/>
          </a:ln>
        </cdr:spPr>
      </cdr:cxnSp>
      <cdr:cxnSp>
        <cdr:nvCxnSpPr>
          <cdr:cNvPr id="48" name="Connecteur droit 3"/>
          <cdr:cNvCxnSpPr/>
        </cdr:nvCxnSpPr>
        <cdr:spPr>
          <a:xfrm flipV="1">
            <a:off x="1010880" y="469440"/>
            <a:ext cx="1440" cy="6479280"/>
          </a:xfrm>
          <a:prstGeom prst="straightConnector1">
            <a:avLst/>
          </a:prstGeom>
          <a:ln w="12700">
            <a:solidFill>
              <a:srgbClr val="000000"/>
            </a:solidFill>
            <a:miter/>
          </a:ln>
        </cdr:spPr>
      </cdr:cxnSp>
      <cdr:cxnSp>
        <cdr:nvCxnSpPr>
          <cdr:cNvPr id="49" name="Connecteur droit 4"/>
          <cdr:cNvCxnSpPr/>
        </cdr:nvCxnSpPr>
        <cdr:spPr>
          <a:xfrm flipV="1">
            <a:off x="1467000" y="473760"/>
            <a:ext cx="1440" cy="6476760"/>
          </a:xfrm>
          <a:prstGeom prst="straightConnector1">
            <a:avLst/>
          </a:prstGeom>
          <a:ln w="12700">
            <a:solidFill>
              <a:srgbClr val="0070c0"/>
            </a:solidFill>
            <a:miter/>
          </a:ln>
        </cdr:spPr>
      </cdr:cxnSp>
      <cdr:cxnSp>
        <cdr:nvCxnSpPr>
          <cdr:cNvPr id="50" name="Connecteur droit 5"/>
          <cdr:cNvCxnSpPr/>
        </cdr:nvCxnSpPr>
        <cdr:spPr>
          <a:xfrm flipH="1" flipV="1">
            <a:off x="1019880" y="473760"/>
            <a:ext cx="19080" cy="6474240"/>
          </a:xfrm>
          <a:prstGeom prst="straightConnector1">
            <a:avLst/>
          </a:prstGeom>
          <a:ln w="12700">
            <a:solidFill>
              <a:srgbClr val="0070c0"/>
            </a:solidFill>
            <a:miter/>
          </a:ln>
        </cdr:spPr>
      </cdr:cxnSp>
      <cdr:cxnSp>
        <cdr:nvCxnSpPr>
          <cdr:cNvPr id="51" name="Connecteur droit 6"/>
          <cdr:cNvCxnSpPr/>
        </cdr:nvCxnSpPr>
        <cdr:spPr>
          <a:xfrm flipV="1">
            <a:off x="1103400" y="492120"/>
            <a:ext cx="1440" cy="6454080"/>
          </a:xfrm>
          <a:prstGeom prst="straightConnector1">
            <a:avLst/>
          </a:prstGeom>
          <a:ln w="12700">
            <a:solidFill>
              <a:srgbClr val="00b050"/>
            </a:solidFill>
            <a:miter/>
          </a:ln>
        </cdr:spPr>
      </cdr:cxnSp>
      <cdr:cxnSp>
        <cdr:nvCxnSpPr>
          <cdr:cNvPr id="52" name="Connecteur droit 7"/>
          <cdr:cNvCxnSpPr/>
        </cdr:nvCxnSpPr>
        <cdr:spPr>
          <a:xfrm flipV="1">
            <a:off x="1521720" y="493200"/>
            <a:ext cx="1440" cy="6458760"/>
          </a:xfrm>
          <a:prstGeom prst="straightConnector1">
            <a:avLst/>
          </a:prstGeom>
          <a:ln w="12700">
            <a:solidFill>
              <a:srgbClr val="00b050"/>
            </a:solidFill>
            <a:miter/>
          </a:ln>
        </cdr:spPr>
      </cdr:cxnSp>
      <cdr:cxnSp>
        <cdr:nvCxnSpPr>
          <cdr:cNvPr id="53" name="Connecteur droit 8"/>
          <cdr:cNvCxnSpPr/>
        </cdr:nvCxnSpPr>
        <cdr:spPr>
          <a:xfrm flipV="1">
            <a:off x="788400" y="465840"/>
            <a:ext cx="1440" cy="6467760"/>
          </a:xfrm>
          <a:prstGeom prst="straightConnector1">
            <a:avLst/>
          </a:prstGeom>
          <a:ln w="12700">
            <a:solidFill>
              <a:srgbClr val="ff0000"/>
            </a:solidFill>
            <a:miter/>
          </a:ln>
        </cdr:spPr>
      </cdr:cxnSp>
    </cdr:grpSp>
  </cdr:relSizeAnchor>
  <cdr:relSizeAnchor>
    <cdr:from>
      <cdr:x>0.0679240592859584</cdr:x>
      <cdr:y>0.0620506479827815</cdr:y>
    </cdr:from>
    <cdr:to>
      <cdr:x>0.934903520492185</cdr:x>
      <cdr:y>0.114850941063333</cdr:y>
    </cdr:to>
    <cdr:grpSp>
      <cdr:nvGrpSpPr>
        <cdr:cNvPr id="54" name="Groupe 13"/>
        <cdr:cNvGrpSpPr/>
      </cdr:nvGrpSpPr>
      <cdr:grpSpPr>
        <a:xfrm>
          <a:off x="786960" y="487800"/>
          <a:ext cx="10044720" cy="415080"/>
          <a:chOff x="786960" y="487800"/>
          <a:chExt cx="10044720" cy="415080"/>
        </a:xfrm>
      </cdr:grpSpPr>
      <cdr:sp>
        <cdr:nvSpPr>
          <cdr:cNvPr id="55" name="Rectangle 9"/>
          <cdr:cNvSpPr/>
        </cdr:nvSpPr>
        <cdr:spPr>
          <a:xfrm>
            <a:off x="786960" y="487800"/>
            <a:ext cx="3463920" cy="140040"/>
          </a:xfrm>
          <a:prstGeom prst="rect">
            <a:avLst/>
          </a:prstGeom>
          <a:solidFill>
            <a:srgbClr val="ed7d31"/>
          </a:solidFill>
          <a:ln w="12700">
            <a:solidFill>
              <a:srgbClr val="43729d"/>
            </a:solidFill>
            <a:miter/>
          </a:ln>
        </cdr:spPr>
        <c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cdr:style>
        <cdr:txBody>
          <a:bodyPr numCol="1" spcCol="0" lIns="90000" rIns="90000" tIns="45000" bIns="45000" anchor="ctr">
            <a:noAutofit/>
          </a:bodyPr>
          <a:p>
            <a:pPr algn="ctr">
              <a:lnSpc>
                <a:spcPct val="100000"/>
              </a:lnSpc>
              <a:tabLst>
                <a:tab algn="l" pos="0"/>
              </a:tabLst>
            </a:pPr>
            <a:r>
              <a:rPr b="0" lang="fr-FR" sz="1100" spc="-1" strike="noStrike">
                <a:solidFill>
                  <a:schemeClr val="lt1"/>
                </a:solidFill>
                <a:latin typeface="Calibri"/>
              </a:rPr>
              <a:t>Effet bélier</a:t>
            </a:r>
            <a:endParaRPr b="0" sz="1100" spc="-1" strike="noStrike">
              <a:latin typeface="Times New Roman"/>
            </a:endParaRPr>
          </a:p>
        </cdr:txBody>
      </cdr:sp>
      <cdr:sp>
        <cdr:nvSpPr>
          <cdr:cNvPr id="56" name="Rectangle 10"/>
          <cdr:cNvSpPr/>
        </cdr:nvSpPr>
        <cdr:spPr>
          <a:xfrm>
            <a:off x="4257720" y="487800"/>
            <a:ext cx="6573960" cy="145800"/>
          </a:xfrm>
          <a:prstGeom prst="rect">
            <a:avLst/>
          </a:prstGeom>
          <a:solidFill>
            <a:srgbClr val="5b9bd5"/>
          </a:solidFill>
          <a:ln w="12700">
            <a:solidFill>
              <a:srgbClr val="43729d"/>
            </a:solidFill>
            <a:miter/>
          </a:ln>
        </cdr:spPr>
        <c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cdr:style>
        <cdr:txBody>
          <a:bodyPr numCol="1" spcCol="0" lIns="90000" rIns="90000" tIns="45000" bIns="45000" anchor="ctr">
            <a:noAutofit/>
          </a:bodyPr>
          <a:p>
            <a:pPr algn="ctr">
              <a:lnSpc>
                <a:spcPct val="100000"/>
              </a:lnSpc>
              <a:tabLst>
                <a:tab algn="l" pos="0"/>
              </a:tabLst>
            </a:pPr>
            <a:r>
              <a:rPr b="0" lang="fr-FR" sz="1100" spc="-1" strike="noStrike">
                <a:solidFill>
                  <a:schemeClr val="lt1"/>
                </a:solidFill>
                <a:latin typeface="Calibri"/>
              </a:rPr>
              <a:t>Retour</a:t>
            </a:r>
            <a:endParaRPr b="0" sz="1100" spc="-1" strike="noStrike">
              <a:latin typeface="Times New Roman"/>
            </a:endParaRPr>
          </a:p>
        </cdr:txBody>
      </cdr:sp>
      <cdr:sp>
        <cdr:nvSpPr>
          <cdr:cNvPr id="57" name="ZoneTexte 8"/>
          <cdr:cNvSpPr/>
        </cdr:nvSpPr>
        <cdr:spPr>
          <a:xfrm>
            <a:off x="1340280" y="664920"/>
            <a:ext cx="322920" cy="237960"/>
          </a:xfrm>
          <a:prstGeom prst="rect">
            <a:avLst/>
          </a:prstGeom>
          <a:solidFill>
            <a:srgbClr val="ffffff"/>
          </a:solidFill>
          <a:ln w="0">
            <a:noFill/>
          </a:ln>
        </cdr:spPr>
        <cdr:style>
          <a:lnRef idx="0"/>
          <a:fillRef idx="0"/>
          <a:effectRef idx="0"/>
          <a:fontRef idx="minor"/>
        </cdr:style>
        <cdr:txBody>
          <a:bodyPr wrap="none" lIns="90000" rIns="90000" tIns="45000" bIns="45000" anchor="t">
            <a:noAutofit/>
          </a:bodyPr>
          <a:p>
            <a:pPr>
              <a:lnSpc>
                <a:spcPct val="100000"/>
              </a:lnSpc>
              <a:tabLst>
                <a:tab algn="l" pos="0"/>
              </a:tabLst>
            </a:pPr>
            <a:r>
              <a:rPr b="1" lang="fr-FR" sz="1100" spc="-1" strike="noStrike">
                <a:solidFill>
                  <a:srgbClr val="0070c0"/>
                </a:solidFill>
                <a:latin typeface="Calibri"/>
              </a:rPr>
              <a:t>IA</a:t>
            </a:r>
            <a:endParaRPr b="0" sz="1100" spc="-1" strike="noStrike">
              <a:latin typeface="Times New Roman"/>
            </a:endParaRPr>
          </a:p>
        </cdr:txBody>
      </cdr:sp>
    </cdr:grp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Users/debus/Documents/Nathalie/FichierPC/Labo/Exp&#233;rimentations/Effet%20m&#226;le/Progesterone-EffetMale/Respol/NDe23-02-FGA-EM-LaCazotte/23-02-DataAlphas-Retour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Users/debus/Documents/Nathalie/FichierPC/Labo/Exp&#233;rimentations/Effet%20m&#226;le/Progesterone-EffetMale/Respol/NDe23-02-FGA-EM-LaCazotte/23-02-DataAlphas-EffetM&#226;le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../Users/debus/Documents/Nathalie/FichierPC/Labo/Exp&#233;rimentations/Effet%20m&#226;le/Progesterone-EffetMale/Respol/NDe23-02-FGA-EM-LaCazotte/23-02-DataAlphas-Tou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lanning"/>
      <sheetName val="Harnais Béliers"/>
      <sheetName val="Lots Brebis"/>
      <sheetName val="Correspondance Tags"/>
      <sheetName val="Données brutes"/>
      <sheetName val="Données Lutte"/>
      <sheetName val="Lutte Béliers"/>
      <sheetName val="Lutte Lots"/>
      <sheetName val="Lutte brebis"/>
      <sheetName val="Lutte brebis Points Rouges"/>
      <sheetName val="Lutte brebis (4)"/>
      <sheetName val="Lutte brebis Début-Fin"/>
      <sheetName val="Lutte brebis Début-Fi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lanning"/>
      <sheetName val="Harnais Béliers"/>
      <sheetName val="Lots Brebis"/>
      <sheetName val="Correspondance Tags"/>
      <sheetName val="Données brutes"/>
      <sheetName val="Données Effet Mâle"/>
      <sheetName val="EM Béliers"/>
      <sheetName val="EM Lots"/>
      <sheetName val="EM Brebis"/>
      <sheetName val="EM Brebis Points Rouges"/>
      <sheetName val="EM Brebis (2)"/>
      <sheetName val="EM Brebis Début-Fin"/>
      <sheetName val="EM Brebis Début-Fin (2)"/>
      <sheetName val="Data nombre de chevauchements"/>
      <sheetName val="Nb chevauchements bruts"/>
      <sheetName val="Nb chevauchements calculs"/>
      <sheetName val="23-02-DataAlphas-EffetMâle"/>
      <sheetName val="Activité Béliers"/>
      <sheetName val="Activité par Lots"/>
      <sheetName val="Chaleurs Brebis Points Rou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lanning"/>
      <sheetName val="Harnais Béliers"/>
      <sheetName val="Lots Brebis"/>
      <sheetName val="Correspondance Tags"/>
      <sheetName val="Données Détecteurs All"/>
      <sheetName val="Données Détecteurs All (2)"/>
      <sheetName val="Activité Béliers"/>
      <sheetName val="Activité par Lots"/>
      <sheetName val="Chaleurs Brebis "/>
      <sheetName val="Chaleurs Brebis Points Rou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7" activeCellId="1" sqref="D19:D20 G97"/>
    </sheetView>
  </sheetViews>
  <sheetFormatPr defaultColWidth="11.5625" defaultRowHeight="14.25" zeroHeight="false" outlineLevelRow="0" outlineLevelCol="0"/>
  <cols>
    <col collapsed="false" customWidth="true" hidden="false" outlineLevel="0" max="1" min="1" style="1" width="22.67"/>
    <col collapsed="false" customWidth="false" hidden="false" outlineLevel="0" max="3" min="2" style="1" width="11.56"/>
    <col collapsed="false" customWidth="true" hidden="false" outlineLevel="0" max="4" min="4" style="1" width="18.11"/>
    <col collapsed="false" customWidth="true" hidden="false" outlineLevel="0" max="5" min="5" style="1" width="15.56"/>
    <col collapsed="false" customWidth="false" hidden="false" outlineLevel="0" max="16384" min="6" style="1" width="11.56"/>
  </cols>
  <sheetData>
    <row r="1" customFormat="false" ht="17.25" hidden="false" customHeight="true" outlineLevel="0" collapsed="false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3" customFormat="false" ht="14.25" hidden="false" customHeight="false" outlineLevel="0" collapsed="false">
      <c r="A3" s="1" t="s">
        <v>1</v>
      </c>
      <c r="B3" s="5" t="n">
        <v>45028</v>
      </c>
    </row>
    <row r="4" customFormat="false" ht="14.25" hidden="false" customHeight="false" outlineLevel="0" collapsed="false">
      <c r="A4" s="1" t="s">
        <v>2</v>
      </c>
      <c r="B4" s="5" t="n">
        <v>45030</v>
      </c>
      <c r="C4" s="1" t="s">
        <v>3</v>
      </c>
    </row>
    <row r="5" customFormat="false" ht="14.25" hidden="false" customHeight="false" outlineLevel="0" collapsed="false">
      <c r="A5" s="1" t="s">
        <v>4</v>
      </c>
      <c r="B5" s="5" t="n">
        <v>45040</v>
      </c>
      <c r="C5" s="1" t="s">
        <v>5</v>
      </c>
    </row>
    <row r="6" customFormat="false" ht="14.25" hidden="false" customHeight="false" outlineLevel="0" collapsed="false">
      <c r="A6" s="1" t="s">
        <v>6</v>
      </c>
      <c r="B6" s="5" t="n">
        <v>45055</v>
      </c>
      <c r="C6" s="1" t="s">
        <v>7</v>
      </c>
      <c r="D6" s="1" t="s">
        <v>8</v>
      </c>
    </row>
    <row r="7" customFormat="false" ht="14.25" hidden="false" customHeight="false" outlineLevel="0" collapsed="false">
      <c r="A7" s="1" t="s">
        <v>9</v>
      </c>
      <c r="B7" s="5" t="n">
        <v>45056</v>
      </c>
      <c r="C7" s="1" t="s">
        <v>10</v>
      </c>
      <c r="D7" s="1" t="s">
        <v>11</v>
      </c>
    </row>
    <row r="8" customFormat="false" ht="14.25" hidden="false" customHeight="false" outlineLevel="0" collapsed="false">
      <c r="A8" s="1" t="s">
        <v>12</v>
      </c>
      <c r="B8" s="5" t="n">
        <v>45057</v>
      </c>
      <c r="C8" s="1" t="s">
        <v>13</v>
      </c>
      <c r="D8" s="1" t="s">
        <v>14</v>
      </c>
    </row>
    <row r="9" customFormat="false" ht="14.25" hidden="false" customHeight="false" outlineLevel="0" collapsed="false">
      <c r="A9" s="1" t="s">
        <v>15</v>
      </c>
      <c r="B9" s="5" t="n">
        <v>45058</v>
      </c>
      <c r="C9" s="1" t="s">
        <v>16</v>
      </c>
      <c r="D9" s="1" t="s">
        <v>17</v>
      </c>
    </row>
    <row r="10" customFormat="false" ht="14.25" hidden="false" customHeight="false" outlineLevel="0" collapsed="false">
      <c r="A10" s="1" t="s">
        <v>18</v>
      </c>
      <c r="B10" s="5" t="n">
        <v>45059</v>
      </c>
      <c r="C10" s="1" t="s">
        <v>19</v>
      </c>
      <c r="D10" s="1" t="s">
        <v>20</v>
      </c>
    </row>
    <row r="11" customFormat="false" ht="14.25" hidden="false" customHeight="false" outlineLevel="0" collapsed="false">
      <c r="A11" s="1" t="s">
        <v>21</v>
      </c>
      <c r="B11" s="5" t="n">
        <v>45060</v>
      </c>
      <c r="C11" s="1" t="s">
        <v>22</v>
      </c>
      <c r="D11" s="1" t="s">
        <v>23</v>
      </c>
    </row>
    <row r="12" customFormat="false" ht="14.25" hidden="false" customHeight="false" outlineLevel="0" collapsed="false">
      <c r="A12" s="1" t="s">
        <v>24</v>
      </c>
      <c r="B12" s="5" t="n">
        <v>45061</v>
      </c>
      <c r="C12" s="1" t="s">
        <v>25</v>
      </c>
    </row>
    <row r="13" customFormat="false" ht="14.25" hidden="false" customHeight="false" outlineLevel="0" collapsed="false">
      <c r="A13" s="1" t="s">
        <v>26</v>
      </c>
      <c r="B13" s="5" t="n">
        <v>45062</v>
      </c>
      <c r="C13" s="1" t="s">
        <v>27</v>
      </c>
    </row>
    <row r="14" customFormat="false" ht="14.25" hidden="false" customHeight="false" outlineLevel="0" collapsed="false">
      <c r="A14" s="1" t="s">
        <v>28</v>
      </c>
      <c r="B14" s="5" t="n">
        <v>45063</v>
      </c>
      <c r="C14" s="1" t="s">
        <v>29</v>
      </c>
    </row>
    <row r="15" customFormat="false" ht="14.25" hidden="false" customHeight="false" outlineLevel="0" collapsed="false">
      <c r="A15" s="1" t="s">
        <v>30</v>
      </c>
      <c r="B15" s="5" t="n">
        <v>45041</v>
      </c>
    </row>
    <row r="16" customFormat="false" ht="14.25" hidden="false" customHeight="false" outlineLevel="0" collapsed="false">
      <c r="A16" s="1" t="s">
        <v>31</v>
      </c>
      <c r="B16" s="5" t="n">
        <v>45055</v>
      </c>
      <c r="C16" s="1" t="s">
        <v>32</v>
      </c>
      <c r="D16" s="6"/>
      <c r="E16" s="6"/>
    </row>
    <row r="17" customFormat="false" ht="14.25" hidden="false" customHeight="false" outlineLevel="0" collapsed="false">
      <c r="A17" s="1" t="s">
        <v>33</v>
      </c>
      <c r="B17" s="5" t="n">
        <v>45055</v>
      </c>
      <c r="C17" s="1" t="s">
        <v>34</v>
      </c>
    </row>
    <row r="18" customFormat="false" ht="14.25" hidden="false" customHeight="false" outlineLevel="0" collapsed="false">
      <c r="A18" s="1" t="s">
        <v>35</v>
      </c>
      <c r="B18" s="5" t="n">
        <v>45057</v>
      </c>
      <c r="C18" s="1" t="s">
        <v>36</v>
      </c>
    </row>
    <row r="19" customFormat="false" ht="14.25" hidden="false" customHeight="false" outlineLevel="0" collapsed="false">
      <c r="A19" s="1" t="s">
        <v>37</v>
      </c>
      <c r="B19" s="5" t="n">
        <v>45067</v>
      </c>
      <c r="C19" s="1" t="s">
        <v>38</v>
      </c>
    </row>
    <row r="20" customFormat="false" ht="14.25" hidden="false" customHeight="false" outlineLevel="0" collapsed="false">
      <c r="A20" s="1" t="s">
        <v>39</v>
      </c>
      <c r="B20" s="5" t="n">
        <v>45067</v>
      </c>
      <c r="C20" s="1" t="s">
        <v>38</v>
      </c>
    </row>
    <row r="21" customFormat="false" ht="14.25" hidden="false" customHeight="false" outlineLevel="0" collapsed="false">
      <c r="A21" s="1" t="s">
        <v>40</v>
      </c>
      <c r="B21" s="5" t="n">
        <v>45089</v>
      </c>
    </row>
    <row r="22" customFormat="false" ht="14.25" hidden="false" customHeight="false" outlineLevel="0" collapsed="false">
      <c r="A22" s="1" t="s">
        <v>41</v>
      </c>
      <c r="B22" s="5" t="n">
        <v>45117</v>
      </c>
      <c r="C22" s="1" t="n">
        <f aca="false">B22-B18</f>
        <v>60</v>
      </c>
    </row>
    <row r="23" customFormat="false" ht="14.25" hidden="false" customHeight="false" outlineLevel="0" collapsed="false">
      <c r="B23" s="7"/>
    </row>
    <row r="24" customFormat="false" ht="14.25" hidden="false" customHeight="false" outlineLevel="0" collapsed="false">
      <c r="A24" s="3" t="s">
        <v>42</v>
      </c>
      <c r="B24" s="7"/>
    </row>
    <row r="25" customFormat="false" ht="14.25" hidden="false" customHeight="false" outlineLevel="0" collapsed="false">
      <c r="A25" s="8" t="s">
        <v>43</v>
      </c>
      <c r="B25" s="8" t="s">
        <v>44</v>
      </c>
      <c r="C25" s="8" t="s">
        <v>45</v>
      </c>
      <c r="D25" s="8" t="s">
        <v>46</v>
      </c>
      <c r="E25" s="8" t="s">
        <v>45</v>
      </c>
      <c r="F25" s="8" t="s">
        <v>46</v>
      </c>
      <c r="H25" s="9" t="s">
        <v>47</v>
      </c>
      <c r="I25" s="9"/>
      <c r="J25" s="9"/>
      <c r="K25" s="9" t="s">
        <v>47</v>
      </c>
      <c r="L25" s="9"/>
      <c r="M25" s="9"/>
      <c r="N25" s="9" t="s">
        <v>47</v>
      </c>
      <c r="O25" s="9"/>
      <c r="P25" s="9"/>
    </row>
    <row r="26" customFormat="false" ht="14.25" hidden="false" customHeight="false" outlineLevel="0" collapsed="false">
      <c r="A26" s="10" t="n">
        <v>11358</v>
      </c>
      <c r="B26" s="11" t="s">
        <v>48</v>
      </c>
      <c r="C26" s="11" t="s">
        <v>49</v>
      </c>
      <c r="D26" s="12" t="n">
        <v>45055</v>
      </c>
      <c r="E26" s="11"/>
      <c r="F26" s="13"/>
      <c r="H26" s="9" t="n">
        <v>10</v>
      </c>
      <c r="I26" s="9" t="n">
        <v>5380</v>
      </c>
      <c r="J26" s="9" t="s">
        <v>50</v>
      </c>
      <c r="K26" s="9" t="n">
        <v>26</v>
      </c>
      <c r="L26" s="9" t="n">
        <v>1789</v>
      </c>
      <c r="M26" s="9" t="s">
        <v>50</v>
      </c>
      <c r="N26" s="14" t="n">
        <v>9</v>
      </c>
      <c r="O26" s="14" t="n">
        <v>9213</v>
      </c>
      <c r="P26" s="14" t="s">
        <v>51</v>
      </c>
    </row>
    <row r="27" customFormat="false" ht="14.25" hidden="false" customHeight="false" outlineLevel="0" collapsed="false">
      <c r="A27" s="10" t="s">
        <v>52</v>
      </c>
      <c r="B27" s="11" t="s">
        <v>48</v>
      </c>
      <c r="C27" s="11" t="s">
        <v>53</v>
      </c>
      <c r="D27" s="12" t="n">
        <v>45055</v>
      </c>
      <c r="E27" s="11"/>
      <c r="F27" s="13"/>
      <c r="H27" s="9" t="n">
        <v>11</v>
      </c>
      <c r="I27" s="9" t="n">
        <v>3817</v>
      </c>
      <c r="J27" s="9" t="s">
        <v>54</v>
      </c>
      <c r="K27" s="9" t="n">
        <v>27</v>
      </c>
      <c r="L27" s="9" t="n">
        <v>2540</v>
      </c>
      <c r="M27" s="9" t="s">
        <v>55</v>
      </c>
      <c r="N27" s="14" t="s">
        <v>56</v>
      </c>
      <c r="O27" s="14" t="n">
        <v>8934</v>
      </c>
      <c r="P27" s="14" t="s">
        <v>57</v>
      </c>
    </row>
    <row r="28" customFormat="false" ht="14.25" hidden="false" customHeight="false" outlineLevel="0" collapsed="false">
      <c r="A28" s="10" t="s">
        <v>58</v>
      </c>
      <c r="B28" s="15" t="s">
        <v>48</v>
      </c>
      <c r="C28" s="15" t="s">
        <v>59</v>
      </c>
      <c r="D28" s="12" t="n">
        <v>45055</v>
      </c>
      <c r="E28" s="15"/>
      <c r="F28" s="16"/>
      <c r="H28" s="9" t="n">
        <v>12</v>
      </c>
      <c r="I28" s="9" t="n">
        <v>2777</v>
      </c>
      <c r="J28" s="9" t="s">
        <v>60</v>
      </c>
      <c r="K28" s="9" t="n">
        <v>28</v>
      </c>
      <c r="L28" s="9" t="n">
        <v>8968</v>
      </c>
      <c r="M28" s="9" t="s">
        <v>61</v>
      </c>
      <c r="N28" s="14" t="s">
        <v>62</v>
      </c>
      <c r="O28" s="14" t="n">
        <v>6895</v>
      </c>
      <c r="P28" s="14" t="s">
        <v>63</v>
      </c>
    </row>
    <row r="29" customFormat="false" ht="14.25" hidden="false" customHeight="false" outlineLevel="0" collapsed="false">
      <c r="A29" s="10" t="n">
        <v>91601</v>
      </c>
      <c r="B29" s="11" t="s">
        <v>48</v>
      </c>
      <c r="C29" s="11" t="s">
        <v>64</v>
      </c>
      <c r="D29" s="12" t="n">
        <v>45055</v>
      </c>
      <c r="E29" s="11" t="s">
        <v>65</v>
      </c>
      <c r="F29" s="13" t="n">
        <v>45076</v>
      </c>
      <c r="H29" s="9" t="n">
        <v>13</v>
      </c>
      <c r="I29" s="9" t="n">
        <v>5891</v>
      </c>
      <c r="J29" s="9" t="s">
        <v>66</v>
      </c>
      <c r="K29" s="9" t="n">
        <v>29</v>
      </c>
      <c r="L29" s="9" t="n">
        <v>2420</v>
      </c>
      <c r="M29" s="9" t="s">
        <v>54</v>
      </c>
      <c r="N29" s="14" t="n">
        <v>10</v>
      </c>
      <c r="O29" s="14" t="n">
        <v>5380</v>
      </c>
      <c r="P29" s="14" t="s">
        <v>67</v>
      </c>
      <c r="Q29" s="14"/>
      <c r="R29" s="14"/>
    </row>
    <row r="30" customFormat="false" ht="14.25" hidden="false" customHeight="false" outlineLevel="0" collapsed="false">
      <c r="A30" s="10" t="s">
        <v>68</v>
      </c>
      <c r="B30" s="11" t="s">
        <v>48</v>
      </c>
      <c r="C30" s="11"/>
      <c r="D30" s="12"/>
      <c r="E30" s="11" t="s">
        <v>64</v>
      </c>
      <c r="F30" s="13" t="n">
        <v>45076</v>
      </c>
      <c r="H30" s="9" t="n">
        <v>16</v>
      </c>
      <c r="I30" s="9" t="n">
        <v>8688</v>
      </c>
      <c r="J30" s="9" t="s">
        <v>69</v>
      </c>
      <c r="K30" s="9" t="s">
        <v>70</v>
      </c>
      <c r="L30" s="9" t="n">
        <v>3317</v>
      </c>
      <c r="M30" s="9" t="s">
        <v>57</v>
      </c>
      <c r="N30" s="14" t="n">
        <v>28</v>
      </c>
      <c r="O30" s="14" t="n">
        <v>8968</v>
      </c>
      <c r="P30" s="14" t="s">
        <v>71</v>
      </c>
    </row>
    <row r="31" customFormat="false" ht="14.25" hidden="false" customHeight="false" outlineLevel="0" collapsed="false">
      <c r="A31" s="17" t="n">
        <v>81179</v>
      </c>
      <c r="B31" s="18" t="s">
        <v>48</v>
      </c>
      <c r="C31" s="18"/>
      <c r="D31" s="19" t="n">
        <v>45055</v>
      </c>
      <c r="E31" s="18"/>
      <c r="F31" s="20"/>
      <c r="H31" s="9" t="n">
        <v>17</v>
      </c>
      <c r="I31" s="9" t="n">
        <v>9233</v>
      </c>
      <c r="J31" s="9" t="s">
        <v>72</v>
      </c>
      <c r="K31" s="14" t="n">
        <v>15</v>
      </c>
      <c r="L31" s="14" t="n">
        <v>3555</v>
      </c>
      <c r="M31" s="14" t="s">
        <v>50</v>
      </c>
    </row>
    <row r="32" customFormat="false" ht="14.25" hidden="false" customHeight="false" outlineLevel="0" collapsed="false">
      <c r="A32" s="10" t="n">
        <v>11490</v>
      </c>
      <c r="B32" s="11" t="s">
        <v>48</v>
      </c>
      <c r="C32" s="11" t="s">
        <v>65</v>
      </c>
      <c r="D32" s="12" t="n">
        <v>45055</v>
      </c>
      <c r="E32" s="11"/>
      <c r="F32" s="13"/>
      <c r="H32" s="9" t="s">
        <v>62</v>
      </c>
      <c r="I32" s="9" t="n">
        <v>6895</v>
      </c>
      <c r="J32" s="9" t="s">
        <v>73</v>
      </c>
      <c r="K32" s="14" t="n">
        <v>14</v>
      </c>
      <c r="L32" s="14" t="n">
        <v>2027</v>
      </c>
      <c r="M32" s="14" t="s">
        <v>66</v>
      </c>
    </row>
    <row r="33" customFormat="false" ht="14.25" hidden="false" customHeight="false" outlineLevel="0" collapsed="false">
      <c r="A33" s="10" t="n">
        <v>11171</v>
      </c>
      <c r="B33" s="11" t="s">
        <v>48</v>
      </c>
      <c r="C33" s="11" t="s">
        <v>74</v>
      </c>
      <c r="D33" s="12" t="n">
        <v>45055</v>
      </c>
      <c r="E33" s="11"/>
      <c r="F33" s="13"/>
    </row>
    <row r="34" customFormat="false" ht="14.25" hidden="false" customHeight="false" outlineLevel="0" collapsed="false">
      <c r="A34" s="10" t="s">
        <v>75</v>
      </c>
      <c r="B34" s="11" t="s">
        <v>48</v>
      </c>
      <c r="C34" s="11" t="s">
        <v>76</v>
      </c>
      <c r="D34" s="12" t="n">
        <v>45055</v>
      </c>
      <c r="E34" s="11"/>
      <c r="F34" s="13"/>
    </row>
    <row r="35" customFormat="false" ht="14.25" hidden="false" customHeight="false" outlineLevel="0" collapsed="false">
      <c r="A35" s="21"/>
      <c r="C35" s="21"/>
      <c r="D35" s="22"/>
    </row>
    <row r="36" customFormat="false" ht="14.25" hidden="false" customHeight="false" outlineLevel="0" collapsed="false">
      <c r="A36" s="1" t="s">
        <v>77</v>
      </c>
    </row>
    <row r="37" customFormat="false" ht="14.25" hidden="false" customHeight="false" outlineLevel="0" collapsed="false">
      <c r="A37" s="1" t="s">
        <v>78</v>
      </c>
    </row>
    <row r="39" customFormat="false" ht="14.25" hidden="false" customHeight="false" outlineLevel="0" collapsed="false">
      <c r="A39" s="1" t="s">
        <v>79</v>
      </c>
    </row>
    <row r="40" customFormat="false" ht="14.25" hidden="false" customHeight="false" outlineLevel="0" collapsed="false">
      <c r="A40" s="1" t="s">
        <v>80</v>
      </c>
    </row>
    <row r="41" customFormat="false" ht="14.25" hidden="false" customHeight="false" outlineLevel="0" collapsed="false">
      <c r="A41" s="1" t="s">
        <v>81</v>
      </c>
    </row>
    <row r="44" customFormat="false" ht="15" hidden="false" customHeight="false" outlineLevel="0" collapsed="false">
      <c r="A44" s="23" t="s">
        <v>82</v>
      </c>
    </row>
  </sheetData>
  <mergeCells count="1">
    <mergeCell ref="P29:R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I484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I45" activeCellId="1" sqref="D19:D20 I45"/>
    </sheetView>
  </sheetViews>
  <sheetFormatPr defaultColWidth="15.109375" defaultRowHeight="14.25" zeroHeight="false" outlineLevelRow="0" outlineLevelCol="0"/>
  <cols>
    <col collapsed="false" customWidth="true" hidden="false" outlineLevel="0" max="1" min="1" style="24" width="10.11"/>
    <col collapsed="false" customWidth="true" hidden="false" outlineLevel="0" max="2" min="2" style="24" width="6.56"/>
    <col collapsed="false" customWidth="true" hidden="false" outlineLevel="0" max="3" min="3" style="24" width="9.67"/>
    <col collapsed="false" customWidth="true" hidden="false" outlineLevel="0" max="4" min="4" style="24" width="3"/>
    <col collapsed="false" customWidth="true" hidden="false" outlineLevel="0" max="6" min="5" style="24" width="4.33"/>
    <col collapsed="false" customWidth="true" hidden="false" outlineLevel="0" max="7" min="7" style="25" width="26.44"/>
    <col collapsed="false" customWidth="true" hidden="false" outlineLevel="0" max="9" min="8" style="26" width="18.56"/>
    <col collapsed="false" customWidth="false" hidden="false" outlineLevel="0" max="16384" min="10" style="24" width="15.11"/>
  </cols>
  <sheetData>
    <row r="1" customFormat="false" ht="17.35" hidden="false" customHeight="false" outlineLevel="0" collapsed="false">
      <c r="A1" s="27" t="s">
        <v>83</v>
      </c>
    </row>
    <row r="2" customFormat="false" ht="17.35" hidden="false" customHeight="false" outlineLevel="0" collapsed="false">
      <c r="A2" s="27"/>
    </row>
    <row r="3" customFormat="false" ht="17.35" hidden="false" customHeight="false" outlineLevel="0" collapsed="false">
      <c r="A3" s="27"/>
      <c r="G3" s="26" t="s">
        <v>84</v>
      </c>
    </row>
    <row r="4" customFormat="false" ht="15" hidden="false" customHeight="true" outlineLevel="0" collapsed="false">
      <c r="C4" s="28"/>
      <c r="D4" s="29"/>
      <c r="E4" s="29"/>
      <c r="F4" s="29"/>
      <c r="G4" s="30" t="s">
        <v>85</v>
      </c>
      <c r="H4" s="30"/>
      <c r="I4" s="30"/>
    </row>
    <row r="5" customFormat="false" ht="15.65" hidden="false" customHeight="true" outlineLevel="0" collapsed="false">
      <c r="C5" s="28"/>
      <c r="D5" s="3"/>
      <c r="E5" s="3"/>
      <c r="F5" s="3"/>
      <c r="G5" s="31" t="s">
        <v>86</v>
      </c>
      <c r="H5" s="31"/>
      <c r="I5" s="31"/>
    </row>
    <row r="6" customFormat="false" ht="30" hidden="false" customHeight="true" outlineLevel="0" collapsed="false">
      <c r="A6" s="32" t="s">
        <v>87</v>
      </c>
      <c r="C6" s="28"/>
      <c r="D6" s="33"/>
      <c r="E6" s="33"/>
      <c r="F6" s="3"/>
      <c r="G6" s="34" t="s">
        <v>88</v>
      </c>
      <c r="H6" s="34"/>
      <c r="I6" s="34"/>
    </row>
    <row r="7" customFormat="false" ht="14.25" hidden="false" customHeight="true" outlineLevel="0" collapsed="false">
      <c r="A7" s="35"/>
      <c r="C7" s="28"/>
      <c r="D7" s="3"/>
      <c r="E7" s="3"/>
      <c r="F7" s="3"/>
      <c r="G7" s="36" t="s">
        <v>89</v>
      </c>
      <c r="H7" s="36" t="s">
        <v>90</v>
      </c>
      <c r="I7" s="36"/>
    </row>
    <row r="8" customFormat="false" ht="14.25" hidden="false" customHeight="false" outlineLevel="0" collapsed="false">
      <c r="A8" s="35"/>
      <c r="C8" s="28"/>
      <c r="D8" s="3"/>
      <c r="E8" s="3"/>
      <c r="F8" s="3"/>
      <c r="G8" s="36"/>
      <c r="H8" s="36" t="s">
        <v>91</v>
      </c>
      <c r="I8" s="36" t="s">
        <v>92</v>
      </c>
    </row>
    <row r="9" customFormat="false" ht="14.25" hidden="false" customHeight="false" outlineLevel="0" collapsed="false">
      <c r="A9" s="37"/>
      <c r="B9" s="37"/>
      <c r="C9" s="38" t="n">
        <v>45024</v>
      </c>
      <c r="D9" s="37" t="s">
        <v>93</v>
      </c>
      <c r="E9" s="37"/>
      <c r="F9" s="37"/>
      <c r="G9" s="39"/>
      <c r="H9" s="40"/>
      <c r="I9" s="40"/>
    </row>
    <row r="10" customFormat="false" ht="14.25" hidden="false" customHeight="false" outlineLevel="0" collapsed="false">
      <c r="A10" s="37"/>
      <c r="B10" s="37"/>
      <c r="C10" s="38" t="n">
        <f aca="false">C9+1</f>
        <v>45025</v>
      </c>
      <c r="D10" s="37" t="s">
        <v>53</v>
      </c>
      <c r="E10" s="37"/>
      <c r="F10" s="37"/>
      <c r="G10" s="39"/>
      <c r="H10" s="40"/>
      <c r="I10" s="40"/>
    </row>
    <row r="11" customFormat="false" ht="14.25" hidden="false" customHeight="false" outlineLevel="0" collapsed="false">
      <c r="A11" s="41"/>
      <c r="B11" s="41"/>
      <c r="C11" s="42" t="n">
        <f aca="false">C10+1</f>
        <v>45026</v>
      </c>
      <c r="D11" s="41" t="s">
        <v>94</v>
      </c>
      <c r="E11" s="41"/>
      <c r="F11" s="41" t="n">
        <f aca="false">F12-1</f>
        <v>-31</v>
      </c>
      <c r="G11" s="43"/>
      <c r="H11" s="44"/>
      <c r="I11" s="44"/>
    </row>
    <row r="12" customFormat="false" ht="14.25" hidden="false" customHeight="false" outlineLevel="0" collapsed="false">
      <c r="A12" s="41"/>
      <c r="B12" s="41"/>
      <c r="C12" s="42" t="n">
        <f aca="false">C11+1</f>
        <v>45027</v>
      </c>
      <c r="D12" s="41" t="s">
        <v>95</v>
      </c>
      <c r="E12" s="41"/>
      <c r="F12" s="41" t="n">
        <f aca="false">F13-1</f>
        <v>-30</v>
      </c>
      <c r="G12" s="36" t="s">
        <v>96</v>
      </c>
      <c r="H12" s="44"/>
      <c r="I12" s="44"/>
    </row>
    <row r="13" customFormat="false" ht="14.25" hidden="false" customHeight="false" outlineLevel="0" collapsed="false">
      <c r="A13" s="45"/>
      <c r="B13" s="45"/>
      <c r="C13" s="46" t="n">
        <f aca="false">C12+1</f>
        <v>45028</v>
      </c>
      <c r="D13" s="45" t="s">
        <v>95</v>
      </c>
      <c r="E13" s="45"/>
      <c r="F13" s="45" t="n">
        <f aca="false">F14-1</f>
        <v>-29</v>
      </c>
      <c r="G13" s="47"/>
      <c r="H13" s="48"/>
      <c r="I13" s="48"/>
    </row>
    <row r="14" s="49" customFormat="true" ht="14.25" hidden="false" customHeight="false" outlineLevel="0" collapsed="false">
      <c r="A14" s="41"/>
      <c r="B14" s="41"/>
      <c r="C14" s="42" t="n">
        <f aca="false">C13+1</f>
        <v>45029</v>
      </c>
      <c r="D14" s="41" t="s">
        <v>97</v>
      </c>
      <c r="E14" s="41"/>
      <c r="F14" s="41" t="n">
        <f aca="false">F15-1</f>
        <v>-28</v>
      </c>
      <c r="G14" s="43"/>
      <c r="H14" s="44"/>
      <c r="I14" s="4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24"/>
      <c r="II14" s="24"/>
    </row>
    <row r="15" s="49" customFormat="true" ht="14.25" hidden="false" customHeight="false" outlineLevel="0" collapsed="false">
      <c r="A15" s="41"/>
      <c r="B15" s="41"/>
      <c r="C15" s="42" t="n">
        <f aca="false">C14+1</f>
        <v>45030</v>
      </c>
      <c r="D15" s="41" t="s">
        <v>98</v>
      </c>
      <c r="E15" s="41" t="n">
        <v>-10</v>
      </c>
      <c r="F15" s="41" t="n">
        <f aca="false">F16-1</f>
        <v>-27</v>
      </c>
      <c r="G15" s="43"/>
      <c r="H15" s="36" t="s">
        <v>3</v>
      </c>
      <c r="I15" s="4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</row>
    <row r="16" customFormat="false" ht="14.25" hidden="false" customHeight="false" outlineLevel="0" collapsed="false">
      <c r="A16" s="37"/>
      <c r="B16" s="37"/>
      <c r="C16" s="38" t="n">
        <f aca="false">C15+1</f>
        <v>45031</v>
      </c>
      <c r="D16" s="37" t="s">
        <v>93</v>
      </c>
      <c r="E16" s="37" t="n">
        <v>-9</v>
      </c>
      <c r="F16" s="37" t="n">
        <f aca="false">F17-1</f>
        <v>-26</v>
      </c>
      <c r="G16" s="39"/>
      <c r="H16" s="50"/>
      <c r="I16" s="40"/>
    </row>
    <row r="17" customFormat="false" ht="14.25" hidden="false" customHeight="false" outlineLevel="0" collapsed="false">
      <c r="A17" s="37"/>
      <c r="B17" s="37"/>
      <c r="C17" s="38" t="n">
        <f aca="false">C16+1</f>
        <v>45032</v>
      </c>
      <c r="D17" s="37" t="s">
        <v>53</v>
      </c>
      <c r="E17" s="37" t="n">
        <v>-8</v>
      </c>
      <c r="F17" s="37" t="n">
        <f aca="false">F18-1</f>
        <v>-25</v>
      </c>
      <c r="G17" s="39"/>
      <c r="H17" s="40"/>
      <c r="I17" s="40"/>
    </row>
    <row r="18" s="51" customFormat="true" ht="14.25" hidden="false" customHeight="false" outlineLevel="0" collapsed="false">
      <c r="A18" s="41"/>
      <c r="B18" s="41"/>
      <c r="C18" s="42" t="n">
        <f aca="false">C17+1</f>
        <v>45033</v>
      </c>
      <c r="D18" s="41" t="s">
        <v>94</v>
      </c>
      <c r="E18" s="41" t="n">
        <v>-7</v>
      </c>
      <c r="F18" s="41" t="n">
        <f aca="false">F19-1</f>
        <v>-24</v>
      </c>
      <c r="G18" s="43"/>
      <c r="H18" s="44"/>
      <c r="I18" s="4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24"/>
      <c r="HK18" s="24"/>
      <c r="HL18" s="24"/>
      <c r="HM18" s="24"/>
      <c r="HN18" s="24"/>
      <c r="HO18" s="24"/>
      <c r="HP18" s="24"/>
      <c r="HQ18" s="24"/>
      <c r="HR18" s="24"/>
      <c r="HS18" s="24"/>
      <c r="HT18" s="24"/>
      <c r="HU18" s="24"/>
      <c r="HV18" s="24"/>
      <c r="HW18" s="24"/>
      <c r="HX18" s="24"/>
      <c r="HY18" s="24"/>
      <c r="HZ18" s="24"/>
      <c r="IA18" s="24"/>
      <c r="IB18" s="24"/>
      <c r="IC18" s="24"/>
      <c r="ID18" s="24"/>
      <c r="IE18" s="24"/>
      <c r="IF18" s="24"/>
      <c r="IG18" s="24"/>
      <c r="IH18" s="24"/>
      <c r="II18" s="24"/>
    </row>
    <row r="19" customFormat="false" ht="14.25" hidden="false" customHeight="false" outlineLevel="0" collapsed="false">
      <c r="A19" s="41"/>
      <c r="B19" s="41"/>
      <c r="C19" s="42" t="n">
        <f aca="false">C18+1</f>
        <v>45034</v>
      </c>
      <c r="D19" s="41" t="s">
        <v>95</v>
      </c>
      <c r="E19" s="41" t="n">
        <v>-6</v>
      </c>
      <c r="F19" s="41" t="n">
        <f aca="false">F20-1</f>
        <v>-23</v>
      </c>
      <c r="G19" s="43"/>
      <c r="H19" s="44"/>
      <c r="I19" s="44"/>
    </row>
    <row r="20" customFormat="false" ht="14.25" hidden="false" customHeight="false" outlineLevel="0" collapsed="false">
      <c r="A20" s="45"/>
      <c r="B20" s="45"/>
      <c r="C20" s="46" t="n">
        <f aca="false">C19+1</f>
        <v>45035</v>
      </c>
      <c r="D20" s="45" t="s">
        <v>95</v>
      </c>
      <c r="E20" s="45" t="n">
        <v>-5</v>
      </c>
      <c r="F20" s="45" t="n">
        <f aca="false">F21-1</f>
        <v>-22</v>
      </c>
      <c r="G20" s="47"/>
      <c r="H20" s="48"/>
      <c r="I20" s="48"/>
    </row>
    <row r="21" s="49" customFormat="true" ht="14.25" hidden="false" customHeight="false" outlineLevel="0" collapsed="false">
      <c r="A21" s="41"/>
      <c r="B21" s="41"/>
      <c r="C21" s="42" t="n">
        <f aca="false">C20+1</f>
        <v>45036</v>
      </c>
      <c r="D21" s="41" t="s">
        <v>97</v>
      </c>
      <c r="E21" s="41" t="n">
        <v>-4</v>
      </c>
      <c r="F21" s="41" t="n">
        <f aca="false">F22-1</f>
        <v>-21</v>
      </c>
      <c r="G21" s="43"/>
      <c r="H21" s="44"/>
      <c r="I21" s="4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  <c r="IH21" s="24"/>
      <c r="II21" s="24"/>
    </row>
    <row r="22" s="49" customFormat="true" ht="14.25" hidden="false" customHeight="false" outlineLevel="0" collapsed="false">
      <c r="A22" s="41"/>
      <c r="B22" s="41"/>
      <c r="C22" s="42" t="n">
        <f aca="false">C21+1</f>
        <v>45037</v>
      </c>
      <c r="D22" s="41" t="s">
        <v>98</v>
      </c>
      <c r="E22" s="41" t="n">
        <v>-3</v>
      </c>
      <c r="F22" s="41" t="n">
        <f aca="false">F23-1</f>
        <v>-20</v>
      </c>
      <c r="G22" s="43"/>
      <c r="H22" s="44"/>
      <c r="I22" s="4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  <c r="IH22" s="24"/>
      <c r="II22" s="24"/>
    </row>
    <row r="23" s="49" customFormat="true" ht="14.25" hidden="false" customHeight="false" outlineLevel="0" collapsed="false">
      <c r="A23" s="52"/>
      <c r="B23" s="53" t="s">
        <v>99</v>
      </c>
      <c r="C23" s="54" t="n">
        <f aca="false">C22+1</f>
        <v>45038</v>
      </c>
      <c r="D23" s="37" t="s">
        <v>93</v>
      </c>
      <c r="E23" s="37" t="n">
        <v>-2</v>
      </c>
      <c r="F23" s="37" t="n">
        <f aca="false">F24-1</f>
        <v>-19</v>
      </c>
      <c r="G23" s="39"/>
      <c r="H23" s="40"/>
      <c r="I23" s="40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  <c r="IH23" s="24"/>
      <c r="II23" s="24"/>
    </row>
    <row r="24" customFormat="false" ht="14.25" hidden="false" customHeight="false" outlineLevel="0" collapsed="false">
      <c r="A24" s="52"/>
      <c r="B24" s="53"/>
      <c r="C24" s="54" t="n">
        <f aca="false">C23+1</f>
        <v>45039</v>
      </c>
      <c r="D24" s="37" t="s">
        <v>53</v>
      </c>
      <c r="E24" s="37" t="n">
        <v>-1</v>
      </c>
      <c r="F24" s="37" t="n">
        <f aca="false">F25-1</f>
        <v>-18</v>
      </c>
      <c r="G24" s="39"/>
      <c r="H24" s="40"/>
      <c r="I24" s="40"/>
    </row>
    <row r="25" s="51" customFormat="true" ht="14.25" hidden="false" customHeight="false" outlineLevel="0" collapsed="false">
      <c r="A25" s="55"/>
      <c r="B25" s="53"/>
      <c r="C25" s="56" t="n">
        <f aca="false">C24+1</f>
        <v>45040</v>
      </c>
      <c r="D25" s="41" t="s">
        <v>94</v>
      </c>
      <c r="E25" s="41" t="n">
        <v>0</v>
      </c>
      <c r="F25" s="41" t="n">
        <f aca="false">F26-1</f>
        <v>-17</v>
      </c>
      <c r="G25" s="43"/>
      <c r="H25" s="36" t="s">
        <v>5</v>
      </c>
      <c r="I25" s="4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</row>
    <row r="26" customFormat="false" ht="14.25" hidden="false" customHeight="false" outlineLevel="0" collapsed="false">
      <c r="A26" s="55"/>
      <c r="B26" s="53"/>
      <c r="C26" s="56" t="n">
        <f aca="false">C25+1</f>
        <v>45041</v>
      </c>
      <c r="D26" s="41" t="s">
        <v>95</v>
      </c>
      <c r="E26" s="41" t="n">
        <v>0</v>
      </c>
      <c r="F26" s="41" t="n">
        <f aca="false">F27-1</f>
        <v>-16</v>
      </c>
      <c r="G26" s="36" t="s">
        <v>30</v>
      </c>
      <c r="H26" s="44"/>
      <c r="I26" s="44"/>
    </row>
    <row r="27" customFormat="false" ht="14.25" hidden="false" customHeight="false" outlineLevel="0" collapsed="false">
      <c r="A27" s="57"/>
      <c r="B27" s="53"/>
      <c r="C27" s="58" t="n">
        <f aca="false">C26+1</f>
        <v>45042</v>
      </c>
      <c r="D27" s="45" t="s">
        <v>95</v>
      </c>
      <c r="E27" s="45" t="n">
        <f aca="false">E26+1</f>
        <v>1</v>
      </c>
      <c r="F27" s="45" t="n">
        <f aca="false">F28-1</f>
        <v>-15</v>
      </c>
      <c r="G27" s="47"/>
      <c r="H27" s="48"/>
      <c r="I27" s="48"/>
    </row>
    <row r="28" s="49" customFormat="true" ht="14.25" hidden="false" customHeight="false" outlineLevel="0" collapsed="false">
      <c r="A28" s="55"/>
      <c r="B28" s="53"/>
      <c r="C28" s="56" t="n">
        <f aca="false">C27+1</f>
        <v>45043</v>
      </c>
      <c r="D28" s="41" t="s">
        <v>97</v>
      </c>
      <c r="E28" s="41" t="n">
        <f aca="false">E27+1</f>
        <v>2</v>
      </c>
      <c r="F28" s="41" t="n">
        <f aca="false">F29-1</f>
        <v>-14</v>
      </c>
      <c r="G28" s="43"/>
      <c r="H28" s="44"/>
      <c r="I28" s="4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4"/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24"/>
      <c r="IH28" s="24"/>
      <c r="II28" s="24"/>
    </row>
    <row r="29" s="49" customFormat="true" ht="14.25" hidden="false" customHeight="false" outlineLevel="0" collapsed="false">
      <c r="A29" s="55"/>
      <c r="B29" s="53"/>
      <c r="C29" s="56" t="n">
        <f aca="false">C28+1</f>
        <v>45044</v>
      </c>
      <c r="D29" s="41" t="s">
        <v>98</v>
      </c>
      <c r="E29" s="41" t="n">
        <f aca="false">E28+1</f>
        <v>3</v>
      </c>
      <c r="F29" s="41" t="n">
        <f aca="false">F30-1</f>
        <v>-13</v>
      </c>
      <c r="G29" s="43"/>
      <c r="H29" s="44"/>
      <c r="I29" s="4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4"/>
      <c r="HG29" s="24"/>
      <c r="HH29" s="24"/>
      <c r="HI29" s="24"/>
      <c r="HJ29" s="24"/>
      <c r="HK29" s="24"/>
      <c r="HL29" s="24"/>
      <c r="HM29" s="24"/>
      <c r="HN29" s="24"/>
      <c r="HO29" s="24"/>
      <c r="HP29" s="24"/>
      <c r="HQ29" s="24"/>
      <c r="HR29" s="24"/>
      <c r="HS29" s="24"/>
      <c r="HT29" s="24"/>
      <c r="HU29" s="24"/>
      <c r="HV29" s="24"/>
      <c r="HW29" s="24"/>
      <c r="HX29" s="24"/>
      <c r="HY29" s="24"/>
      <c r="HZ29" s="24"/>
      <c r="IA29" s="24"/>
      <c r="IB29" s="24"/>
      <c r="IC29" s="24"/>
      <c r="ID29" s="24"/>
      <c r="IE29" s="24"/>
      <c r="IF29" s="24"/>
      <c r="IG29" s="24"/>
      <c r="IH29" s="24"/>
      <c r="II29" s="24"/>
    </row>
    <row r="30" s="49" customFormat="true" ht="14.25" hidden="false" customHeight="false" outlineLevel="0" collapsed="false">
      <c r="A30" s="52"/>
      <c r="B30" s="53"/>
      <c r="C30" s="54" t="n">
        <f aca="false">C29+1</f>
        <v>45045</v>
      </c>
      <c r="D30" s="37" t="s">
        <v>93</v>
      </c>
      <c r="E30" s="37" t="n">
        <f aca="false">E29+1</f>
        <v>4</v>
      </c>
      <c r="F30" s="37" t="n">
        <f aca="false">F31-1</f>
        <v>-12</v>
      </c>
      <c r="G30" s="39"/>
      <c r="H30" s="40"/>
      <c r="I30" s="40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24"/>
      <c r="HD30" s="24"/>
      <c r="HE30" s="24"/>
      <c r="HF30" s="24"/>
      <c r="HG30" s="24"/>
      <c r="HH30" s="24"/>
      <c r="HI30" s="24"/>
      <c r="HJ30" s="24"/>
      <c r="HK30" s="24"/>
      <c r="HL30" s="24"/>
      <c r="HM30" s="24"/>
      <c r="HN30" s="24"/>
      <c r="HO30" s="24"/>
      <c r="HP30" s="24"/>
      <c r="HQ30" s="24"/>
      <c r="HR30" s="24"/>
      <c r="HS30" s="24"/>
      <c r="HT30" s="24"/>
      <c r="HU30" s="24"/>
      <c r="HV30" s="24"/>
      <c r="HW30" s="24"/>
      <c r="HX30" s="24"/>
      <c r="HY30" s="24"/>
      <c r="HZ30" s="24"/>
      <c r="IA30" s="24"/>
      <c r="IB30" s="24"/>
      <c r="IC30" s="24"/>
      <c r="ID30" s="24"/>
      <c r="IE30" s="24"/>
      <c r="IF30" s="24"/>
      <c r="IG30" s="24"/>
      <c r="IH30" s="24"/>
      <c r="II30" s="24"/>
    </row>
    <row r="31" customFormat="false" ht="14.25" hidden="false" customHeight="false" outlineLevel="0" collapsed="false">
      <c r="A31" s="52"/>
      <c r="B31" s="53"/>
      <c r="C31" s="54" t="n">
        <f aca="false">C30+1</f>
        <v>45046</v>
      </c>
      <c r="D31" s="37" t="s">
        <v>53</v>
      </c>
      <c r="E31" s="37" t="n">
        <f aca="false">E30+1</f>
        <v>5</v>
      </c>
      <c r="F31" s="37" t="n">
        <f aca="false">F32-1</f>
        <v>-11</v>
      </c>
      <c r="G31" s="39"/>
      <c r="H31" s="40"/>
      <c r="I31" s="40"/>
    </row>
    <row r="32" s="51" customFormat="true" ht="14.25" hidden="false" customHeight="false" outlineLevel="0" collapsed="false">
      <c r="A32" s="52"/>
      <c r="B32" s="53"/>
      <c r="C32" s="54" t="n">
        <f aca="false">C31+1</f>
        <v>45047</v>
      </c>
      <c r="D32" s="37" t="s">
        <v>94</v>
      </c>
      <c r="E32" s="37" t="n">
        <f aca="false">E31+1</f>
        <v>6</v>
      </c>
      <c r="F32" s="37" t="n">
        <f aca="false">F33-1</f>
        <v>-10</v>
      </c>
      <c r="G32" s="39"/>
      <c r="H32" s="40"/>
      <c r="I32" s="40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</row>
    <row r="33" customFormat="false" ht="14.25" hidden="false" customHeight="false" outlineLevel="0" collapsed="false">
      <c r="A33" s="55"/>
      <c r="B33" s="53"/>
      <c r="C33" s="56" t="n">
        <f aca="false">C32+1</f>
        <v>45048</v>
      </c>
      <c r="D33" s="41" t="s">
        <v>95</v>
      </c>
      <c r="E33" s="41" t="n">
        <f aca="false">E32+1</f>
        <v>7</v>
      </c>
      <c r="F33" s="41" t="n">
        <f aca="false">F34-1</f>
        <v>-9</v>
      </c>
      <c r="G33" s="59"/>
      <c r="H33" s="59"/>
      <c r="I33" s="59"/>
    </row>
    <row r="34" customFormat="false" ht="14.25" hidden="false" customHeight="false" outlineLevel="0" collapsed="false">
      <c r="A34" s="57"/>
      <c r="B34" s="53"/>
      <c r="C34" s="58" t="n">
        <f aca="false">C33+1</f>
        <v>45049</v>
      </c>
      <c r="D34" s="45" t="s">
        <v>95</v>
      </c>
      <c r="E34" s="45" t="n">
        <f aca="false">E33+1</f>
        <v>8</v>
      </c>
      <c r="F34" s="45" t="n">
        <f aca="false">F35-1</f>
        <v>-8</v>
      </c>
      <c r="G34" s="47"/>
      <c r="H34" s="48"/>
      <c r="I34" s="48"/>
    </row>
    <row r="35" s="49" customFormat="true" ht="14.25" hidden="false" customHeight="false" outlineLevel="0" collapsed="false">
      <c r="A35" s="55"/>
      <c r="B35" s="53"/>
      <c r="C35" s="56" t="n">
        <f aca="false">C34+1</f>
        <v>45050</v>
      </c>
      <c r="D35" s="41" t="s">
        <v>97</v>
      </c>
      <c r="E35" s="41" t="n">
        <f aca="false">E34+1</f>
        <v>9</v>
      </c>
      <c r="F35" s="41" t="n">
        <f aca="false">F36-1</f>
        <v>-7</v>
      </c>
      <c r="G35" s="36" t="s">
        <v>100</v>
      </c>
      <c r="H35" s="59"/>
      <c r="I35" s="59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4"/>
      <c r="HB35" s="24"/>
      <c r="HC35" s="24"/>
      <c r="HD35" s="24"/>
      <c r="HE35" s="24"/>
      <c r="HF35" s="24"/>
      <c r="HG35" s="24"/>
      <c r="HH35" s="24"/>
      <c r="HI35" s="24"/>
      <c r="HJ35" s="24"/>
      <c r="HK35" s="24"/>
      <c r="HL35" s="24"/>
      <c r="HM35" s="24"/>
      <c r="HN35" s="24"/>
      <c r="HO35" s="24"/>
      <c r="HP35" s="24"/>
      <c r="HQ35" s="24"/>
      <c r="HR35" s="24"/>
      <c r="HS35" s="24"/>
      <c r="HT35" s="24"/>
      <c r="HU35" s="24"/>
      <c r="HV35" s="24"/>
      <c r="HW35" s="24"/>
      <c r="HX35" s="24"/>
      <c r="HY35" s="24"/>
      <c r="HZ35" s="24"/>
      <c r="IA35" s="24"/>
      <c r="IB35" s="24"/>
      <c r="IC35" s="24"/>
      <c r="ID35" s="24"/>
      <c r="IE35" s="24"/>
      <c r="IF35" s="24"/>
      <c r="IG35" s="24"/>
      <c r="IH35" s="24"/>
      <c r="II35" s="24"/>
    </row>
    <row r="36" s="49" customFormat="true" ht="14.25" hidden="false" customHeight="false" outlineLevel="0" collapsed="false">
      <c r="A36" s="55"/>
      <c r="B36" s="53"/>
      <c r="C36" s="56" t="n">
        <f aca="false">C35+1</f>
        <v>45051</v>
      </c>
      <c r="D36" s="41" t="s">
        <v>98</v>
      </c>
      <c r="E36" s="41" t="n">
        <f aca="false">E35+1</f>
        <v>10</v>
      </c>
      <c r="F36" s="41" t="n">
        <f aca="false">F37-1</f>
        <v>-6</v>
      </c>
      <c r="G36" s="59"/>
      <c r="H36" s="59"/>
      <c r="I36" s="59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4"/>
      <c r="HC36" s="24"/>
      <c r="HD36" s="24"/>
      <c r="HE36" s="24"/>
      <c r="HF36" s="24"/>
      <c r="HG36" s="24"/>
      <c r="HH36" s="24"/>
      <c r="HI36" s="24"/>
      <c r="HJ36" s="24"/>
      <c r="HK36" s="24"/>
      <c r="HL36" s="24"/>
      <c r="HM36" s="24"/>
      <c r="HN36" s="24"/>
      <c r="HO36" s="24"/>
      <c r="HP36" s="24"/>
      <c r="HQ36" s="24"/>
      <c r="HR36" s="24"/>
      <c r="HS36" s="24"/>
      <c r="HT36" s="24"/>
      <c r="HU36" s="24"/>
      <c r="HV36" s="24"/>
      <c r="HW36" s="24"/>
      <c r="HX36" s="24"/>
      <c r="HY36" s="24"/>
      <c r="HZ36" s="24"/>
      <c r="IA36" s="24"/>
      <c r="IB36" s="24"/>
      <c r="IC36" s="24"/>
      <c r="ID36" s="24"/>
      <c r="IE36" s="24"/>
      <c r="IF36" s="24"/>
      <c r="IG36" s="24"/>
      <c r="IH36" s="24"/>
      <c r="II36" s="24"/>
    </row>
    <row r="37" customFormat="false" ht="14.25" hidden="false" customHeight="false" outlineLevel="0" collapsed="false">
      <c r="A37" s="52"/>
      <c r="B37" s="53"/>
      <c r="C37" s="54" t="n">
        <f aca="false">C36+1</f>
        <v>45052</v>
      </c>
      <c r="D37" s="37" t="s">
        <v>93</v>
      </c>
      <c r="E37" s="37" t="n">
        <f aca="false">E36+1</f>
        <v>11</v>
      </c>
      <c r="F37" s="37" t="n">
        <f aca="false">F38-1</f>
        <v>-5</v>
      </c>
      <c r="G37" s="39"/>
      <c r="H37" s="40"/>
      <c r="I37" s="40"/>
    </row>
    <row r="38" customFormat="false" ht="14.25" hidden="false" customHeight="false" outlineLevel="0" collapsed="false">
      <c r="A38" s="52"/>
      <c r="B38" s="53"/>
      <c r="C38" s="54" t="n">
        <f aca="false">C37+1</f>
        <v>45053</v>
      </c>
      <c r="D38" s="37" t="s">
        <v>53</v>
      </c>
      <c r="E38" s="37" t="n">
        <f aca="false">E37+1</f>
        <v>12</v>
      </c>
      <c r="F38" s="37" t="n">
        <f aca="false">F39-1</f>
        <v>-4</v>
      </c>
      <c r="G38" s="39"/>
      <c r="H38" s="40"/>
      <c r="I38" s="40"/>
    </row>
    <row r="39" s="51" customFormat="true" ht="14.25" hidden="false" customHeight="false" outlineLevel="0" collapsed="false">
      <c r="A39" s="37"/>
      <c r="B39" s="37"/>
      <c r="C39" s="54" t="n">
        <f aca="false">C38+1</f>
        <v>45054</v>
      </c>
      <c r="D39" s="37" t="s">
        <v>94</v>
      </c>
      <c r="E39" s="37" t="n">
        <f aca="false">E38+1</f>
        <v>13</v>
      </c>
      <c r="F39" s="37" t="n">
        <f aca="false">F40-1</f>
        <v>-3</v>
      </c>
      <c r="G39" s="39"/>
      <c r="H39" s="40"/>
      <c r="I39" s="40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4"/>
      <c r="GW39" s="24"/>
      <c r="GX39" s="24"/>
      <c r="GY39" s="24"/>
      <c r="GZ39" s="24"/>
      <c r="HA39" s="24"/>
      <c r="HB39" s="24"/>
      <c r="HC39" s="24"/>
      <c r="HD39" s="24"/>
      <c r="HE39" s="24"/>
      <c r="HF39" s="24"/>
      <c r="HG39" s="24"/>
      <c r="HH39" s="24"/>
      <c r="HI39" s="24"/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IC39" s="24"/>
      <c r="ID39" s="24"/>
      <c r="IE39" s="24"/>
      <c r="IF39" s="24"/>
      <c r="IG39" s="24"/>
      <c r="IH39" s="24"/>
      <c r="II39" s="24"/>
    </row>
    <row r="40" s="49" customFormat="true" ht="28.35" hidden="false" customHeight="false" outlineLevel="0" collapsed="false">
      <c r="A40" s="60" t="n">
        <v>7</v>
      </c>
      <c r="B40" s="41"/>
      <c r="C40" s="56" t="n">
        <f aca="false">C39+1</f>
        <v>45055</v>
      </c>
      <c r="D40" s="41" t="s">
        <v>95</v>
      </c>
      <c r="E40" s="41" t="n">
        <f aca="false">E39+1</f>
        <v>14</v>
      </c>
      <c r="F40" s="41" t="n">
        <f aca="false">F41-1</f>
        <v>-2</v>
      </c>
      <c r="G40" s="36" t="s">
        <v>101</v>
      </c>
      <c r="H40" s="36" t="s">
        <v>7</v>
      </c>
      <c r="I40" s="36" t="s">
        <v>8</v>
      </c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/>
      <c r="ID40" s="24"/>
      <c r="IE40" s="24"/>
      <c r="IF40" s="24"/>
      <c r="IG40" s="24"/>
      <c r="IH40" s="24"/>
      <c r="II40" s="24"/>
    </row>
    <row r="41" customFormat="false" ht="14.9" hidden="false" customHeight="false" outlineLevel="0" collapsed="false">
      <c r="A41" s="61" t="n">
        <v>7</v>
      </c>
      <c r="B41" s="45"/>
      <c r="C41" s="58" t="n">
        <f aca="false">C40+1</f>
        <v>45056</v>
      </c>
      <c r="D41" s="45" t="s">
        <v>95</v>
      </c>
      <c r="E41" s="45" t="n">
        <v>1</v>
      </c>
      <c r="F41" s="45" t="n">
        <f aca="false">F42-1</f>
        <v>-1</v>
      </c>
      <c r="G41" s="62" t="s">
        <v>102</v>
      </c>
      <c r="H41" s="62" t="s">
        <v>10</v>
      </c>
      <c r="I41" s="62" t="s">
        <v>11</v>
      </c>
    </row>
    <row r="42" s="49" customFormat="true" ht="14.9" hidden="false" customHeight="true" outlineLevel="0" collapsed="false">
      <c r="A42" s="60" t="n">
        <v>7</v>
      </c>
      <c r="B42" s="41"/>
      <c r="C42" s="56" t="n">
        <f aca="false">C41+1</f>
        <v>45057</v>
      </c>
      <c r="D42" s="41" t="s">
        <v>97</v>
      </c>
      <c r="E42" s="41" t="n">
        <f aca="false">E41+1</f>
        <v>2</v>
      </c>
      <c r="F42" s="41" t="n">
        <v>0</v>
      </c>
      <c r="G42" s="36" t="s">
        <v>103</v>
      </c>
      <c r="H42" s="36" t="s">
        <v>13</v>
      </c>
      <c r="I42" s="36" t="s">
        <v>14</v>
      </c>
      <c r="J42" s="63" t="s">
        <v>104</v>
      </c>
      <c r="K42" s="63"/>
      <c r="L42" s="63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/>
      <c r="ID42" s="24"/>
      <c r="IE42" s="24"/>
      <c r="IF42" s="24"/>
      <c r="IG42" s="24"/>
      <c r="IH42" s="24"/>
      <c r="II42" s="24"/>
    </row>
    <row r="43" s="49" customFormat="true" ht="14.9" hidden="false" customHeight="false" outlineLevel="0" collapsed="false">
      <c r="A43" s="60" t="n">
        <v>7</v>
      </c>
      <c r="B43" s="41"/>
      <c r="C43" s="56" t="n">
        <f aca="false">C42+1</f>
        <v>45058</v>
      </c>
      <c r="D43" s="41" t="s">
        <v>98</v>
      </c>
      <c r="E43" s="41" t="n">
        <f aca="false">E42+1</f>
        <v>3</v>
      </c>
      <c r="F43" s="41" t="n">
        <v>1</v>
      </c>
      <c r="G43" s="36" t="s">
        <v>102</v>
      </c>
      <c r="H43" s="36" t="s">
        <v>16</v>
      </c>
      <c r="I43" s="36" t="s">
        <v>17</v>
      </c>
      <c r="J43" s="63"/>
      <c r="K43" s="63"/>
      <c r="L43" s="63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  <c r="GS43" s="24"/>
      <c r="GT43" s="24"/>
      <c r="GU43" s="24"/>
      <c r="GV43" s="24"/>
      <c r="GW43" s="24"/>
      <c r="GX43" s="24"/>
      <c r="GY43" s="24"/>
      <c r="GZ43" s="24"/>
      <c r="HA43" s="24"/>
      <c r="HB43" s="24"/>
      <c r="HC43" s="24"/>
      <c r="HD43" s="24"/>
      <c r="HE43" s="24"/>
      <c r="HF43" s="24"/>
      <c r="HG43" s="24"/>
      <c r="HH43" s="24"/>
      <c r="HI43" s="24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4"/>
      <c r="HW43" s="24"/>
      <c r="HX43" s="24"/>
      <c r="HY43" s="24"/>
      <c r="HZ43" s="24"/>
      <c r="IA43" s="24"/>
      <c r="IB43" s="24"/>
      <c r="IC43" s="24"/>
      <c r="ID43" s="24"/>
      <c r="IE43" s="24"/>
      <c r="IF43" s="24"/>
      <c r="IG43" s="24"/>
      <c r="IH43" s="24"/>
      <c r="II43" s="24"/>
    </row>
    <row r="44" customFormat="false" ht="14.25" hidden="false" customHeight="true" outlineLevel="0" collapsed="false">
      <c r="A44" s="64" t="n">
        <v>7</v>
      </c>
      <c r="B44" s="37"/>
      <c r="C44" s="54" t="n">
        <f aca="false">C43+1</f>
        <v>45059</v>
      </c>
      <c r="D44" s="37" t="s">
        <v>93</v>
      </c>
      <c r="E44" s="37" t="n">
        <f aca="false">E43+1</f>
        <v>4</v>
      </c>
      <c r="F44" s="37" t="n">
        <f aca="false">F43+1</f>
        <v>2</v>
      </c>
      <c r="G44" s="50" t="s">
        <v>102</v>
      </c>
      <c r="H44" s="50" t="s">
        <v>19</v>
      </c>
      <c r="I44" s="50" t="s">
        <v>20</v>
      </c>
      <c r="J44" s="65" t="s">
        <v>105</v>
      </c>
      <c r="K44" s="65"/>
      <c r="L44" s="65"/>
      <c r="M44" s="65"/>
      <c r="N44" s="65"/>
    </row>
    <row r="45" customFormat="false" ht="14.25" hidden="false" customHeight="false" outlineLevel="0" collapsed="false">
      <c r="A45" s="64" t="n">
        <v>7</v>
      </c>
      <c r="B45" s="37"/>
      <c r="C45" s="54" t="n">
        <f aca="false">C44+1</f>
        <v>45060</v>
      </c>
      <c r="D45" s="37" t="s">
        <v>53</v>
      </c>
      <c r="E45" s="37" t="n">
        <f aca="false">E44+1</f>
        <v>5</v>
      </c>
      <c r="F45" s="37" t="n">
        <f aca="false">F44+1</f>
        <v>3</v>
      </c>
      <c r="G45" s="50" t="s">
        <v>102</v>
      </c>
      <c r="H45" s="50" t="s">
        <v>22</v>
      </c>
      <c r="I45" s="50" t="s">
        <v>23</v>
      </c>
    </row>
    <row r="46" s="51" customFormat="true" ht="14.25" hidden="false" customHeight="false" outlineLevel="0" collapsed="false">
      <c r="A46" s="60" t="n">
        <v>7</v>
      </c>
      <c r="B46" s="41"/>
      <c r="C46" s="42" t="n">
        <f aca="false">C45+1</f>
        <v>45061</v>
      </c>
      <c r="D46" s="41" t="s">
        <v>94</v>
      </c>
      <c r="E46" s="41" t="n">
        <f aca="false">E45+1</f>
        <v>6</v>
      </c>
      <c r="F46" s="41" t="n">
        <f aca="false">F45+1</f>
        <v>4</v>
      </c>
      <c r="G46" s="36" t="s">
        <v>102</v>
      </c>
      <c r="H46" s="36" t="s">
        <v>25</v>
      </c>
      <c r="I46" s="59"/>
      <c r="J46" s="66" t="s">
        <v>106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4"/>
      <c r="HV46" s="24"/>
      <c r="HW46" s="24"/>
      <c r="HX46" s="24"/>
      <c r="HY46" s="24"/>
      <c r="HZ46" s="24"/>
      <c r="IA46" s="24"/>
      <c r="IB46" s="24"/>
      <c r="IC46" s="24"/>
      <c r="ID46" s="24"/>
      <c r="IE46" s="24"/>
      <c r="IF46" s="24"/>
      <c r="IG46" s="24"/>
      <c r="IH46" s="24"/>
      <c r="II46" s="24"/>
    </row>
    <row r="47" customFormat="false" ht="14.25" hidden="false" customHeight="false" outlineLevel="0" collapsed="false">
      <c r="A47" s="60" t="n">
        <v>7</v>
      </c>
      <c r="B47" s="41"/>
      <c r="C47" s="42" t="n">
        <f aca="false">C46+1</f>
        <v>45062</v>
      </c>
      <c r="D47" s="41" t="s">
        <v>95</v>
      </c>
      <c r="E47" s="41" t="n">
        <f aca="false">E46+1</f>
        <v>7</v>
      </c>
      <c r="F47" s="41" t="n">
        <f aca="false">F46+1</f>
        <v>5</v>
      </c>
      <c r="G47" s="36" t="s">
        <v>102</v>
      </c>
      <c r="H47" s="36" t="s">
        <v>27</v>
      </c>
      <c r="I47" s="59"/>
    </row>
    <row r="48" customFormat="false" ht="14.25" hidden="false" customHeight="false" outlineLevel="0" collapsed="false">
      <c r="A48" s="61" t="n">
        <v>7</v>
      </c>
      <c r="B48" s="45"/>
      <c r="C48" s="46" t="n">
        <f aca="false">C47+1</f>
        <v>45063</v>
      </c>
      <c r="D48" s="45" t="s">
        <v>95</v>
      </c>
      <c r="E48" s="45" t="n">
        <f aca="false">E47+1</f>
        <v>8</v>
      </c>
      <c r="F48" s="45" t="n">
        <f aca="false">F47+1</f>
        <v>6</v>
      </c>
      <c r="G48" s="62" t="s">
        <v>102</v>
      </c>
      <c r="H48" s="62" t="s">
        <v>29</v>
      </c>
      <c r="I48" s="62"/>
    </row>
    <row r="49" s="49" customFormat="true" ht="14.25" hidden="false" customHeight="false" outlineLevel="0" collapsed="false">
      <c r="A49" s="64" t="n">
        <v>7</v>
      </c>
      <c r="B49" s="37"/>
      <c r="C49" s="54" t="n">
        <f aca="false">C48+1</f>
        <v>45064</v>
      </c>
      <c r="D49" s="37" t="s">
        <v>98</v>
      </c>
      <c r="E49" s="37" t="n">
        <f aca="false">E48+1</f>
        <v>9</v>
      </c>
      <c r="F49" s="37" t="n">
        <f aca="false">F48+1</f>
        <v>7</v>
      </c>
      <c r="G49" s="50" t="s">
        <v>102</v>
      </c>
      <c r="H49" s="40"/>
      <c r="I49" s="40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4"/>
      <c r="FC49" s="24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4"/>
      <c r="FP49" s="24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4"/>
      <c r="GB49" s="24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24"/>
      <c r="GQ49" s="24"/>
      <c r="GR49" s="24"/>
      <c r="GS49" s="24"/>
      <c r="GT49" s="24"/>
      <c r="GU49" s="24"/>
      <c r="GV49" s="24"/>
      <c r="GW49" s="24"/>
      <c r="GX49" s="24"/>
      <c r="GY49" s="24"/>
      <c r="GZ49" s="24"/>
      <c r="HA49" s="24"/>
      <c r="HB49" s="24"/>
      <c r="HC49" s="24"/>
      <c r="HD49" s="24"/>
      <c r="HE49" s="24"/>
      <c r="HF49" s="24"/>
      <c r="HG49" s="24"/>
      <c r="HH49" s="24"/>
      <c r="HI49" s="24"/>
      <c r="HJ49" s="24"/>
      <c r="HK49" s="24"/>
      <c r="HL49" s="24"/>
      <c r="HM49" s="24"/>
      <c r="HN49" s="24"/>
      <c r="HO49" s="24"/>
      <c r="HP49" s="24"/>
      <c r="HQ49" s="24"/>
      <c r="HR49" s="24"/>
      <c r="HS49" s="24"/>
      <c r="HT49" s="24"/>
      <c r="HU49" s="24"/>
      <c r="HV49" s="24"/>
      <c r="HW49" s="24"/>
      <c r="HX49" s="24"/>
      <c r="HY49" s="24"/>
      <c r="HZ49" s="24"/>
      <c r="IA49" s="24"/>
      <c r="IB49" s="24"/>
      <c r="IC49" s="24"/>
      <c r="ID49" s="24"/>
      <c r="IE49" s="24"/>
      <c r="IF49" s="24"/>
      <c r="IG49" s="24"/>
      <c r="IH49" s="24"/>
      <c r="II49" s="24"/>
    </row>
    <row r="50" s="49" customFormat="true" ht="14.25" hidden="false" customHeight="false" outlineLevel="0" collapsed="false">
      <c r="A50" s="60" t="n">
        <v>7</v>
      </c>
      <c r="B50" s="41"/>
      <c r="C50" s="42" t="n">
        <f aca="false">C49+1</f>
        <v>45065</v>
      </c>
      <c r="D50" s="41" t="s">
        <v>98</v>
      </c>
      <c r="E50" s="41" t="n">
        <f aca="false">E49+1</f>
        <v>10</v>
      </c>
      <c r="F50" s="41" t="n">
        <f aca="false">F49+1</f>
        <v>8</v>
      </c>
      <c r="G50" s="36" t="s">
        <v>102</v>
      </c>
      <c r="H50" s="44"/>
      <c r="I50" s="4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  <c r="GS50" s="24"/>
      <c r="GT50" s="24"/>
      <c r="GU50" s="24"/>
      <c r="GV50" s="24"/>
      <c r="GW50" s="24"/>
      <c r="GX50" s="24"/>
      <c r="GY50" s="24"/>
      <c r="GZ50" s="24"/>
      <c r="HA50" s="24"/>
      <c r="HB50" s="24"/>
      <c r="HC50" s="24"/>
      <c r="HD50" s="24"/>
      <c r="HE50" s="24"/>
      <c r="HF50" s="24"/>
      <c r="HG50" s="24"/>
      <c r="HH50" s="24"/>
      <c r="HI50" s="24"/>
      <c r="HJ50" s="24"/>
      <c r="HK50" s="24"/>
      <c r="HL50" s="24"/>
      <c r="HM50" s="24"/>
      <c r="HN50" s="24"/>
      <c r="HO50" s="24"/>
      <c r="HP50" s="24"/>
      <c r="HQ50" s="24"/>
      <c r="HR50" s="24"/>
      <c r="HS50" s="24"/>
      <c r="HT50" s="24"/>
      <c r="HU50" s="24"/>
      <c r="HV50" s="24"/>
      <c r="HW50" s="24"/>
      <c r="HX50" s="24"/>
      <c r="HY50" s="24"/>
      <c r="HZ50" s="24"/>
      <c r="IA50" s="24"/>
      <c r="IB50" s="24"/>
      <c r="IC50" s="24"/>
      <c r="ID50" s="24"/>
      <c r="IE50" s="24"/>
      <c r="IF50" s="24"/>
      <c r="IG50" s="24"/>
      <c r="IH50" s="24"/>
      <c r="II50" s="24"/>
    </row>
    <row r="51" s="49" customFormat="true" ht="14.25" hidden="false" customHeight="false" outlineLevel="0" collapsed="false">
      <c r="A51" s="60" t="n">
        <v>7</v>
      </c>
      <c r="B51" s="37"/>
      <c r="C51" s="38" t="n">
        <f aca="false">C50+1</f>
        <v>45066</v>
      </c>
      <c r="D51" s="37" t="s">
        <v>93</v>
      </c>
      <c r="E51" s="37" t="n">
        <f aca="false">E50+1</f>
        <v>11</v>
      </c>
      <c r="F51" s="37" t="n">
        <f aca="false">F50+1</f>
        <v>9</v>
      </c>
      <c r="G51" s="50" t="s">
        <v>102</v>
      </c>
      <c r="H51" s="40"/>
      <c r="I51" s="40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  <c r="GS51" s="24"/>
      <c r="GT51" s="24"/>
      <c r="GU51" s="24"/>
      <c r="GV51" s="24"/>
      <c r="GW51" s="24"/>
      <c r="GX51" s="24"/>
      <c r="GY51" s="24"/>
      <c r="GZ51" s="24"/>
      <c r="HA51" s="24"/>
      <c r="HB51" s="24"/>
      <c r="HC51" s="24"/>
      <c r="HD51" s="24"/>
      <c r="HE51" s="24"/>
      <c r="HF51" s="24"/>
      <c r="HG51" s="24"/>
      <c r="HH51" s="24"/>
      <c r="HI51" s="24"/>
      <c r="HJ51" s="24"/>
      <c r="HK51" s="24"/>
      <c r="HL51" s="24"/>
      <c r="HM51" s="24"/>
      <c r="HN51" s="24"/>
      <c r="HO51" s="24"/>
      <c r="HP51" s="24"/>
      <c r="HQ51" s="24"/>
      <c r="HR51" s="24"/>
      <c r="HS51" s="24"/>
      <c r="HT51" s="24"/>
      <c r="HU51" s="24"/>
      <c r="HV51" s="24"/>
      <c r="HW51" s="24"/>
      <c r="HX51" s="24"/>
      <c r="HY51" s="24"/>
      <c r="HZ51" s="24"/>
      <c r="IA51" s="24"/>
      <c r="IB51" s="24"/>
      <c r="IC51" s="24"/>
      <c r="ID51" s="24"/>
      <c r="IE51" s="24"/>
      <c r="IF51" s="24"/>
      <c r="IG51" s="24"/>
      <c r="IH51" s="24"/>
      <c r="II51" s="24"/>
    </row>
    <row r="52" customFormat="false" ht="28.35" hidden="false" customHeight="false" outlineLevel="0" collapsed="false">
      <c r="A52" s="64" t="n">
        <v>4</v>
      </c>
      <c r="B52" s="37"/>
      <c r="C52" s="38" t="n">
        <f aca="false">C51+1</f>
        <v>45067</v>
      </c>
      <c r="D52" s="37" t="s">
        <v>53</v>
      </c>
      <c r="E52" s="37" t="n">
        <f aca="false">E51+1</f>
        <v>12</v>
      </c>
      <c r="F52" s="37" t="n">
        <f aca="false">F51+1</f>
        <v>10</v>
      </c>
      <c r="G52" s="50" t="s">
        <v>107</v>
      </c>
      <c r="H52" s="40"/>
      <c r="I52" s="40"/>
    </row>
    <row r="53" s="51" customFormat="true" ht="14.25" hidden="false" customHeight="false" outlineLevel="0" collapsed="false">
      <c r="A53" s="60" t="n">
        <v>4</v>
      </c>
      <c r="B53" s="41"/>
      <c r="C53" s="42" t="n">
        <f aca="false">C52+1</f>
        <v>45068</v>
      </c>
      <c r="D53" s="41" t="s">
        <v>94</v>
      </c>
      <c r="E53" s="41" t="n">
        <v>1</v>
      </c>
      <c r="F53" s="41" t="n">
        <f aca="false">F52+1</f>
        <v>11</v>
      </c>
      <c r="G53" s="67" t="s">
        <v>108</v>
      </c>
      <c r="H53" s="44"/>
      <c r="I53" s="4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  <c r="GS53" s="24"/>
      <c r="GT53" s="24"/>
      <c r="GU53" s="24"/>
      <c r="GV53" s="24"/>
      <c r="GW53" s="24"/>
      <c r="GX53" s="24"/>
      <c r="GY53" s="24"/>
      <c r="GZ53" s="24"/>
      <c r="HA53" s="24"/>
      <c r="HB53" s="24"/>
      <c r="HC53" s="24"/>
      <c r="HD53" s="24"/>
      <c r="HE53" s="24"/>
      <c r="HF53" s="24"/>
      <c r="HG53" s="24"/>
      <c r="HH53" s="24"/>
      <c r="HI53" s="24"/>
      <c r="HJ53" s="24"/>
      <c r="HK53" s="24"/>
      <c r="HL53" s="24"/>
      <c r="HM53" s="24"/>
      <c r="HN53" s="24"/>
      <c r="HO53" s="24"/>
      <c r="HP53" s="24"/>
      <c r="HQ53" s="24"/>
      <c r="HR53" s="24"/>
      <c r="HS53" s="24"/>
      <c r="HT53" s="24"/>
      <c r="HU53" s="24"/>
      <c r="HV53" s="24"/>
      <c r="HW53" s="24"/>
      <c r="HX53" s="24"/>
      <c r="HY53" s="24"/>
      <c r="HZ53" s="24"/>
      <c r="IA53" s="24"/>
      <c r="IB53" s="24"/>
      <c r="IC53" s="24"/>
      <c r="ID53" s="24"/>
      <c r="IE53" s="24"/>
      <c r="IF53" s="24"/>
      <c r="IG53" s="24"/>
      <c r="IH53" s="24"/>
      <c r="II53" s="24"/>
    </row>
    <row r="54" customFormat="false" ht="14.25" hidden="false" customHeight="false" outlineLevel="0" collapsed="false">
      <c r="A54" s="60" t="n">
        <v>4</v>
      </c>
      <c r="B54" s="41"/>
      <c r="C54" s="42" t="n">
        <f aca="false">C53+1</f>
        <v>45069</v>
      </c>
      <c r="D54" s="41" t="s">
        <v>95</v>
      </c>
      <c r="E54" s="41" t="n">
        <v>2</v>
      </c>
      <c r="F54" s="41" t="n">
        <f aca="false">F53+1</f>
        <v>12</v>
      </c>
      <c r="G54" s="67" t="s">
        <v>108</v>
      </c>
      <c r="H54" s="44"/>
      <c r="I54" s="44"/>
    </row>
    <row r="55" customFormat="false" ht="14.25" hidden="false" customHeight="false" outlineLevel="0" collapsed="false">
      <c r="A55" s="61" t="n">
        <v>4</v>
      </c>
      <c r="B55" s="45"/>
      <c r="C55" s="46" t="n">
        <f aca="false">C54+1</f>
        <v>45070</v>
      </c>
      <c r="D55" s="45" t="s">
        <v>95</v>
      </c>
      <c r="E55" s="45" t="n">
        <v>3</v>
      </c>
      <c r="F55" s="45" t="n">
        <f aca="false">F54+1</f>
        <v>13</v>
      </c>
      <c r="G55" s="68" t="s">
        <v>108</v>
      </c>
      <c r="H55" s="48"/>
      <c r="I55" s="48"/>
    </row>
    <row r="56" s="49" customFormat="true" ht="14.25" hidden="false" customHeight="false" outlineLevel="0" collapsed="false">
      <c r="A56" s="60" t="n">
        <v>4</v>
      </c>
      <c r="B56" s="41"/>
      <c r="C56" s="42" t="n">
        <f aca="false">C55+1</f>
        <v>45071</v>
      </c>
      <c r="D56" s="41" t="s">
        <v>97</v>
      </c>
      <c r="E56" s="41" t="n">
        <v>4</v>
      </c>
      <c r="F56" s="41" t="n">
        <f aca="false">F55+1</f>
        <v>14</v>
      </c>
      <c r="G56" s="67" t="s">
        <v>108</v>
      </c>
      <c r="H56" s="44"/>
      <c r="I56" s="4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  <c r="HN56" s="24"/>
      <c r="HO56" s="24"/>
      <c r="HP56" s="24"/>
      <c r="HQ56" s="24"/>
      <c r="HR56" s="24"/>
      <c r="HS56" s="24"/>
      <c r="HT56" s="24"/>
      <c r="HU56" s="24"/>
      <c r="HV56" s="24"/>
      <c r="HW56" s="24"/>
      <c r="HX56" s="24"/>
      <c r="HY56" s="24"/>
      <c r="HZ56" s="24"/>
      <c r="IA56" s="24"/>
      <c r="IB56" s="24"/>
      <c r="IC56" s="24"/>
      <c r="ID56" s="24"/>
      <c r="IE56" s="24"/>
      <c r="IF56" s="24"/>
      <c r="IG56" s="24"/>
      <c r="IH56" s="24"/>
      <c r="II56" s="24"/>
    </row>
    <row r="57" s="49" customFormat="true" ht="14.25" hidden="false" customHeight="false" outlineLevel="0" collapsed="false">
      <c r="A57" s="60" t="n">
        <v>4</v>
      </c>
      <c r="B57" s="41"/>
      <c r="C57" s="42" t="n">
        <f aca="false">C56+1</f>
        <v>45072</v>
      </c>
      <c r="D57" s="41" t="s">
        <v>98</v>
      </c>
      <c r="E57" s="41" t="n">
        <v>5</v>
      </c>
      <c r="F57" s="41" t="n">
        <f aca="false">F56+1</f>
        <v>15</v>
      </c>
      <c r="G57" s="67" t="s">
        <v>108</v>
      </c>
      <c r="H57" s="44"/>
      <c r="I57" s="4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  <c r="GS57" s="24"/>
      <c r="GT57" s="24"/>
      <c r="GU57" s="24"/>
      <c r="GV57" s="24"/>
      <c r="GW57" s="24"/>
      <c r="GX57" s="24"/>
      <c r="GY57" s="24"/>
      <c r="GZ57" s="24"/>
      <c r="HA57" s="24"/>
      <c r="HB57" s="24"/>
      <c r="HC57" s="24"/>
      <c r="HD57" s="24"/>
      <c r="HE57" s="24"/>
      <c r="HF57" s="24"/>
      <c r="HG57" s="24"/>
      <c r="HH57" s="24"/>
      <c r="HI57" s="24"/>
      <c r="HJ57" s="24"/>
      <c r="HK57" s="24"/>
      <c r="HL57" s="24"/>
      <c r="HM57" s="24"/>
      <c r="HN57" s="24"/>
      <c r="HO57" s="24"/>
      <c r="HP57" s="24"/>
      <c r="HQ57" s="24"/>
      <c r="HR57" s="24"/>
      <c r="HS57" s="24"/>
      <c r="HT57" s="24"/>
      <c r="HU57" s="24"/>
      <c r="HV57" s="24"/>
      <c r="HW57" s="24"/>
      <c r="HX57" s="24"/>
      <c r="HY57" s="24"/>
      <c r="HZ57" s="24"/>
      <c r="IA57" s="24"/>
      <c r="IB57" s="24"/>
      <c r="IC57" s="24"/>
      <c r="ID57" s="24"/>
      <c r="IE57" s="24"/>
      <c r="IF57" s="24"/>
      <c r="IG57" s="24"/>
      <c r="IH57" s="24"/>
      <c r="II57" s="24"/>
    </row>
    <row r="58" customFormat="false" ht="14.25" hidden="false" customHeight="false" outlineLevel="0" collapsed="false">
      <c r="A58" s="64" t="n">
        <v>4</v>
      </c>
      <c r="B58" s="37"/>
      <c r="C58" s="38" t="n">
        <f aca="false">C57+1</f>
        <v>45073</v>
      </c>
      <c r="D58" s="37" t="s">
        <v>93</v>
      </c>
      <c r="E58" s="37" t="n">
        <v>6</v>
      </c>
      <c r="F58" s="37" t="n">
        <f aca="false">F57+1</f>
        <v>16</v>
      </c>
      <c r="G58" s="69" t="s">
        <v>108</v>
      </c>
      <c r="H58" s="40"/>
      <c r="I58" s="40"/>
    </row>
    <row r="59" customFormat="false" ht="14.25" hidden="false" customHeight="false" outlineLevel="0" collapsed="false">
      <c r="A59" s="64" t="n">
        <v>4</v>
      </c>
      <c r="B59" s="37"/>
      <c r="C59" s="38" t="n">
        <f aca="false">C58+1</f>
        <v>45074</v>
      </c>
      <c r="D59" s="37" t="s">
        <v>53</v>
      </c>
      <c r="E59" s="37" t="n">
        <v>7</v>
      </c>
      <c r="F59" s="37" t="n">
        <f aca="false">F58+1</f>
        <v>17</v>
      </c>
      <c r="G59" s="69" t="s">
        <v>108</v>
      </c>
      <c r="H59" s="40"/>
      <c r="I59" s="40"/>
    </row>
    <row r="60" customFormat="false" ht="14.25" hidden="false" customHeight="false" outlineLevel="0" collapsed="false">
      <c r="A60" s="64" t="n">
        <v>4</v>
      </c>
      <c r="B60" s="37"/>
      <c r="C60" s="38" t="n">
        <f aca="false">C59+1</f>
        <v>45075</v>
      </c>
      <c r="D60" s="37" t="s">
        <v>94</v>
      </c>
      <c r="E60" s="37" t="n">
        <v>8</v>
      </c>
      <c r="F60" s="37" t="n">
        <f aca="false">F59+1</f>
        <v>18</v>
      </c>
      <c r="G60" s="69" t="s">
        <v>108</v>
      </c>
      <c r="H60" s="50"/>
      <c r="I60" s="50"/>
    </row>
    <row r="61" customFormat="false" ht="14.25" hidden="false" customHeight="false" outlineLevel="0" collapsed="false">
      <c r="A61" s="60" t="n">
        <v>4</v>
      </c>
      <c r="B61" s="41"/>
      <c r="C61" s="42" t="n">
        <f aca="false">C60+1</f>
        <v>45076</v>
      </c>
      <c r="D61" s="41" t="s">
        <v>95</v>
      </c>
      <c r="E61" s="41" t="n">
        <v>9</v>
      </c>
      <c r="F61" s="41" t="n">
        <f aca="false">F60+1</f>
        <v>19</v>
      </c>
      <c r="G61" s="67" t="s">
        <v>108</v>
      </c>
      <c r="H61" s="44"/>
      <c r="I61" s="44"/>
    </row>
    <row r="62" customFormat="false" ht="14.25" hidden="false" customHeight="false" outlineLevel="0" collapsed="false">
      <c r="A62" s="61" t="n">
        <v>4</v>
      </c>
      <c r="B62" s="45"/>
      <c r="C62" s="46" t="n">
        <f aca="false">C61+1</f>
        <v>45077</v>
      </c>
      <c r="D62" s="45" t="s">
        <v>95</v>
      </c>
      <c r="E62" s="45" t="n">
        <v>10</v>
      </c>
      <c r="F62" s="45" t="n">
        <f aca="false">F61+1</f>
        <v>20</v>
      </c>
      <c r="G62" s="68" t="s">
        <v>108</v>
      </c>
      <c r="H62" s="48"/>
      <c r="I62" s="48"/>
    </row>
    <row r="63" customFormat="false" ht="14.25" hidden="false" customHeight="false" outlineLevel="0" collapsed="false">
      <c r="A63" s="60" t="n">
        <v>4</v>
      </c>
      <c r="B63" s="41"/>
      <c r="C63" s="42" t="n">
        <f aca="false">C62+1</f>
        <v>45078</v>
      </c>
      <c r="D63" s="41" t="s">
        <v>97</v>
      </c>
      <c r="E63" s="41" t="n">
        <v>11</v>
      </c>
      <c r="F63" s="41" t="n">
        <f aca="false">F62+1</f>
        <v>21</v>
      </c>
      <c r="G63" s="67" t="s">
        <v>108</v>
      </c>
      <c r="H63" s="44"/>
      <c r="I63" s="44"/>
    </row>
    <row r="64" customFormat="false" ht="14.25" hidden="false" customHeight="false" outlineLevel="0" collapsed="false">
      <c r="A64" s="60" t="n">
        <v>4</v>
      </c>
      <c r="B64" s="41"/>
      <c r="C64" s="42" t="n">
        <f aca="false">C63+1</f>
        <v>45079</v>
      </c>
      <c r="D64" s="41" t="s">
        <v>98</v>
      </c>
      <c r="E64" s="41" t="n">
        <v>12</v>
      </c>
      <c r="F64" s="41" t="n">
        <f aca="false">F63+1</f>
        <v>22</v>
      </c>
      <c r="G64" s="67" t="s">
        <v>108</v>
      </c>
      <c r="H64" s="44"/>
      <c r="I64" s="44"/>
    </row>
    <row r="65" customFormat="false" ht="14.25" hidden="false" customHeight="false" outlineLevel="0" collapsed="false">
      <c r="A65" s="64" t="n">
        <v>4</v>
      </c>
      <c r="B65" s="37"/>
      <c r="C65" s="38" t="n">
        <f aca="false">C64+1</f>
        <v>45080</v>
      </c>
      <c r="D65" s="37" t="s">
        <v>93</v>
      </c>
      <c r="E65" s="37" t="n">
        <v>13</v>
      </c>
      <c r="F65" s="37" t="n">
        <f aca="false">F64+1</f>
        <v>23</v>
      </c>
      <c r="G65" s="69" t="s">
        <v>108</v>
      </c>
      <c r="H65" s="50"/>
      <c r="I65" s="50"/>
    </row>
    <row r="66" customFormat="false" ht="14.25" hidden="false" customHeight="false" outlineLevel="0" collapsed="false">
      <c r="A66" s="64" t="n">
        <v>4</v>
      </c>
      <c r="B66" s="37"/>
      <c r="C66" s="38" t="n">
        <f aca="false">C65+1</f>
        <v>45081</v>
      </c>
      <c r="D66" s="37" t="s">
        <v>53</v>
      </c>
      <c r="E66" s="37" t="n">
        <v>14</v>
      </c>
      <c r="F66" s="37" t="n">
        <f aca="false">F65+1</f>
        <v>24</v>
      </c>
      <c r="G66" s="69" t="s">
        <v>108</v>
      </c>
      <c r="H66" s="50"/>
      <c r="I66" s="50"/>
    </row>
    <row r="67" customFormat="false" ht="14.25" hidden="false" customHeight="false" outlineLevel="0" collapsed="false">
      <c r="A67" s="60" t="n">
        <v>4</v>
      </c>
      <c r="B67" s="41"/>
      <c r="C67" s="42" t="n">
        <f aca="false">C66+1</f>
        <v>45082</v>
      </c>
      <c r="D67" s="41" t="s">
        <v>94</v>
      </c>
      <c r="E67" s="41" t="n">
        <v>15</v>
      </c>
      <c r="F67" s="41" t="n">
        <f aca="false">F66+1</f>
        <v>25</v>
      </c>
      <c r="G67" s="67" t="s">
        <v>108</v>
      </c>
      <c r="H67" s="44"/>
      <c r="I67" s="44"/>
    </row>
    <row r="68" customFormat="false" ht="14.25" hidden="false" customHeight="false" outlineLevel="0" collapsed="false">
      <c r="A68" s="60" t="n">
        <v>4</v>
      </c>
      <c r="B68" s="41"/>
      <c r="C68" s="42" t="n">
        <f aca="false">C67+1</f>
        <v>45083</v>
      </c>
      <c r="D68" s="41" t="s">
        <v>95</v>
      </c>
      <c r="E68" s="41" t="n">
        <v>16</v>
      </c>
      <c r="F68" s="41" t="n">
        <f aca="false">F67+1</f>
        <v>26</v>
      </c>
      <c r="G68" s="67" t="s">
        <v>108</v>
      </c>
      <c r="H68" s="44"/>
      <c r="I68" s="44"/>
    </row>
    <row r="69" customFormat="false" ht="14.25" hidden="false" customHeight="false" outlineLevel="0" collapsed="false">
      <c r="A69" s="61" t="n">
        <v>4</v>
      </c>
      <c r="B69" s="45"/>
      <c r="C69" s="46" t="n">
        <f aca="false">C68+1</f>
        <v>45084</v>
      </c>
      <c r="D69" s="45" t="s">
        <v>95</v>
      </c>
      <c r="E69" s="45" t="n">
        <v>17</v>
      </c>
      <c r="F69" s="45" t="n">
        <f aca="false">F68+1</f>
        <v>27</v>
      </c>
      <c r="G69" s="69" t="s">
        <v>108</v>
      </c>
      <c r="H69" s="70"/>
      <c r="I69" s="70"/>
    </row>
    <row r="70" customFormat="false" ht="14.25" hidden="false" customHeight="false" outlineLevel="0" collapsed="false">
      <c r="A70" s="60"/>
      <c r="B70" s="41"/>
      <c r="C70" s="42" t="n">
        <f aca="false">C69+1</f>
        <v>45085</v>
      </c>
      <c r="D70" s="41" t="s">
        <v>97</v>
      </c>
      <c r="E70" s="41"/>
      <c r="F70" s="41" t="n">
        <f aca="false">F69+1</f>
        <v>28</v>
      </c>
      <c r="G70" s="43"/>
      <c r="H70" s="44"/>
      <c r="I70" s="44"/>
    </row>
    <row r="71" customFormat="false" ht="14.25" hidden="false" customHeight="false" outlineLevel="0" collapsed="false">
      <c r="A71" s="60"/>
      <c r="B71" s="41"/>
      <c r="C71" s="42" t="n">
        <f aca="false">C70+1</f>
        <v>45086</v>
      </c>
      <c r="D71" s="41" t="s">
        <v>98</v>
      </c>
      <c r="E71" s="41"/>
      <c r="F71" s="41" t="n">
        <f aca="false">F70+1</f>
        <v>29</v>
      </c>
      <c r="G71" s="43"/>
      <c r="H71" s="44"/>
      <c r="I71" s="44"/>
    </row>
    <row r="72" customFormat="false" ht="14.25" hidden="false" customHeight="false" outlineLevel="0" collapsed="false">
      <c r="A72" s="64"/>
      <c r="B72" s="37"/>
      <c r="C72" s="38" t="n">
        <f aca="false">C71+1</f>
        <v>45087</v>
      </c>
      <c r="D72" s="37" t="s">
        <v>93</v>
      </c>
      <c r="E72" s="37"/>
      <c r="F72" s="37" t="n">
        <f aca="false">F71+1</f>
        <v>30</v>
      </c>
      <c r="G72" s="69"/>
      <c r="H72" s="69"/>
      <c r="I72" s="69"/>
    </row>
    <row r="73" customFormat="false" ht="14.25" hidden="false" customHeight="false" outlineLevel="0" collapsed="false">
      <c r="A73" s="64"/>
      <c r="B73" s="71"/>
      <c r="C73" s="72" t="n">
        <f aca="false">C72+1</f>
        <v>45088</v>
      </c>
      <c r="D73" s="71" t="s">
        <v>53</v>
      </c>
      <c r="E73" s="71"/>
      <c r="F73" s="73" t="n">
        <f aca="false">F72+1</f>
        <v>31</v>
      </c>
      <c r="G73" s="69"/>
      <c r="H73" s="69"/>
      <c r="I73" s="69"/>
    </row>
    <row r="74" customFormat="false" ht="14.25" hidden="false" customHeight="false" outlineLevel="0" collapsed="false">
      <c r="A74" s="60"/>
      <c r="B74" s="41"/>
      <c r="C74" s="42" t="n">
        <f aca="false">C73+1</f>
        <v>45089</v>
      </c>
      <c r="D74" s="41" t="s">
        <v>94</v>
      </c>
      <c r="E74" s="41"/>
      <c r="F74" s="41" t="n">
        <f aca="false">F73+1</f>
        <v>32</v>
      </c>
      <c r="G74" s="43"/>
      <c r="H74" s="44"/>
      <c r="I74" s="44"/>
    </row>
    <row r="75" customFormat="false" ht="14.25" hidden="false" customHeight="false" outlineLevel="0" collapsed="false">
      <c r="A75" s="60"/>
      <c r="B75" s="41"/>
      <c r="C75" s="42" t="n">
        <f aca="false">C74+1</f>
        <v>45090</v>
      </c>
      <c r="D75" s="41" t="s">
        <v>95</v>
      </c>
      <c r="E75" s="41"/>
      <c r="F75" s="41" t="n">
        <f aca="false">F74+1</f>
        <v>33</v>
      </c>
      <c r="G75" s="43"/>
      <c r="H75" s="44"/>
      <c r="I75" s="44"/>
    </row>
    <row r="76" customFormat="false" ht="14.25" hidden="false" customHeight="false" outlineLevel="0" collapsed="false">
      <c r="A76" s="61"/>
      <c r="B76" s="45"/>
      <c r="C76" s="46" t="n">
        <f aca="false">C75+1</f>
        <v>45091</v>
      </c>
      <c r="D76" s="45" t="s">
        <v>95</v>
      </c>
      <c r="E76" s="45"/>
      <c r="F76" s="45" t="n">
        <f aca="false">F75+1</f>
        <v>34</v>
      </c>
      <c r="G76" s="74"/>
      <c r="H76" s="74"/>
      <c r="I76" s="74"/>
    </row>
    <row r="77" customFormat="false" ht="14.25" hidden="false" customHeight="false" outlineLevel="0" collapsed="false">
      <c r="A77" s="60"/>
      <c r="B77" s="41"/>
      <c r="C77" s="42" t="n">
        <f aca="false">C76+1</f>
        <v>45092</v>
      </c>
      <c r="D77" s="41" t="s">
        <v>97</v>
      </c>
      <c r="E77" s="41"/>
      <c r="F77" s="41" t="n">
        <f aca="false">F76+1</f>
        <v>35</v>
      </c>
      <c r="G77" s="43"/>
      <c r="H77" s="44"/>
      <c r="I77" s="44"/>
    </row>
    <row r="78" customFormat="false" ht="14.25" hidden="false" customHeight="false" outlineLevel="0" collapsed="false">
      <c r="A78" s="60"/>
      <c r="B78" s="41"/>
      <c r="C78" s="42" t="n">
        <f aca="false">C77+1</f>
        <v>45093</v>
      </c>
      <c r="D78" s="41" t="s">
        <v>98</v>
      </c>
      <c r="E78" s="41"/>
      <c r="F78" s="41" t="n">
        <f aca="false">F77+1</f>
        <v>36</v>
      </c>
      <c r="G78" s="43"/>
      <c r="H78" s="44"/>
      <c r="I78" s="44"/>
    </row>
    <row r="79" customFormat="false" ht="14.25" hidden="false" customHeight="false" outlineLevel="0" collapsed="false">
      <c r="A79" s="64"/>
      <c r="B79" s="37"/>
      <c r="C79" s="38" t="n">
        <f aca="false">C78+1</f>
        <v>45094</v>
      </c>
      <c r="D79" s="37" t="s">
        <v>93</v>
      </c>
      <c r="E79" s="37"/>
      <c r="F79" s="37" t="n">
        <f aca="false">F78+1</f>
        <v>37</v>
      </c>
      <c r="G79" s="69"/>
      <c r="H79" s="69"/>
      <c r="I79" s="69"/>
    </row>
    <row r="80" customFormat="false" ht="14.25" hidden="false" customHeight="false" outlineLevel="0" collapsed="false">
      <c r="A80" s="64"/>
      <c r="B80" s="71"/>
      <c r="C80" s="72" t="n">
        <f aca="false">C79+1</f>
        <v>45095</v>
      </c>
      <c r="D80" s="71" t="s">
        <v>53</v>
      </c>
      <c r="E80" s="71"/>
      <c r="F80" s="73" t="n">
        <f aca="false">F79+1</f>
        <v>38</v>
      </c>
      <c r="G80" s="69"/>
      <c r="H80" s="69"/>
      <c r="I80" s="69"/>
    </row>
    <row r="81" s="51" customFormat="true" ht="14.25" hidden="false" customHeight="false" outlineLevel="0" collapsed="false">
      <c r="A81" s="60"/>
      <c r="B81" s="41"/>
      <c r="C81" s="42" t="n">
        <f aca="false">C80+1</f>
        <v>45096</v>
      </c>
      <c r="D81" s="41" t="s">
        <v>94</v>
      </c>
      <c r="E81" s="41"/>
      <c r="F81" s="41" t="n">
        <f aca="false">F80+1</f>
        <v>39</v>
      </c>
      <c r="G81" s="43"/>
      <c r="H81" s="44"/>
      <c r="I81" s="4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4"/>
      <c r="EY81" s="24"/>
      <c r="EZ81" s="24"/>
      <c r="FA81" s="24"/>
      <c r="FB81" s="24"/>
      <c r="FC81" s="24"/>
      <c r="FD81" s="24"/>
      <c r="FE81" s="24"/>
      <c r="FF81" s="24"/>
      <c r="FG81" s="24"/>
      <c r="FH81" s="24"/>
      <c r="FI81" s="24"/>
      <c r="FJ81" s="24"/>
      <c r="FK81" s="24"/>
      <c r="FL81" s="24"/>
      <c r="FM81" s="24"/>
      <c r="FN81" s="24"/>
      <c r="FO81" s="24"/>
      <c r="FP81" s="24"/>
      <c r="FQ81" s="24"/>
      <c r="FR81" s="24"/>
      <c r="FS81" s="24"/>
      <c r="FT81" s="24"/>
      <c r="FU81" s="24"/>
      <c r="FV81" s="24"/>
      <c r="FW81" s="24"/>
      <c r="FX81" s="24"/>
      <c r="FY81" s="24"/>
      <c r="FZ81" s="24"/>
      <c r="GA81" s="24"/>
      <c r="GB81" s="24"/>
      <c r="GC81" s="24"/>
      <c r="GD81" s="24"/>
      <c r="GE81" s="24"/>
      <c r="GF81" s="24"/>
      <c r="GG81" s="24"/>
      <c r="GH81" s="24"/>
      <c r="GI81" s="24"/>
      <c r="GJ81" s="24"/>
      <c r="GK81" s="24"/>
      <c r="GL81" s="24"/>
      <c r="GM81" s="24"/>
      <c r="GN81" s="24"/>
      <c r="GO81" s="24"/>
      <c r="GP81" s="24"/>
      <c r="GQ81" s="24"/>
      <c r="GR81" s="24"/>
      <c r="GS81" s="24"/>
      <c r="GT81" s="24"/>
      <c r="GU81" s="24"/>
      <c r="GV81" s="24"/>
      <c r="GW81" s="24"/>
      <c r="GX81" s="24"/>
      <c r="GY81" s="24"/>
      <c r="GZ81" s="24"/>
      <c r="HA81" s="24"/>
      <c r="HB81" s="24"/>
      <c r="HC81" s="24"/>
      <c r="HD81" s="24"/>
      <c r="HE81" s="24"/>
      <c r="HF81" s="24"/>
      <c r="HG81" s="24"/>
      <c r="HH81" s="24"/>
      <c r="HI81" s="24"/>
      <c r="HJ81" s="24"/>
      <c r="HK81" s="24"/>
      <c r="HL81" s="24"/>
      <c r="HM81" s="24"/>
      <c r="HN81" s="24"/>
      <c r="HO81" s="24"/>
      <c r="HP81" s="24"/>
      <c r="HQ81" s="24"/>
      <c r="HR81" s="24"/>
      <c r="HS81" s="24"/>
      <c r="HT81" s="24"/>
      <c r="HU81" s="24"/>
      <c r="HV81" s="24"/>
      <c r="HW81" s="24"/>
      <c r="HX81" s="24"/>
      <c r="HY81" s="24"/>
      <c r="HZ81" s="24"/>
      <c r="IA81" s="24"/>
      <c r="IB81" s="24"/>
      <c r="IC81" s="24"/>
      <c r="ID81" s="24"/>
      <c r="IE81" s="24"/>
      <c r="IF81" s="24"/>
      <c r="IG81" s="24"/>
      <c r="IH81" s="24"/>
      <c r="II81" s="24"/>
    </row>
    <row r="82" customFormat="false" ht="14.25" hidden="false" customHeight="false" outlineLevel="0" collapsed="false">
      <c r="A82" s="60"/>
      <c r="B82" s="41"/>
      <c r="C82" s="42" t="n">
        <f aca="false">C81+1</f>
        <v>45097</v>
      </c>
      <c r="D82" s="41" t="s">
        <v>95</v>
      </c>
      <c r="E82" s="41"/>
      <c r="F82" s="41" t="n">
        <f aca="false">F81+1</f>
        <v>40</v>
      </c>
      <c r="G82" s="43"/>
      <c r="H82" s="44"/>
      <c r="I82" s="44"/>
    </row>
    <row r="83" customFormat="false" ht="14.25" hidden="false" customHeight="false" outlineLevel="0" collapsed="false">
      <c r="A83" s="61"/>
      <c r="B83" s="45"/>
      <c r="C83" s="46" t="n">
        <f aca="false">C82+1</f>
        <v>45098</v>
      </c>
      <c r="D83" s="45" t="s">
        <v>95</v>
      </c>
      <c r="E83" s="45"/>
      <c r="F83" s="45" t="n">
        <f aca="false">F82+1</f>
        <v>41</v>
      </c>
      <c r="G83" s="74"/>
      <c r="H83" s="74"/>
      <c r="I83" s="74"/>
    </row>
    <row r="84" s="49" customFormat="true" ht="14.25" hidden="false" customHeight="false" outlineLevel="0" collapsed="false">
      <c r="A84" s="60"/>
      <c r="B84" s="41"/>
      <c r="C84" s="42" t="n">
        <f aca="false">C83+1</f>
        <v>45099</v>
      </c>
      <c r="D84" s="41" t="s">
        <v>97</v>
      </c>
      <c r="E84" s="41"/>
      <c r="F84" s="41" t="n">
        <f aca="false">F83+1</f>
        <v>42</v>
      </c>
      <c r="G84" s="43"/>
      <c r="H84" s="44"/>
      <c r="I84" s="4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  <c r="EH84" s="24"/>
      <c r="EI84" s="24"/>
      <c r="EJ84" s="24"/>
      <c r="EK84" s="24"/>
      <c r="EL84" s="24"/>
      <c r="EM84" s="24"/>
      <c r="EN84" s="24"/>
      <c r="EO84" s="24"/>
      <c r="EP84" s="24"/>
      <c r="EQ84" s="24"/>
      <c r="ER84" s="24"/>
      <c r="ES84" s="24"/>
      <c r="ET84" s="24"/>
      <c r="EU84" s="24"/>
      <c r="EV84" s="24"/>
      <c r="EW84" s="24"/>
      <c r="EX84" s="24"/>
      <c r="EY84" s="24"/>
      <c r="EZ84" s="24"/>
      <c r="FA84" s="24"/>
      <c r="FB84" s="24"/>
      <c r="FC84" s="24"/>
      <c r="FD84" s="24"/>
      <c r="FE84" s="24"/>
      <c r="FF84" s="24"/>
      <c r="FG84" s="24"/>
      <c r="FH84" s="24"/>
      <c r="FI84" s="24"/>
      <c r="FJ84" s="24"/>
      <c r="FK84" s="24"/>
      <c r="FL84" s="24"/>
      <c r="FM84" s="24"/>
      <c r="FN84" s="24"/>
      <c r="FO84" s="24"/>
      <c r="FP84" s="24"/>
      <c r="FQ84" s="24"/>
      <c r="FR84" s="24"/>
      <c r="FS84" s="24"/>
      <c r="FT84" s="24"/>
      <c r="FU84" s="24"/>
      <c r="FV84" s="24"/>
      <c r="FW84" s="24"/>
      <c r="FX84" s="24"/>
      <c r="FY84" s="24"/>
      <c r="FZ84" s="24"/>
      <c r="GA84" s="24"/>
      <c r="GB84" s="24"/>
      <c r="GC84" s="24"/>
      <c r="GD84" s="24"/>
      <c r="GE84" s="24"/>
      <c r="GF84" s="24"/>
      <c r="GG84" s="24"/>
      <c r="GH84" s="24"/>
      <c r="GI84" s="24"/>
      <c r="GJ84" s="24"/>
      <c r="GK84" s="24"/>
      <c r="GL84" s="24"/>
      <c r="GM84" s="24"/>
      <c r="GN84" s="24"/>
      <c r="GO84" s="24"/>
      <c r="GP84" s="24"/>
      <c r="GQ84" s="24"/>
      <c r="GR84" s="24"/>
      <c r="GS84" s="24"/>
      <c r="GT84" s="24"/>
      <c r="GU84" s="24"/>
      <c r="GV84" s="24"/>
      <c r="GW84" s="24"/>
      <c r="GX84" s="24"/>
      <c r="GY84" s="24"/>
      <c r="GZ84" s="24"/>
      <c r="HA84" s="24"/>
      <c r="HB84" s="24"/>
      <c r="HC84" s="24"/>
      <c r="HD84" s="24"/>
      <c r="HE84" s="24"/>
      <c r="HF84" s="24"/>
      <c r="HG84" s="24"/>
      <c r="HH84" s="24"/>
      <c r="HI84" s="24"/>
      <c r="HJ84" s="24"/>
      <c r="HK84" s="24"/>
      <c r="HL84" s="24"/>
      <c r="HM84" s="24"/>
      <c r="HN84" s="24"/>
      <c r="HO84" s="24"/>
      <c r="HP84" s="24"/>
      <c r="HQ84" s="24"/>
      <c r="HR84" s="24"/>
      <c r="HS84" s="24"/>
      <c r="HT84" s="24"/>
      <c r="HU84" s="24"/>
      <c r="HV84" s="24"/>
      <c r="HW84" s="24"/>
      <c r="HX84" s="24"/>
      <c r="HY84" s="24"/>
      <c r="HZ84" s="24"/>
      <c r="IA84" s="24"/>
      <c r="IB84" s="24"/>
      <c r="IC84" s="24"/>
      <c r="ID84" s="24"/>
      <c r="IE84" s="24"/>
      <c r="IF84" s="24"/>
      <c r="IG84" s="24"/>
      <c r="IH84" s="24"/>
      <c r="II84" s="24"/>
    </row>
    <row r="85" s="49" customFormat="true" ht="14.25" hidden="false" customHeight="false" outlineLevel="0" collapsed="false">
      <c r="A85" s="60"/>
      <c r="B85" s="41"/>
      <c r="C85" s="42" t="n">
        <f aca="false">C84+1</f>
        <v>45100</v>
      </c>
      <c r="D85" s="41" t="s">
        <v>98</v>
      </c>
      <c r="E85" s="41"/>
      <c r="F85" s="41" t="n">
        <f aca="false">F84+1</f>
        <v>43</v>
      </c>
      <c r="G85" s="43"/>
      <c r="H85" s="44"/>
      <c r="I85" s="4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J85" s="24"/>
      <c r="EK85" s="24"/>
      <c r="EL85" s="24"/>
      <c r="EM85" s="24"/>
      <c r="EN85" s="24"/>
      <c r="EO85" s="24"/>
      <c r="EP85" s="24"/>
      <c r="EQ85" s="24"/>
      <c r="ER85" s="24"/>
      <c r="ES85" s="24"/>
      <c r="ET85" s="24"/>
      <c r="EU85" s="24"/>
      <c r="EV85" s="24"/>
      <c r="EW85" s="24"/>
      <c r="EX85" s="24"/>
      <c r="EY85" s="24"/>
      <c r="EZ85" s="24"/>
      <c r="FA85" s="24"/>
      <c r="FB85" s="24"/>
      <c r="FC85" s="24"/>
      <c r="FD85" s="24"/>
      <c r="FE85" s="24"/>
      <c r="FF85" s="24"/>
      <c r="FG85" s="24"/>
      <c r="FH85" s="24"/>
      <c r="FI85" s="24"/>
      <c r="FJ85" s="24"/>
      <c r="FK85" s="24"/>
      <c r="FL85" s="24"/>
      <c r="FM85" s="24"/>
      <c r="FN85" s="24"/>
      <c r="FO85" s="24"/>
      <c r="FP85" s="24"/>
      <c r="FQ85" s="24"/>
      <c r="FR85" s="24"/>
      <c r="FS85" s="24"/>
      <c r="FT85" s="24"/>
      <c r="FU85" s="24"/>
      <c r="FV85" s="24"/>
      <c r="FW85" s="24"/>
      <c r="FX85" s="24"/>
      <c r="FY85" s="24"/>
      <c r="FZ85" s="24"/>
      <c r="GA85" s="24"/>
      <c r="GB85" s="24"/>
      <c r="GC85" s="24"/>
      <c r="GD85" s="24"/>
      <c r="GE85" s="24"/>
      <c r="GF85" s="24"/>
      <c r="GG85" s="24"/>
      <c r="GH85" s="24"/>
      <c r="GI85" s="24"/>
      <c r="GJ85" s="24"/>
      <c r="GK85" s="24"/>
      <c r="GL85" s="24"/>
      <c r="GM85" s="24"/>
      <c r="GN85" s="24"/>
      <c r="GO85" s="24"/>
      <c r="GP85" s="24"/>
      <c r="GQ85" s="24"/>
      <c r="GR85" s="24"/>
      <c r="GS85" s="24"/>
      <c r="GT85" s="24"/>
      <c r="GU85" s="24"/>
      <c r="GV85" s="24"/>
      <c r="GW85" s="24"/>
      <c r="GX85" s="24"/>
      <c r="GY85" s="24"/>
      <c r="GZ85" s="24"/>
      <c r="HA85" s="24"/>
      <c r="HB85" s="24"/>
      <c r="HC85" s="24"/>
      <c r="HD85" s="24"/>
      <c r="HE85" s="24"/>
      <c r="HF85" s="24"/>
      <c r="HG85" s="24"/>
      <c r="HH85" s="24"/>
      <c r="HI85" s="24"/>
      <c r="HJ85" s="24"/>
      <c r="HK85" s="24"/>
      <c r="HL85" s="24"/>
      <c r="HM85" s="24"/>
      <c r="HN85" s="24"/>
      <c r="HO85" s="24"/>
      <c r="HP85" s="24"/>
      <c r="HQ85" s="24"/>
      <c r="HR85" s="24"/>
      <c r="HS85" s="24"/>
      <c r="HT85" s="24"/>
      <c r="HU85" s="24"/>
      <c r="HV85" s="24"/>
      <c r="HW85" s="24"/>
      <c r="HX85" s="24"/>
      <c r="HY85" s="24"/>
      <c r="HZ85" s="24"/>
      <c r="IA85" s="24"/>
      <c r="IB85" s="24"/>
      <c r="IC85" s="24"/>
      <c r="ID85" s="24"/>
      <c r="IE85" s="24"/>
      <c r="IF85" s="24"/>
      <c r="IG85" s="24"/>
      <c r="IH85" s="24"/>
      <c r="II85" s="24"/>
    </row>
    <row r="86" customFormat="false" ht="14.25" hidden="false" customHeight="false" outlineLevel="0" collapsed="false">
      <c r="A86" s="75"/>
      <c r="B86" s="37"/>
      <c r="C86" s="38" t="n">
        <f aca="false">C85+1</f>
        <v>45101</v>
      </c>
      <c r="D86" s="37" t="s">
        <v>93</v>
      </c>
      <c r="E86" s="37"/>
      <c r="F86" s="37" t="n">
        <f aca="false">F85+1</f>
        <v>44</v>
      </c>
      <c r="G86" s="69"/>
      <c r="H86" s="69"/>
      <c r="I86" s="69"/>
    </row>
    <row r="87" customFormat="false" ht="14.25" hidden="false" customHeight="false" outlineLevel="0" collapsed="false">
      <c r="A87" s="76"/>
      <c r="B87" s="71"/>
      <c r="C87" s="72" t="n">
        <f aca="false">C86+1</f>
        <v>45102</v>
      </c>
      <c r="D87" s="71" t="s">
        <v>53</v>
      </c>
      <c r="E87" s="71"/>
      <c r="F87" s="73" t="n">
        <f aca="false">F86+1</f>
        <v>45</v>
      </c>
      <c r="G87" s="69"/>
      <c r="H87" s="69"/>
      <c r="I87" s="69"/>
    </row>
    <row r="88" s="51" customFormat="true" ht="14.25" hidden="false" customHeight="false" outlineLevel="0" collapsed="false">
      <c r="A88" s="60"/>
      <c r="B88" s="41"/>
      <c r="C88" s="77" t="n">
        <f aca="false">C87+1</f>
        <v>45103</v>
      </c>
      <c r="D88" s="41" t="s">
        <v>94</v>
      </c>
      <c r="E88" s="41"/>
      <c r="F88" s="41" t="n">
        <f aca="false">F87+1</f>
        <v>46</v>
      </c>
      <c r="G88" s="43"/>
      <c r="H88" s="44"/>
      <c r="I88" s="4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J88" s="24"/>
      <c r="EK88" s="24"/>
      <c r="EL88" s="24"/>
      <c r="EM88" s="24"/>
      <c r="EN88" s="24"/>
      <c r="EO88" s="24"/>
      <c r="EP88" s="24"/>
      <c r="EQ88" s="24"/>
      <c r="ER88" s="24"/>
      <c r="ES88" s="24"/>
      <c r="ET88" s="24"/>
      <c r="EU88" s="24"/>
      <c r="EV88" s="24"/>
      <c r="EW88" s="24"/>
      <c r="EX88" s="24"/>
      <c r="EY88" s="24"/>
      <c r="EZ88" s="24"/>
      <c r="FA88" s="24"/>
      <c r="FB88" s="24"/>
      <c r="FC88" s="24"/>
      <c r="FD88" s="24"/>
      <c r="FE88" s="24"/>
      <c r="FF88" s="24"/>
      <c r="FG88" s="24"/>
      <c r="FH88" s="24"/>
      <c r="FI88" s="24"/>
      <c r="FJ88" s="24"/>
      <c r="FK88" s="24"/>
      <c r="FL88" s="24"/>
      <c r="FM88" s="24"/>
      <c r="FN88" s="24"/>
      <c r="FO88" s="24"/>
      <c r="FP88" s="24"/>
      <c r="FQ88" s="24"/>
      <c r="FR88" s="24"/>
      <c r="FS88" s="24"/>
      <c r="FT88" s="24"/>
      <c r="FU88" s="24"/>
      <c r="FV88" s="24"/>
      <c r="FW88" s="24"/>
      <c r="FX88" s="24"/>
      <c r="FY88" s="24"/>
      <c r="FZ88" s="24"/>
      <c r="GA88" s="24"/>
      <c r="GB88" s="24"/>
      <c r="GC88" s="24"/>
      <c r="GD88" s="24"/>
      <c r="GE88" s="24"/>
      <c r="GF88" s="24"/>
      <c r="GG88" s="24"/>
      <c r="GH88" s="24"/>
      <c r="GI88" s="24"/>
      <c r="GJ88" s="24"/>
      <c r="GK88" s="24"/>
      <c r="GL88" s="24"/>
      <c r="GM88" s="24"/>
      <c r="GN88" s="24"/>
      <c r="GO88" s="24"/>
      <c r="GP88" s="24"/>
      <c r="GQ88" s="24"/>
      <c r="GR88" s="24"/>
      <c r="GS88" s="24"/>
      <c r="GT88" s="24"/>
      <c r="GU88" s="24"/>
      <c r="GV88" s="24"/>
      <c r="GW88" s="24"/>
      <c r="GX88" s="24"/>
      <c r="GY88" s="24"/>
      <c r="GZ88" s="24"/>
      <c r="HA88" s="24"/>
      <c r="HB88" s="24"/>
      <c r="HC88" s="24"/>
      <c r="HD88" s="24"/>
      <c r="HE88" s="24"/>
      <c r="HF88" s="24"/>
      <c r="HG88" s="24"/>
      <c r="HH88" s="24"/>
      <c r="HI88" s="24"/>
      <c r="HJ88" s="24"/>
      <c r="HK88" s="24"/>
      <c r="HL88" s="24"/>
      <c r="HM88" s="24"/>
      <c r="HN88" s="24"/>
      <c r="HO88" s="24"/>
      <c r="HP88" s="24"/>
      <c r="HQ88" s="24"/>
      <c r="HR88" s="24"/>
      <c r="HS88" s="24"/>
      <c r="HT88" s="24"/>
      <c r="HU88" s="24"/>
      <c r="HV88" s="24"/>
      <c r="HW88" s="24"/>
      <c r="HX88" s="24"/>
      <c r="HY88" s="24"/>
      <c r="HZ88" s="24"/>
      <c r="IA88" s="24"/>
      <c r="IB88" s="24"/>
      <c r="IC88" s="24"/>
      <c r="ID88" s="24"/>
      <c r="IE88" s="24"/>
      <c r="IF88" s="24"/>
      <c r="IG88" s="24"/>
      <c r="IH88" s="24"/>
      <c r="II88" s="24"/>
    </row>
    <row r="89" customFormat="false" ht="14.25" hidden="false" customHeight="false" outlineLevel="0" collapsed="false">
      <c r="A89" s="60"/>
      <c r="B89" s="41"/>
      <c r="C89" s="77" t="n">
        <f aca="false">C88+1</f>
        <v>45104</v>
      </c>
      <c r="D89" s="41" t="s">
        <v>95</v>
      </c>
      <c r="E89" s="41"/>
      <c r="F89" s="41" t="n">
        <f aca="false">F88+1</f>
        <v>47</v>
      </c>
      <c r="G89" s="43"/>
      <c r="H89" s="44"/>
      <c r="I89" s="44"/>
    </row>
    <row r="90" customFormat="false" ht="14.25" hidden="false" customHeight="false" outlineLevel="0" collapsed="false">
      <c r="A90" s="61"/>
      <c r="B90" s="45"/>
      <c r="C90" s="46" t="n">
        <f aca="false">C89+1</f>
        <v>45105</v>
      </c>
      <c r="D90" s="45" t="s">
        <v>95</v>
      </c>
      <c r="E90" s="45"/>
      <c r="F90" s="45" t="n">
        <f aca="false">F89+1</f>
        <v>48</v>
      </c>
      <c r="G90" s="74"/>
      <c r="H90" s="74"/>
      <c r="I90" s="74"/>
    </row>
    <row r="91" s="49" customFormat="true" ht="14.25" hidden="false" customHeight="false" outlineLevel="0" collapsed="false">
      <c r="A91" s="60"/>
      <c r="B91" s="41"/>
      <c r="C91" s="77" t="n">
        <f aca="false">C90+1</f>
        <v>45106</v>
      </c>
      <c r="D91" s="41" t="s">
        <v>97</v>
      </c>
      <c r="E91" s="41"/>
      <c r="F91" s="41" t="n">
        <f aca="false">F90+1</f>
        <v>49</v>
      </c>
      <c r="G91" s="43"/>
      <c r="H91" s="44"/>
      <c r="I91" s="4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  <c r="EG91" s="24"/>
      <c r="EH91" s="24"/>
      <c r="EI91" s="24"/>
      <c r="EJ91" s="24"/>
      <c r="EK91" s="24"/>
      <c r="EL91" s="24"/>
      <c r="EM91" s="24"/>
      <c r="EN91" s="24"/>
      <c r="EO91" s="24"/>
      <c r="EP91" s="24"/>
      <c r="EQ91" s="24"/>
      <c r="ER91" s="24"/>
      <c r="ES91" s="24"/>
      <c r="ET91" s="24"/>
      <c r="EU91" s="24"/>
      <c r="EV91" s="24"/>
      <c r="EW91" s="24"/>
      <c r="EX91" s="24"/>
      <c r="EY91" s="24"/>
      <c r="EZ91" s="24"/>
      <c r="FA91" s="24"/>
      <c r="FB91" s="24"/>
      <c r="FC91" s="24"/>
      <c r="FD91" s="24"/>
      <c r="FE91" s="24"/>
      <c r="FF91" s="24"/>
      <c r="FG91" s="24"/>
      <c r="FH91" s="24"/>
      <c r="FI91" s="24"/>
      <c r="FJ91" s="24"/>
      <c r="FK91" s="24"/>
      <c r="FL91" s="24"/>
      <c r="FM91" s="24"/>
      <c r="FN91" s="24"/>
      <c r="FO91" s="24"/>
      <c r="FP91" s="24"/>
      <c r="FQ91" s="24"/>
      <c r="FR91" s="24"/>
      <c r="FS91" s="24"/>
      <c r="FT91" s="24"/>
      <c r="FU91" s="24"/>
      <c r="FV91" s="24"/>
      <c r="FW91" s="24"/>
      <c r="FX91" s="24"/>
      <c r="FY91" s="24"/>
      <c r="FZ91" s="24"/>
      <c r="GA91" s="24"/>
      <c r="GB91" s="24"/>
      <c r="GC91" s="24"/>
      <c r="GD91" s="24"/>
      <c r="GE91" s="24"/>
      <c r="GF91" s="24"/>
      <c r="GG91" s="24"/>
      <c r="GH91" s="24"/>
      <c r="GI91" s="24"/>
      <c r="GJ91" s="24"/>
      <c r="GK91" s="24"/>
      <c r="GL91" s="24"/>
      <c r="GM91" s="24"/>
      <c r="GN91" s="24"/>
      <c r="GO91" s="24"/>
      <c r="GP91" s="24"/>
      <c r="GQ91" s="24"/>
      <c r="GR91" s="24"/>
      <c r="GS91" s="24"/>
      <c r="GT91" s="24"/>
      <c r="GU91" s="24"/>
      <c r="GV91" s="24"/>
      <c r="GW91" s="24"/>
      <c r="GX91" s="24"/>
      <c r="GY91" s="24"/>
      <c r="GZ91" s="24"/>
      <c r="HA91" s="24"/>
      <c r="HB91" s="24"/>
      <c r="HC91" s="24"/>
      <c r="HD91" s="24"/>
      <c r="HE91" s="24"/>
      <c r="HF91" s="24"/>
      <c r="HG91" s="24"/>
      <c r="HH91" s="24"/>
      <c r="HI91" s="24"/>
      <c r="HJ91" s="24"/>
      <c r="HK91" s="24"/>
      <c r="HL91" s="24"/>
      <c r="HM91" s="24"/>
      <c r="HN91" s="24"/>
      <c r="HO91" s="24"/>
      <c r="HP91" s="24"/>
      <c r="HQ91" s="24"/>
      <c r="HR91" s="24"/>
      <c r="HS91" s="24"/>
      <c r="HT91" s="24"/>
      <c r="HU91" s="24"/>
      <c r="HV91" s="24"/>
      <c r="HW91" s="24"/>
      <c r="HX91" s="24"/>
      <c r="HY91" s="24"/>
      <c r="HZ91" s="24"/>
      <c r="IA91" s="24"/>
      <c r="IB91" s="24"/>
      <c r="IC91" s="24"/>
      <c r="ID91" s="24"/>
      <c r="IE91" s="24"/>
      <c r="IF91" s="24"/>
      <c r="IG91" s="24"/>
      <c r="IH91" s="24"/>
      <c r="II91" s="24"/>
    </row>
    <row r="92" s="49" customFormat="true" ht="14.25" hidden="false" customHeight="false" outlineLevel="0" collapsed="false">
      <c r="A92" s="60"/>
      <c r="B92" s="41"/>
      <c r="C92" s="77" t="n">
        <f aca="false">C91+1</f>
        <v>45107</v>
      </c>
      <c r="D92" s="41" t="s">
        <v>98</v>
      </c>
      <c r="E92" s="41"/>
      <c r="F92" s="41" t="n">
        <f aca="false">F91+1</f>
        <v>50</v>
      </c>
      <c r="G92" s="43"/>
      <c r="H92" s="44"/>
      <c r="I92" s="4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  <c r="EW92" s="24"/>
      <c r="EX92" s="24"/>
      <c r="EY92" s="24"/>
      <c r="EZ92" s="24"/>
      <c r="FA92" s="24"/>
      <c r="FB92" s="24"/>
      <c r="FC92" s="24"/>
      <c r="FD92" s="24"/>
      <c r="FE92" s="24"/>
      <c r="FF92" s="24"/>
      <c r="FG92" s="24"/>
      <c r="FH92" s="24"/>
      <c r="FI92" s="24"/>
      <c r="FJ92" s="24"/>
      <c r="FK92" s="24"/>
      <c r="FL92" s="24"/>
      <c r="FM92" s="24"/>
      <c r="FN92" s="24"/>
      <c r="FO92" s="24"/>
      <c r="FP92" s="24"/>
      <c r="FQ92" s="24"/>
      <c r="FR92" s="24"/>
      <c r="FS92" s="24"/>
      <c r="FT92" s="24"/>
      <c r="FU92" s="24"/>
      <c r="FV92" s="24"/>
      <c r="FW92" s="24"/>
      <c r="FX92" s="24"/>
      <c r="FY92" s="24"/>
      <c r="FZ92" s="24"/>
      <c r="GA92" s="24"/>
      <c r="GB92" s="24"/>
      <c r="GC92" s="24"/>
      <c r="GD92" s="24"/>
      <c r="GE92" s="24"/>
      <c r="GF92" s="24"/>
      <c r="GG92" s="24"/>
      <c r="GH92" s="24"/>
      <c r="GI92" s="24"/>
      <c r="GJ92" s="24"/>
      <c r="GK92" s="24"/>
      <c r="GL92" s="24"/>
      <c r="GM92" s="24"/>
      <c r="GN92" s="24"/>
      <c r="GO92" s="24"/>
      <c r="GP92" s="24"/>
      <c r="GQ92" s="24"/>
      <c r="GR92" s="24"/>
      <c r="GS92" s="24"/>
      <c r="GT92" s="24"/>
      <c r="GU92" s="24"/>
      <c r="GV92" s="24"/>
      <c r="GW92" s="24"/>
      <c r="GX92" s="24"/>
      <c r="GY92" s="24"/>
      <c r="GZ92" s="24"/>
      <c r="HA92" s="24"/>
      <c r="HB92" s="24"/>
      <c r="HC92" s="24"/>
      <c r="HD92" s="24"/>
      <c r="HE92" s="24"/>
      <c r="HF92" s="24"/>
      <c r="HG92" s="24"/>
      <c r="HH92" s="24"/>
      <c r="HI92" s="24"/>
      <c r="HJ92" s="24"/>
      <c r="HK92" s="24"/>
      <c r="HL92" s="24"/>
      <c r="HM92" s="24"/>
      <c r="HN92" s="24"/>
      <c r="HO92" s="24"/>
      <c r="HP92" s="24"/>
      <c r="HQ92" s="24"/>
      <c r="HR92" s="24"/>
      <c r="HS92" s="24"/>
      <c r="HT92" s="24"/>
      <c r="HU92" s="24"/>
      <c r="HV92" s="24"/>
      <c r="HW92" s="24"/>
      <c r="HX92" s="24"/>
      <c r="HY92" s="24"/>
      <c r="HZ92" s="24"/>
      <c r="IA92" s="24"/>
      <c r="IB92" s="24"/>
      <c r="IC92" s="24"/>
      <c r="ID92" s="24"/>
      <c r="IE92" s="24"/>
      <c r="IF92" s="24"/>
      <c r="IG92" s="24"/>
      <c r="IH92" s="24"/>
      <c r="II92" s="24"/>
    </row>
    <row r="93" customFormat="false" ht="14.25" hidden="false" customHeight="false" outlineLevel="0" collapsed="false">
      <c r="A93" s="37"/>
      <c r="B93" s="37"/>
      <c r="C93" s="72" t="n">
        <f aca="false">C92+1</f>
        <v>45108</v>
      </c>
      <c r="D93" s="37" t="s">
        <v>93</v>
      </c>
      <c r="E93" s="37"/>
      <c r="F93" s="37" t="n">
        <f aca="false">F92+1</f>
        <v>51</v>
      </c>
      <c r="G93" s="39"/>
      <c r="H93" s="40"/>
      <c r="I93" s="40"/>
    </row>
    <row r="94" customFormat="false" ht="14.25" hidden="false" customHeight="false" outlineLevel="0" collapsed="false">
      <c r="A94" s="71"/>
      <c r="B94" s="71"/>
      <c r="C94" s="72" t="n">
        <f aca="false">C93+1</f>
        <v>45109</v>
      </c>
      <c r="D94" s="71" t="s">
        <v>53</v>
      </c>
      <c r="E94" s="71"/>
      <c r="F94" s="71" t="n">
        <f aca="false">F93+1</f>
        <v>52</v>
      </c>
      <c r="G94" s="78"/>
      <c r="H94" s="79"/>
      <c r="I94" s="79"/>
    </row>
    <row r="95" s="51" customFormat="true" ht="14.25" hidden="false" customHeight="false" outlineLevel="0" collapsed="false">
      <c r="A95" s="60"/>
      <c r="B95" s="41"/>
      <c r="C95" s="77" t="n">
        <f aca="false">C94+1</f>
        <v>45110</v>
      </c>
      <c r="D95" s="41" t="s">
        <v>94</v>
      </c>
      <c r="E95" s="41"/>
      <c r="F95" s="41" t="n">
        <f aca="false">F94+1</f>
        <v>53</v>
      </c>
      <c r="G95" s="43"/>
      <c r="H95" s="44"/>
      <c r="I95" s="4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24"/>
      <c r="ED95" s="24"/>
      <c r="EE95" s="24"/>
      <c r="EF95" s="24"/>
      <c r="EG95" s="24"/>
      <c r="EH95" s="24"/>
      <c r="EI95" s="24"/>
      <c r="EJ95" s="24"/>
      <c r="EK95" s="24"/>
      <c r="EL95" s="24"/>
      <c r="EM95" s="24"/>
      <c r="EN95" s="24"/>
      <c r="EO95" s="24"/>
      <c r="EP95" s="24"/>
      <c r="EQ95" s="24"/>
      <c r="ER95" s="24"/>
      <c r="ES95" s="24"/>
      <c r="ET95" s="24"/>
      <c r="EU95" s="24"/>
      <c r="EV95" s="24"/>
      <c r="EW95" s="24"/>
      <c r="EX95" s="24"/>
      <c r="EY95" s="24"/>
      <c r="EZ95" s="24"/>
      <c r="FA95" s="24"/>
      <c r="FB95" s="24"/>
      <c r="FC95" s="24"/>
      <c r="FD95" s="24"/>
      <c r="FE95" s="24"/>
      <c r="FF95" s="24"/>
      <c r="FG95" s="24"/>
      <c r="FH95" s="24"/>
      <c r="FI95" s="24"/>
      <c r="FJ95" s="24"/>
      <c r="FK95" s="24"/>
      <c r="FL95" s="24"/>
      <c r="FM95" s="24"/>
      <c r="FN95" s="24"/>
      <c r="FO95" s="24"/>
      <c r="FP95" s="24"/>
      <c r="FQ95" s="24"/>
      <c r="FR95" s="24"/>
      <c r="FS95" s="24"/>
      <c r="FT95" s="24"/>
      <c r="FU95" s="24"/>
      <c r="FV95" s="24"/>
      <c r="FW95" s="24"/>
      <c r="FX95" s="24"/>
      <c r="FY95" s="24"/>
      <c r="FZ95" s="24"/>
      <c r="GA95" s="24"/>
      <c r="GB95" s="24"/>
      <c r="GC95" s="24"/>
      <c r="GD95" s="24"/>
      <c r="GE95" s="24"/>
      <c r="GF95" s="24"/>
      <c r="GG95" s="24"/>
      <c r="GH95" s="24"/>
      <c r="GI95" s="24"/>
      <c r="GJ95" s="24"/>
      <c r="GK95" s="24"/>
      <c r="GL95" s="24"/>
      <c r="GM95" s="24"/>
      <c r="GN95" s="24"/>
      <c r="GO95" s="24"/>
      <c r="GP95" s="24"/>
      <c r="GQ95" s="24"/>
      <c r="GR95" s="24"/>
      <c r="GS95" s="24"/>
      <c r="GT95" s="24"/>
      <c r="GU95" s="24"/>
      <c r="GV95" s="24"/>
      <c r="GW95" s="24"/>
      <c r="GX95" s="24"/>
      <c r="GY95" s="24"/>
      <c r="GZ95" s="24"/>
      <c r="HA95" s="24"/>
      <c r="HB95" s="24"/>
      <c r="HC95" s="24"/>
      <c r="HD95" s="24"/>
      <c r="HE95" s="24"/>
      <c r="HF95" s="24"/>
      <c r="HG95" s="24"/>
      <c r="HH95" s="24"/>
      <c r="HI95" s="24"/>
      <c r="HJ95" s="24"/>
      <c r="HK95" s="24"/>
      <c r="HL95" s="24"/>
      <c r="HM95" s="24"/>
      <c r="HN95" s="24"/>
      <c r="HO95" s="24"/>
      <c r="HP95" s="24"/>
      <c r="HQ95" s="24"/>
      <c r="HR95" s="24"/>
      <c r="HS95" s="24"/>
      <c r="HT95" s="24"/>
      <c r="HU95" s="24"/>
      <c r="HV95" s="24"/>
      <c r="HW95" s="24"/>
      <c r="HX95" s="24"/>
      <c r="HY95" s="24"/>
      <c r="HZ95" s="24"/>
      <c r="IA95" s="24"/>
      <c r="IB95" s="24"/>
      <c r="IC95" s="24"/>
      <c r="ID95" s="24"/>
      <c r="IE95" s="24"/>
      <c r="IF95" s="24"/>
      <c r="IG95" s="24"/>
      <c r="IH95" s="24"/>
      <c r="II95" s="24"/>
    </row>
    <row r="96" customFormat="false" ht="14.25" hidden="false" customHeight="false" outlineLevel="0" collapsed="false">
      <c r="A96" s="60"/>
      <c r="B96" s="41"/>
      <c r="C96" s="77" t="n">
        <f aca="false">C95+1</f>
        <v>45111</v>
      </c>
      <c r="D96" s="41" t="s">
        <v>95</v>
      </c>
      <c r="E96" s="41"/>
      <c r="F96" s="41" t="n">
        <f aca="false">F95+1</f>
        <v>54</v>
      </c>
      <c r="G96" s="43"/>
      <c r="H96" s="44"/>
      <c r="I96" s="44"/>
    </row>
    <row r="97" s="49" customFormat="true" ht="14.25" hidden="false" customHeight="false" outlineLevel="0" collapsed="false">
      <c r="A97" s="61"/>
      <c r="B97" s="45"/>
      <c r="C97" s="80" t="n">
        <f aca="false">C96+1</f>
        <v>45112</v>
      </c>
      <c r="D97" s="45" t="s">
        <v>95</v>
      </c>
      <c r="E97" s="45"/>
      <c r="F97" s="45" t="n">
        <f aca="false">F96+1</f>
        <v>55</v>
      </c>
      <c r="G97" s="47"/>
      <c r="H97" s="48"/>
      <c r="I97" s="48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/>
      <c r="DS97" s="24"/>
      <c r="DT97" s="24"/>
      <c r="DU97" s="24"/>
      <c r="DV97" s="24"/>
      <c r="DW97" s="24"/>
      <c r="DX97" s="24"/>
      <c r="DY97" s="24"/>
      <c r="DZ97" s="24"/>
      <c r="EA97" s="24"/>
      <c r="EB97" s="24"/>
      <c r="EC97" s="24"/>
      <c r="ED97" s="24"/>
      <c r="EE97" s="24"/>
      <c r="EF97" s="24"/>
      <c r="EG97" s="24"/>
      <c r="EH97" s="24"/>
      <c r="EI97" s="24"/>
      <c r="EJ97" s="24"/>
      <c r="EK97" s="24"/>
      <c r="EL97" s="24"/>
      <c r="EM97" s="24"/>
      <c r="EN97" s="24"/>
      <c r="EO97" s="24"/>
      <c r="EP97" s="24"/>
      <c r="EQ97" s="24"/>
      <c r="ER97" s="24"/>
      <c r="ES97" s="24"/>
      <c r="ET97" s="24"/>
      <c r="EU97" s="24"/>
      <c r="EV97" s="24"/>
      <c r="EW97" s="24"/>
      <c r="EX97" s="24"/>
      <c r="EY97" s="24"/>
      <c r="EZ97" s="24"/>
      <c r="FA97" s="24"/>
      <c r="FB97" s="24"/>
      <c r="FC97" s="24"/>
      <c r="FD97" s="24"/>
      <c r="FE97" s="24"/>
      <c r="FF97" s="24"/>
      <c r="FG97" s="24"/>
      <c r="FH97" s="24"/>
      <c r="FI97" s="24"/>
      <c r="FJ97" s="24"/>
      <c r="FK97" s="24"/>
      <c r="FL97" s="24"/>
      <c r="FM97" s="24"/>
      <c r="FN97" s="24"/>
      <c r="FO97" s="24"/>
      <c r="FP97" s="24"/>
      <c r="FQ97" s="24"/>
      <c r="FR97" s="24"/>
      <c r="FS97" s="24"/>
      <c r="FT97" s="24"/>
      <c r="FU97" s="24"/>
      <c r="FV97" s="24"/>
      <c r="FW97" s="24"/>
      <c r="FX97" s="24"/>
      <c r="FY97" s="24"/>
      <c r="FZ97" s="24"/>
      <c r="GA97" s="24"/>
      <c r="GB97" s="24"/>
      <c r="GC97" s="24"/>
      <c r="GD97" s="24"/>
      <c r="GE97" s="24"/>
      <c r="GF97" s="24"/>
      <c r="GG97" s="24"/>
      <c r="GH97" s="24"/>
      <c r="GI97" s="24"/>
      <c r="GJ97" s="24"/>
      <c r="GK97" s="24"/>
      <c r="GL97" s="24"/>
      <c r="GM97" s="24"/>
      <c r="GN97" s="24"/>
      <c r="GO97" s="24"/>
      <c r="GP97" s="24"/>
      <c r="GQ97" s="24"/>
      <c r="GR97" s="24"/>
      <c r="GS97" s="24"/>
      <c r="GT97" s="24"/>
      <c r="GU97" s="24"/>
      <c r="GV97" s="24"/>
      <c r="GW97" s="24"/>
      <c r="GX97" s="24"/>
      <c r="GY97" s="24"/>
      <c r="GZ97" s="24"/>
      <c r="HA97" s="24"/>
      <c r="HB97" s="24"/>
      <c r="HC97" s="24"/>
      <c r="HD97" s="24"/>
      <c r="HE97" s="24"/>
      <c r="HF97" s="24"/>
      <c r="HG97" s="24"/>
      <c r="HH97" s="24"/>
      <c r="HI97" s="24"/>
      <c r="HJ97" s="24"/>
      <c r="HK97" s="24"/>
      <c r="HL97" s="24"/>
      <c r="HM97" s="24"/>
      <c r="HN97" s="24"/>
      <c r="HO97" s="24"/>
      <c r="HP97" s="24"/>
      <c r="HQ97" s="24"/>
      <c r="HR97" s="24"/>
      <c r="HS97" s="24"/>
      <c r="HT97" s="24"/>
      <c r="HU97" s="24"/>
      <c r="HV97" s="24"/>
      <c r="HW97" s="24"/>
      <c r="HX97" s="24"/>
      <c r="HY97" s="24"/>
      <c r="HZ97" s="24"/>
      <c r="IA97" s="24"/>
      <c r="IB97" s="24"/>
      <c r="IC97" s="24"/>
      <c r="ID97" s="24"/>
      <c r="IE97" s="24"/>
      <c r="IF97" s="24"/>
      <c r="IG97" s="24"/>
      <c r="IH97" s="24"/>
      <c r="II97" s="24"/>
    </row>
    <row r="98" s="49" customFormat="true" ht="14.25" hidden="false" customHeight="false" outlineLevel="0" collapsed="false">
      <c r="A98" s="60"/>
      <c r="B98" s="41"/>
      <c r="C98" s="77" t="n">
        <f aca="false">C97+1</f>
        <v>45113</v>
      </c>
      <c r="D98" s="41" t="s">
        <v>97</v>
      </c>
      <c r="E98" s="41"/>
      <c r="F98" s="41" t="n">
        <f aca="false">F97+1</f>
        <v>56</v>
      </c>
      <c r="G98" s="43"/>
      <c r="H98" s="44"/>
      <c r="I98" s="4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24"/>
      <c r="ED98" s="24"/>
      <c r="EE98" s="24"/>
      <c r="EF98" s="24"/>
      <c r="EG98" s="24"/>
      <c r="EH98" s="24"/>
      <c r="EI98" s="24"/>
      <c r="EJ98" s="24"/>
      <c r="EK98" s="24"/>
      <c r="EL98" s="24"/>
      <c r="EM98" s="24"/>
      <c r="EN98" s="24"/>
      <c r="EO98" s="24"/>
      <c r="EP98" s="24"/>
      <c r="EQ98" s="24"/>
      <c r="ER98" s="24"/>
      <c r="ES98" s="24"/>
      <c r="ET98" s="24"/>
      <c r="EU98" s="24"/>
      <c r="EV98" s="24"/>
      <c r="EW98" s="24"/>
      <c r="EX98" s="24"/>
      <c r="EY98" s="24"/>
      <c r="EZ98" s="24"/>
      <c r="FA98" s="24"/>
      <c r="FB98" s="24"/>
      <c r="FC98" s="24"/>
      <c r="FD98" s="24"/>
      <c r="FE98" s="24"/>
      <c r="FF98" s="24"/>
      <c r="FG98" s="24"/>
      <c r="FH98" s="24"/>
      <c r="FI98" s="24"/>
      <c r="FJ98" s="24"/>
      <c r="FK98" s="24"/>
      <c r="FL98" s="24"/>
      <c r="FM98" s="24"/>
      <c r="FN98" s="24"/>
      <c r="FO98" s="24"/>
      <c r="FP98" s="24"/>
      <c r="FQ98" s="24"/>
      <c r="FR98" s="24"/>
      <c r="FS98" s="24"/>
      <c r="FT98" s="24"/>
      <c r="FU98" s="24"/>
      <c r="FV98" s="24"/>
      <c r="FW98" s="24"/>
      <c r="FX98" s="24"/>
      <c r="FY98" s="24"/>
      <c r="FZ98" s="24"/>
      <c r="GA98" s="24"/>
      <c r="GB98" s="24"/>
      <c r="GC98" s="24"/>
      <c r="GD98" s="24"/>
      <c r="GE98" s="24"/>
      <c r="GF98" s="24"/>
      <c r="GG98" s="24"/>
      <c r="GH98" s="24"/>
      <c r="GI98" s="24"/>
      <c r="GJ98" s="24"/>
      <c r="GK98" s="24"/>
      <c r="GL98" s="24"/>
      <c r="GM98" s="24"/>
      <c r="GN98" s="24"/>
      <c r="GO98" s="24"/>
      <c r="GP98" s="24"/>
      <c r="GQ98" s="24"/>
      <c r="GR98" s="24"/>
      <c r="GS98" s="24"/>
      <c r="GT98" s="24"/>
      <c r="GU98" s="24"/>
      <c r="GV98" s="24"/>
      <c r="GW98" s="24"/>
      <c r="GX98" s="24"/>
      <c r="GY98" s="24"/>
      <c r="GZ98" s="24"/>
      <c r="HA98" s="24"/>
      <c r="HB98" s="24"/>
      <c r="HC98" s="24"/>
      <c r="HD98" s="24"/>
      <c r="HE98" s="24"/>
      <c r="HF98" s="24"/>
      <c r="HG98" s="24"/>
      <c r="HH98" s="24"/>
      <c r="HI98" s="24"/>
      <c r="HJ98" s="24"/>
      <c r="HK98" s="24"/>
      <c r="HL98" s="24"/>
      <c r="HM98" s="24"/>
      <c r="HN98" s="24"/>
      <c r="HO98" s="24"/>
      <c r="HP98" s="24"/>
      <c r="HQ98" s="24"/>
      <c r="HR98" s="24"/>
      <c r="HS98" s="24"/>
      <c r="HT98" s="24"/>
      <c r="HU98" s="24"/>
      <c r="HV98" s="24"/>
      <c r="HW98" s="24"/>
      <c r="HX98" s="24"/>
      <c r="HY98" s="24"/>
      <c r="HZ98" s="24"/>
      <c r="IA98" s="24"/>
      <c r="IB98" s="24"/>
      <c r="IC98" s="24"/>
      <c r="ID98" s="24"/>
      <c r="IE98" s="24"/>
      <c r="IF98" s="24"/>
      <c r="IG98" s="24"/>
      <c r="IH98" s="24"/>
      <c r="II98" s="24"/>
    </row>
    <row r="99" s="49" customFormat="true" ht="14.25" hidden="false" customHeight="false" outlineLevel="0" collapsed="false">
      <c r="A99" s="60"/>
      <c r="B99" s="41"/>
      <c r="C99" s="77" t="n">
        <f aca="false">C98+1</f>
        <v>45114</v>
      </c>
      <c r="D99" s="41" t="s">
        <v>98</v>
      </c>
      <c r="E99" s="41"/>
      <c r="F99" s="41" t="n">
        <f aca="false">F98+1</f>
        <v>57</v>
      </c>
      <c r="G99" s="43"/>
      <c r="H99" s="44"/>
      <c r="I99" s="4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DM99" s="24"/>
      <c r="DN99" s="24"/>
      <c r="DO99" s="24"/>
      <c r="DP99" s="24"/>
      <c r="DQ99" s="24"/>
      <c r="DR99" s="24"/>
      <c r="DS99" s="24"/>
      <c r="DT99" s="24"/>
      <c r="DU99" s="24"/>
      <c r="DV99" s="24"/>
      <c r="DW99" s="24"/>
      <c r="DX99" s="24"/>
      <c r="DY99" s="24"/>
      <c r="DZ99" s="24"/>
      <c r="EA99" s="24"/>
      <c r="EB99" s="24"/>
      <c r="EC99" s="24"/>
      <c r="ED99" s="24"/>
      <c r="EE99" s="24"/>
      <c r="EF99" s="24"/>
      <c r="EG99" s="24"/>
      <c r="EH99" s="24"/>
      <c r="EI99" s="24"/>
      <c r="EJ99" s="24"/>
      <c r="EK99" s="24"/>
      <c r="EL99" s="24"/>
      <c r="EM99" s="24"/>
      <c r="EN99" s="24"/>
      <c r="EO99" s="24"/>
      <c r="EP99" s="24"/>
      <c r="EQ99" s="24"/>
      <c r="ER99" s="24"/>
      <c r="ES99" s="24"/>
      <c r="ET99" s="24"/>
      <c r="EU99" s="24"/>
      <c r="EV99" s="24"/>
      <c r="EW99" s="24"/>
      <c r="EX99" s="24"/>
      <c r="EY99" s="24"/>
      <c r="EZ99" s="24"/>
      <c r="FA99" s="24"/>
      <c r="FB99" s="24"/>
      <c r="FC99" s="24"/>
      <c r="FD99" s="24"/>
      <c r="FE99" s="24"/>
      <c r="FF99" s="24"/>
      <c r="FG99" s="24"/>
      <c r="FH99" s="24"/>
      <c r="FI99" s="24"/>
      <c r="FJ99" s="24"/>
      <c r="FK99" s="24"/>
      <c r="FL99" s="24"/>
      <c r="FM99" s="24"/>
      <c r="FN99" s="24"/>
      <c r="FO99" s="24"/>
      <c r="FP99" s="24"/>
      <c r="FQ99" s="24"/>
      <c r="FR99" s="24"/>
      <c r="FS99" s="24"/>
      <c r="FT99" s="24"/>
      <c r="FU99" s="24"/>
      <c r="FV99" s="24"/>
      <c r="FW99" s="24"/>
      <c r="FX99" s="24"/>
      <c r="FY99" s="24"/>
      <c r="FZ99" s="24"/>
      <c r="GA99" s="24"/>
      <c r="GB99" s="24"/>
      <c r="GC99" s="24"/>
      <c r="GD99" s="24"/>
      <c r="GE99" s="24"/>
      <c r="GF99" s="24"/>
      <c r="GG99" s="24"/>
      <c r="GH99" s="24"/>
      <c r="GI99" s="24"/>
      <c r="GJ99" s="24"/>
      <c r="GK99" s="24"/>
      <c r="GL99" s="24"/>
      <c r="GM99" s="24"/>
      <c r="GN99" s="24"/>
      <c r="GO99" s="24"/>
      <c r="GP99" s="24"/>
      <c r="GQ99" s="24"/>
      <c r="GR99" s="24"/>
      <c r="GS99" s="24"/>
      <c r="GT99" s="24"/>
      <c r="GU99" s="24"/>
      <c r="GV99" s="24"/>
      <c r="GW99" s="24"/>
      <c r="GX99" s="24"/>
      <c r="GY99" s="24"/>
      <c r="GZ99" s="24"/>
      <c r="HA99" s="24"/>
      <c r="HB99" s="24"/>
      <c r="HC99" s="24"/>
      <c r="HD99" s="24"/>
      <c r="HE99" s="24"/>
      <c r="HF99" s="24"/>
      <c r="HG99" s="24"/>
      <c r="HH99" s="24"/>
      <c r="HI99" s="24"/>
      <c r="HJ99" s="24"/>
      <c r="HK99" s="24"/>
      <c r="HL99" s="24"/>
      <c r="HM99" s="24"/>
      <c r="HN99" s="24"/>
      <c r="HO99" s="24"/>
      <c r="HP99" s="24"/>
      <c r="HQ99" s="24"/>
      <c r="HR99" s="24"/>
      <c r="HS99" s="24"/>
      <c r="HT99" s="24"/>
      <c r="HU99" s="24"/>
      <c r="HV99" s="24"/>
      <c r="HW99" s="24"/>
      <c r="HX99" s="24"/>
      <c r="HY99" s="24"/>
      <c r="HZ99" s="24"/>
      <c r="IA99" s="24"/>
      <c r="IB99" s="24"/>
      <c r="IC99" s="24"/>
      <c r="ID99" s="24"/>
      <c r="IE99" s="24"/>
      <c r="IF99" s="24"/>
      <c r="IG99" s="24"/>
      <c r="IH99" s="24"/>
      <c r="II99" s="24"/>
    </row>
    <row r="100" customFormat="false" ht="14.25" hidden="false" customHeight="false" outlineLevel="0" collapsed="false">
      <c r="A100" s="37"/>
      <c r="B100" s="37"/>
      <c r="C100" s="72" t="n">
        <f aca="false">C99+1</f>
        <v>45115</v>
      </c>
      <c r="D100" s="37" t="s">
        <v>93</v>
      </c>
      <c r="E100" s="37"/>
      <c r="F100" s="37" t="n">
        <f aca="false">F99+1</f>
        <v>58</v>
      </c>
      <c r="G100" s="39"/>
      <c r="H100" s="40"/>
      <c r="I100" s="40"/>
    </row>
    <row r="101" customFormat="false" ht="14.25" hidden="false" customHeight="false" outlineLevel="0" collapsed="false">
      <c r="A101" s="71"/>
      <c r="B101" s="71"/>
      <c r="C101" s="72" t="n">
        <f aca="false">C100+1</f>
        <v>45116</v>
      </c>
      <c r="D101" s="71" t="s">
        <v>53</v>
      </c>
      <c r="E101" s="71"/>
      <c r="F101" s="73" t="n">
        <f aca="false">F100+1</f>
        <v>59</v>
      </c>
      <c r="G101" s="39"/>
      <c r="H101" s="40"/>
      <c r="I101" s="40"/>
    </row>
    <row r="102" s="51" customFormat="true" ht="28.35" hidden="false" customHeight="false" outlineLevel="0" collapsed="false">
      <c r="A102" s="60"/>
      <c r="B102" s="41"/>
      <c r="C102" s="77" t="n">
        <f aca="false">C101+1</f>
        <v>45117</v>
      </c>
      <c r="D102" s="41" t="s">
        <v>94</v>
      </c>
      <c r="E102" s="41"/>
      <c r="F102" s="41" t="n">
        <f aca="false">F101+1</f>
        <v>60</v>
      </c>
      <c r="G102" s="36" t="s">
        <v>109</v>
      </c>
      <c r="H102" s="44"/>
      <c r="I102" s="4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4"/>
      <c r="EH102" s="24"/>
      <c r="EI102" s="24"/>
      <c r="EJ102" s="24"/>
      <c r="EK102" s="24"/>
      <c r="EL102" s="24"/>
      <c r="EM102" s="24"/>
      <c r="EN102" s="24"/>
      <c r="EO102" s="24"/>
      <c r="EP102" s="24"/>
      <c r="EQ102" s="24"/>
      <c r="ER102" s="24"/>
      <c r="ES102" s="24"/>
      <c r="ET102" s="24"/>
      <c r="EU102" s="24"/>
      <c r="EV102" s="24"/>
      <c r="EW102" s="24"/>
      <c r="EX102" s="24"/>
      <c r="EY102" s="24"/>
      <c r="EZ102" s="24"/>
      <c r="FA102" s="24"/>
      <c r="FB102" s="24"/>
      <c r="FC102" s="24"/>
      <c r="FD102" s="24"/>
      <c r="FE102" s="24"/>
      <c r="FF102" s="24"/>
      <c r="FG102" s="24"/>
      <c r="FH102" s="24"/>
      <c r="FI102" s="24"/>
      <c r="FJ102" s="24"/>
      <c r="FK102" s="24"/>
      <c r="FL102" s="24"/>
      <c r="FM102" s="24"/>
      <c r="FN102" s="24"/>
      <c r="FO102" s="24"/>
      <c r="FP102" s="24"/>
      <c r="FQ102" s="24"/>
      <c r="FR102" s="24"/>
      <c r="FS102" s="24"/>
      <c r="FT102" s="24"/>
      <c r="FU102" s="24"/>
      <c r="FV102" s="24"/>
      <c r="FW102" s="24"/>
      <c r="FX102" s="24"/>
      <c r="FY102" s="24"/>
      <c r="FZ102" s="24"/>
      <c r="GA102" s="24"/>
      <c r="GB102" s="24"/>
      <c r="GC102" s="24"/>
      <c r="GD102" s="24"/>
      <c r="GE102" s="24"/>
      <c r="GF102" s="24"/>
      <c r="GG102" s="24"/>
      <c r="GH102" s="24"/>
      <c r="GI102" s="24"/>
      <c r="GJ102" s="24"/>
      <c r="GK102" s="24"/>
      <c r="GL102" s="24"/>
      <c r="GM102" s="24"/>
      <c r="GN102" s="24"/>
      <c r="GO102" s="24"/>
      <c r="GP102" s="24"/>
      <c r="GQ102" s="24"/>
      <c r="GR102" s="24"/>
      <c r="GS102" s="24"/>
      <c r="GT102" s="24"/>
      <c r="GU102" s="24"/>
      <c r="GV102" s="24"/>
      <c r="GW102" s="24"/>
      <c r="GX102" s="24"/>
      <c r="GY102" s="24"/>
      <c r="GZ102" s="24"/>
      <c r="HA102" s="24"/>
      <c r="HB102" s="24"/>
      <c r="HC102" s="24"/>
      <c r="HD102" s="24"/>
      <c r="HE102" s="24"/>
      <c r="HF102" s="24"/>
      <c r="HG102" s="24"/>
      <c r="HH102" s="24"/>
      <c r="HI102" s="24"/>
      <c r="HJ102" s="24"/>
      <c r="HK102" s="24"/>
      <c r="HL102" s="24"/>
      <c r="HM102" s="24"/>
      <c r="HN102" s="24"/>
      <c r="HO102" s="24"/>
      <c r="HP102" s="24"/>
      <c r="HQ102" s="24"/>
      <c r="HR102" s="24"/>
      <c r="HS102" s="24"/>
      <c r="HT102" s="24"/>
      <c r="HU102" s="24"/>
      <c r="HV102" s="24"/>
      <c r="HW102" s="24"/>
      <c r="HX102" s="24"/>
      <c r="HY102" s="24"/>
      <c r="HZ102" s="24"/>
      <c r="IA102" s="24"/>
      <c r="IB102" s="24"/>
      <c r="IC102" s="24"/>
      <c r="ID102" s="24"/>
      <c r="IE102" s="24"/>
      <c r="IF102" s="24"/>
      <c r="IG102" s="24"/>
      <c r="IH102" s="24"/>
      <c r="II102" s="24"/>
    </row>
    <row r="103" customFormat="false" ht="14.25" hidden="false" customHeight="false" outlineLevel="0" collapsed="false">
      <c r="A103" s="60"/>
      <c r="B103" s="41"/>
      <c r="C103" s="77" t="n">
        <f aca="false">C102+1</f>
        <v>45118</v>
      </c>
      <c r="D103" s="41" t="s">
        <v>95</v>
      </c>
      <c r="E103" s="41"/>
      <c r="F103" s="41"/>
      <c r="G103" s="43"/>
      <c r="H103" s="44"/>
      <c r="I103" s="44"/>
    </row>
    <row r="104" customFormat="false" ht="14.25" hidden="false" customHeight="false" outlineLevel="0" collapsed="false">
      <c r="A104" s="61"/>
      <c r="B104" s="45"/>
      <c r="C104" s="80" t="n">
        <f aca="false">C103+1</f>
        <v>45119</v>
      </c>
      <c r="D104" s="45" t="s">
        <v>95</v>
      </c>
      <c r="E104" s="45"/>
      <c r="F104" s="45"/>
      <c r="G104" s="47"/>
      <c r="H104" s="48"/>
      <c r="I104" s="48"/>
    </row>
    <row r="105" customFormat="false" ht="14.25" hidden="false" customHeight="false" outlineLevel="0" collapsed="false">
      <c r="A105" s="60"/>
      <c r="B105" s="41"/>
      <c r="C105" s="77" t="n">
        <f aca="false">C104+1</f>
        <v>45120</v>
      </c>
      <c r="D105" s="41" t="s">
        <v>97</v>
      </c>
      <c r="E105" s="41"/>
      <c r="F105" s="41"/>
      <c r="G105" s="43"/>
      <c r="H105" s="44"/>
      <c r="I105" s="44"/>
    </row>
    <row r="106" customFormat="false" ht="14.25" hidden="false" customHeight="false" outlineLevel="0" collapsed="false">
      <c r="A106" s="37"/>
      <c r="B106" s="37"/>
      <c r="C106" s="72" t="n">
        <f aca="false">C105+1</f>
        <v>45121</v>
      </c>
      <c r="D106" s="37" t="s">
        <v>98</v>
      </c>
      <c r="E106" s="37"/>
      <c r="F106" s="37"/>
      <c r="G106" s="39"/>
      <c r="H106" s="40"/>
      <c r="I106" s="40"/>
    </row>
    <row r="107" customFormat="false" ht="14.25" hidden="false" customHeight="false" outlineLevel="0" collapsed="false">
      <c r="A107" s="37"/>
      <c r="B107" s="37"/>
      <c r="C107" s="72" t="n">
        <f aca="false">C106+1</f>
        <v>45122</v>
      </c>
      <c r="D107" s="37" t="s">
        <v>93</v>
      </c>
      <c r="E107" s="37"/>
      <c r="F107" s="37"/>
      <c r="G107" s="39"/>
      <c r="H107" s="40"/>
      <c r="I107" s="40"/>
    </row>
    <row r="108" customFormat="false" ht="14.25" hidden="false" customHeight="false" outlineLevel="0" collapsed="false">
      <c r="A108" s="71"/>
      <c r="B108" s="71"/>
      <c r="C108" s="72" t="n">
        <f aca="false">C107+1</f>
        <v>45123</v>
      </c>
      <c r="D108" s="71" t="s">
        <v>53</v>
      </c>
      <c r="E108" s="71"/>
      <c r="F108" s="73"/>
      <c r="G108" s="39"/>
      <c r="H108" s="40"/>
      <c r="I108" s="40"/>
    </row>
    <row r="109" customFormat="false" ht="14.25" hidden="false" customHeight="false" outlineLevel="0" collapsed="false">
      <c r="A109" s="60"/>
      <c r="B109" s="41"/>
      <c r="C109" s="77" t="n">
        <f aca="false">C108+1</f>
        <v>45124</v>
      </c>
      <c r="D109" s="41" t="s">
        <v>94</v>
      </c>
      <c r="E109" s="41"/>
      <c r="F109" s="41"/>
      <c r="G109" s="43"/>
      <c r="H109" s="44"/>
      <c r="I109" s="44"/>
    </row>
    <row r="110" customFormat="false" ht="14.25" hidden="false" customHeight="false" outlineLevel="0" collapsed="false">
      <c r="A110" s="60"/>
      <c r="B110" s="41"/>
      <c r="C110" s="77" t="n">
        <f aca="false">C109+1</f>
        <v>45125</v>
      </c>
      <c r="D110" s="41" t="s">
        <v>95</v>
      </c>
      <c r="E110" s="41"/>
      <c r="F110" s="41"/>
      <c r="G110" s="43"/>
      <c r="H110" s="44"/>
      <c r="I110" s="44"/>
    </row>
    <row r="111" customFormat="false" ht="14.25" hidden="false" customHeight="false" outlineLevel="0" collapsed="false">
      <c r="A111" s="61"/>
      <c r="B111" s="45"/>
      <c r="C111" s="80" t="n">
        <f aca="false">C110+1</f>
        <v>45126</v>
      </c>
      <c r="D111" s="45" t="s">
        <v>95</v>
      </c>
      <c r="E111" s="45"/>
      <c r="F111" s="45"/>
      <c r="G111" s="47"/>
      <c r="H111" s="48"/>
      <c r="I111" s="48"/>
    </row>
    <row r="112" customFormat="false" ht="14.25" hidden="false" customHeight="false" outlineLevel="0" collapsed="false">
      <c r="A112" s="60"/>
      <c r="B112" s="41"/>
      <c r="C112" s="77" t="n">
        <f aca="false">C111+1</f>
        <v>45127</v>
      </c>
      <c r="D112" s="41" t="s">
        <v>97</v>
      </c>
      <c r="E112" s="41"/>
      <c r="F112" s="41"/>
      <c r="G112" s="43"/>
      <c r="H112" s="44"/>
      <c r="I112" s="44"/>
    </row>
    <row r="113" customFormat="false" ht="14.25" hidden="false" customHeight="false" outlineLevel="0" collapsed="false">
      <c r="A113" s="60"/>
      <c r="B113" s="41"/>
      <c r="C113" s="77" t="n">
        <f aca="false">C112+1</f>
        <v>45128</v>
      </c>
      <c r="D113" s="41" t="s">
        <v>98</v>
      </c>
      <c r="E113" s="41"/>
      <c r="F113" s="41"/>
      <c r="G113" s="43"/>
      <c r="H113" s="44"/>
      <c r="I113" s="44"/>
    </row>
    <row r="114" customFormat="false" ht="14.25" hidden="false" customHeight="false" outlineLevel="0" collapsed="false">
      <c r="C114" s="28"/>
    </row>
    <row r="115" customFormat="false" ht="14.25" hidden="false" customHeight="false" outlineLevel="0" collapsed="false">
      <c r="C115" s="28"/>
    </row>
    <row r="116" customFormat="false" ht="14.25" hidden="false" customHeight="false" outlineLevel="0" collapsed="false">
      <c r="C116" s="28"/>
    </row>
    <row r="117" customFormat="false" ht="14.25" hidden="false" customHeight="false" outlineLevel="0" collapsed="false">
      <c r="C117" s="28"/>
    </row>
    <row r="118" customFormat="false" ht="14.25" hidden="false" customHeight="false" outlineLevel="0" collapsed="false">
      <c r="C118" s="28"/>
    </row>
    <row r="119" customFormat="false" ht="14.25" hidden="false" customHeight="false" outlineLevel="0" collapsed="false">
      <c r="C119" s="28"/>
    </row>
    <row r="120" customFormat="false" ht="14.25" hidden="false" customHeight="false" outlineLevel="0" collapsed="false">
      <c r="C120" s="28"/>
    </row>
    <row r="121" customFormat="false" ht="14.25" hidden="false" customHeight="false" outlineLevel="0" collapsed="false">
      <c r="C121" s="28"/>
    </row>
    <row r="122" customFormat="false" ht="14.25" hidden="false" customHeight="false" outlineLevel="0" collapsed="false">
      <c r="C122" s="28"/>
    </row>
    <row r="123" customFormat="false" ht="14.25" hidden="false" customHeight="false" outlineLevel="0" collapsed="false">
      <c r="C123" s="28"/>
    </row>
    <row r="124" customFormat="false" ht="14.25" hidden="false" customHeight="false" outlineLevel="0" collapsed="false">
      <c r="C124" s="28"/>
    </row>
    <row r="125" customFormat="false" ht="14.25" hidden="false" customHeight="false" outlineLevel="0" collapsed="false">
      <c r="C125" s="28"/>
    </row>
    <row r="126" customFormat="false" ht="14.25" hidden="false" customHeight="false" outlineLevel="0" collapsed="false">
      <c r="C126" s="28"/>
    </row>
    <row r="127" customFormat="false" ht="14.25" hidden="false" customHeight="false" outlineLevel="0" collapsed="false">
      <c r="C127" s="28"/>
    </row>
    <row r="128" customFormat="false" ht="14.25" hidden="false" customHeight="false" outlineLevel="0" collapsed="false">
      <c r="C128" s="28"/>
    </row>
    <row r="129" customFormat="false" ht="14.25" hidden="false" customHeight="false" outlineLevel="0" collapsed="false">
      <c r="C129" s="28"/>
    </row>
    <row r="130" customFormat="false" ht="14.25" hidden="false" customHeight="false" outlineLevel="0" collapsed="false">
      <c r="C130" s="28"/>
    </row>
    <row r="131" customFormat="false" ht="14.25" hidden="false" customHeight="false" outlineLevel="0" collapsed="false">
      <c r="C131" s="28"/>
    </row>
    <row r="132" customFormat="false" ht="14.25" hidden="false" customHeight="false" outlineLevel="0" collapsed="false">
      <c r="C132" s="28"/>
    </row>
    <row r="133" customFormat="false" ht="14.25" hidden="false" customHeight="false" outlineLevel="0" collapsed="false">
      <c r="C133" s="28"/>
    </row>
    <row r="134" customFormat="false" ht="14.25" hidden="false" customHeight="false" outlineLevel="0" collapsed="false">
      <c r="C134" s="28"/>
    </row>
    <row r="135" customFormat="false" ht="14.25" hidden="false" customHeight="false" outlineLevel="0" collapsed="false">
      <c r="C135" s="28"/>
    </row>
    <row r="136" customFormat="false" ht="14.25" hidden="false" customHeight="false" outlineLevel="0" collapsed="false">
      <c r="C136" s="28"/>
    </row>
    <row r="137" customFormat="false" ht="14.25" hidden="false" customHeight="false" outlineLevel="0" collapsed="false">
      <c r="C137" s="28"/>
    </row>
    <row r="138" customFormat="false" ht="14.25" hidden="false" customHeight="false" outlineLevel="0" collapsed="false">
      <c r="C138" s="28"/>
    </row>
    <row r="139" customFormat="false" ht="14.25" hidden="false" customHeight="false" outlineLevel="0" collapsed="false">
      <c r="C139" s="28"/>
    </row>
    <row r="140" customFormat="false" ht="14.25" hidden="false" customHeight="false" outlineLevel="0" collapsed="false">
      <c r="C140" s="28"/>
    </row>
    <row r="141" customFormat="false" ht="14.25" hidden="false" customHeight="false" outlineLevel="0" collapsed="false">
      <c r="C141" s="28"/>
    </row>
    <row r="142" customFormat="false" ht="14.25" hidden="false" customHeight="false" outlineLevel="0" collapsed="false">
      <c r="C142" s="28"/>
    </row>
    <row r="143" customFormat="false" ht="14.25" hidden="false" customHeight="false" outlineLevel="0" collapsed="false">
      <c r="C143" s="28"/>
    </row>
    <row r="144" customFormat="false" ht="14.25" hidden="false" customHeight="false" outlineLevel="0" collapsed="false">
      <c r="C144" s="28"/>
    </row>
    <row r="145" customFormat="false" ht="14.25" hidden="false" customHeight="false" outlineLevel="0" collapsed="false">
      <c r="C145" s="28"/>
    </row>
    <row r="146" customFormat="false" ht="14.25" hidden="false" customHeight="false" outlineLevel="0" collapsed="false">
      <c r="C146" s="28"/>
    </row>
    <row r="147" customFormat="false" ht="14.25" hidden="false" customHeight="false" outlineLevel="0" collapsed="false">
      <c r="C147" s="28"/>
    </row>
    <row r="148" customFormat="false" ht="14.25" hidden="false" customHeight="false" outlineLevel="0" collapsed="false">
      <c r="C148" s="28"/>
    </row>
    <row r="149" customFormat="false" ht="14.25" hidden="false" customHeight="false" outlineLevel="0" collapsed="false">
      <c r="C149" s="28"/>
    </row>
    <row r="150" customFormat="false" ht="14.25" hidden="false" customHeight="false" outlineLevel="0" collapsed="false">
      <c r="C150" s="28"/>
    </row>
    <row r="151" customFormat="false" ht="14.25" hidden="false" customHeight="false" outlineLevel="0" collapsed="false">
      <c r="C151" s="28"/>
    </row>
    <row r="152" customFormat="false" ht="14.25" hidden="false" customHeight="false" outlineLevel="0" collapsed="false">
      <c r="C152" s="28"/>
    </row>
    <row r="153" customFormat="false" ht="14.25" hidden="false" customHeight="false" outlineLevel="0" collapsed="false">
      <c r="C153" s="28"/>
    </row>
    <row r="154" customFormat="false" ht="14.25" hidden="false" customHeight="false" outlineLevel="0" collapsed="false">
      <c r="C154" s="28"/>
    </row>
    <row r="155" customFormat="false" ht="14.25" hidden="false" customHeight="false" outlineLevel="0" collapsed="false">
      <c r="C155" s="28"/>
    </row>
    <row r="156" customFormat="false" ht="14.25" hidden="false" customHeight="false" outlineLevel="0" collapsed="false">
      <c r="C156" s="28"/>
    </row>
    <row r="157" customFormat="false" ht="14.25" hidden="false" customHeight="false" outlineLevel="0" collapsed="false">
      <c r="C157" s="28"/>
    </row>
    <row r="158" customFormat="false" ht="14.25" hidden="false" customHeight="false" outlineLevel="0" collapsed="false">
      <c r="C158" s="28"/>
    </row>
    <row r="159" customFormat="false" ht="14.25" hidden="false" customHeight="false" outlineLevel="0" collapsed="false">
      <c r="C159" s="28"/>
    </row>
    <row r="160" customFormat="false" ht="14.25" hidden="false" customHeight="false" outlineLevel="0" collapsed="false">
      <c r="C160" s="28"/>
    </row>
    <row r="161" customFormat="false" ht="14.25" hidden="false" customHeight="false" outlineLevel="0" collapsed="false">
      <c r="C161" s="28"/>
    </row>
    <row r="162" customFormat="false" ht="14.25" hidden="false" customHeight="false" outlineLevel="0" collapsed="false">
      <c r="C162" s="28"/>
    </row>
    <row r="163" customFormat="false" ht="14.25" hidden="false" customHeight="false" outlineLevel="0" collapsed="false">
      <c r="C163" s="28"/>
    </row>
    <row r="164" customFormat="false" ht="14.25" hidden="false" customHeight="false" outlineLevel="0" collapsed="false">
      <c r="C164" s="28"/>
    </row>
    <row r="165" customFormat="false" ht="14.25" hidden="false" customHeight="false" outlineLevel="0" collapsed="false">
      <c r="C165" s="28"/>
    </row>
    <row r="166" customFormat="false" ht="14.25" hidden="false" customHeight="false" outlineLevel="0" collapsed="false">
      <c r="C166" s="28"/>
    </row>
    <row r="167" customFormat="false" ht="14.25" hidden="false" customHeight="false" outlineLevel="0" collapsed="false">
      <c r="C167" s="28"/>
    </row>
    <row r="168" customFormat="false" ht="14.25" hidden="false" customHeight="false" outlineLevel="0" collapsed="false">
      <c r="C168" s="28"/>
    </row>
    <row r="169" customFormat="false" ht="14.25" hidden="false" customHeight="false" outlineLevel="0" collapsed="false">
      <c r="C169" s="28"/>
    </row>
    <row r="170" customFormat="false" ht="14.25" hidden="false" customHeight="false" outlineLevel="0" collapsed="false">
      <c r="C170" s="28"/>
    </row>
    <row r="171" customFormat="false" ht="14.25" hidden="false" customHeight="false" outlineLevel="0" collapsed="false">
      <c r="C171" s="28"/>
    </row>
    <row r="172" customFormat="false" ht="14.25" hidden="false" customHeight="false" outlineLevel="0" collapsed="false">
      <c r="C172" s="28"/>
    </row>
    <row r="173" customFormat="false" ht="14.25" hidden="false" customHeight="false" outlineLevel="0" collapsed="false">
      <c r="C173" s="28"/>
    </row>
    <row r="174" customFormat="false" ht="14.25" hidden="false" customHeight="false" outlineLevel="0" collapsed="false">
      <c r="C174" s="28"/>
    </row>
    <row r="175" customFormat="false" ht="14.25" hidden="false" customHeight="false" outlineLevel="0" collapsed="false">
      <c r="C175" s="28"/>
    </row>
    <row r="176" customFormat="false" ht="14.25" hidden="false" customHeight="false" outlineLevel="0" collapsed="false">
      <c r="C176" s="28"/>
    </row>
    <row r="177" customFormat="false" ht="14.25" hidden="false" customHeight="false" outlineLevel="0" collapsed="false">
      <c r="C177" s="28"/>
    </row>
    <row r="178" customFormat="false" ht="14.25" hidden="false" customHeight="false" outlineLevel="0" collapsed="false">
      <c r="C178" s="28"/>
    </row>
    <row r="179" customFormat="false" ht="14.25" hidden="false" customHeight="false" outlineLevel="0" collapsed="false">
      <c r="C179" s="28"/>
    </row>
    <row r="180" customFormat="false" ht="14.25" hidden="false" customHeight="false" outlineLevel="0" collapsed="false">
      <c r="C180" s="28"/>
    </row>
    <row r="181" customFormat="false" ht="14.25" hidden="false" customHeight="false" outlineLevel="0" collapsed="false">
      <c r="C181" s="28"/>
    </row>
    <row r="182" customFormat="false" ht="14.25" hidden="false" customHeight="false" outlineLevel="0" collapsed="false">
      <c r="C182" s="28"/>
    </row>
    <row r="183" customFormat="false" ht="14.25" hidden="false" customHeight="false" outlineLevel="0" collapsed="false">
      <c r="C183" s="28"/>
    </row>
    <row r="184" customFormat="false" ht="14.25" hidden="false" customHeight="false" outlineLevel="0" collapsed="false">
      <c r="C184" s="28"/>
    </row>
    <row r="185" customFormat="false" ht="14.25" hidden="false" customHeight="false" outlineLevel="0" collapsed="false">
      <c r="C185" s="28"/>
    </row>
    <row r="186" customFormat="false" ht="14.25" hidden="false" customHeight="false" outlineLevel="0" collapsed="false">
      <c r="C186" s="28"/>
    </row>
    <row r="187" customFormat="false" ht="14.25" hidden="false" customHeight="false" outlineLevel="0" collapsed="false">
      <c r="C187" s="28"/>
    </row>
    <row r="188" customFormat="false" ht="14.25" hidden="false" customHeight="false" outlineLevel="0" collapsed="false">
      <c r="C188" s="28"/>
    </row>
    <row r="189" customFormat="false" ht="14.25" hidden="false" customHeight="false" outlineLevel="0" collapsed="false">
      <c r="C189" s="28"/>
    </row>
    <row r="190" customFormat="false" ht="14.25" hidden="false" customHeight="false" outlineLevel="0" collapsed="false">
      <c r="C190" s="28"/>
    </row>
    <row r="191" customFormat="false" ht="14.25" hidden="false" customHeight="false" outlineLevel="0" collapsed="false">
      <c r="C191" s="28"/>
    </row>
    <row r="192" customFormat="false" ht="14.25" hidden="false" customHeight="false" outlineLevel="0" collapsed="false">
      <c r="C192" s="28"/>
    </row>
    <row r="193" customFormat="false" ht="14.25" hidden="false" customHeight="false" outlineLevel="0" collapsed="false">
      <c r="C193" s="28"/>
    </row>
    <row r="194" customFormat="false" ht="14.25" hidden="false" customHeight="false" outlineLevel="0" collapsed="false">
      <c r="C194" s="28"/>
    </row>
    <row r="195" customFormat="false" ht="14.25" hidden="false" customHeight="false" outlineLevel="0" collapsed="false">
      <c r="C195" s="28"/>
    </row>
    <row r="196" customFormat="false" ht="14.25" hidden="false" customHeight="false" outlineLevel="0" collapsed="false">
      <c r="C196" s="28"/>
    </row>
    <row r="197" customFormat="false" ht="14.25" hidden="false" customHeight="false" outlineLevel="0" collapsed="false">
      <c r="C197" s="28"/>
    </row>
    <row r="198" customFormat="false" ht="14.25" hidden="false" customHeight="false" outlineLevel="0" collapsed="false">
      <c r="C198" s="28"/>
    </row>
    <row r="199" customFormat="false" ht="14.25" hidden="false" customHeight="false" outlineLevel="0" collapsed="false">
      <c r="C199" s="28"/>
    </row>
    <row r="200" customFormat="false" ht="14.25" hidden="false" customHeight="false" outlineLevel="0" collapsed="false">
      <c r="C200" s="28"/>
    </row>
    <row r="201" customFormat="false" ht="14.25" hidden="false" customHeight="false" outlineLevel="0" collapsed="false">
      <c r="C201" s="28"/>
    </row>
    <row r="202" customFormat="false" ht="14.25" hidden="false" customHeight="false" outlineLevel="0" collapsed="false">
      <c r="C202" s="28"/>
    </row>
    <row r="203" customFormat="false" ht="14.25" hidden="false" customHeight="false" outlineLevel="0" collapsed="false">
      <c r="C203" s="28"/>
    </row>
    <row r="204" customFormat="false" ht="14.25" hidden="false" customHeight="false" outlineLevel="0" collapsed="false">
      <c r="C204" s="28"/>
    </row>
    <row r="205" customFormat="false" ht="14.25" hidden="false" customHeight="false" outlineLevel="0" collapsed="false">
      <c r="C205" s="28"/>
    </row>
    <row r="206" customFormat="false" ht="14.25" hidden="false" customHeight="false" outlineLevel="0" collapsed="false">
      <c r="C206" s="28"/>
    </row>
    <row r="207" customFormat="false" ht="14.25" hidden="false" customHeight="false" outlineLevel="0" collapsed="false">
      <c r="C207" s="28"/>
    </row>
    <row r="208" customFormat="false" ht="14.25" hidden="false" customHeight="false" outlineLevel="0" collapsed="false">
      <c r="C208" s="28"/>
    </row>
    <row r="209" customFormat="false" ht="14.25" hidden="false" customHeight="false" outlineLevel="0" collapsed="false">
      <c r="C209" s="28"/>
    </row>
    <row r="210" customFormat="false" ht="14.25" hidden="false" customHeight="false" outlineLevel="0" collapsed="false">
      <c r="C210" s="28"/>
    </row>
    <row r="211" customFormat="false" ht="14.25" hidden="false" customHeight="false" outlineLevel="0" collapsed="false">
      <c r="C211" s="28"/>
    </row>
    <row r="212" customFormat="false" ht="14.25" hidden="false" customHeight="false" outlineLevel="0" collapsed="false">
      <c r="C212" s="28"/>
    </row>
    <row r="213" customFormat="false" ht="14.25" hidden="false" customHeight="false" outlineLevel="0" collapsed="false">
      <c r="C213" s="28"/>
    </row>
    <row r="214" customFormat="false" ht="14.25" hidden="false" customHeight="false" outlineLevel="0" collapsed="false">
      <c r="C214" s="28"/>
    </row>
    <row r="215" customFormat="false" ht="14.25" hidden="false" customHeight="false" outlineLevel="0" collapsed="false">
      <c r="C215" s="28"/>
    </row>
    <row r="216" customFormat="false" ht="14.25" hidden="false" customHeight="false" outlineLevel="0" collapsed="false">
      <c r="C216" s="28"/>
    </row>
    <row r="217" customFormat="false" ht="14.25" hidden="false" customHeight="false" outlineLevel="0" collapsed="false">
      <c r="C217" s="28"/>
    </row>
    <row r="218" customFormat="false" ht="14.25" hidden="false" customHeight="false" outlineLevel="0" collapsed="false">
      <c r="C218" s="28"/>
    </row>
    <row r="219" customFormat="false" ht="14.25" hidden="false" customHeight="false" outlineLevel="0" collapsed="false">
      <c r="C219" s="28"/>
    </row>
    <row r="220" customFormat="false" ht="14.25" hidden="false" customHeight="false" outlineLevel="0" collapsed="false">
      <c r="C220" s="28"/>
    </row>
    <row r="221" customFormat="false" ht="14.25" hidden="false" customHeight="false" outlineLevel="0" collapsed="false">
      <c r="C221" s="28"/>
    </row>
    <row r="222" customFormat="false" ht="14.25" hidden="false" customHeight="false" outlineLevel="0" collapsed="false">
      <c r="C222" s="28"/>
    </row>
    <row r="223" customFormat="false" ht="14.25" hidden="false" customHeight="false" outlineLevel="0" collapsed="false">
      <c r="C223" s="28"/>
    </row>
    <row r="224" customFormat="false" ht="14.25" hidden="false" customHeight="false" outlineLevel="0" collapsed="false">
      <c r="C224" s="28"/>
    </row>
    <row r="225" customFormat="false" ht="14.25" hidden="false" customHeight="false" outlineLevel="0" collapsed="false">
      <c r="C225" s="28"/>
    </row>
    <row r="226" customFormat="false" ht="14.25" hidden="false" customHeight="false" outlineLevel="0" collapsed="false">
      <c r="C226" s="28"/>
    </row>
    <row r="227" customFormat="false" ht="14.25" hidden="false" customHeight="false" outlineLevel="0" collapsed="false">
      <c r="C227" s="28"/>
    </row>
    <row r="228" customFormat="false" ht="14.25" hidden="false" customHeight="false" outlineLevel="0" collapsed="false">
      <c r="C228" s="28"/>
    </row>
    <row r="229" customFormat="false" ht="14.25" hidden="false" customHeight="false" outlineLevel="0" collapsed="false">
      <c r="C229" s="28"/>
    </row>
    <row r="230" customFormat="false" ht="14.25" hidden="false" customHeight="false" outlineLevel="0" collapsed="false">
      <c r="C230" s="28"/>
    </row>
    <row r="231" customFormat="false" ht="14.25" hidden="false" customHeight="false" outlineLevel="0" collapsed="false">
      <c r="C231" s="28"/>
    </row>
    <row r="232" customFormat="false" ht="14.25" hidden="false" customHeight="false" outlineLevel="0" collapsed="false">
      <c r="C232" s="28"/>
    </row>
    <row r="233" customFormat="false" ht="14.25" hidden="false" customHeight="false" outlineLevel="0" collapsed="false">
      <c r="C233" s="28"/>
    </row>
    <row r="234" customFormat="false" ht="14.25" hidden="false" customHeight="false" outlineLevel="0" collapsed="false">
      <c r="C234" s="28"/>
    </row>
    <row r="235" customFormat="false" ht="14.25" hidden="false" customHeight="false" outlineLevel="0" collapsed="false">
      <c r="C235" s="28"/>
    </row>
    <row r="236" customFormat="false" ht="14.25" hidden="false" customHeight="false" outlineLevel="0" collapsed="false">
      <c r="C236" s="28"/>
    </row>
    <row r="237" customFormat="false" ht="14.25" hidden="false" customHeight="false" outlineLevel="0" collapsed="false">
      <c r="C237" s="28"/>
    </row>
    <row r="238" customFormat="false" ht="14.25" hidden="false" customHeight="false" outlineLevel="0" collapsed="false">
      <c r="C238" s="28"/>
    </row>
    <row r="239" customFormat="false" ht="14.25" hidden="false" customHeight="false" outlineLevel="0" collapsed="false">
      <c r="C239" s="28"/>
    </row>
    <row r="240" customFormat="false" ht="14.25" hidden="false" customHeight="false" outlineLevel="0" collapsed="false">
      <c r="C240" s="28"/>
    </row>
    <row r="241" customFormat="false" ht="14.25" hidden="false" customHeight="false" outlineLevel="0" collapsed="false">
      <c r="C241" s="28"/>
    </row>
    <row r="242" customFormat="false" ht="14.25" hidden="false" customHeight="false" outlineLevel="0" collapsed="false">
      <c r="C242" s="28"/>
    </row>
    <row r="243" customFormat="false" ht="14.25" hidden="false" customHeight="false" outlineLevel="0" collapsed="false">
      <c r="C243" s="28"/>
    </row>
    <row r="244" customFormat="false" ht="14.25" hidden="false" customHeight="false" outlineLevel="0" collapsed="false">
      <c r="C244" s="28"/>
    </row>
    <row r="245" customFormat="false" ht="14.25" hidden="false" customHeight="false" outlineLevel="0" collapsed="false">
      <c r="C245" s="28"/>
    </row>
    <row r="246" customFormat="false" ht="14.25" hidden="false" customHeight="false" outlineLevel="0" collapsed="false">
      <c r="C246" s="28"/>
    </row>
    <row r="247" customFormat="false" ht="14.25" hidden="false" customHeight="false" outlineLevel="0" collapsed="false">
      <c r="C247" s="28"/>
    </row>
    <row r="248" customFormat="false" ht="14.25" hidden="false" customHeight="false" outlineLevel="0" collapsed="false">
      <c r="C248" s="28"/>
    </row>
    <row r="249" customFormat="false" ht="14.25" hidden="false" customHeight="false" outlineLevel="0" collapsed="false">
      <c r="C249" s="28"/>
    </row>
    <row r="250" customFormat="false" ht="14.25" hidden="false" customHeight="false" outlineLevel="0" collapsed="false">
      <c r="C250" s="28"/>
    </row>
    <row r="251" customFormat="false" ht="14.25" hidden="false" customHeight="false" outlineLevel="0" collapsed="false">
      <c r="C251" s="28"/>
    </row>
    <row r="252" customFormat="false" ht="14.25" hidden="false" customHeight="false" outlineLevel="0" collapsed="false">
      <c r="C252" s="28"/>
    </row>
    <row r="253" customFormat="false" ht="14.25" hidden="false" customHeight="false" outlineLevel="0" collapsed="false">
      <c r="C253" s="28"/>
    </row>
    <row r="254" customFormat="false" ht="14.25" hidden="false" customHeight="false" outlineLevel="0" collapsed="false">
      <c r="C254" s="28"/>
    </row>
    <row r="255" customFormat="false" ht="14.25" hidden="false" customHeight="false" outlineLevel="0" collapsed="false">
      <c r="C255" s="28"/>
    </row>
    <row r="256" customFormat="false" ht="14.25" hidden="false" customHeight="false" outlineLevel="0" collapsed="false">
      <c r="C256" s="28"/>
    </row>
    <row r="257" customFormat="false" ht="14.25" hidden="false" customHeight="false" outlineLevel="0" collapsed="false">
      <c r="C257" s="28"/>
    </row>
    <row r="258" customFormat="false" ht="14.25" hidden="false" customHeight="false" outlineLevel="0" collapsed="false">
      <c r="C258" s="28"/>
    </row>
    <row r="259" customFormat="false" ht="14.25" hidden="false" customHeight="false" outlineLevel="0" collapsed="false">
      <c r="C259" s="28"/>
    </row>
    <row r="260" customFormat="false" ht="14.25" hidden="false" customHeight="false" outlineLevel="0" collapsed="false">
      <c r="C260" s="28"/>
    </row>
    <row r="261" customFormat="false" ht="14.25" hidden="false" customHeight="false" outlineLevel="0" collapsed="false">
      <c r="C261" s="28"/>
    </row>
    <row r="262" customFormat="false" ht="14.25" hidden="false" customHeight="false" outlineLevel="0" collapsed="false">
      <c r="C262" s="28"/>
    </row>
    <row r="263" customFormat="false" ht="14.25" hidden="false" customHeight="false" outlineLevel="0" collapsed="false">
      <c r="C263" s="28"/>
    </row>
    <row r="264" customFormat="false" ht="14.25" hidden="false" customHeight="false" outlineLevel="0" collapsed="false">
      <c r="C264" s="28"/>
    </row>
    <row r="265" customFormat="false" ht="14.25" hidden="false" customHeight="false" outlineLevel="0" collapsed="false">
      <c r="C265" s="28"/>
    </row>
    <row r="266" customFormat="false" ht="14.25" hidden="false" customHeight="false" outlineLevel="0" collapsed="false">
      <c r="C266" s="28"/>
    </row>
    <row r="267" customFormat="false" ht="14.25" hidden="false" customHeight="false" outlineLevel="0" collapsed="false">
      <c r="C267" s="28"/>
    </row>
    <row r="268" customFormat="false" ht="14.25" hidden="false" customHeight="false" outlineLevel="0" collapsed="false">
      <c r="C268" s="28"/>
    </row>
    <row r="269" customFormat="false" ht="14.25" hidden="false" customHeight="false" outlineLevel="0" collapsed="false">
      <c r="C269" s="28"/>
    </row>
    <row r="270" customFormat="false" ht="14.25" hidden="false" customHeight="false" outlineLevel="0" collapsed="false">
      <c r="C270" s="28"/>
    </row>
    <row r="271" customFormat="false" ht="14.25" hidden="false" customHeight="false" outlineLevel="0" collapsed="false">
      <c r="C271" s="28"/>
    </row>
    <row r="272" customFormat="false" ht="14.25" hidden="false" customHeight="false" outlineLevel="0" collapsed="false">
      <c r="C272" s="28"/>
    </row>
    <row r="273" customFormat="false" ht="14.25" hidden="false" customHeight="false" outlineLevel="0" collapsed="false">
      <c r="C273" s="28"/>
    </row>
    <row r="274" customFormat="false" ht="14.25" hidden="false" customHeight="false" outlineLevel="0" collapsed="false">
      <c r="C274" s="28"/>
    </row>
    <row r="275" customFormat="false" ht="14.25" hidden="false" customHeight="false" outlineLevel="0" collapsed="false">
      <c r="C275" s="28"/>
    </row>
    <row r="276" customFormat="false" ht="14.25" hidden="false" customHeight="false" outlineLevel="0" collapsed="false">
      <c r="C276" s="28"/>
    </row>
    <row r="277" customFormat="false" ht="14.25" hidden="false" customHeight="false" outlineLevel="0" collapsed="false">
      <c r="C277" s="28"/>
    </row>
    <row r="278" customFormat="false" ht="14.25" hidden="false" customHeight="false" outlineLevel="0" collapsed="false">
      <c r="C278" s="28"/>
    </row>
    <row r="279" customFormat="false" ht="14.25" hidden="false" customHeight="false" outlineLevel="0" collapsed="false">
      <c r="C279" s="28"/>
    </row>
    <row r="280" customFormat="false" ht="14.25" hidden="false" customHeight="false" outlineLevel="0" collapsed="false">
      <c r="C280" s="28"/>
    </row>
    <row r="281" customFormat="false" ht="14.25" hidden="false" customHeight="false" outlineLevel="0" collapsed="false">
      <c r="C281" s="28"/>
    </row>
    <row r="282" customFormat="false" ht="14.25" hidden="false" customHeight="false" outlineLevel="0" collapsed="false">
      <c r="C282" s="28"/>
    </row>
    <row r="283" customFormat="false" ht="14.25" hidden="false" customHeight="false" outlineLevel="0" collapsed="false">
      <c r="C283" s="28"/>
    </row>
    <row r="284" customFormat="false" ht="14.25" hidden="false" customHeight="false" outlineLevel="0" collapsed="false">
      <c r="C284" s="28"/>
    </row>
    <row r="285" customFormat="false" ht="14.25" hidden="false" customHeight="false" outlineLevel="0" collapsed="false">
      <c r="C285" s="28"/>
    </row>
    <row r="286" customFormat="false" ht="14.25" hidden="false" customHeight="false" outlineLevel="0" collapsed="false">
      <c r="C286" s="28"/>
    </row>
    <row r="287" customFormat="false" ht="14.25" hidden="false" customHeight="false" outlineLevel="0" collapsed="false">
      <c r="C287" s="28"/>
    </row>
    <row r="288" customFormat="false" ht="14.25" hidden="false" customHeight="false" outlineLevel="0" collapsed="false">
      <c r="C288" s="28"/>
    </row>
    <row r="289" customFormat="false" ht="14.25" hidden="false" customHeight="false" outlineLevel="0" collapsed="false">
      <c r="C289" s="28"/>
    </row>
    <row r="290" customFormat="false" ht="14.25" hidden="false" customHeight="false" outlineLevel="0" collapsed="false">
      <c r="C290" s="28"/>
    </row>
    <row r="291" customFormat="false" ht="14.25" hidden="false" customHeight="false" outlineLevel="0" collapsed="false">
      <c r="C291" s="28"/>
    </row>
    <row r="292" customFormat="false" ht="14.25" hidden="false" customHeight="false" outlineLevel="0" collapsed="false">
      <c r="C292" s="28"/>
    </row>
    <row r="293" customFormat="false" ht="14.25" hidden="false" customHeight="false" outlineLevel="0" collapsed="false">
      <c r="C293" s="28"/>
    </row>
    <row r="294" customFormat="false" ht="14.25" hidden="false" customHeight="false" outlineLevel="0" collapsed="false">
      <c r="C294" s="28"/>
    </row>
    <row r="295" customFormat="false" ht="14.25" hidden="false" customHeight="false" outlineLevel="0" collapsed="false">
      <c r="C295" s="28"/>
    </row>
    <row r="296" customFormat="false" ht="14.25" hidden="false" customHeight="false" outlineLevel="0" collapsed="false">
      <c r="C296" s="28"/>
    </row>
    <row r="297" customFormat="false" ht="14.25" hidden="false" customHeight="false" outlineLevel="0" collapsed="false">
      <c r="C297" s="28"/>
    </row>
    <row r="298" customFormat="false" ht="14.25" hidden="false" customHeight="false" outlineLevel="0" collapsed="false">
      <c r="C298" s="28"/>
    </row>
    <row r="299" customFormat="false" ht="14.25" hidden="false" customHeight="false" outlineLevel="0" collapsed="false">
      <c r="C299" s="28"/>
    </row>
    <row r="300" customFormat="false" ht="14.25" hidden="false" customHeight="false" outlineLevel="0" collapsed="false">
      <c r="C300" s="28"/>
    </row>
    <row r="301" customFormat="false" ht="14.25" hidden="false" customHeight="false" outlineLevel="0" collapsed="false">
      <c r="C301" s="28"/>
    </row>
    <row r="302" customFormat="false" ht="14.25" hidden="false" customHeight="false" outlineLevel="0" collapsed="false">
      <c r="C302" s="28"/>
    </row>
    <row r="303" customFormat="false" ht="14.25" hidden="false" customHeight="false" outlineLevel="0" collapsed="false">
      <c r="C303" s="28"/>
    </row>
    <row r="304" customFormat="false" ht="14.25" hidden="false" customHeight="false" outlineLevel="0" collapsed="false">
      <c r="C304" s="28"/>
    </row>
    <row r="305" customFormat="false" ht="14.25" hidden="false" customHeight="false" outlineLevel="0" collapsed="false">
      <c r="C305" s="28"/>
    </row>
    <row r="306" customFormat="false" ht="14.25" hidden="false" customHeight="false" outlineLevel="0" collapsed="false">
      <c r="C306" s="28"/>
    </row>
    <row r="307" customFormat="false" ht="14.25" hidden="false" customHeight="false" outlineLevel="0" collapsed="false">
      <c r="C307" s="28"/>
    </row>
    <row r="308" customFormat="false" ht="14.25" hidden="false" customHeight="false" outlineLevel="0" collapsed="false">
      <c r="C308" s="28"/>
    </row>
    <row r="309" customFormat="false" ht="14.25" hidden="false" customHeight="false" outlineLevel="0" collapsed="false">
      <c r="C309" s="28"/>
    </row>
    <row r="310" customFormat="false" ht="14.25" hidden="false" customHeight="false" outlineLevel="0" collapsed="false">
      <c r="C310" s="28"/>
    </row>
    <row r="311" customFormat="false" ht="14.25" hidden="false" customHeight="false" outlineLevel="0" collapsed="false">
      <c r="C311" s="28"/>
    </row>
    <row r="312" customFormat="false" ht="14.25" hidden="false" customHeight="false" outlineLevel="0" collapsed="false">
      <c r="C312" s="28"/>
    </row>
    <row r="313" customFormat="false" ht="14.25" hidden="false" customHeight="false" outlineLevel="0" collapsed="false">
      <c r="C313" s="28"/>
    </row>
    <row r="314" customFormat="false" ht="14.25" hidden="false" customHeight="false" outlineLevel="0" collapsed="false">
      <c r="C314" s="28"/>
    </row>
    <row r="315" customFormat="false" ht="14.25" hidden="false" customHeight="false" outlineLevel="0" collapsed="false">
      <c r="C315" s="28"/>
    </row>
    <row r="316" customFormat="false" ht="14.25" hidden="false" customHeight="false" outlineLevel="0" collapsed="false">
      <c r="C316" s="28"/>
    </row>
    <row r="317" customFormat="false" ht="14.25" hidden="false" customHeight="false" outlineLevel="0" collapsed="false">
      <c r="C317" s="28"/>
    </row>
    <row r="318" customFormat="false" ht="14.25" hidden="false" customHeight="false" outlineLevel="0" collapsed="false">
      <c r="C318" s="28"/>
    </row>
    <row r="319" customFormat="false" ht="14.25" hidden="false" customHeight="false" outlineLevel="0" collapsed="false">
      <c r="C319" s="28"/>
    </row>
    <row r="320" customFormat="false" ht="14.25" hidden="false" customHeight="false" outlineLevel="0" collapsed="false">
      <c r="C320" s="28"/>
    </row>
    <row r="321" customFormat="false" ht="14.25" hidden="false" customHeight="false" outlineLevel="0" collapsed="false">
      <c r="C321" s="28"/>
    </row>
    <row r="322" customFormat="false" ht="14.25" hidden="false" customHeight="false" outlineLevel="0" collapsed="false">
      <c r="C322" s="28"/>
    </row>
    <row r="323" customFormat="false" ht="14.25" hidden="false" customHeight="false" outlineLevel="0" collapsed="false">
      <c r="C323" s="28"/>
    </row>
    <row r="324" customFormat="false" ht="14.25" hidden="false" customHeight="false" outlineLevel="0" collapsed="false">
      <c r="C324" s="28"/>
    </row>
    <row r="325" customFormat="false" ht="14.25" hidden="false" customHeight="false" outlineLevel="0" collapsed="false">
      <c r="C325" s="28"/>
    </row>
    <row r="326" customFormat="false" ht="14.25" hidden="false" customHeight="false" outlineLevel="0" collapsed="false">
      <c r="C326" s="28"/>
    </row>
    <row r="327" customFormat="false" ht="14.25" hidden="false" customHeight="false" outlineLevel="0" collapsed="false">
      <c r="C327" s="28"/>
    </row>
    <row r="328" customFormat="false" ht="14.25" hidden="false" customHeight="false" outlineLevel="0" collapsed="false">
      <c r="C328" s="28"/>
    </row>
    <row r="329" customFormat="false" ht="14.25" hidden="false" customHeight="false" outlineLevel="0" collapsed="false">
      <c r="C329" s="28"/>
    </row>
    <row r="330" customFormat="false" ht="14.25" hidden="false" customHeight="false" outlineLevel="0" collapsed="false">
      <c r="C330" s="28"/>
    </row>
    <row r="331" customFormat="false" ht="14.25" hidden="false" customHeight="false" outlineLevel="0" collapsed="false">
      <c r="C331" s="28"/>
    </row>
    <row r="332" customFormat="false" ht="14.25" hidden="false" customHeight="false" outlineLevel="0" collapsed="false">
      <c r="C332" s="28"/>
    </row>
    <row r="333" customFormat="false" ht="14.25" hidden="false" customHeight="false" outlineLevel="0" collapsed="false">
      <c r="C333" s="28"/>
    </row>
    <row r="334" customFormat="false" ht="14.25" hidden="false" customHeight="false" outlineLevel="0" collapsed="false">
      <c r="C334" s="28"/>
    </row>
    <row r="335" customFormat="false" ht="14.25" hidden="false" customHeight="false" outlineLevel="0" collapsed="false">
      <c r="C335" s="28"/>
    </row>
    <row r="336" customFormat="false" ht="14.25" hidden="false" customHeight="false" outlineLevel="0" collapsed="false">
      <c r="C336" s="28"/>
    </row>
    <row r="337" customFormat="false" ht="14.25" hidden="false" customHeight="false" outlineLevel="0" collapsed="false">
      <c r="C337" s="28"/>
    </row>
    <row r="338" customFormat="false" ht="14.25" hidden="false" customHeight="false" outlineLevel="0" collapsed="false">
      <c r="C338" s="28"/>
    </row>
    <row r="339" customFormat="false" ht="14.25" hidden="false" customHeight="false" outlineLevel="0" collapsed="false">
      <c r="C339" s="28"/>
    </row>
    <row r="340" customFormat="false" ht="14.25" hidden="false" customHeight="false" outlineLevel="0" collapsed="false">
      <c r="C340" s="28"/>
    </row>
    <row r="341" customFormat="false" ht="14.25" hidden="false" customHeight="false" outlineLevel="0" collapsed="false">
      <c r="C341" s="28"/>
    </row>
    <row r="342" customFormat="false" ht="14.25" hidden="false" customHeight="false" outlineLevel="0" collapsed="false">
      <c r="C342" s="28"/>
    </row>
    <row r="343" customFormat="false" ht="14.25" hidden="false" customHeight="false" outlineLevel="0" collapsed="false">
      <c r="C343" s="28"/>
    </row>
    <row r="344" customFormat="false" ht="14.25" hidden="false" customHeight="false" outlineLevel="0" collapsed="false">
      <c r="C344" s="28"/>
    </row>
    <row r="345" customFormat="false" ht="14.25" hidden="false" customHeight="false" outlineLevel="0" collapsed="false">
      <c r="C345" s="28"/>
    </row>
    <row r="346" customFormat="false" ht="14.25" hidden="false" customHeight="false" outlineLevel="0" collapsed="false">
      <c r="C346" s="28"/>
    </row>
    <row r="347" customFormat="false" ht="14.25" hidden="false" customHeight="false" outlineLevel="0" collapsed="false">
      <c r="C347" s="28"/>
    </row>
    <row r="348" customFormat="false" ht="14.25" hidden="false" customHeight="false" outlineLevel="0" collapsed="false">
      <c r="C348" s="28"/>
    </row>
    <row r="349" customFormat="false" ht="14.25" hidden="false" customHeight="false" outlineLevel="0" collapsed="false">
      <c r="C349" s="28"/>
    </row>
    <row r="350" customFormat="false" ht="14.25" hidden="false" customHeight="false" outlineLevel="0" collapsed="false">
      <c r="C350" s="28"/>
    </row>
    <row r="351" customFormat="false" ht="14.25" hidden="false" customHeight="false" outlineLevel="0" collapsed="false">
      <c r="C351" s="28"/>
    </row>
    <row r="352" customFormat="false" ht="14.25" hidden="false" customHeight="false" outlineLevel="0" collapsed="false">
      <c r="C352" s="28"/>
    </row>
    <row r="353" customFormat="false" ht="14.25" hidden="false" customHeight="false" outlineLevel="0" collapsed="false">
      <c r="C353" s="28"/>
    </row>
    <row r="354" customFormat="false" ht="14.25" hidden="false" customHeight="false" outlineLevel="0" collapsed="false">
      <c r="C354" s="28"/>
    </row>
    <row r="355" customFormat="false" ht="14.25" hidden="false" customHeight="false" outlineLevel="0" collapsed="false">
      <c r="C355" s="28"/>
    </row>
    <row r="356" customFormat="false" ht="14.25" hidden="false" customHeight="false" outlineLevel="0" collapsed="false">
      <c r="C356" s="28"/>
    </row>
    <row r="357" customFormat="false" ht="14.25" hidden="false" customHeight="false" outlineLevel="0" collapsed="false">
      <c r="C357" s="28"/>
    </row>
    <row r="358" customFormat="false" ht="14.25" hidden="false" customHeight="false" outlineLevel="0" collapsed="false">
      <c r="C358" s="28"/>
    </row>
    <row r="359" customFormat="false" ht="14.25" hidden="false" customHeight="false" outlineLevel="0" collapsed="false">
      <c r="C359" s="28"/>
    </row>
    <row r="360" customFormat="false" ht="14.25" hidden="false" customHeight="false" outlineLevel="0" collapsed="false">
      <c r="C360" s="28"/>
    </row>
    <row r="361" customFormat="false" ht="14.25" hidden="false" customHeight="false" outlineLevel="0" collapsed="false">
      <c r="C361" s="28"/>
    </row>
    <row r="362" customFormat="false" ht="14.25" hidden="false" customHeight="false" outlineLevel="0" collapsed="false">
      <c r="C362" s="28"/>
    </row>
    <row r="363" customFormat="false" ht="14.25" hidden="false" customHeight="false" outlineLevel="0" collapsed="false">
      <c r="C363" s="28"/>
    </row>
    <row r="364" customFormat="false" ht="14.25" hidden="false" customHeight="false" outlineLevel="0" collapsed="false">
      <c r="C364" s="28"/>
    </row>
    <row r="365" customFormat="false" ht="14.25" hidden="false" customHeight="false" outlineLevel="0" collapsed="false">
      <c r="C365" s="28"/>
    </row>
    <row r="366" customFormat="false" ht="14.25" hidden="false" customHeight="false" outlineLevel="0" collapsed="false">
      <c r="C366" s="28"/>
    </row>
    <row r="367" customFormat="false" ht="14.25" hidden="false" customHeight="false" outlineLevel="0" collapsed="false">
      <c r="C367" s="28"/>
    </row>
    <row r="368" customFormat="false" ht="14.25" hidden="false" customHeight="false" outlineLevel="0" collapsed="false">
      <c r="C368" s="28"/>
    </row>
    <row r="369" customFormat="false" ht="14.25" hidden="false" customHeight="false" outlineLevel="0" collapsed="false">
      <c r="C369" s="28"/>
    </row>
    <row r="370" customFormat="false" ht="14.25" hidden="false" customHeight="false" outlineLevel="0" collapsed="false">
      <c r="C370" s="28"/>
    </row>
    <row r="371" customFormat="false" ht="14.25" hidden="false" customHeight="false" outlineLevel="0" collapsed="false">
      <c r="C371" s="28"/>
    </row>
    <row r="372" customFormat="false" ht="14.25" hidden="false" customHeight="false" outlineLevel="0" collapsed="false">
      <c r="C372" s="28"/>
    </row>
    <row r="373" customFormat="false" ht="14.25" hidden="false" customHeight="false" outlineLevel="0" collapsed="false">
      <c r="C373" s="28"/>
    </row>
    <row r="374" customFormat="false" ht="14.25" hidden="false" customHeight="false" outlineLevel="0" collapsed="false">
      <c r="C374" s="28"/>
    </row>
    <row r="375" customFormat="false" ht="14.25" hidden="false" customHeight="false" outlineLevel="0" collapsed="false">
      <c r="C375" s="28"/>
    </row>
    <row r="376" customFormat="false" ht="14.25" hidden="false" customHeight="false" outlineLevel="0" collapsed="false">
      <c r="C376" s="28"/>
    </row>
    <row r="377" customFormat="false" ht="14.25" hidden="false" customHeight="false" outlineLevel="0" collapsed="false">
      <c r="C377" s="28"/>
    </row>
    <row r="378" customFormat="false" ht="14.25" hidden="false" customHeight="false" outlineLevel="0" collapsed="false">
      <c r="C378" s="28"/>
    </row>
    <row r="379" customFormat="false" ht="14.25" hidden="false" customHeight="false" outlineLevel="0" collapsed="false">
      <c r="C379" s="28"/>
    </row>
    <row r="380" customFormat="false" ht="14.25" hidden="false" customHeight="false" outlineLevel="0" collapsed="false">
      <c r="C380" s="28"/>
    </row>
    <row r="381" customFormat="false" ht="14.25" hidden="false" customHeight="false" outlineLevel="0" collapsed="false">
      <c r="C381" s="28"/>
    </row>
    <row r="382" customFormat="false" ht="14.25" hidden="false" customHeight="false" outlineLevel="0" collapsed="false">
      <c r="C382" s="28"/>
    </row>
    <row r="383" customFormat="false" ht="14.25" hidden="false" customHeight="false" outlineLevel="0" collapsed="false">
      <c r="C383" s="28"/>
    </row>
    <row r="384" customFormat="false" ht="14.25" hidden="false" customHeight="false" outlineLevel="0" collapsed="false">
      <c r="C384" s="28"/>
    </row>
    <row r="385" customFormat="false" ht="14.25" hidden="false" customHeight="false" outlineLevel="0" collapsed="false">
      <c r="C385" s="28"/>
    </row>
    <row r="386" customFormat="false" ht="14.25" hidden="false" customHeight="false" outlineLevel="0" collapsed="false">
      <c r="C386" s="28"/>
    </row>
    <row r="387" customFormat="false" ht="14.25" hidden="false" customHeight="false" outlineLevel="0" collapsed="false">
      <c r="C387" s="28"/>
    </row>
    <row r="388" customFormat="false" ht="14.25" hidden="false" customHeight="false" outlineLevel="0" collapsed="false">
      <c r="C388" s="28"/>
    </row>
    <row r="389" customFormat="false" ht="14.25" hidden="false" customHeight="false" outlineLevel="0" collapsed="false">
      <c r="C389" s="28"/>
    </row>
    <row r="390" customFormat="false" ht="14.25" hidden="false" customHeight="false" outlineLevel="0" collapsed="false">
      <c r="C390" s="28"/>
    </row>
    <row r="391" customFormat="false" ht="14.25" hidden="false" customHeight="false" outlineLevel="0" collapsed="false">
      <c r="C391" s="28"/>
    </row>
    <row r="392" customFormat="false" ht="14.25" hidden="false" customHeight="false" outlineLevel="0" collapsed="false">
      <c r="C392" s="28"/>
    </row>
    <row r="393" customFormat="false" ht="14.25" hidden="false" customHeight="false" outlineLevel="0" collapsed="false">
      <c r="C393" s="28"/>
    </row>
    <row r="394" customFormat="false" ht="14.25" hidden="false" customHeight="false" outlineLevel="0" collapsed="false">
      <c r="C394" s="28"/>
    </row>
    <row r="395" customFormat="false" ht="14.25" hidden="false" customHeight="false" outlineLevel="0" collapsed="false">
      <c r="C395" s="28"/>
    </row>
    <row r="396" customFormat="false" ht="14.25" hidden="false" customHeight="false" outlineLevel="0" collapsed="false">
      <c r="C396" s="28"/>
    </row>
    <row r="397" customFormat="false" ht="14.25" hidden="false" customHeight="false" outlineLevel="0" collapsed="false">
      <c r="C397" s="28"/>
    </row>
    <row r="398" customFormat="false" ht="14.25" hidden="false" customHeight="false" outlineLevel="0" collapsed="false">
      <c r="C398" s="28"/>
    </row>
    <row r="399" customFormat="false" ht="14.25" hidden="false" customHeight="false" outlineLevel="0" collapsed="false">
      <c r="C399" s="28"/>
    </row>
    <row r="400" customFormat="false" ht="14.25" hidden="false" customHeight="false" outlineLevel="0" collapsed="false">
      <c r="C400" s="28"/>
    </row>
    <row r="401" customFormat="false" ht="14.25" hidden="false" customHeight="false" outlineLevel="0" collapsed="false">
      <c r="C401" s="28"/>
    </row>
    <row r="402" customFormat="false" ht="14.25" hidden="false" customHeight="false" outlineLevel="0" collapsed="false">
      <c r="C402" s="28"/>
    </row>
    <row r="403" customFormat="false" ht="14.25" hidden="false" customHeight="false" outlineLevel="0" collapsed="false">
      <c r="C403" s="28"/>
    </row>
    <row r="404" customFormat="false" ht="14.25" hidden="false" customHeight="false" outlineLevel="0" collapsed="false">
      <c r="C404" s="28"/>
    </row>
    <row r="405" customFormat="false" ht="14.25" hidden="false" customHeight="false" outlineLevel="0" collapsed="false">
      <c r="C405" s="28"/>
    </row>
    <row r="406" customFormat="false" ht="14.25" hidden="false" customHeight="false" outlineLevel="0" collapsed="false">
      <c r="C406" s="28"/>
    </row>
    <row r="407" customFormat="false" ht="14.25" hidden="false" customHeight="false" outlineLevel="0" collapsed="false">
      <c r="C407" s="28"/>
    </row>
    <row r="408" customFormat="false" ht="14.25" hidden="false" customHeight="false" outlineLevel="0" collapsed="false">
      <c r="C408" s="28"/>
    </row>
    <row r="409" customFormat="false" ht="14.25" hidden="false" customHeight="false" outlineLevel="0" collapsed="false">
      <c r="C409" s="28"/>
    </row>
    <row r="410" customFormat="false" ht="14.25" hidden="false" customHeight="false" outlineLevel="0" collapsed="false">
      <c r="C410" s="28"/>
    </row>
    <row r="411" customFormat="false" ht="14.25" hidden="false" customHeight="false" outlineLevel="0" collapsed="false">
      <c r="C411" s="28"/>
    </row>
    <row r="412" customFormat="false" ht="14.25" hidden="false" customHeight="false" outlineLevel="0" collapsed="false">
      <c r="C412" s="28"/>
    </row>
    <row r="413" customFormat="false" ht="14.25" hidden="false" customHeight="false" outlineLevel="0" collapsed="false">
      <c r="C413" s="28"/>
    </row>
    <row r="414" customFormat="false" ht="14.25" hidden="false" customHeight="false" outlineLevel="0" collapsed="false">
      <c r="C414" s="28"/>
    </row>
    <row r="415" customFormat="false" ht="14.25" hidden="false" customHeight="false" outlineLevel="0" collapsed="false">
      <c r="C415" s="28"/>
    </row>
    <row r="416" customFormat="false" ht="14.25" hidden="false" customHeight="false" outlineLevel="0" collapsed="false">
      <c r="C416" s="28"/>
    </row>
    <row r="417" customFormat="false" ht="14.25" hidden="false" customHeight="false" outlineLevel="0" collapsed="false">
      <c r="C417" s="28"/>
    </row>
    <row r="418" customFormat="false" ht="14.25" hidden="false" customHeight="false" outlineLevel="0" collapsed="false">
      <c r="C418" s="28"/>
    </row>
    <row r="419" customFormat="false" ht="14.25" hidden="false" customHeight="false" outlineLevel="0" collapsed="false">
      <c r="C419" s="28"/>
    </row>
    <row r="420" customFormat="false" ht="14.25" hidden="false" customHeight="false" outlineLevel="0" collapsed="false">
      <c r="C420" s="28"/>
    </row>
    <row r="421" customFormat="false" ht="14.25" hidden="false" customHeight="false" outlineLevel="0" collapsed="false">
      <c r="C421" s="28"/>
    </row>
    <row r="422" customFormat="false" ht="14.25" hidden="false" customHeight="false" outlineLevel="0" collapsed="false">
      <c r="C422" s="28"/>
    </row>
    <row r="423" customFormat="false" ht="14.25" hidden="false" customHeight="false" outlineLevel="0" collapsed="false">
      <c r="C423" s="28"/>
    </row>
    <row r="424" customFormat="false" ht="14.25" hidden="false" customHeight="false" outlineLevel="0" collapsed="false">
      <c r="C424" s="28"/>
    </row>
    <row r="425" customFormat="false" ht="14.25" hidden="false" customHeight="false" outlineLevel="0" collapsed="false">
      <c r="C425" s="28"/>
    </row>
    <row r="426" customFormat="false" ht="14.25" hidden="false" customHeight="false" outlineLevel="0" collapsed="false">
      <c r="C426" s="28"/>
    </row>
    <row r="427" customFormat="false" ht="14.25" hidden="false" customHeight="false" outlineLevel="0" collapsed="false">
      <c r="C427" s="28"/>
    </row>
    <row r="428" customFormat="false" ht="14.25" hidden="false" customHeight="false" outlineLevel="0" collapsed="false">
      <c r="C428" s="28"/>
    </row>
    <row r="429" customFormat="false" ht="14.25" hidden="false" customHeight="false" outlineLevel="0" collapsed="false">
      <c r="C429" s="28"/>
    </row>
    <row r="430" customFormat="false" ht="14.25" hidden="false" customHeight="false" outlineLevel="0" collapsed="false">
      <c r="C430" s="28"/>
    </row>
    <row r="431" customFormat="false" ht="14.25" hidden="false" customHeight="false" outlineLevel="0" collapsed="false">
      <c r="C431" s="28"/>
    </row>
    <row r="432" customFormat="false" ht="14.25" hidden="false" customHeight="false" outlineLevel="0" collapsed="false">
      <c r="C432" s="28"/>
    </row>
    <row r="433" customFormat="false" ht="14.25" hidden="false" customHeight="false" outlineLevel="0" collapsed="false">
      <c r="C433" s="28"/>
    </row>
    <row r="434" customFormat="false" ht="14.25" hidden="false" customHeight="false" outlineLevel="0" collapsed="false">
      <c r="C434" s="28"/>
    </row>
    <row r="435" customFormat="false" ht="14.25" hidden="false" customHeight="false" outlineLevel="0" collapsed="false">
      <c r="C435" s="28"/>
    </row>
    <row r="436" customFormat="false" ht="14.25" hidden="false" customHeight="false" outlineLevel="0" collapsed="false">
      <c r="C436" s="28"/>
    </row>
    <row r="437" customFormat="false" ht="14.25" hidden="false" customHeight="false" outlineLevel="0" collapsed="false">
      <c r="C437" s="28"/>
    </row>
    <row r="438" customFormat="false" ht="14.25" hidden="false" customHeight="false" outlineLevel="0" collapsed="false">
      <c r="C438" s="28"/>
    </row>
    <row r="439" customFormat="false" ht="14.25" hidden="false" customHeight="false" outlineLevel="0" collapsed="false">
      <c r="C439" s="28"/>
    </row>
    <row r="440" customFormat="false" ht="14.25" hidden="false" customHeight="false" outlineLevel="0" collapsed="false">
      <c r="C440" s="28"/>
    </row>
    <row r="441" customFormat="false" ht="14.25" hidden="false" customHeight="false" outlineLevel="0" collapsed="false">
      <c r="C441" s="28"/>
    </row>
    <row r="442" customFormat="false" ht="14.25" hidden="false" customHeight="false" outlineLevel="0" collapsed="false">
      <c r="C442" s="28"/>
    </row>
    <row r="443" customFormat="false" ht="14.25" hidden="false" customHeight="false" outlineLevel="0" collapsed="false">
      <c r="C443" s="28"/>
    </row>
    <row r="444" customFormat="false" ht="14.25" hidden="false" customHeight="false" outlineLevel="0" collapsed="false">
      <c r="C444" s="28"/>
    </row>
    <row r="445" customFormat="false" ht="14.25" hidden="false" customHeight="false" outlineLevel="0" collapsed="false">
      <c r="C445" s="28"/>
    </row>
    <row r="446" customFormat="false" ht="14.25" hidden="false" customHeight="false" outlineLevel="0" collapsed="false">
      <c r="C446" s="28"/>
    </row>
    <row r="447" customFormat="false" ht="14.25" hidden="false" customHeight="false" outlineLevel="0" collapsed="false">
      <c r="C447" s="28"/>
    </row>
    <row r="448" customFormat="false" ht="14.25" hidden="false" customHeight="false" outlineLevel="0" collapsed="false">
      <c r="C448" s="28"/>
    </row>
    <row r="449" customFormat="false" ht="14.25" hidden="false" customHeight="false" outlineLevel="0" collapsed="false">
      <c r="C449" s="28"/>
    </row>
    <row r="450" customFormat="false" ht="14.25" hidden="false" customHeight="false" outlineLevel="0" collapsed="false">
      <c r="C450" s="28"/>
    </row>
    <row r="451" customFormat="false" ht="14.25" hidden="false" customHeight="false" outlineLevel="0" collapsed="false">
      <c r="C451" s="28"/>
    </row>
    <row r="452" customFormat="false" ht="14.25" hidden="false" customHeight="false" outlineLevel="0" collapsed="false">
      <c r="C452" s="28"/>
    </row>
    <row r="453" customFormat="false" ht="14.25" hidden="false" customHeight="false" outlineLevel="0" collapsed="false">
      <c r="C453" s="28"/>
    </row>
    <row r="454" customFormat="false" ht="14.25" hidden="false" customHeight="false" outlineLevel="0" collapsed="false">
      <c r="C454" s="28"/>
    </row>
    <row r="455" customFormat="false" ht="14.25" hidden="false" customHeight="false" outlineLevel="0" collapsed="false">
      <c r="C455" s="28"/>
    </row>
    <row r="456" customFormat="false" ht="14.25" hidden="false" customHeight="false" outlineLevel="0" collapsed="false">
      <c r="C456" s="28"/>
    </row>
    <row r="457" customFormat="false" ht="14.25" hidden="false" customHeight="false" outlineLevel="0" collapsed="false">
      <c r="C457" s="28"/>
    </row>
    <row r="458" customFormat="false" ht="14.25" hidden="false" customHeight="false" outlineLevel="0" collapsed="false">
      <c r="C458" s="28"/>
    </row>
    <row r="459" customFormat="false" ht="14.25" hidden="false" customHeight="false" outlineLevel="0" collapsed="false">
      <c r="C459" s="28"/>
    </row>
    <row r="460" customFormat="false" ht="14.25" hidden="false" customHeight="false" outlineLevel="0" collapsed="false">
      <c r="C460" s="28"/>
    </row>
    <row r="461" customFormat="false" ht="14.25" hidden="false" customHeight="false" outlineLevel="0" collapsed="false">
      <c r="C461" s="28"/>
    </row>
    <row r="462" customFormat="false" ht="14.25" hidden="false" customHeight="false" outlineLevel="0" collapsed="false">
      <c r="C462" s="28"/>
    </row>
    <row r="463" customFormat="false" ht="14.25" hidden="false" customHeight="false" outlineLevel="0" collapsed="false">
      <c r="C463" s="28"/>
    </row>
    <row r="464" customFormat="false" ht="14.25" hidden="false" customHeight="false" outlineLevel="0" collapsed="false">
      <c r="C464" s="28"/>
    </row>
    <row r="465" customFormat="false" ht="14.25" hidden="false" customHeight="false" outlineLevel="0" collapsed="false">
      <c r="C465" s="28"/>
    </row>
    <row r="466" customFormat="false" ht="14.25" hidden="false" customHeight="false" outlineLevel="0" collapsed="false">
      <c r="C466" s="28"/>
    </row>
    <row r="467" customFormat="false" ht="14.25" hidden="false" customHeight="false" outlineLevel="0" collapsed="false">
      <c r="C467" s="28"/>
    </row>
    <row r="468" customFormat="false" ht="14.25" hidden="false" customHeight="false" outlineLevel="0" collapsed="false">
      <c r="C468" s="28"/>
    </row>
    <row r="469" customFormat="false" ht="14.25" hidden="false" customHeight="false" outlineLevel="0" collapsed="false">
      <c r="C469" s="28"/>
    </row>
    <row r="470" customFormat="false" ht="14.25" hidden="false" customHeight="false" outlineLevel="0" collapsed="false">
      <c r="C470" s="28"/>
    </row>
    <row r="471" customFormat="false" ht="14.25" hidden="false" customHeight="false" outlineLevel="0" collapsed="false">
      <c r="C471" s="28"/>
    </row>
    <row r="472" customFormat="false" ht="14.25" hidden="false" customHeight="false" outlineLevel="0" collapsed="false">
      <c r="C472" s="28"/>
    </row>
    <row r="473" customFormat="false" ht="14.25" hidden="false" customHeight="false" outlineLevel="0" collapsed="false">
      <c r="C473" s="28"/>
    </row>
    <row r="474" customFormat="false" ht="14.25" hidden="false" customHeight="false" outlineLevel="0" collapsed="false">
      <c r="C474" s="28"/>
    </row>
    <row r="475" customFormat="false" ht="14.25" hidden="false" customHeight="false" outlineLevel="0" collapsed="false">
      <c r="C475" s="28"/>
    </row>
    <row r="476" customFormat="false" ht="14.25" hidden="false" customHeight="false" outlineLevel="0" collapsed="false">
      <c r="C476" s="28"/>
    </row>
    <row r="477" customFormat="false" ht="14.25" hidden="false" customHeight="false" outlineLevel="0" collapsed="false">
      <c r="C477" s="28"/>
    </row>
    <row r="478" customFormat="false" ht="14.25" hidden="false" customHeight="false" outlineLevel="0" collapsed="false">
      <c r="C478" s="28"/>
    </row>
    <row r="479" customFormat="false" ht="14.25" hidden="false" customHeight="false" outlineLevel="0" collapsed="false">
      <c r="C479" s="28"/>
    </row>
    <row r="480" customFormat="false" ht="14.25" hidden="false" customHeight="false" outlineLevel="0" collapsed="false">
      <c r="C480" s="28"/>
    </row>
    <row r="481" customFormat="false" ht="14.25" hidden="false" customHeight="false" outlineLevel="0" collapsed="false">
      <c r="C481" s="28"/>
    </row>
    <row r="482" customFormat="false" ht="14.25" hidden="false" customHeight="false" outlineLevel="0" collapsed="false">
      <c r="C482" s="28"/>
    </row>
    <row r="483" customFormat="false" ht="14.25" hidden="false" customHeight="false" outlineLevel="0" collapsed="false">
      <c r="C483" s="28"/>
    </row>
    <row r="484" customFormat="false" ht="14.25" hidden="false" customHeight="false" outlineLevel="0" collapsed="false">
      <c r="C484" s="28"/>
    </row>
  </sheetData>
  <mergeCells count="7">
    <mergeCell ref="G4:I4"/>
    <mergeCell ref="G5:I5"/>
    <mergeCell ref="G6:I6"/>
    <mergeCell ref="H7:I7"/>
    <mergeCell ref="B23:B38"/>
    <mergeCell ref="J42:L43"/>
    <mergeCell ref="J44:N4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V92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C36" activeCellId="1" sqref="D19:D20 C36"/>
    </sheetView>
  </sheetViews>
  <sheetFormatPr defaultColWidth="12.5625" defaultRowHeight="14.25" zeroHeight="false" outlineLevelRow="0" outlineLevelCol="0"/>
  <cols>
    <col collapsed="false" customWidth="true" hidden="false" outlineLevel="0" max="2" min="2" style="1" width="23.44"/>
    <col collapsed="false" customWidth="true" hidden="false" outlineLevel="0" max="14" min="4" style="1" width="9.88"/>
  </cols>
  <sheetData>
    <row r="2" customFormat="false" ht="14.25" hidden="false" customHeight="false" outlineLevel="0" collapsed="false">
      <c r="A2" s="81" t="s">
        <v>110</v>
      </c>
    </row>
    <row r="4" customFormat="false" ht="14.25" hidden="false" customHeight="false" outlineLevel="0" collapsed="false">
      <c r="A4" s="81" t="s">
        <v>46</v>
      </c>
      <c r="B4" s="81" t="s">
        <v>111</v>
      </c>
      <c r="D4" s="82"/>
    </row>
    <row r="5" customFormat="false" ht="14.25" hidden="false" customHeight="false" outlineLevel="0" collapsed="false">
      <c r="A5" s="81" t="s">
        <v>112</v>
      </c>
      <c r="B5" s="81" t="s">
        <v>113</v>
      </c>
      <c r="D5" s="82"/>
    </row>
    <row r="6" customFormat="false" ht="14.25" hidden="false" customHeight="false" outlineLevel="0" collapsed="false">
      <c r="A6" s="83" t="n">
        <v>45055</v>
      </c>
      <c r="B6" s="81" t="s">
        <v>114</v>
      </c>
      <c r="D6" s="82"/>
    </row>
    <row r="7" customFormat="false" ht="14.25" hidden="false" customHeight="false" outlineLevel="0" collapsed="false">
      <c r="A7" s="83" t="n">
        <v>45066</v>
      </c>
      <c r="B7" s="84" t="s">
        <v>115</v>
      </c>
      <c r="D7" s="82"/>
    </row>
    <row r="8" customFormat="false" ht="14.25" hidden="false" customHeight="false" outlineLevel="0" collapsed="false">
      <c r="A8" s="83" t="n">
        <v>45069</v>
      </c>
      <c r="B8" s="81" t="s">
        <v>116</v>
      </c>
      <c r="D8" s="82"/>
    </row>
    <row r="9" customFormat="false" ht="14.25" hidden="false" customHeight="false" outlineLevel="0" collapsed="false">
      <c r="A9" s="83" t="n">
        <v>45078</v>
      </c>
      <c r="B9" s="81" t="s">
        <v>117</v>
      </c>
      <c r="D9" s="82"/>
    </row>
    <row r="10" customFormat="false" ht="14.25" hidden="false" customHeight="false" outlineLevel="0" collapsed="false">
      <c r="B10" s="81" t="s">
        <v>118</v>
      </c>
      <c r="D10" s="82"/>
    </row>
    <row r="11" customFormat="false" ht="14.25" hidden="false" customHeight="false" outlineLevel="0" collapsed="false">
      <c r="B11" s="81" t="s">
        <v>119</v>
      </c>
      <c r="D11" s="82"/>
    </row>
    <row r="12" customFormat="false" ht="14.25" hidden="false" customHeight="false" outlineLevel="0" collapsed="false">
      <c r="D12" s="82"/>
    </row>
    <row r="13" customFormat="false" ht="14.25" hidden="false" customHeight="false" outlineLevel="0" collapsed="false">
      <c r="D13" s="82"/>
    </row>
    <row r="16" customFormat="false" ht="14.25" hidden="false" customHeight="false" outlineLevel="0" collapsed="false">
      <c r="C16" s="81" t="s">
        <v>120</v>
      </c>
    </row>
    <row r="18" customFormat="false" ht="14.25" hidden="false" customHeight="false" outlineLevel="0" collapsed="false">
      <c r="C18" s="85" t="s">
        <v>121</v>
      </c>
      <c r="D18" s="85"/>
      <c r="E18" s="85"/>
      <c r="F18" s="85"/>
      <c r="G18" s="85"/>
      <c r="H18" s="86"/>
      <c r="I18" s="86"/>
      <c r="J18" s="86"/>
      <c r="K18" s="86"/>
      <c r="L18" s="86"/>
      <c r="M18" s="86"/>
      <c r="N18" s="86"/>
    </row>
    <row r="19" customFormat="false" ht="14.25" hidden="false" customHeight="false" outlineLevel="0" collapsed="false">
      <c r="C19" s="85"/>
      <c r="D19" s="85"/>
      <c r="E19" s="85"/>
      <c r="F19" s="85"/>
      <c r="G19" s="86"/>
      <c r="H19" s="86"/>
      <c r="I19" s="86"/>
      <c r="J19" s="86"/>
      <c r="K19" s="86"/>
      <c r="L19" s="86"/>
      <c r="M19" s="86"/>
      <c r="N19" s="86"/>
    </row>
    <row r="20" customFormat="false" ht="14.25" hidden="false" customHeight="false" outlineLevel="0" collapsed="false">
      <c r="C20" s="87"/>
      <c r="D20" s="87"/>
      <c r="E20" s="87"/>
      <c r="F20" s="88" t="s">
        <v>122</v>
      </c>
      <c r="G20" s="87"/>
      <c r="H20" s="87"/>
      <c r="I20" s="87"/>
      <c r="J20" s="87"/>
      <c r="K20" s="87"/>
      <c r="L20" s="87"/>
      <c r="M20" s="86"/>
      <c r="N20" s="86"/>
    </row>
    <row r="21" customFormat="false" ht="15.75" hidden="false" customHeight="true" outlineLevel="0" collapsed="false">
      <c r="C21" s="87"/>
      <c r="D21" s="89" t="n">
        <v>45055</v>
      </c>
      <c r="E21" s="90" t="n">
        <v>45056</v>
      </c>
      <c r="F21" s="91" t="n">
        <v>45057</v>
      </c>
      <c r="G21" s="90" t="n">
        <v>45058</v>
      </c>
      <c r="H21" s="90" t="n">
        <v>45059</v>
      </c>
      <c r="I21" s="90" t="n">
        <v>45060</v>
      </c>
      <c r="J21" s="90" t="n">
        <v>45061</v>
      </c>
      <c r="K21" s="90" t="n">
        <v>45062</v>
      </c>
      <c r="L21" s="90" t="n">
        <v>45063</v>
      </c>
      <c r="M21" s="90" t="n">
        <v>45064</v>
      </c>
      <c r="N21" s="90" t="n">
        <v>45065</v>
      </c>
      <c r="O21" s="90" t="n">
        <v>45066</v>
      </c>
      <c r="P21" s="90" t="n">
        <v>45067</v>
      </c>
      <c r="Q21" s="90" t="n">
        <v>45068</v>
      </c>
      <c r="R21" s="90" t="n">
        <v>45069</v>
      </c>
      <c r="S21" s="90" t="n">
        <v>45070</v>
      </c>
      <c r="T21" s="90" t="n">
        <v>45071</v>
      </c>
      <c r="U21" s="90" t="n">
        <v>45072</v>
      </c>
    </row>
    <row r="22" customFormat="false" ht="14.25" hidden="false" customHeight="true" outlineLevel="0" collapsed="false">
      <c r="C22" s="92" t="s">
        <v>123</v>
      </c>
      <c r="D22" s="93" t="s">
        <v>64</v>
      </c>
      <c r="E22" s="94" t="s">
        <v>65</v>
      </c>
      <c r="F22" s="94" t="s">
        <v>49</v>
      </c>
      <c r="G22" s="93" t="s">
        <v>76</v>
      </c>
      <c r="H22" s="93" t="s">
        <v>59</v>
      </c>
      <c r="I22" s="93" t="s">
        <v>74</v>
      </c>
      <c r="J22" s="93" t="s">
        <v>65</v>
      </c>
      <c r="K22" s="93" t="s">
        <v>59</v>
      </c>
      <c r="L22" s="93" t="s">
        <v>64</v>
      </c>
      <c r="M22" s="93" t="s">
        <v>74</v>
      </c>
      <c r="N22" s="93" t="s">
        <v>65</v>
      </c>
      <c r="O22" s="93" t="s">
        <v>76</v>
      </c>
      <c r="P22" s="93" t="s">
        <v>53</v>
      </c>
      <c r="Q22" s="93" t="s">
        <v>74</v>
      </c>
      <c r="R22" s="93" t="s">
        <v>76</v>
      </c>
      <c r="S22" s="93" t="s">
        <v>76</v>
      </c>
      <c r="T22" s="93" t="s">
        <v>76</v>
      </c>
      <c r="U22" s="93" t="s">
        <v>76</v>
      </c>
      <c r="V22" s="95" t="s">
        <v>124</v>
      </c>
    </row>
    <row r="23" customFormat="false" ht="14.25" hidden="false" customHeight="false" outlineLevel="0" collapsed="false">
      <c r="C23" s="92"/>
      <c r="D23" s="93" t="s">
        <v>76</v>
      </c>
      <c r="E23" s="94" t="s">
        <v>53</v>
      </c>
      <c r="F23" s="93" t="s">
        <v>74</v>
      </c>
      <c r="G23" s="93" t="s">
        <v>65</v>
      </c>
      <c r="H23" s="93" t="s">
        <v>64</v>
      </c>
      <c r="I23" s="93" t="s">
        <v>49</v>
      </c>
      <c r="J23" s="93" t="s">
        <v>53</v>
      </c>
      <c r="K23" s="93" t="s">
        <v>76</v>
      </c>
      <c r="L23" s="93" t="s">
        <v>53</v>
      </c>
      <c r="M23" s="93" t="s">
        <v>59</v>
      </c>
      <c r="N23" s="93" t="s">
        <v>49</v>
      </c>
      <c r="O23" s="93" t="s">
        <v>64</v>
      </c>
      <c r="P23" s="93" t="s">
        <v>76</v>
      </c>
      <c r="Q23" s="93" t="s">
        <v>59</v>
      </c>
      <c r="R23" s="93" t="s">
        <v>64</v>
      </c>
      <c r="S23" s="93" t="s">
        <v>64</v>
      </c>
      <c r="T23" s="93" t="s">
        <v>64</v>
      </c>
      <c r="U23" s="93" t="s">
        <v>74</v>
      </c>
      <c r="V23" s="95" t="s">
        <v>125</v>
      </c>
    </row>
    <row r="24" customFormat="false" ht="14.25" hidden="false" customHeight="true" outlineLevel="0" collapsed="false">
      <c r="C24" s="96" t="s">
        <v>126</v>
      </c>
      <c r="D24" s="97" t="s">
        <v>65</v>
      </c>
      <c r="E24" s="97" t="s">
        <v>64</v>
      </c>
      <c r="F24" s="98" t="s">
        <v>53</v>
      </c>
      <c r="G24" s="97" t="s">
        <v>53</v>
      </c>
      <c r="H24" s="97" t="s">
        <v>76</v>
      </c>
      <c r="I24" s="97" t="s">
        <v>59</v>
      </c>
      <c r="J24" s="97" t="s">
        <v>74</v>
      </c>
      <c r="K24" s="97" t="s">
        <v>65</v>
      </c>
      <c r="L24" s="97" t="s">
        <v>65</v>
      </c>
      <c r="M24" s="97" t="s">
        <v>76</v>
      </c>
      <c r="N24" s="97" t="s">
        <v>74</v>
      </c>
      <c r="O24" s="97" t="s">
        <v>53</v>
      </c>
      <c r="P24" s="97" t="s">
        <v>74</v>
      </c>
      <c r="Q24" s="97" t="s">
        <v>76</v>
      </c>
      <c r="R24" s="97" t="s">
        <v>74</v>
      </c>
      <c r="S24" s="97" t="s">
        <v>74</v>
      </c>
      <c r="T24" s="97" t="s">
        <v>74</v>
      </c>
      <c r="U24" s="97" t="s">
        <v>59</v>
      </c>
      <c r="V24" s="95" t="s">
        <v>127</v>
      </c>
    </row>
    <row r="25" customFormat="false" ht="14.25" hidden="false" customHeight="false" outlineLevel="0" collapsed="false">
      <c r="C25" s="96"/>
      <c r="D25" s="97" t="s">
        <v>53</v>
      </c>
      <c r="E25" s="97" t="s">
        <v>76</v>
      </c>
      <c r="F25" s="97" t="s">
        <v>59</v>
      </c>
      <c r="G25" s="97" t="s">
        <v>74</v>
      </c>
      <c r="H25" s="97" t="s">
        <v>65</v>
      </c>
      <c r="I25" s="97" t="s">
        <v>64</v>
      </c>
      <c r="J25" s="97" t="s">
        <v>49</v>
      </c>
      <c r="K25" s="97" t="s">
        <v>53</v>
      </c>
      <c r="L25" s="97" t="s">
        <v>49</v>
      </c>
      <c r="M25" s="97" t="s">
        <v>64</v>
      </c>
      <c r="N25" s="97" t="s">
        <v>59</v>
      </c>
      <c r="O25" s="97" t="s">
        <v>65</v>
      </c>
      <c r="P25" s="97" t="s">
        <v>59</v>
      </c>
      <c r="Q25" s="97" t="s">
        <v>64</v>
      </c>
      <c r="R25" s="97" t="s">
        <v>59</v>
      </c>
      <c r="S25" s="97" t="s">
        <v>59</v>
      </c>
      <c r="T25" s="97" t="s">
        <v>59</v>
      </c>
      <c r="U25" s="97" t="s">
        <v>53</v>
      </c>
      <c r="V25" s="99" t="n">
        <v>45076</v>
      </c>
    </row>
    <row r="26" customFormat="false" ht="14.25" hidden="false" customHeight="false" outlineLevel="0" collapsed="false">
      <c r="C26" s="96"/>
      <c r="D26" s="97" t="s">
        <v>74</v>
      </c>
      <c r="E26" s="98" t="s">
        <v>59</v>
      </c>
      <c r="F26" s="97" t="s">
        <v>64</v>
      </c>
      <c r="G26" s="97" t="s">
        <v>49</v>
      </c>
      <c r="H26" s="97" t="s">
        <v>53</v>
      </c>
      <c r="I26" s="97" t="s">
        <v>76</v>
      </c>
      <c r="J26" s="97" t="s">
        <v>59</v>
      </c>
      <c r="K26" s="97" t="s">
        <v>74</v>
      </c>
      <c r="L26" s="97" t="s">
        <v>74</v>
      </c>
      <c r="M26" s="97" t="s">
        <v>53</v>
      </c>
      <c r="N26" s="97" t="s">
        <v>76</v>
      </c>
      <c r="O26" s="97" t="s">
        <v>49</v>
      </c>
      <c r="P26" s="97" t="s">
        <v>64</v>
      </c>
      <c r="Q26" s="97" t="s">
        <v>53</v>
      </c>
      <c r="R26" s="97" t="s">
        <v>53</v>
      </c>
      <c r="S26" s="97" t="s">
        <v>53</v>
      </c>
      <c r="T26" s="97" t="s">
        <v>53</v>
      </c>
      <c r="U26" s="97" t="s">
        <v>49</v>
      </c>
      <c r="V26" s="95"/>
    </row>
    <row r="27" customFormat="false" ht="14.25" hidden="false" customHeight="false" outlineLevel="0" collapsed="false">
      <c r="C27" s="96"/>
      <c r="D27" s="97" t="s">
        <v>49</v>
      </c>
      <c r="E27" s="98" t="s">
        <v>49</v>
      </c>
      <c r="F27" s="97" t="s">
        <v>76</v>
      </c>
      <c r="G27" s="97" t="s">
        <v>59</v>
      </c>
      <c r="H27" s="97" t="s">
        <v>74</v>
      </c>
      <c r="I27" s="97" t="s">
        <v>65</v>
      </c>
      <c r="J27" s="97" t="s">
        <v>64</v>
      </c>
      <c r="K27" s="97" t="s">
        <v>49</v>
      </c>
      <c r="L27" s="97" t="s">
        <v>59</v>
      </c>
      <c r="M27" s="97" t="s">
        <v>65</v>
      </c>
      <c r="N27" s="97" t="s">
        <v>64</v>
      </c>
      <c r="O27" s="97" t="s">
        <v>74</v>
      </c>
      <c r="P27" s="97" t="s">
        <v>65</v>
      </c>
      <c r="Q27" s="97" t="s">
        <v>49</v>
      </c>
      <c r="R27" s="97" t="s">
        <v>49</v>
      </c>
      <c r="S27" s="97" t="s">
        <v>49</v>
      </c>
      <c r="T27" s="97" t="s">
        <v>49</v>
      </c>
      <c r="U27" s="97" t="s">
        <v>65</v>
      </c>
      <c r="V27" s="95"/>
    </row>
    <row r="28" customFormat="false" ht="14.25" hidden="false" customHeight="false" outlineLevel="0" collapsed="false">
      <c r="C28" s="96"/>
      <c r="D28" s="97" t="s">
        <v>59</v>
      </c>
      <c r="E28" s="97" t="s">
        <v>74</v>
      </c>
      <c r="F28" s="97" t="s">
        <v>65</v>
      </c>
      <c r="G28" s="97" t="s">
        <v>64</v>
      </c>
      <c r="H28" s="97" t="s">
        <v>49</v>
      </c>
      <c r="I28" s="97" t="s">
        <v>53</v>
      </c>
      <c r="J28" s="97" t="s">
        <v>76</v>
      </c>
      <c r="K28" s="97" t="s">
        <v>64</v>
      </c>
      <c r="L28" s="97" t="s">
        <v>76</v>
      </c>
      <c r="M28" s="97" t="s">
        <v>49</v>
      </c>
      <c r="N28" s="97" t="s">
        <v>53</v>
      </c>
      <c r="O28" s="97" t="s">
        <v>59</v>
      </c>
      <c r="P28" s="97" t="s">
        <v>49</v>
      </c>
      <c r="Q28" s="97" t="s">
        <v>65</v>
      </c>
      <c r="R28" s="97" t="s">
        <v>65</v>
      </c>
      <c r="S28" s="97" t="s">
        <v>65</v>
      </c>
      <c r="T28" s="97" t="s">
        <v>65</v>
      </c>
      <c r="U28" s="97" t="s">
        <v>64</v>
      </c>
      <c r="V28" s="95"/>
    </row>
    <row r="29" customFormat="false" ht="14.25" hidden="false" customHeight="false" outlineLevel="0" collapsed="false"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</row>
    <row r="30" customFormat="false" ht="14.25" hidden="false" customHeight="false" outlineLevel="0" collapsed="false"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</row>
    <row r="31" customFormat="false" ht="14.25" hidden="false" customHeight="false" outlineLevel="0" collapsed="false"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</row>
    <row r="32" customFormat="false" ht="14.25" hidden="false" customHeight="false" outlineLevel="0" collapsed="false"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</row>
    <row r="33" customFormat="false" ht="14.25" hidden="false" customHeight="false" outlineLevel="0" collapsed="false"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</row>
    <row r="34" customFormat="false" ht="14.25" hidden="false" customHeight="false" outlineLevel="0" collapsed="false">
      <c r="C34" s="81" t="s">
        <v>128</v>
      </c>
    </row>
    <row r="35" customFormat="false" ht="14.25" hidden="false" customHeight="false" outlineLevel="0" collapsed="false">
      <c r="C35" s="86"/>
      <c r="D35" s="86"/>
      <c r="E35" s="86"/>
      <c r="F35" s="86"/>
      <c r="G35" s="86"/>
      <c r="H35" s="100" t="s">
        <v>129</v>
      </c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</row>
    <row r="36" customFormat="false" ht="14.25" hidden="false" customHeight="false" outlineLevel="0" collapsed="false">
      <c r="C36" s="8" t="s">
        <v>43</v>
      </c>
      <c r="D36" s="101" t="s">
        <v>45</v>
      </c>
      <c r="E36" s="101" t="s">
        <v>46</v>
      </c>
      <c r="F36" s="101" t="s">
        <v>130</v>
      </c>
      <c r="G36" s="102"/>
      <c r="H36" s="102" t="s">
        <v>46</v>
      </c>
      <c r="I36" s="102" t="s">
        <v>131</v>
      </c>
      <c r="J36" s="102" t="s">
        <v>46</v>
      </c>
      <c r="K36" s="102" t="s">
        <v>131</v>
      </c>
      <c r="L36" s="102" t="s">
        <v>46</v>
      </c>
      <c r="M36" s="102" t="s">
        <v>131</v>
      </c>
      <c r="N36" s="102" t="s">
        <v>46</v>
      </c>
      <c r="O36" s="102" t="s">
        <v>131</v>
      </c>
      <c r="P36" s="102" t="s">
        <v>46</v>
      </c>
      <c r="Q36" s="102" t="s">
        <v>131</v>
      </c>
      <c r="R36" s="102" t="s">
        <v>46</v>
      </c>
      <c r="S36" s="102" t="s">
        <v>131</v>
      </c>
    </row>
    <row r="37" customFormat="false" ht="14.25" hidden="false" customHeight="false" outlineLevel="0" collapsed="false">
      <c r="C37" s="11" t="n">
        <v>11358</v>
      </c>
      <c r="D37" s="103" t="s">
        <v>49</v>
      </c>
      <c r="E37" s="104" t="n">
        <v>45055</v>
      </c>
      <c r="F37" s="105" t="n">
        <v>17</v>
      </c>
      <c r="G37" s="103"/>
      <c r="H37" s="103"/>
      <c r="I37" s="103"/>
      <c r="J37" s="106" t="n">
        <v>45059</v>
      </c>
      <c r="K37" s="107" t="n">
        <v>11</v>
      </c>
      <c r="L37" s="108" t="n">
        <v>45062</v>
      </c>
      <c r="M37" s="103" t="n">
        <v>17</v>
      </c>
      <c r="N37" s="103"/>
      <c r="O37" s="103"/>
      <c r="P37" s="103"/>
      <c r="Q37" s="103"/>
      <c r="R37" s="103"/>
      <c r="S37" s="103"/>
    </row>
    <row r="38" customFormat="false" ht="14.25" hidden="false" customHeight="false" outlineLevel="0" collapsed="false">
      <c r="C38" s="11" t="n">
        <v>2322</v>
      </c>
      <c r="D38" s="103" t="s">
        <v>53</v>
      </c>
      <c r="E38" s="104" t="n">
        <v>45055</v>
      </c>
      <c r="F38" s="105" t="n">
        <v>10</v>
      </c>
      <c r="G38" s="103"/>
      <c r="H38" s="103"/>
      <c r="I38" s="103"/>
      <c r="J38" s="106" t="n">
        <v>45059</v>
      </c>
      <c r="K38" s="107" t="s">
        <v>62</v>
      </c>
      <c r="L38" s="108" t="n">
        <v>45063</v>
      </c>
      <c r="M38" s="103" t="n">
        <v>29</v>
      </c>
      <c r="N38" s="103"/>
      <c r="O38" s="103"/>
      <c r="P38" s="103"/>
      <c r="Q38" s="103"/>
      <c r="R38" s="106" t="n">
        <v>45070</v>
      </c>
      <c r="S38" s="103" t="n">
        <v>16</v>
      </c>
    </row>
    <row r="39" customFormat="false" ht="14.25" hidden="false" customHeight="false" outlineLevel="0" collapsed="false">
      <c r="C39" s="15" t="n">
        <v>2568</v>
      </c>
      <c r="D39" s="103" t="s">
        <v>59</v>
      </c>
      <c r="E39" s="104" t="n">
        <v>45055</v>
      </c>
      <c r="F39" s="105" t="n">
        <v>12</v>
      </c>
      <c r="G39" s="103"/>
      <c r="H39" s="103"/>
      <c r="I39" s="103"/>
      <c r="J39" s="106" t="n">
        <v>45062</v>
      </c>
      <c r="K39" s="107" t="n">
        <v>16</v>
      </c>
      <c r="L39" s="107"/>
      <c r="M39" s="103"/>
      <c r="N39" s="103"/>
      <c r="O39" s="103"/>
      <c r="P39" s="103"/>
      <c r="Q39" s="103"/>
      <c r="R39" s="106" t="n">
        <v>45070</v>
      </c>
      <c r="S39" s="103" t="n">
        <v>14</v>
      </c>
    </row>
    <row r="40" customFormat="false" ht="14.25" hidden="false" customHeight="false" outlineLevel="0" collapsed="false">
      <c r="C40" s="11" t="n">
        <v>91601</v>
      </c>
      <c r="D40" s="103" t="s">
        <v>64</v>
      </c>
      <c r="E40" s="104" t="n">
        <v>45055</v>
      </c>
      <c r="F40" s="105" t="n">
        <v>16</v>
      </c>
      <c r="G40" s="103"/>
      <c r="H40" s="106" t="n">
        <v>45058</v>
      </c>
      <c r="I40" s="103" t="s">
        <v>70</v>
      </c>
      <c r="J40" s="106" t="n">
        <v>45063</v>
      </c>
      <c r="K40" s="107" t="n">
        <v>9</v>
      </c>
      <c r="L40" s="107"/>
      <c r="M40" s="103"/>
      <c r="N40" s="106" t="n">
        <v>45066</v>
      </c>
      <c r="O40" s="103" t="s">
        <v>132</v>
      </c>
      <c r="P40" s="106" t="n">
        <v>45069</v>
      </c>
      <c r="Q40" s="103" t="n">
        <v>26</v>
      </c>
      <c r="R40" s="106"/>
      <c r="S40" s="103"/>
    </row>
    <row r="41" customFormat="false" ht="14.25" hidden="false" customHeight="false" outlineLevel="0" collapsed="false">
      <c r="C41" s="18" t="n">
        <v>81179</v>
      </c>
      <c r="D41" s="109"/>
      <c r="E41" s="110" t="n">
        <v>45055</v>
      </c>
      <c r="F41" s="111" t="n">
        <v>11</v>
      </c>
      <c r="G41" s="112" t="s">
        <v>133</v>
      </c>
      <c r="H41" s="112"/>
      <c r="I41" s="109"/>
      <c r="J41" s="109"/>
      <c r="K41" s="107" t="s">
        <v>133</v>
      </c>
      <c r="L41" s="107"/>
      <c r="M41" s="103"/>
      <c r="N41" s="103"/>
      <c r="O41" s="103"/>
      <c r="P41" s="103"/>
      <c r="Q41" s="103"/>
      <c r="R41" s="103"/>
      <c r="S41" s="103"/>
    </row>
    <row r="42" customFormat="false" ht="14.25" hidden="false" customHeight="false" outlineLevel="0" collapsed="false">
      <c r="C42" s="11" t="n">
        <v>11490</v>
      </c>
      <c r="D42" s="103" t="s">
        <v>65</v>
      </c>
      <c r="E42" s="104" t="n">
        <v>45055</v>
      </c>
      <c r="F42" s="103" t="s">
        <v>134</v>
      </c>
      <c r="G42" s="103"/>
      <c r="H42" s="106" t="n">
        <v>45058</v>
      </c>
      <c r="I42" s="103" t="n">
        <v>29</v>
      </c>
      <c r="J42" s="106" t="n">
        <v>45062</v>
      </c>
      <c r="K42" s="107" t="n">
        <v>12</v>
      </c>
      <c r="L42" s="83" t="n">
        <v>45069</v>
      </c>
      <c r="M42" s="107" t="s">
        <v>135</v>
      </c>
      <c r="N42" s="103"/>
      <c r="O42" s="103"/>
      <c r="P42" s="103"/>
      <c r="Q42" s="103"/>
      <c r="R42" s="106" t="n">
        <v>45070</v>
      </c>
      <c r="S42" s="103" t="n">
        <v>12</v>
      </c>
    </row>
    <row r="43" customFormat="false" ht="14.25" hidden="false" customHeight="false" outlineLevel="0" collapsed="false">
      <c r="C43" s="11" t="n">
        <v>11171</v>
      </c>
      <c r="D43" s="103" t="s">
        <v>74</v>
      </c>
      <c r="E43" s="104" t="n">
        <v>45055</v>
      </c>
      <c r="F43" s="105" t="n">
        <v>13</v>
      </c>
      <c r="G43" s="103"/>
      <c r="H43" s="103"/>
      <c r="I43" s="103"/>
      <c r="J43" s="106" t="n">
        <v>45059</v>
      </c>
      <c r="K43" s="107" t="n">
        <v>16</v>
      </c>
      <c r="L43" s="108" t="n">
        <v>45063</v>
      </c>
      <c r="M43" s="103" t="n">
        <v>14</v>
      </c>
      <c r="N43" s="106" t="n">
        <v>45069</v>
      </c>
      <c r="O43" s="103" t="n">
        <v>27</v>
      </c>
      <c r="P43" s="103"/>
      <c r="Q43" s="103"/>
      <c r="R43" s="103"/>
      <c r="S43" s="103"/>
    </row>
    <row r="44" customFormat="false" ht="14.25" hidden="false" customHeight="false" outlineLevel="0" collapsed="false">
      <c r="C44" s="11" t="n">
        <v>2265</v>
      </c>
      <c r="D44" s="103" t="s">
        <v>76</v>
      </c>
      <c r="E44" s="104" t="n">
        <v>45055</v>
      </c>
      <c r="F44" s="103" t="n">
        <v>11</v>
      </c>
      <c r="G44" s="103"/>
      <c r="H44" s="113" t="n">
        <v>45058</v>
      </c>
      <c r="I44" s="103" t="n">
        <v>28</v>
      </c>
      <c r="J44" s="106" t="n">
        <v>45062</v>
      </c>
      <c r="K44" s="107" t="n">
        <v>13</v>
      </c>
      <c r="L44" s="107"/>
      <c r="M44" s="103"/>
      <c r="N44" s="103"/>
      <c r="O44" s="103"/>
      <c r="P44" s="103"/>
      <c r="Q44" s="103"/>
      <c r="R44" s="103"/>
      <c r="S44" s="103"/>
    </row>
    <row r="45" customFormat="false" ht="14.25" hidden="false" customHeight="false" outlineLevel="0" collapsed="false">
      <c r="C45" s="114"/>
      <c r="D45" s="114"/>
      <c r="E45" s="114"/>
      <c r="F45" s="114"/>
      <c r="G45" s="114"/>
      <c r="H45" s="114"/>
      <c r="I45" s="114"/>
      <c r="J45" s="114"/>
      <c r="K45" s="9"/>
      <c r="L45" s="9"/>
      <c r="M45" s="114"/>
      <c r="N45" s="114"/>
      <c r="O45" s="114"/>
      <c r="P45" s="114"/>
      <c r="Q45" s="114"/>
      <c r="R45" s="114"/>
      <c r="S45" s="114"/>
    </row>
    <row r="46" customFormat="false" ht="14.25" hidden="false" customHeight="false" outlineLevel="0" collapsed="false">
      <c r="C46" s="86"/>
      <c r="D46" s="86"/>
      <c r="E46" s="86"/>
      <c r="F46" s="86"/>
      <c r="G46" s="86"/>
      <c r="H46" s="86"/>
      <c r="I46" s="86"/>
      <c r="J46" s="86"/>
      <c r="K46" s="85"/>
      <c r="L46" s="85"/>
      <c r="M46" s="86"/>
      <c r="N46" s="86"/>
      <c r="O46" s="86"/>
      <c r="P46" s="86"/>
      <c r="Q46" s="86"/>
      <c r="R46" s="86"/>
      <c r="S46" s="86"/>
    </row>
    <row r="47" customFormat="false" ht="14.25" hidden="false" customHeight="false" outlineLevel="0" collapsed="false">
      <c r="C47" s="87"/>
      <c r="D47" s="89" t="n">
        <v>45076</v>
      </c>
      <c r="E47" s="89" t="n">
        <v>45077</v>
      </c>
      <c r="F47" s="89" t="n">
        <v>45078</v>
      </c>
      <c r="G47" s="89" t="n">
        <v>45079</v>
      </c>
      <c r="H47" s="89" t="n">
        <v>45080</v>
      </c>
      <c r="I47" s="89" t="n">
        <v>45081</v>
      </c>
      <c r="J47" s="89" t="n">
        <v>45082</v>
      </c>
      <c r="K47" s="89" t="n">
        <v>45083</v>
      </c>
      <c r="L47" s="89" t="n">
        <v>45084</v>
      </c>
      <c r="M47" s="89" t="n">
        <v>45085</v>
      </c>
      <c r="N47" s="89" t="n">
        <v>45086</v>
      </c>
      <c r="O47" s="89" t="n">
        <v>45087</v>
      </c>
      <c r="P47" s="89" t="n">
        <v>45088</v>
      </c>
      <c r="Q47" s="89" t="n">
        <v>45089</v>
      </c>
      <c r="R47" s="115"/>
      <c r="S47" s="115"/>
      <c r="T47" s="115"/>
      <c r="U47" s="115"/>
      <c r="V47" s="116"/>
    </row>
    <row r="48" customFormat="false" ht="14.25" hidden="false" customHeight="true" outlineLevel="0" collapsed="false">
      <c r="C48" s="92" t="s">
        <v>123</v>
      </c>
      <c r="D48" s="93" t="s">
        <v>64</v>
      </c>
      <c r="E48" s="93" t="s">
        <v>64</v>
      </c>
      <c r="F48" s="94" t="s">
        <v>49</v>
      </c>
      <c r="G48" s="93" t="s">
        <v>76</v>
      </c>
      <c r="H48" s="93" t="s">
        <v>76</v>
      </c>
      <c r="I48" s="93" t="s">
        <v>76</v>
      </c>
      <c r="J48" s="93" t="s">
        <v>76</v>
      </c>
      <c r="K48" s="93" t="s">
        <v>64</v>
      </c>
      <c r="L48" s="93" t="s">
        <v>64</v>
      </c>
      <c r="M48" s="93" t="s">
        <v>64</v>
      </c>
      <c r="N48" s="93" t="s">
        <v>64</v>
      </c>
      <c r="O48" s="93" t="s">
        <v>64</v>
      </c>
      <c r="P48" s="93" t="s">
        <v>64</v>
      </c>
      <c r="Q48" s="93" t="s">
        <v>64</v>
      </c>
      <c r="R48" s="117"/>
      <c r="S48" s="117"/>
      <c r="T48" s="117"/>
      <c r="U48" s="117"/>
      <c r="V48" s="118"/>
    </row>
    <row r="49" customFormat="false" ht="14.25" hidden="false" customHeight="false" outlineLevel="0" collapsed="false">
      <c r="C49" s="92"/>
      <c r="D49" s="93" t="s">
        <v>76</v>
      </c>
      <c r="E49" s="93" t="s">
        <v>76</v>
      </c>
      <c r="F49" s="93" t="s">
        <v>74</v>
      </c>
      <c r="G49" s="93" t="s">
        <v>65</v>
      </c>
      <c r="H49" s="93" t="s">
        <v>65</v>
      </c>
      <c r="I49" s="93" t="s">
        <v>65</v>
      </c>
      <c r="J49" s="93" t="s">
        <v>65</v>
      </c>
      <c r="K49" s="93" t="s">
        <v>53</v>
      </c>
      <c r="L49" s="93" t="s">
        <v>53</v>
      </c>
      <c r="M49" s="93" t="s">
        <v>53</v>
      </c>
      <c r="N49" s="93" t="s">
        <v>53</v>
      </c>
      <c r="O49" s="93" t="s">
        <v>53</v>
      </c>
      <c r="P49" s="93" t="s">
        <v>53</v>
      </c>
      <c r="Q49" s="93" t="s">
        <v>53</v>
      </c>
      <c r="R49" s="117"/>
      <c r="S49" s="117"/>
      <c r="T49" s="117"/>
      <c r="U49" s="117"/>
      <c r="V49" s="118"/>
    </row>
    <row r="50" customFormat="false" ht="14.25" hidden="false" customHeight="true" outlineLevel="0" collapsed="false">
      <c r="C50" s="96" t="s">
        <v>126</v>
      </c>
      <c r="D50" s="97" t="s">
        <v>65</v>
      </c>
      <c r="E50" s="97" t="s">
        <v>65</v>
      </c>
      <c r="F50" s="98" t="s">
        <v>53</v>
      </c>
      <c r="G50" s="97" t="s">
        <v>53</v>
      </c>
      <c r="H50" s="97" t="s">
        <v>53</v>
      </c>
      <c r="I50" s="97" t="s">
        <v>53</v>
      </c>
      <c r="J50" s="97" t="s">
        <v>53</v>
      </c>
      <c r="K50" s="97" t="s">
        <v>65</v>
      </c>
      <c r="L50" s="97" t="s">
        <v>65</v>
      </c>
      <c r="M50" s="97" t="s">
        <v>65</v>
      </c>
      <c r="N50" s="97" t="s">
        <v>65</v>
      </c>
      <c r="O50" s="97" t="s">
        <v>65</v>
      </c>
      <c r="P50" s="97" t="s">
        <v>65</v>
      </c>
      <c r="Q50" s="97" t="s">
        <v>65</v>
      </c>
      <c r="R50" s="117"/>
      <c r="S50" s="117"/>
      <c r="T50" s="117"/>
      <c r="U50" s="117"/>
      <c r="V50" s="118"/>
    </row>
    <row r="51" customFormat="false" ht="14.25" hidden="false" customHeight="false" outlineLevel="0" collapsed="false">
      <c r="C51" s="96"/>
      <c r="D51" s="97" t="s">
        <v>53</v>
      </c>
      <c r="E51" s="97" t="s">
        <v>53</v>
      </c>
      <c r="F51" s="97" t="s">
        <v>59</v>
      </c>
      <c r="G51" s="97" t="s">
        <v>74</v>
      </c>
      <c r="H51" s="97" t="s">
        <v>74</v>
      </c>
      <c r="I51" s="97" t="s">
        <v>74</v>
      </c>
      <c r="J51" s="97" t="s">
        <v>74</v>
      </c>
      <c r="K51" s="97" t="s">
        <v>49</v>
      </c>
      <c r="L51" s="97" t="s">
        <v>49</v>
      </c>
      <c r="M51" s="97" t="s">
        <v>49</v>
      </c>
      <c r="N51" s="97" t="s">
        <v>49</v>
      </c>
      <c r="O51" s="97" t="s">
        <v>49</v>
      </c>
      <c r="P51" s="97" t="s">
        <v>49</v>
      </c>
      <c r="Q51" s="97" t="s">
        <v>49</v>
      </c>
      <c r="R51" s="117"/>
      <c r="S51" s="117"/>
      <c r="T51" s="117"/>
      <c r="U51" s="117"/>
      <c r="V51" s="119"/>
    </row>
    <row r="52" customFormat="false" ht="14.25" hidden="false" customHeight="false" outlineLevel="0" collapsed="false">
      <c r="C52" s="96"/>
      <c r="D52" s="97" t="s">
        <v>74</v>
      </c>
      <c r="E52" s="97" t="s">
        <v>74</v>
      </c>
      <c r="F52" s="97" t="s">
        <v>64</v>
      </c>
      <c r="G52" s="97" t="s">
        <v>49</v>
      </c>
      <c r="H52" s="97" t="s">
        <v>49</v>
      </c>
      <c r="I52" s="97" t="s">
        <v>49</v>
      </c>
      <c r="J52" s="97" t="s">
        <v>49</v>
      </c>
      <c r="K52" s="97" t="s">
        <v>74</v>
      </c>
      <c r="L52" s="97" t="s">
        <v>74</v>
      </c>
      <c r="M52" s="97" t="s">
        <v>74</v>
      </c>
      <c r="N52" s="97" t="s">
        <v>74</v>
      </c>
      <c r="O52" s="97" t="s">
        <v>74</v>
      </c>
      <c r="P52" s="97" t="s">
        <v>74</v>
      </c>
      <c r="Q52" s="97" t="s">
        <v>74</v>
      </c>
      <c r="R52" s="117"/>
      <c r="S52" s="117"/>
      <c r="T52" s="117"/>
      <c r="U52" s="117"/>
      <c r="V52" s="118"/>
    </row>
    <row r="53" customFormat="false" ht="14.25" hidden="false" customHeight="false" outlineLevel="0" collapsed="false">
      <c r="C53" s="96"/>
      <c r="D53" s="97" t="s">
        <v>49</v>
      </c>
      <c r="E53" s="97" t="s">
        <v>49</v>
      </c>
      <c r="F53" s="97" t="s">
        <v>76</v>
      </c>
      <c r="G53" s="97" t="s">
        <v>59</v>
      </c>
      <c r="H53" s="97" t="s">
        <v>59</v>
      </c>
      <c r="I53" s="97" t="s">
        <v>59</v>
      </c>
      <c r="J53" s="97" t="s">
        <v>59</v>
      </c>
      <c r="K53" s="97" t="s">
        <v>59</v>
      </c>
      <c r="L53" s="97" t="s">
        <v>59</v>
      </c>
      <c r="M53" s="97" t="s">
        <v>59</v>
      </c>
      <c r="N53" s="97" t="s">
        <v>59</v>
      </c>
      <c r="O53" s="97" t="s">
        <v>59</v>
      </c>
      <c r="P53" s="97" t="s">
        <v>59</v>
      </c>
      <c r="Q53" s="97" t="s">
        <v>59</v>
      </c>
      <c r="R53" s="117"/>
      <c r="S53" s="117"/>
      <c r="T53" s="117"/>
      <c r="U53" s="117"/>
      <c r="V53" s="118"/>
    </row>
    <row r="54" customFormat="false" ht="14.25" hidden="false" customHeight="false" outlineLevel="0" collapsed="false">
      <c r="C54" s="96"/>
      <c r="D54" s="97" t="s">
        <v>59</v>
      </c>
      <c r="E54" s="97" t="s">
        <v>59</v>
      </c>
      <c r="F54" s="97" t="s">
        <v>65</v>
      </c>
      <c r="G54" s="97" t="s">
        <v>64</v>
      </c>
      <c r="H54" s="97" t="s">
        <v>64</v>
      </c>
      <c r="I54" s="97" t="s">
        <v>64</v>
      </c>
      <c r="J54" s="97" t="s">
        <v>64</v>
      </c>
      <c r="K54" s="97" t="s">
        <v>76</v>
      </c>
      <c r="L54" s="97" t="s">
        <v>76</v>
      </c>
      <c r="M54" s="97" t="s">
        <v>76</v>
      </c>
      <c r="N54" s="97" t="s">
        <v>76</v>
      </c>
      <c r="O54" s="97" t="s">
        <v>76</v>
      </c>
      <c r="P54" s="97" t="s">
        <v>76</v>
      </c>
      <c r="Q54" s="97" t="s">
        <v>76</v>
      </c>
      <c r="R54" s="117"/>
      <c r="S54" s="117"/>
      <c r="T54" s="117"/>
      <c r="U54" s="117"/>
      <c r="V54" s="118"/>
    </row>
    <row r="55" customFormat="false" ht="14.25" hidden="false" customHeight="false" outlineLevel="0" collapsed="false">
      <c r="F55" s="86"/>
      <c r="G55" s="86"/>
      <c r="H55" s="86"/>
      <c r="I55" s="86"/>
      <c r="J55" s="86"/>
      <c r="K55" s="85"/>
      <c r="L55" s="85"/>
      <c r="M55" s="86"/>
      <c r="N55" s="86"/>
      <c r="O55" s="86"/>
      <c r="P55" s="86"/>
      <c r="Q55" s="86"/>
      <c r="R55" s="86"/>
      <c r="S55" s="86"/>
    </row>
    <row r="56" customFormat="false" ht="14.25" hidden="false" customHeight="false" outlineLevel="0" collapsed="false">
      <c r="C56" s="8" t="s">
        <v>43</v>
      </c>
      <c r="D56" s="101" t="s">
        <v>45</v>
      </c>
      <c r="E56" s="101" t="s">
        <v>46</v>
      </c>
      <c r="F56" s="101" t="s">
        <v>130</v>
      </c>
      <c r="G56" s="102"/>
      <c r="H56" s="102" t="s">
        <v>46</v>
      </c>
      <c r="I56" s="102" t="s">
        <v>131</v>
      </c>
      <c r="J56" s="102" t="s">
        <v>46</v>
      </c>
      <c r="K56" s="102" t="s">
        <v>131</v>
      </c>
      <c r="L56" s="102" t="s">
        <v>46</v>
      </c>
      <c r="M56" s="102" t="s">
        <v>131</v>
      </c>
      <c r="N56" s="102" t="s">
        <v>46</v>
      </c>
      <c r="O56" s="102" t="s">
        <v>131</v>
      </c>
      <c r="P56" s="102" t="s">
        <v>46</v>
      </c>
      <c r="Q56" s="102" t="s">
        <v>131</v>
      </c>
      <c r="R56" s="102" t="s">
        <v>46</v>
      </c>
      <c r="S56" s="102" t="s">
        <v>131</v>
      </c>
    </row>
    <row r="57" customFormat="false" ht="14.25" hidden="false" customHeight="false" outlineLevel="0" collapsed="false">
      <c r="C57" s="15" t="n">
        <v>11358</v>
      </c>
      <c r="D57" s="103" t="s">
        <v>49</v>
      </c>
      <c r="E57" s="104" t="n">
        <v>45076</v>
      </c>
      <c r="F57" s="105" t="s">
        <v>62</v>
      </c>
      <c r="G57" s="103"/>
      <c r="H57" s="106" t="n">
        <v>45077</v>
      </c>
      <c r="I57" s="120"/>
      <c r="J57" s="106" t="n">
        <v>45079</v>
      </c>
      <c r="K57" s="107" t="n">
        <v>27</v>
      </c>
      <c r="L57" s="108" t="n">
        <v>45082</v>
      </c>
      <c r="M57" s="120"/>
      <c r="N57" s="106" t="n">
        <v>45084</v>
      </c>
      <c r="O57" s="103" t="s">
        <v>70</v>
      </c>
      <c r="P57" s="106" t="n">
        <v>45086</v>
      </c>
      <c r="Q57" s="120"/>
      <c r="R57" s="103"/>
      <c r="S57" s="103"/>
    </row>
    <row r="58" customFormat="false" ht="14.25" hidden="false" customHeight="false" outlineLevel="0" collapsed="false">
      <c r="C58" s="15" t="s">
        <v>136</v>
      </c>
      <c r="D58" s="103" t="s">
        <v>53</v>
      </c>
      <c r="E58" s="104" t="n">
        <v>45076</v>
      </c>
      <c r="F58" s="105" t="n">
        <v>28</v>
      </c>
      <c r="G58" s="103"/>
      <c r="H58" s="106" t="n">
        <v>45077</v>
      </c>
      <c r="I58" s="120"/>
      <c r="J58" s="106" t="n">
        <v>45079</v>
      </c>
      <c r="K58" s="107" t="n">
        <v>12</v>
      </c>
      <c r="L58" s="108" t="n">
        <v>45082</v>
      </c>
      <c r="M58" s="120"/>
      <c r="N58" s="106" t="n">
        <v>45084</v>
      </c>
      <c r="O58" s="103" t="n">
        <v>10</v>
      </c>
      <c r="P58" s="106" t="n">
        <v>45086</v>
      </c>
      <c r="Q58" s="120"/>
      <c r="R58" s="106"/>
      <c r="S58" s="103"/>
    </row>
    <row r="59" customFormat="false" ht="14.25" hidden="false" customHeight="false" outlineLevel="0" collapsed="false">
      <c r="C59" s="15" t="s">
        <v>137</v>
      </c>
      <c r="D59" s="103" t="s">
        <v>59</v>
      </c>
      <c r="E59" s="104" t="n">
        <v>45076</v>
      </c>
      <c r="F59" s="105" t="s">
        <v>138</v>
      </c>
      <c r="G59" s="103"/>
      <c r="H59" s="106" t="n">
        <v>45077</v>
      </c>
      <c r="I59" s="120"/>
      <c r="J59" s="106" t="n">
        <v>45079</v>
      </c>
      <c r="K59" s="121"/>
      <c r="L59" s="108" t="n">
        <v>45082</v>
      </c>
      <c r="M59" s="120"/>
      <c r="N59" s="106" t="n">
        <v>45084</v>
      </c>
      <c r="O59" s="120"/>
      <c r="P59" s="106" t="n">
        <v>45086</v>
      </c>
      <c r="Q59" s="120"/>
      <c r="R59" s="106"/>
      <c r="S59" s="103"/>
    </row>
    <row r="60" customFormat="false" ht="14.25" hidden="false" customHeight="false" outlineLevel="0" collapsed="false">
      <c r="C60" s="15" t="s">
        <v>139</v>
      </c>
      <c r="D60" s="103" t="s">
        <v>64</v>
      </c>
      <c r="E60" s="104" t="n">
        <v>45076</v>
      </c>
      <c r="F60" s="105" t="n">
        <v>14</v>
      </c>
      <c r="G60" s="103"/>
      <c r="H60" s="106" t="n">
        <v>45077</v>
      </c>
      <c r="I60" s="103" t="n">
        <v>17</v>
      </c>
      <c r="J60" s="106" t="n">
        <v>45079</v>
      </c>
      <c r="K60" s="121"/>
      <c r="L60" s="108" t="n">
        <v>45082</v>
      </c>
      <c r="M60" s="103" t="n">
        <v>13</v>
      </c>
      <c r="N60" s="106" t="n">
        <v>45084</v>
      </c>
      <c r="O60" s="120"/>
      <c r="P60" s="106" t="n">
        <v>45086</v>
      </c>
      <c r="Q60" s="103" t="n">
        <v>12</v>
      </c>
      <c r="R60" s="106"/>
      <c r="S60" s="103"/>
    </row>
    <row r="61" customFormat="false" ht="14.25" hidden="false" customHeight="false" outlineLevel="0" collapsed="false">
      <c r="C61" s="15" t="n">
        <v>91601</v>
      </c>
      <c r="D61" s="103" t="s">
        <v>65</v>
      </c>
      <c r="E61" s="104" t="n">
        <v>45076</v>
      </c>
      <c r="F61" s="103" t="n">
        <v>12</v>
      </c>
      <c r="G61" s="103"/>
      <c r="H61" s="106" t="n">
        <v>45077</v>
      </c>
      <c r="I61" s="103" t="n">
        <v>13</v>
      </c>
      <c r="J61" s="106" t="n">
        <v>45079</v>
      </c>
      <c r="K61" s="107" t="n">
        <v>14</v>
      </c>
      <c r="L61" s="108" t="n">
        <v>45082</v>
      </c>
      <c r="M61" s="121"/>
      <c r="N61" s="106" t="n">
        <v>45084</v>
      </c>
      <c r="O61" s="103" t="n">
        <v>17</v>
      </c>
      <c r="P61" s="106" t="n">
        <v>45086</v>
      </c>
      <c r="Q61" s="120"/>
      <c r="R61" s="106"/>
      <c r="S61" s="103"/>
    </row>
    <row r="62" customFormat="false" ht="14.25" hidden="false" customHeight="false" outlineLevel="0" collapsed="false">
      <c r="C62" s="15" t="n">
        <v>11171</v>
      </c>
      <c r="D62" s="103" t="s">
        <v>74</v>
      </c>
      <c r="E62" s="104" t="n">
        <v>45076</v>
      </c>
      <c r="F62" s="105" t="n">
        <v>27</v>
      </c>
      <c r="G62" s="103"/>
      <c r="H62" s="106" t="n">
        <v>45077</v>
      </c>
      <c r="I62" s="103" t="n">
        <v>16</v>
      </c>
      <c r="J62" s="106" t="n">
        <v>45079</v>
      </c>
      <c r="K62" s="121"/>
      <c r="L62" s="108" t="n">
        <v>45082</v>
      </c>
      <c r="M62" s="103" t="s">
        <v>62</v>
      </c>
      <c r="N62" s="106" t="n">
        <v>45084</v>
      </c>
      <c r="O62" s="103" t="n">
        <v>16</v>
      </c>
      <c r="P62" s="106" t="n">
        <v>45086</v>
      </c>
      <c r="Q62" s="120"/>
      <c r="R62" s="103"/>
      <c r="S62" s="103"/>
    </row>
    <row r="63" customFormat="false" ht="14.25" hidden="false" customHeight="false" outlineLevel="0" collapsed="false">
      <c r="C63" s="15" t="n">
        <v>21265</v>
      </c>
      <c r="D63" s="103" t="s">
        <v>76</v>
      </c>
      <c r="E63" s="104" t="n">
        <v>45076</v>
      </c>
      <c r="F63" s="103" t="n">
        <v>10</v>
      </c>
      <c r="G63" s="103"/>
      <c r="H63" s="106" t="n">
        <v>45077</v>
      </c>
      <c r="I63" s="120"/>
      <c r="J63" s="106" t="n">
        <v>45079</v>
      </c>
      <c r="K63" s="121"/>
      <c r="L63" s="108" t="n">
        <v>45082</v>
      </c>
      <c r="M63" s="103" t="n">
        <v>28</v>
      </c>
      <c r="N63" s="106" t="n">
        <v>45084</v>
      </c>
      <c r="O63" s="120"/>
      <c r="P63" s="106" t="n">
        <v>45086</v>
      </c>
      <c r="Q63" s="120"/>
      <c r="R63" s="103"/>
      <c r="S63" s="103"/>
    </row>
    <row r="64" customFormat="false" ht="14.25" hidden="false" customHeight="false" outlineLevel="0" collapsed="false">
      <c r="C64" s="114"/>
      <c r="D64" s="114"/>
      <c r="E64" s="104"/>
      <c r="F64" s="114"/>
      <c r="G64" s="114"/>
      <c r="H64" s="114"/>
      <c r="I64" s="122"/>
      <c r="J64" s="106"/>
      <c r="K64" s="123"/>
      <c r="L64" s="108" t="n">
        <v>45082</v>
      </c>
      <c r="M64" s="122"/>
      <c r="N64" s="106" t="n">
        <v>45084</v>
      </c>
      <c r="O64" s="122"/>
      <c r="P64" s="106" t="n">
        <v>45086</v>
      </c>
      <c r="Q64" s="114" t="n">
        <v>27</v>
      </c>
      <c r="R64" s="114"/>
      <c r="S64" s="114"/>
    </row>
    <row r="68" customFormat="false" ht="14.25" hidden="false" customHeight="false" outlineLevel="0" collapsed="false">
      <c r="C68" s="81"/>
      <c r="D68" s="81" t="s">
        <v>140</v>
      </c>
    </row>
    <row r="69" customFormat="false" ht="14.25" hidden="false" customHeight="false" outlineLevel="0" collapsed="false">
      <c r="B69" s="9" t="s">
        <v>47</v>
      </c>
      <c r="C69" s="9"/>
      <c r="D69" s="9"/>
    </row>
    <row r="70" customFormat="false" ht="14.25" hidden="false" customHeight="false" outlineLevel="0" collapsed="false">
      <c r="B70" s="9" t="n">
        <v>10</v>
      </c>
      <c r="C70" s="9" t="n">
        <v>5380</v>
      </c>
      <c r="D70" s="9" t="s">
        <v>50</v>
      </c>
    </row>
    <row r="71" customFormat="false" ht="14.25" hidden="false" customHeight="false" outlineLevel="0" collapsed="false">
      <c r="B71" s="9" t="n">
        <v>11</v>
      </c>
      <c r="C71" s="9" t="n">
        <v>3817</v>
      </c>
      <c r="D71" s="9" t="s">
        <v>54</v>
      </c>
    </row>
    <row r="72" customFormat="false" ht="14.25" hidden="false" customHeight="false" outlineLevel="0" collapsed="false">
      <c r="B72" s="9" t="n">
        <v>12</v>
      </c>
      <c r="C72" s="9" t="n">
        <v>2777</v>
      </c>
      <c r="D72" s="9" t="s">
        <v>60</v>
      </c>
    </row>
    <row r="73" customFormat="false" ht="14.25" hidden="false" customHeight="false" outlineLevel="0" collapsed="false">
      <c r="B73" s="9" t="n">
        <v>13</v>
      </c>
      <c r="C73" s="9" t="n">
        <v>5891</v>
      </c>
      <c r="D73" s="9" t="s">
        <v>66</v>
      </c>
    </row>
    <row r="74" customFormat="false" ht="14.25" hidden="false" customHeight="false" outlineLevel="0" collapsed="false">
      <c r="B74" s="9" t="n">
        <v>16</v>
      </c>
      <c r="C74" s="9" t="n">
        <v>8688</v>
      </c>
      <c r="D74" s="9" t="s">
        <v>69</v>
      </c>
    </row>
    <row r="75" customFormat="false" ht="14.25" hidden="false" customHeight="false" outlineLevel="0" collapsed="false">
      <c r="B75" s="9" t="n">
        <v>17</v>
      </c>
      <c r="C75" s="9" t="n">
        <v>9233</v>
      </c>
      <c r="D75" s="9" t="s">
        <v>72</v>
      </c>
    </row>
    <row r="76" customFormat="false" ht="14.25" hidden="false" customHeight="false" outlineLevel="0" collapsed="false">
      <c r="B76" s="9" t="s">
        <v>62</v>
      </c>
      <c r="C76" s="9" t="n">
        <v>6895</v>
      </c>
      <c r="D76" s="9" t="s">
        <v>73</v>
      </c>
    </row>
    <row r="77" customFormat="false" ht="14.25" hidden="false" customHeight="false" outlineLevel="0" collapsed="false">
      <c r="B77" s="9"/>
      <c r="C77" s="9"/>
      <c r="D77" s="9"/>
    </row>
    <row r="78" customFormat="false" ht="14.25" hidden="false" customHeight="false" outlineLevel="0" collapsed="false">
      <c r="B78" s="9"/>
      <c r="C78" s="9"/>
      <c r="D78" s="9"/>
    </row>
    <row r="79" customFormat="false" ht="14.25" hidden="false" customHeight="false" outlineLevel="0" collapsed="false">
      <c r="B79" s="9" t="n">
        <v>26</v>
      </c>
      <c r="C79" s="9" t="n">
        <v>1789</v>
      </c>
      <c r="D79" s="9" t="s">
        <v>50</v>
      </c>
    </row>
    <row r="80" customFormat="false" ht="14.25" hidden="false" customHeight="false" outlineLevel="0" collapsed="false">
      <c r="B80" s="9" t="n">
        <v>27</v>
      </c>
      <c r="C80" s="9" t="n">
        <v>2540</v>
      </c>
      <c r="D80" s="9" t="s">
        <v>55</v>
      </c>
    </row>
    <row r="81" customFormat="false" ht="14.25" hidden="false" customHeight="false" outlineLevel="0" collapsed="false">
      <c r="B81" s="9" t="n">
        <v>28</v>
      </c>
      <c r="C81" s="9" t="n">
        <v>8968</v>
      </c>
      <c r="D81" s="9" t="s">
        <v>61</v>
      </c>
    </row>
    <row r="82" customFormat="false" ht="14.25" hidden="false" customHeight="false" outlineLevel="0" collapsed="false">
      <c r="B82" s="9" t="n">
        <v>29</v>
      </c>
      <c r="C82" s="9" t="n">
        <v>2420</v>
      </c>
      <c r="D82" s="9" t="s">
        <v>54</v>
      </c>
    </row>
    <row r="83" customFormat="false" ht="14.25" hidden="false" customHeight="false" outlineLevel="0" collapsed="false">
      <c r="B83" s="9" t="s">
        <v>70</v>
      </c>
      <c r="C83" s="9" t="n">
        <v>3317</v>
      </c>
      <c r="D83" s="9" t="s">
        <v>57</v>
      </c>
    </row>
    <row r="84" customFormat="false" ht="14.25" hidden="false" customHeight="false" outlineLevel="0" collapsed="false">
      <c r="B84" s="14"/>
      <c r="C84" s="14"/>
      <c r="D84" s="14"/>
    </row>
    <row r="85" customFormat="false" ht="14.25" hidden="false" customHeight="false" outlineLevel="0" collapsed="false">
      <c r="B85" s="14" t="n">
        <v>15</v>
      </c>
      <c r="C85" s="14" t="n">
        <v>3555</v>
      </c>
      <c r="D85" s="14" t="s">
        <v>50</v>
      </c>
    </row>
    <row r="86" customFormat="false" ht="14.25" hidden="false" customHeight="false" outlineLevel="0" collapsed="false">
      <c r="B86" s="14" t="n">
        <v>14</v>
      </c>
      <c r="C86" s="14" t="n">
        <v>2027</v>
      </c>
      <c r="D86" s="14" t="s">
        <v>66</v>
      </c>
    </row>
    <row r="87" customFormat="false" ht="14.25" hidden="false" customHeight="false" outlineLevel="0" collapsed="false">
      <c r="B87" s="14" t="n">
        <v>9</v>
      </c>
      <c r="C87" s="14" t="n">
        <v>9213</v>
      </c>
      <c r="D87" s="14" t="s">
        <v>51</v>
      </c>
    </row>
    <row r="88" customFormat="false" ht="14.25" hidden="false" customHeight="false" outlineLevel="0" collapsed="false">
      <c r="B88" s="14"/>
      <c r="C88" s="14"/>
      <c r="D88" s="14"/>
    </row>
    <row r="89" customFormat="false" ht="14.25" hidden="false" customHeight="false" outlineLevel="0" collapsed="false">
      <c r="B89" s="14" t="s">
        <v>56</v>
      </c>
      <c r="C89" s="14" t="n">
        <v>8934</v>
      </c>
      <c r="D89" s="14" t="s">
        <v>57</v>
      </c>
    </row>
    <row r="90" customFormat="false" ht="14.25" hidden="false" customHeight="false" outlineLevel="0" collapsed="false">
      <c r="B90" s="14" t="s">
        <v>62</v>
      </c>
      <c r="C90" s="14" t="n">
        <v>6895</v>
      </c>
      <c r="D90" s="14" t="s">
        <v>63</v>
      </c>
    </row>
    <row r="91" customFormat="false" ht="14.25" hidden="false" customHeight="false" outlineLevel="0" collapsed="false">
      <c r="B91" s="14" t="n">
        <v>10</v>
      </c>
      <c r="C91" s="14" t="n">
        <v>5380</v>
      </c>
      <c r="D91" s="14" t="s">
        <v>67</v>
      </c>
      <c r="E91" s="14"/>
      <c r="F91" s="14"/>
    </row>
    <row r="92" customFormat="false" ht="14.25" hidden="false" customHeight="false" outlineLevel="0" collapsed="false">
      <c r="B92" s="14" t="n">
        <v>28</v>
      </c>
      <c r="C92" s="14" t="n">
        <v>8968</v>
      </c>
      <c r="D92" s="14" t="s">
        <v>71</v>
      </c>
    </row>
  </sheetData>
  <mergeCells count="7">
    <mergeCell ref="C22:C23"/>
    <mergeCell ref="C24:C28"/>
    <mergeCell ref="H35:S35"/>
    <mergeCell ref="G41:H41"/>
    <mergeCell ref="C48:C49"/>
    <mergeCell ref="C50:C54"/>
    <mergeCell ref="D91:F91"/>
  </mergeCells>
  <conditionalFormatting sqref="V22:V28 V48:V54">
    <cfRule type="expression" priority="2" aboveAverage="0" equalAverage="0" bottom="0" percent="0" rank="0" text="" dxfId="0">
      <formula>LEN(TRIM(V22))&gt;0</formula>
    </cfRule>
    <cfRule type="expression" priority="3" aboveAverage="0" equalAverage="0" bottom="0" percent="0" rank="0" text="" dxfId="1">
      <formula>LEN(TRIM(V22))&gt;0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7"/>
  <sheetViews>
    <sheetView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AB6" activeCellId="1" sqref="D19:D20 AB6"/>
    </sheetView>
  </sheetViews>
  <sheetFormatPr defaultColWidth="11.5625" defaultRowHeight="17.25" zeroHeight="false" outlineLevelRow="0" outlineLevelCol="0"/>
  <cols>
    <col collapsed="false" customWidth="true" hidden="false" outlineLevel="0" max="1" min="1" style="124" width="9.33"/>
    <col collapsed="false" customWidth="true" hidden="false" outlineLevel="0" max="2" min="2" style="125" width="7.33"/>
    <col collapsed="false" customWidth="true" hidden="false" outlineLevel="0" max="3" min="3" style="126" width="17.88"/>
    <col collapsed="false" customWidth="true" hidden="false" outlineLevel="0" max="4" min="4" style="124" width="8.67"/>
    <col collapsed="false" customWidth="true" hidden="false" outlineLevel="0" max="5" min="5" style="124" width="9"/>
    <col collapsed="false" customWidth="true" hidden="false" outlineLevel="0" max="6" min="6" style="124" width="18.67"/>
    <col collapsed="false" customWidth="true" hidden="false" outlineLevel="0" max="7" min="7" style="1" width="19.33"/>
    <col collapsed="false" customWidth="false" hidden="false" outlineLevel="0" max="10" min="8" style="3" width="11.56"/>
    <col collapsed="false" customWidth="true" hidden="false" outlineLevel="0" max="11" min="11" style="124" width="9.33"/>
    <col collapsed="false" customWidth="true" hidden="false" outlineLevel="0" max="12" min="12" style="125" width="7.33"/>
    <col collapsed="false" customWidth="true" hidden="false" outlineLevel="0" max="13" min="13" style="126" width="13.88"/>
    <col collapsed="false" customWidth="true" hidden="false" outlineLevel="0" max="14" min="14" style="124" width="8.67"/>
    <col collapsed="false" customWidth="true" hidden="false" outlineLevel="0" max="15" min="15" style="124" width="9"/>
    <col collapsed="false" customWidth="true" hidden="false" outlineLevel="0" max="16" min="16" style="124" width="18.67"/>
    <col collapsed="false" customWidth="false" hidden="false" outlineLevel="0" max="19" min="17" style="3" width="11.56"/>
    <col collapsed="false" customWidth="true" hidden="false" outlineLevel="0" max="20" min="20" style="124" width="9.33"/>
    <col collapsed="false" customWidth="true" hidden="false" outlineLevel="0" max="21" min="21" style="125" width="7.33"/>
    <col collapsed="false" customWidth="true" hidden="false" outlineLevel="0" max="22" min="22" style="126" width="13.88"/>
    <col collapsed="false" customWidth="true" hidden="false" outlineLevel="0" max="23" min="23" style="124" width="8.67"/>
    <col collapsed="false" customWidth="true" hidden="false" outlineLevel="0" max="24" min="24" style="124" width="9"/>
    <col collapsed="false" customWidth="true" hidden="false" outlineLevel="0" max="25" min="25" style="124" width="18.67"/>
    <col collapsed="false" customWidth="true" hidden="false" outlineLevel="0" max="26" min="26" style="1" width="19.33"/>
    <col collapsed="false" customWidth="false" hidden="false" outlineLevel="0" max="16384" min="27" style="3" width="11.56"/>
  </cols>
  <sheetData>
    <row r="1" customFormat="false" ht="17.25" hidden="false" customHeight="true" outlineLevel="0" collapsed="false">
      <c r="A1" s="2" t="s">
        <v>0</v>
      </c>
      <c r="K1" s="2"/>
      <c r="T1" s="2" t="s">
        <v>0</v>
      </c>
    </row>
    <row r="2" customFormat="false" ht="6" hidden="false" customHeight="true" outlineLevel="0" collapsed="false">
      <c r="A2" s="127"/>
      <c r="K2" s="127"/>
      <c r="T2" s="127"/>
    </row>
    <row r="3" customFormat="false" ht="25.5" hidden="false" customHeight="true" outlineLevel="0" collapsed="false">
      <c r="A3" s="128" t="s">
        <v>141</v>
      </c>
      <c r="B3" s="129" t="s">
        <v>142</v>
      </c>
      <c r="C3" s="130" t="s">
        <v>143</v>
      </c>
      <c r="D3" s="131" t="s">
        <v>144</v>
      </c>
      <c r="E3" s="131" t="s">
        <v>145</v>
      </c>
      <c r="F3" s="131" t="s">
        <v>146</v>
      </c>
      <c r="G3" s="131" t="s">
        <v>147</v>
      </c>
      <c r="K3" s="128" t="s">
        <v>141</v>
      </c>
      <c r="L3" s="129" t="s">
        <v>142</v>
      </c>
      <c r="M3" s="130" t="s">
        <v>143</v>
      </c>
      <c r="N3" s="131" t="s">
        <v>144</v>
      </c>
      <c r="O3" s="131" t="s">
        <v>145</v>
      </c>
      <c r="P3" s="131" t="s">
        <v>146</v>
      </c>
      <c r="T3" s="128" t="s">
        <v>141</v>
      </c>
      <c r="U3" s="129" t="s">
        <v>142</v>
      </c>
      <c r="V3" s="130" t="s">
        <v>143</v>
      </c>
      <c r="W3" s="131" t="s">
        <v>144</v>
      </c>
      <c r="X3" s="131" t="s">
        <v>145</v>
      </c>
      <c r="Y3" s="131" t="s">
        <v>146</v>
      </c>
      <c r="Z3" s="131" t="s">
        <v>147</v>
      </c>
    </row>
    <row r="4" customFormat="false" ht="23.25" hidden="false" customHeight="true" outlineLevel="0" collapsed="false">
      <c r="A4" s="128" t="s">
        <v>148</v>
      </c>
      <c r="B4" s="132" t="n">
        <v>1</v>
      </c>
      <c r="C4" s="133" t="s">
        <v>149</v>
      </c>
      <c r="D4" s="134" t="s">
        <v>150</v>
      </c>
      <c r="E4" s="134" t="s">
        <v>151</v>
      </c>
      <c r="F4" s="128" t="n">
        <v>88844</v>
      </c>
      <c r="G4" s="128"/>
      <c r="K4" s="128" t="s">
        <v>152</v>
      </c>
      <c r="L4" s="132" t="n">
        <v>23</v>
      </c>
      <c r="M4" s="133" t="s">
        <v>153</v>
      </c>
      <c r="N4" s="134" t="s">
        <v>154</v>
      </c>
      <c r="O4" s="134" t="s">
        <v>155</v>
      </c>
      <c r="P4" s="128" t="n">
        <v>88173</v>
      </c>
      <c r="T4" s="128" t="s">
        <v>148</v>
      </c>
      <c r="U4" s="132" t="n">
        <v>1</v>
      </c>
      <c r="V4" s="133" t="s">
        <v>149</v>
      </c>
      <c r="W4" s="134" t="s">
        <v>150</v>
      </c>
      <c r="X4" s="134" t="s">
        <v>151</v>
      </c>
      <c r="Y4" s="128" t="n">
        <v>88844</v>
      </c>
      <c r="Z4" s="128"/>
    </row>
    <row r="5" customFormat="false" ht="23.25" hidden="false" customHeight="true" outlineLevel="0" collapsed="false">
      <c r="A5" s="128" t="s">
        <v>148</v>
      </c>
      <c r="B5" s="132" t="n">
        <v>2</v>
      </c>
      <c r="C5" s="133" t="s">
        <v>156</v>
      </c>
      <c r="D5" s="134" t="s">
        <v>157</v>
      </c>
      <c r="E5" s="134" t="s">
        <v>158</v>
      </c>
      <c r="F5" s="128" t="n">
        <v>88856</v>
      </c>
      <c r="G5" s="128"/>
      <c r="K5" s="128" t="s">
        <v>148</v>
      </c>
      <c r="L5" s="132" t="n">
        <v>100</v>
      </c>
      <c r="M5" s="133" t="s">
        <v>159</v>
      </c>
      <c r="N5" s="134" t="s">
        <v>160</v>
      </c>
      <c r="O5" s="134" t="s">
        <v>161</v>
      </c>
      <c r="P5" s="128" t="n">
        <v>88181</v>
      </c>
      <c r="T5" s="128" t="s">
        <v>148</v>
      </c>
      <c r="U5" s="132" t="n">
        <v>2</v>
      </c>
      <c r="V5" s="133" t="s">
        <v>156</v>
      </c>
      <c r="W5" s="134" t="s">
        <v>157</v>
      </c>
      <c r="X5" s="134" t="s">
        <v>158</v>
      </c>
      <c r="Y5" s="128" t="n">
        <v>88856</v>
      </c>
      <c r="Z5" s="128"/>
    </row>
    <row r="6" customFormat="false" ht="23.25" hidden="false" customHeight="true" outlineLevel="0" collapsed="false">
      <c r="A6" s="128" t="s">
        <v>152</v>
      </c>
      <c r="B6" s="132" t="n">
        <v>3</v>
      </c>
      <c r="C6" s="133" t="s">
        <v>162</v>
      </c>
      <c r="D6" s="134" t="s">
        <v>163</v>
      </c>
      <c r="E6" s="134" t="s">
        <v>164</v>
      </c>
      <c r="F6" s="128" t="n">
        <v>88611</v>
      </c>
      <c r="G6" s="128"/>
      <c r="K6" s="128" t="s">
        <v>148</v>
      </c>
      <c r="L6" s="132" t="n">
        <v>99</v>
      </c>
      <c r="M6" s="133" t="s">
        <v>165</v>
      </c>
      <c r="N6" s="134" t="s">
        <v>166</v>
      </c>
      <c r="O6" s="134" t="s">
        <v>167</v>
      </c>
      <c r="P6" s="128" t="n">
        <v>88205</v>
      </c>
      <c r="T6" s="128" t="s">
        <v>148</v>
      </c>
      <c r="U6" s="132" t="n">
        <v>4</v>
      </c>
      <c r="V6" s="133" t="s">
        <v>168</v>
      </c>
      <c r="W6" s="134" t="s">
        <v>169</v>
      </c>
      <c r="X6" s="134" t="s">
        <v>170</v>
      </c>
      <c r="Y6" s="128" t="n">
        <v>88614</v>
      </c>
      <c r="Z6" s="128"/>
    </row>
    <row r="7" customFormat="false" ht="23.25" hidden="false" customHeight="true" outlineLevel="0" collapsed="false">
      <c r="A7" s="128" t="s">
        <v>148</v>
      </c>
      <c r="B7" s="132" t="n">
        <v>4</v>
      </c>
      <c r="C7" s="133" t="s">
        <v>168</v>
      </c>
      <c r="D7" s="134" t="s">
        <v>169</v>
      </c>
      <c r="E7" s="134" t="s">
        <v>170</v>
      </c>
      <c r="F7" s="128" t="n">
        <v>88614</v>
      </c>
      <c r="G7" s="128"/>
      <c r="K7" s="128" t="s">
        <v>152</v>
      </c>
      <c r="L7" s="132" t="n">
        <v>19</v>
      </c>
      <c r="M7" s="133" t="s">
        <v>171</v>
      </c>
      <c r="N7" s="134" t="s">
        <v>172</v>
      </c>
      <c r="O7" s="134" t="s">
        <v>173</v>
      </c>
      <c r="P7" s="128" t="n">
        <v>88209</v>
      </c>
      <c r="T7" s="128" t="s">
        <v>148</v>
      </c>
      <c r="U7" s="132" t="n">
        <v>6</v>
      </c>
      <c r="V7" s="133" t="s">
        <v>174</v>
      </c>
      <c r="W7" s="134" t="s">
        <v>175</v>
      </c>
      <c r="X7" s="134" t="s">
        <v>176</v>
      </c>
      <c r="Y7" s="128" t="n">
        <v>89257</v>
      </c>
      <c r="Z7" s="128"/>
    </row>
    <row r="8" customFormat="false" ht="23.25" hidden="false" customHeight="true" outlineLevel="0" collapsed="false">
      <c r="A8" s="128" t="s">
        <v>152</v>
      </c>
      <c r="B8" s="132" t="n">
        <v>5</v>
      </c>
      <c r="C8" s="133" t="s">
        <v>177</v>
      </c>
      <c r="D8" s="134" t="s">
        <v>178</v>
      </c>
      <c r="E8" s="134" t="s">
        <v>179</v>
      </c>
      <c r="F8" s="128" t="n">
        <v>89213</v>
      </c>
      <c r="G8" s="128"/>
      <c r="K8" s="128" t="s">
        <v>152</v>
      </c>
      <c r="L8" s="132" t="n">
        <v>48</v>
      </c>
      <c r="M8" s="133" t="s">
        <v>180</v>
      </c>
      <c r="N8" s="134" t="s">
        <v>181</v>
      </c>
      <c r="O8" s="134" t="s">
        <v>182</v>
      </c>
      <c r="P8" s="128" t="n">
        <v>88213</v>
      </c>
      <c r="T8" s="128" t="s">
        <v>148</v>
      </c>
      <c r="U8" s="132" t="n">
        <v>8</v>
      </c>
      <c r="V8" s="133" t="s">
        <v>183</v>
      </c>
      <c r="W8" s="134" t="s">
        <v>184</v>
      </c>
      <c r="X8" s="135" t="s">
        <v>185</v>
      </c>
      <c r="Y8" s="128" t="n">
        <v>89255</v>
      </c>
      <c r="Z8" s="128"/>
    </row>
    <row r="9" customFormat="false" ht="23.25" hidden="false" customHeight="true" outlineLevel="0" collapsed="false">
      <c r="A9" s="128" t="s">
        <v>148</v>
      </c>
      <c r="B9" s="132" t="n">
        <v>6</v>
      </c>
      <c r="C9" s="133" t="s">
        <v>174</v>
      </c>
      <c r="D9" s="134" t="s">
        <v>175</v>
      </c>
      <c r="E9" s="134" t="s">
        <v>176</v>
      </c>
      <c r="F9" s="128" t="n">
        <v>89257</v>
      </c>
      <c r="G9" s="128"/>
      <c r="K9" s="128" t="s">
        <v>152</v>
      </c>
      <c r="L9" s="132" t="n">
        <v>77</v>
      </c>
      <c r="M9" s="133" t="s">
        <v>186</v>
      </c>
      <c r="N9" s="134" t="s">
        <v>187</v>
      </c>
      <c r="O9" s="134" t="s">
        <v>188</v>
      </c>
      <c r="P9" s="128" t="n">
        <v>88228</v>
      </c>
      <c r="T9" s="128" t="s">
        <v>148</v>
      </c>
      <c r="U9" s="132" t="n">
        <v>9</v>
      </c>
      <c r="V9" s="133" t="s">
        <v>189</v>
      </c>
      <c r="W9" s="134" t="s">
        <v>190</v>
      </c>
      <c r="X9" s="134" t="s">
        <v>191</v>
      </c>
      <c r="Y9" s="128" t="n">
        <v>88272</v>
      </c>
      <c r="Z9" s="128"/>
    </row>
    <row r="10" customFormat="false" ht="23.25" hidden="false" customHeight="true" outlineLevel="0" collapsed="false">
      <c r="A10" s="128" t="s">
        <v>152</v>
      </c>
      <c r="B10" s="132" t="n">
        <v>7</v>
      </c>
      <c r="C10" s="133" t="s">
        <v>192</v>
      </c>
      <c r="D10" s="134" t="s">
        <v>193</v>
      </c>
      <c r="E10" s="134" t="s">
        <v>194</v>
      </c>
      <c r="F10" s="128" t="n">
        <v>89154</v>
      </c>
      <c r="G10" s="128" t="s">
        <v>195</v>
      </c>
      <c r="K10" s="128" t="s">
        <v>148</v>
      </c>
      <c r="L10" s="132" t="n">
        <v>79</v>
      </c>
      <c r="M10" s="133" t="s">
        <v>196</v>
      </c>
      <c r="N10" s="134" t="s">
        <v>197</v>
      </c>
      <c r="O10" s="134" t="s">
        <v>198</v>
      </c>
      <c r="P10" s="128" t="n">
        <v>88231</v>
      </c>
      <c r="T10" s="128" t="s">
        <v>148</v>
      </c>
      <c r="U10" s="132" t="n">
        <v>12</v>
      </c>
      <c r="V10" s="133" t="s">
        <v>199</v>
      </c>
      <c r="W10" s="134" t="s">
        <v>200</v>
      </c>
      <c r="X10" s="134" t="s">
        <v>201</v>
      </c>
      <c r="Y10" s="128" t="n">
        <v>88667</v>
      </c>
      <c r="Z10" s="128"/>
    </row>
    <row r="11" customFormat="false" ht="23.25" hidden="false" customHeight="true" outlineLevel="0" collapsed="false">
      <c r="A11" s="128" t="s">
        <v>148</v>
      </c>
      <c r="B11" s="132" t="n">
        <v>8</v>
      </c>
      <c r="C11" s="133" t="s">
        <v>183</v>
      </c>
      <c r="D11" s="134" t="s">
        <v>184</v>
      </c>
      <c r="E11" s="135" t="s">
        <v>185</v>
      </c>
      <c r="F11" s="128" t="n">
        <v>89255</v>
      </c>
      <c r="G11" s="128"/>
      <c r="K11" s="128" t="s">
        <v>152</v>
      </c>
      <c r="L11" s="132" t="n">
        <v>85</v>
      </c>
      <c r="M11" s="133" t="s">
        <v>202</v>
      </c>
      <c r="N11" s="134" t="s">
        <v>203</v>
      </c>
      <c r="O11" s="134" t="s">
        <v>204</v>
      </c>
      <c r="P11" s="128" t="n">
        <v>88256</v>
      </c>
      <c r="T11" s="128" t="s">
        <v>148</v>
      </c>
      <c r="U11" s="132" t="n">
        <v>13</v>
      </c>
      <c r="V11" s="133" t="s">
        <v>205</v>
      </c>
      <c r="W11" s="134" t="s">
        <v>206</v>
      </c>
      <c r="X11" s="134" t="s">
        <v>207</v>
      </c>
      <c r="Y11" s="128" t="n">
        <v>88630</v>
      </c>
      <c r="Z11" s="128"/>
    </row>
    <row r="12" customFormat="false" ht="23.25" hidden="false" customHeight="true" outlineLevel="0" collapsed="false">
      <c r="A12" s="128" t="s">
        <v>148</v>
      </c>
      <c r="B12" s="132" t="n">
        <v>9</v>
      </c>
      <c r="C12" s="133" t="s">
        <v>189</v>
      </c>
      <c r="D12" s="134" t="s">
        <v>190</v>
      </c>
      <c r="E12" s="134" t="s">
        <v>191</v>
      </c>
      <c r="F12" s="128" t="n">
        <v>88272</v>
      </c>
      <c r="G12" s="128"/>
      <c r="K12" s="128" t="s">
        <v>152</v>
      </c>
      <c r="L12" s="132" t="n">
        <v>53</v>
      </c>
      <c r="M12" s="133" t="s">
        <v>208</v>
      </c>
      <c r="N12" s="134" t="s">
        <v>209</v>
      </c>
      <c r="O12" s="134" t="s">
        <v>210</v>
      </c>
      <c r="P12" s="128" t="n">
        <v>88264</v>
      </c>
      <c r="T12" s="128" t="s">
        <v>148</v>
      </c>
      <c r="U12" s="132" t="n">
        <v>17</v>
      </c>
      <c r="V12" s="133" t="s">
        <v>211</v>
      </c>
      <c r="W12" s="134" t="s">
        <v>212</v>
      </c>
      <c r="X12" s="134" t="s">
        <v>213</v>
      </c>
      <c r="Y12" s="128" t="n">
        <v>89052</v>
      </c>
      <c r="Z12" s="128"/>
    </row>
    <row r="13" customFormat="false" ht="23.25" hidden="false" customHeight="true" outlineLevel="0" collapsed="false">
      <c r="A13" s="128" t="s">
        <v>152</v>
      </c>
      <c r="B13" s="132" t="n">
        <v>10</v>
      </c>
      <c r="C13" s="133" t="s">
        <v>214</v>
      </c>
      <c r="D13" s="134" t="s">
        <v>215</v>
      </c>
      <c r="E13" s="134" t="s">
        <v>216</v>
      </c>
      <c r="F13" s="128" t="n">
        <v>89427</v>
      </c>
      <c r="G13" s="128" t="s">
        <v>217</v>
      </c>
      <c r="K13" s="128" t="s">
        <v>148</v>
      </c>
      <c r="L13" s="132" t="n">
        <v>9</v>
      </c>
      <c r="M13" s="133" t="s">
        <v>189</v>
      </c>
      <c r="N13" s="134" t="s">
        <v>190</v>
      </c>
      <c r="O13" s="134" t="s">
        <v>191</v>
      </c>
      <c r="P13" s="128" t="n">
        <v>88272</v>
      </c>
      <c r="T13" s="128" t="s">
        <v>148</v>
      </c>
      <c r="U13" s="132" t="n">
        <v>18</v>
      </c>
      <c r="V13" s="133" t="s">
        <v>218</v>
      </c>
      <c r="W13" s="134" t="s">
        <v>219</v>
      </c>
      <c r="X13" s="134" t="s">
        <v>220</v>
      </c>
      <c r="Y13" s="128" t="n">
        <v>88677</v>
      </c>
      <c r="Z13" s="128"/>
    </row>
    <row r="14" customFormat="false" ht="23.25" hidden="false" customHeight="true" outlineLevel="0" collapsed="false">
      <c r="A14" s="128" t="s">
        <v>152</v>
      </c>
      <c r="B14" s="132" t="n">
        <v>11</v>
      </c>
      <c r="C14" s="133" t="s">
        <v>221</v>
      </c>
      <c r="D14" s="134" t="s">
        <v>222</v>
      </c>
      <c r="E14" s="134" t="s">
        <v>223</v>
      </c>
      <c r="F14" s="128" t="n">
        <v>89072</v>
      </c>
      <c r="G14" s="128"/>
      <c r="K14" s="128" t="s">
        <v>152</v>
      </c>
      <c r="L14" s="132" t="n">
        <v>92</v>
      </c>
      <c r="M14" s="133" t="s">
        <v>224</v>
      </c>
      <c r="N14" s="134" t="s">
        <v>225</v>
      </c>
      <c r="O14" s="134" t="s">
        <v>226</v>
      </c>
      <c r="P14" s="128" t="n">
        <v>88290</v>
      </c>
      <c r="T14" s="128" t="s">
        <v>148</v>
      </c>
      <c r="U14" s="132" t="n">
        <v>22</v>
      </c>
      <c r="V14" s="133" t="s">
        <v>227</v>
      </c>
      <c r="W14" s="134" t="s">
        <v>228</v>
      </c>
      <c r="X14" s="134" t="s">
        <v>229</v>
      </c>
      <c r="Y14" s="128" t="n">
        <v>88473</v>
      </c>
      <c r="Z14" s="128"/>
    </row>
    <row r="15" customFormat="false" ht="23.25" hidden="false" customHeight="true" outlineLevel="0" collapsed="false">
      <c r="A15" s="128" t="s">
        <v>148</v>
      </c>
      <c r="B15" s="132" t="n">
        <v>12</v>
      </c>
      <c r="C15" s="133" t="s">
        <v>199</v>
      </c>
      <c r="D15" s="134" t="s">
        <v>200</v>
      </c>
      <c r="E15" s="134" t="s">
        <v>201</v>
      </c>
      <c r="F15" s="128" t="n">
        <v>88667</v>
      </c>
      <c r="G15" s="128"/>
      <c r="K15" s="128" t="s">
        <v>152</v>
      </c>
      <c r="L15" s="132" t="n">
        <v>38</v>
      </c>
      <c r="M15" s="133" t="s">
        <v>230</v>
      </c>
      <c r="N15" s="134" t="s">
        <v>231</v>
      </c>
      <c r="O15" s="134" t="s">
        <v>232</v>
      </c>
      <c r="P15" s="128" t="n">
        <v>88291</v>
      </c>
      <c r="T15" s="128" t="s">
        <v>148</v>
      </c>
      <c r="U15" s="132" t="n">
        <v>25</v>
      </c>
      <c r="V15" s="133" t="s">
        <v>233</v>
      </c>
      <c r="W15" s="134" t="s">
        <v>234</v>
      </c>
      <c r="X15" s="134" t="s">
        <v>235</v>
      </c>
      <c r="Y15" s="128" t="n">
        <v>88955</v>
      </c>
      <c r="Z15" s="128"/>
    </row>
    <row r="16" customFormat="false" ht="23.25" hidden="false" customHeight="true" outlineLevel="0" collapsed="false">
      <c r="A16" s="128" t="s">
        <v>148</v>
      </c>
      <c r="B16" s="132" t="n">
        <v>13</v>
      </c>
      <c r="C16" s="133" t="s">
        <v>205</v>
      </c>
      <c r="D16" s="134" t="s">
        <v>206</v>
      </c>
      <c r="E16" s="134" t="s">
        <v>207</v>
      </c>
      <c r="F16" s="128" t="n">
        <v>88630</v>
      </c>
      <c r="G16" s="128"/>
      <c r="K16" s="128" t="s">
        <v>148</v>
      </c>
      <c r="L16" s="132" t="n">
        <v>22</v>
      </c>
      <c r="M16" s="133" t="s">
        <v>227</v>
      </c>
      <c r="N16" s="134" t="s">
        <v>228</v>
      </c>
      <c r="O16" s="134" t="s">
        <v>229</v>
      </c>
      <c r="P16" s="128" t="n">
        <v>88473</v>
      </c>
      <c r="T16" s="128" t="s">
        <v>148</v>
      </c>
      <c r="U16" s="132" t="n">
        <v>27</v>
      </c>
      <c r="V16" s="133" t="s">
        <v>236</v>
      </c>
      <c r="W16" s="134" t="s">
        <v>237</v>
      </c>
      <c r="X16" s="134" t="s">
        <v>238</v>
      </c>
      <c r="Y16" s="128" t="n">
        <v>89453</v>
      </c>
      <c r="Z16" s="128"/>
    </row>
    <row r="17" customFormat="false" ht="23.25" hidden="false" customHeight="true" outlineLevel="0" collapsed="false">
      <c r="A17" s="128" t="s">
        <v>152</v>
      </c>
      <c r="B17" s="132" t="n">
        <v>14</v>
      </c>
      <c r="C17" s="133" t="s">
        <v>239</v>
      </c>
      <c r="D17" s="134" t="s">
        <v>240</v>
      </c>
      <c r="E17" s="134" t="s">
        <v>241</v>
      </c>
      <c r="F17" s="128" t="n">
        <v>89380</v>
      </c>
      <c r="G17" s="128"/>
      <c r="K17" s="128" t="s">
        <v>148</v>
      </c>
      <c r="L17" s="132" t="n">
        <v>69</v>
      </c>
      <c r="M17" s="133" t="s">
        <v>242</v>
      </c>
      <c r="N17" s="134" t="s">
        <v>243</v>
      </c>
      <c r="O17" s="134" t="s">
        <v>244</v>
      </c>
      <c r="P17" s="128" t="n">
        <v>88475</v>
      </c>
      <c r="T17" s="128" t="s">
        <v>148</v>
      </c>
      <c r="U17" s="132" t="n">
        <v>29</v>
      </c>
      <c r="V17" s="133" t="s">
        <v>245</v>
      </c>
      <c r="W17" s="134" t="s">
        <v>246</v>
      </c>
      <c r="X17" s="134" t="s">
        <v>247</v>
      </c>
      <c r="Y17" s="128" t="n">
        <v>88967</v>
      </c>
      <c r="Z17" s="128"/>
    </row>
    <row r="18" customFormat="false" ht="23.25" hidden="false" customHeight="true" outlineLevel="0" collapsed="false">
      <c r="A18" s="128" t="s">
        <v>152</v>
      </c>
      <c r="B18" s="132" t="n">
        <v>15</v>
      </c>
      <c r="C18" s="133" t="s">
        <v>248</v>
      </c>
      <c r="D18" s="134" t="s">
        <v>249</v>
      </c>
      <c r="E18" s="134" t="s">
        <v>250</v>
      </c>
      <c r="F18" s="128" t="n">
        <v>89446</v>
      </c>
      <c r="G18" s="128"/>
      <c r="K18" s="128" t="s">
        <v>148</v>
      </c>
      <c r="L18" s="132" t="n">
        <v>49</v>
      </c>
      <c r="M18" s="133" t="s">
        <v>251</v>
      </c>
      <c r="N18" s="134" t="s">
        <v>252</v>
      </c>
      <c r="O18" s="134" t="s">
        <v>253</v>
      </c>
      <c r="P18" s="128" t="n">
        <v>88485</v>
      </c>
      <c r="T18" s="128" t="s">
        <v>148</v>
      </c>
      <c r="U18" s="132" t="n">
        <v>30</v>
      </c>
      <c r="V18" s="133" t="s">
        <v>254</v>
      </c>
      <c r="W18" s="134" t="s">
        <v>255</v>
      </c>
      <c r="X18" s="134" t="s">
        <v>256</v>
      </c>
      <c r="Y18" s="128" t="n">
        <v>88980</v>
      </c>
      <c r="Z18" s="128"/>
    </row>
    <row r="19" customFormat="false" ht="23.25" hidden="false" customHeight="true" outlineLevel="0" collapsed="false">
      <c r="A19" s="128" t="s">
        <v>152</v>
      </c>
      <c r="B19" s="132" t="n">
        <v>16</v>
      </c>
      <c r="C19" s="133" t="s">
        <v>257</v>
      </c>
      <c r="D19" s="134" t="s">
        <v>258</v>
      </c>
      <c r="E19" s="134" t="s">
        <v>259</v>
      </c>
      <c r="F19" s="128" t="n">
        <v>88808</v>
      </c>
      <c r="G19" s="128"/>
      <c r="K19" s="128" t="s">
        <v>152</v>
      </c>
      <c r="L19" s="132" t="n">
        <v>43</v>
      </c>
      <c r="M19" s="133" t="s">
        <v>260</v>
      </c>
      <c r="N19" s="134" t="s">
        <v>261</v>
      </c>
      <c r="O19" s="134" t="s">
        <v>262</v>
      </c>
      <c r="P19" s="128" t="n">
        <v>88490</v>
      </c>
      <c r="T19" s="128" t="s">
        <v>148</v>
      </c>
      <c r="U19" s="132" t="n">
        <v>31</v>
      </c>
      <c r="V19" s="133" t="s">
        <v>263</v>
      </c>
      <c r="W19" s="134" t="s">
        <v>264</v>
      </c>
      <c r="X19" s="134" t="s">
        <v>265</v>
      </c>
      <c r="Y19" s="128" t="n">
        <v>88586</v>
      </c>
      <c r="Z19" s="128"/>
    </row>
    <row r="20" customFormat="false" ht="23.25" hidden="false" customHeight="true" outlineLevel="0" collapsed="false">
      <c r="A20" s="128" t="s">
        <v>148</v>
      </c>
      <c r="B20" s="132" t="n">
        <v>17</v>
      </c>
      <c r="C20" s="133" t="s">
        <v>211</v>
      </c>
      <c r="D20" s="134" t="s">
        <v>212</v>
      </c>
      <c r="E20" s="134" t="s">
        <v>213</v>
      </c>
      <c r="F20" s="128" t="n">
        <v>89052</v>
      </c>
      <c r="G20" s="128"/>
      <c r="K20" s="128" t="s">
        <v>152</v>
      </c>
      <c r="L20" s="132" t="n">
        <v>36</v>
      </c>
      <c r="M20" s="133" t="s">
        <v>266</v>
      </c>
      <c r="N20" s="134" t="s">
        <v>267</v>
      </c>
      <c r="O20" s="134" t="s">
        <v>268</v>
      </c>
      <c r="P20" s="128" t="n">
        <v>88497</v>
      </c>
      <c r="T20" s="128" t="s">
        <v>148</v>
      </c>
      <c r="U20" s="132" t="n">
        <v>32</v>
      </c>
      <c r="V20" s="133" t="s">
        <v>269</v>
      </c>
      <c r="W20" s="134" t="s">
        <v>270</v>
      </c>
      <c r="X20" s="134" t="s">
        <v>271</v>
      </c>
      <c r="Y20" s="128" t="n">
        <v>88910</v>
      </c>
      <c r="Z20" s="128"/>
    </row>
    <row r="21" customFormat="false" ht="23.25" hidden="false" customHeight="true" outlineLevel="0" collapsed="false">
      <c r="A21" s="128" t="s">
        <v>148</v>
      </c>
      <c r="B21" s="132" t="n">
        <v>18</v>
      </c>
      <c r="C21" s="133" t="s">
        <v>218</v>
      </c>
      <c r="D21" s="134" t="s">
        <v>219</v>
      </c>
      <c r="E21" s="134" t="s">
        <v>220</v>
      </c>
      <c r="F21" s="128" t="n">
        <v>88677</v>
      </c>
      <c r="G21" s="128"/>
      <c r="K21" s="128" t="s">
        <v>148</v>
      </c>
      <c r="L21" s="132" t="n">
        <v>42</v>
      </c>
      <c r="M21" s="133" t="s">
        <v>272</v>
      </c>
      <c r="N21" s="134" t="s">
        <v>273</v>
      </c>
      <c r="O21" s="134" t="s">
        <v>274</v>
      </c>
      <c r="P21" s="128" t="n">
        <v>88498</v>
      </c>
      <c r="T21" s="128" t="s">
        <v>148</v>
      </c>
      <c r="U21" s="132" t="n">
        <v>35</v>
      </c>
      <c r="V21" s="133" t="s">
        <v>275</v>
      </c>
      <c r="W21" s="134" t="s">
        <v>276</v>
      </c>
      <c r="X21" s="134" t="s">
        <v>277</v>
      </c>
      <c r="Y21" s="128" t="n">
        <v>89163</v>
      </c>
      <c r="Z21" s="128"/>
    </row>
    <row r="22" customFormat="false" ht="23.25" hidden="false" customHeight="true" outlineLevel="0" collapsed="false">
      <c r="A22" s="128" t="s">
        <v>152</v>
      </c>
      <c r="B22" s="132" t="n">
        <v>19</v>
      </c>
      <c r="C22" s="133" t="s">
        <v>171</v>
      </c>
      <c r="D22" s="134" t="s">
        <v>172</v>
      </c>
      <c r="E22" s="134" t="s">
        <v>173</v>
      </c>
      <c r="F22" s="128" t="n">
        <v>88209</v>
      </c>
      <c r="G22" s="128" t="s">
        <v>278</v>
      </c>
      <c r="K22" s="128" t="s">
        <v>152</v>
      </c>
      <c r="L22" s="132" t="n">
        <v>72</v>
      </c>
      <c r="M22" s="133" t="s">
        <v>279</v>
      </c>
      <c r="N22" s="134" t="s">
        <v>280</v>
      </c>
      <c r="O22" s="134" t="s">
        <v>281</v>
      </c>
      <c r="P22" s="128" t="n">
        <v>88513</v>
      </c>
      <c r="T22" s="128" t="s">
        <v>148</v>
      </c>
      <c r="U22" s="132" t="n">
        <v>37</v>
      </c>
      <c r="V22" s="133" t="s">
        <v>282</v>
      </c>
      <c r="W22" s="134" t="s">
        <v>283</v>
      </c>
      <c r="X22" s="134" t="s">
        <v>284</v>
      </c>
      <c r="Y22" s="128" t="n">
        <v>88655</v>
      </c>
      <c r="Z22" s="128"/>
    </row>
    <row r="23" customFormat="false" ht="23.25" hidden="false" customHeight="true" outlineLevel="0" collapsed="false">
      <c r="A23" s="128" t="s">
        <v>152</v>
      </c>
      <c r="B23" s="132" t="n">
        <v>20</v>
      </c>
      <c r="C23" s="133" t="s">
        <v>285</v>
      </c>
      <c r="D23" s="134" t="s">
        <v>286</v>
      </c>
      <c r="E23" s="134" t="s">
        <v>287</v>
      </c>
      <c r="F23" s="128" t="n">
        <v>89112</v>
      </c>
      <c r="G23" s="128"/>
      <c r="K23" s="128" t="s">
        <v>152</v>
      </c>
      <c r="L23" s="132" t="n">
        <v>21</v>
      </c>
      <c r="M23" s="133" t="s">
        <v>288</v>
      </c>
      <c r="N23" s="134" t="s">
        <v>289</v>
      </c>
      <c r="O23" s="134" t="s">
        <v>290</v>
      </c>
      <c r="P23" s="128" t="n">
        <v>88521</v>
      </c>
      <c r="T23" s="128" t="s">
        <v>148</v>
      </c>
      <c r="U23" s="132" t="n">
        <v>40</v>
      </c>
      <c r="V23" s="133" t="s">
        <v>291</v>
      </c>
      <c r="W23" s="134" t="s">
        <v>292</v>
      </c>
      <c r="X23" s="134" t="s">
        <v>293</v>
      </c>
      <c r="Y23" s="128" t="n">
        <v>89145</v>
      </c>
      <c r="Z23" s="128"/>
    </row>
    <row r="24" customFormat="false" ht="23.25" hidden="false" customHeight="true" outlineLevel="0" collapsed="false">
      <c r="A24" s="128" t="s">
        <v>152</v>
      </c>
      <c r="B24" s="132" t="n">
        <v>21</v>
      </c>
      <c r="C24" s="133" t="s">
        <v>288</v>
      </c>
      <c r="D24" s="134" t="s">
        <v>289</v>
      </c>
      <c r="E24" s="134" t="s">
        <v>290</v>
      </c>
      <c r="F24" s="128" t="n">
        <v>88521</v>
      </c>
      <c r="G24" s="128" t="s">
        <v>294</v>
      </c>
      <c r="K24" s="128" t="s">
        <v>152</v>
      </c>
      <c r="L24" s="132" t="n">
        <v>60</v>
      </c>
      <c r="M24" s="133" t="s">
        <v>295</v>
      </c>
      <c r="N24" s="134" t="s">
        <v>296</v>
      </c>
      <c r="O24" s="134" t="s">
        <v>297</v>
      </c>
      <c r="P24" s="128" t="n">
        <v>88527</v>
      </c>
      <c r="T24" s="128" t="s">
        <v>148</v>
      </c>
      <c r="U24" s="132" t="n">
        <v>41</v>
      </c>
      <c r="V24" s="133" t="s">
        <v>298</v>
      </c>
      <c r="W24" s="134" t="s">
        <v>299</v>
      </c>
      <c r="X24" s="134" t="s">
        <v>300</v>
      </c>
      <c r="Y24" s="128" t="n">
        <v>88560</v>
      </c>
      <c r="Z24" s="128"/>
    </row>
    <row r="25" customFormat="false" ht="23.25" hidden="false" customHeight="true" outlineLevel="0" collapsed="false">
      <c r="A25" s="128" t="s">
        <v>148</v>
      </c>
      <c r="B25" s="132" t="n">
        <v>22</v>
      </c>
      <c r="C25" s="133" t="s">
        <v>227</v>
      </c>
      <c r="D25" s="134" t="s">
        <v>228</v>
      </c>
      <c r="E25" s="134" t="s">
        <v>229</v>
      </c>
      <c r="F25" s="128" t="n">
        <v>88473</v>
      </c>
      <c r="G25" s="128"/>
      <c r="K25" s="128" t="s">
        <v>148</v>
      </c>
      <c r="L25" s="132" t="n">
        <v>87</v>
      </c>
      <c r="M25" s="133" t="s">
        <v>301</v>
      </c>
      <c r="N25" s="134" t="s">
        <v>302</v>
      </c>
      <c r="O25" s="134" t="s">
        <v>303</v>
      </c>
      <c r="P25" s="128" t="n">
        <v>88529</v>
      </c>
      <c r="T25" s="128" t="s">
        <v>148</v>
      </c>
      <c r="U25" s="132" t="n">
        <v>42</v>
      </c>
      <c r="V25" s="133" t="s">
        <v>272</v>
      </c>
      <c r="W25" s="134" t="s">
        <v>273</v>
      </c>
      <c r="X25" s="134" t="s">
        <v>274</v>
      </c>
      <c r="Y25" s="128" t="n">
        <v>88498</v>
      </c>
      <c r="Z25" s="128"/>
    </row>
    <row r="26" customFormat="false" ht="23.25" hidden="false" customHeight="true" outlineLevel="0" collapsed="false">
      <c r="A26" s="128" t="s">
        <v>152</v>
      </c>
      <c r="B26" s="132" t="n">
        <v>23</v>
      </c>
      <c r="C26" s="133" t="s">
        <v>153</v>
      </c>
      <c r="D26" s="134" t="s">
        <v>154</v>
      </c>
      <c r="E26" s="134" t="s">
        <v>155</v>
      </c>
      <c r="F26" s="128" t="n">
        <v>88173</v>
      </c>
      <c r="G26" s="128"/>
      <c r="K26" s="128" t="s">
        <v>148</v>
      </c>
      <c r="L26" s="132" t="n">
        <v>41</v>
      </c>
      <c r="M26" s="133" t="s">
        <v>298</v>
      </c>
      <c r="N26" s="134" t="s">
        <v>299</v>
      </c>
      <c r="O26" s="134" t="s">
        <v>300</v>
      </c>
      <c r="P26" s="128" t="n">
        <v>88560</v>
      </c>
      <c r="T26" s="128" t="s">
        <v>148</v>
      </c>
      <c r="U26" s="132" t="n">
        <v>44</v>
      </c>
      <c r="V26" s="133" t="s">
        <v>304</v>
      </c>
      <c r="W26" s="134" t="s">
        <v>305</v>
      </c>
      <c r="X26" s="134" t="s">
        <v>306</v>
      </c>
      <c r="Y26" s="128" t="n">
        <v>89455</v>
      </c>
      <c r="Z26" s="128"/>
    </row>
    <row r="27" customFormat="false" ht="23.25" hidden="false" customHeight="true" outlineLevel="0" collapsed="false">
      <c r="A27" s="128" t="s">
        <v>152</v>
      </c>
      <c r="B27" s="132" t="n">
        <v>24</v>
      </c>
      <c r="C27" s="133" t="s">
        <v>307</v>
      </c>
      <c r="D27" s="134" t="s">
        <v>308</v>
      </c>
      <c r="E27" s="134" t="s">
        <v>309</v>
      </c>
      <c r="F27" s="128" t="n">
        <v>88897</v>
      </c>
      <c r="G27" s="128"/>
      <c r="K27" s="128" t="s">
        <v>152</v>
      </c>
      <c r="L27" s="132" t="n">
        <v>76</v>
      </c>
      <c r="M27" s="133" t="s">
        <v>310</v>
      </c>
      <c r="N27" s="134" t="s">
        <v>311</v>
      </c>
      <c r="O27" s="134" t="s">
        <v>312</v>
      </c>
      <c r="P27" s="128" t="n">
        <v>88566</v>
      </c>
      <c r="T27" s="128" t="s">
        <v>148</v>
      </c>
      <c r="U27" s="132" t="n">
        <v>46</v>
      </c>
      <c r="V27" s="133" t="s">
        <v>313</v>
      </c>
      <c r="W27" s="134" t="s">
        <v>314</v>
      </c>
      <c r="X27" s="134" t="s">
        <v>315</v>
      </c>
      <c r="Y27" s="128" t="n">
        <v>89267</v>
      </c>
      <c r="Z27" s="128"/>
    </row>
    <row r="28" customFormat="false" ht="23.25" hidden="false" customHeight="true" outlineLevel="0" collapsed="false">
      <c r="A28" s="128" t="s">
        <v>148</v>
      </c>
      <c r="B28" s="132" t="n">
        <v>25</v>
      </c>
      <c r="C28" s="133" t="s">
        <v>233</v>
      </c>
      <c r="D28" s="134" t="s">
        <v>234</v>
      </c>
      <c r="E28" s="134" t="s">
        <v>235</v>
      </c>
      <c r="F28" s="128" t="n">
        <v>88955</v>
      </c>
      <c r="G28" s="128"/>
      <c r="K28" s="128" t="s">
        <v>152</v>
      </c>
      <c r="L28" s="132" t="n">
        <v>64</v>
      </c>
      <c r="M28" s="133" t="s">
        <v>316</v>
      </c>
      <c r="N28" s="134" t="s">
        <v>317</v>
      </c>
      <c r="O28" s="134" t="s">
        <v>318</v>
      </c>
      <c r="P28" s="128" t="n">
        <v>88567</v>
      </c>
      <c r="T28" s="128" t="s">
        <v>148</v>
      </c>
      <c r="U28" s="132" t="n">
        <v>47</v>
      </c>
      <c r="V28" s="133" t="s">
        <v>319</v>
      </c>
      <c r="W28" s="134" t="s">
        <v>320</v>
      </c>
      <c r="X28" s="134" t="s">
        <v>321</v>
      </c>
      <c r="Y28" s="128" t="n">
        <v>89438</v>
      </c>
      <c r="Z28" s="128"/>
    </row>
    <row r="29" customFormat="false" ht="23.25" hidden="false" customHeight="true" outlineLevel="0" collapsed="false">
      <c r="A29" s="128" t="s">
        <v>152</v>
      </c>
      <c r="B29" s="132" t="n">
        <v>26</v>
      </c>
      <c r="C29" s="133" t="s">
        <v>322</v>
      </c>
      <c r="D29" s="134" t="s">
        <v>323</v>
      </c>
      <c r="E29" s="134" t="s">
        <v>324</v>
      </c>
      <c r="F29" s="128" t="n">
        <v>89367</v>
      </c>
      <c r="G29" s="128" t="s">
        <v>325</v>
      </c>
      <c r="K29" s="128" t="s">
        <v>152</v>
      </c>
      <c r="L29" s="136" t="n">
        <v>63</v>
      </c>
      <c r="M29" s="137" t="s">
        <v>326</v>
      </c>
      <c r="N29" s="138" t="s">
        <v>327</v>
      </c>
      <c r="O29" s="138" t="s">
        <v>328</v>
      </c>
      <c r="P29" s="128" t="n">
        <v>88571</v>
      </c>
      <c r="T29" s="128" t="s">
        <v>148</v>
      </c>
      <c r="U29" s="132" t="n">
        <v>49</v>
      </c>
      <c r="V29" s="133" t="s">
        <v>251</v>
      </c>
      <c r="W29" s="134" t="s">
        <v>252</v>
      </c>
      <c r="X29" s="134" t="s">
        <v>253</v>
      </c>
      <c r="Y29" s="128" t="n">
        <v>88485</v>
      </c>
      <c r="Z29" s="128"/>
    </row>
    <row r="30" customFormat="false" ht="23.25" hidden="false" customHeight="true" outlineLevel="0" collapsed="false">
      <c r="A30" s="128" t="s">
        <v>148</v>
      </c>
      <c r="B30" s="132" t="n">
        <v>27</v>
      </c>
      <c r="C30" s="133" t="s">
        <v>236</v>
      </c>
      <c r="D30" s="134" t="s">
        <v>237</v>
      </c>
      <c r="E30" s="134" t="s">
        <v>238</v>
      </c>
      <c r="F30" s="128" t="n">
        <v>89453</v>
      </c>
      <c r="G30" s="128"/>
      <c r="K30" s="128" t="s">
        <v>148</v>
      </c>
      <c r="L30" s="132" t="n">
        <v>31</v>
      </c>
      <c r="M30" s="133" t="s">
        <v>263</v>
      </c>
      <c r="N30" s="134" t="s">
        <v>264</v>
      </c>
      <c r="O30" s="134" t="s">
        <v>265</v>
      </c>
      <c r="P30" s="128" t="n">
        <v>88586</v>
      </c>
      <c r="T30" s="128" t="s">
        <v>148</v>
      </c>
      <c r="U30" s="132" t="n">
        <v>52</v>
      </c>
      <c r="V30" s="133" t="s">
        <v>329</v>
      </c>
      <c r="W30" s="134" t="s">
        <v>330</v>
      </c>
      <c r="X30" s="134" t="s">
        <v>331</v>
      </c>
      <c r="Y30" s="128" t="n">
        <v>89784</v>
      </c>
      <c r="Z30" s="128"/>
    </row>
    <row r="31" customFormat="false" ht="23.25" hidden="false" customHeight="true" outlineLevel="0" collapsed="false">
      <c r="A31" s="128" t="s">
        <v>152</v>
      </c>
      <c r="B31" s="132" t="n">
        <v>28</v>
      </c>
      <c r="C31" s="133" t="s">
        <v>332</v>
      </c>
      <c r="D31" s="134" t="s">
        <v>333</v>
      </c>
      <c r="E31" s="134" t="s">
        <v>334</v>
      </c>
      <c r="F31" s="128" t="n">
        <v>89124</v>
      </c>
      <c r="G31" s="128"/>
      <c r="K31" s="128" t="s">
        <v>152</v>
      </c>
      <c r="L31" s="132" t="n">
        <v>71</v>
      </c>
      <c r="M31" s="133" t="s">
        <v>335</v>
      </c>
      <c r="N31" s="134" t="s">
        <v>336</v>
      </c>
      <c r="O31" s="134" t="s">
        <v>337</v>
      </c>
      <c r="P31" s="128" t="n">
        <v>88604</v>
      </c>
      <c r="T31" s="128" t="s">
        <v>148</v>
      </c>
      <c r="U31" s="132" t="n">
        <v>55</v>
      </c>
      <c r="V31" s="133" t="s">
        <v>338</v>
      </c>
      <c r="W31" s="134" t="s">
        <v>339</v>
      </c>
      <c r="X31" s="134" t="s">
        <v>340</v>
      </c>
      <c r="Y31" s="128" t="n">
        <v>89262</v>
      </c>
      <c r="Z31" s="128"/>
    </row>
    <row r="32" customFormat="false" ht="23.25" hidden="false" customHeight="true" outlineLevel="0" collapsed="false">
      <c r="A32" s="128" t="s">
        <v>148</v>
      </c>
      <c r="B32" s="132" t="n">
        <v>29</v>
      </c>
      <c r="C32" s="133" t="s">
        <v>245</v>
      </c>
      <c r="D32" s="134" t="s">
        <v>246</v>
      </c>
      <c r="E32" s="134" t="s">
        <v>247</v>
      </c>
      <c r="F32" s="128" t="n">
        <v>88967</v>
      </c>
      <c r="G32" s="128"/>
      <c r="K32" s="128" t="s">
        <v>152</v>
      </c>
      <c r="L32" s="132" t="n">
        <v>59</v>
      </c>
      <c r="M32" s="133" t="s">
        <v>341</v>
      </c>
      <c r="N32" s="134" t="s">
        <v>342</v>
      </c>
      <c r="O32" s="134" t="s">
        <v>343</v>
      </c>
      <c r="P32" s="128" t="n">
        <v>88609</v>
      </c>
      <c r="T32" s="128" t="s">
        <v>148</v>
      </c>
      <c r="U32" s="132" t="n">
        <v>56</v>
      </c>
      <c r="V32" s="133" t="s">
        <v>344</v>
      </c>
      <c r="W32" s="134" t="s">
        <v>345</v>
      </c>
      <c r="X32" s="134" t="s">
        <v>346</v>
      </c>
      <c r="Y32" s="128" t="n">
        <v>88843</v>
      </c>
      <c r="Z32" s="128"/>
    </row>
    <row r="33" customFormat="false" ht="23.25" hidden="false" customHeight="true" outlineLevel="0" collapsed="false">
      <c r="A33" s="128" t="s">
        <v>148</v>
      </c>
      <c r="B33" s="132" t="n">
        <v>30</v>
      </c>
      <c r="C33" s="133" t="s">
        <v>254</v>
      </c>
      <c r="D33" s="134" t="s">
        <v>255</v>
      </c>
      <c r="E33" s="134" t="s">
        <v>256</v>
      </c>
      <c r="F33" s="128" t="n">
        <v>88980</v>
      </c>
      <c r="G33" s="128"/>
      <c r="K33" s="128" t="s">
        <v>152</v>
      </c>
      <c r="L33" s="132" t="n">
        <v>3</v>
      </c>
      <c r="M33" s="133" t="s">
        <v>162</v>
      </c>
      <c r="N33" s="134" t="s">
        <v>163</v>
      </c>
      <c r="O33" s="134" t="s">
        <v>164</v>
      </c>
      <c r="P33" s="128" t="n">
        <v>88611</v>
      </c>
      <c r="T33" s="128" t="s">
        <v>148</v>
      </c>
      <c r="U33" s="132" t="n">
        <v>57</v>
      </c>
      <c r="V33" s="133" t="s">
        <v>347</v>
      </c>
      <c r="W33" s="134" t="s">
        <v>348</v>
      </c>
      <c r="X33" s="134" t="s">
        <v>349</v>
      </c>
      <c r="Y33" s="128" t="n">
        <v>89792</v>
      </c>
      <c r="Z33" s="128"/>
    </row>
    <row r="34" customFormat="false" ht="23.25" hidden="false" customHeight="true" outlineLevel="0" collapsed="false">
      <c r="A34" s="128" t="s">
        <v>148</v>
      </c>
      <c r="B34" s="132" t="n">
        <v>31</v>
      </c>
      <c r="C34" s="133" t="s">
        <v>263</v>
      </c>
      <c r="D34" s="134" t="s">
        <v>264</v>
      </c>
      <c r="E34" s="134" t="s">
        <v>265</v>
      </c>
      <c r="F34" s="128" t="n">
        <v>88586</v>
      </c>
      <c r="G34" s="128"/>
      <c r="K34" s="128" t="s">
        <v>148</v>
      </c>
      <c r="L34" s="132" t="n">
        <v>4</v>
      </c>
      <c r="M34" s="133" t="s">
        <v>168</v>
      </c>
      <c r="N34" s="134" t="s">
        <v>169</v>
      </c>
      <c r="O34" s="134" t="s">
        <v>170</v>
      </c>
      <c r="P34" s="128" t="n">
        <v>88614</v>
      </c>
      <c r="T34" s="128" t="s">
        <v>148</v>
      </c>
      <c r="U34" s="132" t="n">
        <v>58</v>
      </c>
      <c r="V34" s="133" t="s">
        <v>350</v>
      </c>
      <c r="W34" s="134" t="s">
        <v>351</v>
      </c>
      <c r="X34" s="134" t="s">
        <v>352</v>
      </c>
      <c r="Y34" s="128" t="n">
        <v>88708</v>
      </c>
      <c r="Z34" s="128"/>
    </row>
    <row r="35" customFormat="false" ht="23.25" hidden="false" customHeight="true" outlineLevel="0" collapsed="false">
      <c r="A35" s="128" t="s">
        <v>148</v>
      </c>
      <c r="B35" s="132" t="n">
        <v>32</v>
      </c>
      <c r="C35" s="133" t="s">
        <v>269</v>
      </c>
      <c r="D35" s="134" t="s">
        <v>270</v>
      </c>
      <c r="E35" s="134" t="s">
        <v>271</v>
      </c>
      <c r="F35" s="128" t="n">
        <v>88910</v>
      </c>
      <c r="G35" s="128"/>
      <c r="K35" s="128" t="s">
        <v>152</v>
      </c>
      <c r="L35" s="132" t="n">
        <v>68</v>
      </c>
      <c r="M35" s="133" t="s">
        <v>353</v>
      </c>
      <c r="N35" s="134" t="s">
        <v>354</v>
      </c>
      <c r="O35" s="135" t="n">
        <v>8296</v>
      </c>
      <c r="P35" s="128" t="n">
        <v>88615</v>
      </c>
      <c r="T35" s="128" t="s">
        <v>148</v>
      </c>
      <c r="U35" s="132" t="n">
        <v>62</v>
      </c>
      <c r="V35" s="133" t="s">
        <v>355</v>
      </c>
      <c r="W35" s="134" t="s">
        <v>356</v>
      </c>
      <c r="X35" s="134" t="s">
        <v>357</v>
      </c>
      <c r="Y35" s="128" t="n">
        <v>88726</v>
      </c>
      <c r="Z35" s="128"/>
    </row>
    <row r="36" customFormat="false" ht="23.25" hidden="false" customHeight="true" outlineLevel="0" collapsed="false">
      <c r="A36" s="128" t="s">
        <v>152</v>
      </c>
      <c r="B36" s="132" t="n">
        <v>33</v>
      </c>
      <c r="C36" s="133" t="s">
        <v>358</v>
      </c>
      <c r="D36" s="134" t="s">
        <v>359</v>
      </c>
      <c r="E36" s="134" t="s">
        <v>360</v>
      </c>
      <c r="F36" s="128" t="n">
        <v>88782</v>
      </c>
      <c r="G36" s="128"/>
      <c r="K36" s="128" t="s">
        <v>152</v>
      </c>
      <c r="L36" s="132" t="n">
        <v>74</v>
      </c>
      <c r="M36" s="133" t="s">
        <v>361</v>
      </c>
      <c r="N36" s="134" t="s">
        <v>362</v>
      </c>
      <c r="O36" s="134" t="s">
        <v>363</v>
      </c>
      <c r="P36" s="128" t="n">
        <v>88623</v>
      </c>
      <c r="T36" s="128" t="s">
        <v>148</v>
      </c>
      <c r="U36" s="132" t="n">
        <v>66</v>
      </c>
      <c r="V36" s="133" t="s">
        <v>364</v>
      </c>
      <c r="W36" s="134" t="s">
        <v>365</v>
      </c>
      <c r="X36" s="134" t="s">
        <v>366</v>
      </c>
      <c r="Y36" s="128" t="n">
        <v>88662</v>
      </c>
      <c r="Z36" s="128"/>
    </row>
    <row r="37" customFormat="false" ht="23.25" hidden="false" customHeight="true" outlineLevel="0" collapsed="false">
      <c r="A37" s="128" t="s">
        <v>152</v>
      </c>
      <c r="B37" s="132" t="n">
        <v>34</v>
      </c>
      <c r="C37" s="133" t="s">
        <v>367</v>
      </c>
      <c r="D37" s="134" t="s">
        <v>368</v>
      </c>
      <c r="E37" s="134" t="s">
        <v>369</v>
      </c>
      <c r="F37" s="128" t="n">
        <v>89180</v>
      </c>
      <c r="G37" s="128"/>
      <c r="K37" s="128" t="s">
        <v>148</v>
      </c>
      <c r="L37" s="132" t="n">
        <v>13</v>
      </c>
      <c r="M37" s="133" t="s">
        <v>205</v>
      </c>
      <c r="N37" s="134" t="s">
        <v>206</v>
      </c>
      <c r="O37" s="134" t="s">
        <v>207</v>
      </c>
      <c r="P37" s="128" t="n">
        <v>88630</v>
      </c>
      <c r="T37" s="128" t="s">
        <v>148</v>
      </c>
      <c r="U37" s="132" t="n">
        <v>67</v>
      </c>
      <c r="V37" s="133" t="s">
        <v>370</v>
      </c>
      <c r="W37" s="134" t="s">
        <v>371</v>
      </c>
      <c r="X37" s="134" t="s">
        <v>372</v>
      </c>
      <c r="Y37" s="128" t="n">
        <v>89220</v>
      </c>
      <c r="Z37" s="128"/>
    </row>
    <row r="38" customFormat="false" ht="23.25" hidden="false" customHeight="true" outlineLevel="0" collapsed="false">
      <c r="A38" s="128" t="s">
        <v>148</v>
      </c>
      <c r="B38" s="132" t="n">
        <v>35</v>
      </c>
      <c r="C38" s="133" t="s">
        <v>275</v>
      </c>
      <c r="D38" s="134" t="s">
        <v>276</v>
      </c>
      <c r="E38" s="134" t="s">
        <v>277</v>
      </c>
      <c r="F38" s="128" t="n">
        <v>89163</v>
      </c>
      <c r="G38" s="128"/>
      <c r="K38" s="128" t="s">
        <v>148</v>
      </c>
      <c r="L38" s="132" t="n">
        <v>37</v>
      </c>
      <c r="M38" s="133" t="s">
        <v>282</v>
      </c>
      <c r="N38" s="134" t="s">
        <v>283</v>
      </c>
      <c r="O38" s="134" t="s">
        <v>284</v>
      </c>
      <c r="P38" s="128" t="n">
        <v>88655</v>
      </c>
      <c r="T38" s="128" t="s">
        <v>148</v>
      </c>
      <c r="U38" s="132" t="n">
        <v>69</v>
      </c>
      <c r="V38" s="133" t="s">
        <v>242</v>
      </c>
      <c r="W38" s="134" t="s">
        <v>243</v>
      </c>
      <c r="X38" s="134" t="s">
        <v>244</v>
      </c>
      <c r="Y38" s="128" t="n">
        <v>88475</v>
      </c>
      <c r="Z38" s="128"/>
    </row>
    <row r="39" customFormat="false" ht="23.25" hidden="false" customHeight="true" outlineLevel="0" collapsed="false">
      <c r="A39" s="128" t="s">
        <v>152</v>
      </c>
      <c r="B39" s="132" t="n">
        <v>36</v>
      </c>
      <c r="C39" s="133" t="s">
        <v>266</v>
      </c>
      <c r="D39" s="134" t="s">
        <v>267</v>
      </c>
      <c r="E39" s="134" t="s">
        <v>268</v>
      </c>
      <c r="F39" s="128" t="n">
        <v>88497</v>
      </c>
      <c r="G39" s="128"/>
      <c r="K39" s="128" t="s">
        <v>148</v>
      </c>
      <c r="L39" s="132" t="n">
        <v>66</v>
      </c>
      <c r="M39" s="133" t="s">
        <v>364</v>
      </c>
      <c r="N39" s="134" t="s">
        <v>365</v>
      </c>
      <c r="O39" s="134" t="s">
        <v>366</v>
      </c>
      <c r="P39" s="128" t="n">
        <v>88662</v>
      </c>
      <c r="T39" s="128" t="s">
        <v>148</v>
      </c>
      <c r="U39" s="132" t="n">
        <v>73</v>
      </c>
      <c r="V39" s="133" t="s">
        <v>373</v>
      </c>
      <c r="W39" s="134" t="s">
        <v>374</v>
      </c>
      <c r="X39" s="134" t="s">
        <v>375</v>
      </c>
      <c r="Y39" s="128" t="n">
        <v>88987</v>
      </c>
      <c r="Z39" s="128"/>
    </row>
    <row r="40" customFormat="false" ht="23.25" hidden="false" customHeight="true" outlineLevel="0" collapsed="false">
      <c r="A40" s="128" t="s">
        <v>148</v>
      </c>
      <c r="B40" s="132" t="n">
        <v>37</v>
      </c>
      <c r="C40" s="133" t="s">
        <v>282</v>
      </c>
      <c r="D40" s="134" t="s">
        <v>283</v>
      </c>
      <c r="E40" s="134" t="s">
        <v>284</v>
      </c>
      <c r="F40" s="128" t="n">
        <v>88655</v>
      </c>
      <c r="G40" s="128"/>
      <c r="K40" s="128" t="s">
        <v>148</v>
      </c>
      <c r="L40" s="132" t="n">
        <v>80</v>
      </c>
      <c r="M40" s="133" t="s">
        <v>376</v>
      </c>
      <c r="N40" s="134" t="s">
        <v>377</v>
      </c>
      <c r="O40" s="134" t="s">
        <v>378</v>
      </c>
      <c r="P40" s="128" t="n">
        <v>88665</v>
      </c>
      <c r="T40" s="128" t="s">
        <v>148</v>
      </c>
      <c r="U40" s="132" t="n">
        <v>75</v>
      </c>
      <c r="V40" s="133" t="s">
        <v>379</v>
      </c>
      <c r="W40" s="134" t="s">
        <v>380</v>
      </c>
      <c r="X40" s="134" t="s">
        <v>381</v>
      </c>
      <c r="Y40" s="128" t="n">
        <v>89447</v>
      </c>
      <c r="Z40" s="128"/>
    </row>
    <row r="41" customFormat="false" ht="23.25" hidden="false" customHeight="true" outlineLevel="0" collapsed="false">
      <c r="A41" s="128" t="s">
        <v>152</v>
      </c>
      <c r="B41" s="132" t="n">
        <v>38</v>
      </c>
      <c r="C41" s="133" t="s">
        <v>230</v>
      </c>
      <c r="D41" s="134" t="s">
        <v>231</v>
      </c>
      <c r="E41" s="134" t="s">
        <v>232</v>
      </c>
      <c r="F41" s="128" t="n">
        <v>88291</v>
      </c>
      <c r="G41" s="128"/>
      <c r="K41" s="128" t="s">
        <v>148</v>
      </c>
      <c r="L41" s="132" t="n">
        <v>12</v>
      </c>
      <c r="M41" s="133" t="s">
        <v>199</v>
      </c>
      <c r="N41" s="134" t="s">
        <v>200</v>
      </c>
      <c r="O41" s="134" t="s">
        <v>201</v>
      </c>
      <c r="P41" s="128" t="n">
        <v>88667</v>
      </c>
      <c r="T41" s="128" t="s">
        <v>148</v>
      </c>
      <c r="U41" s="132" t="n">
        <v>78</v>
      </c>
      <c r="V41" s="133" t="s">
        <v>382</v>
      </c>
      <c r="W41" s="134" t="s">
        <v>383</v>
      </c>
      <c r="X41" s="134" t="s">
        <v>384</v>
      </c>
      <c r="Y41" s="128" t="n">
        <v>89444</v>
      </c>
      <c r="Z41" s="128"/>
    </row>
    <row r="42" customFormat="false" ht="23.25" hidden="false" customHeight="true" outlineLevel="0" collapsed="false">
      <c r="A42" s="128" t="s">
        <v>152</v>
      </c>
      <c r="B42" s="132" t="n">
        <v>39</v>
      </c>
      <c r="C42" s="133" t="s">
        <v>385</v>
      </c>
      <c r="D42" s="134" t="s">
        <v>386</v>
      </c>
      <c r="E42" s="134" t="s">
        <v>387</v>
      </c>
      <c r="F42" s="128" t="n">
        <v>89127</v>
      </c>
      <c r="G42" s="128"/>
      <c r="K42" s="128" t="s">
        <v>148</v>
      </c>
      <c r="L42" s="132" t="n">
        <v>18</v>
      </c>
      <c r="M42" s="133" t="s">
        <v>218</v>
      </c>
      <c r="N42" s="134" t="s">
        <v>219</v>
      </c>
      <c r="O42" s="134" t="s">
        <v>220</v>
      </c>
      <c r="P42" s="128" t="n">
        <v>88677</v>
      </c>
      <c r="T42" s="128" t="s">
        <v>148</v>
      </c>
      <c r="U42" s="132" t="n">
        <v>79</v>
      </c>
      <c r="V42" s="133" t="s">
        <v>196</v>
      </c>
      <c r="W42" s="134" t="s">
        <v>197</v>
      </c>
      <c r="X42" s="134" t="s">
        <v>198</v>
      </c>
      <c r="Y42" s="128" t="n">
        <v>88231</v>
      </c>
      <c r="Z42" s="128"/>
    </row>
    <row r="43" customFormat="false" ht="23.25" hidden="false" customHeight="true" outlineLevel="0" collapsed="false">
      <c r="A43" s="128" t="s">
        <v>148</v>
      </c>
      <c r="B43" s="132" t="n">
        <v>40</v>
      </c>
      <c r="C43" s="133" t="s">
        <v>291</v>
      </c>
      <c r="D43" s="134" t="s">
        <v>292</v>
      </c>
      <c r="E43" s="134" t="s">
        <v>293</v>
      </c>
      <c r="F43" s="128" t="n">
        <v>89145</v>
      </c>
      <c r="G43" s="128"/>
      <c r="K43" s="128" t="s">
        <v>148</v>
      </c>
      <c r="L43" s="132" t="n">
        <v>58</v>
      </c>
      <c r="M43" s="133" t="s">
        <v>350</v>
      </c>
      <c r="N43" s="134" t="s">
        <v>351</v>
      </c>
      <c r="O43" s="134" t="s">
        <v>352</v>
      </c>
      <c r="P43" s="128" t="n">
        <v>88708</v>
      </c>
      <c r="T43" s="128" t="s">
        <v>148</v>
      </c>
      <c r="U43" s="132" t="n">
        <v>80</v>
      </c>
      <c r="V43" s="133" t="s">
        <v>376</v>
      </c>
      <c r="W43" s="134" t="s">
        <v>377</v>
      </c>
      <c r="X43" s="134" t="s">
        <v>378</v>
      </c>
      <c r="Y43" s="128" t="n">
        <v>88665</v>
      </c>
      <c r="Z43" s="128"/>
    </row>
    <row r="44" customFormat="false" ht="23.25" hidden="false" customHeight="true" outlineLevel="0" collapsed="false">
      <c r="A44" s="128" t="s">
        <v>148</v>
      </c>
      <c r="B44" s="132" t="n">
        <v>41</v>
      </c>
      <c r="C44" s="133" t="s">
        <v>298</v>
      </c>
      <c r="D44" s="134" t="s">
        <v>299</v>
      </c>
      <c r="E44" s="134" t="s">
        <v>300</v>
      </c>
      <c r="F44" s="128" t="n">
        <v>88560</v>
      </c>
      <c r="G44" s="128"/>
      <c r="K44" s="128" t="s">
        <v>152</v>
      </c>
      <c r="L44" s="132" t="n">
        <v>84</v>
      </c>
      <c r="M44" s="133" t="s">
        <v>388</v>
      </c>
      <c r="N44" s="134" t="s">
        <v>389</v>
      </c>
      <c r="O44" s="134" t="s">
        <v>390</v>
      </c>
      <c r="P44" s="128" t="n">
        <v>88715</v>
      </c>
      <c r="T44" s="128" t="s">
        <v>148</v>
      </c>
      <c r="U44" s="132" t="n">
        <v>81</v>
      </c>
      <c r="V44" s="133" t="s">
        <v>391</v>
      </c>
      <c r="W44" s="134" t="s">
        <v>392</v>
      </c>
      <c r="X44" s="134" t="s">
        <v>393</v>
      </c>
      <c r="Y44" s="128" t="n">
        <v>89138</v>
      </c>
      <c r="Z44" s="128"/>
    </row>
    <row r="45" customFormat="false" ht="23.25" hidden="false" customHeight="true" outlineLevel="0" collapsed="false">
      <c r="A45" s="128" t="s">
        <v>148</v>
      </c>
      <c r="B45" s="132" t="n">
        <v>42</v>
      </c>
      <c r="C45" s="133" t="s">
        <v>272</v>
      </c>
      <c r="D45" s="134" t="s">
        <v>273</v>
      </c>
      <c r="E45" s="134" t="s">
        <v>274</v>
      </c>
      <c r="F45" s="128" t="n">
        <v>88498</v>
      </c>
      <c r="G45" s="128"/>
      <c r="K45" s="128" t="s">
        <v>148</v>
      </c>
      <c r="L45" s="132" t="n">
        <v>62</v>
      </c>
      <c r="M45" s="133" t="s">
        <v>355</v>
      </c>
      <c r="N45" s="134" t="s">
        <v>356</v>
      </c>
      <c r="O45" s="134" t="s">
        <v>357</v>
      </c>
      <c r="P45" s="128" t="n">
        <v>88726</v>
      </c>
      <c r="T45" s="128" t="s">
        <v>148</v>
      </c>
      <c r="U45" s="132" t="n">
        <v>82</v>
      </c>
      <c r="V45" s="133" t="s">
        <v>394</v>
      </c>
      <c r="W45" s="134" t="s">
        <v>395</v>
      </c>
      <c r="X45" s="134" t="s">
        <v>396</v>
      </c>
      <c r="Y45" s="128" t="n">
        <v>88864</v>
      </c>
      <c r="Z45" s="128"/>
    </row>
    <row r="46" customFormat="false" ht="23.25" hidden="false" customHeight="true" outlineLevel="0" collapsed="false">
      <c r="A46" s="128" t="s">
        <v>152</v>
      </c>
      <c r="B46" s="132" t="n">
        <v>43</v>
      </c>
      <c r="C46" s="133" t="s">
        <v>260</v>
      </c>
      <c r="D46" s="134" t="s">
        <v>261</v>
      </c>
      <c r="E46" s="134" t="s">
        <v>262</v>
      </c>
      <c r="F46" s="128" t="n">
        <v>88490</v>
      </c>
      <c r="G46" s="128"/>
      <c r="K46" s="128" t="s">
        <v>148</v>
      </c>
      <c r="L46" s="132" t="n">
        <v>96</v>
      </c>
      <c r="M46" s="133" t="s">
        <v>397</v>
      </c>
      <c r="N46" s="134" t="s">
        <v>398</v>
      </c>
      <c r="O46" s="134" t="s">
        <v>399</v>
      </c>
      <c r="P46" s="128" t="n">
        <v>88763</v>
      </c>
      <c r="T46" s="128" t="s">
        <v>148</v>
      </c>
      <c r="U46" s="132" t="n">
        <v>83</v>
      </c>
      <c r="V46" s="133" t="s">
        <v>400</v>
      </c>
      <c r="W46" s="134" t="s">
        <v>401</v>
      </c>
      <c r="X46" s="134" t="s">
        <v>402</v>
      </c>
      <c r="Y46" s="128" t="n">
        <v>88798</v>
      </c>
      <c r="Z46" s="128"/>
    </row>
    <row r="47" customFormat="false" ht="23.25" hidden="false" customHeight="true" outlineLevel="0" collapsed="false">
      <c r="A47" s="128" t="s">
        <v>148</v>
      </c>
      <c r="B47" s="132" t="n">
        <v>44</v>
      </c>
      <c r="C47" s="133" t="s">
        <v>304</v>
      </c>
      <c r="D47" s="134" t="s">
        <v>305</v>
      </c>
      <c r="E47" s="134" t="s">
        <v>306</v>
      </c>
      <c r="F47" s="128" t="n">
        <v>89455</v>
      </c>
      <c r="G47" s="128"/>
      <c r="K47" s="128" t="s">
        <v>152</v>
      </c>
      <c r="L47" s="132" t="n">
        <v>33</v>
      </c>
      <c r="M47" s="133" t="s">
        <v>358</v>
      </c>
      <c r="N47" s="134" t="s">
        <v>359</v>
      </c>
      <c r="O47" s="134" t="s">
        <v>360</v>
      </c>
      <c r="P47" s="128" t="n">
        <v>88782</v>
      </c>
      <c r="T47" s="128" t="s">
        <v>148</v>
      </c>
      <c r="U47" s="132" t="n">
        <v>86</v>
      </c>
      <c r="V47" s="133" t="s">
        <v>403</v>
      </c>
      <c r="W47" s="134" t="s">
        <v>404</v>
      </c>
      <c r="X47" s="134" t="s">
        <v>405</v>
      </c>
      <c r="Y47" s="128" t="n">
        <v>88896</v>
      </c>
      <c r="Z47" s="128"/>
    </row>
    <row r="48" customFormat="false" ht="23.25" hidden="false" customHeight="true" outlineLevel="0" collapsed="false">
      <c r="A48" s="128" t="s">
        <v>152</v>
      </c>
      <c r="B48" s="132" t="n">
        <v>45</v>
      </c>
      <c r="C48" s="133" t="s">
        <v>406</v>
      </c>
      <c r="D48" s="134" t="s">
        <v>407</v>
      </c>
      <c r="E48" s="134" t="s">
        <v>408</v>
      </c>
      <c r="F48" s="128" t="n">
        <v>88926</v>
      </c>
      <c r="G48" s="128"/>
      <c r="K48" s="128" t="s">
        <v>148</v>
      </c>
      <c r="L48" s="132" t="n">
        <v>83</v>
      </c>
      <c r="M48" s="133" t="s">
        <v>400</v>
      </c>
      <c r="N48" s="134" t="s">
        <v>401</v>
      </c>
      <c r="O48" s="134" t="s">
        <v>402</v>
      </c>
      <c r="P48" s="128" t="n">
        <v>88798</v>
      </c>
      <c r="T48" s="128" t="s">
        <v>148</v>
      </c>
      <c r="U48" s="132" t="n">
        <v>87</v>
      </c>
      <c r="V48" s="133" t="s">
        <v>301</v>
      </c>
      <c r="W48" s="134" t="s">
        <v>302</v>
      </c>
      <c r="X48" s="134" t="s">
        <v>303</v>
      </c>
      <c r="Y48" s="128" t="n">
        <v>88529</v>
      </c>
      <c r="Z48" s="128"/>
    </row>
    <row r="49" customFormat="false" ht="23.25" hidden="false" customHeight="true" outlineLevel="0" collapsed="false">
      <c r="A49" s="128" t="s">
        <v>148</v>
      </c>
      <c r="B49" s="132" t="n">
        <v>46</v>
      </c>
      <c r="C49" s="133" t="s">
        <v>313</v>
      </c>
      <c r="D49" s="134" t="s">
        <v>314</v>
      </c>
      <c r="E49" s="134" t="s">
        <v>315</v>
      </c>
      <c r="F49" s="128" t="n">
        <v>89267</v>
      </c>
      <c r="G49" s="128"/>
      <c r="K49" s="128" t="s">
        <v>152</v>
      </c>
      <c r="L49" s="132" t="n">
        <v>16</v>
      </c>
      <c r="M49" s="133" t="s">
        <v>257</v>
      </c>
      <c r="N49" s="134" t="s">
        <v>258</v>
      </c>
      <c r="O49" s="134" t="s">
        <v>259</v>
      </c>
      <c r="P49" s="128" t="n">
        <v>88808</v>
      </c>
      <c r="T49" s="128" t="s">
        <v>148</v>
      </c>
      <c r="U49" s="132" t="n">
        <v>93</v>
      </c>
      <c r="V49" s="133" t="s">
        <v>409</v>
      </c>
      <c r="W49" s="134" t="s">
        <v>410</v>
      </c>
      <c r="X49" s="134" t="s">
        <v>411</v>
      </c>
      <c r="Y49" s="128" t="n">
        <v>89372</v>
      </c>
      <c r="Z49" s="128"/>
    </row>
    <row r="50" customFormat="false" ht="23.25" hidden="false" customHeight="true" outlineLevel="0" collapsed="false">
      <c r="A50" s="128" t="s">
        <v>148</v>
      </c>
      <c r="B50" s="132" t="n">
        <v>47</v>
      </c>
      <c r="C50" s="133" t="s">
        <v>319</v>
      </c>
      <c r="D50" s="134" t="s">
        <v>320</v>
      </c>
      <c r="E50" s="134" t="s">
        <v>321</v>
      </c>
      <c r="F50" s="128" t="n">
        <v>89438</v>
      </c>
      <c r="G50" s="128"/>
      <c r="K50" s="128" t="s">
        <v>152</v>
      </c>
      <c r="L50" s="132" t="n">
        <v>94</v>
      </c>
      <c r="M50" s="133" t="s">
        <v>412</v>
      </c>
      <c r="N50" s="134" t="s">
        <v>413</v>
      </c>
      <c r="O50" s="134" t="s">
        <v>414</v>
      </c>
      <c r="P50" s="128" t="n">
        <v>88839</v>
      </c>
      <c r="T50" s="128" t="s">
        <v>148</v>
      </c>
      <c r="U50" s="132" t="n">
        <v>96</v>
      </c>
      <c r="V50" s="133" t="s">
        <v>397</v>
      </c>
      <c r="W50" s="134" t="s">
        <v>398</v>
      </c>
      <c r="X50" s="134" t="s">
        <v>399</v>
      </c>
      <c r="Y50" s="128" t="n">
        <v>88763</v>
      </c>
      <c r="Z50" s="128"/>
    </row>
    <row r="51" customFormat="false" ht="23.25" hidden="false" customHeight="true" outlineLevel="0" collapsed="false">
      <c r="A51" s="128" t="s">
        <v>152</v>
      </c>
      <c r="B51" s="132" t="n">
        <v>48</v>
      </c>
      <c r="C51" s="133" t="s">
        <v>180</v>
      </c>
      <c r="D51" s="134" t="s">
        <v>181</v>
      </c>
      <c r="E51" s="134" t="s">
        <v>182</v>
      </c>
      <c r="F51" s="128" t="n">
        <v>88213</v>
      </c>
      <c r="G51" s="128"/>
      <c r="K51" s="128" t="s">
        <v>148</v>
      </c>
      <c r="L51" s="132" t="n">
        <v>56</v>
      </c>
      <c r="M51" s="133" t="s">
        <v>344</v>
      </c>
      <c r="N51" s="134" t="s">
        <v>345</v>
      </c>
      <c r="O51" s="134" t="s">
        <v>346</v>
      </c>
      <c r="P51" s="128" t="n">
        <v>88843</v>
      </c>
      <c r="T51" s="128" t="s">
        <v>148</v>
      </c>
      <c r="U51" s="132" t="n">
        <v>98</v>
      </c>
      <c r="V51" s="133" t="s">
        <v>415</v>
      </c>
      <c r="W51" s="134" t="s">
        <v>416</v>
      </c>
      <c r="X51" s="134" t="s">
        <v>417</v>
      </c>
      <c r="Y51" s="128" t="n">
        <v>89401</v>
      </c>
      <c r="Z51" s="128"/>
    </row>
    <row r="52" customFormat="false" ht="23.25" hidden="false" customHeight="true" outlineLevel="0" collapsed="false">
      <c r="A52" s="128" t="s">
        <v>148</v>
      </c>
      <c r="B52" s="132" t="n">
        <v>49</v>
      </c>
      <c r="C52" s="133" t="s">
        <v>251</v>
      </c>
      <c r="D52" s="134" t="s">
        <v>252</v>
      </c>
      <c r="E52" s="134" t="s">
        <v>253</v>
      </c>
      <c r="F52" s="128" t="n">
        <v>88485</v>
      </c>
      <c r="G52" s="128"/>
      <c r="K52" s="128" t="s">
        <v>148</v>
      </c>
      <c r="L52" s="132" t="n">
        <v>1</v>
      </c>
      <c r="M52" s="133" t="s">
        <v>149</v>
      </c>
      <c r="N52" s="134" t="s">
        <v>150</v>
      </c>
      <c r="O52" s="134" t="s">
        <v>151</v>
      </c>
      <c r="P52" s="128" t="n">
        <v>88844</v>
      </c>
      <c r="T52" s="128" t="s">
        <v>148</v>
      </c>
      <c r="U52" s="132" t="n">
        <v>99</v>
      </c>
      <c r="V52" s="133" t="s">
        <v>165</v>
      </c>
      <c r="W52" s="134" t="s">
        <v>166</v>
      </c>
      <c r="X52" s="134" t="s">
        <v>167</v>
      </c>
      <c r="Y52" s="128" t="n">
        <v>88205</v>
      </c>
      <c r="Z52" s="128"/>
    </row>
    <row r="53" customFormat="false" ht="23.25" hidden="false" customHeight="true" outlineLevel="0" collapsed="false">
      <c r="A53" s="128" t="s">
        <v>152</v>
      </c>
      <c r="B53" s="132" t="n">
        <v>50</v>
      </c>
      <c r="C53" s="137" t="s">
        <v>418</v>
      </c>
      <c r="D53" s="138" t="n">
        <v>21373</v>
      </c>
      <c r="E53" s="138" t="n">
        <v>2373</v>
      </c>
      <c r="F53" s="128" t="n">
        <v>89375</v>
      </c>
      <c r="G53" s="128"/>
      <c r="K53" s="128" t="s">
        <v>148</v>
      </c>
      <c r="L53" s="132" t="n">
        <v>2</v>
      </c>
      <c r="M53" s="133" t="s">
        <v>156</v>
      </c>
      <c r="N53" s="134" t="s">
        <v>157</v>
      </c>
      <c r="O53" s="134" t="s">
        <v>158</v>
      </c>
      <c r="P53" s="128" t="n">
        <v>88856</v>
      </c>
      <c r="T53" s="128" t="s">
        <v>148</v>
      </c>
      <c r="U53" s="132" t="n">
        <v>100</v>
      </c>
      <c r="V53" s="133" t="s">
        <v>159</v>
      </c>
      <c r="W53" s="134" t="s">
        <v>160</v>
      </c>
      <c r="X53" s="134" t="s">
        <v>161</v>
      </c>
      <c r="Y53" s="128" t="n">
        <v>88181</v>
      </c>
      <c r="Z53" s="128"/>
    </row>
    <row r="54" customFormat="false" ht="23.25" hidden="false" customHeight="true" outlineLevel="0" collapsed="false">
      <c r="A54" s="128" t="s">
        <v>152</v>
      </c>
      <c r="B54" s="132" t="n">
        <v>51</v>
      </c>
      <c r="C54" s="133" t="s">
        <v>419</v>
      </c>
      <c r="D54" s="134" t="s">
        <v>420</v>
      </c>
      <c r="E54" s="134" t="s">
        <v>421</v>
      </c>
      <c r="F54" s="128" t="n">
        <v>89051</v>
      </c>
      <c r="G54" s="128"/>
      <c r="K54" s="128" t="s">
        <v>148</v>
      </c>
      <c r="L54" s="132" t="n">
        <v>82</v>
      </c>
      <c r="M54" s="133" t="s">
        <v>394</v>
      </c>
      <c r="N54" s="134" t="s">
        <v>395</v>
      </c>
      <c r="O54" s="134" t="s">
        <v>396</v>
      </c>
      <c r="P54" s="128" t="n">
        <v>88864</v>
      </c>
      <c r="T54" s="128" t="s">
        <v>152</v>
      </c>
      <c r="U54" s="132" t="n">
        <v>3</v>
      </c>
      <c r="V54" s="133" t="s">
        <v>162</v>
      </c>
      <c r="W54" s="134" t="s">
        <v>163</v>
      </c>
      <c r="X54" s="134" t="s">
        <v>164</v>
      </c>
      <c r="Y54" s="128" t="n">
        <v>88611</v>
      </c>
      <c r="Z54" s="128"/>
    </row>
    <row r="55" customFormat="false" ht="23.25" hidden="false" customHeight="true" outlineLevel="0" collapsed="false">
      <c r="A55" s="128" t="s">
        <v>148</v>
      </c>
      <c r="B55" s="132" t="n">
        <v>52</v>
      </c>
      <c r="C55" s="133" t="s">
        <v>329</v>
      </c>
      <c r="D55" s="134" t="s">
        <v>330</v>
      </c>
      <c r="E55" s="134" t="s">
        <v>331</v>
      </c>
      <c r="F55" s="128" t="n">
        <v>89784</v>
      </c>
      <c r="G55" s="128"/>
      <c r="K55" s="128" t="s">
        <v>152</v>
      </c>
      <c r="L55" s="132" t="n">
        <v>65</v>
      </c>
      <c r="M55" s="133" t="s">
        <v>422</v>
      </c>
      <c r="N55" s="134" t="s">
        <v>423</v>
      </c>
      <c r="O55" s="134" t="s">
        <v>424</v>
      </c>
      <c r="P55" s="128" t="n">
        <v>88888</v>
      </c>
      <c r="T55" s="128" t="s">
        <v>152</v>
      </c>
      <c r="U55" s="132" t="n">
        <v>5</v>
      </c>
      <c r="V55" s="133" t="s">
        <v>177</v>
      </c>
      <c r="W55" s="134" t="s">
        <v>178</v>
      </c>
      <c r="X55" s="134" t="s">
        <v>179</v>
      </c>
      <c r="Y55" s="128" t="n">
        <v>89213</v>
      </c>
      <c r="Z55" s="128"/>
    </row>
    <row r="56" customFormat="false" ht="23.25" hidden="false" customHeight="true" outlineLevel="0" collapsed="false">
      <c r="A56" s="128" t="s">
        <v>152</v>
      </c>
      <c r="B56" s="132" t="n">
        <v>53</v>
      </c>
      <c r="C56" s="133" t="s">
        <v>208</v>
      </c>
      <c r="D56" s="134" t="s">
        <v>209</v>
      </c>
      <c r="E56" s="134" t="s">
        <v>210</v>
      </c>
      <c r="F56" s="128" t="n">
        <v>88264</v>
      </c>
      <c r="G56" s="128"/>
      <c r="K56" s="128" t="s">
        <v>148</v>
      </c>
      <c r="L56" s="132" t="n">
        <v>86</v>
      </c>
      <c r="M56" s="133" t="s">
        <v>403</v>
      </c>
      <c r="N56" s="134" t="s">
        <v>404</v>
      </c>
      <c r="O56" s="134" t="s">
        <v>405</v>
      </c>
      <c r="P56" s="128" t="n">
        <v>88896</v>
      </c>
      <c r="T56" s="128" t="s">
        <v>152</v>
      </c>
      <c r="U56" s="132" t="n">
        <v>7</v>
      </c>
      <c r="V56" s="133" t="s">
        <v>192</v>
      </c>
      <c r="W56" s="134" t="s">
        <v>193</v>
      </c>
      <c r="X56" s="134" t="s">
        <v>194</v>
      </c>
      <c r="Y56" s="128" t="n">
        <v>89154</v>
      </c>
      <c r="Z56" s="128" t="s">
        <v>195</v>
      </c>
    </row>
    <row r="57" customFormat="false" ht="23.25" hidden="false" customHeight="true" outlineLevel="0" collapsed="false">
      <c r="A57" s="128" t="s">
        <v>152</v>
      </c>
      <c r="B57" s="132" t="n">
        <v>54</v>
      </c>
      <c r="C57" s="133" t="s">
        <v>425</v>
      </c>
      <c r="D57" s="134" t="s">
        <v>426</v>
      </c>
      <c r="E57" s="134" t="s">
        <v>427</v>
      </c>
      <c r="F57" s="128" t="n">
        <v>89059</v>
      </c>
      <c r="G57" s="128"/>
      <c r="K57" s="128" t="s">
        <v>152</v>
      </c>
      <c r="L57" s="132" t="n">
        <v>24</v>
      </c>
      <c r="M57" s="133" t="s">
        <v>307</v>
      </c>
      <c r="N57" s="134" t="s">
        <v>308</v>
      </c>
      <c r="O57" s="134" t="s">
        <v>309</v>
      </c>
      <c r="P57" s="128" t="n">
        <v>88897</v>
      </c>
      <c r="T57" s="128" t="s">
        <v>152</v>
      </c>
      <c r="U57" s="132" t="n">
        <v>10</v>
      </c>
      <c r="V57" s="133" t="s">
        <v>214</v>
      </c>
      <c r="W57" s="134" t="s">
        <v>215</v>
      </c>
      <c r="X57" s="134" t="s">
        <v>216</v>
      </c>
      <c r="Y57" s="128" t="n">
        <v>89427</v>
      </c>
      <c r="Z57" s="128" t="s">
        <v>217</v>
      </c>
    </row>
    <row r="58" customFormat="false" ht="23.25" hidden="false" customHeight="true" outlineLevel="0" collapsed="false">
      <c r="A58" s="128" t="s">
        <v>148</v>
      </c>
      <c r="B58" s="132" t="n">
        <v>55</v>
      </c>
      <c r="C58" s="133" t="s">
        <v>338</v>
      </c>
      <c r="D58" s="134" t="s">
        <v>339</v>
      </c>
      <c r="E58" s="134" t="s">
        <v>340</v>
      </c>
      <c r="F58" s="128" t="n">
        <v>89262</v>
      </c>
      <c r="G58" s="128"/>
      <c r="K58" s="128" t="s">
        <v>148</v>
      </c>
      <c r="L58" s="132" t="n">
        <v>32</v>
      </c>
      <c r="M58" s="133" t="s">
        <v>269</v>
      </c>
      <c r="N58" s="134" t="s">
        <v>270</v>
      </c>
      <c r="O58" s="134" t="s">
        <v>271</v>
      </c>
      <c r="P58" s="128" t="n">
        <v>88910</v>
      </c>
      <c r="T58" s="128" t="s">
        <v>152</v>
      </c>
      <c r="U58" s="132" t="n">
        <v>11</v>
      </c>
      <c r="V58" s="133" t="s">
        <v>221</v>
      </c>
      <c r="W58" s="134" t="s">
        <v>222</v>
      </c>
      <c r="X58" s="134" t="s">
        <v>223</v>
      </c>
      <c r="Y58" s="128" t="n">
        <v>89072</v>
      </c>
      <c r="Z58" s="128"/>
    </row>
    <row r="59" customFormat="false" ht="23.25" hidden="false" customHeight="true" outlineLevel="0" collapsed="false">
      <c r="A59" s="128" t="s">
        <v>148</v>
      </c>
      <c r="B59" s="132" t="n">
        <v>56</v>
      </c>
      <c r="C59" s="133" t="s">
        <v>344</v>
      </c>
      <c r="D59" s="134" t="s">
        <v>345</v>
      </c>
      <c r="E59" s="134" t="s">
        <v>346</v>
      </c>
      <c r="F59" s="128" t="n">
        <v>88843</v>
      </c>
      <c r="G59" s="128"/>
      <c r="K59" s="128" t="s">
        <v>152</v>
      </c>
      <c r="L59" s="132" t="n">
        <v>97</v>
      </c>
      <c r="M59" s="133" t="s">
        <v>428</v>
      </c>
      <c r="N59" s="134" t="s">
        <v>429</v>
      </c>
      <c r="O59" s="134" t="s">
        <v>430</v>
      </c>
      <c r="P59" s="128" t="n">
        <v>88913</v>
      </c>
      <c r="T59" s="128" t="s">
        <v>152</v>
      </c>
      <c r="U59" s="132" t="n">
        <v>14</v>
      </c>
      <c r="V59" s="133" t="s">
        <v>239</v>
      </c>
      <c r="W59" s="134" t="s">
        <v>240</v>
      </c>
      <c r="X59" s="134" t="s">
        <v>241</v>
      </c>
      <c r="Y59" s="128" t="n">
        <v>89380</v>
      </c>
      <c r="Z59" s="128"/>
    </row>
    <row r="60" customFormat="false" ht="23.25" hidden="false" customHeight="true" outlineLevel="0" collapsed="false">
      <c r="A60" s="128" t="s">
        <v>148</v>
      </c>
      <c r="B60" s="132" t="n">
        <v>57</v>
      </c>
      <c r="C60" s="133" t="s">
        <v>347</v>
      </c>
      <c r="D60" s="134" t="s">
        <v>348</v>
      </c>
      <c r="E60" s="134" t="s">
        <v>349</v>
      </c>
      <c r="F60" s="128" t="n">
        <v>89792</v>
      </c>
      <c r="G60" s="128"/>
      <c r="K60" s="128" t="s">
        <v>152</v>
      </c>
      <c r="L60" s="132" t="n">
        <v>45</v>
      </c>
      <c r="M60" s="133" t="s">
        <v>406</v>
      </c>
      <c r="N60" s="134" t="s">
        <v>407</v>
      </c>
      <c r="O60" s="134" t="s">
        <v>408</v>
      </c>
      <c r="P60" s="128" t="n">
        <v>88926</v>
      </c>
      <c r="T60" s="128" t="s">
        <v>152</v>
      </c>
      <c r="U60" s="132" t="n">
        <v>15</v>
      </c>
      <c r="V60" s="133" t="s">
        <v>248</v>
      </c>
      <c r="W60" s="134" t="s">
        <v>249</v>
      </c>
      <c r="X60" s="134" t="s">
        <v>250</v>
      </c>
      <c r="Y60" s="128" t="n">
        <v>89446</v>
      </c>
      <c r="Z60" s="128"/>
    </row>
    <row r="61" customFormat="false" ht="23.25" hidden="false" customHeight="true" outlineLevel="0" collapsed="false">
      <c r="A61" s="128" t="s">
        <v>148</v>
      </c>
      <c r="B61" s="132" t="n">
        <v>58</v>
      </c>
      <c r="C61" s="133" t="s">
        <v>350</v>
      </c>
      <c r="D61" s="134" t="s">
        <v>351</v>
      </c>
      <c r="E61" s="134" t="s">
        <v>352</v>
      </c>
      <c r="F61" s="128" t="n">
        <v>88708</v>
      </c>
      <c r="G61" s="128"/>
      <c r="K61" s="128" t="s">
        <v>148</v>
      </c>
      <c r="L61" s="132" t="n">
        <v>25</v>
      </c>
      <c r="M61" s="133" t="s">
        <v>233</v>
      </c>
      <c r="N61" s="134" t="s">
        <v>234</v>
      </c>
      <c r="O61" s="134" t="s">
        <v>235</v>
      </c>
      <c r="P61" s="128" t="n">
        <v>88955</v>
      </c>
      <c r="T61" s="128" t="s">
        <v>152</v>
      </c>
      <c r="U61" s="132" t="n">
        <v>16</v>
      </c>
      <c r="V61" s="133" t="s">
        <v>257</v>
      </c>
      <c r="W61" s="134" t="s">
        <v>258</v>
      </c>
      <c r="X61" s="134" t="s">
        <v>259</v>
      </c>
      <c r="Y61" s="128" t="n">
        <v>88808</v>
      </c>
      <c r="Z61" s="128"/>
    </row>
    <row r="62" customFormat="false" ht="23.25" hidden="false" customHeight="true" outlineLevel="0" collapsed="false">
      <c r="A62" s="128" t="s">
        <v>152</v>
      </c>
      <c r="B62" s="132" t="n">
        <v>59</v>
      </c>
      <c r="C62" s="133" t="s">
        <v>341</v>
      </c>
      <c r="D62" s="134" t="s">
        <v>342</v>
      </c>
      <c r="E62" s="134" t="s">
        <v>343</v>
      </c>
      <c r="F62" s="128" t="n">
        <v>88609</v>
      </c>
      <c r="G62" s="128"/>
      <c r="K62" s="128" t="s">
        <v>148</v>
      </c>
      <c r="L62" s="132" t="n">
        <v>29</v>
      </c>
      <c r="M62" s="133" t="s">
        <v>245</v>
      </c>
      <c r="N62" s="134" t="s">
        <v>246</v>
      </c>
      <c r="O62" s="134" t="s">
        <v>247</v>
      </c>
      <c r="P62" s="128" t="n">
        <v>88967</v>
      </c>
      <c r="T62" s="128" t="s">
        <v>152</v>
      </c>
      <c r="U62" s="132" t="n">
        <v>19</v>
      </c>
      <c r="V62" s="133" t="s">
        <v>171</v>
      </c>
      <c r="W62" s="134" t="s">
        <v>172</v>
      </c>
      <c r="X62" s="134" t="s">
        <v>173</v>
      </c>
      <c r="Y62" s="128" t="n">
        <v>88209</v>
      </c>
      <c r="Z62" s="128" t="s">
        <v>278</v>
      </c>
    </row>
    <row r="63" customFormat="false" ht="23.25" hidden="false" customHeight="true" outlineLevel="0" collapsed="false">
      <c r="A63" s="128" t="s">
        <v>152</v>
      </c>
      <c r="B63" s="132" t="n">
        <v>60</v>
      </c>
      <c r="C63" s="133" t="s">
        <v>295</v>
      </c>
      <c r="D63" s="134" t="s">
        <v>296</v>
      </c>
      <c r="E63" s="134" t="s">
        <v>297</v>
      </c>
      <c r="F63" s="128" t="n">
        <v>88527</v>
      </c>
      <c r="G63" s="128"/>
      <c r="K63" s="128" t="s">
        <v>148</v>
      </c>
      <c r="L63" s="132" t="n">
        <v>30</v>
      </c>
      <c r="M63" s="133" t="s">
        <v>254</v>
      </c>
      <c r="N63" s="134" t="s">
        <v>255</v>
      </c>
      <c r="O63" s="134" t="s">
        <v>256</v>
      </c>
      <c r="P63" s="128" t="n">
        <v>88980</v>
      </c>
      <c r="T63" s="128" t="s">
        <v>152</v>
      </c>
      <c r="U63" s="132" t="n">
        <v>20</v>
      </c>
      <c r="V63" s="133" t="s">
        <v>285</v>
      </c>
      <c r="W63" s="134" t="s">
        <v>286</v>
      </c>
      <c r="X63" s="134" t="s">
        <v>287</v>
      </c>
      <c r="Y63" s="128" t="n">
        <v>89112</v>
      </c>
      <c r="Z63" s="128"/>
    </row>
    <row r="64" customFormat="false" ht="23.25" hidden="false" customHeight="true" outlineLevel="0" collapsed="false">
      <c r="A64" s="128" t="s">
        <v>152</v>
      </c>
      <c r="B64" s="132" t="n">
        <v>61</v>
      </c>
      <c r="C64" s="133" t="s">
        <v>431</v>
      </c>
      <c r="D64" s="134" t="s">
        <v>432</v>
      </c>
      <c r="E64" s="134" t="s">
        <v>433</v>
      </c>
      <c r="F64" s="128" t="n">
        <v>89376</v>
      </c>
      <c r="G64" s="128"/>
      <c r="K64" s="128" t="s">
        <v>148</v>
      </c>
      <c r="L64" s="132" t="n">
        <v>73</v>
      </c>
      <c r="M64" s="133" t="s">
        <v>373</v>
      </c>
      <c r="N64" s="134" t="s">
        <v>374</v>
      </c>
      <c r="O64" s="134" t="s">
        <v>375</v>
      </c>
      <c r="P64" s="128" t="n">
        <v>88987</v>
      </c>
      <c r="T64" s="128" t="s">
        <v>152</v>
      </c>
      <c r="U64" s="132" t="n">
        <v>21</v>
      </c>
      <c r="V64" s="133" t="s">
        <v>288</v>
      </c>
      <c r="W64" s="134" t="s">
        <v>289</v>
      </c>
      <c r="X64" s="134" t="s">
        <v>290</v>
      </c>
      <c r="Y64" s="128" t="n">
        <v>88521</v>
      </c>
      <c r="Z64" s="128" t="s">
        <v>294</v>
      </c>
    </row>
    <row r="65" customFormat="false" ht="23.25" hidden="false" customHeight="true" outlineLevel="0" collapsed="false">
      <c r="A65" s="128" t="s">
        <v>148</v>
      </c>
      <c r="B65" s="132" t="n">
        <v>62</v>
      </c>
      <c r="C65" s="133" t="s">
        <v>355</v>
      </c>
      <c r="D65" s="134" t="s">
        <v>356</v>
      </c>
      <c r="E65" s="134" t="s">
        <v>357</v>
      </c>
      <c r="F65" s="128" t="n">
        <v>88726</v>
      </c>
      <c r="G65" s="128"/>
      <c r="K65" s="128" t="s">
        <v>152</v>
      </c>
      <c r="L65" s="132" t="n">
        <v>89</v>
      </c>
      <c r="M65" s="133" t="s">
        <v>434</v>
      </c>
      <c r="N65" s="134" t="s">
        <v>435</v>
      </c>
      <c r="O65" s="134" t="s">
        <v>436</v>
      </c>
      <c r="P65" s="128" t="n">
        <v>88991</v>
      </c>
      <c r="T65" s="128" t="s">
        <v>152</v>
      </c>
      <c r="U65" s="132" t="n">
        <v>23</v>
      </c>
      <c r="V65" s="133" t="s">
        <v>153</v>
      </c>
      <c r="W65" s="134" t="s">
        <v>154</v>
      </c>
      <c r="X65" s="134" t="s">
        <v>155</v>
      </c>
      <c r="Y65" s="128" t="n">
        <v>88173</v>
      </c>
      <c r="Z65" s="128"/>
    </row>
    <row r="66" customFormat="false" ht="23.25" hidden="false" customHeight="true" outlineLevel="0" collapsed="false">
      <c r="A66" s="128" t="s">
        <v>152</v>
      </c>
      <c r="B66" s="136" t="n">
        <v>63</v>
      </c>
      <c r="C66" s="137" t="s">
        <v>326</v>
      </c>
      <c r="D66" s="138" t="s">
        <v>327</v>
      </c>
      <c r="E66" s="138" t="s">
        <v>328</v>
      </c>
      <c r="F66" s="128" t="n">
        <v>88571</v>
      </c>
      <c r="G66" s="128" t="s">
        <v>437</v>
      </c>
      <c r="K66" s="128" t="s">
        <v>152</v>
      </c>
      <c r="L66" s="132" t="n">
        <v>51</v>
      </c>
      <c r="M66" s="133" t="s">
        <v>419</v>
      </c>
      <c r="N66" s="134" t="s">
        <v>420</v>
      </c>
      <c r="O66" s="134" t="s">
        <v>421</v>
      </c>
      <c r="P66" s="128" t="n">
        <v>89051</v>
      </c>
      <c r="T66" s="128" t="s">
        <v>152</v>
      </c>
      <c r="U66" s="132" t="n">
        <v>24</v>
      </c>
      <c r="V66" s="133" t="s">
        <v>307</v>
      </c>
      <c r="W66" s="134" t="s">
        <v>308</v>
      </c>
      <c r="X66" s="134" t="s">
        <v>309</v>
      </c>
      <c r="Y66" s="128" t="n">
        <v>88897</v>
      </c>
      <c r="Z66" s="128"/>
    </row>
    <row r="67" customFormat="false" ht="23.25" hidden="false" customHeight="true" outlineLevel="0" collapsed="false">
      <c r="A67" s="128" t="s">
        <v>152</v>
      </c>
      <c r="B67" s="132" t="n">
        <v>64</v>
      </c>
      <c r="C67" s="133" t="s">
        <v>316</v>
      </c>
      <c r="D67" s="134" t="s">
        <v>317</v>
      </c>
      <c r="E67" s="134" t="s">
        <v>318</v>
      </c>
      <c r="F67" s="128" t="n">
        <v>88567</v>
      </c>
      <c r="G67" s="128"/>
      <c r="K67" s="128" t="s">
        <v>148</v>
      </c>
      <c r="L67" s="132" t="n">
        <v>17</v>
      </c>
      <c r="M67" s="133" t="s">
        <v>211</v>
      </c>
      <c r="N67" s="134" t="s">
        <v>212</v>
      </c>
      <c r="O67" s="134" t="s">
        <v>213</v>
      </c>
      <c r="P67" s="128" t="n">
        <v>89052</v>
      </c>
      <c r="T67" s="128" t="s">
        <v>152</v>
      </c>
      <c r="U67" s="132" t="n">
        <v>26</v>
      </c>
      <c r="V67" s="133" t="s">
        <v>322</v>
      </c>
      <c r="W67" s="134" t="s">
        <v>323</v>
      </c>
      <c r="X67" s="134" t="s">
        <v>324</v>
      </c>
      <c r="Y67" s="128" t="n">
        <v>89367</v>
      </c>
      <c r="Z67" s="128" t="s">
        <v>325</v>
      </c>
    </row>
    <row r="68" customFormat="false" ht="23.25" hidden="false" customHeight="true" outlineLevel="0" collapsed="false">
      <c r="A68" s="128" t="s">
        <v>152</v>
      </c>
      <c r="B68" s="132" t="n">
        <v>65</v>
      </c>
      <c r="C68" s="133" t="s">
        <v>422</v>
      </c>
      <c r="D68" s="134" t="s">
        <v>423</v>
      </c>
      <c r="E68" s="134" t="s">
        <v>424</v>
      </c>
      <c r="F68" s="128" t="n">
        <v>88888</v>
      </c>
      <c r="G68" s="128" t="s">
        <v>438</v>
      </c>
      <c r="K68" s="128" t="s">
        <v>152</v>
      </c>
      <c r="L68" s="132" t="n">
        <v>54</v>
      </c>
      <c r="M68" s="133" t="s">
        <v>425</v>
      </c>
      <c r="N68" s="134" t="s">
        <v>426</v>
      </c>
      <c r="O68" s="134" t="s">
        <v>427</v>
      </c>
      <c r="P68" s="128" t="n">
        <v>89059</v>
      </c>
      <c r="T68" s="128" t="s">
        <v>152</v>
      </c>
      <c r="U68" s="132" t="n">
        <v>28</v>
      </c>
      <c r="V68" s="133" t="s">
        <v>332</v>
      </c>
      <c r="W68" s="134" t="s">
        <v>333</v>
      </c>
      <c r="X68" s="134" t="s">
        <v>334</v>
      </c>
      <c r="Y68" s="128" t="n">
        <v>89124</v>
      </c>
      <c r="Z68" s="128"/>
    </row>
    <row r="69" customFormat="false" ht="23.25" hidden="false" customHeight="true" outlineLevel="0" collapsed="false">
      <c r="A69" s="128" t="s">
        <v>148</v>
      </c>
      <c r="B69" s="132" t="n">
        <v>66</v>
      </c>
      <c r="C69" s="133" t="s">
        <v>364</v>
      </c>
      <c r="D69" s="134" t="s">
        <v>365</v>
      </c>
      <c r="E69" s="134" t="s">
        <v>366</v>
      </c>
      <c r="F69" s="128" t="n">
        <v>88662</v>
      </c>
      <c r="G69" s="128"/>
      <c r="K69" s="128" t="s">
        <v>152</v>
      </c>
      <c r="L69" s="132" t="n">
        <v>11</v>
      </c>
      <c r="M69" s="133" t="s">
        <v>221</v>
      </c>
      <c r="N69" s="134" t="s">
        <v>222</v>
      </c>
      <c r="O69" s="134" t="s">
        <v>223</v>
      </c>
      <c r="P69" s="128" t="n">
        <v>89072</v>
      </c>
      <c r="T69" s="128" t="s">
        <v>152</v>
      </c>
      <c r="U69" s="132" t="n">
        <v>33</v>
      </c>
      <c r="V69" s="133" t="s">
        <v>358</v>
      </c>
      <c r="W69" s="134" t="s">
        <v>359</v>
      </c>
      <c r="X69" s="134" t="s">
        <v>360</v>
      </c>
      <c r="Y69" s="128" t="n">
        <v>88782</v>
      </c>
      <c r="Z69" s="128"/>
    </row>
    <row r="70" customFormat="false" ht="23.25" hidden="false" customHeight="true" outlineLevel="0" collapsed="false">
      <c r="A70" s="128" t="s">
        <v>148</v>
      </c>
      <c r="B70" s="132" t="n">
        <v>67</v>
      </c>
      <c r="C70" s="133" t="s">
        <v>370</v>
      </c>
      <c r="D70" s="134" t="s">
        <v>371</v>
      </c>
      <c r="E70" s="134" t="s">
        <v>372</v>
      </c>
      <c r="F70" s="128" t="n">
        <v>89220</v>
      </c>
      <c r="G70" s="128"/>
      <c r="K70" s="128" t="s">
        <v>152</v>
      </c>
      <c r="L70" s="132" t="n">
        <v>91</v>
      </c>
      <c r="M70" s="133" t="s">
        <v>439</v>
      </c>
      <c r="N70" s="134" t="s">
        <v>440</v>
      </c>
      <c r="O70" s="134" t="s">
        <v>441</v>
      </c>
      <c r="P70" s="128" t="n">
        <v>89101</v>
      </c>
      <c r="T70" s="128" t="s">
        <v>152</v>
      </c>
      <c r="U70" s="132" t="n">
        <v>34</v>
      </c>
      <c r="V70" s="133" t="s">
        <v>367</v>
      </c>
      <c r="W70" s="134" t="s">
        <v>368</v>
      </c>
      <c r="X70" s="134" t="s">
        <v>369</v>
      </c>
      <c r="Y70" s="128" t="n">
        <v>89180</v>
      </c>
      <c r="Z70" s="128"/>
    </row>
    <row r="71" customFormat="false" ht="23.25" hidden="false" customHeight="true" outlineLevel="0" collapsed="false">
      <c r="A71" s="128" t="s">
        <v>152</v>
      </c>
      <c r="B71" s="132" t="n">
        <v>68</v>
      </c>
      <c r="C71" s="133" t="s">
        <v>353</v>
      </c>
      <c r="D71" s="134" t="s">
        <v>354</v>
      </c>
      <c r="E71" s="135" t="n">
        <v>8296</v>
      </c>
      <c r="F71" s="128" t="n">
        <v>88615</v>
      </c>
      <c r="G71" s="128"/>
      <c r="K71" s="128" t="s">
        <v>152</v>
      </c>
      <c r="L71" s="132" t="n">
        <v>20</v>
      </c>
      <c r="M71" s="133" t="s">
        <v>285</v>
      </c>
      <c r="N71" s="134" t="s">
        <v>286</v>
      </c>
      <c r="O71" s="134" t="s">
        <v>287</v>
      </c>
      <c r="P71" s="128" t="n">
        <v>89112</v>
      </c>
      <c r="T71" s="128" t="s">
        <v>152</v>
      </c>
      <c r="U71" s="132" t="n">
        <v>36</v>
      </c>
      <c r="V71" s="133" t="s">
        <v>266</v>
      </c>
      <c r="W71" s="134" t="s">
        <v>267</v>
      </c>
      <c r="X71" s="134" t="s">
        <v>268</v>
      </c>
      <c r="Y71" s="128" t="n">
        <v>88497</v>
      </c>
      <c r="Z71" s="128"/>
    </row>
    <row r="72" customFormat="false" ht="23.25" hidden="false" customHeight="true" outlineLevel="0" collapsed="false">
      <c r="A72" s="128" t="s">
        <v>148</v>
      </c>
      <c r="B72" s="132" t="n">
        <v>69</v>
      </c>
      <c r="C72" s="133" t="s">
        <v>242</v>
      </c>
      <c r="D72" s="134" t="s">
        <v>243</v>
      </c>
      <c r="E72" s="134" t="s">
        <v>244</v>
      </c>
      <c r="F72" s="128" t="n">
        <v>88475</v>
      </c>
      <c r="G72" s="128"/>
      <c r="K72" s="128" t="s">
        <v>152</v>
      </c>
      <c r="L72" s="132" t="n">
        <v>28</v>
      </c>
      <c r="M72" s="133" t="s">
        <v>332</v>
      </c>
      <c r="N72" s="134" t="s">
        <v>333</v>
      </c>
      <c r="O72" s="134" t="s">
        <v>334</v>
      </c>
      <c r="P72" s="128" t="n">
        <v>89124</v>
      </c>
      <c r="T72" s="128" t="s">
        <v>152</v>
      </c>
      <c r="U72" s="132" t="n">
        <v>38</v>
      </c>
      <c r="V72" s="133" t="s">
        <v>230</v>
      </c>
      <c r="W72" s="134" t="s">
        <v>231</v>
      </c>
      <c r="X72" s="134" t="s">
        <v>232</v>
      </c>
      <c r="Y72" s="128" t="n">
        <v>88291</v>
      </c>
      <c r="Z72" s="128"/>
    </row>
    <row r="73" customFormat="false" ht="23.25" hidden="false" customHeight="true" outlineLevel="0" collapsed="false">
      <c r="A73" s="128" t="s">
        <v>152</v>
      </c>
      <c r="B73" s="132" t="n">
        <v>70</v>
      </c>
      <c r="C73" s="133" t="s">
        <v>442</v>
      </c>
      <c r="D73" s="134" t="s">
        <v>443</v>
      </c>
      <c r="E73" s="134" t="s">
        <v>444</v>
      </c>
      <c r="F73" s="128" t="n">
        <v>89397</v>
      </c>
      <c r="G73" s="128"/>
      <c r="K73" s="128" t="s">
        <v>152</v>
      </c>
      <c r="L73" s="132" t="n">
        <v>39</v>
      </c>
      <c r="M73" s="133" t="s">
        <v>385</v>
      </c>
      <c r="N73" s="134" t="s">
        <v>386</v>
      </c>
      <c r="O73" s="134" t="s">
        <v>387</v>
      </c>
      <c r="P73" s="128" t="n">
        <v>89127</v>
      </c>
      <c r="T73" s="128" t="s">
        <v>152</v>
      </c>
      <c r="U73" s="132" t="n">
        <v>39</v>
      </c>
      <c r="V73" s="133" t="s">
        <v>385</v>
      </c>
      <c r="W73" s="134" t="s">
        <v>386</v>
      </c>
      <c r="X73" s="134" t="s">
        <v>387</v>
      </c>
      <c r="Y73" s="128" t="n">
        <v>89127</v>
      </c>
      <c r="Z73" s="128"/>
    </row>
    <row r="74" customFormat="false" ht="23.25" hidden="false" customHeight="true" outlineLevel="0" collapsed="false">
      <c r="A74" s="128" t="s">
        <v>152</v>
      </c>
      <c r="B74" s="132" t="n">
        <v>71</v>
      </c>
      <c r="C74" s="133" t="s">
        <v>335</v>
      </c>
      <c r="D74" s="134" t="s">
        <v>336</v>
      </c>
      <c r="E74" s="134" t="s">
        <v>337</v>
      </c>
      <c r="F74" s="128" t="n">
        <v>88604</v>
      </c>
      <c r="G74" s="128" t="s">
        <v>445</v>
      </c>
      <c r="K74" s="128" t="s">
        <v>148</v>
      </c>
      <c r="L74" s="132" t="n">
        <v>81</v>
      </c>
      <c r="M74" s="133" t="s">
        <v>391</v>
      </c>
      <c r="N74" s="134" t="s">
        <v>392</v>
      </c>
      <c r="O74" s="134" t="s">
        <v>393</v>
      </c>
      <c r="P74" s="128" t="n">
        <v>89138</v>
      </c>
      <c r="T74" s="128" t="s">
        <v>152</v>
      </c>
      <c r="U74" s="132" t="n">
        <v>43</v>
      </c>
      <c r="V74" s="133" t="s">
        <v>260</v>
      </c>
      <c r="W74" s="134" t="s">
        <v>261</v>
      </c>
      <c r="X74" s="134" t="s">
        <v>262</v>
      </c>
      <c r="Y74" s="128" t="n">
        <v>88490</v>
      </c>
      <c r="Z74" s="128"/>
    </row>
    <row r="75" customFormat="false" ht="23.25" hidden="false" customHeight="true" outlineLevel="0" collapsed="false">
      <c r="A75" s="128" t="s">
        <v>152</v>
      </c>
      <c r="B75" s="132" t="n">
        <v>72</v>
      </c>
      <c r="C75" s="133" t="s">
        <v>279</v>
      </c>
      <c r="D75" s="134" t="s">
        <v>280</v>
      </c>
      <c r="E75" s="134" t="s">
        <v>281</v>
      </c>
      <c r="F75" s="128" t="n">
        <v>88513</v>
      </c>
      <c r="G75" s="128" t="s">
        <v>446</v>
      </c>
      <c r="K75" s="128" t="s">
        <v>148</v>
      </c>
      <c r="L75" s="132" t="n">
        <v>40</v>
      </c>
      <c r="M75" s="133" t="s">
        <v>291</v>
      </c>
      <c r="N75" s="134" t="s">
        <v>292</v>
      </c>
      <c r="O75" s="134" t="s">
        <v>293</v>
      </c>
      <c r="P75" s="128" t="n">
        <v>89145</v>
      </c>
      <c r="T75" s="128" t="s">
        <v>152</v>
      </c>
      <c r="U75" s="132" t="n">
        <v>45</v>
      </c>
      <c r="V75" s="133" t="s">
        <v>406</v>
      </c>
      <c r="W75" s="134" t="s">
        <v>407</v>
      </c>
      <c r="X75" s="134" t="s">
        <v>408</v>
      </c>
      <c r="Y75" s="128" t="n">
        <v>88926</v>
      </c>
      <c r="Z75" s="128"/>
    </row>
    <row r="76" customFormat="false" ht="23.25" hidden="false" customHeight="true" outlineLevel="0" collapsed="false">
      <c r="A76" s="128" t="s">
        <v>148</v>
      </c>
      <c r="B76" s="132" t="n">
        <v>73</v>
      </c>
      <c r="C76" s="133" t="s">
        <v>373</v>
      </c>
      <c r="D76" s="134" t="s">
        <v>374</v>
      </c>
      <c r="E76" s="134" t="s">
        <v>375</v>
      </c>
      <c r="F76" s="128" t="n">
        <v>88987</v>
      </c>
      <c r="G76" s="128"/>
      <c r="K76" s="128" t="s">
        <v>152</v>
      </c>
      <c r="L76" s="132" t="n">
        <v>7</v>
      </c>
      <c r="M76" s="133" t="s">
        <v>192</v>
      </c>
      <c r="N76" s="134" t="s">
        <v>193</v>
      </c>
      <c r="O76" s="134" t="s">
        <v>194</v>
      </c>
      <c r="P76" s="128" t="n">
        <v>89154</v>
      </c>
      <c r="T76" s="128" t="s">
        <v>152</v>
      </c>
      <c r="U76" s="132" t="n">
        <v>48</v>
      </c>
      <c r="V76" s="133" t="s">
        <v>180</v>
      </c>
      <c r="W76" s="134" t="s">
        <v>181</v>
      </c>
      <c r="X76" s="134" t="s">
        <v>182</v>
      </c>
      <c r="Y76" s="128" t="n">
        <v>88213</v>
      </c>
      <c r="Z76" s="128"/>
    </row>
    <row r="77" customFormat="false" ht="23.25" hidden="false" customHeight="true" outlineLevel="0" collapsed="false">
      <c r="A77" s="128" t="s">
        <v>152</v>
      </c>
      <c r="B77" s="132" t="n">
        <v>74</v>
      </c>
      <c r="C77" s="133" t="s">
        <v>361</v>
      </c>
      <c r="D77" s="134" t="s">
        <v>362</v>
      </c>
      <c r="E77" s="134" t="s">
        <v>363</v>
      </c>
      <c r="F77" s="128" t="n">
        <v>88623</v>
      </c>
      <c r="G77" s="128" t="s">
        <v>447</v>
      </c>
      <c r="K77" s="128" t="s">
        <v>148</v>
      </c>
      <c r="L77" s="132" t="n">
        <v>35</v>
      </c>
      <c r="M77" s="133" t="s">
        <v>275</v>
      </c>
      <c r="N77" s="134" t="s">
        <v>276</v>
      </c>
      <c r="O77" s="134" t="s">
        <v>277</v>
      </c>
      <c r="P77" s="128" t="n">
        <v>89163</v>
      </c>
      <c r="T77" s="128" t="s">
        <v>152</v>
      </c>
      <c r="U77" s="132" t="n">
        <v>50</v>
      </c>
      <c r="V77" s="137" t="s">
        <v>418</v>
      </c>
      <c r="W77" s="138" t="n">
        <v>21373</v>
      </c>
      <c r="X77" s="138" t="n">
        <v>2373</v>
      </c>
      <c r="Y77" s="128" t="n">
        <v>89375</v>
      </c>
      <c r="Z77" s="128"/>
    </row>
    <row r="78" customFormat="false" ht="23.25" hidden="false" customHeight="true" outlineLevel="0" collapsed="false">
      <c r="A78" s="128" t="s">
        <v>148</v>
      </c>
      <c r="B78" s="132" t="n">
        <v>75</v>
      </c>
      <c r="C78" s="133" t="s">
        <v>379</v>
      </c>
      <c r="D78" s="134" t="s">
        <v>380</v>
      </c>
      <c r="E78" s="134" t="s">
        <v>381</v>
      </c>
      <c r="F78" s="128" t="n">
        <v>89447</v>
      </c>
      <c r="G78" s="128"/>
      <c r="K78" s="128" t="s">
        <v>152</v>
      </c>
      <c r="L78" s="132" t="n">
        <v>34</v>
      </c>
      <c r="M78" s="133" t="s">
        <v>367</v>
      </c>
      <c r="N78" s="134" t="s">
        <v>368</v>
      </c>
      <c r="O78" s="134" t="s">
        <v>369</v>
      </c>
      <c r="P78" s="128" t="n">
        <v>89180</v>
      </c>
      <c r="T78" s="128" t="s">
        <v>152</v>
      </c>
      <c r="U78" s="132" t="n">
        <v>51</v>
      </c>
      <c r="V78" s="133" t="s">
        <v>419</v>
      </c>
      <c r="W78" s="134" t="s">
        <v>420</v>
      </c>
      <c r="X78" s="134" t="s">
        <v>421</v>
      </c>
      <c r="Y78" s="128" t="n">
        <v>89051</v>
      </c>
      <c r="Z78" s="128"/>
    </row>
    <row r="79" customFormat="false" ht="23.25" hidden="false" customHeight="true" outlineLevel="0" collapsed="false">
      <c r="A79" s="128" t="s">
        <v>152</v>
      </c>
      <c r="B79" s="132" t="n">
        <v>76</v>
      </c>
      <c r="C79" s="133" t="s">
        <v>310</v>
      </c>
      <c r="D79" s="134" t="s">
        <v>311</v>
      </c>
      <c r="E79" s="134" t="s">
        <v>312</v>
      </c>
      <c r="F79" s="128" t="n">
        <v>88566</v>
      </c>
      <c r="G79" s="128"/>
      <c r="K79" s="128" t="s">
        <v>152</v>
      </c>
      <c r="L79" s="132" t="n">
        <v>95</v>
      </c>
      <c r="M79" s="133" t="s">
        <v>448</v>
      </c>
      <c r="N79" s="134" t="s">
        <v>449</v>
      </c>
      <c r="O79" s="134" t="s">
        <v>450</v>
      </c>
      <c r="P79" s="128" t="n">
        <v>89203</v>
      </c>
      <c r="T79" s="128" t="s">
        <v>152</v>
      </c>
      <c r="U79" s="132" t="n">
        <v>53</v>
      </c>
      <c r="V79" s="133" t="s">
        <v>208</v>
      </c>
      <c r="W79" s="134" t="s">
        <v>209</v>
      </c>
      <c r="X79" s="134" t="s">
        <v>210</v>
      </c>
      <c r="Y79" s="128" t="n">
        <v>88264</v>
      </c>
      <c r="Z79" s="128"/>
    </row>
    <row r="80" customFormat="false" ht="23.25" hidden="false" customHeight="true" outlineLevel="0" collapsed="false">
      <c r="A80" s="128" t="s">
        <v>152</v>
      </c>
      <c r="B80" s="132" t="n">
        <v>77</v>
      </c>
      <c r="C80" s="133" t="s">
        <v>186</v>
      </c>
      <c r="D80" s="134" t="s">
        <v>187</v>
      </c>
      <c r="E80" s="134" t="s">
        <v>188</v>
      </c>
      <c r="F80" s="128" t="n">
        <v>88228</v>
      </c>
      <c r="G80" s="128" t="s">
        <v>451</v>
      </c>
      <c r="K80" s="128" t="s">
        <v>152</v>
      </c>
      <c r="L80" s="132" t="n">
        <v>5</v>
      </c>
      <c r="M80" s="133" t="s">
        <v>177</v>
      </c>
      <c r="N80" s="134" t="s">
        <v>178</v>
      </c>
      <c r="O80" s="134" t="s">
        <v>179</v>
      </c>
      <c r="P80" s="128" t="n">
        <v>89213</v>
      </c>
      <c r="T80" s="128" t="s">
        <v>152</v>
      </c>
      <c r="U80" s="132" t="n">
        <v>54</v>
      </c>
      <c r="V80" s="133" t="s">
        <v>425</v>
      </c>
      <c r="W80" s="134" t="s">
        <v>426</v>
      </c>
      <c r="X80" s="134" t="s">
        <v>427</v>
      </c>
      <c r="Y80" s="128" t="n">
        <v>89059</v>
      </c>
      <c r="Z80" s="128"/>
    </row>
    <row r="81" customFormat="false" ht="23.25" hidden="false" customHeight="true" outlineLevel="0" collapsed="false">
      <c r="A81" s="128" t="s">
        <v>148</v>
      </c>
      <c r="B81" s="132" t="n">
        <v>78</v>
      </c>
      <c r="C81" s="133" t="s">
        <v>382</v>
      </c>
      <c r="D81" s="134" t="s">
        <v>383</v>
      </c>
      <c r="E81" s="134" t="s">
        <v>384</v>
      </c>
      <c r="F81" s="128" t="n">
        <v>89444</v>
      </c>
      <c r="G81" s="128"/>
      <c r="K81" s="128" t="s">
        <v>148</v>
      </c>
      <c r="L81" s="132" t="n">
        <v>67</v>
      </c>
      <c r="M81" s="133" t="s">
        <v>370</v>
      </c>
      <c r="N81" s="134" t="s">
        <v>371</v>
      </c>
      <c r="O81" s="134" t="s">
        <v>372</v>
      </c>
      <c r="P81" s="128" t="n">
        <v>89220</v>
      </c>
      <c r="T81" s="128" t="s">
        <v>152</v>
      </c>
      <c r="U81" s="132" t="n">
        <v>59</v>
      </c>
      <c r="V81" s="133" t="s">
        <v>341</v>
      </c>
      <c r="W81" s="134" t="s">
        <v>342</v>
      </c>
      <c r="X81" s="134" t="s">
        <v>343</v>
      </c>
      <c r="Y81" s="128" t="n">
        <v>88609</v>
      </c>
      <c r="Z81" s="128"/>
    </row>
    <row r="82" customFormat="false" ht="23.25" hidden="false" customHeight="true" outlineLevel="0" collapsed="false">
      <c r="A82" s="128" t="s">
        <v>148</v>
      </c>
      <c r="B82" s="132" t="n">
        <v>79</v>
      </c>
      <c r="C82" s="133" t="s">
        <v>196</v>
      </c>
      <c r="D82" s="134" t="s">
        <v>197</v>
      </c>
      <c r="E82" s="134" t="s">
        <v>198</v>
      </c>
      <c r="F82" s="128" t="n">
        <v>88231</v>
      </c>
      <c r="G82" s="128"/>
      <c r="K82" s="128" t="s">
        <v>148</v>
      </c>
      <c r="L82" s="132" t="n">
        <v>8</v>
      </c>
      <c r="M82" s="133" t="s">
        <v>183</v>
      </c>
      <c r="N82" s="134" t="s">
        <v>184</v>
      </c>
      <c r="O82" s="135" t="s">
        <v>185</v>
      </c>
      <c r="P82" s="128" t="n">
        <v>89255</v>
      </c>
      <c r="T82" s="128" t="s">
        <v>152</v>
      </c>
      <c r="U82" s="132" t="n">
        <v>60</v>
      </c>
      <c r="V82" s="133" t="s">
        <v>295</v>
      </c>
      <c r="W82" s="134" t="s">
        <v>296</v>
      </c>
      <c r="X82" s="134" t="s">
        <v>297</v>
      </c>
      <c r="Y82" s="128" t="n">
        <v>88527</v>
      </c>
      <c r="Z82" s="128"/>
    </row>
    <row r="83" customFormat="false" ht="23.25" hidden="false" customHeight="true" outlineLevel="0" collapsed="false">
      <c r="A83" s="128" t="s">
        <v>148</v>
      </c>
      <c r="B83" s="132" t="n">
        <v>80</v>
      </c>
      <c r="C83" s="133" t="s">
        <v>376</v>
      </c>
      <c r="D83" s="134" t="s">
        <v>377</v>
      </c>
      <c r="E83" s="134" t="s">
        <v>378</v>
      </c>
      <c r="F83" s="128" t="n">
        <v>88665</v>
      </c>
      <c r="G83" s="128"/>
      <c r="K83" s="128" t="s">
        <v>148</v>
      </c>
      <c r="L83" s="132" t="n">
        <v>6</v>
      </c>
      <c r="M83" s="133" t="s">
        <v>174</v>
      </c>
      <c r="N83" s="134" t="s">
        <v>175</v>
      </c>
      <c r="O83" s="134" t="s">
        <v>176</v>
      </c>
      <c r="P83" s="128" t="n">
        <v>89257</v>
      </c>
      <c r="T83" s="128" t="s">
        <v>152</v>
      </c>
      <c r="U83" s="132" t="n">
        <v>61</v>
      </c>
      <c r="V83" s="133" t="s">
        <v>431</v>
      </c>
      <c r="W83" s="134" t="s">
        <v>432</v>
      </c>
      <c r="X83" s="134" t="s">
        <v>433</v>
      </c>
      <c r="Y83" s="128" t="n">
        <v>89376</v>
      </c>
      <c r="Z83" s="128"/>
    </row>
    <row r="84" customFormat="false" ht="23.25" hidden="false" customHeight="true" outlineLevel="0" collapsed="false">
      <c r="A84" s="128" t="s">
        <v>148</v>
      </c>
      <c r="B84" s="132" t="n">
        <v>81</v>
      </c>
      <c r="C84" s="133" t="s">
        <v>391</v>
      </c>
      <c r="D84" s="134" t="s">
        <v>392</v>
      </c>
      <c r="E84" s="134" t="s">
        <v>393</v>
      </c>
      <c r="F84" s="128" t="n">
        <v>89138</v>
      </c>
      <c r="G84" s="128"/>
      <c r="H84" s="104" t="n">
        <v>45055</v>
      </c>
      <c r="I84" s="103" t="s">
        <v>452</v>
      </c>
      <c r="J84" s="21"/>
      <c r="K84" s="128" t="s">
        <v>148</v>
      </c>
      <c r="L84" s="132" t="n">
        <v>55</v>
      </c>
      <c r="M84" s="133" t="s">
        <v>338</v>
      </c>
      <c r="N84" s="134" t="s">
        <v>339</v>
      </c>
      <c r="O84" s="134" t="s">
        <v>340</v>
      </c>
      <c r="P84" s="128" t="n">
        <v>89262</v>
      </c>
      <c r="T84" s="128" t="s">
        <v>152</v>
      </c>
      <c r="U84" s="136" t="n">
        <v>63</v>
      </c>
      <c r="V84" s="137" t="s">
        <v>326</v>
      </c>
      <c r="W84" s="138" t="s">
        <v>327</v>
      </c>
      <c r="X84" s="138" t="s">
        <v>328</v>
      </c>
      <c r="Y84" s="128" t="n">
        <v>88571</v>
      </c>
      <c r="Z84" s="128" t="s">
        <v>437</v>
      </c>
    </row>
    <row r="85" customFormat="false" ht="23.25" hidden="false" customHeight="true" outlineLevel="0" collapsed="false">
      <c r="A85" s="128" t="s">
        <v>148</v>
      </c>
      <c r="B85" s="132" t="n">
        <v>82</v>
      </c>
      <c r="C85" s="133" t="s">
        <v>394</v>
      </c>
      <c r="D85" s="134" t="s">
        <v>395</v>
      </c>
      <c r="E85" s="134" t="s">
        <v>396</v>
      </c>
      <c r="F85" s="128" t="n">
        <v>88864</v>
      </c>
      <c r="G85" s="128"/>
      <c r="K85" s="128" t="s">
        <v>148</v>
      </c>
      <c r="L85" s="132" t="n">
        <v>46</v>
      </c>
      <c r="M85" s="133" t="s">
        <v>313</v>
      </c>
      <c r="N85" s="134" t="s">
        <v>314</v>
      </c>
      <c r="O85" s="134" t="s">
        <v>315</v>
      </c>
      <c r="P85" s="128" t="n">
        <v>89267</v>
      </c>
      <c r="T85" s="128" t="s">
        <v>152</v>
      </c>
      <c r="U85" s="132" t="n">
        <v>64</v>
      </c>
      <c r="V85" s="133" t="s">
        <v>316</v>
      </c>
      <c r="W85" s="134" t="s">
        <v>317</v>
      </c>
      <c r="X85" s="134" t="s">
        <v>318</v>
      </c>
      <c r="Y85" s="128" t="n">
        <v>88567</v>
      </c>
      <c r="Z85" s="128"/>
    </row>
    <row r="86" customFormat="false" ht="23.25" hidden="false" customHeight="true" outlineLevel="0" collapsed="false">
      <c r="A86" s="128" t="s">
        <v>148</v>
      </c>
      <c r="B86" s="132" t="n">
        <v>83</v>
      </c>
      <c r="C86" s="133" t="s">
        <v>400</v>
      </c>
      <c r="D86" s="134" t="s">
        <v>401</v>
      </c>
      <c r="E86" s="134" t="s">
        <v>402</v>
      </c>
      <c r="F86" s="128" t="n">
        <v>88798</v>
      </c>
      <c r="G86" s="128"/>
      <c r="K86" s="128" t="s">
        <v>152</v>
      </c>
      <c r="L86" s="132" t="n">
        <v>88</v>
      </c>
      <c r="M86" s="133" t="s">
        <v>453</v>
      </c>
      <c r="N86" s="134" t="s">
        <v>454</v>
      </c>
      <c r="O86" s="134" t="s">
        <v>455</v>
      </c>
      <c r="P86" s="128" t="n">
        <v>89350</v>
      </c>
      <c r="T86" s="128" t="s">
        <v>152</v>
      </c>
      <c r="U86" s="132" t="n">
        <v>65</v>
      </c>
      <c r="V86" s="133" t="s">
        <v>422</v>
      </c>
      <c r="W86" s="134" t="s">
        <v>423</v>
      </c>
      <c r="X86" s="134" t="s">
        <v>424</v>
      </c>
      <c r="Y86" s="128" t="n">
        <v>88888</v>
      </c>
      <c r="Z86" s="128" t="s">
        <v>438</v>
      </c>
    </row>
    <row r="87" customFormat="false" ht="23.25" hidden="false" customHeight="true" outlineLevel="0" collapsed="false">
      <c r="A87" s="128" t="s">
        <v>152</v>
      </c>
      <c r="B87" s="132" t="n">
        <v>84</v>
      </c>
      <c r="C87" s="133" t="s">
        <v>388</v>
      </c>
      <c r="D87" s="134" t="s">
        <v>389</v>
      </c>
      <c r="E87" s="134" t="s">
        <v>390</v>
      </c>
      <c r="F87" s="128" t="n">
        <v>88715</v>
      </c>
      <c r="G87" s="128"/>
      <c r="K87" s="128" t="s">
        <v>152</v>
      </c>
      <c r="L87" s="132" t="n">
        <v>26</v>
      </c>
      <c r="M87" s="133" t="s">
        <v>322</v>
      </c>
      <c r="N87" s="134" t="s">
        <v>323</v>
      </c>
      <c r="O87" s="134" t="s">
        <v>324</v>
      </c>
      <c r="P87" s="128" t="n">
        <v>89367</v>
      </c>
      <c r="T87" s="128" t="s">
        <v>152</v>
      </c>
      <c r="U87" s="132" t="n">
        <v>68</v>
      </c>
      <c r="V87" s="133" t="s">
        <v>353</v>
      </c>
      <c r="W87" s="134" t="s">
        <v>354</v>
      </c>
      <c r="X87" s="135" t="n">
        <v>8296</v>
      </c>
      <c r="Y87" s="128" t="n">
        <v>88615</v>
      </c>
      <c r="Z87" s="128"/>
    </row>
    <row r="88" customFormat="false" ht="23.25" hidden="false" customHeight="true" outlineLevel="0" collapsed="false">
      <c r="A88" s="128" t="s">
        <v>152</v>
      </c>
      <c r="B88" s="132" t="n">
        <v>85</v>
      </c>
      <c r="C88" s="133" t="s">
        <v>202</v>
      </c>
      <c r="D88" s="134" t="s">
        <v>203</v>
      </c>
      <c r="E88" s="134" t="s">
        <v>204</v>
      </c>
      <c r="F88" s="128" t="n">
        <v>88256</v>
      </c>
      <c r="G88" s="128"/>
      <c r="K88" s="128" t="s">
        <v>148</v>
      </c>
      <c r="L88" s="132" t="n">
        <v>93</v>
      </c>
      <c r="M88" s="133" t="s">
        <v>409</v>
      </c>
      <c r="N88" s="134" t="s">
        <v>410</v>
      </c>
      <c r="O88" s="134" t="s">
        <v>411</v>
      </c>
      <c r="P88" s="128" t="n">
        <v>89372</v>
      </c>
      <c r="T88" s="128" t="s">
        <v>152</v>
      </c>
      <c r="U88" s="132" t="n">
        <v>70</v>
      </c>
      <c r="V88" s="133" t="s">
        <v>442</v>
      </c>
      <c r="W88" s="134" t="s">
        <v>443</v>
      </c>
      <c r="X88" s="134" t="s">
        <v>444</v>
      </c>
      <c r="Y88" s="128" t="n">
        <v>89397</v>
      </c>
      <c r="Z88" s="128"/>
    </row>
    <row r="89" customFormat="false" ht="23.25" hidden="false" customHeight="true" outlineLevel="0" collapsed="false">
      <c r="A89" s="128" t="s">
        <v>148</v>
      </c>
      <c r="B89" s="132" t="n">
        <v>86</v>
      </c>
      <c r="C89" s="133" t="s">
        <v>403</v>
      </c>
      <c r="D89" s="134" t="s">
        <v>404</v>
      </c>
      <c r="E89" s="134" t="s">
        <v>405</v>
      </c>
      <c r="F89" s="128" t="n">
        <v>88896</v>
      </c>
      <c r="G89" s="128"/>
      <c r="K89" s="128" t="s">
        <v>152</v>
      </c>
      <c r="L89" s="132" t="n">
        <v>50</v>
      </c>
      <c r="M89" s="137" t="s">
        <v>418</v>
      </c>
      <c r="N89" s="138" t="n">
        <v>21373</v>
      </c>
      <c r="O89" s="138" t="n">
        <v>2373</v>
      </c>
      <c r="P89" s="128" t="n">
        <v>89375</v>
      </c>
      <c r="T89" s="128" t="s">
        <v>152</v>
      </c>
      <c r="U89" s="132" t="n">
        <v>71</v>
      </c>
      <c r="V89" s="133" t="s">
        <v>335</v>
      </c>
      <c r="W89" s="134" t="s">
        <v>336</v>
      </c>
      <c r="X89" s="134" t="s">
        <v>337</v>
      </c>
      <c r="Y89" s="128" t="n">
        <v>88604</v>
      </c>
      <c r="Z89" s="128" t="s">
        <v>445</v>
      </c>
    </row>
    <row r="90" customFormat="false" ht="23.25" hidden="false" customHeight="true" outlineLevel="0" collapsed="false">
      <c r="A90" s="128" t="s">
        <v>148</v>
      </c>
      <c r="B90" s="132" t="n">
        <v>87</v>
      </c>
      <c r="C90" s="133" t="s">
        <v>301</v>
      </c>
      <c r="D90" s="134" t="s">
        <v>302</v>
      </c>
      <c r="E90" s="134" t="s">
        <v>303</v>
      </c>
      <c r="F90" s="128" t="n">
        <v>88529</v>
      </c>
      <c r="G90" s="128"/>
      <c r="K90" s="128" t="s">
        <v>152</v>
      </c>
      <c r="L90" s="132" t="n">
        <v>61</v>
      </c>
      <c r="M90" s="133" t="s">
        <v>431</v>
      </c>
      <c r="N90" s="134" t="s">
        <v>432</v>
      </c>
      <c r="O90" s="134" t="s">
        <v>433</v>
      </c>
      <c r="P90" s="128" t="n">
        <v>89376</v>
      </c>
      <c r="T90" s="128" t="s">
        <v>152</v>
      </c>
      <c r="U90" s="132" t="n">
        <v>72</v>
      </c>
      <c r="V90" s="133" t="s">
        <v>279</v>
      </c>
      <c r="W90" s="134" t="s">
        <v>280</v>
      </c>
      <c r="X90" s="134" t="s">
        <v>281</v>
      </c>
      <c r="Y90" s="128" t="n">
        <v>88513</v>
      </c>
      <c r="Z90" s="128" t="s">
        <v>446</v>
      </c>
    </row>
    <row r="91" customFormat="false" ht="23.25" hidden="false" customHeight="true" outlineLevel="0" collapsed="false">
      <c r="A91" s="128" t="s">
        <v>152</v>
      </c>
      <c r="B91" s="132" t="n">
        <v>88</v>
      </c>
      <c r="C91" s="133" t="s">
        <v>453</v>
      </c>
      <c r="D91" s="134" t="s">
        <v>454</v>
      </c>
      <c r="E91" s="134" t="s">
        <v>455</v>
      </c>
      <c r="F91" s="128" t="n">
        <v>89350</v>
      </c>
      <c r="G91" s="128"/>
      <c r="K91" s="128" t="s">
        <v>152</v>
      </c>
      <c r="L91" s="132" t="n">
        <v>14</v>
      </c>
      <c r="M91" s="133" t="s">
        <v>239</v>
      </c>
      <c r="N91" s="134" t="s">
        <v>240</v>
      </c>
      <c r="O91" s="134" t="s">
        <v>241</v>
      </c>
      <c r="P91" s="128" t="n">
        <v>89380</v>
      </c>
      <c r="T91" s="128" t="s">
        <v>152</v>
      </c>
      <c r="U91" s="132" t="n">
        <v>74</v>
      </c>
      <c r="V91" s="133" t="s">
        <v>361</v>
      </c>
      <c r="W91" s="134" t="s">
        <v>362</v>
      </c>
      <c r="X91" s="134" t="s">
        <v>363</v>
      </c>
      <c r="Y91" s="128" t="n">
        <v>88623</v>
      </c>
      <c r="Z91" s="128" t="s">
        <v>447</v>
      </c>
    </row>
    <row r="92" customFormat="false" ht="23.25" hidden="false" customHeight="true" outlineLevel="0" collapsed="false">
      <c r="A92" s="128" t="s">
        <v>152</v>
      </c>
      <c r="B92" s="132" t="n">
        <v>89</v>
      </c>
      <c r="C92" s="133" t="s">
        <v>434</v>
      </c>
      <c r="D92" s="134" t="s">
        <v>435</v>
      </c>
      <c r="E92" s="134" t="s">
        <v>436</v>
      </c>
      <c r="F92" s="128" t="n">
        <v>88991</v>
      </c>
      <c r="G92" s="128"/>
      <c r="K92" s="128" t="s">
        <v>152</v>
      </c>
      <c r="L92" s="132" t="n">
        <v>90</v>
      </c>
      <c r="M92" s="133" t="s">
        <v>456</v>
      </c>
      <c r="N92" s="134" t="s">
        <v>457</v>
      </c>
      <c r="O92" s="134" t="s">
        <v>458</v>
      </c>
      <c r="P92" s="128" t="n">
        <v>89389</v>
      </c>
      <c r="T92" s="128" t="s">
        <v>152</v>
      </c>
      <c r="U92" s="132" t="n">
        <v>76</v>
      </c>
      <c r="V92" s="133" t="s">
        <v>310</v>
      </c>
      <c r="W92" s="134" t="s">
        <v>311</v>
      </c>
      <c r="X92" s="134" t="s">
        <v>312</v>
      </c>
      <c r="Y92" s="128" t="n">
        <v>88566</v>
      </c>
      <c r="Z92" s="128"/>
    </row>
    <row r="93" customFormat="false" ht="23.25" hidden="false" customHeight="true" outlineLevel="0" collapsed="false">
      <c r="A93" s="128" t="s">
        <v>152</v>
      </c>
      <c r="B93" s="132" t="n">
        <v>90</v>
      </c>
      <c r="C93" s="133" t="s">
        <v>456</v>
      </c>
      <c r="D93" s="134" t="s">
        <v>457</v>
      </c>
      <c r="E93" s="134" t="s">
        <v>458</v>
      </c>
      <c r="F93" s="128" t="n">
        <v>89389</v>
      </c>
      <c r="G93" s="128"/>
      <c r="K93" s="128" t="s">
        <v>152</v>
      </c>
      <c r="L93" s="132" t="n">
        <v>70</v>
      </c>
      <c r="M93" s="133" t="s">
        <v>442</v>
      </c>
      <c r="N93" s="134" t="s">
        <v>443</v>
      </c>
      <c r="O93" s="134" t="s">
        <v>444</v>
      </c>
      <c r="P93" s="128" t="n">
        <v>89397</v>
      </c>
      <c r="T93" s="128" t="s">
        <v>152</v>
      </c>
      <c r="U93" s="132" t="n">
        <v>77</v>
      </c>
      <c r="V93" s="133" t="s">
        <v>186</v>
      </c>
      <c r="W93" s="134" t="s">
        <v>187</v>
      </c>
      <c r="X93" s="134" t="s">
        <v>188</v>
      </c>
      <c r="Y93" s="128" t="n">
        <v>88228</v>
      </c>
      <c r="Z93" s="128" t="s">
        <v>451</v>
      </c>
    </row>
    <row r="94" customFormat="false" ht="23.25" hidden="false" customHeight="true" outlineLevel="0" collapsed="false">
      <c r="A94" s="128" t="s">
        <v>152</v>
      </c>
      <c r="B94" s="132" t="n">
        <v>91</v>
      </c>
      <c r="C94" s="133" t="s">
        <v>439</v>
      </c>
      <c r="D94" s="134" t="s">
        <v>440</v>
      </c>
      <c r="E94" s="134" t="s">
        <v>441</v>
      </c>
      <c r="F94" s="128" t="n">
        <v>89101</v>
      </c>
      <c r="G94" s="128"/>
      <c r="K94" s="128" t="s">
        <v>148</v>
      </c>
      <c r="L94" s="132" t="n">
        <v>98</v>
      </c>
      <c r="M94" s="133" t="s">
        <v>415</v>
      </c>
      <c r="N94" s="134" t="s">
        <v>416</v>
      </c>
      <c r="O94" s="134" t="s">
        <v>417</v>
      </c>
      <c r="P94" s="128" t="n">
        <v>89401</v>
      </c>
      <c r="T94" s="128" t="s">
        <v>152</v>
      </c>
      <c r="U94" s="132" t="n">
        <v>84</v>
      </c>
      <c r="V94" s="133" t="s">
        <v>388</v>
      </c>
      <c r="W94" s="134" t="s">
        <v>389</v>
      </c>
      <c r="X94" s="134" t="s">
        <v>390</v>
      </c>
      <c r="Y94" s="128" t="n">
        <v>88715</v>
      </c>
      <c r="Z94" s="128"/>
    </row>
    <row r="95" s="1" customFormat="true" ht="23.25" hidden="false" customHeight="true" outlineLevel="0" collapsed="false">
      <c r="A95" s="128" t="s">
        <v>152</v>
      </c>
      <c r="B95" s="132" t="n">
        <v>92</v>
      </c>
      <c r="C95" s="133" t="s">
        <v>224</v>
      </c>
      <c r="D95" s="134" t="s">
        <v>225</v>
      </c>
      <c r="E95" s="134" t="s">
        <v>226</v>
      </c>
      <c r="F95" s="128" t="n">
        <v>88290</v>
      </c>
      <c r="G95" s="128"/>
      <c r="H95" s="3"/>
      <c r="I95" s="3"/>
      <c r="J95" s="3"/>
      <c r="K95" s="128" t="s">
        <v>152</v>
      </c>
      <c r="L95" s="132" t="n">
        <v>10</v>
      </c>
      <c r="M95" s="133" t="s">
        <v>214</v>
      </c>
      <c r="N95" s="134" t="s">
        <v>215</v>
      </c>
      <c r="O95" s="134" t="s">
        <v>216</v>
      </c>
      <c r="P95" s="128" t="n">
        <v>89427</v>
      </c>
      <c r="Q95" s="3"/>
      <c r="R95" s="3"/>
      <c r="S95" s="3"/>
      <c r="T95" s="128" t="s">
        <v>152</v>
      </c>
      <c r="U95" s="132" t="n">
        <v>85</v>
      </c>
      <c r="V95" s="133" t="s">
        <v>202</v>
      </c>
      <c r="W95" s="134" t="s">
        <v>203</v>
      </c>
      <c r="X95" s="134" t="s">
        <v>204</v>
      </c>
      <c r="Y95" s="128" t="n">
        <v>88256</v>
      </c>
      <c r="Z95" s="128"/>
    </row>
    <row r="96" s="1" customFormat="true" ht="23.25" hidden="false" customHeight="true" outlineLevel="0" collapsed="false">
      <c r="A96" s="128" t="s">
        <v>148</v>
      </c>
      <c r="B96" s="132" t="n">
        <v>93</v>
      </c>
      <c r="C96" s="133" t="s">
        <v>409</v>
      </c>
      <c r="D96" s="134" t="s">
        <v>410</v>
      </c>
      <c r="E96" s="134" t="s">
        <v>411</v>
      </c>
      <c r="F96" s="128" t="n">
        <v>89372</v>
      </c>
      <c r="G96" s="128"/>
      <c r="H96" s="3"/>
      <c r="I96" s="3"/>
      <c r="J96" s="3"/>
      <c r="K96" s="128" t="s">
        <v>148</v>
      </c>
      <c r="L96" s="132" t="n">
        <v>47</v>
      </c>
      <c r="M96" s="133" t="s">
        <v>319</v>
      </c>
      <c r="N96" s="134" t="s">
        <v>320</v>
      </c>
      <c r="O96" s="134" t="s">
        <v>321</v>
      </c>
      <c r="P96" s="128" t="n">
        <v>89438</v>
      </c>
      <c r="Q96" s="3"/>
      <c r="R96" s="3"/>
      <c r="S96" s="3"/>
      <c r="T96" s="128" t="s">
        <v>152</v>
      </c>
      <c r="U96" s="132" t="n">
        <v>88</v>
      </c>
      <c r="V96" s="133" t="s">
        <v>453</v>
      </c>
      <c r="W96" s="134" t="s">
        <v>454</v>
      </c>
      <c r="X96" s="134" t="s">
        <v>455</v>
      </c>
      <c r="Y96" s="128" t="n">
        <v>89350</v>
      </c>
      <c r="Z96" s="128"/>
    </row>
    <row r="97" customFormat="false" ht="23.25" hidden="false" customHeight="true" outlineLevel="0" collapsed="false">
      <c r="A97" s="128" t="s">
        <v>152</v>
      </c>
      <c r="B97" s="132" t="n">
        <v>94</v>
      </c>
      <c r="C97" s="133" t="s">
        <v>412</v>
      </c>
      <c r="D97" s="134" t="s">
        <v>413</v>
      </c>
      <c r="E97" s="134" t="s">
        <v>414</v>
      </c>
      <c r="F97" s="128" t="n">
        <v>88839</v>
      </c>
      <c r="G97" s="128"/>
      <c r="K97" s="128" t="s">
        <v>148</v>
      </c>
      <c r="L97" s="132" t="n">
        <v>78</v>
      </c>
      <c r="M97" s="133" t="s">
        <v>382</v>
      </c>
      <c r="N97" s="134" t="s">
        <v>383</v>
      </c>
      <c r="O97" s="134" t="s">
        <v>384</v>
      </c>
      <c r="P97" s="128" t="n">
        <v>89444</v>
      </c>
      <c r="T97" s="128" t="s">
        <v>152</v>
      </c>
      <c r="U97" s="132" t="n">
        <v>89</v>
      </c>
      <c r="V97" s="133" t="s">
        <v>434</v>
      </c>
      <c r="W97" s="134" t="s">
        <v>435</v>
      </c>
      <c r="X97" s="134" t="s">
        <v>436</v>
      </c>
      <c r="Y97" s="128" t="n">
        <v>88991</v>
      </c>
      <c r="Z97" s="128"/>
    </row>
    <row r="98" customFormat="false" ht="23.25" hidden="false" customHeight="true" outlineLevel="0" collapsed="false">
      <c r="A98" s="128" t="s">
        <v>152</v>
      </c>
      <c r="B98" s="132" t="n">
        <v>95</v>
      </c>
      <c r="C98" s="133" t="s">
        <v>448</v>
      </c>
      <c r="D98" s="134" t="s">
        <v>449</v>
      </c>
      <c r="E98" s="134" t="s">
        <v>450</v>
      </c>
      <c r="F98" s="128" t="n">
        <v>89203</v>
      </c>
      <c r="G98" s="128"/>
      <c r="K98" s="128" t="s">
        <v>152</v>
      </c>
      <c r="L98" s="132" t="n">
        <v>15</v>
      </c>
      <c r="M98" s="133" t="s">
        <v>248</v>
      </c>
      <c r="N98" s="134" t="s">
        <v>249</v>
      </c>
      <c r="O98" s="134" t="s">
        <v>250</v>
      </c>
      <c r="P98" s="128" t="n">
        <v>89446</v>
      </c>
      <c r="T98" s="128" t="s">
        <v>152</v>
      </c>
      <c r="U98" s="132" t="n">
        <v>90</v>
      </c>
      <c r="V98" s="133" t="s">
        <v>456</v>
      </c>
      <c r="W98" s="134" t="s">
        <v>457</v>
      </c>
      <c r="X98" s="134" t="s">
        <v>458</v>
      </c>
      <c r="Y98" s="128" t="n">
        <v>89389</v>
      </c>
      <c r="Z98" s="128"/>
    </row>
    <row r="99" customFormat="false" ht="23.25" hidden="false" customHeight="true" outlineLevel="0" collapsed="false">
      <c r="A99" s="128" t="s">
        <v>148</v>
      </c>
      <c r="B99" s="132" t="n">
        <v>96</v>
      </c>
      <c r="C99" s="133" t="s">
        <v>397</v>
      </c>
      <c r="D99" s="134" t="s">
        <v>398</v>
      </c>
      <c r="E99" s="134" t="s">
        <v>399</v>
      </c>
      <c r="F99" s="128" t="n">
        <v>88763</v>
      </c>
      <c r="G99" s="128"/>
      <c r="K99" s="128" t="s">
        <v>148</v>
      </c>
      <c r="L99" s="132" t="n">
        <v>75</v>
      </c>
      <c r="M99" s="133" t="s">
        <v>379</v>
      </c>
      <c r="N99" s="134" t="s">
        <v>380</v>
      </c>
      <c r="O99" s="134" t="s">
        <v>381</v>
      </c>
      <c r="P99" s="128" t="n">
        <v>89447</v>
      </c>
      <c r="T99" s="128" t="s">
        <v>152</v>
      </c>
      <c r="U99" s="132" t="n">
        <v>91</v>
      </c>
      <c r="V99" s="133" t="s">
        <v>439</v>
      </c>
      <c r="W99" s="134" t="s">
        <v>440</v>
      </c>
      <c r="X99" s="134" t="s">
        <v>441</v>
      </c>
      <c r="Y99" s="128" t="n">
        <v>89101</v>
      </c>
      <c r="Z99" s="128"/>
    </row>
    <row r="100" customFormat="false" ht="23.25" hidden="false" customHeight="true" outlineLevel="0" collapsed="false">
      <c r="A100" s="128" t="s">
        <v>152</v>
      </c>
      <c r="B100" s="132" t="n">
        <v>97</v>
      </c>
      <c r="C100" s="133" t="s">
        <v>428</v>
      </c>
      <c r="D100" s="134" t="s">
        <v>429</v>
      </c>
      <c r="E100" s="134" t="s">
        <v>430</v>
      </c>
      <c r="F100" s="128" t="n">
        <v>88913</v>
      </c>
      <c r="G100" s="128"/>
      <c r="K100" s="128" t="s">
        <v>148</v>
      </c>
      <c r="L100" s="132" t="n">
        <v>27</v>
      </c>
      <c r="M100" s="133" t="s">
        <v>236</v>
      </c>
      <c r="N100" s="134" t="s">
        <v>237</v>
      </c>
      <c r="O100" s="134" t="s">
        <v>238</v>
      </c>
      <c r="P100" s="128" t="n">
        <v>89453</v>
      </c>
      <c r="T100" s="128" t="s">
        <v>152</v>
      </c>
      <c r="U100" s="132" t="n">
        <v>92</v>
      </c>
      <c r="V100" s="133" t="s">
        <v>224</v>
      </c>
      <c r="W100" s="134" t="s">
        <v>225</v>
      </c>
      <c r="X100" s="134" t="s">
        <v>226</v>
      </c>
      <c r="Y100" s="128" t="n">
        <v>88290</v>
      </c>
      <c r="Z100" s="128"/>
    </row>
    <row r="101" customFormat="false" ht="23.25" hidden="false" customHeight="true" outlineLevel="0" collapsed="false">
      <c r="A101" s="128" t="s">
        <v>148</v>
      </c>
      <c r="B101" s="132" t="n">
        <v>98</v>
      </c>
      <c r="C101" s="133" t="s">
        <v>415</v>
      </c>
      <c r="D101" s="134" t="s">
        <v>416</v>
      </c>
      <c r="E101" s="134" t="s">
        <v>417</v>
      </c>
      <c r="F101" s="128" t="n">
        <v>89401</v>
      </c>
      <c r="G101" s="128"/>
      <c r="K101" s="128" t="s">
        <v>148</v>
      </c>
      <c r="L101" s="132" t="n">
        <v>44</v>
      </c>
      <c r="M101" s="133" t="s">
        <v>304</v>
      </c>
      <c r="N101" s="134" t="s">
        <v>305</v>
      </c>
      <c r="O101" s="134" t="s">
        <v>306</v>
      </c>
      <c r="P101" s="128" t="n">
        <v>89455</v>
      </c>
      <c r="T101" s="128" t="s">
        <v>152</v>
      </c>
      <c r="U101" s="132" t="n">
        <v>94</v>
      </c>
      <c r="V101" s="133" t="s">
        <v>412</v>
      </c>
      <c r="W101" s="134" t="s">
        <v>413</v>
      </c>
      <c r="X101" s="134" t="s">
        <v>414</v>
      </c>
      <c r="Y101" s="128" t="n">
        <v>88839</v>
      </c>
      <c r="Z101" s="128"/>
    </row>
    <row r="102" customFormat="false" ht="23.25" hidden="false" customHeight="true" outlineLevel="0" collapsed="false">
      <c r="A102" s="128" t="s">
        <v>148</v>
      </c>
      <c r="B102" s="132" t="n">
        <v>99</v>
      </c>
      <c r="C102" s="133" t="s">
        <v>165</v>
      </c>
      <c r="D102" s="134" t="s">
        <v>166</v>
      </c>
      <c r="E102" s="134" t="s">
        <v>167</v>
      </c>
      <c r="F102" s="128" t="n">
        <v>88205</v>
      </c>
      <c r="G102" s="128"/>
      <c r="K102" s="128" t="s">
        <v>148</v>
      </c>
      <c r="L102" s="132" t="n">
        <v>52</v>
      </c>
      <c r="M102" s="133" t="s">
        <v>329</v>
      </c>
      <c r="N102" s="134" t="s">
        <v>330</v>
      </c>
      <c r="O102" s="134" t="s">
        <v>331</v>
      </c>
      <c r="P102" s="128" t="n">
        <v>89784</v>
      </c>
      <c r="T102" s="128" t="s">
        <v>152</v>
      </c>
      <c r="U102" s="132" t="n">
        <v>95</v>
      </c>
      <c r="V102" s="133" t="s">
        <v>448</v>
      </c>
      <c r="W102" s="134" t="s">
        <v>449</v>
      </c>
      <c r="X102" s="134" t="s">
        <v>450</v>
      </c>
      <c r="Y102" s="128" t="n">
        <v>89203</v>
      </c>
      <c r="Z102" s="128"/>
    </row>
    <row r="103" customFormat="false" ht="23.25" hidden="false" customHeight="true" outlineLevel="0" collapsed="false">
      <c r="A103" s="128" t="s">
        <v>148</v>
      </c>
      <c r="B103" s="132" t="n">
        <v>100</v>
      </c>
      <c r="C103" s="133" t="s">
        <v>159</v>
      </c>
      <c r="D103" s="134" t="s">
        <v>160</v>
      </c>
      <c r="E103" s="134" t="s">
        <v>161</v>
      </c>
      <c r="F103" s="128" t="n">
        <v>88181</v>
      </c>
      <c r="G103" s="128"/>
      <c r="K103" s="128" t="s">
        <v>148</v>
      </c>
      <c r="L103" s="132" t="n">
        <v>57</v>
      </c>
      <c r="M103" s="133" t="s">
        <v>347</v>
      </c>
      <c r="N103" s="134" t="s">
        <v>348</v>
      </c>
      <c r="O103" s="134" t="s">
        <v>349</v>
      </c>
      <c r="P103" s="128" t="n">
        <v>89792</v>
      </c>
      <c r="T103" s="128" t="s">
        <v>152</v>
      </c>
      <c r="U103" s="132" t="n">
        <v>97</v>
      </c>
      <c r="V103" s="133" t="s">
        <v>428</v>
      </c>
      <c r="W103" s="134" t="s">
        <v>429</v>
      </c>
      <c r="X103" s="134" t="s">
        <v>430</v>
      </c>
      <c r="Y103" s="128" t="n">
        <v>88913</v>
      </c>
      <c r="Z103" s="128"/>
    </row>
    <row r="104" customFormat="false" ht="12.75" hidden="false" customHeight="true" outlineLevel="0" collapsed="false">
      <c r="A104" s="139" t="n">
        <v>9256</v>
      </c>
      <c r="B104" s="139"/>
      <c r="C104" s="139"/>
      <c r="D104" s="128" t="s">
        <v>459</v>
      </c>
      <c r="E104" s="128"/>
      <c r="F104" s="128"/>
      <c r="G104" s="128"/>
      <c r="H104" s="128"/>
      <c r="I104" s="128"/>
      <c r="J104" s="128"/>
      <c r="K104" s="140"/>
      <c r="L104" s="140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customFormat="false" ht="17.25" hidden="false" customHeight="false" outlineLevel="0" collapsed="false">
      <c r="A105" s="139"/>
      <c r="B105" s="139"/>
      <c r="C105" s="139"/>
      <c r="D105" s="128"/>
      <c r="E105" s="128"/>
      <c r="F105" s="128"/>
      <c r="G105" s="128"/>
      <c r="H105" s="128"/>
      <c r="I105" s="128"/>
      <c r="J105" s="128"/>
      <c r="K105" s="140"/>
      <c r="L105" s="140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customFormat="false" ht="17.25" hidden="false" customHeight="false" outlineLevel="0" collapsed="false">
      <c r="G106" s="141"/>
      <c r="Z106" s="141"/>
    </row>
    <row r="107" customFormat="false" ht="17.25" hidden="false" customHeight="false" outlineLevel="0" collapsed="false">
      <c r="G107" s="142"/>
      <c r="Z107" s="142"/>
    </row>
  </sheetData>
  <mergeCells count="4">
    <mergeCell ref="A104:C105"/>
    <mergeCell ref="D104:H105"/>
    <mergeCell ref="I104:J105"/>
    <mergeCell ref="K104:L10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2" activeCellId="1" sqref="D19:D20 M32"/>
    </sheetView>
  </sheetViews>
  <sheetFormatPr defaultColWidth="11.4453125" defaultRowHeight="14.25" zeroHeight="false" outlineLevelRow="0" outlineLevelCol="0"/>
  <cols>
    <col collapsed="false" customWidth="false" hidden="false" outlineLevel="0" max="16384" min="1" style="1" width="11.44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M54" activeCellId="1" sqref="D19:D20 M54"/>
    </sheetView>
  </sheetViews>
  <sheetFormatPr defaultColWidth="10.6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692"/>
  <sheetViews>
    <sheetView showFormulas="false" showGridLines="true" showRowColHeaders="true" showZeros="true" rightToLeft="false" tabSelected="false" showOutlineSymbols="true" defaultGridColor="true" view="normal" topLeftCell="K58" colorId="64" zoomScale="100" zoomScaleNormal="100" zoomScalePageLayoutView="100" workbookViewId="0">
      <selection pane="topLeft" activeCell="P88" activeCellId="1" sqref="D19:D20 P88"/>
    </sheetView>
  </sheetViews>
  <sheetFormatPr defaultColWidth="11.5625" defaultRowHeight="14.25" zeroHeight="false" outlineLevelRow="0" outlineLevelCol="0"/>
  <cols>
    <col collapsed="false" customWidth="true" hidden="false" outlineLevel="0" max="1" min="1" style="1" width="4.67"/>
    <col collapsed="false" customWidth="true" hidden="false" outlineLevel="0" max="2" min="2" style="1" width="23.11"/>
    <col collapsed="false" customWidth="true" hidden="false" outlineLevel="0" max="3" min="3" style="143" width="7.33"/>
    <col collapsed="false" customWidth="true" hidden="false" outlineLevel="0" max="4" min="4" style="143" width="6.11"/>
    <col collapsed="false" customWidth="true" hidden="false" outlineLevel="0" max="5" min="5" style="143" width="7.67"/>
    <col collapsed="false" customWidth="true" hidden="false" outlineLevel="0" max="6" min="6" style="144" width="14.11"/>
    <col collapsed="false" customWidth="true" hidden="false" outlineLevel="0" max="7" min="7" style="144" width="10.11"/>
    <col collapsed="false" customWidth="true" hidden="false" outlineLevel="0" max="8" min="8" style="144" width="6.88"/>
    <col collapsed="false" customWidth="true" hidden="false" outlineLevel="0" max="9" min="9" style="144" width="7.33"/>
    <col collapsed="false" customWidth="true" hidden="false" outlineLevel="0" max="10" min="10" style="6" width="17.33"/>
    <col collapsed="false" customWidth="true" hidden="false" outlineLevel="0" max="11" min="11" style="1" width="6.33"/>
    <col collapsed="false" customWidth="true" hidden="false" outlineLevel="0" max="12" min="12" style="144" width="6.44"/>
    <col collapsed="false" customWidth="true" hidden="false" outlineLevel="0" max="14" min="13" style="1" width="7.67"/>
    <col collapsed="false" customWidth="true" hidden="false" outlineLevel="0" max="15" min="15" style="1" width="8.34"/>
  </cols>
  <sheetData>
    <row r="1" customFormat="false" ht="48" hidden="false" customHeight="true" outlineLevel="0" collapsed="false">
      <c r="A1" s="1" t="s">
        <v>460</v>
      </c>
      <c r="B1" s="1" t="s">
        <v>461</v>
      </c>
      <c r="C1" s="143" t="s">
        <v>462</v>
      </c>
      <c r="D1" s="145" t="s">
        <v>463</v>
      </c>
      <c r="E1" s="145" t="s">
        <v>464</v>
      </c>
      <c r="F1" s="144" t="s">
        <v>465</v>
      </c>
      <c r="G1" s="146" t="s">
        <v>466</v>
      </c>
      <c r="H1" s="146" t="s">
        <v>467</v>
      </c>
      <c r="I1" s="146" t="s">
        <v>468</v>
      </c>
      <c r="J1" s="6" t="s">
        <v>469</v>
      </c>
      <c r="K1" s="1" t="s">
        <v>470</v>
      </c>
      <c r="L1" s="146" t="s">
        <v>467</v>
      </c>
      <c r="M1" s="147" t="s">
        <v>471</v>
      </c>
      <c r="N1" s="147" t="s">
        <v>471</v>
      </c>
      <c r="O1" s="147" t="s">
        <v>472</v>
      </c>
      <c r="P1" s="147"/>
    </row>
    <row r="2" customFormat="false" ht="14.25" hidden="false" customHeight="false" outlineLevel="0" collapsed="false">
      <c r="A2" s="1" t="n">
        <v>10</v>
      </c>
      <c r="B2" s="1" t="s">
        <v>473</v>
      </c>
      <c r="C2" s="143" t="n">
        <v>11490</v>
      </c>
      <c r="D2" s="143" t="s">
        <v>65</v>
      </c>
      <c r="E2" s="143" t="s">
        <v>474</v>
      </c>
      <c r="F2" s="144" t="n">
        <v>200025889446</v>
      </c>
      <c r="G2" s="144" t="s">
        <v>249</v>
      </c>
      <c r="H2" s="144" t="n">
        <v>15</v>
      </c>
      <c r="I2" s="144" t="s">
        <v>152</v>
      </c>
      <c r="J2" s="148" t="n">
        <v>45055.501724537</v>
      </c>
      <c r="K2" s="1" t="n">
        <v>2</v>
      </c>
      <c r="L2" s="144" t="n">
        <v>15</v>
      </c>
      <c r="M2" s="1" t="n">
        <v>1</v>
      </c>
      <c r="N2" s="1" t="n">
        <v>1</v>
      </c>
      <c r="O2" s="149" t="n">
        <v>1</v>
      </c>
    </row>
    <row r="3" customFormat="false" ht="14.25" hidden="false" customHeight="false" outlineLevel="0" collapsed="false">
      <c r="A3" s="1" t="n">
        <v>11</v>
      </c>
      <c r="B3" s="1" t="s">
        <v>473</v>
      </c>
      <c r="C3" s="143" t="n">
        <v>11490</v>
      </c>
      <c r="D3" s="143" t="s">
        <v>65</v>
      </c>
      <c r="E3" s="143" t="s">
        <v>474</v>
      </c>
      <c r="F3" s="144" t="n">
        <v>200025889446</v>
      </c>
      <c r="G3" s="144" t="s">
        <v>249</v>
      </c>
      <c r="H3" s="144" t="n">
        <v>15</v>
      </c>
      <c r="I3" s="144" t="s">
        <v>152</v>
      </c>
      <c r="J3" s="148" t="n">
        <v>45055.5017476852</v>
      </c>
      <c r="K3" s="1" t="n">
        <v>1</v>
      </c>
      <c r="L3" s="144" t="n">
        <v>15</v>
      </c>
      <c r="M3" s="1" t="n">
        <v>1</v>
      </c>
      <c r="N3" s="1" t="n">
        <v>1</v>
      </c>
      <c r="O3" s="149" t="n">
        <v>2</v>
      </c>
    </row>
    <row r="4" customFormat="false" ht="14.25" hidden="false" customHeight="false" outlineLevel="0" collapsed="false">
      <c r="A4" s="1" t="n">
        <v>12</v>
      </c>
      <c r="B4" s="1" t="s">
        <v>473</v>
      </c>
      <c r="C4" s="143" t="n">
        <v>11490</v>
      </c>
      <c r="D4" s="143" t="s">
        <v>65</v>
      </c>
      <c r="E4" s="143" t="s">
        <v>474</v>
      </c>
      <c r="F4" s="144" t="n">
        <v>200025889051</v>
      </c>
      <c r="G4" s="144" t="s">
        <v>420</v>
      </c>
      <c r="H4" s="144" t="n">
        <v>51</v>
      </c>
      <c r="I4" s="144" t="s">
        <v>152</v>
      </c>
      <c r="J4" s="148" t="n">
        <v>45055.5053240741</v>
      </c>
      <c r="K4" s="1" t="n">
        <v>2</v>
      </c>
      <c r="L4" s="144" t="n">
        <v>51</v>
      </c>
      <c r="M4" s="1" t="n">
        <v>2</v>
      </c>
      <c r="N4" s="1" t="n">
        <v>2</v>
      </c>
      <c r="O4" s="149" t="n">
        <v>1</v>
      </c>
    </row>
    <row r="5" customFormat="false" ht="14.25" hidden="false" customHeight="false" outlineLevel="0" collapsed="false">
      <c r="A5" s="1" t="n">
        <v>12</v>
      </c>
      <c r="B5" s="1" t="s">
        <v>473</v>
      </c>
      <c r="C5" s="143" t="n">
        <v>11490</v>
      </c>
      <c r="D5" s="143" t="s">
        <v>65</v>
      </c>
      <c r="E5" s="143" t="s">
        <v>474</v>
      </c>
      <c r="F5" s="144" t="n">
        <v>200025889051</v>
      </c>
      <c r="G5" s="144" t="s">
        <v>420</v>
      </c>
      <c r="H5" s="144" t="n">
        <v>51</v>
      </c>
      <c r="I5" s="144" t="s">
        <v>152</v>
      </c>
      <c r="J5" s="148" t="n">
        <v>45055.5053240741</v>
      </c>
      <c r="K5" s="1" t="n">
        <v>2</v>
      </c>
      <c r="L5" s="144" t="n">
        <v>51</v>
      </c>
      <c r="M5" s="1" t="n">
        <v>2</v>
      </c>
      <c r="N5" s="1" t="n">
        <v>2</v>
      </c>
      <c r="O5" s="149" t="n">
        <v>1</v>
      </c>
    </row>
    <row r="6" customFormat="false" ht="14.25" hidden="false" customHeight="false" outlineLevel="0" collapsed="false">
      <c r="A6" s="1" t="n">
        <v>216</v>
      </c>
      <c r="B6" s="1" t="s">
        <v>475</v>
      </c>
      <c r="C6" s="143" t="s">
        <v>52</v>
      </c>
      <c r="D6" s="143" t="s">
        <v>53</v>
      </c>
      <c r="E6" s="143" t="s">
        <v>474</v>
      </c>
      <c r="F6" s="144" t="n">
        <v>200025889051</v>
      </c>
      <c r="G6" s="144" t="s">
        <v>420</v>
      </c>
      <c r="H6" s="144" t="n">
        <v>51</v>
      </c>
      <c r="I6" s="144" t="s">
        <v>152</v>
      </c>
      <c r="J6" s="148" t="n">
        <v>45057.6998611111</v>
      </c>
      <c r="K6" s="1" t="n">
        <v>1</v>
      </c>
      <c r="L6" s="144" t="n">
        <v>51</v>
      </c>
      <c r="M6" s="1" t="n">
        <v>2</v>
      </c>
      <c r="N6" s="1" t="n">
        <v>2</v>
      </c>
      <c r="O6" s="149" t="n">
        <v>2</v>
      </c>
    </row>
    <row r="7" customFormat="false" ht="14.25" hidden="false" customHeight="false" outlineLevel="0" collapsed="false">
      <c r="A7" s="1" t="n">
        <v>37</v>
      </c>
      <c r="B7" s="1" t="s">
        <v>476</v>
      </c>
      <c r="C7" s="143" t="n">
        <v>11490</v>
      </c>
      <c r="D7" s="143" t="s">
        <v>65</v>
      </c>
      <c r="E7" s="143" t="s">
        <v>474</v>
      </c>
      <c r="F7" s="144" t="n">
        <v>200025889051</v>
      </c>
      <c r="G7" s="144" t="s">
        <v>420</v>
      </c>
      <c r="H7" s="144" t="n">
        <v>51</v>
      </c>
      <c r="I7" s="144" t="s">
        <v>152</v>
      </c>
      <c r="J7" s="148" t="n">
        <v>45068.4877199074</v>
      </c>
      <c r="K7" s="1" t="n">
        <v>2</v>
      </c>
      <c r="L7" s="144" t="n">
        <v>51</v>
      </c>
      <c r="M7" s="1" t="n">
        <v>2</v>
      </c>
      <c r="N7" s="1" t="n">
        <v>2</v>
      </c>
      <c r="O7" s="149" t="n">
        <v>3</v>
      </c>
    </row>
    <row r="8" customFormat="false" ht="14.25" hidden="false" customHeight="false" outlineLevel="0" collapsed="false">
      <c r="A8" s="1" t="n">
        <v>68</v>
      </c>
      <c r="B8" s="1" t="s">
        <v>476</v>
      </c>
      <c r="C8" s="143" t="n">
        <v>91601</v>
      </c>
      <c r="D8" s="143" t="s">
        <v>65</v>
      </c>
      <c r="E8" s="143" t="s">
        <v>474</v>
      </c>
      <c r="F8" s="144" t="n">
        <v>200025889051</v>
      </c>
      <c r="G8" s="144" t="s">
        <v>420</v>
      </c>
      <c r="H8" s="144" t="n">
        <v>51</v>
      </c>
      <c r="I8" s="144" t="s">
        <v>152</v>
      </c>
      <c r="J8" s="148" t="n">
        <v>45071.5163310185</v>
      </c>
      <c r="K8" s="1" t="n">
        <v>1</v>
      </c>
      <c r="L8" s="144" t="n">
        <v>51</v>
      </c>
      <c r="M8" s="1" t="n">
        <v>2</v>
      </c>
      <c r="N8" s="1" t="n">
        <v>2</v>
      </c>
      <c r="O8" s="149" t="n">
        <v>4</v>
      </c>
    </row>
    <row r="9" customFormat="false" ht="14.25" hidden="false" customHeight="false" outlineLevel="0" collapsed="false">
      <c r="A9" s="1" t="n">
        <v>162</v>
      </c>
      <c r="B9" s="1" t="s">
        <v>477</v>
      </c>
      <c r="C9" s="143" t="s">
        <v>52</v>
      </c>
      <c r="D9" s="143" t="s">
        <v>53</v>
      </c>
      <c r="E9" s="143" t="s">
        <v>474</v>
      </c>
      <c r="F9" s="144" t="n">
        <v>200025889051</v>
      </c>
      <c r="G9" s="144" t="s">
        <v>420</v>
      </c>
      <c r="H9" s="144" t="n">
        <v>51</v>
      </c>
      <c r="I9" s="144" t="s">
        <v>152</v>
      </c>
      <c r="J9" s="150" t="n">
        <v>45074.4008333333</v>
      </c>
      <c r="K9" s="1" t="n">
        <v>3</v>
      </c>
      <c r="L9" s="144" t="n">
        <v>51</v>
      </c>
      <c r="M9" s="1" t="n">
        <v>2</v>
      </c>
      <c r="N9" s="1" t="n">
        <v>2</v>
      </c>
      <c r="O9" s="149" t="n">
        <v>5</v>
      </c>
    </row>
    <row r="10" customFormat="false" ht="14.25" hidden="false" customHeight="false" outlineLevel="0" collapsed="false">
      <c r="A10" s="1" t="n">
        <v>163</v>
      </c>
      <c r="B10" s="1" t="s">
        <v>477</v>
      </c>
      <c r="C10" s="143" t="s">
        <v>52</v>
      </c>
      <c r="D10" s="143" t="s">
        <v>53</v>
      </c>
      <c r="E10" s="143" t="s">
        <v>474</v>
      </c>
      <c r="F10" s="144" t="n">
        <v>200025889051</v>
      </c>
      <c r="G10" s="144" t="s">
        <v>420</v>
      </c>
      <c r="H10" s="144" t="n">
        <v>51</v>
      </c>
      <c r="I10" s="144" t="s">
        <v>152</v>
      </c>
      <c r="J10" s="150" t="n">
        <v>45074.4012152778</v>
      </c>
      <c r="K10" s="1" t="n">
        <v>1</v>
      </c>
      <c r="L10" s="144" t="n">
        <v>51</v>
      </c>
      <c r="M10" s="1" t="n">
        <v>2</v>
      </c>
      <c r="N10" s="1" t="n">
        <v>2</v>
      </c>
      <c r="O10" s="149" t="n">
        <v>6</v>
      </c>
    </row>
    <row r="11" customFormat="false" ht="14.25" hidden="false" customHeight="false" outlineLevel="0" collapsed="false">
      <c r="A11" s="1" t="n">
        <v>164</v>
      </c>
      <c r="B11" s="1" t="s">
        <v>477</v>
      </c>
      <c r="C11" s="143" t="s">
        <v>52</v>
      </c>
      <c r="D11" s="143" t="s">
        <v>53</v>
      </c>
      <c r="E11" s="143" t="s">
        <v>474</v>
      </c>
      <c r="F11" s="144" t="n">
        <v>200025889051</v>
      </c>
      <c r="G11" s="144" t="s">
        <v>420</v>
      </c>
      <c r="H11" s="144" t="n">
        <v>51</v>
      </c>
      <c r="I11" s="144" t="s">
        <v>152</v>
      </c>
      <c r="J11" s="150" t="n">
        <v>45074.4030902778</v>
      </c>
      <c r="K11" s="1" t="n">
        <v>2</v>
      </c>
      <c r="L11" s="144" t="n">
        <v>51</v>
      </c>
      <c r="M11" s="1" t="n">
        <v>2</v>
      </c>
      <c r="N11" s="1" t="n">
        <v>2</v>
      </c>
      <c r="O11" s="149" t="n">
        <v>7</v>
      </c>
    </row>
    <row r="12" customFormat="false" ht="14.25" hidden="false" customHeight="false" outlineLevel="0" collapsed="false">
      <c r="A12" s="1" t="n">
        <v>165</v>
      </c>
      <c r="B12" s="1" t="s">
        <v>477</v>
      </c>
      <c r="C12" s="143" t="s">
        <v>52</v>
      </c>
      <c r="D12" s="143" t="s">
        <v>53</v>
      </c>
      <c r="E12" s="143" t="s">
        <v>474</v>
      </c>
      <c r="F12" s="144" t="n">
        <v>200025889051</v>
      </c>
      <c r="G12" s="144" t="s">
        <v>420</v>
      </c>
      <c r="H12" s="144" t="n">
        <v>51</v>
      </c>
      <c r="I12" s="144" t="s">
        <v>152</v>
      </c>
      <c r="J12" s="150" t="n">
        <v>45074.4187268519</v>
      </c>
      <c r="K12" s="1" t="n">
        <v>1</v>
      </c>
      <c r="L12" s="144" t="n">
        <v>51</v>
      </c>
      <c r="M12" s="1" t="n">
        <v>2</v>
      </c>
      <c r="N12" s="1" t="n">
        <v>2</v>
      </c>
      <c r="O12" s="149" t="n">
        <v>8</v>
      </c>
    </row>
    <row r="13" customFormat="false" ht="14.25" hidden="false" customHeight="false" outlineLevel="0" collapsed="false">
      <c r="A13" s="1" t="n">
        <v>166</v>
      </c>
      <c r="B13" s="1" t="s">
        <v>477</v>
      </c>
      <c r="C13" s="143" t="s">
        <v>52</v>
      </c>
      <c r="D13" s="143" t="s">
        <v>53</v>
      </c>
      <c r="E13" s="143" t="s">
        <v>474</v>
      </c>
      <c r="F13" s="144" t="n">
        <v>200025889051</v>
      </c>
      <c r="G13" s="144" t="s">
        <v>420</v>
      </c>
      <c r="H13" s="144" t="n">
        <v>51</v>
      </c>
      <c r="I13" s="144" t="s">
        <v>152</v>
      </c>
      <c r="J13" s="150" t="n">
        <v>45074.4581597222</v>
      </c>
      <c r="K13" s="1" t="n">
        <v>1</v>
      </c>
      <c r="L13" s="144" t="n">
        <v>51</v>
      </c>
      <c r="M13" s="1" t="n">
        <v>2</v>
      </c>
      <c r="N13" s="1" t="n">
        <v>2</v>
      </c>
      <c r="O13" s="149" t="n">
        <v>9</v>
      </c>
    </row>
    <row r="14" customFormat="false" ht="14.25" hidden="false" customHeight="false" outlineLevel="0" collapsed="false">
      <c r="A14" s="1" t="n">
        <v>168</v>
      </c>
      <c r="B14" s="1" t="s">
        <v>477</v>
      </c>
      <c r="C14" s="143" t="s">
        <v>52</v>
      </c>
      <c r="D14" s="143" t="s">
        <v>53</v>
      </c>
      <c r="E14" s="143" t="s">
        <v>474</v>
      </c>
      <c r="F14" s="144" t="n">
        <v>200025889051</v>
      </c>
      <c r="G14" s="144" t="s">
        <v>420</v>
      </c>
      <c r="H14" s="144" t="n">
        <v>51</v>
      </c>
      <c r="I14" s="144" t="s">
        <v>152</v>
      </c>
      <c r="J14" s="150" t="n">
        <v>45074.4723611111</v>
      </c>
      <c r="K14" s="1" t="n">
        <v>2</v>
      </c>
      <c r="L14" s="144" t="n">
        <v>51</v>
      </c>
      <c r="M14" s="1" t="n">
        <v>2</v>
      </c>
      <c r="N14" s="1" t="n">
        <v>2</v>
      </c>
      <c r="O14" s="149" t="n">
        <v>10</v>
      </c>
    </row>
    <row r="15" customFormat="false" ht="14.25" hidden="false" customHeight="false" outlineLevel="0" collapsed="false">
      <c r="A15" s="1" t="n">
        <v>177</v>
      </c>
      <c r="B15" s="1" t="s">
        <v>477</v>
      </c>
      <c r="C15" s="143" t="s">
        <v>52</v>
      </c>
      <c r="D15" s="143" t="s">
        <v>53</v>
      </c>
      <c r="E15" s="143" t="s">
        <v>474</v>
      </c>
      <c r="F15" s="144" t="n">
        <v>200025889051</v>
      </c>
      <c r="G15" s="144" t="s">
        <v>420</v>
      </c>
      <c r="H15" s="144" t="n">
        <v>51</v>
      </c>
      <c r="I15" s="144" t="s">
        <v>152</v>
      </c>
      <c r="J15" s="150" t="n">
        <v>45074.7531828704</v>
      </c>
      <c r="K15" s="1" t="n">
        <v>2</v>
      </c>
      <c r="L15" s="144" t="n">
        <v>51</v>
      </c>
      <c r="M15" s="1" t="n">
        <v>2</v>
      </c>
      <c r="N15" s="1" t="n">
        <v>2</v>
      </c>
      <c r="O15" s="149" t="n">
        <v>11</v>
      </c>
    </row>
    <row r="16" customFormat="false" ht="14.25" hidden="false" customHeight="false" outlineLevel="0" collapsed="false">
      <c r="A16" s="1" t="n">
        <v>178</v>
      </c>
      <c r="B16" s="1" t="s">
        <v>477</v>
      </c>
      <c r="C16" s="143" t="s">
        <v>52</v>
      </c>
      <c r="D16" s="143" t="s">
        <v>53</v>
      </c>
      <c r="E16" s="143" t="s">
        <v>474</v>
      </c>
      <c r="F16" s="144" t="n">
        <v>200025889051</v>
      </c>
      <c r="G16" s="144" t="s">
        <v>420</v>
      </c>
      <c r="H16" s="144" t="n">
        <v>51</v>
      </c>
      <c r="I16" s="144" t="s">
        <v>152</v>
      </c>
      <c r="J16" s="150" t="n">
        <v>45074.7534143519</v>
      </c>
      <c r="K16" s="1" t="n">
        <v>2</v>
      </c>
      <c r="L16" s="144" t="n">
        <v>51</v>
      </c>
      <c r="M16" s="1" t="n">
        <v>2</v>
      </c>
      <c r="N16" s="1" t="n">
        <v>2</v>
      </c>
      <c r="O16" s="149" t="n">
        <v>12</v>
      </c>
    </row>
    <row r="17" customFormat="false" ht="14.25" hidden="false" customHeight="false" outlineLevel="0" collapsed="false">
      <c r="A17" s="1" t="n">
        <v>179</v>
      </c>
      <c r="B17" s="1" t="s">
        <v>477</v>
      </c>
      <c r="C17" s="143" t="s">
        <v>52</v>
      </c>
      <c r="D17" s="143" t="s">
        <v>53</v>
      </c>
      <c r="E17" s="143" t="s">
        <v>474</v>
      </c>
      <c r="F17" s="144" t="n">
        <v>200025889051</v>
      </c>
      <c r="G17" s="144" t="s">
        <v>420</v>
      </c>
      <c r="H17" s="144" t="n">
        <v>51</v>
      </c>
      <c r="I17" s="144" t="s">
        <v>152</v>
      </c>
      <c r="J17" s="150" t="n">
        <v>45074.7541898148</v>
      </c>
      <c r="K17" s="1" t="n">
        <v>2</v>
      </c>
      <c r="L17" s="144" t="n">
        <v>51</v>
      </c>
      <c r="M17" s="1" t="n">
        <v>2</v>
      </c>
      <c r="N17" s="1" t="n">
        <v>2</v>
      </c>
      <c r="O17" s="149" t="n">
        <v>13</v>
      </c>
    </row>
    <row r="18" customFormat="false" ht="14.25" hidden="false" customHeight="false" outlineLevel="0" collapsed="false">
      <c r="A18" s="1" t="n">
        <v>180</v>
      </c>
      <c r="B18" s="1" t="s">
        <v>477</v>
      </c>
      <c r="C18" s="143" t="s">
        <v>52</v>
      </c>
      <c r="D18" s="143" t="s">
        <v>53</v>
      </c>
      <c r="E18" s="143" t="s">
        <v>474</v>
      </c>
      <c r="F18" s="144" t="n">
        <v>200025889051</v>
      </c>
      <c r="G18" s="144" t="s">
        <v>420</v>
      </c>
      <c r="H18" s="144" t="n">
        <v>51</v>
      </c>
      <c r="I18" s="144" t="s">
        <v>152</v>
      </c>
      <c r="J18" s="150" t="n">
        <v>45074.7543287037</v>
      </c>
      <c r="K18" s="1" t="n">
        <v>1</v>
      </c>
      <c r="L18" s="144" t="n">
        <v>51</v>
      </c>
      <c r="M18" s="1" t="n">
        <v>2</v>
      </c>
      <c r="N18" s="1" t="n">
        <v>2</v>
      </c>
      <c r="O18" s="149" t="n">
        <v>14</v>
      </c>
    </row>
    <row r="19" customFormat="false" ht="14.25" hidden="false" customHeight="false" outlineLevel="0" collapsed="false">
      <c r="A19" s="1" t="n">
        <v>181</v>
      </c>
      <c r="B19" s="1" t="s">
        <v>477</v>
      </c>
      <c r="C19" s="143" t="s">
        <v>52</v>
      </c>
      <c r="D19" s="143" t="s">
        <v>53</v>
      </c>
      <c r="E19" s="143" t="s">
        <v>474</v>
      </c>
      <c r="F19" s="144" t="n">
        <v>200025889051</v>
      </c>
      <c r="G19" s="144" t="s">
        <v>420</v>
      </c>
      <c r="H19" s="144" t="n">
        <v>51</v>
      </c>
      <c r="I19" s="144" t="s">
        <v>152</v>
      </c>
      <c r="J19" s="150" t="n">
        <v>45074.755162037</v>
      </c>
      <c r="K19" s="1" t="n">
        <v>2</v>
      </c>
      <c r="L19" s="144" t="n">
        <v>51</v>
      </c>
      <c r="M19" s="1" t="n">
        <v>2</v>
      </c>
      <c r="N19" s="1" t="n">
        <v>2</v>
      </c>
      <c r="O19" s="149" t="n">
        <v>15</v>
      </c>
    </row>
    <row r="20" customFormat="false" ht="14.25" hidden="false" customHeight="false" outlineLevel="0" collapsed="false">
      <c r="A20" s="1" t="n">
        <v>182</v>
      </c>
      <c r="B20" s="1" t="s">
        <v>477</v>
      </c>
      <c r="C20" s="143" t="s">
        <v>52</v>
      </c>
      <c r="D20" s="143" t="s">
        <v>53</v>
      </c>
      <c r="E20" s="143" t="s">
        <v>474</v>
      </c>
      <c r="F20" s="144" t="n">
        <v>200025889051</v>
      </c>
      <c r="G20" s="144" t="s">
        <v>420</v>
      </c>
      <c r="H20" s="144" t="n">
        <v>51</v>
      </c>
      <c r="I20" s="144" t="s">
        <v>152</v>
      </c>
      <c r="J20" s="150" t="n">
        <v>45074.7552662037</v>
      </c>
      <c r="K20" s="1" t="n">
        <v>3</v>
      </c>
      <c r="L20" s="144" t="n">
        <v>51</v>
      </c>
      <c r="M20" s="1" t="n">
        <v>2</v>
      </c>
      <c r="N20" s="1" t="n">
        <v>2</v>
      </c>
      <c r="O20" s="149" t="n">
        <v>16</v>
      </c>
    </row>
    <row r="21" customFormat="false" ht="14.25" hidden="false" customHeight="false" outlineLevel="0" collapsed="false">
      <c r="A21" s="1" t="n">
        <v>183</v>
      </c>
      <c r="B21" s="1" t="s">
        <v>477</v>
      </c>
      <c r="C21" s="143" t="s">
        <v>52</v>
      </c>
      <c r="D21" s="143" t="s">
        <v>53</v>
      </c>
      <c r="E21" s="143" t="s">
        <v>474</v>
      </c>
      <c r="F21" s="144" t="n">
        <v>200025889051</v>
      </c>
      <c r="G21" s="144" t="s">
        <v>420</v>
      </c>
      <c r="H21" s="144" t="n">
        <v>51</v>
      </c>
      <c r="I21" s="144" t="s">
        <v>152</v>
      </c>
      <c r="J21" s="150" t="n">
        <v>45074.7556944444</v>
      </c>
      <c r="K21" s="1" t="n">
        <v>2</v>
      </c>
      <c r="L21" s="144" t="n">
        <v>51</v>
      </c>
      <c r="M21" s="1" t="n">
        <v>2</v>
      </c>
      <c r="N21" s="1" t="n">
        <v>2</v>
      </c>
      <c r="O21" s="149" t="n">
        <v>17</v>
      </c>
    </row>
    <row r="22" customFormat="false" ht="14.25" hidden="false" customHeight="false" outlineLevel="0" collapsed="false">
      <c r="A22" s="1" t="n">
        <v>184</v>
      </c>
      <c r="B22" s="1" t="s">
        <v>477</v>
      </c>
      <c r="C22" s="143" t="s">
        <v>52</v>
      </c>
      <c r="D22" s="143" t="s">
        <v>53</v>
      </c>
      <c r="E22" s="143" t="s">
        <v>474</v>
      </c>
      <c r="F22" s="144" t="n">
        <v>200025889051</v>
      </c>
      <c r="G22" s="144" t="s">
        <v>420</v>
      </c>
      <c r="H22" s="144" t="n">
        <v>51</v>
      </c>
      <c r="I22" s="144" t="s">
        <v>152</v>
      </c>
      <c r="J22" s="150" t="n">
        <v>45074.7575694444</v>
      </c>
      <c r="K22" s="1" t="n">
        <v>3</v>
      </c>
      <c r="L22" s="144" t="n">
        <v>51</v>
      </c>
      <c r="M22" s="1" t="n">
        <v>2</v>
      </c>
      <c r="N22" s="1" t="n">
        <v>2</v>
      </c>
      <c r="O22" s="149" t="n">
        <v>18</v>
      </c>
    </row>
    <row r="23" customFormat="false" ht="14.25" hidden="false" customHeight="false" outlineLevel="0" collapsed="false">
      <c r="A23" s="1" t="n">
        <v>185</v>
      </c>
      <c r="B23" s="1" t="s">
        <v>477</v>
      </c>
      <c r="C23" s="143" t="s">
        <v>52</v>
      </c>
      <c r="D23" s="143" t="s">
        <v>53</v>
      </c>
      <c r="E23" s="143" t="s">
        <v>474</v>
      </c>
      <c r="F23" s="144" t="n">
        <v>200025889051</v>
      </c>
      <c r="G23" s="144" t="s">
        <v>420</v>
      </c>
      <c r="H23" s="144" t="n">
        <v>51</v>
      </c>
      <c r="I23" s="144" t="s">
        <v>152</v>
      </c>
      <c r="J23" s="150" t="n">
        <v>45074.7577777778</v>
      </c>
      <c r="K23" s="1" t="n">
        <v>1</v>
      </c>
      <c r="L23" s="144" t="n">
        <v>51</v>
      </c>
      <c r="M23" s="1" t="n">
        <v>2</v>
      </c>
      <c r="N23" s="1" t="n">
        <v>2</v>
      </c>
      <c r="O23" s="149" t="n">
        <v>19</v>
      </c>
    </row>
    <row r="24" customFormat="false" ht="14.25" hidden="false" customHeight="false" outlineLevel="0" collapsed="false">
      <c r="A24" s="1" t="n">
        <v>186</v>
      </c>
      <c r="B24" s="1" t="s">
        <v>477</v>
      </c>
      <c r="C24" s="143" t="s">
        <v>52</v>
      </c>
      <c r="D24" s="143" t="s">
        <v>53</v>
      </c>
      <c r="E24" s="143" t="s">
        <v>474</v>
      </c>
      <c r="F24" s="144" t="n">
        <v>200025889051</v>
      </c>
      <c r="G24" s="144" t="s">
        <v>420</v>
      </c>
      <c r="H24" s="144" t="n">
        <v>51</v>
      </c>
      <c r="I24" s="144" t="s">
        <v>152</v>
      </c>
      <c r="J24" s="150" t="n">
        <v>45074.7581597222</v>
      </c>
      <c r="K24" s="1" t="n">
        <v>1</v>
      </c>
      <c r="L24" s="144" t="n">
        <v>51</v>
      </c>
      <c r="M24" s="1" t="n">
        <v>2</v>
      </c>
      <c r="N24" s="1" t="n">
        <v>2</v>
      </c>
      <c r="O24" s="149" t="n">
        <v>20</v>
      </c>
    </row>
    <row r="25" customFormat="false" ht="14.25" hidden="false" customHeight="false" outlineLevel="0" collapsed="false">
      <c r="A25" s="1" t="n">
        <v>187</v>
      </c>
      <c r="B25" s="1" t="s">
        <v>477</v>
      </c>
      <c r="C25" s="143" t="s">
        <v>52</v>
      </c>
      <c r="D25" s="143" t="s">
        <v>53</v>
      </c>
      <c r="E25" s="143" t="s">
        <v>474</v>
      </c>
      <c r="F25" s="144" t="n">
        <v>200025889051</v>
      </c>
      <c r="G25" s="144" t="s">
        <v>420</v>
      </c>
      <c r="H25" s="144" t="n">
        <v>51</v>
      </c>
      <c r="I25" s="144" t="s">
        <v>152</v>
      </c>
      <c r="J25" s="150" t="n">
        <v>45074.7588541667</v>
      </c>
      <c r="K25" s="1" t="n">
        <v>3</v>
      </c>
      <c r="L25" s="144" t="n">
        <v>51</v>
      </c>
      <c r="M25" s="1" t="n">
        <v>2</v>
      </c>
      <c r="N25" s="1" t="n">
        <v>2</v>
      </c>
      <c r="O25" s="149" t="n">
        <v>21</v>
      </c>
    </row>
    <row r="26" customFormat="false" ht="14.25" hidden="false" customHeight="false" outlineLevel="0" collapsed="false">
      <c r="A26" s="1" t="n">
        <v>338</v>
      </c>
      <c r="B26" s="1" t="s">
        <v>478</v>
      </c>
      <c r="C26" s="143" t="n">
        <v>91601</v>
      </c>
      <c r="D26" s="143" t="s">
        <v>65</v>
      </c>
      <c r="E26" s="143" t="s">
        <v>479</v>
      </c>
      <c r="F26" s="144" t="n">
        <v>200025889051</v>
      </c>
      <c r="G26" s="144" t="s">
        <v>420</v>
      </c>
      <c r="H26" s="144" t="n">
        <v>51</v>
      </c>
      <c r="I26" s="144" t="s">
        <v>152</v>
      </c>
      <c r="J26" s="148" t="n">
        <v>45079.4925925926</v>
      </c>
      <c r="K26" s="1" t="n">
        <v>2</v>
      </c>
      <c r="L26" s="144" t="n">
        <v>51</v>
      </c>
      <c r="M26" s="1" t="n">
        <v>2</v>
      </c>
      <c r="N26" s="1" t="n">
        <v>2</v>
      </c>
      <c r="O26" s="149" t="n">
        <v>22</v>
      </c>
    </row>
    <row r="27" customFormat="false" ht="14.25" hidden="false" customHeight="false" outlineLevel="0" collapsed="false">
      <c r="A27" s="1" t="n">
        <v>339</v>
      </c>
      <c r="B27" s="1" t="s">
        <v>478</v>
      </c>
      <c r="C27" s="143" t="n">
        <v>91601</v>
      </c>
      <c r="D27" s="143" t="s">
        <v>65</v>
      </c>
      <c r="E27" s="143" t="s">
        <v>479</v>
      </c>
      <c r="F27" s="144" t="n">
        <v>200025889051</v>
      </c>
      <c r="G27" s="144" t="s">
        <v>420</v>
      </c>
      <c r="H27" s="144" t="n">
        <v>51</v>
      </c>
      <c r="I27" s="144" t="s">
        <v>152</v>
      </c>
      <c r="J27" s="148" t="n">
        <v>45079.492962963</v>
      </c>
      <c r="K27" s="1" t="n">
        <v>0</v>
      </c>
      <c r="L27" s="144" t="n">
        <v>51</v>
      </c>
      <c r="M27" s="1" t="n">
        <v>2</v>
      </c>
      <c r="N27" s="1" t="n">
        <v>2</v>
      </c>
      <c r="O27" s="149" t="n">
        <v>23</v>
      </c>
    </row>
    <row r="28" customFormat="false" ht="14.25" hidden="false" customHeight="false" outlineLevel="0" collapsed="false">
      <c r="A28" s="1" t="n">
        <v>340</v>
      </c>
      <c r="B28" s="1" t="s">
        <v>478</v>
      </c>
      <c r="C28" s="143" t="n">
        <v>91601</v>
      </c>
      <c r="D28" s="143" t="s">
        <v>65</v>
      </c>
      <c r="E28" s="143" t="s">
        <v>479</v>
      </c>
      <c r="F28" s="144" t="n">
        <v>200025889051</v>
      </c>
      <c r="G28" s="144" t="s">
        <v>420</v>
      </c>
      <c r="H28" s="144" t="n">
        <v>51</v>
      </c>
      <c r="I28" s="144" t="s">
        <v>152</v>
      </c>
      <c r="J28" s="148" t="n">
        <v>45079.4931481482</v>
      </c>
      <c r="K28" s="1" t="n">
        <v>2</v>
      </c>
      <c r="L28" s="144" t="n">
        <v>51</v>
      </c>
      <c r="M28" s="1" t="n">
        <v>2</v>
      </c>
      <c r="N28" s="1" t="n">
        <v>2</v>
      </c>
      <c r="O28" s="149" t="n">
        <v>24</v>
      </c>
    </row>
    <row r="29" customFormat="false" ht="14.25" hidden="false" customHeight="false" outlineLevel="0" collapsed="false">
      <c r="A29" s="1" t="n">
        <v>341</v>
      </c>
      <c r="B29" s="1" t="s">
        <v>478</v>
      </c>
      <c r="C29" s="143" t="n">
        <v>91601</v>
      </c>
      <c r="D29" s="143" t="s">
        <v>65</v>
      </c>
      <c r="E29" s="143" t="s">
        <v>479</v>
      </c>
      <c r="F29" s="144" t="n">
        <v>200025889051</v>
      </c>
      <c r="G29" s="144" t="s">
        <v>420</v>
      </c>
      <c r="H29" s="144" t="n">
        <v>51</v>
      </c>
      <c r="I29" s="144" t="s">
        <v>152</v>
      </c>
      <c r="J29" s="148" t="n">
        <v>45079.4931712963</v>
      </c>
      <c r="K29" s="1" t="n">
        <v>2</v>
      </c>
      <c r="L29" s="144" t="n">
        <v>51</v>
      </c>
      <c r="M29" s="1" t="n">
        <v>2</v>
      </c>
      <c r="N29" s="1" t="n">
        <v>2</v>
      </c>
      <c r="O29" s="149" t="n">
        <v>25</v>
      </c>
    </row>
    <row r="30" customFormat="false" ht="14.25" hidden="false" customHeight="false" outlineLevel="0" collapsed="false">
      <c r="A30" s="1" t="n">
        <v>13</v>
      </c>
      <c r="B30" s="1" t="s">
        <v>473</v>
      </c>
      <c r="C30" s="143" t="n">
        <v>11490</v>
      </c>
      <c r="D30" s="143" t="s">
        <v>65</v>
      </c>
      <c r="E30" s="143" t="s">
        <v>474</v>
      </c>
      <c r="F30" s="144" t="n">
        <v>200025888521</v>
      </c>
      <c r="G30" s="144" t="s">
        <v>289</v>
      </c>
      <c r="H30" s="144" t="n">
        <v>21</v>
      </c>
      <c r="I30" s="144" t="s">
        <v>152</v>
      </c>
      <c r="J30" s="148" t="n">
        <v>45055.5238773148</v>
      </c>
      <c r="K30" s="1" t="n">
        <v>0</v>
      </c>
      <c r="L30" s="144" t="n">
        <v>21</v>
      </c>
      <c r="M30" s="1" t="n">
        <v>3</v>
      </c>
      <c r="N30" s="1" t="n">
        <v>3</v>
      </c>
      <c r="O30" s="149" t="n">
        <v>1</v>
      </c>
    </row>
    <row r="31" customFormat="false" ht="14.25" hidden="false" customHeight="false" outlineLevel="0" collapsed="false">
      <c r="A31" s="1" t="n">
        <v>75</v>
      </c>
      <c r="B31" s="1" t="s">
        <v>473</v>
      </c>
      <c r="C31" s="143" t="n">
        <v>11490</v>
      </c>
      <c r="D31" s="143" t="s">
        <v>65</v>
      </c>
      <c r="E31" s="143" t="s">
        <v>474</v>
      </c>
      <c r="F31" s="144" t="n">
        <v>200025888521</v>
      </c>
      <c r="G31" s="144" t="s">
        <v>289</v>
      </c>
      <c r="H31" s="144" t="n">
        <v>21</v>
      </c>
      <c r="I31" s="144" t="s">
        <v>152</v>
      </c>
      <c r="J31" s="148" t="n">
        <v>45056.0864351852</v>
      </c>
      <c r="K31" s="1" t="n">
        <v>1</v>
      </c>
      <c r="L31" s="144" t="n">
        <v>21</v>
      </c>
      <c r="M31" s="1" t="n">
        <v>3</v>
      </c>
      <c r="N31" s="1" t="n">
        <v>3</v>
      </c>
      <c r="O31" s="149" t="n">
        <v>2</v>
      </c>
    </row>
    <row r="32" customFormat="false" ht="14.25" hidden="false" customHeight="false" outlineLevel="0" collapsed="false">
      <c r="A32" s="1" t="n">
        <v>76</v>
      </c>
      <c r="B32" s="1" t="s">
        <v>473</v>
      </c>
      <c r="C32" s="143" t="n">
        <v>11490</v>
      </c>
      <c r="D32" s="143" t="s">
        <v>65</v>
      </c>
      <c r="E32" s="143" t="s">
        <v>474</v>
      </c>
      <c r="F32" s="144" t="n">
        <v>200025888521</v>
      </c>
      <c r="G32" s="144" t="s">
        <v>289</v>
      </c>
      <c r="H32" s="144" t="n">
        <v>21</v>
      </c>
      <c r="I32" s="144" t="s">
        <v>152</v>
      </c>
      <c r="J32" s="148" t="n">
        <v>45056.0865625</v>
      </c>
      <c r="K32" s="1" t="n">
        <v>4</v>
      </c>
      <c r="L32" s="144" t="n">
        <v>21</v>
      </c>
      <c r="M32" s="1" t="n">
        <v>3</v>
      </c>
      <c r="N32" s="1" t="n">
        <v>3</v>
      </c>
      <c r="O32" s="149" t="n">
        <v>3</v>
      </c>
    </row>
    <row r="33" customFormat="false" ht="14.25" hidden="false" customHeight="false" outlineLevel="0" collapsed="false">
      <c r="A33" s="1" t="n">
        <v>77</v>
      </c>
      <c r="B33" s="1" t="s">
        <v>473</v>
      </c>
      <c r="C33" s="143" t="n">
        <v>11490</v>
      </c>
      <c r="D33" s="143" t="s">
        <v>65</v>
      </c>
      <c r="E33" s="143" t="s">
        <v>474</v>
      </c>
      <c r="F33" s="144" t="n">
        <v>200025888521</v>
      </c>
      <c r="G33" s="144" t="s">
        <v>289</v>
      </c>
      <c r="H33" s="144" t="n">
        <v>21</v>
      </c>
      <c r="I33" s="144" t="s">
        <v>152</v>
      </c>
      <c r="J33" s="148" t="n">
        <v>45056.0867476852</v>
      </c>
      <c r="K33" s="1" t="n">
        <v>2</v>
      </c>
      <c r="L33" s="144" t="n">
        <v>21</v>
      </c>
      <c r="M33" s="1" t="n">
        <v>3</v>
      </c>
      <c r="N33" s="1" t="n">
        <v>3</v>
      </c>
      <c r="O33" s="149" t="n">
        <v>4</v>
      </c>
    </row>
    <row r="34" customFormat="false" ht="14.25" hidden="false" customHeight="false" outlineLevel="0" collapsed="false">
      <c r="A34" s="1" t="n">
        <v>78</v>
      </c>
      <c r="B34" s="1" t="s">
        <v>473</v>
      </c>
      <c r="C34" s="143" t="n">
        <v>11490</v>
      </c>
      <c r="D34" s="143" t="s">
        <v>65</v>
      </c>
      <c r="E34" s="143" t="s">
        <v>474</v>
      </c>
      <c r="F34" s="144" t="n">
        <v>200025888521</v>
      </c>
      <c r="G34" s="144" t="s">
        <v>289</v>
      </c>
      <c r="H34" s="144" t="n">
        <v>21</v>
      </c>
      <c r="I34" s="144" t="s">
        <v>152</v>
      </c>
      <c r="J34" s="148" t="n">
        <v>45056.0867708333</v>
      </c>
      <c r="K34" s="1" t="n">
        <v>5</v>
      </c>
      <c r="L34" s="144" t="n">
        <v>21</v>
      </c>
      <c r="M34" s="1" t="n">
        <v>3</v>
      </c>
      <c r="N34" s="1" t="n">
        <v>3</v>
      </c>
      <c r="O34" s="149" t="n">
        <v>5</v>
      </c>
    </row>
    <row r="35" customFormat="false" ht="14.25" hidden="false" customHeight="false" outlineLevel="0" collapsed="false">
      <c r="A35" s="1" t="n">
        <v>79</v>
      </c>
      <c r="B35" s="1" t="s">
        <v>473</v>
      </c>
      <c r="C35" s="143" t="n">
        <v>11490</v>
      </c>
      <c r="D35" s="143" t="s">
        <v>65</v>
      </c>
      <c r="E35" s="143" t="s">
        <v>474</v>
      </c>
      <c r="F35" s="144" t="n">
        <v>200025888521</v>
      </c>
      <c r="G35" s="144" t="s">
        <v>289</v>
      </c>
      <c r="H35" s="144" t="n">
        <v>21</v>
      </c>
      <c r="I35" s="144" t="s">
        <v>152</v>
      </c>
      <c r="J35" s="148" t="n">
        <v>45056.0869328704</v>
      </c>
      <c r="K35" s="1" t="n">
        <v>0</v>
      </c>
      <c r="L35" s="144" t="n">
        <v>21</v>
      </c>
      <c r="M35" s="1" t="n">
        <v>3</v>
      </c>
      <c r="N35" s="1" t="n">
        <v>3</v>
      </c>
      <c r="O35" s="149" t="n">
        <v>6</v>
      </c>
    </row>
    <row r="36" customFormat="false" ht="14.25" hidden="false" customHeight="false" outlineLevel="0" collapsed="false">
      <c r="A36" s="1" t="n">
        <v>80</v>
      </c>
      <c r="B36" s="1" t="s">
        <v>473</v>
      </c>
      <c r="C36" s="143" t="n">
        <v>11490</v>
      </c>
      <c r="D36" s="143" t="s">
        <v>65</v>
      </c>
      <c r="E36" s="143" t="s">
        <v>474</v>
      </c>
      <c r="F36" s="144" t="n">
        <v>200025888521</v>
      </c>
      <c r="G36" s="144" t="s">
        <v>289</v>
      </c>
      <c r="H36" s="144" t="n">
        <v>21</v>
      </c>
      <c r="I36" s="144" t="s">
        <v>152</v>
      </c>
      <c r="J36" s="148" t="n">
        <v>45056.0925347222</v>
      </c>
      <c r="K36" s="1" t="n">
        <v>2</v>
      </c>
      <c r="L36" s="144" t="n">
        <v>21</v>
      </c>
      <c r="M36" s="1" t="n">
        <v>3</v>
      </c>
      <c r="N36" s="1" t="n">
        <v>3</v>
      </c>
      <c r="O36" s="149" t="n">
        <v>7</v>
      </c>
    </row>
    <row r="37" customFormat="false" ht="14.25" hidden="false" customHeight="false" outlineLevel="0" collapsed="false">
      <c r="A37" s="1" t="n">
        <v>82</v>
      </c>
      <c r="B37" s="1" t="s">
        <v>473</v>
      </c>
      <c r="C37" s="143" t="n">
        <v>11490</v>
      </c>
      <c r="D37" s="143" t="s">
        <v>65</v>
      </c>
      <c r="E37" s="143" t="s">
        <v>474</v>
      </c>
      <c r="F37" s="144" t="n">
        <v>200025888521</v>
      </c>
      <c r="G37" s="144" t="s">
        <v>289</v>
      </c>
      <c r="H37" s="144" t="n">
        <v>21</v>
      </c>
      <c r="I37" s="144" t="s">
        <v>152</v>
      </c>
      <c r="J37" s="148" t="n">
        <v>45056.1073726852</v>
      </c>
      <c r="K37" s="1" t="n">
        <v>1</v>
      </c>
      <c r="L37" s="144" t="n">
        <v>21</v>
      </c>
      <c r="M37" s="1" t="n">
        <v>3</v>
      </c>
      <c r="N37" s="1" t="n">
        <v>3</v>
      </c>
      <c r="O37" s="149" t="n">
        <v>8</v>
      </c>
    </row>
    <row r="38" customFormat="false" ht="14.25" hidden="false" customHeight="false" outlineLevel="0" collapsed="false">
      <c r="A38" s="1" t="n">
        <v>83</v>
      </c>
      <c r="B38" s="1" t="s">
        <v>473</v>
      </c>
      <c r="C38" s="143" t="n">
        <v>11490</v>
      </c>
      <c r="D38" s="143" t="s">
        <v>65</v>
      </c>
      <c r="E38" s="143" t="s">
        <v>474</v>
      </c>
      <c r="F38" s="144" t="n">
        <v>200025888521</v>
      </c>
      <c r="G38" s="144" t="s">
        <v>289</v>
      </c>
      <c r="H38" s="144" t="n">
        <v>21</v>
      </c>
      <c r="I38" s="144" t="s">
        <v>152</v>
      </c>
      <c r="J38" s="148" t="n">
        <v>45056.1076041667</v>
      </c>
      <c r="K38" s="1" t="n">
        <v>1</v>
      </c>
      <c r="L38" s="144" t="n">
        <v>21</v>
      </c>
      <c r="M38" s="1" t="n">
        <v>3</v>
      </c>
      <c r="N38" s="1" t="n">
        <v>3</v>
      </c>
      <c r="O38" s="149" t="n">
        <v>9</v>
      </c>
    </row>
    <row r="39" customFormat="false" ht="14.25" hidden="false" customHeight="false" outlineLevel="0" collapsed="false">
      <c r="A39" s="1" t="n">
        <v>84</v>
      </c>
      <c r="B39" s="1" t="s">
        <v>473</v>
      </c>
      <c r="C39" s="143" t="n">
        <v>11490</v>
      </c>
      <c r="D39" s="143" t="s">
        <v>65</v>
      </c>
      <c r="E39" s="143" t="s">
        <v>474</v>
      </c>
      <c r="F39" s="144" t="n">
        <v>200025888521</v>
      </c>
      <c r="G39" s="144" t="s">
        <v>289</v>
      </c>
      <c r="H39" s="144" t="n">
        <v>21</v>
      </c>
      <c r="I39" s="144" t="s">
        <v>152</v>
      </c>
      <c r="J39" s="148" t="n">
        <v>45056.1106597222</v>
      </c>
      <c r="K39" s="1" t="n">
        <v>1</v>
      </c>
      <c r="L39" s="144" t="n">
        <v>21</v>
      </c>
      <c r="M39" s="1" t="n">
        <v>3</v>
      </c>
      <c r="N39" s="1" t="n">
        <v>3</v>
      </c>
      <c r="O39" s="149" t="n">
        <v>10</v>
      </c>
    </row>
    <row r="40" customFormat="false" ht="14.25" hidden="false" customHeight="false" outlineLevel="0" collapsed="false">
      <c r="A40" s="1" t="n">
        <v>85</v>
      </c>
      <c r="B40" s="1" t="s">
        <v>473</v>
      </c>
      <c r="C40" s="143" t="n">
        <v>11490</v>
      </c>
      <c r="D40" s="143" t="s">
        <v>65</v>
      </c>
      <c r="E40" s="143" t="s">
        <v>474</v>
      </c>
      <c r="F40" s="144" t="n">
        <v>200025888521</v>
      </c>
      <c r="G40" s="144" t="s">
        <v>289</v>
      </c>
      <c r="H40" s="144" t="n">
        <v>21</v>
      </c>
      <c r="I40" s="144" t="s">
        <v>152</v>
      </c>
      <c r="J40" s="148" t="n">
        <v>45056.1121643519</v>
      </c>
      <c r="K40" s="1" t="n">
        <v>1</v>
      </c>
      <c r="L40" s="144" t="n">
        <v>21</v>
      </c>
      <c r="M40" s="1" t="n">
        <v>3</v>
      </c>
      <c r="N40" s="1" t="n">
        <v>3</v>
      </c>
      <c r="O40" s="149" t="n">
        <v>11</v>
      </c>
    </row>
    <row r="41" customFormat="false" ht="14.25" hidden="false" customHeight="false" outlineLevel="0" collapsed="false">
      <c r="A41" s="1" t="n">
        <v>86</v>
      </c>
      <c r="B41" s="1" t="s">
        <v>473</v>
      </c>
      <c r="C41" s="143" t="n">
        <v>11490</v>
      </c>
      <c r="D41" s="143" t="s">
        <v>65</v>
      </c>
      <c r="E41" s="143" t="s">
        <v>474</v>
      </c>
      <c r="F41" s="144" t="n">
        <v>200025888521</v>
      </c>
      <c r="G41" s="144" t="s">
        <v>289</v>
      </c>
      <c r="H41" s="144" t="n">
        <v>21</v>
      </c>
      <c r="I41" s="144" t="s">
        <v>152</v>
      </c>
      <c r="J41" s="148" t="n">
        <v>45056.1123958333</v>
      </c>
      <c r="K41" s="1" t="n">
        <v>2</v>
      </c>
      <c r="L41" s="144" t="n">
        <v>21</v>
      </c>
      <c r="M41" s="1" t="n">
        <v>3</v>
      </c>
      <c r="N41" s="1" t="n">
        <v>3</v>
      </c>
      <c r="O41" s="149" t="n">
        <v>12</v>
      </c>
    </row>
    <row r="42" customFormat="false" ht="14.25" hidden="false" customHeight="false" outlineLevel="0" collapsed="false">
      <c r="A42" s="1" t="n">
        <v>87</v>
      </c>
      <c r="B42" s="1" t="s">
        <v>473</v>
      </c>
      <c r="C42" s="143" t="n">
        <v>11490</v>
      </c>
      <c r="D42" s="143" t="s">
        <v>65</v>
      </c>
      <c r="E42" s="143" t="s">
        <v>474</v>
      </c>
      <c r="F42" s="144" t="n">
        <v>200025888521</v>
      </c>
      <c r="G42" s="144" t="s">
        <v>289</v>
      </c>
      <c r="H42" s="144" t="n">
        <v>21</v>
      </c>
      <c r="I42" s="144" t="s">
        <v>152</v>
      </c>
      <c r="J42" s="148" t="n">
        <v>45056.1137615741</v>
      </c>
      <c r="K42" s="1" t="n">
        <v>2</v>
      </c>
      <c r="L42" s="144" t="n">
        <v>21</v>
      </c>
      <c r="M42" s="1" t="n">
        <v>3</v>
      </c>
      <c r="N42" s="1" t="n">
        <v>3</v>
      </c>
      <c r="O42" s="149" t="n">
        <v>13</v>
      </c>
    </row>
    <row r="43" customFormat="false" ht="14.25" hidden="false" customHeight="false" outlineLevel="0" collapsed="false">
      <c r="A43" s="1" t="n">
        <v>88</v>
      </c>
      <c r="B43" s="1" t="s">
        <v>473</v>
      </c>
      <c r="C43" s="143" t="n">
        <v>11490</v>
      </c>
      <c r="D43" s="143" t="s">
        <v>65</v>
      </c>
      <c r="E43" s="143" t="s">
        <v>474</v>
      </c>
      <c r="F43" s="144" t="n">
        <v>200025888521</v>
      </c>
      <c r="G43" s="144" t="s">
        <v>289</v>
      </c>
      <c r="H43" s="144" t="n">
        <v>21</v>
      </c>
      <c r="I43" s="144" t="s">
        <v>152</v>
      </c>
      <c r="J43" s="148" t="n">
        <v>45056.1138194444</v>
      </c>
      <c r="K43" s="1" t="n">
        <v>2</v>
      </c>
      <c r="L43" s="144" t="n">
        <v>21</v>
      </c>
      <c r="M43" s="1" t="n">
        <v>3</v>
      </c>
      <c r="N43" s="1" t="n">
        <v>3</v>
      </c>
      <c r="O43" s="149" t="n">
        <v>14</v>
      </c>
    </row>
    <row r="44" customFormat="false" ht="14.25" hidden="false" customHeight="false" outlineLevel="0" collapsed="false">
      <c r="A44" s="1" t="n">
        <v>89</v>
      </c>
      <c r="B44" s="1" t="s">
        <v>473</v>
      </c>
      <c r="C44" s="143" t="n">
        <v>11490</v>
      </c>
      <c r="D44" s="143" t="s">
        <v>65</v>
      </c>
      <c r="E44" s="143" t="s">
        <v>474</v>
      </c>
      <c r="F44" s="144" t="s">
        <v>480</v>
      </c>
      <c r="G44" s="144" t="s">
        <v>289</v>
      </c>
      <c r="H44" s="144" t="n">
        <v>21</v>
      </c>
      <c r="I44" s="144" t="s">
        <v>152</v>
      </c>
      <c r="J44" s="148" t="n">
        <v>45056.1337384259</v>
      </c>
      <c r="K44" s="1" t="n">
        <v>1</v>
      </c>
      <c r="L44" s="144" t="n">
        <v>21</v>
      </c>
      <c r="M44" s="1" t="n">
        <v>3</v>
      </c>
      <c r="N44" s="1" t="n">
        <v>3</v>
      </c>
      <c r="O44" s="149" t="n">
        <v>15</v>
      </c>
    </row>
    <row r="45" customFormat="false" ht="14.25" hidden="false" customHeight="false" outlineLevel="0" collapsed="false">
      <c r="A45" s="1" t="n">
        <v>90</v>
      </c>
      <c r="B45" s="1" t="s">
        <v>473</v>
      </c>
      <c r="C45" s="143" t="n">
        <v>11490</v>
      </c>
      <c r="D45" s="143" t="s">
        <v>65</v>
      </c>
      <c r="E45" s="143" t="s">
        <v>474</v>
      </c>
      <c r="F45" s="144" t="n">
        <v>200025888521</v>
      </c>
      <c r="G45" s="144" t="s">
        <v>289</v>
      </c>
      <c r="H45" s="144" t="n">
        <v>21</v>
      </c>
      <c r="I45" s="144" t="s">
        <v>152</v>
      </c>
      <c r="J45" s="148" t="n">
        <v>45056.1342824074</v>
      </c>
      <c r="K45" s="1" t="n">
        <v>0</v>
      </c>
      <c r="L45" s="144" t="n">
        <v>21</v>
      </c>
      <c r="M45" s="1" t="n">
        <v>3</v>
      </c>
      <c r="N45" s="1" t="n">
        <v>3</v>
      </c>
      <c r="O45" s="149" t="n">
        <v>16</v>
      </c>
    </row>
    <row r="46" customFormat="false" ht="14.25" hidden="false" customHeight="false" outlineLevel="0" collapsed="false">
      <c r="A46" s="1" t="n">
        <v>91</v>
      </c>
      <c r="B46" s="1" t="s">
        <v>473</v>
      </c>
      <c r="C46" s="143" t="n">
        <v>11490</v>
      </c>
      <c r="D46" s="143" t="s">
        <v>65</v>
      </c>
      <c r="E46" s="143" t="s">
        <v>474</v>
      </c>
      <c r="F46" s="144" t="n">
        <v>200025888521</v>
      </c>
      <c r="G46" s="144" t="s">
        <v>289</v>
      </c>
      <c r="H46" s="144" t="n">
        <v>21</v>
      </c>
      <c r="I46" s="144" t="s">
        <v>152</v>
      </c>
      <c r="J46" s="148" t="n">
        <v>45056.1349652778</v>
      </c>
      <c r="K46" s="1" t="n">
        <v>0</v>
      </c>
      <c r="L46" s="144" t="n">
        <v>21</v>
      </c>
      <c r="M46" s="1" t="n">
        <v>3</v>
      </c>
      <c r="N46" s="1" t="n">
        <v>3</v>
      </c>
      <c r="O46" s="149" t="n">
        <v>17</v>
      </c>
      <c r="Q46" s="1" t="s">
        <v>481</v>
      </c>
    </row>
    <row r="47" customFormat="false" ht="14.25" hidden="false" customHeight="false" outlineLevel="0" collapsed="false">
      <c r="A47" s="1" t="n">
        <v>92</v>
      </c>
      <c r="B47" s="1" t="s">
        <v>473</v>
      </c>
      <c r="C47" s="143" t="n">
        <v>11490</v>
      </c>
      <c r="D47" s="143" t="s">
        <v>65</v>
      </c>
      <c r="E47" s="143" t="s">
        <v>474</v>
      </c>
      <c r="F47" s="144" t="n">
        <v>200025888521</v>
      </c>
      <c r="G47" s="144" t="s">
        <v>289</v>
      </c>
      <c r="H47" s="144" t="n">
        <v>21</v>
      </c>
      <c r="I47" s="144" t="s">
        <v>152</v>
      </c>
      <c r="J47" s="148" t="n">
        <v>45056.1355671296</v>
      </c>
      <c r="K47" s="1" t="n">
        <v>2</v>
      </c>
      <c r="L47" s="144" t="n">
        <v>21</v>
      </c>
      <c r="M47" s="1" t="n">
        <v>3</v>
      </c>
      <c r="N47" s="1" t="n">
        <v>3</v>
      </c>
      <c r="O47" s="149" t="n">
        <v>18</v>
      </c>
    </row>
    <row r="48" customFormat="false" ht="14.25" hidden="false" customHeight="false" outlineLevel="0" collapsed="false">
      <c r="A48" s="1" t="n">
        <v>93</v>
      </c>
      <c r="B48" s="1" t="s">
        <v>473</v>
      </c>
      <c r="C48" s="143" t="n">
        <v>11490</v>
      </c>
      <c r="D48" s="143" t="s">
        <v>65</v>
      </c>
      <c r="E48" s="143" t="s">
        <v>474</v>
      </c>
      <c r="F48" s="144" t="n">
        <v>200025888521</v>
      </c>
      <c r="G48" s="144" t="s">
        <v>289</v>
      </c>
      <c r="H48" s="144" t="n">
        <v>21</v>
      </c>
      <c r="I48" s="144" t="s">
        <v>152</v>
      </c>
      <c r="J48" s="148" t="n">
        <v>45056.1357291667</v>
      </c>
      <c r="K48" s="1" t="n">
        <v>1</v>
      </c>
      <c r="L48" s="144" t="n">
        <v>21</v>
      </c>
      <c r="M48" s="1" t="n">
        <v>3</v>
      </c>
      <c r="N48" s="1" t="n">
        <v>3</v>
      </c>
      <c r="O48" s="149" t="n">
        <v>19</v>
      </c>
      <c r="Q48" s="3" t="s">
        <v>482</v>
      </c>
      <c r="R48" s="1"/>
      <c r="S48" s="1"/>
      <c r="T48" s="1"/>
      <c r="U48" s="1"/>
      <c r="V48" s="1"/>
      <c r="W48" s="1"/>
      <c r="X48" s="3" t="s">
        <v>483</v>
      </c>
    </row>
    <row r="49" customFormat="false" ht="14.25" hidden="false" customHeight="false" outlineLevel="0" collapsed="false">
      <c r="A49" s="1" t="n">
        <v>94</v>
      </c>
      <c r="B49" s="1" t="s">
        <v>473</v>
      </c>
      <c r="C49" s="143" t="n">
        <v>11490</v>
      </c>
      <c r="D49" s="143" t="s">
        <v>65</v>
      </c>
      <c r="E49" s="143" t="s">
        <v>474</v>
      </c>
      <c r="F49" s="144" t="n">
        <v>200025888521</v>
      </c>
      <c r="G49" s="144" t="s">
        <v>289</v>
      </c>
      <c r="H49" s="144" t="n">
        <v>21</v>
      </c>
      <c r="I49" s="144" t="s">
        <v>152</v>
      </c>
      <c r="J49" s="148" t="n">
        <v>45056.1361921296</v>
      </c>
      <c r="K49" s="1" t="n">
        <v>1</v>
      </c>
      <c r="L49" s="144" t="n">
        <v>21</v>
      </c>
      <c r="M49" s="1" t="n">
        <v>3</v>
      </c>
      <c r="N49" s="1" t="n">
        <v>3</v>
      </c>
      <c r="O49" s="149" t="n">
        <v>20</v>
      </c>
      <c r="Q49" s="3" t="s">
        <v>484</v>
      </c>
      <c r="R49" s="1"/>
      <c r="S49" s="1"/>
      <c r="T49" s="1"/>
      <c r="U49" s="1"/>
      <c r="V49" s="1"/>
      <c r="W49" s="1"/>
      <c r="X49" s="3" t="s">
        <v>485</v>
      </c>
    </row>
    <row r="50" customFormat="false" ht="14.25" hidden="false" customHeight="false" outlineLevel="0" collapsed="false">
      <c r="A50" s="1" t="n">
        <v>95</v>
      </c>
      <c r="B50" s="1" t="s">
        <v>473</v>
      </c>
      <c r="C50" s="143" t="n">
        <v>11490</v>
      </c>
      <c r="D50" s="143" t="s">
        <v>65</v>
      </c>
      <c r="E50" s="143" t="s">
        <v>474</v>
      </c>
      <c r="F50" s="144" t="s">
        <v>480</v>
      </c>
      <c r="G50" s="144" t="s">
        <v>289</v>
      </c>
      <c r="H50" s="144" t="n">
        <v>21</v>
      </c>
      <c r="I50" s="144" t="s">
        <v>152</v>
      </c>
      <c r="J50" s="148" t="n">
        <v>45056.1364236111</v>
      </c>
      <c r="K50" s="1" t="n">
        <v>0</v>
      </c>
      <c r="L50" s="144" t="n">
        <v>21</v>
      </c>
      <c r="M50" s="1" t="n">
        <v>3</v>
      </c>
      <c r="N50" s="1" t="n">
        <v>3</v>
      </c>
      <c r="O50" s="149" t="n">
        <v>21</v>
      </c>
      <c r="Q50" s="3" t="s">
        <v>486</v>
      </c>
      <c r="R50" s="1"/>
      <c r="S50" s="1"/>
      <c r="T50" s="1"/>
      <c r="U50" s="1"/>
      <c r="V50" s="1"/>
      <c r="W50" s="1"/>
      <c r="X50" s="3" t="s">
        <v>487</v>
      </c>
    </row>
    <row r="51" customFormat="false" ht="14.25" hidden="false" customHeight="false" outlineLevel="0" collapsed="false">
      <c r="A51" s="1" t="n">
        <v>96</v>
      </c>
      <c r="B51" s="1" t="s">
        <v>473</v>
      </c>
      <c r="C51" s="143" t="n">
        <v>11490</v>
      </c>
      <c r="D51" s="143" t="s">
        <v>65</v>
      </c>
      <c r="E51" s="143" t="s">
        <v>474</v>
      </c>
      <c r="F51" s="144" t="n">
        <v>200025888521</v>
      </c>
      <c r="G51" s="144" t="s">
        <v>289</v>
      </c>
      <c r="H51" s="144" t="n">
        <v>21</v>
      </c>
      <c r="I51" s="144" t="s">
        <v>152</v>
      </c>
      <c r="J51" s="148" t="n">
        <v>45056.1366203704</v>
      </c>
      <c r="K51" s="1" t="n">
        <v>1</v>
      </c>
      <c r="L51" s="144" t="n">
        <v>21</v>
      </c>
      <c r="M51" s="1" t="n">
        <v>3</v>
      </c>
      <c r="N51" s="1" t="n">
        <v>3</v>
      </c>
      <c r="O51" s="149" t="n">
        <v>22</v>
      </c>
    </row>
    <row r="52" customFormat="false" ht="14.25" hidden="false" customHeight="false" outlineLevel="0" collapsed="false">
      <c r="A52" s="1" t="n">
        <v>97</v>
      </c>
      <c r="B52" s="1" t="s">
        <v>473</v>
      </c>
      <c r="C52" s="143" t="n">
        <v>11490</v>
      </c>
      <c r="D52" s="143" t="s">
        <v>65</v>
      </c>
      <c r="E52" s="143" t="s">
        <v>474</v>
      </c>
      <c r="F52" s="144" t="n">
        <v>200025888521</v>
      </c>
      <c r="G52" s="144" t="s">
        <v>289</v>
      </c>
      <c r="H52" s="144" t="n">
        <v>21</v>
      </c>
      <c r="I52" s="144" t="s">
        <v>152</v>
      </c>
      <c r="J52" s="148" t="n">
        <v>45056.1368402778</v>
      </c>
      <c r="K52" s="1" t="n">
        <v>1</v>
      </c>
      <c r="L52" s="144" t="n">
        <v>21</v>
      </c>
      <c r="M52" s="1" t="n">
        <v>3</v>
      </c>
      <c r="N52" s="1" t="n">
        <v>3</v>
      </c>
      <c r="O52" s="149" t="n">
        <v>23</v>
      </c>
    </row>
    <row r="53" customFormat="false" ht="14.25" hidden="false" customHeight="false" outlineLevel="0" collapsed="false">
      <c r="A53" s="1" t="n">
        <v>98</v>
      </c>
      <c r="B53" s="1" t="s">
        <v>473</v>
      </c>
      <c r="C53" s="143" t="n">
        <v>11490</v>
      </c>
      <c r="D53" s="143" t="s">
        <v>65</v>
      </c>
      <c r="E53" s="143" t="s">
        <v>474</v>
      </c>
      <c r="F53" s="144" t="n">
        <v>200025888521</v>
      </c>
      <c r="G53" s="144" t="s">
        <v>289</v>
      </c>
      <c r="H53" s="144" t="n">
        <v>21</v>
      </c>
      <c r="I53" s="144" t="s">
        <v>152</v>
      </c>
      <c r="J53" s="148" t="n">
        <v>45056.1368981482</v>
      </c>
      <c r="K53" s="1" t="n">
        <v>2</v>
      </c>
      <c r="L53" s="144" t="n">
        <v>21</v>
      </c>
      <c r="M53" s="1" t="n">
        <v>3</v>
      </c>
      <c r="N53" s="1" t="n">
        <v>3</v>
      </c>
      <c r="O53" s="149" t="n">
        <v>24</v>
      </c>
    </row>
    <row r="54" customFormat="false" ht="14.25" hidden="false" customHeight="false" outlineLevel="0" collapsed="false">
      <c r="A54" s="1" t="n">
        <v>99</v>
      </c>
      <c r="B54" s="1" t="s">
        <v>473</v>
      </c>
      <c r="C54" s="143" t="n">
        <v>11490</v>
      </c>
      <c r="D54" s="143" t="s">
        <v>65</v>
      </c>
      <c r="E54" s="143" t="s">
        <v>474</v>
      </c>
      <c r="F54" s="144" t="n">
        <v>200025888521</v>
      </c>
      <c r="G54" s="144" t="s">
        <v>289</v>
      </c>
      <c r="H54" s="144" t="n">
        <v>21</v>
      </c>
      <c r="I54" s="144" t="s">
        <v>152</v>
      </c>
      <c r="J54" s="148" t="n">
        <v>45056.1370138889</v>
      </c>
      <c r="K54" s="1" t="n">
        <v>0</v>
      </c>
      <c r="L54" s="144" t="n">
        <v>21</v>
      </c>
      <c r="M54" s="1" t="n">
        <v>3</v>
      </c>
      <c r="N54" s="1" t="n">
        <v>3</v>
      </c>
      <c r="O54" s="149" t="n">
        <v>25</v>
      </c>
    </row>
    <row r="55" customFormat="false" ht="14.25" hidden="false" customHeight="false" outlineLevel="0" collapsed="false">
      <c r="A55" s="1" t="n">
        <v>100</v>
      </c>
      <c r="B55" s="1" t="s">
        <v>473</v>
      </c>
      <c r="C55" s="143" t="n">
        <v>11490</v>
      </c>
      <c r="D55" s="143" t="s">
        <v>65</v>
      </c>
      <c r="E55" s="143" t="s">
        <v>474</v>
      </c>
      <c r="F55" s="144" t="n">
        <v>200025888521</v>
      </c>
      <c r="G55" s="144" t="s">
        <v>289</v>
      </c>
      <c r="H55" s="144" t="n">
        <v>21</v>
      </c>
      <c r="I55" s="144" t="s">
        <v>152</v>
      </c>
      <c r="J55" s="148" t="n">
        <v>45056.1377083333</v>
      </c>
      <c r="K55" s="1" t="n">
        <v>0</v>
      </c>
      <c r="L55" s="144" t="n">
        <v>21</v>
      </c>
      <c r="M55" s="1" t="n">
        <v>3</v>
      </c>
      <c r="N55" s="1" t="n">
        <v>3</v>
      </c>
      <c r="O55" s="149" t="n">
        <v>26</v>
      </c>
    </row>
    <row r="56" customFormat="false" ht="14.25" hidden="false" customHeight="false" outlineLevel="0" collapsed="false">
      <c r="A56" s="1" t="n">
        <v>101</v>
      </c>
      <c r="B56" s="1" t="s">
        <v>473</v>
      </c>
      <c r="C56" s="143" t="n">
        <v>11490</v>
      </c>
      <c r="D56" s="143" t="s">
        <v>65</v>
      </c>
      <c r="E56" s="143" t="s">
        <v>474</v>
      </c>
      <c r="F56" s="144" t="s">
        <v>480</v>
      </c>
      <c r="G56" s="144" t="s">
        <v>289</v>
      </c>
      <c r="H56" s="144" t="n">
        <v>21</v>
      </c>
      <c r="I56" s="144" t="s">
        <v>152</v>
      </c>
      <c r="J56" s="148" t="n">
        <v>45056.1388310185</v>
      </c>
      <c r="K56" s="1" t="n">
        <v>1</v>
      </c>
      <c r="L56" s="144" t="n">
        <v>21</v>
      </c>
      <c r="M56" s="1" t="n">
        <v>3</v>
      </c>
      <c r="N56" s="1" t="n">
        <v>3</v>
      </c>
      <c r="O56" s="149" t="n">
        <v>27</v>
      </c>
    </row>
    <row r="57" customFormat="false" ht="14.25" hidden="false" customHeight="false" outlineLevel="0" collapsed="false">
      <c r="A57" s="1" t="n">
        <v>102</v>
      </c>
      <c r="B57" s="1" t="s">
        <v>473</v>
      </c>
      <c r="C57" s="143" t="n">
        <v>11490</v>
      </c>
      <c r="D57" s="143" t="s">
        <v>65</v>
      </c>
      <c r="E57" s="143" t="s">
        <v>474</v>
      </c>
      <c r="F57" s="144" t="n">
        <v>200025888521</v>
      </c>
      <c r="G57" s="144" t="s">
        <v>289</v>
      </c>
      <c r="H57" s="144" t="n">
        <v>21</v>
      </c>
      <c r="I57" s="144" t="s">
        <v>152</v>
      </c>
      <c r="J57" s="148" t="n">
        <v>45056.1568171296</v>
      </c>
      <c r="K57" s="1" t="n">
        <v>2</v>
      </c>
      <c r="L57" s="144" t="n">
        <v>21</v>
      </c>
      <c r="M57" s="1" t="n">
        <v>3</v>
      </c>
      <c r="N57" s="1" t="n">
        <v>3</v>
      </c>
      <c r="O57" s="149" t="n">
        <v>28</v>
      </c>
    </row>
    <row r="58" customFormat="false" ht="14.25" hidden="false" customHeight="false" outlineLevel="0" collapsed="false">
      <c r="A58" s="1" t="n">
        <v>103</v>
      </c>
      <c r="B58" s="1" t="s">
        <v>473</v>
      </c>
      <c r="C58" s="143" t="n">
        <v>11490</v>
      </c>
      <c r="D58" s="143" t="s">
        <v>65</v>
      </c>
      <c r="E58" s="143" t="s">
        <v>474</v>
      </c>
      <c r="F58" s="144" t="s">
        <v>480</v>
      </c>
      <c r="G58" s="144" t="s">
        <v>289</v>
      </c>
      <c r="H58" s="144" t="n">
        <v>21</v>
      </c>
      <c r="I58" s="144" t="s">
        <v>152</v>
      </c>
      <c r="J58" s="148" t="n">
        <v>45056.1628819444</v>
      </c>
      <c r="K58" s="1" t="n">
        <v>2</v>
      </c>
      <c r="L58" s="144" t="n">
        <v>21</v>
      </c>
      <c r="M58" s="1" t="n">
        <v>3</v>
      </c>
      <c r="N58" s="1" t="n">
        <v>3</v>
      </c>
      <c r="O58" s="149" t="n">
        <v>29</v>
      </c>
    </row>
    <row r="59" customFormat="false" ht="14.25" hidden="false" customHeight="false" outlineLevel="0" collapsed="false">
      <c r="A59" s="1" t="n">
        <v>104</v>
      </c>
      <c r="B59" s="1" t="s">
        <v>473</v>
      </c>
      <c r="C59" s="143" t="n">
        <v>11490</v>
      </c>
      <c r="D59" s="143" t="s">
        <v>65</v>
      </c>
      <c r="E59" s="143" t="s">
        <v>474</v>
      </c>
      <c r="F59" s="144" t="n">
        <v>200025888521</v>
      </c>
      <c r="G59" s="144" t="s">
        <v>289</v>
      </c>
      <c r="H59" s="144" t="n">
        <v>21</v>
      </c>
      <c r="I59" s="144" t="s">
        <v>152</v>
      </c>
      <c r="J59" s="148" t="n">
        <v>45056.1632175926</v>
      </c>
      <c r="K59" s="1" t="n">
        <v>1</v>
      </c>
      <c r="L59" s="144" t="n">
        <v>21</v>
      </c>
      <c r="M59" s="1" t="n">
        <v>3</v>
      </c>
      <c r="N59" s="1" t="n">
        <v>3</v>
      </c>
      <c r="O59" s="149" t="n">
        <v>30</v>
      </c>
    </row>
    <row r="60" customFormat="false" ht="14.25" hidden="false" customHeight="false" outlineLevel="0" collapsed="false">
      <c r="A60" s="1" t="n">
        <v>105</v>
      </c>
      <c r="B60" s="1" t="s">
        <v>473</v>
      </c>
      <c r="C60" s="143" t="n">
        <v>11490</v>
      </c>
      <c r="D60" s="143" t="s">
        <v>65</v>
      </c>
      <c r="E60" s="143" t="s">
        <v>474</v>
      </c>
      <c r="F60" s="144" t="s">
        <v>480</v>
      </c>
      <c r="G60" s="144" t="s">
        <v>289</v>
      </c>
      <c r="H60" s="144" t="n">
        <v>21</v>
      </c>
      <c r="I60" s="144" t="s">
        <v>152</v>
      </c>
      <c r="J60" s="148" t="n">
        <v>45056.1636111111</v>
      </c>
      <c r="K60" s="1" t="n">
        <v>2</v>
      </c>
      <c r="L60" s="144" t="n">
        <v>21</v>
      </c>
      <c r="M60" s="1" t="n">
        <v>3</v>
      </c>
      <c r="N60" s="1" t="n">
        <v>3</v>
      </c>
      <c r="O60" s="149" t="n">
        <v>31</v>
      </c>
    </row>
    <row r="61" customFormat="false" ht="14.25" hidden="false" customHeight="false" outlineLevel="0" collapsed="false">
      <c r="A61" s="1" t="n">
        <v>106</v>
      </c>
      <c r="B61" s="1" t="s">
        <v>473</v>
      </c>
      <c r="C61" s="143" t="n">
        <v>11490</v>
      </c>
      <c r="D61" s="143" t="s">
        <v>65</v>
      </c>
      <c r="E61" s="143" t="s">
        <v>474</v>
      </c>
      <c r="F61" s="144" t="n">
        <v>200025888521</v>
      </c>
      <c r="G61" s="144" t="s">
        <v>289</v>
      </c>
      <c r="H61" s="144" t="n">
        <v>21</v>
      </c>
      <c r="I61" s="144" t="s">
        <v>152</v>
      </c>
      <c r="J61" s="148" t="n">
        <v>45056.1643171296</v>
      </c>
      <c r="K61" s="1" t="n">
        <v>2</v>
      </c>
      <c r="L61" s="144" t="n">
        <v>21</v>
      </c>
      <c r="M61" s="1" t="n">
        <v>3</v>
      </c>
      <c r="N61" s="1" t="n">
        <v>3</v>
      </c>
      <c r="O61" s="149" t="n">
        <v>32</v>
      </c>
    </row>
    <row r="62" customFormat="false" ht="14.25" hidden="false" customHeight="false" outlineLevel="0" collapsed="false">
      <c r="A62" s="1" t="n">
        <v>107</v>
      </c>
      <c r="B62" s="1" t="s">
        <v>473</v>
      </c>
      <c r="C62" s="143" t="n">
        <v>11490</v>
      </c>
      <c r="D62" s="143" t="s">
        <v>65</v>
      </c>
      <c r="E62" s="143" t="s">
        <v>474</v>
      </c>
      <c r="F62" s="144" t="n">
        <v>200025888521</v>
      </c>
      <c r="G62" s="144" t="s">
        <v>289</v>
      </c>
      <c r="H62" s="144" t="n">
        <v>21</v>
      </c>
      <c r="I62" s="144" t="s">
        <v>152</v>
      </c>
      <c r="J62" s="148" t="n">
        <v>45056.1647685185</v>
      </c>
      <c r="K62" s="1" t="n">
        <v>2</v>
      </c>
      <c r="L62" s="144" t="n">
        <v>21</v>
      </c>
      <c r="M62" s="1" t="n">
        <v>3</v>
      </c>
      <c r="N62" s="1" t="n">
        <v>3</v>
      </c>
      <c r="O62" s="149" t="n">
        <v>33</v>
      </c>
    </row>
    <row r="63" customFormat="false" ht="14.25" hidden="false" customHeight="false" outlineLevel="0" collapsed="false">
      <c r="A63" s="1" t="n">
        <v>108</v>
      </c>
      <c r="B63" s="1" t="s">
        <v>473</v>
      </c>
      <c r="C63" s="143" t="n">
        <v>11490</v>
      </c>
      <c r="D63" s="143" t="s">
        <v>65</v>
      </c>
      <c r="E63" s="143" t="s">
        <v>474</v>
      </c>
      <c r="F63" s="144" t="n">
        <v>200025888521</v>
      </c>
      <c r="G63" s="144" t="s">
        <v>289</v>
      </c>
      <c r="H63" s="144" t="n">
        <v>21</v>
      </c>
      <c r="I63" s="144" t="s">
        <v>152</v>
      </c>
      <c r="J63" s="148" t="n">
        <v>45056.1648611111</v>
      </c>
      <c r="K63" s="1" t="n">
        <v>0</v>
      </c>
      <c r="L63" s="144" t="n">
        <v>21</v>
      </c>
      <c r="M63" s="1" t="n">
        <v>3</v>
      </c>
      <c r="N63" s="1" t="n">
        <v>3</v>
      </c>
      <c r="O63" s="149" t="n">
        <v>34</v>
      </c>
    </row>
    <row r="64" customFormat="false" ht="14.25" hidden="false" customHeight="false" outlineLevel="0" collapsed="false">
      <c r="A64" s="1" t="n">
        <v>109</v>
      </c>
      <c r="B64" s="1" t="s">
        <v>473</v>
      </c>
      <c r="C64" s="143" t="n">
        <v>11490</v>
      </c>
      <c r="D64" s="143" t="s">
        <v>65</v>
      </c>
      <c r="E64" s="143" t="s">
        <v>474</v>
      </c>
      <c r="F64" s="144" t="n">
        <v>200025888521</v>
      </c>
      <c r="G64" s="144" t="s">
        <v>289</v>
      </c>
      <c r="H64" s="144" t="n">
        <v>21</v>
      </c>
      <c r="I64" s="144" t="s">
        <v>152</v>
      </c>
      <c r="J64" s="148" t="n">
        <v>45056.1783449074</v>
      </c>
      <c r="K64" s="1" t="n">
        <v>2</v>
      </c>
      <c r="L64" s="144" t="n">
        <v>21</v>
      </c>
      <c r="M64" s="1" t="n">
        <v>3</v>
      </c>
      <c r="N64" s="1" t="n">
        <v>3</v>
      </c>
      <c r="O64" s="149" t="n">
        <v>35</v>
      </c>
    </row>
    <row r="65" customFormat="false" ht="14.25" hidden="false" customHeight="false" outlineLevel="0" collapsed="false">
      <c r="A65" s="1" t="n">
        <v>110</v>
      </c>
      <c r="B65" s="1" t="s">
        <v>473</v>
      </c>
      <c r="C65" s="143" t="n">
        <v>11490</v>
      </c>
      <c r="D65" s="143" t="s">
        <v>65</v>
      </c>
      <c r="E65" s="143" t="s">
        <v>474</v>
      </c>
      <c r="F65" s="144" t="n">
        <v>200025888521</v>
      </c>
      <c r="G65" s="144" t="s">
        <v>289</v>
      </c>
      <c r="H65" s="144" t="n">
        <v>21</v>
      </c>
      <c r="I65" s="144" t="s">
        <v>152</v>
      </c>
      <c r="J65" s="148" t="n">
        <v>45056.1792361111</v>
      </c>
      <c r="K65" s="1" t="n">
        <v>2</v>
      </c>
      <c r="L65" s="144" t="n">
        <v>21</v>
      </c>
      <c r="M65" s="1" t="n">
        <v>3</v>
      </c>
      <c r="N65" s="1" t="n">
        <v>3</v>
      </c>
      <c r="O65" s="149" t="n">
        <v>36</v>
      </c>
    </row>
    <row r="66" customFormat="false" ht="14.25" hidden="false" customHeight="false" outlineLevel="0" collapsed="false">
      <c r="A66" s="1" t="n">
        <v>111</v>
      </c>
      <c r="B66" s="1" t="s">
        <v>473</v>
      </c>
      <c r="C66" s="143" t="n">
        <v>11490</v>
      </c>
      <c r="D66" s="143" t="s">
        <v>65</v>
      </c>
      <c r="E66" s="143" t="s">
        <v>474</v>
      </c>
      <c r="F66" s="144" t="n">
        <v>200025888521</v>
      </c>
      <c r="G66" s="144" t="s">
        <v>289</v>
      </c>
      <c r="H66" s="144" t="n">
        <v>21</v>
      </c>
      <c r="I66" s="144" t="s">
        <v>152</v>
      </c>
      <c r="J66" s="148" t="n">
        <v>45056.1797453704</v>
      </c>
      <c r="K66" s="1" t="n">
        <v>0</v>
      </c>
      <c r="L66" s="144" t="n">
        <v>21</v>
      </c>
      <c r="M66" s="1" t="n">
        <v>3</v>
      </c>
      <c r="N66" s="1" t="n">
        <v>3</v>
      </c>
      <c r="O66" s="149" t="n">
        <v>37</v>
      </c>
    </row>
    <row r="67" customFormat="false" ht="14.25" hidden="false" customHeight="false" outlineLevel="0" collapsed="false">
      <c r="A67" s="1" t="n">
        <v>112</v>
      </c>
      <c r="B67" s="1" t="s">
        <v>473</v>
      </c>
      <c r="C67" s="143" t="n">
        <v>11490</v>
      </c>
      <c r="D67" s="143" t="s">
        <v>65</v>
      </c>
      <c r="E67" s="143" t="s">
        <v>474</v>
      </c>
      <c r="F67" s="144" t="n">
        <v>200025888521</v>
      </c>
      <c r="G67" s="144" t="s">
        <v>289</v>
      </c>
      <c r="H67" s="144" t="n">
        <v>21</v>
      </c>
      <c r="I67" s="144" t="s">
        <v>152</v>
      </c>
      <c r="J67" s="148" t="n">
        <v>45056.1891782407</v>
      </c>
      <c r="K67" s="1" t="n">
        <v>2</v>
      </c>
      <c r="L67" s="144" t="n">
        <v>21</v>
      </c>
      <c r="M67" s="1" t="n">
        <v>3</v>
      </c>
      <c r="N67" s="1" t="n">
        <v>3</v>
      </c>
      <c r="O67" s="149" t="n">
        <v>38</v>
      </c>
    </row>
    <row r="68" customFormat="false" ht="14.25" hidden="false" customHeight="false" outlineLevel="0" collapsed="false">
      <c r="A68" s="1" t="n">
        <v>113</v>
      </c>
      <c r="B68" s="1" t="s">
        <v>473</v>
      </c>
      <c r="C68" s="143" t="n">
        <v>11490</v>
      </c>
      <c r="D68" s="143" t="s">
        <v>65</v>
      </c>
      <c r="E68" s="143" t="s">
        <v>474</v>
      </c>
      <c r="F68" s="144" t="n">
        <v>200025888521</v>
      </c>
      <c r="G68" s="144" t="s">
        <v>289</v>
      </c>
      <c r="H68" s="144" t="n">
        <v>21</v>
      </c>
      <c r="I68" s="144" t="s">
        <v>152</v>
      </c>
      <c r="J68" s="148" t="n">
        <v>45056.1947222222</v>
      </c>
      <c r="K68" s="1" t="n">
        <v>2</v>
      </c>
      <c r="L68" s="144" t="n">
        <v>21</v>
      </c>
      <c r="M68" s="1" t="n">
        <v>3</v>
      </c>
      <c r="N68" s="1" t="n">
        <v>3</v>
      </c>
      <c r="O68" s="149" t="n">
        <v>39</v>
      </c>
    </row>
    <row r="69" customFormat="false" ht="14.25" hidden="false" customHeight="false" outlineLevel="0" collapsed="false">
      <c r="A69" s="1" t="n">
        <v>114</v>
      </c>
      <c r="B69" s="1" t="s">
        <v>473</v>
      </c>
      <c r="C69" s="143" t="n">
        <v>11490</v>
      </c>
      <c r="D69" s="143" t="s">
        <v>65</v>
      </c>
      <c r="E69" s="143" t="s">
        <v>474</v>
      </c>
      <c r="F69" s="144" t="n">
        <v>200025888521</v>
      </c>
      <c r="G69" s="144" t="s">
        <v>289</v>
      </c>
      <c r="H69" s="144" t="n">
        <v>21</v>
      </c>
      <c r="I69" s="144" t="s">
        <v>152</v>
      </c>
      <c r="J69" s="148" t="n">
        <v>45056.1949189815</v>
      </c>
      <c r="K69" s="1" t="n">
        <v>1</v>
      </c>
      <c r="L69" s="144" t="n">
        <v>21</v>
      </c>
      <c r="M69" s="1" t="n">
        <v>3</v>
      </c>
      <c r="N69" s="1" t="n">
        <v>3</v>
      </c>
      <c r="O69" s="149" t="n">
        <v>40</v>
      </c>
    </row>
    <row r="70" customFormat="false" ht="14.25" hidden="false" customHeight="false" outlineLevel="0" collapsed="false">
      <c r="A70" s="1" t="n">
        <v>115</v>
      </c>
      <c r="B70" s="1" t="s">
        <v>473</v>
      </c>
      <c r="C70" s="143" t="n">
        <v>11490</v>
      </c>
      <c r="D70" s="143" t="s">
        <v>65</v>
      </c>
      <c r="E70" s="143" t="s">
        <v>474</v>
      </c>
      <c r="F70" s="144" t="n">
        <v>200025888521</v>
      </c>
      <c r="G70" s="144" t="s">
        <v>289</v>
      </c>
      <c r="H70" s="144" t="n">
        <v>21</v>
      </c>
      <c r="I70" s="144" t="s">
        <v>152</v>
      </c>
      <c r="J70" s="148" t="n">
        <v>45056.1950925926</v>
      </c>
      <c r="K70" s="1" t="n">
        <v>2</v>
      </c>
      <c r="L70" s="144" t="n">
        <v>21</v>
      </c>
      <c r="M70" s="1" t="n">
        <v>3</v>
      </c>
      <c r="N70" s="1" t="n">
        <v>3</v>
      </c>
      <c r="O70" s="149" t="n">
        <v>41</v>
      </c>
    </row>
    <row r="71" customFormat="false" ht="14.25" hidden="false" customHeight="false" outlineLevel="0" collapsed="false">
      <c r="A71" s="1" t="n">
        <v>116</v>
      </c>
      <c r="B71" s="1" t="s">
        <v>473</v>
      </c>
      <c r="C71" s="143" t="n">
        <v>11490</v>
      </c>
      <c r="D71" s="143" t="s">
        <v>65</v>
      </c>
      <c r="E71" s="143" t="s">
        <v>474</v>
      </c>
      <c r="F71" s="144" t="n">
        <v>200025888521</v>
      </c>
      <c r="G71" s="144" t="s">
        <v>289</v>
      </c>
      <c r="H71" s="144" t="n">
        <v>21</v>
      </c>
      <c r="I71" s="144" t="s">
        <v>152</v>
      </c>
      <c r="J71" s="148" t="n">
        <v>45056.1952314815</v>
      </c>
      <c r="K71" s="1" t="n">
        <v>1</v>
      </c>
      <c r="L71" s="144" t="n">
        <v>21</v>
      </c>
      <c r="M71" s="1" t="n">
        <v>3</v>
      </c>
      <c r="N71" s="1" t="n">
        <v>3</v>
      </c>
      <c r="O71" s="149" t="n">
        <v>42</v>
      </c>
    </row>
    <row r="72" customFormat="false" ht="14.25" hidden="false" customHeight="false" outlineLevel="0" collapsed="false">
      <c r="A72" s="1" t="n">
        <v>117</v>
      </c>
      <c r="B72" s="1" t="s">
        <v>473</v>
      </c>
      <c r="C72" s="143" t="n">
        <v>11490</v>
      </c>
      <c r="D72" s="143" t="s">
        <v>65</v>
      </c>
      <c r="E72" s="143" t="s">
        <v>474</v>
      </c>
      <c r="F72" s="144" t="n">
        <v>200025888521</v>
      </c>
      <c r="G72" s="144" t="s">
        <v>289</v>
      </c>
      <c r="H72" s="144" t="n">
        <v>21</v>
      </c>
      <c r="I72" s="144" t="s">
        <v>152</v>
      </c>
      <c r="J72" s="148" t="n">
        <v>45056.1956481482</v>
      </c>
      <c r="K72" s="1" t="n">
        <v>3</v>
      </c>
      <c r="L72" s="144" t="n">
        <v>21</v>
      </c>
      <c r="M72" s="1" t="n">
        <v>3</v>
      </c>
      <c r="N72" s="1" t="n">
        <v>3</v>
      </c>
      <c r="O72" s="149" t="n">
        <v>43</v>
      </c>
    </row>
    <row r="73" customFormat="false" ht="14.25" hidden="false" customHeight="false" outlineLevel="0" collapsed="false">
      <c r="A73" s="1" t="n">
        <v>118</v>
      </c>
      <c r="B73" s="1" t="s">
        <v>473</v>
      </c>
      <c r="C73" s="143" t="n">
        <v>11490</v>
      </c>
      <c r="D73" s="143" t="s">
        <v>65</v>
      </c>
      <c r="E73" s="143" t="s">
        <v>474</v>
      </c>
      <c r="F73" s="144" t="n">
        <v>200025888521</v>
      </c>
      <c r="G73" s="144" t="s">
        <v>289</v>
      </c>
      <c r="H73" s="144" t="n">
        <v>21</v>
      </c>
      <c r="I73" s="144" t="s">
        <v>152</v>
      </c>
      <c r="J73" s="148" t="n">
        <v>45056.1981828704</v>
      </c>
      <c r="K73" s="1" t="n">
        <v>2</v>
      </c>
      <c r="L73" s="144" t="n">
        <v>21</v>
      </c>
      <c r="M73" s="1" t="n">
        <v>3</v>
      </c>
      <c r="N73" s="1" t="n">
        <v>3</v>
      </c>
      <c r="O73" s="149" t="n">
        <v>44</v>
      </c>
    </row>
    <row r="74" customFormat="false" ht="14.25" hidden="false" customHeight="false" outlineLevel="0" collapsed="false">
      <c r="A74" s="1" t="n">
        <v>119</v>
      </c>
      <c r="B74" s="1" t="s">
        <v>473</v>
      </c>
      <c r="C74" s="143" t="n">
        <v>11490</v>
      </c>
      <c r="D74" s="143" t="s">
        <v>65</v>
      </c>
      <c r="E74" s="143" t="s">
        <v>474</v>
      </c>
      <c r="F74" s="144" t="n">
        <v>200025888521</v>
      </c>
      <c r="G74" s="144" t="s">
        <v>289</v>
      </c>
      <c r="H74" s="144" t="n">
        <v>21</v>
      </c>
      <c r="I74" s="144" t="s">
        <v>152</v>
      </c>
      <c r="J74" s="148" t="n">
        <v>45056.1983101852</v>
      </c>
      <c r="K74" s="1" t="n">
        <v>2</v>
      </c>
      <c r="L74" s="144" t="n">
        <v>21</v>
      </c>
      <c r="M74" s="1" t="n">
        <v>3</v>
      </c>
      <c r="N74" s="1" t="n">
        <v>3</v>
      </c>
      <c r="O74" s="149" t="n">
        <v>45</v>
      </c>
    </row>
    <row r="75" customFormat="false" ht="14.25" hidden="false" customHeight="false" outlineLevel="0" collapsed="false">
      <c r="A75" s="1" t="n">
        <v>120</v>
      </c>
      <c r="B75" s="1" t="s">
        <v>473</v>
      </c>
      <c r="C75" s="143" t="n">
        <v>11490</v>
      </c>
      <c r="D75" s="143" t="s">
        <v>65</v>
      </c>
      <c r="E75" s="143" t="s">
        <v>474</v>
      </c>
      <c r="F75" s="144" t="n">
        <v>200025888521</v>
      </c>
      <c r="G75" s="144" t="s">
        <v>289</v>
      </c>
      <c r="H75" s="144" t="n">
        <v>21</v>
      </c>
      <c r="I75" s="144" t="s">
        <v>152</v>
      </c>
      <c r="J75" s="148" t="n">
        <v>45056.1984143519</v>
      </c>
      <c r="K75" s="1" t="n">
        <v>2</v>
      </c>
      <c r="L75" s="144" t="n">
        <v>21</v>
      </c>
      <c r="M75" s="1" t="n">
        <v>3</v>
      </c>
      <c r="N75" s="1" t="n">
        <v>3</v>
      </c>
      <c r="O75" s="149" t="n">
        <v>46</v>
      </c>
    </row>
    <row r="76" customFormat="false" ht="14.25" hidden="false" customHeight="false" outlineLevel="0" collapsed="false">
      <c r="A76" s="1" t="n">
        <v>121</v>
      </c>
      <c r="B76" s="1" t="s">
        <v>473</v>
      </c>
      <c r="C76" s="143" t="n">
        <v>11490</v>
      </c>
      <c r="D76" s="143" t="s">
        <v>65</v>
      </c>
      <c r="E76" s="143" t="s">
        <v>474</v>
      </c>
      <c r="F76" s="144" t="n">
        <v>200025888521</v>
      </c>
      <c r="G76" s="144" t="s">
        <v>289</v>
      </c>
      <c r="H76" s="144" t="n">
        <v>21</v>
      </c>
      <c r="I76" s="144" t="s">
        <v>152</v>
      </c>
      <c r="J76" s="148" t="n">
        <v>45056.1985069444</v>
      </c>
      <c r="K76" s="1" t="n">
        <v>1</v>
      </c>
      <c r="L76" s="144" t="n">
        <v>21</v>
      </c>
      <c r="M76" s="1" t="n">
        <v>3</v>
      </c>
      <c r="N76" s="1" t="n">
        <v>3</v>
      </c>
      <c r="O76" s="149" t="n">
        <v>47</v>
      </c>
    </row>
    <row r="77" customFormat="false" ht="14.25" hidden="false" customHeight="false" outlineLevel="0" collapsed="false">
      <c r="A77" s="1" t="n">
        <v>122</v>
      </c>
      <c r="B77" s="1" t="s">
        <v>473</v>
      </c>
      <c r="C77" s="143" t="n">
        <v>11490</v>
      </c>
      <c r="D77" s="143" t="s">
        <v>65</v>
      </c>
      <c r="E77" s="143" t="s">
        <v>474</v>
      </c>
      <c r="F77" s="144" t="n">
        <v>200025888521</v>
      </c>
      <c r="G77" s="144" t="s">
        <v>289</v>
      </c>
      <c r="H77" s="144" t="n">
        <v>21</v>
      </c>
      <c r="I77" s="144" t="s">
        <v>152</v>
      </c>
      <c r="J77" s="148" t="n">
        <v>45056.2034143519</v>
      </c>
      <c r="K77" s="1" t="n">
        <v>13</v>
      </c>
      <c r="L77" s="144" t="n">
        <v>21</v>
      </c>
      <c r="M77" s="1" t="n">
        <v>3</v>
      </c>
      <c r="N77" s="1" t="n">
        <v>3</v>
      </c>
      <c r="O77" s="149" t="n">
        <v>48</v>
      </c>
    </row>
    <row r="78" customFormat="false" ht="14.25" hidden="false" customHeight="false" outlineLevel="0" collapsed="false">
      <c r="A78" s="1" t="n">
        <v>123</v>
      </c>
      <c r="B78" s="1" t="s">
        <v>473</v>
      </c>
      <c r="C78" s="143" t="n">
        <v>11490</v>
      </c>
      <c r="D78" s="143" t="s">
        <v>65</v>
      </c>
      <c r="E78" s="143" t="s">
        <v>474</v>
      </c>
      <c r="F78" s="144" t="n">
        <v>200025888521</v>
      </c>
      <c r="G78" s="144" t="s">
        <v>289</v>
      </c>
      <c r="H78" s="144" t="n">
        <v>21</v>
      </c>
      <c r="I78" s="144" t="s">
        <v>152</v>
      </c>
      <c r="J78" s="148" t="n">
        <v>45056.2050578704</v>
      </c>
      <c r="K78" s="1" t="n">
        <v>1</v>
      </c>
      <c r="L78" s="144" t="n">
        <v>21</v>
      </c>
      <c r="M78" s="1" t="n">
        <v>3</v>
      </c>
      <c r="N78" s="1" t="n">
        <v>3</v>
      </c>
      <c r="O78" s="149" t="n">
        <v>49</v>
      </c>
    </row>
    <row r="79" customFormat="false" ht="14.25" hidden="false" customHeight="false" outlineLevel="0" collapsed="false">
      <c r="A79" s="1" t="n">
        <v>124</v>
      </c>
      <c r="B79" s="1" t="s">
        <v>473</v>
      </c>
      <c r="C79" s="143" t="n">
        <v>11490</v>
      </c>
      <c r="D79" s="143" t="s">
        <v>65</v>
      </c>
      <c r="E79" s="143" t="s">
        <v>474</v>
      </c>
      <c r="F79" s="144" t="n">
        <v>200025888521</v>
      </c>
      <c r="G79" s="144" t="s">
        <v>289</v>
      </c>
      <c r="H79" s="144" t="n">
        <v>21</v>
      </c>
      <c r="I79" s="144" t="s">
        <v>152</v>
      </c>
      <c r="J79" s="148" t="n">
        <v>45056.2052430556</v>
      </c>
      <c r="K79" s="1" t="n">
        <v>7</v>
      </c>
      <c r="L79" s="144" t="n">
        <v>21</v>
      </c>
      <c r="M79" s="1" t="n">
        <v>3</v>
      </c>
      <c r="N79" s="1" t="n">
        <v>3</v>
      </c>
      <c r="O79" s="149" t="n">
        <v>50</v>
      </c>
    </row>
    <row r="80" customFormat="false" ht="14.25" hidden="false" customHeight="false" outlineLevel="0" collapsed="false">
      <c r="A80" s="1" t="n">
        <v>125</v>
      </c>
      <c r="B80" s="1" t="s">
        <v>473</v>
      </c>
      <c r="C80" s="143" t="n">
        <v>11490</v>
      </c>
      <c r="D80" s="143" t="s">
        <v>65</v>
      </c>
      <c r="E80" s="143" t="s">
        <v>474</v>
      </c>
      <c r="F80" s="144" t="n">
        <v>200025888521</v>
      </c>
      <c r="G80" s="144" t="s">
        <v>289</v>
      </c>
      <c r="H80" s="144" t="n">
        <v>21</v>
      </c>
      <c r="I80" s="144" t="s">
        <v>152</v>
      </c>
      <c r="J80" s="148" t="n">
        <v>45056.2057523148</v>
      </c>
      <c r="K80" s="1" t="n">
        <v>1</v>
      </c>
      <c r="L80" s="144" t="n">
        <v>21</v>
      </c>
      <c r="M80" s="1" t="n">
        <v>3</v>
      </c>
      <c r="N80" s="1" t="n">
        <v>3</v>
      </c>
      <c r="O80" s="149" t="n">
        <v>51</v>
      </c>
    </row>
    <row r="81" customFormat="false" ht="14.25" hidden="false" customHeight="false" outlineLevel="0" collapsed="false">
      <c r="A81" s="1" t="n">
        <v>126</v>
      </c>
      <c r="B81" s="1" t="s">
        <v>473</v>
      </c>
      <c r="C81" s="143" t="n">
        <v>11490</v>
      </c>
      <c r="D81" s="143" t="s">
        <v>65</v>
      </c>
      <c r="E81" s="143" t="s">
        <v>474</v>
      </c>
      <c r="F81" s="144" t="n">
        <v>200025888521</v>
      </c>
      <c r="G81" s="144" t="s">
        <v>289</v>
      </c>
      <c r="H81" s="144" t="n">
        <v>21</v>
      </c>
      <c r="I81" s="144" t="s">
        <v>152</v>
      </c>
      <c r="J81" s="148" t="n">
        <v>45056.2091782407</v>
      </c>
      <c r="K81" s="1" t="n">
        <v>0</v>
      </c>
      <c r="L81" s="144" t="n">
        <v>21</v>
      </c>
      <c r="M81" s="1" t="n">
        <v>3</v>
      </c>
      <c r="N81" s="1" t="n">
        <v>3</v>
      </c>
      <c r="O81" s="149" t="n">
        <v>52</v>
      </c>
    </row>
    <row r="82" customFormat="false" ht="14.25" hidden="false" customHeight="false" outlineLevel="0" collapsed="false">
      <c r="A82" s="1" t="n">
        <v>127</v>
      </c>
      <c r="B82" s="1" t="s">
        <v>473</v>
      </c>
      <c r="C82" s="143" t="n">
        <v>11490</v>
      </c>
      <c r="D82" s="143" t="s">
        <v>65</v>
      </c>
      <c r="E82" s="143" t="s">
        <v>474</v>
      </c>
      <c r="F82" s="144" t="n">
        <v>200025888521</v>
      </c>
      <c r="G82" s="144" t="s">
        <v>289</v>
      </c>
      <c r="H82" s="144" t="n">
        <v>21</v>
      </c>
      <c r="I82" s="144" t="s">
        <v>152</v>
      </c>
      <c r="J82" s="148" t="n">
        <v>45056.2093518519</v>
      </c>
      <c r="K82" s="1" t="n">
        <v>3</v>
      </c>
      <c r="L82" s="144" t="n">
        <v>21</v>
      </c>
      <c r="M82" s="1" t="n">
        <v>3</v>
      </c>
      <c r="N82" s="1" t="n">
        <v>3</v>
      </c>
      <c r="O82" s="149" t="n">
        <v>53</v>
      </c>
    </row>
    <row r="83" customFormat="false" ht="14.25" hidden="false" customHeight="false" outlineLevel="0" collapsed="false">
      <c r="A83" s="1" t="n">
        <v>128</v>
      </c>
      <c r="B83" s="1" t="s">
        <v>473</v>
      </c>
      <c r="C83" s="143" t="n">
        <v>11490</v>
      </c>
      <c r="D83" s="143" t="s">
        <v>65</v>
      </c>
      <c r="E83" s="143" t="s">
        <v>474</v>
      </c>
      <c r="F83" s="144" t="n">
        <v>200025888521</v>
      </c>
      <c r="G83" s="144" t="s">
        <v>289</v>
      </c>
      <c r="H83" s="144" t="n">
        <v>21</v>
      </c>
      <c r="I83" s="144" t="s">
        <v>152</v>
      </c>
      <c r="J83" s="148" t="n">
        <v>45056.2096412037</v>
      </c>
      <c r="K83" s="1" t="n">
        <v>2</v>
      </c>
      <c r="L83" s="144" t="n">
        <v>21</v>
      </c>
      <c r="M83" s="1" t="n">
        <v>3</v>
      </c>
      <c r="N83" s="1" t="n">
        <v>3</v>
      </c>
      <c r="O83" s="149" t="n">
        <v>54</v>
      </c>
    </row>
    <row r="84" customFormat="false" ht="14.25" hidden="false" customHeight="false" outlineLevel="0" collapsed="false">
      <c r="A84" s="1" t="n">
        <v>92</v>
      </c>
      <c r="B84" s="1" t="s">
        <v>476</v>
      </c>
      <c r="C84" s="143" t="s">
        <v>58</v>
      </c>
      <c r="D84" s="143" t="s">
        <v>59</v>
      </c>
      <c r="E84" s="143" t="s">
        <v>474</v>
      </c>
      <c r="F84" s="144" t="n">
        <v>200025888521</v>
      </c>
      <c r="G84" s="144" t="s">
        <v>289</v>
      </c>
      <c r="H84" s="144" t="n">
        <v>21</v>
      </c>
      <c r="I84" s="144" t="s">
        <v>152</v>
      </c>
      <c r="J84" s="148" t="n">
        <v>45056.2484490741</v>
      </c>
      <c r="K84" s="1" t="n">
        <v>1</v>
      </c>
      <c r="L84" s="144" t="n">
        <v>21</v>
      </c>
      <c r="M84" s="1" t="n">
        <v>3</v>
      </c>
      <c r="N84" s="1" t="n">
        <v>3</v>
      </c>
      <c r="O84" s="149" t="n">
        <v>55</v>
      </c>
    </row>
    <row r="85" customFormat="false" ht="14.25" hidden="false" customHeight="false" outlineLevel="0" collapsed="false">
      <c r="A85" s="1" t="n">
        <v>93</v>
      </c>
      <c r="B85" s="1" t="s">
        <v>476</v>
      </c>
      <c r="C85" s="143" t="s">
        <v>58</v>
      </c>
      <c r="D85" s="143" t="s">
        <v>59</v>
      </c>
      <c r="E85" s="143" t="s">
        <v>474</v>
      </c>
      <c r="F85" s="144" t="n">
        <v>200025888521</v>
      </c>
      <c r="G85" s="144" t="s">
        <v>289</v>
      </c>
      <c r="H85" s="144" t="n">
        <v>21</v>
      </c>
      <c r="I85" s="144" t="s">
        <v>152</v>
      </c>
      <c r="J85" s="148" t="n">
        <v>45056.2486226852</v>
      </c>
      <c r="K85" s="1" t="n">
        <v>1</v>
      </c>
      <c r="L85" s="144" t="n">
        <v>21</v>
      </c>
      <c r="M85" s="1" t="n">
        <v>3</v>
      </c>
      <c r="N85" s="1" t="n">
        <v>3</v>
      </c>
      <c r="O85" s="149" t="n">
        <v>56</v>
      </c>
    </row>
    <row r="86" customFormat="false" ht="14.25" hidden="false" customHeight="false" outlineLevel="0" collapsed="false">
      <c r="A86" s="1" t="n">
        <v>94</v>
      </c>
      <c r="B86" s="1" t="s">
        <v>476</v>
      </c>
      <c r="C86" s="143" t="s">
        <v>58</v>
      </c>
      <c r="D86" s="143" t="s">
        <v>59</v>
      </c>
      <c r="E86" s="143" t="s">
        <v>474</v>
      </c>
      <c r="F86" s="144" t="n">
        <v>200025888521</v>
      </c>
      <c r="G86" s="144" t="s">
        <v>289</v>
      </c>
      <c r="H86" s="144" t="n">
        <v>21</v>
      </c>
      <c r="I86" s="144" t="s">
        <v>152</v>
      </c>
      <c r="J86" s="148" t="n">
        <v>45056.2498611111</v>
      </c>
      <c r="K86" s="1" t="n">
        <v>4</v>
      </c>
      <c r="L86" s="144" t="n">
        <v>21</v>
      </c>
      <c r="M86" s="1" t="n">
        <v>3</v>
      </c>
      <c r="N86" s="1" t="n">
        <v>3</v>
      </c>
      <c r="O86" s="149" t="n">
        <v>57</v>
      </c>
    </row>
    <row r="87" customFormat="false" ht="14.25" hidden="false" customHeight="false" outlineLevel="0" collapsed="false">
      <c r="A87" s="1" t="n">
        <v>95</v>
      </c>
      <c r="B87" s="1" t="s">
        <v>476</v>
      </c>
      <c r="C87" s="143" t="s">
        <v>58</v>
      </c>
      <c r="D87" s="143" t="s">
        <v>59</v>
      </c>
      <c r="E87" s="143" t="s">
        <v>474</v>
      </c>
      <c r="F87" s="144" t="n">
        <v>200025888521</v>
      </c>
      <c r="G87" s="144" t="s">
        <v>289</v>
      </c>
      <c r="H87" s="144" t="n">
        <v>21</v>
      </c>
      <c r="I87" s="144" t="s">
        <v>152</v>
      </c>
      <c r="J87" s="148" t="n">
        <v>45056.2506712963</v>
      </c>
      <c r="K87" s="1" t="n">
        <v>1</v>
      </c>
      <c r="L87" s="144" t="n">
        <v>21</v>
      </c>
      <c r="M87" s="1" t="n">
        <v>3</v>
      </c>
      <c r="N87" s="1" t="n">
        <v>3</v>
      </c>
      <c r="O87" s="149" t="n">
        <v>58</v>
      </c>
    </row>
    <row r="88" customFormat="false" ht="14.25" hidden="false" customHeight="false" outlineLevel="0" collapsed="false">
      <c r="A88" s="1" t="n">
        <v>96</v>
      </c>
      <c r="B88" s="1" t="s">
        <v>476</v>
      </c>
      <c r="C88" s="143" t="s">
        <v>58</v>
      </c>
      <c r="D88" s="143" t="s">
        <v>59</v>
      </c>
      <c r="E88" s="143" t="s">
        <v>474</v>
      </c>
      <c r="F88" s="144" t="n">
        <v>200025888521</v>
      </c>
      <c r="G88" s="144" t="s">
        <v>289</v>
      </c>
      <c r="H88" s="144" t="n">
        <v>21</v>
      </c>
      <c r="I88" s="144" t="s">
        <v>152</v>
      </c>
      <c r="J88" s="148" t="n">
        <v>45056.2512037037</v>
      </c>
      <c r="K88" s="1" t="n">
        <v>1</v>
      </c>
      <c r="L88" s="144" t="n">
        <v>21</v>
      </c>
      <c r="M88" s="1" t="n">
        <v>3</v>
      </c>
      <c r="N88" s="1" t="n">
        <v>3</v>
      </c>
      <c r="O88" s="149" t="n">
        <v>59</v>
      </c>
    </row>
    <row r="89" customFormat="false" ht="14.25" hidden="false" customHeight="false" outlineLevel="0" collapsed="false">
      <c r="A89" s="1" t="n">
        <v>97</v>
      </c>
      <c r="B89" s="1" t="s">
        <v>476</v>
      </c>
      <c r="C89" s="143" t="s">
        <v>58</v>
      </c>
      <c r="D89" s="143" t="s">
        <v>59</v>
      </c>
      <c r="E89" s="143" t="s">
        <v>474</v>
      </c>
      <c r="F89" s="144" t="n">
        <v>200025888521</v>
      </c>
      <c r="G89" s="144" t="s">
        <v>289</v>
      </c>
      <c r="H89" s="144" t="n">
        <v>21</v>
      </c>
      <c r="I89" s="144" t="s">
        <v>152</v>
      </c>
      <c r="J89" s="148" t="n">
        <v>45056.2515625</v>
      </c>
      <c r="K89" s="1" t="n">
        <v>1</v>
      </c>
      <c r="L89" s="144" t="n">
        <v>21</v>
      </c>
      <c r="M89" s="1" t="n">
        <v>3</v>
      </c>
      <c r="N89" s="1" t="n">
        <v>3</v>
      </c>
      <c r="O89" s="149" t="n">
        <v>60</v>
      </c>
    </row>
    <row r="90" customFormat="false" ht="14.25" hidden="false" customHeight="false" outlineLevel="0" collapsed="false">
      <c r="A90" s="1" t="n">
        <v>98</v>
      </c>
      <c r="B90" s="1" t="s">
        <v>476</v>
      </c>
      <c r="C90" s="143" t="s">
        <v>58</v>
      </c>
      <c r="D90" s="143" t="s">
        <v>59</v>
      </c>
      <c r="E90" s="143" t="s">
        <v>474</v>
      </c>
      <c r="F90" s="144" t="n">
        <v>200025888521</v>
      </c>
      <c r="G90" s="144" t="s">
        <v>289</v>
      </c>
      <c r="H90" s="144" t="n">
        <v>21</v>
      </c>
      <c r="I90" s="144" t="s">
        <v>152</v>
      </c>
      <c r="J90" s="148" t="n">
        <v>45056.2739236111</v>
      </c>
      <c r="K90" s="1" t="n">
        <v>2</v>
      </c>
      <c r="L90" s="144" t="n">
        <v>21</v>
      </c>
      <c r="M90" s="1" t="n">
        <v>3</v>
      </c>
      <c r="N90" s="1" t="n">
        <v>3</v>
      </c>
      <c r="O90" s="149" t="n">
        <v>61</v>
      </c>
    </row>
    <row r="91" customFormat="false" ht="14.25" hidden="false" customHeight="false" outlineLevel="0" collapsed="false">
      <c r="A91" s="1" t="n">
        <v>99</v>
      </c>
      <c r="B91" s="1" t="s">
        <v>476</v>
      </c>
      <c r="C91" s="143" t="s">
        <v>58</v>
      </c>
      <c r="D91" s="143" t="s">
        <v>59</v>
      </c>
      <c r="E91" s="143" t="s">
        <v>474</v>
      </c>
      <c r="F91" s="144" t="n">
        <v>200025888521</v>
      </c>
      <c r="G91" s="144" t="s">
        <v>289</v>
      </c>
      <c r="H91" s="144" t="n">
        <v>21</v>
      </c>
      <c r="I91" s="144" t="s">
        <v>152</v>
      </c>
      <c r="J91" s="148" t="n">
        <v>45056.2742013889</v>
      </c>
      <c r="K91" s="1" t="n">
        <v>1</v>
      </c>
      <c r="L91" s="144" t="n">
        <v>21</v>
      </c>
      <c r="M91" s="1" t="n">
        <v>3</v>
      </c>
      <c r="N91" s="1" t="n">
        <v>3</v>
      </c>
      <c r="O91" s="149" t="n">
        <v>62</v>
      </c>
    </row>
    <row r="92" customFormat="false" ht="14.25" hidden="false" customHeight="false" outlineLevel="0" collapsed="false">
      <c r="A92" s="1" t="n">
        <v>100</v>
      </c>
      <c r="B92" s="1" t="s">
        <v>476</v>
      </c>
      <c r="C92" s="143" t="s">
        <v>58</v>
      </c>
      <c r="D92" s="143" t="s">
        <v>59</v>
      </c>
      <c r="E92" s="143" t="s">
        <v>474</v>
      </c>
      <c r="F92" s="144" t="n">
        <v>200025888521</v>
      </c>
      <c r="G92" s="144" t="s">
        <v>289</v>
      </c>
      <c r="H92" s="144" t="n">
        <v>21</v>
      </c>
      <c r="I92" s="144" t="s">
        <v>152</v>
      </c>
      <c r="J92" s="148" t="n">
        <v>45056.2767013889</v>
      </c>
      <c r="K92" s="1" t="n">
        <v>3</v>
      </c>
      <c r="L92" s="144" t="n">
        <v>21</v>
      </c>
      <c r="M92" s="1" t="n">
        <v>3</v>
      </c>
      <c r="N92" s="1" t="n">
        <v>3</v>
      </c>
      <c r="O92" s="149" t="n">
        <v>63</v>
      </c>
    </row>
    <row r="93" customFormat="false" ht="14.25" hidden="false" customHeight="false" outlineLevel="0" collapsed="false">
      <c r="A93" s="1" t="n">
        <v>101</v>
      </c>
      <c r="B93" s="1" t="s">
        <v>476</v>
      </c>
      <c r="C93" s="143" t="s">
        <v>58</v>
      </c>
      <c r="D93" s="143" t="s">
        <v>59</v>
      </c>
      <c r="E93" s="143" t="s">
        <v>474</v>
      </c>
      <c r="F93" s="144" t="n">
        <v>200025888521</v>
      </c>
      <c r="G93" s="144" t="s">
        <v>289</v>
      </c>
      <c r="H93" s="144" t="n">
        <v>21</v>
      </c>
      <c r="I93" s="144" t="s">
        <v>152</v>
      </c>
      <c r="J93" s="148" t="n">
        <v>45056.2773726852</v>
      </c>
      <c r="K93" s="1" t="n">
        <v>0</v>
      </c>
      <c r="L93" s="144" t="n">
        <v>21</v>
      </c>
      <c r="M93" s="1" t="n">
        <v>3</v>
      </c>
      <c r="N93" s="1" t="n">
        <v>3</v>
      </c>
      <c r="O93" s="149" t="n">
        <v>64</v>
      </c>
    </row>
    <row r="94" customFormat="false" ht="14.25" hidden="false" customHeight="false" outlineLevel="0" collapsed="false">
      <c r="A94" s="1" t="n">
        <v>102</v>
      </c>
      <c r="B94" s="1" t="s">
        <v>476</v>
      </c>
      <c r="C94" s="143" t="s">
        <v>58</v>
      </c>
      <c r="D94" s="143" t="s">
        <v>59</v>
      </c>
      <c r="E94" s="143" t="s">
        <v>474</v>
      </c>
      <c r="F94" s="144" t="n">
        <v>200025888521</v>
      </c>
      <c r="G94" s="144" t="s">
        <v>289</v>
      </c>
      <c r="H94" s="144" t="n">
        <v>21</v>
      </c>
      <c r="I94" s="144" t="s">
        <v>152</v>
      </c>
      <c r="J94" s="148" t="n">
        <v>45056.278275463</v>
      </c>
      <c r="K94" s="1" t="n">
        <v>1</v>
      </c>
      <c r="L94" s="144" t="n">
        <v>21</v>
      </c>
      <c r="M94" s="1" t="n">
        <v>3</v>
      </c>
      <c r="N94" s="1" t="n">
        <v>3</v>
      </c>
      <c r="O94" s="149" t="n">
        <v>65</v>
      </c>
    </row>
    <row r="95" customFormat="false" ht="14.25" hidden="false" customHeight="false" outlineLevel="0" collapsed="false">
      <c r="A95" s="1" t="n">
        <v>103</v>
      </c>
      <c r="B95" s="1" t="s">
        <v>476</v>
      </c>
      <c r="C95" s="143" t="s">
        <v>58</v>
      </c>
      <c r="D95" s="143" t="s">
        <v>59</v>
      </c>
      <c r="E95" s="143" t="s">
        <v>474</v>
      </c>
      <c r="F95" s="144" t="n">
        <v>200025888521</v>
      </c>
      <c r="G95" s="144" t="s">
        <v>289</v>
      </c>
      <c r="H95" s="144" t="n">
        <v>21</v>
      </c>
      <c r="I95" s="144" t="s">
        <v>152</v>
      </c>
      <c r="J95" s="148" t="n">
        <v>45056.2784837963</v>
      </c>
      <c r="K95" s="1" t="n">
        <v>1</v>
      </c>
      <c r="L95" s="144" t="n">
        <v>21</v>
      </c>
      <c r="M95" s="1" t="n">
        <v>3</v>
      </c>
      <c r="N95" s="1" t="n">
        <v>3</v>
      </c>
      <c r="O95" s="149" t="n">
        <v>66</v>
      </c>
    </row>
    <row r="96" customFormat="false" ht="14.25" hidden="false" customHeight="false" outlineLevel="0" collapsed="false">
      <c r="A96" s="1" t="n">
        <v>104</v>
      </c>
      <c r="B96" s="1" t="s">
        <v>476</v>
      </c>
      <c r="C96" s="143" t="s">
        <v>58</v>
      </c>
      <c r="D96" s="143" t="s">
        <v>59</v>
      </c>
      <c r="E96" s="143" t="s">
        <v>474</v>
      </c>
      <c r="F96" s="144" t="n">
        <v>200025888521</v>
      </c>
      <c r="G96" s="144" t="s">
        <v>289</v>
      </c>
      <c r="H96" s="144" t="n">
        <v>21</v>
      </c>
      <c r="I96" s="144" t="s">
        <v>152</v>
      </c>
      <c r="J96" s="148" t="n">
        <v>45056.2789467593</v>
      </c>
      <c r="K96" s="1" t="n">
        <v>1</v>
      </c>
      <c r="L96" s="144" t="n">
        <v>21</v>
      </c>
      <c r="M96" s="1" t="n">
        <v>3</v>
      </c>
      <c r="N96" s="1" t="n">
        <v>3</v>
      </c>
      <c r="O96" s="149" t="n">
        <v>67</v>
      </c>
    </row>
    <row r="97" customFormat="false" ht="14.25" hidden="false" customHeight="false" outlineLevel="0" collapsed="false">
      <c r="A97" s="1" t="n">
        <v>105</v>
      </c>
      <c r="B97" s="1" t="s">
        <v>476</v>
      </c>
      <c r="C97" s="143" t="s">
        <v>58</v>
      </c>
      <c r="D97" s="143" t="s">
        <v>59</v>
      </c>
      <c r="E97" s="143" t="s">
        <v>474</v>
      </c>
      <c r="F97" s="144" t="n">
        <v>200025888521</v>
      </c>
      <c r="G97" s="144" t="s">
        <v>289</v>
      </c>
      <c r="H97" s="144" t="n">
        <v>21</v>
      </c>
      <c r="I97" s="144" t="s">
        <v>152</v>
      </c>
      <c r="J97" s="148" t="n">
        <v>45056.2811342593</v>
      </c>
      <c r="K97" s="1" t="n">
        <v>1</v>
      </c>
      <c r="L97" s="144" t="n">
        <v>21</v>
      </c>
      <c r="M97" s="1" t="n">
        <v>3</v>
      </c>
      <c r="N97" s="1" t="n">
        <v>3</v>
      </c>
      <c r="O97" s="149" t="n">
        <v>68</v>
      </c>
    </row>
    <row r="98" customFormat="false" ht="14.25" hidden="false" customHeight="false" outlineLevel="0" collapsed="false">
      <c r="A98" s="1" t="n">
        <v>106</v>
      </c>
      <c r="B98" s="1" t="s">
        <v>476</v>
      </c>
      <c r="C98" s="143" t="s">
        <v>58</v>
      </c>
      <c r="D98" s="143" t="s">
        <v>59</v>
      </c>
      <c r="E98" s="143" t="s">
        <v>474</v>
      </c>
      <c r="F98" s="144" t="n">
        <v>200025888521</v>
      </c>
      <c r="G98" s="144" t="s">
        <v>289</v>
      </c>
      <c r="H98" s="144" t="n">
        <v>21</v>
      </c>
      <c r="I98" s="144" t="s">
        <v>152</v>
      </c>
      <c r="J98" s="148" t="n">
        <v>45056.2824074074</v>
      </c>
      <c r="K98" s="1" t="n">
        <v>0</v>
      </c>
      <c r="L98" s="144" t="n">
        <v>21</v>
      </c>
      <c r="M98" s="1" t="n">
        <v>3</v>
      </c>
      <c r="N98" s="1" t="n">
        <v>3</v>
      </c>
      <c r="O98" s="149" t="n">
        <v>69</v>
      </c>
    </row>
    <row r="99" customFormat="false" ht="14.25" hidden="false" customHeight="false" outlineLevel="0" collapsed="false">
      <c r="A99" s="1" t="n">
        <v>107</v>
      </c>
      <c r="B99" s="1" t="s">
        <v>476</v>
      </c>
      <c r="C99" s="143" t="s">
        <v>58</v>
      </c>
      <c r="D99" s="143" t="s">
        <v>59</v>
      </c>
      <c r="E99" s="143" t="s">
        <v>474</v>
      </c>
      <c r="F99" s="144" t="n">
        <v>200025888521</v>
      </c>
      <c r="G99" s="144" t="s">
        <v>289</v>
      </c>
      <c r="H99" s="144" t="n">
        <v>21</v>
      </c>
      <c r="I99" s="144" t="s">
        <v>152</v>
      </c>
      <c r="J99" s="148" t="n">
        <v>45056.2825347222</v>
      </c>
      <c r="K99" s="1" t="n">
        <v>1</v>
      </c>
      <c r="L99" s="144" t="n">
        <v>21</v>
      </c>
      <c r="M99" s="1" t="n">
        <v>3</v>
      </c>
      <c r="N99" s="1" t="n">
        <v>3</v>
      </c>
      <c r="O99" s="149" t="n">
        <v>70</v>
      </c>
    </row>
    <row r="100" customFormat="false" ht="14.25" hidden="false" customHeight="false" outlineLevel="0" collapsed="false">
      <c r="A100" s="1" t="n">
        <v>108</v>
      </c>
      <c r="B100" s="1" t="s">
        <v>476</v>
      </c>
      <c r="C100" s="143" t="s">
        <v>58</v>
      </c>
      <c r="D100" s="143" t="s">
        <v>59</v>
      </c>
      <c r="E100" s="143" t="s">
        <v>474</v>
      </c>
      <c r="F100" s="144" t="n">
        <v>200025888521</v>
      </c>
      <c r="G100" s="144" t="s">
        <v>289</v>
      </c>
      <c r="H100" s="144" t="n">
        <v>21</v>
      </c>
      <c r="I100" s="144" t="s">
        <v>152</v>
      </c>
      <c r="J100" s="148" t="n">
        <v>45056.2834953704</v>
      </c>
      <c r="K100" s="1" t="n">
        <v>0</v>
      </c>
      <c r="L100" s="144" t="n">
        <v>21</v>
      </c>
      <c r="M100" s="1" t="n">
        <v>3</v>
      </c>
      <c r="N100" s="1" t="n">
        <v>3</v>
      </c>
      <c r="O100" s="149" t="n">
        <v>71</v>
      </c>
    </row>
    <row r="101" customFormat="false" ht="14.25" hidden="false" customHeight="false" outlineLevel="0" collapsed="false">
      <c r="A101" s="1" t="n">
        <v>115</v>
      </c>
      <c r="B101" s="1" t="s">
        <v>476</v>
      </c>
      <c r="C101" s="143" t="s">
        <v>58</v>
      </c>
      <c r="D101" s="143" t="s">
        <v>59</v>
      </c>
      <c r="E101" s="143" t="s">
        <v>474</v>
      </c>
      <c r="F101" s="144" t="n">
        <v>200025888521</v>
      </c>
      <c r="G101" s="144" t="s">
        <v>289</v>
      </c>
      <c r="H101" s="144" t="n">
        <v>21</v>
      </c>
      <c r="I101" s="144" t="s">
        <v>152</v>
      </c>
      <c r="J101" s="148" t="n">
        <v>45056.4030092593</v>
      </c>
      <c r="K101" s="1" t="n">
        <v>2</v>
      </c>
      <c r="L101" s="144" t="n">
        <v>21</v>
      </c>
      <c r="M101" s="1" t="n">
        <v>3</v>
      </c>
      <c r="N101" s="1" t="n">
        <v>3</v>
      </c>
      <c r="O101" s="149" t="n">
        <v>72</v>
      </c>
    </row>
    <row r="102" customFormat="false" ht="14.25" hidden="false" customHeight="false" outlineLevel="0" collapsed="false">
      <c r="A102" s="1" t="n">
        <v>116</v>
      </c>
      <c r="B102" s="1" t="s">
        <v>476</v>
      </c>
      <c r="C102" s="143" t="s">
        <v>58</v>
      </c>
      <c r="D102" s="143" t="s">
        <v>59</v>
      </c>
      <c r="E102" s="143" t="s">
        <v>474</v>
      </c>
      <c r="F102" s="144" t="n">
        <v>200025888521</v>
      </c>
      <c r="G102" s="144" t="s">
        <v>289</v>
      </c>
      <c r="H102" s="144" t="n">
        <v>21</v>
      </c>
      <c r="I102" s="144" t="s">
        <v>152</v>
      </c>
      <c r="J102" s="148" t="n">
        <v>45056.40625</v>
      </c>
      <c r="K102" s="1" t="n">
        <v>1</v>
      </c>
      <c r="L102" s="144" t="n">
        <v>21</v>
      </c>
      <c r="M102" s="1" t="n">
        <v>3</v>
      </c>
      <c r="N102" s="1" t="n">
        <v>3</v>
      </c>
      <c r="O102" s="149" t="n">
        <v>73</v>
      </c>
    </row>
    <row r="103" customFormat="false" ht="14.25" hidden="false" customHeight="false" outlineLevel="0" collapsed="false">
      <c r="A103" s="1" t="n">
        <v>117</v>
      </c>
      <c r="B103" s="1" t="s">
        <v>476</v>
      </c>
      <c r="C103" s="143" t="s">
        <v>58</v>
      </c>
      <c r="D103" s="143" t="s">
        <v>59</v>
      </c>
      <c r="E103" s="143" t="s">
        <v>474</v>
      </c>
      <c r="F103" s="144" t="n">
        <v>200025888521</v>
      </c>
      <c r="G103" s="144" t="s">
        <v>289</v>
      </c>
      <c r="H103" s="144" t="n">
        <v>21</v>
      </c>
      <c r="I103" s="144" t="s">
        <v>152</v>
      </c>
      <c r="J103" s="148" t="n">
        <v>45056.4062615741</v>
      </c>
      <c r="K103" s="1" t="n">
        <v>1</v>
      </c>
      <c r="L103" s="144" t="n">
        <v>21</v>
      </c>
      <c r="M103" s="1" t="n">
        <v>3</v>
      </c>
      <c r="N103" s="1" t="n">
        <v>3</v>
      </c>
      <c r="O103" s="149" t="n">
        <v>74</v>
      </c>
    </row>
    <row r="104" customFormat="false" ht="14.25" hidden="false" customHeight="false" outlineLevel="0" collapsed="false">
      <c r="A104" s="1" t="n">
        <v>118</v>
      </c>
      <c r="B104" s="1" t="s">
        <v>476</v>
      </c>
      <c r="C104" s="143" t="s">
        <v>58</v>
      </c>
      <c r="D104" s="143" t="s">
        <v>59</v>
      </c>
      <c r="E104" s="143" t="s">
        <v>474</v>
      </c>
      <c r="F104" s="144" t="n">
        <v>200025888521</v>
      </c>
      <c r="G104" s="144" t="s">
        <v>289</v>
      </c>
      <c r="H104" s="144" t="n">
        <v>21</v>
      </c>
      <c r="I104" s="144" t="s">
        <v>152</v>
      </c>
      <c r="J104" s="148" t="n">
        <v>45056.407974537</v>
      </c>
      <c r="K104" s="1" t="n">
        <v>2</v>
      </c>
      <c r="L104" s="144" t="n">
        <v>21</v>
      </c>
      <c r="M104" s="1" t="n">
        <v>3</v>
      </c>
      <c r="N104" s="1" t="n">
        <v>3</v>
      </c>
      <c r="O104" s="149" t="n">
        <v>75</v>
      </c>
    </row>
    <row r="105" customFormat="false" ht="14.25" hidden="false" customHeight="false" outlineLevel="0" collapsed="false">
      <c r="A105" s="1" t="n">
        <v>55</v>
      </c>
      <c r="B105" s="1" t="s">
        <v>478</v>
      </c>
      <c r="C105" s="143" t="n">
        <v>21265</v>
      </c>
      <c r="D105" s="143" t="s">
        <v>76</v>
      </c>
      <c r="E105" s="143" t="s">
        <v>479</v>
      </c>
      <c r="F105" s="144" t="n">
        <v>200025888521</v>
      </c>
      <c r="G105" s="144" t="s">
        <v>289</v>
      </c>
      <c r="H105" s="144" t="n">
        <v>21</v>
      </c>
      <c r="I105" s="144" t="s">
        <v>152</v>
      </c>
      <c r="J105" s="148" t="n">
        <v>45066.3439930556</v>
      </c>
      <c r="K105" s="1" t="n">
        <v>1</v>
      </c>
      <c r="L105" s="144" t="n">
        <v>21</v>
      </c>
      <c r="M105" s="1" t="n">
        <v>3</v>
      </c>
      <c r="N105" s="1" t="n">
        <v>3</v>
      </c>
      <c r="O105" s="149" t="n">
        <v>76</v>
      </c>
    </row>
    <row r="106" customFormat="false" ht="14.25" hidden="false" customHeight="false" outlineLevel="0" collapsed="false">
      <c r="A106" s="1" t="n">
        <v>142</v>
      </c>
      <c r="B106" s="1" t="s">
        <v>477</v>
      </c>
      <c r="C106" s="143" t="s">
        <v>52</v>
      </c>
      <c r="D106" s="143" t="s">
        <v>53</v>
      </c>
      <c r="E106" s="143" t="s">
        <v>474</v>
      </c>
      <c r="F106" s="144" t="n">
        <v>200025888521</v>
      </c>
      <c r="G106" s="144" t="s">
        <v>289</v>
      </c>
      <c r="H106" s="144" t="n">
        <v>21</v>
      </c>
      <c r="I106" s="144" t="s">
        <v>152</v>
      </c>
      <c r="J106" s="150" t="n">
        <v>45073.3300231482</v>
      </c>
      <c r="K106" s="1" t="n">
        <v>1</v>
      </c>
      <c r="L106" s="144" t="n">
        <v>21</v>
      </c>
      <c r="M106" s="1" t="n">
        <v>3</v>
      </c>
      <c r="N106" s="1" t="n">
        <v>3</v>
      </c>
      <c r="O106" s="149" t="n">
        <v>77</v>
      </c>
    </row>
    <row r="107" customFormat="false" ht="14.25" hidden="false" customHeight="false" outlineLevel="0" collapsed="false">
      <c r="A107" s="1" t="n">
        <v>143</v>
      </c>
      <c r="B107" s="1" t="s">
        <v>477</v>
      </c>
      <c r="C107" s="143" t="s">
        <v>52</v>
      </c>
      <c r="D107" s="143" t="s">
        <v>53</v>
      </c>
      <c r="E107" s="143" t="s">
        <v>474</v>
      </c>
      <c r="F107" s="144" t="n">
        <v>200025888521</v>
      </c>
      <c r="G107" s="144" t="s">
        <v>289</v>
      </c>
      <c r="H107" s="144" t="n">
        <v>21</v>
      </c>
      <c r="I107" s="144" t="s">
        <v>152</v>
      </c>
      <c r="J107" s="150" t="n">
        <v>45073.3303472222</v>
      </c>
      <c r="K107" s="1" t="n">
        <v>2</v>
      </c>
      <c r="L107" s="144" t="n">
        <v>21</v>
      </c>
      <c r="M107" s="1" t="n">
        <v>3</v>
      </c>
      <c r="N107" s="1" t="n">
        <v>3</v>
      </c>
      <c r="O107" s="149" t="n">
        <v>78</v>
      </c>
    </row>
    <row r="108" customFormat="false" ht="14.25" hidden="false" customHeight="false" outlineLevel="0" collapsed="false">
      <c r="A108" s="1" t="n">
        <v>144</v>
      </c>
      <c r="B108" s="1" t="s">
        <v>477</v>
      </c>
      <c r="C108" s="143" t="s">
        <v>52</v>
      </c>
      <c r="D108" s="143" t="s">
        <v>53</v>
      </c>
      <c r="E108" s="143" t="s">
        <v>474</v>
      </c>
      <c r="F108" s="144" t="n">
        <v>200025888521</v>
      </c>
      <c r="G108" s="144" t="s">
        <v>289</v>
      </c>
      <c r="H108" s="144" t="n">
        <v>21</v>
      </c>
      <c r="I108" s="144" t="s">
        <v>152</v>
      </c>
      <c r="J108" s="150" t="n">
        <v>45073.3309027778</v>
      </c>
      <c r="K108" s="1" t="n">
        <v>1</v>
      </c>
      <c r="L108" s="144" t="n">
        <v>21</v>
      </c>
      <c r="M108" s="1" t="n">
        <v>3</v>
      </c>
      <c r="N108" s="1" t="n">
        <v>3</v>
      </c>
      <c r="O108" s="149" t="n">
        <v>79</v>
      </c>
    </row>
    <row r="109" customFormat="false" ht="14.25" hidden="false" customHeight="false" outlineLevel="0" collapsed="false">
      <c r="A109" s="1" t="n">
        <v>145</v>
      </c>
      <c r="B109" s="1" t="s">
        <v>477</v>
      </c>
      <c r="C109" s="143" t="s">
        <v>52</v>
      </c>
      <c r="D109" s="143" t="s">
        <v>53</v>
      </c>
      <c r="E109" s="143" t="s">
        <v>474</v>
      </c>
      <c r="F109" s="144" t="n">
        <v>200025888521</v>
      </c>
      <c r="G109" s="144" t="s">
        <v>289</v>
      </c>
      <c r="H109" s="144" t="n">
        <v>21</v>
      </c>
      <c r="I109" s="144" t="s">
        <v>152</v>
      </c>
      <c r="J109" s="150" t="n">
        <v>45073.3323611111</v>
      </c>
      <c r="K109" s="1" t="n">
        <v>3</v>
      </c>
      <c r="L109" s="144" t="n">
        <v>21</v>
      </c>
      <c r="M109" s="1" t="n">
        <v>3</v>
      </c>
      <c r="N109" s="1" t="n">
        <v>3</v>
      </c>
      <c r="O109" s="149" t="n">
        <v>80</v>
      </c>
    </row>
    <row r="110" customFormat="false" ht="14.25" hidden="false" customHeight="false" outlineLevel="0" collapsed="false">
      <c r="A110" s="1" t="n">
        <v>146</v>
      </c>
      <c r="B110" s="1" t="s">
        <v>477</v>
      </c>
      <c r="C110" s="143" t="s">
        <v>52</v>
      </c>
      <c r="D110" s="143" t="s">
        <v>53</v>
      </c>
      <c r="E110" s="143" t="s">
        <v>474</v>
      </c>
      <c r="F110" s="144" t="n">
        <v>200025888521</v>
      </c>
      <c r="G110" s="144" t="s">
        <v>289</v>
      </c>
      <c r="H110" s="144" t="n">
        <v>21</v>
      </c>
      <c r="I110" s="144" t="s">
        <v>152</v>
      </c>
      <c r="J110" s="150" t="n">
        <v>45073.3384027778</v>
      </c>
      <c r="K110" s="1" t="n">
        <v>2</v>
      </c>
      <c r="L110" s="144" t="n">
        <v>21</v>
      </c>
      <c r="M110" s="1" t="n">
        <v>3</v>
      </c>
      <c r="N110" s="1" t="n">
        <v>3</v>
      </c>
      <c r="O110" s="149" t="n">
        <v>81</v>
      </c>
    </row>
    <row r="111" customFormat="false" ht="14.25" hidden="false" customHeight="false" outlineLevel="0" collapsed="false">
      <c r="A111" s="1" t="n">
        <v>147</v>
      </c>
      <c r="B111" s="1" t="s">
        <v>477</v>
      </c>
      <c r="C111" s="143" t="s">
        <v>52</v>
      </c>
      <c r="D111" s="143" t="s">
        <v>53</v>
      </c>
      <c r="E111" s="143" t="s">
        <v>474</v>
      </c>
      <c r="F111" s="144" t="n">
        <v>200025888521</v>
      </c>
      <c r="G111" s="144" t="s">
        <v>289</v>
      </c>
      <c r="H111" s="144" t="n">
        <v>21</v>
      </c>
      <c r="I111" s="144" t="s">
        <v>152</v>
      </c>
      <c r="J111" s="150" t="n">
        <v>45073.3385416667</v>
      </c>
      <c r="K111" s="1" t="n">
        <v>0</v>
      </c>
      <c r="L111" s="144" t="n">
        <v>21</v>
      </c>
      <c r="M111" s="1" t="n">
        <v>3</v>
      </c>
      <c r="N111" s="1" t="n">
        <v>3</v>
      </c>
      <c r="O111" s="149" t="n">
        <v>82</v>
      </c>
    </row>
    <row r="112" customFormat="false" ht="14.25" hidden="false" customHeight="false" outlineLevel="0" collapsed="false">
      <c r="A112" s="1" t="n">
        <v>148</v>
      </c>
      <c r="B112" s="1" t="s">
        <v>477</v>
      </c>
      <c r="C112" s="143" t="s">
        <v>52</v>
      </c>
      <c r="D112" s="143" t="s">
        <v>53</v>
      </c>
      <c r="E112" s="143" t="s">
        <v>474</v>
      </c>
      <c r="F112" s="144" t="n">
        <v>200025888521</v>
      </c>
      <c r="G112" s="144" t="s">
        <v>289</v>
      </c>
      <c r="H112" s="144" t="n">
        <v>21</v>
      </c>
      <c r="I112" s="144" t="s">
        <v>152</v>
      </c>
      <c r="J112" s="150" t="n">
        <v>45073.3387037037</v>
      </c>
      <c r="K112" s="1" t="n">
        <v>2</v>
      </c>
      <c r="L112" s="144" t="n">
        <v>21</v>
      </c>
      <c r="M112" s="1" t="n">
        <v>3</v>
      </c>
      <c r="N112" s="1" t="n">
        <v>3</v>
      </c>
      <c r="O112" s="149" t="n">
        <v>83</v>
      </c>
    </row>
    <row r="113" customFormat="false" ht="14.25" hidden="false" customHeight="false" outlineLevel="0" collapsed="false">
      <c r="A113" s="1" t="n">
        <v>149</v>
      </c>
      <c r="B113" s="1" t="s">
        <v>477</v>
      </c>
      <c r="C113" s="143" t="s">
        <v>52</v>
      </c>
      <c r="D113" s="143" t="s">
        <v>53</v>
      </c>
      <c r="E113" s="143" t="s">
        <v>474</v>
      </c>
      <c r="F113" s="144" t="n">
        <v>200025888521</v>
      </c>
      <c r="G113" s="144" t="s">
        <v>289</v>
      </c>
      <c r="H113" s="144" t="n">
        <v>21</v>
      </c>
      <c r="I113" s="144" t="s">
        <v>152</v>
      </c>
      <c r="J113" s="150" t="n">
        <v>45073.3452083333</v>
      </c>
      <c r="K113" s="1" t="n">
        <v>0</v>
      </c>
      <c r="L113" s="144" t="n">
        <v>21</v>
      </c>
      <c r="M113" s="1" t="n">
        <v>3</v>
      </c>
      <c r="N113" s="1" t="n">
        <v>3</v>
      </c>
      <c r="O113" s="149" t="n">
        <v>84</v>
      </c>
    </row>
    <row r="114" customFormat="false" ht="14.25" hidden="false" customHeight="false" outlineLevel="0" collapsed="false">
      <c r="A114" s="1" t="n">
        <v>150</v>
      </c>
      <c r="B114" s="1" t="s">
        <v>477</v>
      </c>
      <c r="C114" s="143" t="s">
        <v>52</v>
      </c>
      <c r="D114" s="143" t="s">
        <v>53</v>
      </c>
      <c r="E114" s="143" t="s">
        <v>474</v>
      </c>
      <c r="F114" s="144" t="n">
        <v>200025888521</v>
      </c>
      <c r="G114" s="144" t="s">
        <v>289</v>
      </c>
      <c r="H114" s="144" t="n">
        <v>21</v>
      </c>
      <c r="I114" s="144" t="s">
        <v>152</v>
      </c>
      <c r="J114" s="150" t="n">
        <v>45073.3629282407</v>
      </c>
      <c r="K114" s="1" t="n">
        <v>4</v>
      </c>
      <c r="L114" s="144" t="n">
        <v>21</v>
      </c>
      <c r="M114" s="1" t="n">
        <v>3</v>
      </c>
      <c r="N114" s="1" t="n">
        <v>3</v>
      </c>
      <c r="O114" s="149" t="n">
        <v>85</v>
      </c>
    </row>
    <row r="115" customFormat="false" ht="14.25" hidden="false" customHeight="false" outlineLevel="0" collapsed="false">
      <c r="A115" s="1" t="n">
        <v>205</v>
      </c>
      <c r="B115" s="1" t="s">
        <v>476</v>
      </c>
      <c r="C115" s="143" t="s">
        <v>52</v>
      </c>
      <c r="D115" s="143" t="s">
        <v>53</v>
      </c>
      <c r="E115" s="143" t="s">
        <v>474</v>
      </c>
      <c r="F115" s="144" t="n">
        <v>200025888216</v>
      </c>
      <c r="G115" s="144" t="s">
        <v>289</v>
      </c>
      <c r="H115" s="144" t="n">
        <v>21</v>
      </c>
      <c r="I115" s="144" t="s">
        <v>152</v>
      </c>
      <c r="J115" s="148" t="n">
        <v>45082.4742708333</v>
      </c>
      <c r="K115" s="1" t="n">
        <v>4</v>
      </c>
      <c r="L115" s="144" t="n">
        <v>21</v>
      </c>
      <c r="M115" s="1" t="n">
        <v>3</v>
      </c>
      <c r="N115" s="1" t="n">
        <v>3</v>
      </c>
      <c r="O115" s="149" t="n">
        <v>86</v>
      </c>
    </row>
    <row r="116" customFormat="false" ht="14.25" hidden="false" customHeight="false" outlineLevel="0" collapsed="false">
      <c r="A116" s="1" t="n">
        <v>14</v>
      </c>
      <c r="B116" s="1" t="s">
        <v>473</v>
      </c>
      <c r="C116" s="143" t="n">
        <v>11490</v>
      </c>
      <c r="D116" s="143" t="s">
        <v>65</v>
      </c>
      <c r="E116" s="143" t="s">
        <v>474</v>
      </c>
      <c r="F116" s="144" t="n">
        <v>200025888490</v>
      </c>
      <c r="G116" s="144" t="s">
        <v>261</v>
      </c>
      <c r="H116" s="144" t="n">
        <v>43</v>
      </c>
      <c r="I116" s="144" t="s">
        <v>152</v>
      </c>
      <c r="J116" s="148" t="n">
        <v>45055.5361689815</v>
      </c>
      <c r="K116" s="1" t="n">
        <v>2</v>
      </c>
      <c r="L116" s="144" t="n">
        <v>43</v>
      </c>
      <c r="M116" s="1" t="n">
        <v>4</v>
      </c>
      <c r="N116" s="1" t="n">
        <v>4</v>
      </c>
      <c r="O116" s="149" t="n">
        <v>1</v>
      </c>
    </row>
    <row r="117" customFormat="false" ht="14.25" hidden="false" customHeight="false" outlineLevel="0" collapsed="false">
      <c r="A117" s="1" t="n">
        <v>16</v>
      </c>
      <c r="B117" s="1" t="s">
        <v>473</v>
      </c>
      <c r="C117" s="143" t="n">
        <v>11490</v>
      </c>
      <c r="D117" s="143" t="s">
        <v>65</v>
      </c>
      <c r="E117" s="143" t="s">
        <v>474</v>
      </c>
      <c r="F117" s="144" t="n">
        <v>200025888490</v>
      </c>
      <c r="G117" s="144" t="s">
        <v>261</v>
      </c>
      <c r="H117" s="144" t="n">
        <v>43</v>
      </c>
      <c r="I117" s="144" t="s">
        <v>152</v>
      </c>
      <c r="J117" s="148" t="n">
        <v>45055.5434375</v>
      </c>
      <c r="K117" s="1" t="n">
        <v>2</v>
      </c>
      <c r="L117" s="144" t="n">
        <v>43</v>
      </c>
      <c r="M117" s="1" t="n">
        <v>4</v>
      </c>
      <c r="N117" s="1" t="n">
        <v>4</v>
      </c>
      <c r="O117" s="149" t="n">
        <v>2</v>
      </c>
    </row>
    <row r="118" customFormat="false" ht="14.25" hidden="false" customHeight="false" outlineLevel="0" collapsed="false">
      <c r="A118" s="1" t="n">
        <v>285</v>
      </c>
      <c r="B118" s="1" t="s">
        <v>475</v>
      </c>
      <c r="C118" s="143" t="s">
        <v>52</v>
      </c>
      <c r="D118" s="143" t="s">
        <v>53</v>
      </c>
      <c r="E118" s="143" t="s">
        <v>474</v>
      </c>
      <c r="F118" s="144" t="n">
        <v>200025888490</v>
      </c>
      <c r="G118" s="144" t="s">
        <v>261</v>
      </c>
      <c r="H118" s="144" t="n">
        <v>43</v>
      </c>
      <c r="I118" s="144" t="s">
        <v>152</v>
      </c>
      <c r="J118" s="148" t="n">
        <v>45057.9678587963</v>
      </c>
      <c r="K118" s="1" t="n">
        <v>2</v>
      </c>
      <c r="L118" s="144" t="n">
        <v>43</v>
      </c>
      <c r="M118" s="1" t="n">
        <v>4</v>
      </c>
      <c r="N118" s="1" t="n">
        <v>4</v>
      </c>
      <c r="O118" s="149" t="n">
        <v>3</v>
      </c>
    </row>
    <row r="119" customFormat="false" ht="14.25" hidden="false" customHeight="false" outlineLevel="0" collapsed="false">
      <c r="A119" s="1" t="n">
        <v>470</v>
      </c>
      <c r="B119" s="1" t="s">
        <v>473</v>
      </c>
      <c r="C119" s="143" t="n">
        <v>11490</v>
      </c>
      <c r="D119" s="143" t="s">
        <v>65</v>
      </c>
      <c r="E119" s="143" t="s">
        <v>474</v>
      </c>
      <c r="F119" s="144" t="n">
        <v>200025888490</v>
      </c>
      <c r="G119" s="144" t="s">
        <v>261</v>
      </c>
      <c r="H119" s="144" t="n">
        <v>43</v>
      </c>
      <c r="I119" s="144" t="s">
        <v>152</v>
      </c>
      <c r="J119" s="148" t="n">
        <v>45058.0239351852</v>
      </c>
      <c r="K119" s="1" t="n">
        <v>2</v>
      </c>
      <c r="L119" s="144" t="n">
        <v>43</v>
      </c>
      <c r="M119" s="1" t="n">
        <v>4</v>
      </c>
      <c r="N119" s="1" t="n">
        <v>4</v>
      </c>
      <c r="O119" s="149" t="n">
        <v>4</v>
      </c>
    </row>
    <row r="120" customFormat="false" ht="14.25" hidden="false" customHeight="false" outlineLevel="0" collapsed="false">
      <c r="A120" s="1" t="n">
        <v>471</v>
      </c>
      <c r="B120" s="1" t="s">
        <v>473</v>
      </c>
      <c r="C120" s="143" t="n">
        <v>11490</v>
      </c>
      <c r="D120" s="143" t="s">
        <v>65</v>
      </c>
      <c r="E120" s="143" t="s">
        <v>474</v>
      </c>
      <c r="F120" s="144" t="n">
        <v>200025888490</v>
      </c>
      <c r="G120" s="144" t="s">
        <v>261</v>
      </c>
      <c r="H120" s="144" t="n">
        <v>43</v>
      </c>
      <c r="I120" s="144" t="s">
        <v>152</v>
      </c>
      <c r="J120" s="148" t="n">
        <v>45058.0242708333</v>
      </c>
      <c r="K120" s="1" t="n">
        <v>1</v>
      </c>
      <c r="L120" s="144" t="n">
        <v>43</v>
      </c>
      <c r="M120" s="1" t="n">
        <v>4</v>
      </c>
      <c r="N120" s="1" t="n">
        <v>4</v>
      </c>
      <c r="O120" s="149" t="n">
        <v>5</v>
      </c>
    </row>
    <row r="121" customFormat="false" ht="14.25" hidden="false" customHeight="false" outlineLevel="0" collapsed="false">
      <c r="A121" s="1" t="n">
        <v>472</v>
      </c>
      <c r="B121" s="1" t="s">
        <v>473</v>
      </c>
      <c r="C121" s="143" t="n">
        <v>11490</v>
      </c>
      <c r="D121" s="143" t="s">
        <v>65</v>
      </c>
      <c r="E121" s="143" t="s">
        <v>474</v>
      </c>
      <c r="F121" s="144" t="n">
        <v>200025888490</v>
      </c>
      <c r="G121" s="144" t="s">
        <v>261</v>
      </c>
      <c r="H121" s="144" t="n">
        <v>43</v>
      </c>
      <c r="I121" s="144" t="s">
        <v>152</v>
      </c>
      <c r="J121" s="148" t="n">
        <v>45058.0246296296</v>
      </c>
      <c r="K121" s="1" t="n">
        <v>2</v>
      </c>
      <c r="L121" s="144" t="n">
        <v>43</v>
      </c>
      <c r="M121" s="1" t="n">
        <v>4</v>
      </c>
      <c r="N121" s="1" t="n">
        <v>4</v>
      </c>
      <c r="O121" s="149" t="n">
        <v>6</v>
      </c>
    </row>
    <row r="122" customFormat="false" ht="14.25" hidden="false" customHeight="false" outlineLevel="0" collapsed="false">
      <c r="A122" s="1" t="n">
        <v>473</v>
      </c>
      <c r="B122" s="1" t="s">
        <v>473</v>
      </c>
      <c r="C122" s="143" t="n">
        <v>11490</v>
      </c>
      <c r="D122" s="143" t="s">
        <v>65</v>
      </c>
      <c r="E122" s="143" t="s">
        <v>474</v>
      </c>
      <c r="F122" s="144" t="n">
        <v>200025888490</v>
      </c>
      <c r="G122" s="144" t="s">
        <v>261</v>
      </c>
      <c r="H122" s="144" t="n">
        <v>43</v>
      </c>
      <c r="I122" s="144" t="s">
        <v>152</v>
      </c>
      <c r="J122" s="148" t="n">
        <v>45058.0248611111</v>
      </c>
      <c r="K122" s="1" t="n">
        <v>1</v>
      </c>
      <c r="L122" s="144" t="n">
        <v>43</v>
      </c>
      <c r="M122" s="1" t="n">
        <v>4</v>
      </c>
      <c r="N122" s="1" t="n">
        <v>4</v>
      </c>
      <c r="O122" s="149" t="n">
        <v>7</v>
      </c>
    </row>
    <row r="123" customFormat="false" ht="14.25" hidden="false" customHeight="false" outlineLevel="0" collapsed="false">
      <c r="A123" s="1" t="n">
        <v>474</v>
      </c>
      <c r="B123" s="1" t="s">
        <v>473</v>
      </c>
      <c r="C123" s="143" t="n">
        <v>11490</v>
      </c>
      <c r="D123" s="143" t="s">
        <v>65</v>
      </c>
      <c r="E123" s="143" t="s">
        <v>474</v>
      </c>
      <c r="F123" s="144" t="n">
        <v>200025888490</v>
      </c>
      <c r="G123" s="144" t="s">
        <v>261</v>
      </c>
      <c r="H123" s="144" t="n">
        <v>43</v>
      </c>
      <c r="I123" s="144" t="s">
        <v>152</v>
      </c>
      <c r="J123" s="148" t="n">
        <v>45058.0277314815</v>
      </c>
      <c r="K123" s="1" t="n">
        <v>2</v>
      </c>
      <c r="L123" s="144" t="n">
        <v>43</v>
      </c>
      <c r="M123" s="1" t="n">
        <v>4</v>
      </c>
      <c r="N123" s="1" t="n">
        <v>4</v>
      </c>
      <c r="O123" s="149" t="n">
        <v>8</v>
      </c>
    </row>
    <row r="124" customFormat="false" ht="14.25" hidden="false" customHeight="false" outlineLevel="0" collapsed="false">
      <c r="A124" s="1" t="n">
        <v>475</v>
      </c>
      <c r="B124" s="1" t="s">
        <v>473</v>
      </c>
      <c r="C124" s="143" t="n">
        <v>11490</v>
      </c>
      <c r="D124" s="143" t="s">
        <v>65</v>
      </c>
      <c r="E124" s="143" t="s">
        <v>474</v>
      </c>
      <c r="F124" s="144" t="n">
        <v>200025888490</v>
      </c>
      <c r="G124" s="144" t="s">
        <v>261</v>
      </c>
      <c r="H124" s="144" t="n">
        <v>43</v>
      </c>
      <c r="I124" s="144" t="s">
        <v>152</v>
      </c>
      <c r="J124" s="148" t="n">
        <v>45058.0280555556</v>
      </c>
      <c r="K124" s="1" t="n">
        <v>2</v>
      </c>
      <c r="L124" s="144" t="n">
        <v>43</v>
      </c>
      <c r="M124" s="1" t="n">
        <v>4</v>
      </c>
      <c r="N124" s="1" t="n">
        <v>4</v>
      </c>
      <c r="O124" s="149" t="n">
        <v>9</v>
      </c>
    </row>
    <row r="125" customFormat="false" ht="14.25" hidden="false" customHeight="false" outlineLevel="0" collapsed="false">
      <c r="A125" s="1" t="n">
        <v>476</v>
      </c>
      <c r="B125" s="1" t="s">
        <v>473</v>
      </c>
      <c r="C125" s="143" t="n">
        <v>11490</v>
      </c>
      <c r="D125" s="143" t="s">
        <v>65</v>
      </c>
      <c r="E125" s="143" t="s">
        <v>474</v>
      </c>
      <c r="F125" s="144" t="n">
        <v>200025888490</v>
      </c>
      <c r="G125" s="144" t="s">
        <v>261</v>
      </c>
      <c r="H125" s="144" t="n">
        <v>43</v>
      </c>
      <c r="I125" s="144" t="s">
        <v>152</v>
      </c>
      <c r="J125" s="148" t="n">
        <v>45058.0281134259</v>
      </c>
      <c r="K125" s="1" t="n">
        <v>1</v>
      </c>
      <c r="L125" s="144" t="n">
        <v>43</v>
      </c>
      <c r="M125" s="1" t="n">
        <v>4</v>
      </c>
      <c r="N125" s="1" t="n">
        <v>4</v>
      </c>
      <c r="O125" s="149" t="n">
        <v>10</v>
      </c>
    </row>
    <row r="126" customFormat="false" ht="14.25" hidden="false" customHeight="false" outlineLevel="0" collapsed="false">
      <c r="A126" s="1" t="n">
        <v>477</v>
      </c>
      <c r="B126" s="1" t="s">
        <v>473</v>
      </c>
      <c r="C126" s="143" t="n">
        <v>11490</v>
      </c>
      <c r="D126" s="143" t="s">
        <v>65</v>
      </c>
      <c r="E126" s="143" t="s">
        <v>474</v>
      </c>
      <c r="F126" s="144" t="n">
        <v>200025888490</v>
      </c>
      <c r="G126" s="144" t="s">
        <v>261</v>
      </c>
      <c r="H126" s="144" t="n">
        <v>43</v>
      </c>
      <c r="I126" s="144" t="s">
        <v>152</v>
      </c>
      <c r="J126" s="148" t="n">
        <v>45058.0282060185</v>
      </c>
      <c r="K126" s="1" t="n">
        <v>2</v>
      </c>
      <c r="L126" s="144" t="n">
        <v>43</v>
      </c>
      <c r="M126" s="1" t="n">
        <v>4</v>
      </c>
      <c r="N126" s="1" t="n">
        <v>4</v>
      </c>
      <c r="O126" s="149" t="n">
        <v>11</v>
      </c>
    </row>
    <row r="127" customFormat="false" ht="14.25" hidden="false" customHeight="false" outlineLevel="0" collapsed="false">
      <c r="A127" s="1" t="n">
        <v>478</v>
      </c>
      <c r="B127" s="1" t="s">
        <v>473</v>
      </c>
      <c r="C127" s="143" t="n">
        <v>11490</v>
      </c>
      <c r="D127" s="143" t="s">
        <v>65</v>
      </c>
      <c r="E127" s="143" t="s">
        <v>474</v>
      </c>
      <c r="F127" s="144" t="n">
        <v>200025888490</v>
      </c>
      <c r="G127" s="144" t="s">
        <v>261</v>
      </c>
      <c r="H127" s="144" t="n">
        <v>43</v>
      </c>
      <c r="I127" s="144" t="s">
        <v>152</v>
      </c>
      <c r="J127" s="148" t="n">
        <v>45058.0282291667</v>
      </c>
      <c r="K127" s="1" t="n">
        <v>1</v>
      </c>
      <c r="L127" s="144" t="n">
        <v>43</v>
      </c>
      <c r="M127" s="1" t="n">
        <v>4</v>
      </c>
      <c r="N127" s="1" t="n">
        <v>4</v>
      </c>
      <c r="O127" s="149" t="n">
        <v>12</v>
      </c>
    </row>
    <row r="128" customFormat="false" ht="14.25" hidden="false" customHeight="false" outlineLevel="0" collapsed="false">
      <c r="A128" s="1" t="n">
        <v>479</v>
      </c>
      <c r="B128" s="1" t="s">
        <v>473</v>
      </c>
      <c r="C128" s="143" t="n">
        <v>11490</v>
      </c>
      <c r="D128" s="143" t="s">
        <v>65</v>
      </c>
      <c r="E128" s="143" t="s">
        <v>474</v>
      </c>
      <c r="F128" s="144" t="n">
        <v>200025888490</v>
      </c>
      <c r="G128" s="144" t="s">
        <v>261</v>
      </c>
      <c r="H128" s="144" t="n">
        <v>43</v>
      </c>
      <c r="I128" s="144" t="s">
        <v>152</v>
      </c>
      <c r="J128" s="148" t="n">
        <v>45058.0284375</v>
      </c>
      <c r="K128" s="1" t="n">
        <v>2</v>
      </c>
      <c r="L128" s="144" t="n">
        <v>43</v>
      </c>
      <c r="M128" s="1" t="n">
        <v>4</v>
      </c>
      <c r="N128" s="1" t="n">
        <v>4</v>
      </c>
      <c r="O128" s="149" t="n">
        <v>13</v>
      </c>
    </row>
    <row r="129" customFormat="false" ht="14.25" hidden="false" customHeight="false" outlineLevel="0" collapsed="false">
      <c r="A129" s="1" t="n">
        <v>480</v>
      </c>
      <c r="B129" s="1" t="s">
        <v>473</v>
      </c>
      <c r="C129" s="143" t="n">
        <v>11490</v>
      </c>
      <c r="D129" s="143" t="s">
        <v>65</v>
      </c>
      <c r="E129" s="143" t="s">
        <v>474</v>
      </c>
      <c r="F129" s="144" t="n">
        <v>200025888490</v>
      </c>
      <c r="G129" s="144" t="s">
        <v>261</v>
      </c>
      <c r="H129" s="144" t="n">
        <v>43</v>
      </c>
      <c r="I129" s="144" t="s">
        <v>152</v>
      </c>
      <c r="J129" s="148" t="n">
        <v>45058.0307523148</v>
      </c>
      <c r="K129" s="1" t="n">
        <v>0</v>
      </c>
      <c r="L129" s="144" t="n">
        <v>43</v>
      </c>
      <c r="M129" s="1" t="n">
        <v>4</v>
      </c>
      <c r="N129" s="1" t="n">
        <v>4</v>
      </c>
      <c r="O129" s="149" t="n">
        <v>14</v>
      </c>
    </row>
    <row r="130" customFormat="false" ht="14.25" hidden="false" customHeight="false" outlineLevel="0" collapsed="false">
      <c r="A130" s="1" t="n">
        <v>481</v>
      </c>
      <c r="B130" s="1" t="s">
        <v>473</v>
      </c>
      <c r="C130" s="143" t="n">
        <v>11490</v>
      </c>
      <c r="D130" s="143" t="s">
        <v>65</v>
      </c>
      <c r="E130" s="143" t="s">
        <v>474</v>
      </c>
      <c r="F130" s="144" t="n">
        <v>200025888490</v>
      </c>
      <c r="G130" s="144" t="s">
        <v>261</v>
      </c>
      <c r="H130" s="144" t="n">
        <v>43</v>
      </c>
      <c r="I130" s="144" t="s">
        <v>152</v>
      </c>
      <c r="J130" s="148" t="n">
        <v>45058.0309722222</v>
      </c>
      <c r="K130" s="1" t="n">
        <v>2</v>
      </c>
      <c r="L130" s="144" t="n">
        <v>43</v>
      </c>
      <c r="M130" s="1" t="n">
        <v>4</v>
      </c>
      <c r="N130" s="1" t="n">
        <v>4</v>
      </c>
      <c r="O130" s="149" t="n">
        <v>15</v>
      </c>
    </row>
    <row r="131" customFormat="false" ht="14.25" hidden="false" customHeight="false" outlineLevel="0" collapsed="false">
      <c r="A131" s="1" t="n">
        <v>482</v>
      </c>
      <c r="B131" s="1" t="s">
        <v>473</v>
      </c>
      <c r="C131" s="143" t="n">
        <v>11490</v>
      </c>
      <c r="D131" s="143" t="s">
        <v>65</v>
      </c>
      <c r="E131" s="143" t="s">
        <v>474</v>
      </c>
      <c r="F131" s="144" t="n">
        <v>200025888490</v>
      </c>
      <c r="G131" s="144" t="s">
        <v>261</v>
      </c>
      <c r="H131" s="144" t="n">
        <v>43</v>
      </c>
      <c r="I131" s="144" t="s">
        <v>152</v>
      </c>
      <c r="J131" s="148" t="n">
        <v>45058.0310648148</v>
      </c>
      <c r="K131" s="1" t="n">
        <v>2</v>
      </c>
      <c r="L131" s="144" t="n">
        <v>43</v>
      </c>
      <c r="M131" s="1" t="n">
        <v>4</v>
      </c>
      <c r="N131" s="1" t="n">
        <v>4</v>
      </c>
      <c r="O131" s="149" t="n">
        <v>16</v>
      </c>
    </row>
    <row r="132" customFormat="false" ht="14.25" hidden="false" customHeight="false" outlineLevel="0" collapsed="false">
      <c r="A132" s="1" t="n">
        <v>483</v>
      </c>
      <c r="B132" s="1" t="s">
        <v>473</v>
      </c>
      <c r="C132" s="143" t="n">
        <v>11490</v>
      </c>
      <c r="D132" s="143" t="s">
        <v>65</v>
      </c>
      <c r="E132" s="143" t="s">
        <v>474</v>
      </c>
      <c r="F132" s="144" t="n">
        <v>200025888490</v>
      </c>
      <c r="G132" s="144" t="s">
        <v>261</v>
      </c>
      <c r="H132" s="144" t="n">
        <v>43</v>
      </c>
      <c r="I132" s="144" t="s">
        <v>152</v>
      </c>
      <c r="J132" s="148" t="n">
        <v>45058.0312731481</v>
      </c>
      <c r="K132" s="1" t="n">
        <v>2</v>
      </c>
      <c r="L132" s="144" t="n">
        <v>43</v>
      </c>
      <c r="M132" s="1" t="n">
        <v>4</v>
      </c>
      <c r="N132" s="1" t="n">
        <v>4</v>
      </c>
      <c r="O132" s="149" t="n">
        <v>17</v>
      </c>
    </row>
    <row r="133" customFormat="false" ht="14.25" hidden="false" customHeight="false" outlineLevel="0" collapsed="false">
      <c r="A133" s="1" t="n">
        <v>528</v>
      </c>
      <c r="B133" s="1" t="s">
        <v>473</v>
      </c>
      <c r="C133" s="143" t="n">
        <v>11490</v>
      </c>
      <c r="D133" s="143" t="s">
        <v>65</v>
      </c>
      <c r="E133" s="143" t="s">
        <v>474</v>
      </c>
      <c r="F133" s="144" t="n">
        <v>200025888490</v>
      </c>
      <c r="G133" s="144" t="s">
        <v>261</v>
      </c>
      <c r="H133" s="144" t="n">
        <v>43</v>
      </c>
      <c r="I133" s="144" t="s">
        <v>152</v>
      </c>
      <c r="J133" s="148" t="n">
        <v>45058.2781597222</v>
      </c>
      <c r="K133" s="1" t="n">
        <v>0</v>
      </c>
      <c r="L133" s="144" t="n">
        <v>43</v>
      </c>
      <c r="M133" s="1" t="n">
        <v>4</v>
      </c>
      <c r="N133" s="1" t="n">
        <v>4</v>
      </c>
      <c r="O133" s="149" t="n">
        <v>18</v>
      </c>
    </row>
    <row r="134" customFormat="false" ht="14.25" hidden="false" customHeight="false" outlineLevel="0" collapsed="false">
      <c r="A134" s="1" t="n">
        <v>529</v>
      </c>
      <c r="B134" s="1" t="s">
        <v>473</v>
      </c>
      <c r="C134" s="143" t="n">
        <v>11490</v>
      </c>
      <c r="D134" s="143" t="s">
        <v>65</v>
      </c>
      <c r="E134" s="143" t="s">
        <v>474</v>
      </c>
      <c r="F134" s="144" t="n">
        <v>200025888490</v>
      </c>
      <c r="G134" s="144" t="s">
        <v>261</v>
      </c>
      <c r="H134" s="144" t="n">
        <v>43</v>
      </c>
      <c r="I134" s="144" t="s">
        <v>152</v>
      </c>
      <c r="J134" s="148" t="n">
        <v>45058.2786921296</v>
      </c>
      <c r="K134" s="1" t="n">
        <v>2</v>
      </c>
      <c r="L134" s="144" t="n">
        <v>43</v>
      </c>
      <c r="M134" s="1" t="n">
        <v>4</v>
      </c>
      <c r="N134" s="1" t="n">
        <v>4</v>
      </c>
      <c r="O134" s="149" t="n">
        <v>19</v>
      </c>
    </row>
    <row r="135" customFormat="false" ht="14.25" hidden="false" customHeight="false" outlineLevel="0" collapsed="false">
      <c r="A135" s="1" t="n">
        <v>28</v>
      </c>
      <c r="B135" s="1" t="s">
        <v>476</v>
      </c>
      <c r="C135" s="143" t="n">
        <v>11490</v>
      </c>
      <c r="D135" s="143" t="s">
        <v>65</v>
      </c>
      <c r="E135" s="143" t="s">
        <v>474</v>
      </c>
      <c r="F135" s="144" t="n">
        <v>200025888490</v>
      </c>
      <c r="G135" s="144" t="s">
        <v>261</v>
      </c>
      <c r="H135" s="144" t="n">
        <v>43</v>
      </c>
      <c r="I135" s="144" t="s">
        <v>152</v>
      </c>
      <c r="J135" s="148" t="n">
        <v>45066.4682523148</v>
      </c>
      <c r="K135" s="1" t="n">
        <v>0</v>
      </c>
      <c r="L135" s="144" t="n">
        <v>43</v>
      </c>
      <c r="M135" s="1" t="n">
        <v>4</v>
      </c>
      <c r="N135" s="1" t="n">
        <v>4</v>
      </c>
      <c r="O135" s="149" t="n">
        <v>20</v>
      </c>
    </row>
    <row r="136" customFormat="false" ht="14.25" hidden="false" customHeight="false" outlineLevel="0" collapsed="false">
      <c r="A136" s="1" t="n">
        <v>32</v>
      </c>
      <c r="B136" s="1" t="s">
        <v>476</v>
      </c>
      <c r="C136" s="143" t="n">
        <v>11490</v>
      </c>
      <c r="D136" s="143" t="s">
        <v>65</v>
      </c>
      <c r="E136" s="143" t="s">
        <v>474</v>
      </c>
      <c r="F136" s="144" t="n">
        <v>200025888490</v>
      </c>
      <c r="G136" s="144" t="s">
        <v>261</v>
      </c>
      <c r="H136" s="144" t="n">
        <v>43</v>
      </c>
      <c r="I136" s="144" t="s">
        <v>152</v>
      </c>
      <c r="J136" s="148" t="n">
        <v>45067.4180787037</v>
      </c>
      <c r="K136" s="1" t="n">
        <v>1</v>
      </c>
      <c r="L136" s="144" t="n">
        <v>43</v>
      </c>
      <c r="M136" s="1" t="n">
        <v>4</v>
      </c>
      <c r="N136" s="1" t="n">
        <v>4</v>
      </c>
      <c r="O136" s="149" t="n">
        <v>21</v>
      </c>
    </row>
    <row r="137" customFormat="false" ht="14.25" hidden="false" customHeight="false" outlineLevel="0" collapsed="false">
      <c r="A137" s="1" t="n">
        <v>248</v>
      </c>
      <c r="B137" s="1" t="s">
        <v>477</v>
      </c>
      <c r="C137" s="143" t="n">
        <v>11171</v>
      </c>
      <c r="D137" s="143" t="s">
        <v>74</v>
      </c>
      <c r="E137" s="143" t="s">
        <v>474</v>
      </c>
      <c r="F137" s="144" t="n">
        <v>200025888490</v>
      </c>
      <c r="G137" s="144" t="s">
        <v>261</v>
      </c>
      <c r="H137" s="144" t="n">
        <v>43</v>
      </c>
      <c r="I137" s="144" t="s">
        <v>152</v>
      </c>
      <c r="J137" s="150" t="n">
        <v>45082.5844097222</v>
      </c>
      <c r="K137" s="1" t="n">
        <v>1</v>
      </c>
      <c r="L137" s="144" t="n">
        <v>43</v>
      </c>
      <c r="M137" s="1" t="n">
        <v>4</v>
      </c>
      <c r="N137" s="1" t="n">
        <v>4</v>
      </c>
      <c r="O137" s="149" t="n">
        <v>22</v>
      </c>
    </row>
    <row r="138" customFormat="false" ht="14.25" hidden="false" customHeight="false" outlineLevel="0" collapsed="false">
      <c r="A138" s="1" t="n">
        <v>180</v>
      </c>
      <c r="B138" s="1" t="s">
        <v>488</v>
      </c>
      <c r="C138" s="143" t="n">
        <v>11358</v>
      </c>
      <c r="D138" s="143" t="s">
        <v>49</v>
      </c>
      <c r="E138" s="143" t="s">
        <v>474</v>
      </c>
      <c r="F138" s="144" t="n">
        <v>200025888490</v>
      </c>
      <c r="G138" s="144" t="s">
        <v>261</v>
      </c>
      <c r="H138" s="144" t="n">
        <v>43</v>
      </c>
      <c r="I138" s="144" t="s">
        <v>152</v>
      </c>
      <c r="J138" s="148" t="n">
        <v>45087.3660532407</v>
      </c>
      <c r="K138" s="1" t="n">
        <v>1</v>
      </c>
      <c r="L138" s="144" t="n">
        <v>43</v>
      </c>
      <c r="M138" s="1" t="n">
        <v>4</v>
      </c>
      <c r="N138" s="1" t="n">
        <v>4</v>
      </c>
      <c r="O138" s="149" t="n">
        <v>23</v>
      </c>
    </row>
    <row r="139" customFormat="false" ht="14.25" hidden="false" customHeight="false" outlineLevel="0" collapsed="false">
      <c r="A139" s="1" t="n">
        <v>181</v>
      </c>
      <c r="B139" s="1" t="s">
        <v>488</v>
      </c>
      <c r="C139" s="143" t="n">
        <v>11358</v>
      </c>
      <c r="D139" s="143" t="s">
        <v>49</v>
      </c>
      <c r="E139" s="143" t="s">
        <v>474</v>
      </c>
      <c r="F139" s="144" t="n">
        <v>200025888490</v>
      </c>
      <c r="G139" s="144" t="s">
        <v>261</v>
      </c>
      <c r="H139" s="144" t="n">
        <v>43</v>
      </c>
      <c r="I139" s="144" t="s">
        <v>152</v>
      </c>
      <c r="J139" s="148" t="n">
        <v>45087.3665277778</v>
      </c>
      <c r="K139" s="1" t="n">
        <v>1</v>
      </c>
      <c r="L139" s="144" t="n">
        <v>43</v>
      </c>
      <c r="M139" s="1" t="n">
        <v>4</v>
      </c>
      <c r="N139" s="1" t="n">
        <v>4</v>
      </c>
      <c r="O139" s="149" t="n">
        <v>24</v>
      </c>
    </row>
    <row r="140" customFormat="false" ht="14.25" hidden="false" customHeight="false" outlineLevel="0" collapsed="false">
      <c r="A140" s="1" t="n">
        <v>182</v>
      </c>
      <c r="B140" s="1" t="s">
        <v>488</v>
      </c>
      <c r="C140" s="143" t="n">
        <v>11358</v>
      </c>
      <c r="D140" s="143" t="s">
        <v>49</v>
      </c>
      <c r="E140" s="143" t="s">
        <v>474</v>
      </c>
      <c r="F140" s="144" t="n">
        <v>200025888490</v>
      </c>
      <c r="G140" s="144" t="s">
        <v>261</v>
      </c>
      <c r="H140" s="144" t="n">
        <v>43</v>
      </c>
      <c r="I140" s="144" t="s">
        <v>152</v>
      </c>
      <c r="J140" s="148" t="n">
        <v>45087.3666203704</v>
      </c>
      <c r="K140" s="1" t="n">
        <v>1</v>
      </c>
      <c r="L140" s="144" t="n">
        <v>43</v>
      </c>
      <c r="M140" s="1" t="n">
        <v>4</v>
      </c>
      <c r="N140" s="1" t="n">
        <v>4</v>
      </c>
      <c r="O140" s="149" t="n">
        <v>25</v>
      </c>
    </row>
    <row r="141" customFormat="false" ht="14.25" hidden="false" customHeight="false" outlineLevel="0" collapsed="false">
      <c r="A141" s="1" t="n">
        <v>15</v>
      </c>
      <c r="B141" s="1" t="s">
        <v>473</v>
      </c>
      <c r="C141" s="143" t="n">
        <v>11490</v>
      </c>
      <c r="D141" s="143" t="s">
        <v>65</v>
      </c>
      <c r="E141" s="143" t="s">
        <v>474</v>
      </c>
      <c r="F141" s="144" t="n">
        <v>200025888291</v>
      </c>
      <c r="G141" s="144" t="s">
        <v>231</v>
      </c>
      <c r="H141" s="144" t="n">
        <v>38</v>
      </c>
      <c r="I141" s="144" t="s">
        <v>152</v>
      </c>
      <c r="J141" s="148" t="n">
        <v>45055.5404050926</v>
      </c>
      <c r="K141" s="1" t="n">
        <v>1</v>
      </c>
      <c r="L141" s="144" t="n">
        <v>38</v>
      </c>
      <c r="M141" s="1" t="n">
        <v>5</v>
      </c>
      <c r="N141" s="1" t="n">
        <v>5</v>
      </c>
      <c r="O141" s="149" t="n">
        <v>1</v>
      </c>
    </row>
    <row r="142" customFormat="false" ht="14.25" hidden="false" customHeight="false" outlineLevel="0" collapsed="false">
      <c r="A142" s="1" t="n">
        <v>159</v>
      </c>
      <c r="B142" s="1" t="s">
        <v>473</v>
      </c>
      <c r="C142" s="143" t="n">
        <v>11490</v>
      </c>
      <c r="D142" s="143" t="s">
        <v>65</v>
      </c>
      <c r="E142" s="143" t="s">
        <v>474</v>
      </c>
      <c r="F142" s="144" t="n">
        <v>200025888291</v>
      </c>
      <c r="G142" s="144" t="s">
        <v>231</v>
      </c>
      <c r="H142" s="144" t="n">
        <v>38</v>
      </c>
      <c r="I142" s="144" t="s">
        <v>152</v>
      </c>
      <c r="J142" s="148" t="n">
        <v>45056.3412384259</v>
      </c>
      <c r="K142" s="1" t="n">
        <v>1</v>
      </c>
      <c r="L142" s="144" t="n">
        <v>38</v>
      </c>
      <c r="M142" s="1" t="n">
        <v>5</v>
      </c>
      <c r="N142" s="1" t="n">
        <v>5</v>
      </c>
      <c r="O142" s="149" t="n">
        <v>2</v>
      </c>
    </row>
    <row r="143" customFormat="false" ht="14.25" hidden="false" customHeight="false" outlineLevel="0" collapsed="false">
      <c r="A143" s="1" t="n">
        <v>531</v>
      </c>
      <c r="B143" s="1" t="s">
        <v>473</v>
      </c>
      <c r="C143" s="143" t="n">
        <v>11490</v>
      </c>
      <c r="D143" s="143" t="s">
        <v>65</v>
      </c>
      <c r="E143" s="143" t="s">
        <v>474</v>
      </c>
      <c r="F143" s="144" t="n">
        <v>200025888291</v>
      </c>
      <c r="G143" s="144" t="s">
        <v>231</v>
      </c>
      <c r="H143" s="144" t="n">
        <v>38</v>
      </c>
      <c r="I143" s="144" t="s">
        <v>152</v>
      </c>
      <c r="J143" s="148" t="n">
        <v>45058.3446180556</v>
      </c>
      <c r="K143" s="1" t="n">
        <v>1</v>
      </c>
      <c r="L143" s="144" t="n">
        <v>38</v>
      </c>
      <c r="M143" s="1" t="n">
        <v>5</v>
      </c>
      <c r="N143" s="1" t="n">
        <v>5</v>
      </c>
      <c r="O143" s="149" t="n">
        <v>3</v>
      </c>
    </row>
    <row r="144" customFormat="false" ht="14.25" hidden="false" customHeight="false" outlineLevel="0" collapsed="false">
      <c r="A144" s="1" t="n">
        <v>17</v>
      </c>
      <c r="B144" s="1" t="s">
        <v>473</v>
      </c>
      <c r="C144" s="143" t="n">
        <v>11490</v>
      </c>
      <c r="D144" s="143" t="s">
        <v>65</v>
      </c>
      <c r="E144" s="143" t="s">
        <v>474</v>
      </c>
      <c r="F144" s="144" t="n">
        <v>200025889127</v>
      </c>
      <c r="G144" s="144" t="s">
        <v>386</v>
      </c>
      <c r="H144" s="144" t="n">
        <v>39</v>
      </c>
      <c r="I144" s="144" t="s">
        <v>152</v>
      </c>
      <c r="J144" s="148" t="n">
        <v>45055.5691666667</v>
      </c>
      <c r="K144" s="1" t="n">
        <v>1</v>
      </c>
      <c r="L144" s="144" t="n">
        <v>39</v>
      </c>
      <c r="M144" s="1" t="n">
        <v>6</v>
      </c>
      <c r="N144" s="1" t="n">
        <v>6</v>
      </c>
      <c r="O144" s="149" t="n">
        <v>1</v>
      </c>
    </row>
    <row r="145" customFormat="false" ht="14.25" hidden="false" customHeight="false" outlineLevel="0" collapsed="false">
      <c r="A145" s="1" t="n">
        <v>18</v>
      </c>
      <c r="B145" s="1" t="s">
        <v>473</v>
      </c>
      <c r="C145" s="143" t="n">
        <v>11490</v>
      </c>
      <c r="D145" s="143" t="s">
        <v>65</v>
      </c>
      <c r="E145" s="143" t="s">
        <v>474</v>
      </c>
      <c r="F145" s="144" t="n">
        <v>200025889127</v>
      </c>
      <c r="G145" s="144" t="s">
        <v>386</v>
      </c>
      <c r="H145" s="144" t="n">
        <v>39</v>
      </c>
      <c r="I145" s="144" t="s">
        <v>152</v>
      </c>
      <c r="J145" s="148" t="n">
        <v>45055.6684606482</v>
      </c>
      <c r="K145" s="1" t="n">
        <v>1</v>
      </c>
      <c r="L145" s="144" t="n">
        <v>39</v>
      </c>
      <c r="M145" s="1" t="n">
        <v>6</v>
      </c>
      <c r="N145" s="1" t="n">
        <v>6</v>
      </c>
      <c r="O145" s="149" t="n">
        <v>2</v>
      </c>
    </row>
    <row r="146" customFormat="false" ht="14.25" hidden="false" customHeight="false" outlineLevel="0" collapsed="false">
      <c r="A146" s="1" t="n">
        <v>26</v>
      </c>
      <c r="B146" s="1" t="s">
        <v>478</v>
      </c>
      <c r="C146" s="143" t="n">
        <v>11171</v>
      </c>
      <c r="D146" s="143" t="s">
        <v>74</v>
      </c>
      <c r="E146" s="143" t="s">
        <v>474</v>
      </c>
      <c r="F146" s="144" t="n">
        <v>200025889127</v>
      </c>
      <c r="G146" s="144" t="s">
        <v>386</v>
      </c>
      <c r="H146" s="144" t="n">
        <v>39</v>
      </c>
      <c r="I146" s="144" t="s">
        <v>152</v>
      </c>
      <c r="J146" s="148" t="n">
        <v>45057.0928125</v>
      </c>
      <c r="K146" s="1" t="n">
        <v>3</v>
      </c>
      <c r="L146" s="144" t="n">
        <v>39</v>
      </c>
      <c r="M146" s="1" t="n">
        <v>6</v>
      </c>
      <c r="N146" s="1" t="n">
        <v>6</v>
      </c>
      <c r="O146" s="149" t="n">
        <v>3</v>
      </c>
    </row>
    <row r="147" customFormat="false" ht="14.25" hidden="false" customHeight="false" outlineLevel="0" collapsed="false">
      <c r="A147" s="1" t="n">
        <v>29</v>
      </c>
      <c r="B147" s="1" t="s">
        <v>478</v>
      </c>
      <c r="C147" s="143" t="n">
        <v>11171</v>
      </c>
      <c r="D147" s="143" t="s">
        <v>74</v>
      </c>
      <c r="E147" s="143" t="s">
        <v>474</v>
      </c>
      <c r="F147" s="144" t="n">
        <v>200025889127</v>
      </c>
      <c r="G147" s="144" t="s">
        <v>386</v>
      </c>
      <c r="H147" s="144" t="n">
        <v>39</v>
      </c>
      <c r="I147" s="144" t="s">
        <v>152</v>
      </c>
      <c r="J147" s="148" t="n">
        <v>45057.136712963</v>
      </c>
      <c r="K147" s="1" t="n">
        <v>0</v>
      </c>
      <c r="L147" s="144" t="n">
        <v>39</v>
      </c>
      <c r="M147" s="1" t="n">
        <v>6</v>
      </c>
      <c r="N147" s="1" t="n">
        <v>6</v>
      </c>
      <c r="O147" s="149" t="n">
        <v>4</v>
      </c>
    </row>
    <row r="148" customFormat="false" ht="14.25" hidden="false" customHeight="false" outlineLevel="0" collapsed="false">
      <c r="A148" s="1" t="n">
        <v>31</v>
      </c>
      <c r="B148" s="1" t="s">
        <v>478</v>
      </c>
      <c r="C148" s="143" t="n">
        <v>11171</v>
      </c>
      <c r="D148" s="143" t="s">
        <v>74</v>
      </c>
      <c r="E148" s="143" t="s">
        <v>474</v>
      </c>
      <c r="F148" s="144" t="n">
        <v>200025889127</v>
      </c>
      <c r="G148" s="144" t="s">
        <v>386</v>
      </c>
      <c r="H148" s="144" t="n">
        <v>39</v>
      </c>
      <c r="I148" s="144" t="s">
        <v>152</v>
      </c>
      <c r="J148" s="148" t="n">
        <v>45057.2307291667</v>
      </c>
      <c r="K148" s="1" t="n">
        <v>3</v>
      </c>
      <c r="L148" s="144" t="n">
        <v>39</v>
      </c>
      <c r="M148" s="1" t="n">
        <v>6</v>
      </c>
      <c r="N148" s="1" t="n">
        <v>6</v>
      </c>
      <c r="O148" s="149" t="n">
        <v>5</v>
      </c>
    </row>
    <row r="149" customFormat="false" ht="14.25" hidden="false" customHeight="false" outlineLevel="0" collapsed="false">
      <c r="A149" s="1" t="n">
        <v>32</v>
      </c>
      <c r="B149" s="1" t="s">
        <v>478</v>
      </c>
      <c r="C149" s="143" t="n">
        <v>11171</v>
      </c>
      <c r="D149" s="143" t="s">
        <v>74</v>
      </c>
      <c r="E149" s="143" t="s">
        <v>474</v>
      </c>
      <c r="F149" s="144" t="n">
        <v>200025889127</v>
      </c>
      <c r="G149" s="144" t="s">
        <v>386</v>
      </c>
      <c r="H149" s="144" t="n">
        <v>39</v>
      </c>
      <c r="I149" s="144" t="s">
        <v>152</v>
      </c>
      <c r="J149" s="148" t="n">
        <v>45057.2359837963</v>
      </c>
      <c r="K149" s="1" t="n">
        <v>3</v>
      </c>
      <c r="L149" s="144" t="n">
        <v>39</v>
      </c>
      <c r="M149" s="1" t="n">
        <v>6</v>
      </c>
      <c r="N149" s="1" t="n">
        <v>6</v>
      </c>
      <c r="O149" s="149" t="n">
        <v>6</v>
      </c>
    </row>
    <row r="150" customFormat="false" ht="14.25" hidden="false" customHeight="false" outlineLevel="0" collapsed="false">
      <c r="A150" s="1" t="n">
        <v>35</v>
      </c>
      <c r="B150" s="1" t="s">
        <v>476</v>
      </c>
      <c r="C150" s="143" t="n">
        <v>11490</v>
      </c>
      <c r="D150" s="143" t="s">
        <v>65</v>
      </c>
      <c r="E150" s="143" t="s">
        <v>474</v>
      </c>
      <c r="F150" s="144" t="n">
        <v>200025889127</v>
      </c>
      <c r="G150" s="144" t="s">
        <v>386</v>
      </c>
      <c r="H150" s="144" t="n">
        <v>39</v>
      </c>
      <c r="I150" s="144" t="s">
        <v>152</v>
      </c>
      <c r="J150" s="148" t="n">
        <v>45067.4854861111</v>
      </c>
      <c r="K150" s="1" t="n">
        <v>1</v>
      </c>
      <c r="L150" s="144" t="n">
        <v>39</v>
      </c>
      <c r="M150" s="1" t="n">
        <v>6</v>
      </c>
      <c r="N150" s="1" t="n">
        <v>6</v>
      </c>
      <c r="O150" s="149" t="n">
        <v>8</v>
      </c>
    </row>
    <row r="151" customFormat="false" ht="14.25" hidden="false" customHeight="false" outlineLevel="0" collapsed="false">
      <c r="A151" s="1" t="n">
        <v>36</v>
      </c>
      <c r="B151" s="1" t="s">
        <v>476</v>
      </c>
      <c r="C151" s="143" t="n">
        <v>11490</v>
      </c>
      <c r="D151" s="143" t="s">
        <v>65</v>
      </c>
      <c r="E151" s="143" t="s">
        <v>474</v>
      </c>
      <c r="F151" s="144" t="n">
        <v>200025889127</v>
      </c>
      <c r="G151" s="144" t="s">
        <v>386</v>
      </c>
      <c r="H151" s="144" t="n">
        <v>39</v>
      </c>
      <c r="I151" s="144" t="s">
        <v>152</v>
      </c>
      <c r="J151" s="148" t="n">
        <v>45067.4858449074</v>
      </c>
      <c r="K151" s="1" t="n">
        <v>1</v>
      </c>
      <c r="L151" s="144" t="n">
        <v>39</v>
      </c>
      <c r="M151" s="1" t="n">
        <v>6</v>
      </c>
      <c r="N151" s="1" t="n">
        <v>6</v>
      </c>
      <c r="O151" s="149" t="n">
        <v>9</v>
      </c>
    </row>
    <row r="152" customFormat="false" ht="14.25" hidden="false" customHeight="false" outlineLevel="0" collapsed="false">
      <c r="A152" s="1" t="n">
        <v>9</v>
      </c>
      <c r="B152" s="1" t="s">
        <v>475</v>
      </c>
      <c r="C152" s="143" t="s">
        <v>52</v>
      </c>
      <c r="D152" s="143" t="s">
        <v>53</v>
      </c>
      <c r="E152" s="143" t="s">
        <v>474</v>
      </c>
      <c r="F152" s="144" t="n">
        <v>200025889059</v>
      </c>
      <c r="G152" s="144" t="s">
        <v>426</v>
      </c>
      <c r="H152" s="144" t="n">
        <v>54</v>
      </c>
      <c r="I152" s="144" t="s">
        <v>152</v>
      </c>
      <c r="J152" s="148" t="n">
        <v>45055.6764930556</v>
      </c>
      <c r="K152" s="1" t="n">
        <v>1</v>
      </c>
      <c r="L152" s="144" t="n">
        <v>54</v>
      </c>
      <c r="M152" s="1" t="n">
        <v>7</v>
      </c>
      <c r="N152" s="1" t="n">
        <v>7</v>
      </c>
      <c r="O152" s="149" t="n">
        <v>1</v>
      </c>
    </row>
    <row r="153" customFormat="false" ht="14.25" hidden="false" customHeight="false" outlineLevel="0" collapsed="false">
      <c r="A153" s="1" t="n">
        <v>10</v>
      </c>
      <c r="B153" s="1" t="s">
        <v>475</v>
      </c>
      <c r="C153" s="143" t="s">
        <v>52</v>
      </c>
      <c r="D153" s="143" t="s">
        <v>53</v>
      </c>
      <c r="E153" s="143" t="s">
        <v>474</v>
      </c>
      <c r="F153" s="144" t="n">
        <v>200025889059</v>
      </c>
      <c r="G153" s="144" t="s">
        <v>426</v>
      </c>
      <c r="H153" s="144" t="n">
        <v>54</v>
      </c>
      <c r="I153" s="144" t="s">
        <v>152</v>
      </c>
      <c r="J153" s="148" t="n">
        <v>45055.684537037</v>
      </c>
      <c r="K153" s="1" t="n">
        <v>1</v>
      </c>
      <c r="L153" s="144" t="n">
        <v>54</v>
      </c>
      <c r="M153" s="1" t="n">
        <v>7</v>
      </c>
      <c r="N153" s="1" t="n">
        <v>7</v>
      </c>
      <c r="O153" s="149" t="n">
        <v>2</v>
      </c>
    </row>
    <row r="154" customFormat="false" ht="14.25" hidden="false" customHeight="false" outlineLevel="0" collapsed="false">
      <c r="A154" s="1" t="n">
        <v>11</v>
      </c>
      <c r="B154" s="1" t="s">
        <v>475</v>
      </c>
      <c r="C154" s="143" t="s">
        <v>52</v>
      </c>
      <c r="D154" s="143" t="s">
        <v>53</v>
      </c>
      <c r="E154" s="143" t="s">
        <v>474</v>
      </c>
      <c r="F154" s="144" t="n">
        <v>200025889059</v>
      </c>
      <c r="G154" s="144" t="s">
        <v>426</v>
      </c>
      <c r="H154" s="144" t="n">
        <v>54</v>
      </c>
      <c r="I154" s="144" t="s">
        <v>152</v>
      </c>
      <c r="J154" s="148" t="n">
        <v>45055.6851388889</v>
      </c>
      <c r="K154" s="1" t="n">
        <v>2</v>
      </c>
      <c r="L154" s="144" t="n">
        <v>54</v>
      </c>
      <c r="M154" s="1" t="n">
        <v>7</v>
      </c>
      <c r="N154" s="1" t="n">
        <v>7</v>
      </c>
      <c r="O154" s="149" t="n">
        <v>3</v>
      </c>
    </row>
    <row r="155" customFormat="false" ht="14.25" hidden="false" customHeight="false" outlineLevel="0" collapsed="false">
      <c r="A155" s="1" t="n">
        <v>12</v>
      </c>
      <c r="B155" s="1" t="s">
        <v>475</v>
      </c>
      <c r="C155" s="143" t="s">
        <v>52</v>
      </c>
      <c r="D155" s="143" t="s">
        <v>53</v>
      </c>
      <c r="E155" s="143" t="s">
        <v>474</v>
      </c>
      <c r="F155" s="144" t="n">
        <v>200025889059</v>
      </c>
      <c r="G155" s="144" t="s">
        <v>426</v>
      </c>
      <c r="H155" s="144" t="n">
        <v>54</v>
      </c>
      <c r="I155" s="144" t="s">
        <v>152</v>
      </c>
      <c r="J155" s="148" t="n">
        <v>45055.6855324074</v>
      </c>
      <c r="K155" s="1" t="n">
        <v>0</v>
      </c>
      <c r="L155" s="144" t="n">
        <v>54</v>
      </c>
      <c r="M155" s="1" t="n">
        <v>7</v>
      </c>
      <c r="N155" s="1" t="n">
        <v>7</v>
      </c>
      <c r="O155" s="149" t="n">
        <v>4</v>
      </c>
    </row>
    <row r="156" customFormat="false" ht="14.25" hidden="false" customHeight="false" outlineLevel="0" collapsed="false">
      <c r="A156" s="1" t="n">
        <v>13</v>
      </c>
      <c r="B156" s="1" t="s">
        <v>475</v>
      </c>
      <c r="C156" s="143" t="s">
        <v>52</v>
      </c>
      <c r="D156" s="143" t="s">
        <v>53</v>
      </c>
      <c r="E156" s="143" t="s">
        <v>474</v>
      </c>
      <c r="F156" s="144" t="n">
        <v>200025889059</v>
      </c>
      <c r="G156" s="144" t="s">
        <v>426</v>
      </c>
      <c r="H156" s="144" t="n">
        <v>54</v>
      </c>
      <c r="I156" s="144" t="s">
        <v>152</v>
      </c>
      <c r="J156" s="148" t="n">
        <v>45055.6856481481</v>
      </c>
      <c r="K156" s="1" t="n">
        <v>3</v>
      </c>
      <c r="L156" s="144" t="n">
        <v>54</v>
      </c>
      <c r="M156" s="1" t="n">
        <v>7</v>
      </c>
      <c r="N156" s="1" t="n">
        <v>7</v>
      </c>
      <c r="O156" s="149" t="n">
        <v>5</v>
      </c>
    </row>
    <row r="157" customFormat="false" ht="14.25" hidden="false" customHeight="false" outlineLevel="0" collapsed="false">
      <c r="A157" s="1" t="n">
        <v>14</v>
      </c>
      <c r="B157" s="1" t="s">
        <v>475</v>
      </c>
      <c r="C157" s="143" t="s">
        <v>52</v>
      </c>
      <c r="D157" s="143" t="s">
        <v>53</v>
      </c>
      <c r="E157" s="143" t="s">
        <v>474</v>
      </c>
      <c r="F157" s="144" t="n">
        <v>200025889059</v>
      </c>
      <c r="G157" s="144" t="s">
        <v>426</v>
      </c>
      <c r="H157" s="144" t="n">
        <v>54</v>
      </c>
      <c r="I157" s="144" t="s">
        <v>152</v>
      </c>
      <c r="J157" s="148" t="n">
        <v>45055.6875</v>
      </c>
      <c r="K157" s="1" t="n">
        <v>1</v>
      </c>
      <c r="L157" s="144" t="n">
        <v>54</v>
      </c>
      <c r="M157" s="1" t="n">
        <v>7</v>
      </c>
      <c r="N157" s="1" t="n">
        <v>7</v>
      </c>
      <c r="O157" s="149" t="n">
        <v>6</v>
      </c>
    </row>
    <row r="158" customFormat="false" ht="14.25" hidden="false" customHeight="false" outlineLevel="0" collapsed="false">
      <c r="A158" s="1" t="n">
        <v>15</v>
      </c>
      <c r="B158" s="1" t="s">
        <v>475</v>
      </c>
      <c r="C158" s="143" t="s">
        <v>52</v>
      </c>
      <c r="D158" s="143" t="s">
        <v>53</v>
      </c>
      <c r="E158" s="143" t="s">
        <v>474</v>
      </c>
      <c r="F158" s="144" t="n">
        <v>200025889059</v>
      </c>
      <c r="G158" s="144" t="s">
        <v>426</v>
      </c>
      <c r="H158" s="144" t="n">
        <v>54</v>
      </c>
      <c r="I158" s="144" t="s">
        <v>152</v>
      </c>
      <c r="J158" s="148" t="n">
        <v>45055.6880324074</v>
      </c>
      <c r="K158" s="1" t="n">
        <v>1</v>
      </c>
      <c r="L158" s="144" t="n">
        <v>54</v>
      </c>
      <c r="M158" s="1" t="n">
        <v>7</v>
      </c>
      <c r="N158" s="1" t="n">
        <v>7</v>
      </c>
      <c r="O158" s="149" t="n">
        <v>7</v>
      </c>
    </row>
    <row r="159" customFormat="false" ht="14.25" hidden="false" customHeight="false" outlineLevel="0" collapsed="false">
      <c r="A159" s="1" t="n">
        <v>20</v>
      </c>
      <c r="B159" s="1" t="s">
        <v>473</v>
      </c>
      <c r="C159" s="143" t="n">
        <v>11490</v>
      </c>
      <c r="D159" s="143" t="s">
        <v>65</v>
      </c>
      <c r="E159" s="143" t="s">
        <v>474</v>
      </c>
      <c r="F159" s="144" t="n">
        <v>200025889059</v>
      </c>
      <c r="G159" s="144" t="s">
        <v>426</v>
      </c>
      <c r="H159" s="144" t="n">
        <v>54</v>
      </c>
      <c r="I159" s="144" t="s">
        <v>152</v>
      </c>
      <c r="J159" s="148" t="n">
        <v>45055.6893402778</v>
      </c>
      <c r="K159" s="1" t="n">
        <v>2</v>
      </c>
      <c r="L159" s="144" t="n">
        <v>54</v>
      </c>
      <c r="M159" s="1" t="n">
        <v>7</v>
      </c>
      <c r="N159" s="1" t="n">
        <v>7</v>
      </c>
      <c r="O159" s="149" t="n">
        <v>8</v>
      </c>
    </row>
    <row r="160" customFormat="false" ht="14.25" hidden="false" customHeight="false" outlineLevel="0" collapsed="false">
      <c r="A160" s="1" t="n">
        <v>21</v>
      </c>
      <c r="B160" s="1" t="s">
        <v>473</v>
      </c>
      <c r="C160" s="143" t="n">
        <v>11490</v>
      </c>
      <c r="D160" s="143" t="s">
        <v>65</v>
      </c>
      <c r="E160" s="143" t="s">
        <v>474</v>
      </c>
      <c r="F160" s="144" t="n">
        <v>200025889059</v>
      </c>
      <c r="G160" s="144" t="s">
        <v>426</v>
      </c>
      <c r="H160" s="144" t="n">
        <v>54</v>
      </c>
      <c r="I160" s="144" t="s">
        <v>152</v>
      </c>
      <c r="J160" s="148" t="n">
        <v>45055.6894444445</v>
      </c>
      <c r="K160" s="1" t="n">
        <v>2</v>
      </c>
      <c r="L160" s="144" t="n">
        <v>54</v>
      </c>
      <c r="M160" s="1" t="n">
        <v>7</v>
      </c>
      <c r="N160" s="1" t="n">
        <v>7</v>
      </c>
      <c r="O160" s="149" t="n">
        <v>9</v>
      </c>
    </row>
    <row r="161" customFormat="false" ht="14.25" hidden="false" customHeight="false" outlineLevel="0" collapsed="false">
      <c r="A161" s="1" t="n">
        <v>22</v>
      </c>
      <c r="B161" s="1" t="s">
        <v>473</v>
      </c>
      <c r="C161" s="143" t="n">
        <v>11490</v>
      </c>
      <c r="D161" s="143" t="s">
        <v>65</v>
      </c>
      <c r="E161" s="143" t="s">
        <v>474</v>
      </c>
      <c r="F161" s="144" t="n">
        <v>200025889059</v>
      </c>
      <c r="G161" s="144" t="s">
        <v>426</v>
      </c>
      <c r="H161" s="144" t="n">
        <v>54</v>
      </c>
      <c r="I161" s="144" t="s">
        <v>152</v>
      </c>
      <c r="J161" s="148" t="n">
        <v>45055.7146875</v>
      </c>
      <c r="K161" s="1" t="n">
        <v>2</v>
      </c>
      <c r="L161" s="144" t="n">
        <v>54</v>
      </c>
      <c r="M161" s="1" t="n">
        <v>7</v>
      </c>
      <c r="N161" s="1" t="n">
        <v>7</v>
      </c>
      <c r="O161" s="149" t="n">
        <v>10</v>
      </c>
    </row>
    <row r="162" customFormat="false" ht="14.25" hidden="false" customHeight="false" outlineLevel="0" collapsed="false">
      <c r="A162" s="1" t="n">
        <v>23</v>
      </c>
      <c r="B162" s="1" t="s">
        <v>473</v>
      </c>
      <c r="C162" s="143" t="n">
        <v>11490</v>
      </c>
      <c r="D162" s="143" t="s">
        <v>65</v>
      </c>
      <c r="E162" s="143" t="s">
        <v>474</v>
      </c>
      <c r="F162" s="144" t="n">
        <v>200025889059</v>
      </c>
      <c r="G162" s="144" t="s">
        <v>426</v>
      </c>
      <c r="H162" s="144" t="n">
        <v>54</v>
      </c>
      <c r="I162" s="144" t="s">
        <v>152</v>
      </c>
      <c r="J162" s="148" t="n">
        <v>45055.7200578704</v>
      </c>
      <c r="K162" s="1" t="n">
        <v>1</v>
      </c>
      <c r="L162" s="144" t="n">
        <v>54</v>
      </c>
      <c r="M162" s="1" t="n">
        <v>7</v>
      </c>
      <c r="N162" s="1" t="n">
        <v>7</v>
      </c>
      <c r="O162" s="149" t="n">
        <v>11</v>
      </c>
    </row>
    <row r="163" customFormat="false" ht="14.25" hidden="false" customHeight="false" outlineLevel="0" collapsed="false">
      <c r="A163" s="1" t="n">
        <v>24</v>
      </c>
      <c r="B163" s="1" t="s">
        <v>475</v>
      </c>
      <c r="C163" s="143" t="s">
        <v>52</v>
      </c>
      <c r="D163" s="143" t="s">
        <v>53</v>
      </c>
      <c r="E163" s="143" t="s">
        <v>474</v>
      </c>
      <c r="F163" s="144" t="n">
        <v>200025889059</v>
      </c>
      <c r="G163" s="144" t="s">
        <v>426</v>
      </c>
      <c r="H163" s="144" t="n">
        <v>54</v>
      </c>
      <c r="I163" s="144" t="s">
        <v>152</v>
      </c>
      <c r="J163" s="148" t="n">
        <v>45055.8768171296</v>
      </c>
      <c r="K163" s="1" t="n">
        <v>1</v>
      </c>
      <c r="L163" s="144" t="n">
        <v>54</v>
      </c>
      <c r="M163" s="1" t="n">
        <v>7</v>
      </c>
      <c r="N163" s="1" t="n">
        <v>7</v>
      </c>
      <c r="O163" s="149" t="n">
        <v>12</v>
      </c>
    </row>
    <row r="164" customFormat="false" ht="14.25" hidden="false" customHeight="false" outlineLevel="0" collapsed="false">
      <c r="A164" s="1" t="n">
        <v>25</v>
      </c>
      <c r="B164" s="1" t="s">
        <v>475</v>
      </c>
      <c r="C164" s="143" t="s">
        <v>52</v>
      </c>
      <c r="D164" s="143" t="s">
        <v>53</v>
      </c>
      <c r="E164" s="143" t="s">
        <v>474</v>
      </c>
      <c r="F164" s="144" t="n">
        <v>200025889059</v>
      </c>
      <c r="G164" s="144" t="s">
        <v>426</v>
      </c>
      <c r="H164" s="144" t="n">
        <v>54</v>
      </c>
      <c r="I164" s="144" t="s">
        <v>152</v>
      </c>
      <c r="J164" s="148" t="n">
        <v>45055.8772222222</v>
      </c>
      <c r="K164" s="1" t="n">
        <v>2</v>
      </c>
      <c r="L164" s="144" t="n">
        <v>54</v>
      </c>
      <c r="M164" s="1" t="n">
        <v>7</v>
      </c>
      <c r="N164" s="1" t="n">
        <v>7</v>
      </c>
      <c r="O164" s="149" t="n">
        <v>13</v>
      </c>
    </row>
    <row r="165" customFormat="false" ht="14.25" hidden="false" customHeight="false" outlineLevel="0" collapsed="false">
      <c r="A165" s="1" t="n">
        <v>26</v>
      </c>
      <c r="B165" s="1" t="s">
        <v>475</v>
      </c>
      <c r="C165" s="143" t="s">
        <v>52</v>
      </c>
      <c r="D165" s="143" t="s">
        <v>53</v>
      </c>
      <c r="E165" s="143" t="s">
        <v>474</v>
      </c>
      <c r="F165" s="144" t="n">
        <v>200025889059</v>
      </c>
      <c r="G165" s="144" t="s">
        <v>426</v>
      </c>
      <c r="H165" s="144" t="n">
        <v>54</v>
      </c>
      <c r="I165" s="144" t="s">
        <v>152</v>
      </c>
      <c r="J165" s="148" t="n">
        <v>45055.8774884259</v>
      </c>
      <c r="K165" s="1" t="n">
        <v>1</v>
      </c>
      <c r="L165" s="144" t="n">
        <v>54</v>
      </c>
      <c r="M165" s="1" t="n">
        <v>7</v>
      </c>
      <c r="N165" s="1" t="n">
        <v>7</v>
      </c>
      <c r="O165" s="149" t="n">
        <v>14</v>
      </c>
    </row>
    <row r="166" customFormat="false" ht="14.25" hidden="false" customHeight="false" outlineLevel="0" collapsed="false">
      <c r="A166" s="1" t="n">
        <v>27</v>
      </c>
      <c r="B166" s="1" t="s">
        <v>475</v>
      </c>
      <c r="C166" s="143" t="s">
        <v>52</v>
      </c>
      <c r="D166" s="143" t="s">
        <v>53</v>
      </c>
      <c r="E166" s="143" t="s">
        <v>474</v>
      </c>
      <c r="F166" s="144" t="n">
        <v>200025889059</v>
      </c>
      <c r="G166" s="144" t="s">
        <v>426</v>
      </c>
      <c r="H166" s="144" t="n">
        <v>54</v>
      </c>
      <c r="I166" s="144" t="s">
        <v>152</v>
      </c>
      <c r="J166" s="148" t="n">
        <v>45055.8779282407</v>
      </c>
      <c r="K166" s="1" t="n">
        <v>1</v>
      </c>
      <c r="L166" s="144" t="n">
        <v>54</v>
      </c>
      <c r="M166" s="1" t="n">
        <v>7</v>
      </c>
      <c r="N166" s="1" t="n">
        <v>7</v>
      </c>
      <c r="O166" s="149" t="n">
        <v>15</v>
      </c>
    </row>
    <row r="167" customFormat="false" ht="14.25" hidden="false" customHeight="false" outlineLevel="0" collapsed="false">
      <c r="A167" s="1" t="n">
        <v>28</v>
      </c>
      <c r="B167" s="1" t="s">
        <v>475</v>
      </c>
      <c r="C167" s="143" t="s">
        <v>52</v>
      </c>
      <c r="D167" s="143" t="s">
        <v>53</v>
      </c>
      <c r="E167" s="143" t="s">
        <v>474</v>
      </c>
      <c r="F167" s="144" t="n">
        <v>200025889059</v>
      </c>
      <c r="G167" s="144" t="s">
        <v>426</v>
      </c>
      <c r="H167" s="144" t="n">
        <v>54</v>
      </c>
      <c r="I167" s="144" t="s">
        <v>152</v>
      </c>
      <c r="J167" s="148" t="n">
        <v>45055.8783564815</v>
      </c>
      <c r="K167" s="1" t="n">
        <v>1</v>
      </c>
      <c r="L167" s="144" t="n">
        <v>54</v>
      </c>
      <c r="M167" s="1" t="n">
        <v>7</v>
      </c>
      <c r="N167" s="1" t="n">
        <v>7</v>
      </c>
      <c r="O167" s="149" t="n">
        <v>16</v>
      </c>
    </row>
    <row r="168" customFormat="false" ht="14.25" hidden="false" customHeight="false" outlineLevel="0" collapsed="false">
      <c r="A168" s="1" t="n">
        <v>29</v>
      </c>
      <c r="B168" s="1" t="s">
        <v>475</v>
      </c>
      <c r="C168" s="143" t="s">
        <v>52</v>
      </c>
      <c r="D168" s="143" t="s">
        <v>53</v>
      </c>
      <c r="E168" s="143" t="s">
        <v>474</v>
      </c>
      <c r="F168" s="144" t="n">
        <v>200025889059</v>
      </c>
      <c r="G168" s="144" t="s">
        <v>426</v>
      </c>
      <c r="H168" s="144" t="n">
        <v>54</v>
      </c>
      <c r="I168" s="144" t="s">
        <v>152</v>
      </c>
      <c r="J168" s="148" t="n">
        <v>45055.8784490741</v>
      </c>
      <c r="K168" s="1" t="n">
        <v>1</v>
      </c>
      <c r="L168" s="144" t="n">
        <v>54</v>
      </c>
      <c r="M168" s="1" t="n">
        <v>7</v>
      </c>
      <c r="N168" s="1" t="n">
        <v>7</v>
      </c>
      <c r="O168" s="149" t="n">
        <v>17</v>
      </c>
    </row>
    <row r="169" customFormat="false" ht="14.25" hidden="false" customHeight="false" outlineLevel="0" collapsed="false">
      <c r="A169" s="1" t="n">
        <v>30</v>
      </c>
      <c r="B169" s="1" t="s">
        <v>475</v>
      </c>
      <c r="C169" s="143" t="s">
        <v>52</v>
      </c>
      <c r="D169" s="143" t="s">
        <v>53</v>
      </c>
      <c r="E169" s="143" t="s">
        <v>474</v>
      </c>
      <c r="F169" s="144" t="n">
        <v>200025889059</v>
      </c>
      <c r="G169" s="144" t="s">
        <v>426</v>
      </c>
      <c r="H169" s="144" t="n">
        <v>54</v>
      </c>
      <c r="I169" s="144" t="s">
        <v>152</v>
      </c>
      <c r="J169" s="148" t="n">
        <v>45055.8785763889</v>
      </c>
      <c r="K169" s="1" t="n">
        <v>1</v>
      </c>
      <c r="L169" s="144" t="n">
        <v>54</v>
      </c>
      <c r="M169" s="1" t="n">
        <v>7</v>
      </c>
      <c r="N169" s="1" t="n">
        <v>7</v>
      </c>
      <c r="O169" s="149" t="n">
        <v>18</v>
      </c>
    </row>
    <row r="170" customFormat="false" ht="14.25" hidden="false" customHeight="false" outlineLevel="0" collapsed="false">
      <c r="A170" s="1" t="n">
        <v>31</v>
      </c>
      <c r="B170" s="1" t="s">
        <v>475</v>
      </c>
      <c r="C170" s="143" t="s">
        <v>52</v>
      </c>
      <c r="D170" s="143" t="s">
        <v>53</v>
      </c>
      <c r="E170" s="143" t="s">
        <v>474</v>
      </c>
      <c r="F170" s="144" t="n">
        <v>200025889059</v>
      </c>
      <c r="G170" s="144" t="s">
        <v>426</v>
      </c>
      <c r="H170" s="144" t="n">
        <v>54</v>
      </c>
      <c r="I170" s="144" t="s">
        <v>152</v>
      </c>
      <c r="J170" s="148" t="n">
        <v>45055.8793055556</v>
      </c>
      <c r="K170" s="1" t="n">
        <v>2</v>
      </c>
      <c r="L170" s="144" t="n">
        <v>54</v>
      </c>
      <c r="M170" s="1" t="n">
        <v>7</v>
      </c>
      <c r="N170" s="1" t="n">
        <v>7</v>
      </c>
      <c r="O170" s="149" t="n">
        <v>19</v>
      </c>
    </row>
    <row r="171" customFormat="false" ht="14.25" hidden="false" customHeight="false" outlineLevel="0" collapsed="false">
      <c r="A171" s="1" t="n">
        <v>32</v>
      </c>
      <c r="B171" s="1" t="s">
        <v>475</v>
      </c>
      <c r="C171" s="143" t="s">
        <v>52</v>
      </c>
      <c r="D171" s="143" t="s">
        <v>53</v>
      </c>
      <c r="E171" s="143" t="s">
        <v>474</v>
      </c>
      <c r="F171" s="144" t="n">
        <v>200025889059</v>
      </c>
      <c r="G171" s="144" t="s">
        <v>426</v>
      </c>
      <c r="H171" s="144" t="n">
        <v>54</v>
      </c>
      <c r="I171" s="144" t="s">
        <v>152</v>
      </c>
      <c r="J171" s="148" t="n">
        <v>45055.8798611111</v>
      </c>
      <c r="K171" s="1" t="n">
        <v>1</v>
      </c>
      <c r="L171" s="144" t="n">
        <v>54</v>
      </c>
      <c r="M171" s="1" t="n">
        <v>7</v>
      </c>
      <c r="N171" s="1" t="n">
        <v>7</v>
      </c>
      <c r="O171" s="149" t="n">
        <v>20</v>
      </c>
    </row>
    <row r="172" customFormat="false" ht="14.25" hidden="false" customHeight="false" outlineLevel="0" collapsed="false">
      <c r="A172" s="1" t="n">
        <v>33</v>
      </c>
      <c r="B172" s="1" t="s">
        <v>475</v>
      </c>
      <c r="C172" s="143" t="s">
        <v>52</v>
      </c>
      <c r="D172" s="143" t="s">
        <v>53</v>
      </c>
      <c r="E172" s="143" t="s">
        <v>474</v>
      </c>
      <c r="F172" s="144" t="n">
        <v>200025889059</v>
      </c>
      <c r="G172" s="144" t="s">
        <v>426</v>
      </c>
      <c r="H172" s="144" t="n">
        <v>54</v>
      </c>
      <c r="I172" s="144" t="s">
        <v>152</v>
      </c>
      <c r="J172" s="148" t="n">
        <v>45055.8800694444</v>
      </c>
      <c r="K172" s="1" t="n">
        <v>1</v>
      </c>
      <c r="L172" s="144" t="n">
        <v>54</v>
      </c>
      <c r="M172" s="1" t="n">
        <v>7</v>
      </c>
      <c r="N172" s="1" t="n">
        <v>7</v>
      </c>
      <c r="O172" s="149" t="n">
        <v>21</v>
      </c>
    </row>
    <row r="173" customFormat="false" ht="14.25" hidden="false" customHeight="false" outlineLevel="0" collapsed="false">
      <c r="A173" s="1" t="n">
        <v>34</v>
      </c>
      <c r="B173" s="1" t="s">
        <v>475</v>
      </c>
      <c r="C173" s="143" t="s">
        <v>52</v>
      </c>
      <c r="D173" s="143" t="s">
        <v>53</v>
      </c>
      <c r="E173" s="143" t="s">
        <v>474</v>
      </c>
      <c r="F173" s="144" t="n">
        <v>200025889059</v>
      </c>
      <c r="G173" s="144" t="s">
        <v>426</v>
      </c>
      <c r="H173" s="144" t="n">
        <v>54</v>
      </c>
      <c r="I173" s="144" t="s">
        <v>152</v>
      </c>
      <c r="J173" s="148" t="n">
        <v>45055.8801736111</v>
      </c>
      <c r="K173" s="1" t="n">
        <v>1</v>
      </c>
      <c r="L173" s="144" t="n">
        <v>54</v>
      </c>
      <c r="M173" s="1" t="n">
        <v>7</v>
      </c>
      <c r="N173" s="1" t="n">
        <v>7</v>
      </c>
      <c r="O173" s="149" t="n">
        <v>22</v>
      </c>
    </row>
    <row r="174" customFormat="false" ht="14.25" hidden="false" customHeight="false" outlineLevel="0" collapsed="false">
      <c r="A174" s="1" t="n">
        <v>35</v>
      </c>
      <c r="B174" s="1" t="s">
        <v>475</v>
      </c>
      <c r="C174" s="143" t="s">
        <v>52</v>
      </c>
      <c r="D174" s="143" t="s">
        <v>53</v>
      </c>
      <c r="E174" s="143" t="s">
        <v>474</v>
      </c>
      <c r="F174" s="144" t="n">
        <v>200025889059</v>
      </c>
      <c r="G174" s="144" t="s">
        <v>426</v>
      </c>
      <c r="H174" s="144" t="n">
        <v>54</v>
      </c>
      <c r="I174" s="144" t="s">
        <v>152</v>
      </c>
      <c r="J174" s="148" t="n">
        <v>45055.8803935185</v>
      </c>
      <c r="K174" s="1" t="n">
        <v>2</v>
      </c>
      <c r="L174" s="144" t="n">
        <v>54</v>
      </c>
      <c r="M174" s="1" t="n">
        <v>7</v>
      </c>
      <c r="N174" s="1" t="n">
        <v>7</v>
      </c>
      <c r="O174" s="149" t="n">
        <v>23</v>
      </c>
    </row>
    <row r="175" customFormat="false" ht="14.25" hidden="false" customHeight="false" outlineLevel="0" collapsed="false">
      <c r="A175" s="1" t="n">
        <v>36</v>
      </c>
      <c r="B175" s="1" t="s">
        <v>475</v>
      </c>
      <c r="C175" s="143" t="s">
        <v>52</v>
      </c>
      <c r="D175" s="143" t="s">
        <v>53</v>
      </c>
      <c r="E175" s="143" t="s">
        <v>474</v>
      </c>
      <c r="F175" s="144" t="n">
        <v>200025889059</v>
      </c>
      <c r="G175" s="144" t="s">
        <v>426</v>
      </c>
      <c r="H175" s="144" t="n">
        <v>54</v>
      </c>
      <c r="I175" s="144" t="s">
        <v>152</v>
      </c>
      <c r="J175" s="148" t="n">
        <v>45055.8805555556</v>
      </c>
      <c r="K175" s="1" t="n">
        <v>1</v>
      </c>
      <c r="L175" s="144" t="n">
        <v>54</v>
      </c>
      <c r="M175" s="1" t="n">
        <v>7</v>
      </c>
      <c r="N175" s="1" t="n">
        <v>7</v>
      </c>
      <c r="O175" s="149" t="n">
        <v>24</v>
      </c>
    </row>
    <row r="176" customFormat="false" ht="14.25" hidden="false" customHeight="false" outlineLevel="0" collapsed="false">
      <c r="A176" s="1" t="n">
        <v>37</v>
      </c>
      <c r="B176" s="1" t="s">
        <v>475</v>
      </c>
      <c r="C176" s="143" t="s">
        <v>52</v>
      </c>
      <c r="D176" s="143" t="s">
        <v>53</v>
      </c>
      <c r="E176" s="143" t="s">
        <v>474</v>
      </c>
      <c r="F176" s="144" t="n">
        <v>200025889059</v>
      </c>
      <c r="G176" s="144" t="s">
        <v>426</v>
      </c>
      <c r="H176" s="144" t="n">
        <v>54</v>
      </c>
      <c r="I176" s="144" t="s">
        <v>152</v>
      </c>
      <c r="J176" s="148" t="n">
        <v>45055.8806018519</v>
      </c>
      <c r="K176" s="1" t="n">
        <v>1</v>
      </c>
      <c r="L176" s="144" t="n">
        <v>54</v>
      </c>
      <c r="M176" s="1" t="n">
        <v>7</v>
      </c>
      <c r="N176" s="1" t="n">
        <v>7</v>
      </c>
      <c r="O176" s="149" t="n">
        <v>25</v>
      </c>
    </row>
    <row r="177" customFormat="false" ht="14.25" hidden="false" customHeight="false" outlineLevel="0" collapsed="false">
      <c r="A177" s="1" t="n">
        <v>38</v>
      </c>
      <c r="B177" s="1" t="s">
        <v>475</v>
      </c>
      <c r="C177" s="143" t="s">
        <v>52</v>
      </c>
      <c r="D177" s="143" t="s">
        <v>53</v>
      </c>
      <c r="E177" s="143" t="s">
        <v>474</v>
      </c>
      <c r="F177" s="144" t="n">
        <v>200025889059</v>
      </c>
      <c r="G177" s="144" t="s">
        <v>426</v>
      </c>
      <c r="H177" s="144" t="n">
        <v>54</v>
      </c>
      <c r="I177" s="144" t="s">
        <v>152</v>
      </c>
      <c r="J177" s="148" t="n">
        <v>45055.8817476852</v>
      </c>
      <c r="K177" s="1" t="n">
        <v>2</v>
      </c>
      <c r="L177" s="144" t="n">
        <v>54</v>
      </c>
      <c r="M177" s="1" t="n">
        <v>7</v>
      </c>
      <c r="N177" s="1" t="n">
        <v>7</v>
      </c>
      <c r="O177" s="149" t="n">
        <v>26</v>
      </c>
    </row>
    <row r="178" customFormat="false" ht="14.25" hidden="false" customHeight="false" outlineLevel="0" collapsed="false">
      <c r="A178" s="1" t="n">
        <v>39</v>
      </c>
      <c r="B178" s="1" t="s">
        <v>475</v>
      </c>
      <c r="C178" s="143" t="s">
        <v>52</v>
      </c>
      <c r="D178" s="143" t="s">
        <v>53</v>
      </c>
      <c r="E178" s="143" t="s">
        <v>474</v>
      </c>
      <c r="F178" s="144" t="n">
        <v>200025889059</v>
      </c>
      <c r="G178" s="144" t="s">
        <v>426</v>
      </c>
      <c r="H178" s="144" t="n">
        <v>54</v>
      </c>
      <c r="I178" s="144" t="s">
        <v>152</v>
      </c>
      <c r="J178" s="148" t="n">
        <v>45055.8834722222</v>
      </c>
      <c r="K178" s="1" t="n">
        <v>2</v>
      </c>
      <c r="L178" s="144" t="n">
        <v>54</v>
      </c>
      <c r="M178" s="1" t="n">
        <v>7</v>
      </c>
      <c r="N178" s="1" t="n">
        <v>7</v>
      </c>
      <c r="O178" s="149" t="n">
        <v>27</v>
      </c>
    </row>
    <row r="179" customFormat="false" ht="14.25" hidden="false" customHeight="false" outlineLevel="0" collapsed="false">
      <c r="A179" s="1" t="n">
        <v>40</v>
      </c>
      <c r="B179" s="1" t="s">
        <v>475</v>
      </c>
      <c r="C179" s="143" t="s">
        <v>52</v>
      </c>
      <c r="D179" s="143" t="s">
        <v>53</v>
      </c>
      <c r="E179" s="143" t="s">
        <v>474</v>
      </c>
      <c r="F179" s="144" t="n">
        <v>200025889059</v>
      </c>
      <c r="G179" s="144" t="s">
        <v>426</v>
      </c>
      <c r="H179" s="144" t="n">
        <v>54</v>
      </c>
      <c r="I179" s="144" t="s">
        <v>152</v>
      </c>
      <c r="J179" s="148" t="n">
        <v>45055.8865509259</v>
      </c>
      <c r="K179" s="1" t="n">
        <v>2</v>
      </c>
      <c r="L179" s="144" t="n">
        <v>54</v>
      </c>
      <c r="M179" s="1" t="n">
        <v>7</v>
      </c>
      <c r="N179" s="1" t="n">
        <v>7</v>
      </c>
      <c r="O179" s="149" t="n">
        <v>28</v>
      </c>
    </row>
    <row r="180" customFormat="false" ht="14.25" hidden="false" customHeight="false" outlineLevel="0" collapsed="false">
      <c r="A180" s="1" t="n">
        <v>41</v>
      </c>
      <c r="B180" s="1" t="s">
        <v>475</v>
      </c>
      <c r="C180" s="143" t="s">
        <v>52</v>
      </c>
      <c r="D180" s="143" t="s">
        <v>53</v>
      </c>
      <c r="E180" s="143" t="s">
        <v>474</v>
      </c>
      <c r="F180" s="144" t="n">
        <v>200025889059</v>
      </c>
      <c r="G180" s="144" t="s">
        <v>426</v>
      </c>
      <c r="H180" s="144" t="n">
        <v>54</v>
      </c>
      <c r="I180" s="144" t="s">
        <v>152</v>
      </c>
      <c r="J180" s="148" t="n">
        <v>45055.8866782407</v>
      </c>
      <c r="K180" s="1" t="n">
        <v>0</v>
      </c>
      <c r="L180" s="144" t="n">
        <v>54</v>
      </c>
      <c r="M180" s="1" t="n">
        <v>7</v>
      </c>
      <c r="N180" s="1" t="n">
        <v>7</v>
      </c>
      <c r="O180" s="149" t="n">
        <v>29</v>
      </c>
    </row>
    <row r="181" customFormat="false" ht="14.25" hidden="false" customHeight="false" outlineLevel="0" collapsed="false">
      <c r="A181" s="1" t="n">
        <v>42</v>
      </c>
      <c r="B181" s="1" t="s">
        <v>475</v>
      </c>
      <c r="C181" s="143" t="s">
        <v>52</v>
      </c>
      <c r="D181" s="143" t="s">
        <v>53</v>
      </c>
      <c r="E181" s="143" t="s">
        <v>474</v>
      </c>
      <c r="F181" s="144" t="n">
        <v>200025889059</v>
      </c>
      <c r="G181" s="144" t="s">
        <v>426</v>
      </c>
      <c r="H181" s="144" t="n">
        <v>54</v>
      </c>
      <c r="I181" s="144" t="s">
        <v>152</v>
      </c>
      <c r="J181" s="148" t="n">
        <v>45055.8870601852</v>
      </c>
      <c r="K181" s="1" t="n">
        <v>2</v>
      </c>
      <c r="L181" s="144" t="n">
        <v>54</v>
      </c>
      <c r="M181" s="1" t="n">
        <v>7</v>
      </c>
      <c r="N181" s="1" t="n">
        <v>7</v>
      </c>
      <c r="O181" s="149" t="n">
        <v>30</v>
      </c>
    </row>
    <row r="182" customFormat="false" ht="14.25" hidden="false" customHeight="false" outlineLevel="0" collapsed="false">
      <c r="A182" s="1" t="n">
        <v>43</v>
      </c>
      <c r="B182" s="1" t="s">
        <v>475</v>
      </c>
      <c r="C182" s="143" t="s">
        <v>52</v>
      </c>
      <c r="D182" s="143" t="s">
        <v>53</v>
      </c>
      <c r="E182" s="143" t="s">
        <v>474</v>
      </c>
      <c r="F182" s="144" t="n">
        <v>200025889059</v>
      </c>
      <c r="G182" s="144" t="s">
        <v>426</v>
      </c>
      <c r="H182" s="144" t="n">
        <v>54</v>
      </c>
      <c r="I182" s="144" t="s">
        <v>152</v>
      </c>
      <c r="J182" s="148" t="n">
        <v>45055.8884722222</v>
      </c>
      <c r="K182" s="1" t="n">
        <v>0</v>
      </c>
      <c r="L182" s="144" t="n">
        <v>54</v>
      </c>
      <c r="M182" s="1" t="n">
        <v>7</v>
      </c>
      <c r="N182" s="1" t="n">
        <v>7</v>
      </c>
      <c r="O182" s="149" t="n">
        <v>31</v>
      </c>
    </row>
    <row r="183" customFormat="false" ht="14.25" hidden="false" customHeight="false" outlineLevel="0" collapsed="false">
      <c r="A183" s="1" t="n">
        <v>44</v>
      </c>
      <c r="B183" s="1" t="s">
        <v>475</v>
      </c>
      <c r="C183" s="143" t="s">
        <v>52</v>
      </c>
      <c r="D183" s="143" t="s">
        <v>53</v>
      </c>
      <c r="E183" s="143" t="s">
        <v>474</v>
      </c>
      <c r="F183" s="144" t="n">
        <v>200025889059</v>
      </c>
      <c r="G183" s="144" t="s">
        <v>426</v>
      </c>
      <c r="H183" s="144" t="n">
        <v>54</v>
      </c>
      <c r="I183" s="144" t="s">
        <v>152</v>
      </c>
      <c r="J183" s="148" t="n">
        <v>45055.8885532407</v>
      </c>
      <c r="K183" s="1" t="n">
        <v>2</v>
      </c>
      <c r="L183" s="144" t="n">
        <v>54</v>
      </c>
      <c r="M183" s="1" t="n">
        <v>7</v>
      </c>
      <c r="N183" s="1" t="n">
        <v>7</v>
      </c>
      <c r="O183" s="149" t="n">
        <v>32</v>
      </c>
    </row>
    <row r="184" customFormat="false" ht="14.25" hidden="false" customHeight="false" outlineLevel="0" collapsed="false">
      <c r="A184" s="1" t="n">
        <v>45</v>
      </c>
      <c r="B184" s="1" t="s">
        <v>475</v>
      </c>
      <c r="C184" s="143" t="s">
        <v>52</v>
      </c>
      <c r="D184" s="143" t="s">
        <v>53</v>
      </c>
      <c r="E184" s="143" t="s">
        <v>474</v>
      </c>
      <c r="F184" s="144" t="n">
        <v>200025889059</v>
      </c>
      <c r="G184" s="144" t="s">
        <v>426</v>
      </c>
      <c r="H184" s="144" t="n">
        <v>54</v>
      </c>
      <c r="I184" s="144" t="s">
        <v>152</v>
      </c>
      <c r="J184" s="148" t="n">
        <v>45055.8888194444</v>
      </c>
      <c r="K184" s="1" t="n">
        <v>1</v>
      </c>
      <c r="L184" s="144" t="n">
        <v>54</v>
      </c>
      <c r="M184" s="1" t="n">
        <v>7</v>
      </c>
      <c r="N184" s="1" t="n">
        <v>7</v>
      </c>
      <c r="O184" s="149" t="n">
        <v>33</v>
      </c>
    </row>
    <row r="185" customFormat="false" ht="14.25" hidden="false" customHeight="false" outlineLevel="0" collapsed="false">
      <c r="A185" s="1" t="n">
        <v>46</v>
      </c>
      <c r="B185" s="1" t="s">
        <v>475</v>
      </c>
      <c r="C185" s="143" t="s">
        <v>52</v>
      </c>
      <c r="D185" s="143" t="s">
        <v>53</v>
      </c>
      <c r="E185" s="143" t="s">
        <v>474</v>
      </c>
      <c r="F185" s="144" t="n">
        <v>200025889059</v>
      </c>
      <c r="G185" s="144" t="s">
        <v>426</v>
      </c>
      <c r="H185" s="144" t="n">
        <v>54</v>
      </c>
      <c r="I185" s="144" t="s">
        <v>152</v>
      </c>
      <c r="J185" s="148" t="n">
        <v>45055.8918287037</v>
      </c>
      <c r="K185" s="1" t="n">
        <v>1</v>
      </c>
      <c r="L185" s="144" t="n">
        <v>54</v>
      </c>
      <c r="M185" s="1" t="n">
        <v>7</v>
      </c>
      <c r="N185" s="1" t="n">
        <v>7</v>
      </c>
      <c r="O185" s="149" t="n">
        <v>34</v>
      </c>
    </row>
    <row r="186" customFormat="false" ht="14.25" hidden="false" customHeight="false" outlineLevel="0" collapsed="false">
      <c r="A186" s="1" t="n">
        <v>47</v>
      </c>
      <c r="B186" s="1" t="s">
        <v>475</v>
      </c>
      <c r="C186" s="143" t="s">
        <v>52</v>
      </c>
      <c r="D186" s="143" t="s">
        <v>53</v>
      </c>
      <c r="E186" s="143" t="s">
        <v>474</v>
      </c>
      <c r="F186" s="144" t="n">
        <v>200025889059</v>
      </c>
      <c r="G186" s="144" t="s">
        <v>426</v>
      </c>
      <c r="H186" s="144" t="n">
        <v>54</v>
      </c>
      <c r="I186" s="144" t="s">
        <v>152</v>
      </c>
      <c r="J186" s="148" t="n">
        <v>45055.9165162037</v>
      </c>
      <c r="K186" s="1" t="n">
        <v>0</v>
      </c>
      <c r="L186" s="144" t="n">
        <v>54</v>
      </c>
      <c r="M186" s="1" t="n">
        <v>7</v>
      </c>
      <c r="N186" s="1" t="n">
        <v>7</v>
      </c>
      <c r="O186" s="149" t="n">
        <v>35</v>
      </c>
    </row>
    <row r="187" customFormat="false" ht="14.25" hidden="false" customHeight="false" outlineLevel="0" collapsed="false">
      <c r="A187" s="1" t="n">
        <v>48</v>
      </c>
      <c r="B187" s="1" t="s">
        <v>475</v>
      </c>
      <c r="C187" s="143" t="s">
        <v>52</v>
      </c>
      <c r="D187" s="143" t="s">
        <v>53</v>
      </c>
      <c r="E187" s="143" t="s">
        <v>474</v>
      </c>
      <c r="F187" s="144" t="n">
        <v>200025889059</v>
      </c>
      <c r="G187" s="144" t="s">
        <v>426</v>
      </c>
      <c r="H187" s="144" t="n">
        <v>54</v>
      </c>
      <c r="I187" s="144" t="s">
        <v>152</v>
      </c>
      <c r="J187" s="148" t="n">
        <v>45055.9166435185</v>
      </c>
      <c r="K187" s="1" t="n">
        <v>5</v>
      </c>
      <c r="L187" s="144" t="n">
        <v>54</v>
      </c>
      <c r="M187" s="1" t="n">
        <v>7</v>
      </c>
      <c r="N187" s="1" t="n">
        <v>7</v>
      </c>
      <c r="O187" s="149" t="n">
        <v>36</v>
      </c>
    </row>
    <row r="188" customFormat="false" ht="14.25" hidden="false" customHeight="false" outlineLevel="0" collapsed="false">
      <c r="A188" s="1" t="n">
        <v>49</v>
      </c>
      <c r="B188" s="1" t="s">
        <v>475</v>
      </c>
      <c r="C188" s="143" t="s">
        <v>52</v>
      </c>
      <c r="D188" s="143" t="s">
        <v>53</v>
      </c>
      <c r="E188" s="143" t="s">
        <v>474</v>
      </c>
      <c r="F188" s="144" t="n">
        <v>200025889059</v>
      </c>
      <c r="G188" s="144" t="s">
        <v>426</v>
      </c>
      <c r="H188" s="144" t="n">
        <v>54</v>
      </c>
      <c r="I188" s="144" t="s">
        <v>152</v>
      </c>
      <c r="J188" s="148" t="n">
        <v>45055.9167592593</v>
      </c>
      <c r="K188" s="1" t="n">
        <v>1</v>
      </c>
      <c r="L188" s="144" t="n">
        <v>54</v>
      </c>
      <c r="M188" s="1" t="n">
        <v>7</v>
      </c>
      <c r="N188" s="1" t="n">
        <v>7</v>
      </c>
      <c r="O188" s="149" t="n">
        <v>37</v>
      </c>
    </row>
    <row r="189" customFormat="false" ht="14.25" hidden="false" customHeight="false" outlineLevel="0" collapsed="false">
      <c r="A189" s="1" t="n">
        <v>50</v>
      </c>
      <c r="B189" s="1" t="s">
        <v>475</v>
      </c>
      <c r="C189" s="143" t="s">
        <v>52</v>
      </c>
      <c r="D189" s="143" t="s">
        <v>53</v>
      </c>
      <c r="E189" s="143" t="s">
        <v>474</v>
      </c>
      <c r="F189" s="144" t="n">
        <v>200025889059</v>
      </c>
      <c r="G189" s="144" t="s">
        <v>426</v>
      </c>
      <c r="H189" s="144" t="n">
        <v>54</v>
      </c>
      <c r="I189" s="144" t="s">
        <v>152</v>
      </c>
      <c r="J189" s="148" t="n">
        <v>45055.9328935185</v>
      </c>
      <c r="K189" s="1" t="n">
        <v>2</v>
      </c>
      <c r="L189" s="144" t="n">
        <v>54</v>
      </c>
      <c r="M189" s="1" t="n">
        <v>7</v>
      </c>
      <c r="N189" s="1" t="n">
        <v>7</v>
      </c>
      <c r="O189" s="149" t="n">
        <v>38</v>
      </c>
    </row>
    <row r="190" customFormat="false" ht="14.25" hidden="false" customHeight="false" outlineLevel="0" collapsed="false">
      <c r="A190" s="1" t="n">
        <v>51</v>
      </c>
      <c r="B190" s="1" t="s">
        <v>475</v>
      </c>
      <c r="C190" s="143" t="s">
        <v>52</v>
      </c>
      <c r="D190" s="143" t="s">
        <v>53</v>
      </c>
      <c r="E190" s="143" t="s">
        <v>474</v>
      </c>
      <c r="F190" s="144" t="n">
        <v>200025889059</v>
      </c>
      <c r="G190" s="144" t="s">
        <v>426</v>
      </c>
      <c r="H190" s="144" t="n">
        <v>54</v>
      </c>
      <c r="I190" s="144" t="s">
        <v>152</v>
      </c>
      <c r="J190" s="148" t="n">
        <v>45055.9346527778</v>
      </c>
      <c r="K190" s="1" t="n">
        <v>4</v>
      </c>
      <c r="L190" s="144" t="n">
        <v>54</v>
      </c>
      <c r="M190" s="1" t="n">
        <v>7</v>
      </c>
      <c r="N190" s="1" t="n">
        <v>7</v>
      </c>
      <c r="O190" s="149" t="n">
        <v>39</v>
      </c>
    </row>
    <row r="191" customFormat="false" ht="14.25" hidden="false" customHeight="false" outlineLevel="0" collapsed="false">
      <c r="A191" s="1" t="n">
        <v>52</v>
      </c>
      <c r="B191" s="1" t="s">
        <v>475</v>
      </c>
      <c r="C191" s="143" t="s">
        <v>52</v>
      </c>
      <c r="D191" s="143" t="s">
        <v>53</v>
      </c>
      <c r="E191" s="143" t="s">
        <v>474</v>
      </c>
      <c r="F191" s="144" t="n">
        <v>200025889059</v>
      </c>
      <c r="G191" s="144" t="s">
        <v>426</v>
      </c>
      <c r="H191" s="144" t="n">
        <v>54</v>
      </c>
      <c r="I191" s="144" t="s">
        <v>152</v>
      </c>
      <c r="J191" s="148" t="n">
        <v>45055.9349305556</v>
      </c>
      <c r="K191" s="1" t="n">
        <v>1</v>
      </c>
      <c r="L191" s="144" t="n">
        <v>54</v>
      </c>
      <c r="M191" s="1" t="n">
        <v>7</v>
      </c>
      <c r="N191" s="1" t="n">
        <v>7</v>
      </c>
      <c r="O191" s="149" t="n">
        <v>40</v>
      </c>
    </row>
    <row r="192" customFormat="false" ht="14.25" hidden="false" customHeight="false" outlineLevel="0" collapsed="false">
      <c r="A192" s="1" t="n">
        <v>53</v>
      </c>
      <c r="B192" s="1" t="s">
        <v>475</v>
      </c>
      <c r="C192" s="143" t="s">
        <v>52</v>
      </c>
      <c r="D192" s="143" t="s">
        <v>53</v>
      </c>
      <c r="E192" s="143" t="s">
        <v>474</v>
      </c>
      <c r="F192" s="144" t="n">
        <v>200025889059</v>
      </c>
      <c r="G192" s="144" t="s">
        <v>426</v>
      </c>
      <c r="H192" s="144" t="n">
        <v>54</v>
      </c>
      <c r="I192" s="144" t="s">
        <v>152</v>
      </c>
      <c r="J192" s="148" t="n">
        <v>45055.9350925926</v>
      </c>
      <c r="K192" s="1" t="n">
        <v>1</v>
      </c>
      <c r="L192" s="144" t="n">
        <v>54</v>
      </c>
      <c r="M192" s="1" t="n">
        <v>7</v>
      </c>
      <c r="N192" s="1" t="n">
        <v>7</v>
      </c>
      <c r="O192" s="149" t="n">
        <v>41</v>
      </c>
    </row>
    <row r="193" customFormat="false" ht="14.25" hidden="false" customHeight="false" outlineLevel="0" collapsed="false">
      <c r="A193" s="1" t="n">
        <v>54</v>
      </c>
      <c r="B193" s="1" t="s">
        <v>475</v>
      </c>
      <c r="C193" s="143" t="s">
        <v>52</v>
      </c>
      <c r="D193" s="143" t="s">
        <v>53</v>
      </c>
      <c r="E193" s="143" t="s">
        <v>474</v>
      </c>
      <c r="F193" s="144" t="n">
        <v>200025889059</v>
      </c>
      <c r="G193" s="144" t="s">
        <v>426</v>
      </c>
      <c r="H193" s="144" t="n">
        <v>54</v>
      </c>
      <c r="I193" s="144" t="s">
        <v>152</v>
      </c>
      <c r="J193" s="148" t="n">
        <v>45055.9352777778</v>
      </c>
      <c r="K193" s="1" t="n">
        <v>1</v>
      </c>
      <c r="L193" s="144" t="n">
        <v>54</v>
      </c>
      <c r="M193" s="1" t="n">
        <v>7</v>
      </c>
      <c r="N193" s="1" t="n">
        <v>7</v>
      </c>
      <c r="O193" s="149" t="n">
        <v>42</v>
      </c>
    </row>
    <row r="194" customFormat="false" ht="14.25" hidden="false" customHeight="false" outlineLevel="0" collapsed="false">
      <c r="A194" s="1" t="n">
        <v>38</v>
      </c>
      <c r="B194" s="1" t="s">
        <v>473</v>
      </c>
      <c r="C194" s="143" t="n">
        <v>11490</v>
      </c>
      <c r="D194" s="143" t="s">
        <v>65</v>
      </c>
      <c r="E194" s="143" t="s">
        <v>474</v>
      </c>
      <c r="F194" s="144" t="n">
        <v>200025889059</v>
      </c>
      <c r="G194" s="144" t="s">
        <v>426</v>
      </c>
      <c r="H194" s="144" t="n">
        <v>54</v>
      </c>
      <c r="I194" s="144" t="s">
        <v>152</v>
      </c>
      <c r="J194" s="148" t="n">
        <v>45055.9683564815</v>
      </c>
      <c r="K194" s="1" t="n">
        <v>1</v>
      </c>
      <c r="L194" s="144" t="n">
        <v>54</v>
      </c>
      <c r="M194" s="1" t="n">
        <v>7</v>
      </c>
      <c r="N194" s="1" t="n">
        <v>7</v>
      </c>
      <c r="O194" s="149" t="n">
        <v>43</v>
      </c>
    </row>
    <row r="195" customFormat="false" ht="14.25" hidden="false" customHeight="false" outlineLevel="0" collapsed="false">
      <c r="A195" s="1" t="n">
        <v>39</v>
      </c>
      <c r="B195" s="1" t="s">
        <v>473</v>
      </c>
      <c r="C195" s="143" t="n">
        <v>11490</v>
      </c>
      <c r="D195" s="143" t="s">
        <v>65</v>
      </c>
      <c r="E195" s="143" t="s">
        <v>474</v>
      </c>
      <c r="F195" s="144" t="n">
        <v>200025889059</v>
      </c>
      <c r="G195" s="144" t="s">
        <v>426</v>
      </c>
      <c r="H195" s="144" t="n">
        <v>54</v>
      </c>
      <c r="I195" s="144" t="s">
        <v>152</v>
      </c>
      <c r="J195" s="148" t="n">
        <v>45055.9688425926</v>
      </c>
      <c r="K195" s="1" t="n">
        <v>1</v>
      </c>
      <c r="L195" s="144" t="n">
        <v>54</v>
      </c>
      <c r="M195" s="1" t="n">
        <v>7</v>
      </c>
      <c r="N195" s="1" t="n">
        <v>7</v>
      </c>
      <c r="O195" s="149" t="n">
        <v>44</v>
      </c>
    </row>
    <row r="196" customFormat="false" ht="14.25" hidden="false" customHeight="false" outlineLevel="0" collapsed="false">
      <c r="A196" s="1" t="n">
        <v>40</v>
      </c>
      <c r="B196" s="1" t="s">
        <v>473</v>
      </c>
      <c r="C196" s="143" t="n">
        <v>11490</v>
      </c>
      <c r="D196" s="143" t="s">
        <v>65</v>
      </c>
      <c r="E196" s="143" t="s">
        <v>474</v>
      </c>
      <c r="F196" s="144" t="n">
        <v>200025889059</v>
      </c>
      <c r="G196" s="144" t="s">
        <v>426</v>
      </c>
      <c r="H196" s="144" t="n">
        <v>54</v>
      </c>
      <c r="I196" s="144" t="s">
        <v>152</v>
      </c>
      <c r="J196" s="148" t="n">
        <v>45055.9688657407</v>
      </c>
      <c r="K196" s="1" t="n">
        <v>2</v>
      </c>
      <c r="L196" s="144" t="n">
        <v>54</v>
      </c>
      <c r="M196" s="1" t="n">
        <v>7</v>
      </c>
      <c r="N196" s="1" t="n">
        <v>7</v>
      </c>
      <c r="O196" s="149" t="n">
        <v>45</v>
      </c>
    </row>
    <row r="197" customFormat="false" ht="14.25" hidden="false" customHeight="false" outlineLevel="0" collapsed="false">
      <c r="A197" s="1" t="n">
        <v>55</v>
      </c>
      <c r="B197" s="1" t="s">
        <v>475</v>
      </c>
      <c r="C197" s="143" t="s">
        <v>52</v>
      </c>
      <c r="D197" s="143" t="s">
        <v>53</v>
      </c>
      <c r="E197" s="143" t="s">
        <v>474</v>
      </c>
      <c r="F197" s="144" t="n">
        <v>200025889059</v>
      </c>
      <c r="G197" s="144" t="s">
        <v>426</v>
      </c>
      <c r="H197" s="144" t="n">
        <v>54</v>
      </c>
      <c r="I197" s="144" t="s">
        <v>152</v>
      </c>
      <c r="J197" s="148" t="n">
        <v>45055.9848726852</v>
      </c>
      <c r="K197" s="1" t="n">
        <v>3</v>
      </c>
      <c r="L197" s="144" t="n">
        <v>54</v>
      </c>
      <c r="M197" s="1" t="n">
        <v>7</v>
      </c>
      <c r="N197" s="1" t="n">
        <v>7</v>
      </c>
      <c r="O197" s="149" t="n">
        <v>46</v>
      </c>
    </row>
    <row r="198" customFormat="false" ht="14.25" hidden="false" customHeight="false" outlineLevel="0" collapsed="false">
      <c r="A198" s="1" t="n">
        <v>56</v>
      </c>
      <c r="B198" s="1" t="s">
        <v>475</v>
      </c>
      <c r="C198" s="143" t="s">
        <v>52</v>
      </c>
      <c r="D198" s="143" t="s">
        <v>53</v>
      </c>
      <c r="E198" s="143" t="s">
        <v>474</v>
      </c>
      <c r="F198" s="144" t="n">
        <v>200025889059</v>
      </c>
      <c r="G198" s="144" t="s">
        <v>426</v>
      </c>
      <c r="H198" s="144" t="n">
        <v>54</v>
      </c>
      <c r="I198" s="144" t="s">
        <v>152</v>
      </c>
      <c r="J198" s="148" t="n">
        <v>45055.9857986111</v>
      </c>
      <c r="K198" s="1" t="n">
        <v>1</v>
      </c>
      <c r="L198" s="144" t="n">
        <v>54</v>
      </c>
      <c r="M198" s="1" t="n">
        <v>7</v>
      </c>
      <c r="N198" s="1" t="n">
        <v>7</v>
      </c>
      <c r="O198" s="149" t="n">
        <v>47</v>
      </c>
    </row>
    <row r="199" customFormat="false" ht="14.25" hidden="false" customHeight="false" outlineLevel="0" collapsed="false">
      <c r="A199" s="1" t="n">
        <v>57</v>
      </c>
      <c r="B199" s="1" t="s">
        <v>475</v>
      </c>
      <c r="C199" s="143" t="s">
        <v>52</v>
      </c>
      <c r="D199" s="143" t="s">
        <v>53</v>
      </c>
      <c r="E199" s="143" t="s">
        <v>474</v>
      </c>
      <c r="F199" s="144" t="n">
        <v>200025889059</v>
      </c>
      <c r="G199" s="144" t="s">
        <v>426</v>
      </c>
      <c r="H199" s="144" t="n">
        <v>54</v>
      </c>
      <c r="I199" s="144" t="s">
        <v>152</v>
      </c>
      <c r="J199" s="148" t="n">
        <v>45055.9859027778</v>
      </c>
      <c r="K199" s="1" t="n">
        <v>1</v>
      </c>
      <c r="L199" s="144" t="n">
        <v>54</v>
      </c>
      <c r="M199" s="1" t="n">
        <v>7</v>
      </c>
      <c r="N199" s="1" t="n">
        <v>7</v>
      </c>
      <c r="O199" s="149" t="n">
        <v>48</v>
      </c>
    </row>
    <row r="200" customFormat="false" ht="14.25" hidden="false" customHeight="false" outlineLevel="0" collapsed="false">
      <c r="A200" s="1" t="n">
        <v>58</v>
      </c>
      <c r="B200" s="1" t="s">
        <v>475</v>
      </c>
      <c r="C200" s="143" t="s">
        <v>52</v>
      </c>
      <c r="D200" s="143" t="s">
        <v>53</v>
      </c>
      <c r="E200" s="143" t="s">
        <v>474</v>
      </c>
      <c r="F200" s="144" t="n">
        <v>200025889059</v>
      </c>
      <c r="G200" s="144" t="s">
        <v>426</v>
      </c>
      <c r="H200" s="144" t="n">
        <v>54</v>
      </c>
      <c r="I200" s="144" t="s">
        <v>152</v>
      </c>
      <c r="J200" s="148" t="n">
        <v>45055.9862152778</v>
      </c>
      <c r="K200" s="1" t="n">
        <v>0</v>
      </c>
      <c r="L200" s="144" t="n">
        <v>54</v>
      </c>
      <c r="M200" s="1" t="n">
        <v>7</v>
      </c>
      <c r="N200" s="1" t="n">
        <v>7</v>
      </c>
      <c r="O200" s="149" t="n">
        <v>49</v>
      </c>
    </row>
    <row r="201" customFormat="false" ht="14.25" hidden="false" customHeight="false" outlineLevel="0" collapsed="false">
      <c r="A201" s="1" t="n">
        <v>13</v>
      </c>
      <c r="B201" s="1" t="s">
        <v>476</v>
      </c>
      <c r="C201" s="143" t="s">
        <v>58</v>
      </c>
      <c r="D201" s="143" t="s">
        <v>59</v>
      </c>
      <c r="E201" s="143" t="s">
        <v>474</v>
      </c>
      <c r="F201" s="144" t="n">
        <v>200025889059</v>
      </c>
      <c r="G201" s="144" t="s">
        <v>426</v>
      </c>
      <c r="H201" s="144" t="n">
        <v>54</v>
      </c>
      <c r="I201" s="144" t="s">
        <v>152</v>
      </c>
      <c r="J201" s="148" t="n">
        <v>45056.0035069444</v>
      </c>
      <c r="K201" s="1" t="n">
        <v>2</v>
      </c>
      <c r="L201" s="144" t="n">
        <v>54</v>
      </c>
      <c r="M201" s="1" t="n">
        <v>7</v>
      </c>
      <c r="N201" s="1" t="n">
        <v>7</v>
      </c>
      <c r="O201" s="149" t="n">
        <v>50</v>
      </c>
    </row>
    <row r="202" customFormat="false" ht="14.25" hidden="false" customHeight="false" outlineLevel="0" collapsed="false">
      <c r="A202" s="1" t="n">
        <v>14</v>
      </c>
      <c r="B202" s="1" t="s">
        <v>476</v>
      </c>
      <c r="C202" s="143" t="s">
        <v>58</v>
      </c>
      <c r="D202" s="143" t="s">
        <v>59</v>
      </c>
      <c r="E202" s="143" t="s">
        <v>474</v>
      </c>
      <c r="F202" s="144" t="n">
        <v>200025889059</v>
      </c>
      <c r="G202" s="144" t="s">
        <v>426</v>
      </c>
      <c r="H202" s="144" t="n">
        <v>54</v>
      </c>
      <c r="I202" s="144" t="s">
        <v>152</v>
      </c>
      <c r="J202" s="148" t="n">
        <v>45056.0040625</v>
      </c>
      <c r="K202" s="1" t="n">
        <v>0</v>
      </c>
      <c r="L202" s="144" t="n">
        <v>54</v>
      </c>
      <c r="M202" s="1" t="n">
        <v>7</v>
      </c>
      <c r="N202" s="1" t="n">
        <v>7</v>
      </c>
      <c r="O202" s="149" t="n">
        <v>51</v>
      </c>
    </row>
    <row r="203" customFormat="false" ht="14.25" hidden="false" customHeight="false" outlineLevel="0" collapsed="false">
      <c r="A203" s="1" t="n">
        <v>15</v>
      </c>
      <c r="B203" s="1" t="s">
        <v>476</v>
      </c>
      <c r="C203" s="143" t="s">
        <v>58</v>
      </c>
      <c r="D203" s="143" t="s">
        <v>59</v>
      </c>
      <c r="E203" s="143" t="s">
        <v>474</v>
      </c>
      <c r="F203" s="144" t="n">
        <v>200025889059</v>
      </c>
      <c r="G203" s="144" t="s">
        <v>426</v>
      </c>
      <c r="H203" s="144" t="n">
        <v>54</v>
      </c>
      <c r="I203" s="144" t="s">
        <v>152</v>
      </c>
      <c r="J203" s="148" t="n">
        <v>45056.0043634259</v>
      </c>
      <c r="K203" s="1" t="n">
        <v>1</v>
      </c>
      <c r="L203" s="144" t="n">
        <v>54</v>
      </c>
      <c r="M203" s="1" t="n">
        <v>7</v>
      </c>
      <c r="N203" s="1" t="n">
        <v>7</v>
      </c>
      <c r="O203" s="149" t="n">
        <v>52</v>
      </c>
    </row>
    <row r="204" customFormat="false" ht="14.25" hidden="false" customHeight="false" outlineLevel="0" collapsed="false">
      <c r="A204" s="1" t="n">
        <v>16</v>
      </c>
      <c r="B204" s="1" t="s">
        <v>476</v>
      </c>
      <c r="C204" s="143" t="s">
        <v>58</v>
      </c>
      <c r="D204" s="143" t="s">
        <v>59</v>
      </c>
      <c r="E204" s="143" t="s">
        <v>474</v>
      </c>
      <c r="F204" s="144" t="n">
        <v>200025889059</v>
      </c>
      <c r="G204" s="144" t="s">
        <v>426</v>
      </c>
      <c r="H204" s="144" t="n">
        <v>54</v>
      </c>
      <c r="I204" s="144" t="s">
        <v>152</v>
      </c>
      <c r="J204" s="148" t="n">
        <v>45056.0048958333</v>
      </c>
      <c r="K204" s="1" t="n">
        <v>0</v>
      </c>
      <c r="L204" s="144" t="n">
        <v>54</v>
      </c>
      <c r="M204" s="1" t="n">
        <v>7</v>
      </c>
      <c r="N204" s="1" t="n">
        <v>7</v>
      </c>
      <c r="O204" s="149" t="n">
        <v>53</v>
      </c>
    </row>
    <row r="205" customFormat="false" ht="14.25" hidden="false" customHeight="false" outlineLevel="0" collapsed="false">
      <c r="A205" s="1" t="n">
        <v>17</v>
      </c>
      <c r="B205" s="1" t="s">
        <v>476</v>
      </c>
      <c r="C205" s="143" t="s">
        <v>58</v>
      </c>
      <c r="D205" s="143" t="s">
        <v>59</v>
      </c>
      <c r="E205" s="143" t="s">
        <v>474</v>
      </c>
      <c r="F205" s="144" t="n">
        <v>200025889059</v>
      </c>
      <c r="G205" s="144" t="s">
        <v>426</v>
      </c>
      <c r="H205" s="144" t="n">
        <v>54</v>
      </c>
      <c r="I205" s="144" t="s">
        <v>152</v>
      </c>
      <c r="J205" s="148" t="n">
        <v>45056.0049884259</v>
      </c>
      <c r="K205" s="1" t="n">
        <v>2</v>
      </c>
      <c r="L205" s="144" t="n">
        <v>54</v>
      </c>
      <c r="M205" s="1" t="n">
        <v>7</v>
      </c>
      <c r="N205" s="1" t="n">
        <v>7</v>
      </c>
      <c r="O205" s="149" t="n">
        <v>54</v>
      </c>
    </row>
    <row r="206" customFormat="false" ht="14.25" hidden="false" customHeight="false" outlineLevel="0" collapsed="false">
      <c r="A206" s="1" t="n">
        <v>18</v>
      </c>
      <c r="B206" s="1" t="s">
        <v>476</v>
      </c>
      <c r="C206" s="143" t="s">
        <v>58</v>
      </c>
      <c r="D206" s="143" t="s">
        <v>59</v>
      </c>
      <c r="E206" s="143" t="s">
        <v>474</v>
      </c>
      <c r="F206" s="144" t="n">
        <v>200025889059</v>
      </c>
      <c r="G206" s="144" t="s">
        <v>426</v>
      </c>
      <c r="H206" s="144" t="n">
        <v>54</v>
      </c>
      <c r="I206" s="144" t="s">
        <v>152</v>
      </c>
      <c r="J206" s="148" t="n">
        <v>45056.0060185185</v>
      </c>
      <c r="K206" s="1" t="n">
        <v>1</v>
      </c>
      <c r="L206" s="144" t="n">
        <v>54</v>
      </c>
      <c r="M206" s="1" t="n">
        <v>7</v>
      </c>
      <c r="N206" s="1" t="n">
        <v>7</v>
      </c>
      <c r="O206" s="149" t="n">
        <v>55</v>
      </c>
    </row>
    <row r="207" customFormat="false" ht="14.25" hidden="false" customHeight="false" outlineLevel="0" collapsed="false">
      <c r="A207" s="1" t="n">
        <v>19</v>
      </c>
      <c r="B207" s="1" t="s">
        <v>476</v>
      </c>
      <c r="C207" s="143" t="s">
        <v>58</v>
      </c>
      <c r="D207" s="143" t="s">
        <v>59</v>
      </c>
      <c r="E207" s="143" t="s">
        <v>474</v>
      </c>
      <c r="F207" s="144" t="n">
        <v>200025889059</v>
      </c>
      <c r="G207" s="144" t="s">
        <v>426</v>
      </c>
      <c r="H207" s="144" t="n">
        <v>54</v>
      </c>
      <c r="I207" s="144" t="s">
        <v>152</v>
      </c>
      <c r="J207" s="148" t="n">
        <v>45056.0078472222</v>
      </c>
      <c r="K207" s="1" t="n">
        <v>0</v>
      </c>
      <c r="L207" s="144" t="n">
        <v>54</v>
      </c>
      <c r="M207" s="1" t="n">
        <v>7</v>
      </c>
      <c r="N207" s="1" t="n">
        <v>7</v>
      </c>
      <c r="O207" s="149" t="n">
        <v>56</v>
      </c>
    </row>
    <row r="208" customFormat="false" ht="14.25" hidden="false" customHeight="false" outlineLevel="0" collapsed="false">
      <c r="A208" s="1" t="n">
        <v>20</v>
      </c>
      <c r="B208" s="1" t="s">
        <v>476</v>
      </c>
      <c r="C208" s="143" t="s">
        <v>58</v>
      </c>
      <c r="D208" s="143" t="s">
        <v>59</v>
      </c>
      <c r="E208" s="143" t="s">
        <v>474</v>
      </c>
      <c r="F208" s="144" t="n">
        <v>200025889059</v>
      </c>
      <c r="G208" s="144" t="s">
        <v>426</v>
      </c>
      <c r="H208" s="144" t="n">
        <v>54</v>
      </c>
      <c r="I208" s="144" t="s">
        <v>152</v>
      </c>
      <c r="J208" s="148" t="n">
        <v>45056.0086111111</v>
      </c>
      <c r="K208" s="1" t="n">
        <v>1</v>
      </c>
      <c r="L208" s="144" t="n">
        <v>54</v>
      </c>
      <c r="M208" s="1" t="n">
        <v>7</v>
      </c>
      <c r="N208" s="1" t="n">
        <v>7</v>
      </c>
      <c r="O208" s="149" t="n">
        <v>57</v>
      </c>
    </row>
    <row r="209" customFormat="false" ht="14.25" hidden="false" customHeight="false" outlineLevel="0" collapsed="false">
      <c r="A209" s="1" t="n">
        <v>21</v>
      </c>
      <c r="B209" s="1" t="s">
        <v>476</v>
      </c>
      <c r="C209" s="143" t="s">
        <v>58</v>
      </c>
      <c r="D209" s="143" t="s">
        <v>59</v>
      </c>
      <c r="E209" s="143" t="s">
        <v>474</v>
      </c>
      <c r="F209" s="144" t="n">
        <v>200025889059</v>
      </c>
      <c r="G209" s="144" t="s">
        <v>426</v>
      </c>
      <c r="H209" s="144" t="n">
        <v>54</v>
      </c>
      <c r="I209" s="144" t="s">
        <v>152</v>
      </c>
      <c r="J209" s="148" t="n">
        <v>45056.0088888889</v>
      </c>
      <c r="K209" s="1" t="n">
        <v>1</v>
      </c>
      <c r="L209" s="144" t="n">
        <v>54</v>
      </c>
      <c r="M209" s="1" t="n">
        <v>7</v>
      </c>
      <c r="N209" s="1" t="n">
        <v>7</v>
      </c>
      <c r="O209" s="149" t="n">
        <v>58</v>
      </c>
    </row>
    <row r="210" customFormat="false" ht="14.25" hidden="false" customHeight="false" outlineLevel="0" collapsed="false">
      <c r="A210" s="1" t="n">
        <v>22</v>
      </c>
      <c r="B210" s="1" t="s">
        <v>476</v>
      </c>
      <c r="C210" s="143" t="s">
        <v>58</v>
      </c>
      <c r="D210" s="143" t="s">
        <v>59</v>
      </c>
      <c r="E210" s="143" t="s">
        <v>474</v>
      </c>
      <c r="F210" s="144" t="n">
        <v>200025889059</v>
      </c>
      <c r="G210" s="144" t="s">
        <v>426</v>
      </c>
      <c r="H210" s="144" t="n">
        <v>54</v>
      </c>
      <c r="I210" s="144" t="s">
        <v>152</v>
      </c>
      <c r="J210" s="148" t="n">
        <v>45056.0093402778</v>
      </c>
      <c r="K210" s="1" t="n">
        <v>2</v>
      </c>
      <c r="L210" s="144" t="n">
        <v>54</v>
      </c>
      <c r="M210" s="1" t="n">
        <v>7</v>
      </c>
      <c r="N210" s="1" t="n">
        <v>7</v>
      </c>
      <c r="O210" s="149" t="n">
        <v>59</v>
      </c>
    </row>
    <row r="211" customFormat="false" ht="14.25" hidden="false" customHeight="false" outlineLevel="0" collapsed="false">
      <c r="A211" s="1" t="n">
        <v>23</v>
      </c>
      <c r="B211" s="1" t="s">
        <v>476</v>
      </c>
      <c r="C211" s="143" t="s">
        <v>58</v>
      </c>
      <c r="D211" s="143" t="s">
        <v>59</v>
      </c>
      <c r="E211" s="143" t="s">
        <v>474</v>
      </c>
      <c r="F211" s="144" t="n">
        <v>200025889059</v>
      </c>
      <c r="G211" s="144" t="s">
        <v>426</v>
      </c>
      <c r="H211" s="144" t="n">
        <v>54</v>
      </c>
      <c r="I211" s="144" t="s">
        <v>152</v>
      </c>
      <c r="J211" s="148" t="n">
        <v>45056.0094212963</v>
      </c>
      <c r="K211" s="1" t="n">
        <v>4</v>
      </c>
      <c r="L211" s="144" t="n">
        <v>54</v>
      </c>
      <c r="M211" s="1" t="n">
        <v>7</v>
      </c>
      <c r="N211" s="1" t="n">
        <v>7</v>
      </c>
      <c r="O211" s="149" t="n">
        <v>60</v>
      </c>
    </row>
    <row r="212" customFormat="false" ht="14.25" hidden="false" customHeight="false" outlineLevel="0" collapsed="false">
      <c r="A212" s="1" t="n">
        <v>24</v>
      </c>
      <c r="B212" s="1" t="s">
        <v>476</v>
      </c>
      <c r="C212" s="143" t="s">
        <v>58</v>
      </c>
      <c r="D212" s="143" t="s">
        <v>59</v>
      </c>
      <c r="E212" s="143" t="s">
        <v>474</v>
      </c>
      <c r="F212" s="144" t="n">
        <v>200025889059</v>
      </c>
      <c r="G212" s="144" t="s">
        <v>426</v>
      </c>
      <c r="H212" s="144" t="n">
        <v>54</v>
      </c>
      <c r="I212" s="144" t="s">
        <v>152</v>
      </c>
      <c r="J212" s="148" t="n">
        <v>45056.0094328704</v>
      </c>
      <c r="K212" s="1" t="n">
        <v>1</v>
      </c>
      <c r="L212" s="144" t="n">
        <v>54</v>
      </c>
      <c r="M212" s="1" t="n">
        <v>7</v>
      </c>
      <c r="N212" s="1" t="n">
        <v>7</v>
      </c>
      <c r="O212" s="149" t="n">
        <v>61</v>
      </c>
    </row>
    <row r="213" customFormat="false" ht="14.25" hidden="false" customHeight="false" outlineLevel="0" collapsed="false">
      <c r="A213" s="1" t="n">
        <v>25</v>
      </c>
      <c r="B213" s="1" t="s">
        <v>476</v>
      </c>
      <c r="C213" s="143" t="s">
        <v>58</v>
      </c>
      <c r="D213" s="143" t="s">
        <v>59</v>
      </c>
      <c r="E213" s="143" t="s">
        <v>474</v>
      </c>
      <c r="F213" s="144" t="n">
        <v>200025889059</v>
      </c>
      <c r="G213" s="144" t="s">
        <v>426</v>
      </c>
      <c r="H213" s="144" t="n">
        <v>54</v>
      </c>
      <c r="I213" s="144" t="s">
        <v>152</v>
      </c>
      <c r="J213" s="148" t="n">
        <v>45056.0097800926</v>
      </c>
      <c r="K213" s="1" t="n">
        <v>3</v>
      </c>
      <c r="L213" s="144" t="n">
        <v>54</v>
      </c>
      <c r="M213" s="1" t="n">
        <v>7</v>
      </c>
      <c r="N213" s="1" t="n">
        <v>7</v>
      </c>
      <c r="O213" s="149" t="n">
        <v>62</v>
      </c>
    </row>
    <row r="214" customFormat="false" ht="14.25" hidden="false" customHeight="false" outlineLevel="0" collapsed="false">
      <c r="A214" s="1" t="n">
        <v>26</v>
      </c>
      <c r="B214" s="1" t="s">
        <v>476</v>
      </c>
      <c r="C214" s="143" t="s">
        <v>58</v>
      </c>
      <c r="D214" s="143" t="s">
        <v>59</v>
      </c>
      <c r="E214" s="143" t="s">
        <v>474</v>
      </c>
      <c r="F214" s="144" t="n">
        <v>200025889059</v>
      </c>
      <c r="G214" s="144" t="s">
        <v>426</v>
      </c>
      <c r="H214" s="144" t="n">
        <v>54</v>
      </c>
      <c r="I214" s="144" t="s">
        <v>152</v>
      </c>
      <c r="J214" s="148" t="n">
        <v>45056.0100810185</v>
      </c>
      <c r="K214" s="1" t="n">
        <v>5</v>
      </c>
      <c r="L214" s="144" t="n">
        <v>54</v>
      </c>
      <c r="M214" s="1" t="n">
        <v>7</v>
      </c>
      <c r="N214" s="1" t="n">
        <v>7</v>
      </c>
      <c r="O214" s="149" t="n">
        <v>63</v>
      </c>
    </row>
    <row r="215" customFormat="false" ht="14.25" hidden="false" customHeight="false" outlineLevel="0" collapsed="false">
      <c r="A215" s="1" t="n">
        <v>27</v>
      </c>
      <c r="B215" s="1" t="s">
        <v>476</v>
      </c>
      <c r="C215" s="143" t="s">
        <v>58</v>
      </c>
      <c r="D215" s="143" t="s">
        <v>59</v>
      </c>
      <c r="E215" s="143" t="s">
        <v>474</v>
      </c>
      <c r="F215" s="144" t="n">
        <v>200025889059</v>
      </c>
      <c r="G215" s="144" t="s">
        <v>426</v>
      </c>
      <c r="H215" s="144" t="n">
        <v>54</v>
      </c>
      <c r="I215" s="144" t="s">
        <v>152</v>
      </c>
      <c r="J215" s="148" t="n">
        <v>45056.0102777778</v>
      </c>
      <c r="K215" s="1" t="n">
        <v>3</v>
      </c>
      <c r="L215" s="144" t="n">
        <v>54</v>
      </c>
      <c r="M215" s="1" t="n">
        <v>7</v>
      </c>
      <c r="N215" s="1" t="n">
        <v>7</v>
      </c>
      <c r="O215" s="149" t="n">
        <v>64</v>
      </c>
    </row>
    <row r="216" customFormat="false" ht="14.25" hidden="false" customHeight="false" outlineLevel="0" collapsed="false">
      <c r="A216" s="1" t="n">
        <v>28</v>
      </c>
      <c r="B216" s="1" t="s">
        <v>476</v>
      </c>
      <c r="C216" s="143" t="s">
        <v>58</v>
      </c>
      <c r="D216" s="143" t="s">
        <v>59</v>
      </c>
      <c r="E216" s="143" t="s">
        <v>474</v>
      </c>
      <c r="F216" s="144" t="n">
        <v>200025889059</v>
      </c>
      <c r="G216" s="144" t="s">
        <v>426</v>
      </c>
      <c r="H216" s="144" t="n">
        <v>54</v>
      </c>
      <c r="I216" s="144" t="s">
        <v>152</v>
      </c>
      <c r="J216" s="148" t="n">
        <v>45056.0108333333</v>
      </c>
      <c r="K216" s="1" t="n">
        <v>1</v>
      </c>
      <c r="L216" s="144" t="n">
        <v>54</v>
      </c>
      <c r="M216" s="1" t="n">
        <v>7</v>
      </c>
      <c r="N216" s="1" t="n">
        <v>7</v>
      </c>
      <c r="O216" s="149" t="n">
        <v>65</v>
      </c>
    </row>
    <row r="217" customFormat="false" ht="14.25" hidden="false" customHeight="false" outlineLevel="0" collapsed="false">
      <c r="A217" s="1" t="n">
        <v>29</v>
      </c>
      <c r="B217" s="1" t="s">
        <v>476</v>
      </c>
      <c r="C217" s="143" t="s">
        <v>58</v>
      </c>
      <c r="D217" s="143" t="s">
        <v>59</v>
      </c>
      <c r="E217" s="143" t="s">
        <v>474</v>
      </c>
      <c r="F217" s="144" t="n">
        <v>200025889059</v>
      </c>
      <c r="G217" s="144" t="s">
        <v>426</v>
      </c>
      <c r="H217" s="144" t="n">
        <v>54</v>
      </c>
      <c r="I217" s="144" t="s">
        <v>152</v>
      </c>
      <c r="J217" s="148" t="n">
        <v>45056.0111921296</v>
      </c>
      <c r="K217" s="1" t="n">
        <v>1</v>
      </c>
      <c r="L217" s="144" t="n">
        <v>54</v>
      </c>
      <c r="M217" s="1" t="n">
        <v>7</v>
      </c>
      <c r="N217" s="1" t="n">
        <v>7</v>
      </c>
      <c r="O217" s="149" t="n">
        <v>66</v>
      </c>
    </row>
    <row r="218" customFormat="false" ht="14.25" hidden="false" customHeight="false" outlineLevel="0" collapsed="false">
      <c r="A218" s="1" t="n">
        <v>30</v>
      </c>
      <c r="B218" s="1" t="s">
        <v>476</v>
      </c>
      <c r="C218" s="143" t="s">
        <v>58</v>
      </c>
      <c r="D218" s="143" t="s">
        <v>59</v>
      </c>
      <c r="E218" s="143" t="s">
        <v>474</v>
      </c>
      <c r="F218" s="144" t="n">
        <v>200025889059</v>
      </c>
      <c r="G218" s="144" t="s">
        <v>426</v>
      </c>
      <c r="H218" s="144" t="n">
        <v>54</v>
      </c>
      <c r="I218" s="144" t="s">
        <v>152</v>
      </c>
      <c r="J218" s="148" t="n">
        <v>45056.0113541667</v>
      </c>
      <c r="K218" s="1" t="n">
        <v>1</v>
      </c>
      <c r="L218" s="144" t="n">
        <v>54</v>
      </c>
      <c r="M218" s="1" t="n">
        <v>7</v>
      </c>
      <c r="N218" s="1" t="n">
        <v>7</v>
      </c>
      <c r="O218" s="149" t="n">
        <v>67</v>
      </c>
    </row>
    <row r="219" customFormat="false" ht="14.25" hidden="false" customHeight="false" outlineLevel="0" collapsed="false">
      <c r="A219" s="1" t="n">
        <v>31</v>
      </c>
      <c r="B219" s="1" t="s">
        <v>476</v>
      </c>
      <c r="C219" s="143" t="s">
        <v>58</v>
      </c>
      <c r="D219" s="143" t="s">
        <v>59</v>
      </c>
      <c r="E219" s="143" t="s">
        <v>474</v>
      </c>
      <c r="F219" s="144" t="n">
        <v>200025889059</v>
      </c>
      <c r="G219" s="144" t="s">
        <v>426</v>
      </c>
      <c r="H219" s="144" t="n">
        <v>54</v>
      </c>
      <c r="I219" s="144" t="s">
        <v>152</v>
      </c>
      <c r="J219" s="148" t="n">
        <v>45056.011724537</v>
      </c>
      <c r="K219" s="1" t="n">
        <v>1</v>
      </c>
      <c r="L219" s="144" t="n">
        <v>54</v>
      </c>
      <c r="M219" s="1" t="n">
        <v>7</v>
      </c>
      <c r="N219" s="1" t="n">
        <v>7</v>
      </c>
      <c r="O219" s="149" t="n">
        <v>68</v>
      </c>
    </row>
    <row r="220" customFormat="false" ht="14.25" hidden="false" customHeight="false" outlineLevel="0" collapsed="false">
      <c r="A220" s="1" t="n">
        <v>32</v>
      </c>
      <c r="B220" s="1" t="s">
        <v>476</v>
      </c>
      <c r="C220" s="143" t="s">
        <v>58</v>
      </c>
      <c r="D220" s="143" t="s">
        <v>59</v>
      </c>
      <c r="E220" s="143" t="s">
        <v>474</v>
      </c>
      <c r="F220" s="144" t="n">
        <v>200025889059</v>
      </c>
      <c r="G220" s="144" t="s">
        <v>426</v>
      </c>
      <c r="H220" s="144" t="n">
        <v>54</v>
      </c>
      <c r="I220" s="144" t="s">
        <v>152</v>
      </c>
      <c r="J220" s="148" t="n">
        <v>45056.0118402778</v>
      </c>
      <c r="K220" s="1" t="n">
        <v>2</v>
      </c>
      <c r="L220" s="144" t="n">
        <v>54</v>
      </c>
      <c r="M220" s="1" t="n">
        <v>7</v>
      </c>
      <c r="N220" s="1" t="n">
        <v>7</v>
      </c>
      <c r="O220" s="149" t="n">
        <v>69</v>
      </c>
    </row>
    <row r="221" customFormat="false" ht="14.25" hidden="false" customHeight="false" outlineLevel="0" collapsed="false">
      <c r="A221" s="1" t="n">
        <v>33</v>
      </c>
      <c r="B221" s="1" t="s">
        <v>476</v>
      </c>
      <c r="C221" s="143" t="s">
        <v>58</v>
      </c>
      <c r="D221" s="143" t="s">
        <v>59</v>
      </c>
      <c r="E221" s="143" t="s">
        <v>474</v>
      </c>
      <c r="F221" s="144" t="n">
        <v>200025889059</v>
      </c>
      <c r="G221" s="144" t="s">
        <v>426</v>
      </c>
      <c r="H221" s="144" t="n">
        <v>54</v>
      </c>
      <c r="I221" s="144" t="s">
        <v>152</v>
      </c>
      <c r="J221" s="148" t="n">
        <v>45056.0130324074</v>
      </c>
      <c r="K221" s="1" t="n">
        <v>2</v>
      </c>
      <c r="L221" s="144" t="n">
        <v>54</v>
      </c>
      <c r="M221" s="1" t="n">
        <v>7</v>
      </c>
      <c r="N221" s="1" t="n">
        <v>7</v>
      </c>
      <c r="O221" s="149" t="n">
        <v>70</v>
      </c>
    </row>
    <row r="222" customFormat="false" ht="14.25" hidden="false" customHeight="false" outlineLevel="0" collapsed="false">
      <c r="A222" s="1" t="n">
        <v>34</v>
      </c>
      <c r="B222" s="1" t="s">
        <v>476</v>
      </c>
      <c r="C222" s="143" t="s">
        <v>58</v>
      </c>
      <c r="D222" s="143" t="s">
        <v>59</v>
      </c>
      <c r="E222" s="143" t="s">
        <v>474</v>
      </c>
      <c r="F222" s="144" t="n">
        <v>200025889059</v>
      </c>
      <c r="G222" s="144" t="s">
        <v>426</v>
      </c>
      <c r="H222" s="144" t="n">
        <v>54</v>
      </c>
      <c r="I222" s="144" t="s">
        <v>152</v>
      </c>
      <c r="J222" s="148" t="n">
        <v>45056.0145486111</v>
      </c>
      <c r="K222" s="1" t="n">
        <v>1</v>
      </c>
      <c r="L222" s="144" t="n">
        <v>54</v>
      </c>
      <c r="M222" s="1" t="n">
        <v>7</v>
      </c>
      <c r="N222" s="1" t="n">
        <v>7</v>
      </c>
      <c r="O222" s="149" t="n">
        <v>71</v>
      </c>
    </row>
    <row r="223" customFormat="false" ht="14.25" hidden="false" customHeight="false" outlineLevel="0" collapsed="false">
      <c r="A223" s="1" t="n">
        <v>35</v>
      </c>
      <c r="B223" s="1" t="s">
        <v>476</v>
      </c>
      <c r="C223" s="143" t="s">
        <v>58</v>
      </c>
      <c r="D223" s="143" t="s">
        <v>59</v>
      </c>
      <c r="E223" s="143" t="s">
        <v>474</v>
      </c>
      <c r="F223" s="144" t="n">
        <v>200025889059</v>
      </c>
      <c r="G223" s="144" t="s">
        <v>426</v>
      </c>
      <c r="H223" s="144" t="n">
        <v>54</v>
      </c>
      <c r="I223" s="144" t="s">
        <v>152</v>
      </c>
      <c r="J223" s="148" t="n">
        <v>45056.0150694444</v>
      </c>
      <c r="K223" s="1" t="n">
        <v>1</v>
      </c>
      <c r="L223" s="144" t="n">
        <v>54</v>
      </c>
      <c r="M223" s="1" t="n">
        <v>7</v>
      </c>
      <c r="N223" s="1" t="n">
        <v>7</v>
      </c>
      <c r="O223" s="149" t="n">
        <v>72</v>
      </c>
    </row>
    <row r="224" customFormat="false" ht="14.25" hidden="false" customHeight="false" outlineLevel="0" collapsed="false">
      <c r="A224" s="1" t="n">
        <v>36</v>
      </c>
      <c r="B224" s="1" t="s">
        <v>476</v>
      </c>
      <c r="C224" s="143" t="s">
        <v>58</v>
      </c>
      <c r="D224" s="143" t="s">
        <v>59</v>
      </c>
      <c r="E224" s="143" t="s">
        <v>474</v>
      </c>
      <c r="F224" s="144" t="n">
        <v>200025889059</v>
      </c>
      <c r="G224" s="144" t="s">
        <v>426</v>
      </c>
      <c r="H224" s="144" t="n">
        <v>54</v>
      </c>
      <c r="I224" s="144" t="s">
        <v>152</v>
      </c>
      <c r="J224" s="148" t="n">
        <v>45056.0159490741</v>
      </c>
      <c r="K224" s="1" t="n">
        <v>2</v>
      </c>
      <c r="L224" s="144" t="n">
        <v>54</v>
      </c>
      <c r="M224" s="1" t="n">
        <v>7</v>
      </c>
      <c r="N224" s="1" t="n">
        <v>7</v>
      </c>
      <c r="O224" s="149" t="n">
        <v>73</v>
      </c>
    </row>
    <row r="225" customFormat="false" ht="14.25" hidden="false" customHeight="false" outlineLevel="0" collapsed="false">
      <c r="A225" s="1" t="n">
        <v>37</v>
      </c>
      <c r="B225" s="1" t="s">
        <v>476</v>
      </c>
      <c r="C225" s="143" t="s">
        <v>58</v>
      </c>
      <c r="D225" s="143" t="s">
        <v>59</v>
      </c>
      <c r="E225" s="143" t="s">
        <v>474</v>
      </c>
      <c r="F225" s="144" t="n">
        <v>200025889059</v>
      </c>
      <c r="G225" s="144" t="s">
        <v>426</v>
      </c>
      <c r="H225" s="144" t="n">
        <v>54</v>
      </c>
      <c r="I225" s="144" t="s">
        <v>152</v>
      </c>
      <c r="J225" s="148" t="n">
        <v>45056.0162615741</v>
      </c>
      <c r="K225" s="1" t="n">
        <v>3</v>
      </c>
      <c r="L225" s="144" t="n">
        <v>54</v>
      </c>
      <c r="M225" s="1" t="n">
        <v>7</v>
      </c>
      <c r="N225" s="1" t="n">
        <v>7</v>
      </c>
      <c r="O225" s="149" t="n">
        <v>74</v>
      </c>
    </row>
    <row r="226" customFormat="false" ht="14.25" hidden="false" customHeight="false" outlineLevel="0" collapsed="false">
      <c r="A226" s="1" t="n">
        <v>38</v>
      </c>
      <c r="B226" s="1" t="s">
        <v>476</v>
      </c>
      <c r="C226" s="143" t="s">
        <v>58</v>
      </c>
      <c r="D226" s="143" t="s">
        <v>59</v>
      </c>
      <c r="E226" s="143" t="s">
        <v>474</v>
      </c>
      <c r="F226" s="144" t="n">
        <v>200025889059</v>
      </c>
      <c r="G226" s="144" t="s">
        <v>426</v>
      </c>
      <c r="H226" s="144" t="n">
        <v>54</v>
      </c>
      <c r="I226" s="144" t="s">
        <v>152</v>
      </c>
      <c r="J226" s="148" t="n">
        <v>45056.0238657407</v>
      </c>
      <c r="K226" s="1" t="n">
        <v>0</v>
      </c>
      <c r="L226" s="144" t="n">
        <v>54</v>
      </c>
      <c r="M226" s="1" t="n">
        <v>7</v>
      </c>
      <c r="N226" s="1" t="n">
        <v>7</v>
      </c>
      <c r="O226" s="149" t="n">
        <v>75</v>
      </c>
    </row>
    <row r="227" customFormat="false" ht="14.25" hidden="false" customHeight="false" outlineLevel="0" collapsed="false">
      <c r="A227" s="1" t="n">
        <v>39</v>
      </c>
      <c r="B227" s="1" t="s">
        <v>476</v>
      </c>
      <c r="C227" s="143" t="s">
        <v>58</v>
      </c>
      <c r="D227" s="143" t="s">
        <v>59</v>
      </c>
      <c r="E227" s="143" t="s">
        <v>474</v>
      </c>
      <c r="F227" s="144" t="n">
        <v>200025889059</v>
      </c>
      <c r="G227" s="144" t="s">
        <v>426</v>
      </c>
      <c r="H227" s="144" t="n">
        <v>54</v>
      </c>
      <c r="I227" s="144" t="s">
        <v>152</v>
      </c>
      <c r="J227" s="148" t="n">
        <v>45056.0244097222</v>
      </c>
      <c r="K227" s="1" t="n">
        <v>1</v>
      </c>
      <c r="L227" s="144" t="n">
        <v>54</v>
      </c>
      <c r="M227" s="1" t="n">
        <v>7</v>
      </c>
      <c r="N227" s="1" t="n">
        <v>7</v>
      </c>
      <c r="O227" s="149" t="n">
        <v>76</v>
      </c>
    </row>
    <row r="228" customFormat="false" ht="14.25" hidden="false" customHeight="false" outlineLevel="0" collapsed="false">
      <c r="A228" s="1" t="n">
        <v>40</v>
      </c>
      <c r="B228" s="1" t="s">
        <v>476</v>
      </c>
      <c r="C228" s="143" t="s">
        <v>58</v>
      </c>
      <c r="D228" s="143" t="s">
        <v>59</v>
      </c>
      <c r="E228" s="143" t="s">
        <v>474</v>
      </c>
      <c r="F228" s="144" t="n">
        <v>200025889059</v>
      </c>
      <c r="G228" s="144" t="s">
        <v>426</v>
      </c>
      <c r="H228" s="144" t="n">
        <v>54</v>
      </c>
      <c r="I228" s="144" t="s">
        <v>152</v>
      </c>
      <c r="J228" s="148" t="n">
        <v>45056.0258564815</v>
      </c>
      <c r="K228" s="1" t="n">
        <v>1</v>
      </c>
      <c r="L228" s="144" t="n">
        <v>54</v>
      </c>
      <c r="M228" s="1" t="n">
        <v>7</v>
      </c>
      <c r="N228" s="1" t="n">
        <v>7</v>
      </c>
      <c r="O228" s="149" t="n">
        <v>77</v>
      </c>
    </row>
    <row r="229" customFormat="false" ht="14.25" hidden="false" customHeight="false" outlineLevel="0" collapsed="false">
      <c r="A229" s="1" t="n">
        <v>333</v>
      </c>
      <c r="B229" s="1" t="s">
        <v>473</v>
      </c>
      <c r="C229" s="143" t="n">
        <v>11490</v>
      </c>
      <c r="D229" s="143" t="s">
        <v>65</v>
      </c>
      <c r="E229" s="143" t="s">
        <v>474</v>
      </c>
      <c r="F229" s="144" t="n">
        <v>200025889059</v>
      </c>
      <c r="G229" s="144" t="s">
        <v>426</v>
      </c>
      <c r="H229" s="144" t="n">
        <v>54</v>
      </c>
      <c r="I229" s="144" t="s">
        <v>152</v>
      </c>
      <c r="J229" s="148" t="n">
        <v>45057.4882175926</v>
      </c>
      <c r="K229" s="1" t="n">
        <v>1</v>
      </c>
      <c r="L229" s="144" t="n">
        <v>54</v>
      </c>
      <c r="M229" s="1" t="n">
        <v>7</v>
      </c>
      <c r="N229" s="1" t="n">
        <v>7</v>
      </c>
      <c r="O229" s="149" t="n">
        <v>78</v>
      </c>
    </row>
    <row r="230" customFormat="false" ht="14.25" hidden="false" customHeight="false" outlineLevel="0" collapsed="false">
      <c r="A230" s="1" t="n">
        <v>335</v>
      </c>
      <c r="B230" s="1" t="s">
        <v>475</v>
      </c>
      <c r="C230" s="143" t="s">
        <v>52</v>
      </c>
      <c r="D230" s="143" t="s">
        <v>53</v>
      </c>
      <c r="E230" s="143" t="s">
        <v>474</v>
      </c>
      <c r="F230" s="144" t="n">
        <v>200025889059</v>
      </c>
      <c r="G230" s="144" t="s">
        <v>426</v>
      </c>
      <c r="H230" s="144" t="n">
        <v>54</v>
      </c>
      <c r="I230" s="144" t="s">
        <v>152</v>
      </c>
      <c r="J230" s="148" t="n">
        <v>45058.7399768519</v>
      </c>
      <c r="K230" s="1" t="n">
        <v>1</v>
      </c>
      <c r="L230" s="144" t="n">
        <v>54</v>
      </c>
      <c r="M230" s="1" t="n">
        <v>7</v>
      </c>
      <c r="N230" s="1" t="n">
        <v>7</v>
      </c>
      <c r="O230" s="149" t="n">
        <v>79</v>
      </c>
    </row>
    <row r="231" customFormat="false" ht="14.25" hidden="false" customHeight="false" outlineLevel="0" collapsed="false">
      <c r="A231" s="1" t="n">
        <v>237</v>
      </c>
      <c r="B231" s="1" t="s">
        <v>477</v>
      </c>
      <c r="C231" s="143" t="n">
        <v>11171</v>
      </c>
      <c r="D231" s="143" t="s">
        <v>74</v>
      </c>
      <c r="E231" s="143" t="s">
        <v>474</v>
      </c>
      <c r="F231" s="144" t="n">
        <v>200025889059</v>
      </c>
      <c r="G231" s="144" t="s">
        <v>426</v>
      </c>
      <c r="H231" s="144" t="n">
        <v>54</v>
      </c>
      <c r="I231" s="144" t="s">
        <v>152</v>
      </c>
      <c r="J231" s="150" t="n">
        <v>45077.6404166667</v>
      </c>
      <c r="K231" s="1" t="n">
        <v>0</v>
      </c>
      <c r="L231" s="144" t="n">
        <v>54</v>
      </c>
      <c r="M231" s="1" t="n">
        <v>7</v>
      </c>
      <c r="N231" s="1" t="n">
        <v>7</v>
      </c>
      <c r="O231" s="149" t="n">
        <v>80</v>
      </c>
    </row>
    <row r="232" customFormat="false" ht="14.25" hidden="false" customHeight="false" outlineLevel="0" collapsed="false">
      <c r="A232" s="1" t="n">
        <v>19</v>
      </c>
      <c r="B232" s="1" t="s">
        <v>473</v>
      </c>
      <c r="C232" s="143" t="n">
        <v>11490</v>
      </c>
      <c r="D232" s="143" t="s">
        <v>65</v>
      </c>
      <c r="E232" s="143" t="s">
        <v>474</v>
      </c>
      <c r="F232" s="144" t="n">
        <v>200025888213</v>
      </c>
      <c r="G232" s="144" t="s">
        <v>181</v>
      </c>
      <c r="H232" s="144" t="n">
        <v>48</v>
      </c>
      <c r="I232" s="144" t="s">
        <v>152</v>
      </c>
      <c r="J232" s="148" t="n">
        <v>45055.6856365741</v>
      </c>
      <c r="K232" s="1" t="n">
        <v>1</v>
      </c>
      <c r="L232" s="144" t="n">
        <v>48</v>
      </c>
      <c r="M232" s="1" t="n">
        <v>8</v>
      </c>
      <c r="N232" s="1" t="n">
        <v>8</v>
      </c>
      <c r="O232" s="149" t="n">
        <v>1</v>
      </c>
    </row>
    <row r="233" customFormat="false" ht="14.25" hidden="false" customHeight="false" outlineLevel="0" collapsed="false">
      <c r="A233" s="1" t="n">
        <v>10</v>
      </c>
      <c r="B233" s="1" t="s">
        <v>476</v>
      </c>
      <c r="C233" s="143" t="s">
        <v>58</v>
      </c>
      <c r="D233" s="143" t="s">
        <v>59</v>
      </c>
      <c r="E233" s="143" t="s">
        <v>474</v>
      </c>
      <c r="F233" s="144" t="n">
        <v>200025888213</v>
      </c>
      <c r="G233" s="144" t="s">
        <v>181</v>
      </c>
      <c r="H233" s="144" t="n">
        <v>48</v>
      </c>
      <c r="I233" s="144" t="s">
        <v>152</v>
      </c>
      <c r="J233" s="148" t="n">
        <v>45055.7810532407</v>
      </c>
      <c r="K233" s="1" t="n">
        <v>0</v>
      </c>
      <c r="L233" s="144" t="n">
        <v>48</v>
      </c>
      <c r="M233" s="1" t="n">
        <v>8</v>
      </c>
      <c r="N233" s="1" t="n">
        <v>8</v>
      </c>
      <c r="O233" s="149" t="n">
        <v>2</v>
      </c>
    </row>
    <row r="234" customFormat="false" ht="14.25" hidden="false" customHeight="false" outlineLevel="0" collapsed="false">
      <c r="A234" s="1" t="n">
        <v>11</v>
      </c>
      <c r="B234" s="1" t="s">
        <v>476</v>
      </c>
      <c r="C234" s="143" t="s">
        <v>58</v>
      </c>
      <c r="D234" s="143" t="s">
        <v>59</v>
      </c>
      <c r="E234" s="143" t="s">
        <v>474</v>
      </c>
      <c r="F234" s="144" t="n">
        <v>200025888213</v>
      </c>
      <c r="G234" s="144" t="s">
        <v>181</v>
      </c>
      <c r="H234" s="144" t="n">
        <v>48</v>
      </c>
      <c r="I234" s="144" t="s">
        <v>152</v>
      </c>
      <c r="J234" s="148" t="n">
        <v>45055.7899884259</v>
      </c>
      <c r="K234" s="1" t="n">
        <v>1</v>
      </c>
      <c r="L234" s="144" t="n">
        <v>48</v>
      </c>
      <c r="M234" s="1" t="n">
        <v>8</v>
      </c>
      <c r="N234" s="1" t="n">
        <v>8</v>
      </c>
      <c r="O234" s="149" t="n">
        <v>3</v>
      </c>
    </row>
    <row r="235" customFormat="false" ht="14.25" hidden="false" customHeight="false" outlineLevel="0" collapsed="false">
      <c r="A235" s="1" t="n">
        <v>12</v>
      </c>
      <c r="B235" s="1" t="s">
        <v>476</v>
      </c>
      <c r="C235" s="143" t="s">
        <v>58</v>
      </c>
      <c r="D235" s="143" t="s">
        <v>59</v>
      </c>
      <c r="E235" s="143" t="s">
        <v>474</v>
      </c>
      <c r="F235" s="144" t="n">
        <v>200025888213</v>
      </c>
      <c r="G235" s="144" t="s">
        <v>181</v>
      </c>
      <c r="H235" s="144" t="n">
        <v>48</v>
      </c>
      <c r="I235" s="144" t="s">
        <v>152</v>
      </c>
      <c r="J235" s="148" t="n">
        <v>45055.795150463</v>
      </c>
      <c r="K235" s="1" t="n">
        <v>1</v>
      </c>
      <c r="L235" s="144" t="n">
        <v>48</v>
      </c>
      <c r="M235" s="1" t="n">
        <v>8</v>
      </c>
      <c r="N235" s="1" t="n">
        <v>8</v>
      </c>
      <c r="O235" s="149" t="n">
        <v>4</v>
      </c>
    </row>
    <row r="236" customFormat="false" ht="14.25" hidden="false" customHeight="false" outlineLevel="0" collapsed="false">
      <c r="A236" s="1" t="n">
        <v>16</v>
      </c>
      <c r="B236" s="1" t="s">
        <v>475</v>
      </c>
      <c r="C236" s="143" t="s">
        <v>52</v>
      </c>
      <c r="D236" s="143" t="s">
        <v>53</v>
      </c>
      <c r="E236" s="143" t="s">
        <v>474</v>
      </c>
      <c r="F236" s="144" t="n">
        <v>200025888213</v>
      </c>
      <c r="G236" s="144" t="s">
        <v>181</v>
      </c>
      <c r="H236" s="144" t="n">
        <v>48</v>
      </c>
      <c r="I236" s="144" t="s">
        <v>152</v>
      </c>
      <c r="J236" s="148" t="n">
        <v>45055.8190277778</v>
      </c>
      <c r="K236" s="1" t="n">
        <v>1</v>
      </c>
      <c r="L236" s="144" t="n">
        <v>48</v>
      </c>
      <c r="M236" s="1" t="n">
        <v>8</v>
      </c>
      <c r="N236" s="1" t="n">
        <v>8</v>
      </c>
      <c r="O236" s="149" t="n">
        <v>5</v>
      </c>
    </row>
    <row r="237" customFormat="false" ht="14.25" hidden="false" customHeight="false" outlineLevel="0" collapsed="false">
      <c r="A237" s="1" t="n">
        <v>17</v>
      </c>
      <c r="B237" s="1" t="s">
        <v>475</v>
      </c>
      <c r="C237" s="143" t="s">
        <v>52</v>
      </c>
      <c r="D237" s="143" t="s">
        <v>53</v>
      </c>
      <c r="E237" s="143" t="s">
        <v>474</v>
      </c>
      <c r="F237" s="144" t="n">
        <v>200025888213</v>
      </c>
      <c r="G237" s="144" t="s">
        <v>181</v>
      </c>
      <c r="H237" s="144" t="n">
        <v>48</v>
      </c>
      <c r="I237" s="144" t="s">
        <v>152</v>
      </c>
      <c r="J237" s="148" t="n">
        <v>45055.8191666667</v>
      </c>
      <c r="K237" s="1" t="n">
        <v>2</v>
      </c>
      <c r="L237" s="144" t="n">
        <v>48</v>
      </c>
      <c r="M237" s="1" t="n">
        <v>8</v>
      </c>
      <c r="N237" s="1" t="n">
        <v>8</v>
      </c>
      <c r="O237" s="149" t="n">
        <v>6</v>
      </c>
    </row>
    <row r="238" customFormat="false" ht="14.25" hidden="false" customHeight="false" outlineLevel="0" collapsed="false">
      <c r="A238" s="1" t="n">
        <v>18</v>
      </c>
      <c r="B238" s="1" t="s">
        <v>475</v>
      </c>
      <c r="C238" s="143" t="s">
        <v>52</v>
      </c>
      <c r="D238" s="143" t="s">
        <v>53</v>
      </c>
      <c r="E238" s="143" t="s">
        <v>474</v>
      </c>
      <c r="F238" s="144" t="n">
        <v>200025888213</v>
      </c>
      <c r="G238" s="144" t="s">
        <v>181</v>
      </c>
      <c r="H238" s="144" t="n">
        <v>48</v>
      </c>
      <c r="I238" s="144" t="s">
        <v>152</v>
      </c>
      <c r="J238" s="148" t="n">
        <v>45055.8193518519</v>
      </c>
      <c r="K238" s="1" t="n">
        <v>0</v>
      </c>
      <c r="L238" s="144" t="n">
        <v>48</v>
      </c>
      <c r="M238" s="1" t="n">
        <v>8</v>
      </c>
      <c r="N238" s="1" t="n">
        <v>8</v>
      </c>
      <c r="O238" s="149" t="n">
        <v>7</v>
      </c>
    </row>
    <row r="239" customFormat="false" ht="14.25" hidden="false" customHeight="false" outlineLevel="0" collapsed="false">
      <c r="A239" s="1" t="n">
        <v>19</v>
      </c>
      <c r="B239" s="1" t="s">
        <v>475</v>
      </c>
      <c r="C239" s="143" t="s">
        <v>52</v>
      </c>
      <c r="D239" s="143" t="s">
        <v>53</v>
      </c>
      <c r="E239" s="143" t="s">
        <v>474</v>
      </c>
      <c r="F239" s="144" t="n">
        <v>200025888213</v>
      </c>
      <c r="G239" s="144" t="s">
        <v>181</v>
      </c>
      <c r="H239" s="144" t="n">
        <v>48</v>
      </c>
      <c r="I239" s="144" t="s">
        <v>152</v>
      </c>
      <c r="J239" s="148" t="n">
        <v>45055.8195138889</v>
      </c>
      <c r="K239" s="1" t="n">
        <v>2</v>
      </c>
      <c r="L239" s="144" t="n">
        <v>48</v>
      </c>
      <c r="M239" s="1" t="n">
        <v>8</v>
      </c>
      <c r="N239" s="1" t="n">
        <v>8</v>
      </c>
      <c r="O239" s="149" t="n">
        <v>8</v>
      </c>
    </row>
    <row r="240" customFormat="false" ht="14.25" hidden="false" customHeight="false" outlineLevel="0" collapsed="false">
      <c r="A240" s="1" t="n">
        <v>20</v>
      </c>
      <c r="B240" s="1" t="s">
        <v>475</v>
      </c>
      <c r="C240" s="143" t="s">
        <v>52</v>
      </c>
      <c r="D240" s="143" t="s">
        <v>53</v>
      </c>
      <c r="E240" s="143" t="s">
        <v>474</v>
      </c>
      <c r="F240" s="144" t="n">
        <v>200025888213</v>
      </c>
      <c r="G240" s="144" t="s">
        <v>181</v>
      </c>
      <c r="H240" s="144" t="n">
        <v>48</v>
      </c>
      <c r="I240" s="144" t="s">
        <v>152</v>
      </c>
      <c r="J240" s="148" t="n">
        <v>45055.8198726852</v>
      </c>
      <c r="K240" s="1" t="n">
        <v>1</v>
      </c>
      <c r="L240" s="144" t="n">
        <v>48</v>
      </c>
      <c r="M240" s="1" t="n">
        <v>8</v>
      </c>
      <c r="N240" s="1" t="n">
        <v>8</v>
      </c>
      <c r="O240" s="149" t="n">
        <v>9</v>
      </c>
    </row>
    <row r="241" customFormat="false" ht="14.25" hidden="false" customHeight="false" outlineLevel="0" collapsed="false">
      <c r="A241" s="1" t="n">
        <v>21</v>
      </c>
      <c r="B241" s="1" t="s">
        <v>475</v>
      </c>
      <c r="C241" s="143" t="s">
        <v>52</v>
      </c>
      <c r="D241" s="143" t="s">
        <v>53</v>
      </c>
      <c r="E241" s="143" t="s">
        <v>474</v>
      </c>
      <c r="F241" s="144" t="n">
        <v>200025888213</v>
      </c>
      <c r="G241" s="144" t="s">
        <v>181</v>
      </c>
      <c r="H241" s="144" t="n">
        <v>48</v>
      </c>
      <c r="I241" s="144" t="s">
        <v>152</v>
      </c>
      <c r="J241" s="148" t="n">
        <v>45055.8201157407</v>
      </c>
      <c r="K241" s="1" t="n">
        <v>2</v>
      </c>
      <c r="L241" s="144" t="n">
        <v>48</v>
      </c>
      <c r="M241" s="1" t="n">
        <v>8</v>
      </c>
      <c r="N241" s="1" t="n">
        <v>8</v>
      </c>
      <c r="O241" s="149" t="n">
        <v>10</v>
      </c>
    </row>
    <row r="242" customFormat="false" ht="14.25" hidden="false" customHeight="false" outlineLevel="0" collapsed="false">
      <c r="A242" s="1" t="n">
        <v>22</v>
      </c>
      <c r="B242" s="1" t="s">
        <v>475</v>
      </c>
      <c r="C242" s="143" t="s">
        <v>52</v>
      </c>
      <c r="D242" s="143" t="s">
        <v>53</v>
      </c>
      <c r="E242" s="143" t="s">
        <v>474</v>
      </c>
      <c r="F242" s="144" t="n">
        <v>200025888213</v>
      </c>
      <c r="G242" s="144" t="s">
        <v>181</v>
      </c>
      <c r="H242" s="144" t="n">
        <v>48</v>
      </c>
      <c r="I242" s="144" t="s">
        <v>152</v>
      </c>
      <c r="J242" s="148" t="n">
        <v>45055.8203587963</v>
      </c>
      <c r="K242" s="1" t="n">
        <v>0</v>
      </c>
      <c r="L242" s="144" t="n">
        <v>48</v>
      </c>
      <c r="M242" s="1" t="n">
        <v>8</v>
      </c>
      <c r="N242" s="1" t="n">
        <v>8</v>
      </c>
      <c r="O242" s="149" t="n">
        <v>11</v>
      </c>
    </row>
    <row r="243" customFormat="false" ht="14.25" hidden="false" customHeight="false" outlineLevel="0" collapsed="false">
      <c r="A243" s="1" t="n">
        <v>23</v>
      </c>
      <c r="B243" s="1" t="s">
        <v>475</v>
      </c>
      <c r="C243" s="143" t="s">
        <v>52</v>
      </c>
      <c r="D243" s="143" t="s">
        <v>53</v>
      </c>
      <c r="E243" s="143" t="s">
        <v>474</v>
      </c>
      <c r="F243" s="144" t="n">
        <v>200025888213</v>
      </c>
      <c r="G243" s="144" t="s">
        <v>181</v>
      </c>
      <c r="H243" s="144" t="n">
        <v>48</v>
      </c>
      <c r="I243" s="144" t="s">
        <v>152</v>
      </c>
      <c r="J243" s="148" t="n">
        <v>45055.8203703704</v>
      </c>
      <c r="K243" s="1" t="n">
        <v>2</v>
      </c>
      <c r="L243" s="144" t="n">
        <v>48</v>
      </c>
      <c r="M243" s="1" t="n">
        <v>8</v>
      </c>
      <c r="N243" s="1" t="n">
        <v>8</v>
      </c>
      <c r="O243" s="149" t="n">
        <v>12</v>
      </c>
    </row>
    <row r="244" customFormat="false" ht="14.25" hidden="false" customHeight="false" outlineLevel="0" collapsed="false">
      <c r="A244" s="1" t="n">
        <v>9</v>
      </c>
      <c r="B244" s="1" t="s">
        <v>478</v>
      </c>
      <c r="C244" s="143" t="n">
        <v>11171</v>
      </c>
      <c r="D244" s="143" t="s">
        <v>74</v>
      </c>
      <c r="E244" s="143" t="s">
        <v>474</v>
      </c>
      <c r="F244" s="144" t="n">
        <v>200025888213</v>
      </c>
      <c r="G244" s="144" t="s">
        <v>181</v>
      </c>
      <c r="H244" s="144" t="n">
        <v>48</v>
      </c>
      <c r="I244" s="144" t="s">
        <v>152</v>
      </c>
      <c r="J244" s="148" t="n">
        <v>45055.9001851852</v>
      </c>
      <c r="K244" s="1" t="n">
        <v>1</v>
      </c>
      <c r="L244" s="144" t="n">
        <v>48</v>
      </c>
      <c r="M244" s="1" t="n">
        <v>8</v>
      </c>
      <c r="N244" s="1" t="n">
        <v>8</v>
      </c>
      <c r="O244" s="149" t="n">
        <v>13</v>
      </c>
    </row>
    <row r="245" customFormat="false" ht="14.25" hidden="false" customHeight="false" outlineLevel="0" collapsed="false">
      <c r="A245" s="1" t="n">
        <v>10</v>
      </c>
      <c r="B245" s="1" t="s">
        <v>478</v>
      </c>
      <c r="C245" s="143" t="n">
        <v>11171</v>
      </c>
      <c r="D245" s="143" t="s">
        <v>74</v>
      </c>
      <c r="E245" s="143" t="s">
        <v>474</v>
      </c>
      <c r="F245" s="144" t="n">
        <v>200025888213</v>
      </c>
      <c r="G245" s="144" t="s">
        <v>181</v>
      </c>
      <c r="H245" s="144" t="n">
        <v>48</v>
      </c>
      <c r="I245" s="144" t="s">
        <v>152</v>
      </c>
      <c r="J245" s="148" t="n">
        <v>45055.9009606482</v>
      </c>
      <c r="K245" s="1" t="n">
        <v>1</v>
      </c>
      <c r="L245" s="144" t="n">
        <v>48</v>
      </c>
      <c r="M245" s="1" t="n">
        <v>8</v>
      </c>
      <c r="N245" s="1" t="n">
        <v>8</v>
      </c>
      <c r="O245" s="149" t="n">
        <v>14</v>
      </c>
    </row>
    <row r="246" customFormat="false" ht="14.25" hidden="false" customHeight="false" outlineLevel="0" collapsed="false">
      <c r="A246" s="1" t="n">
        <v>11</v>
      </c>
      <c r="B246" s="1" t="s">
        <v>478</v>
      </c>
      <c r="C246" s="143" t="n">
        <v>11171</v>
      </c>
      <c r="D246" s="143" t="s">
        <v>74</v>
      </c>
      <c r="E246" s="143" t="s">
        <v>474</v>
      </c>
      <c r="F246" s="144" t="n">
        <v>200025888213</v>
      </c>
      <c r="G246" s="144" t="s">
        <v>181</v>
      </c>
      <c r="H246" s="144" t="n">
        <v>48</v>
      </c>
      <c r="I246" s="144" t="s">
        <v>152</v>
      </c>
      <c r="J246" s="148" t="n">
        <v>45055.9011921296</v>
      </c>
      <c r="K246" s="1" t="n">
        <v>2</v>
      </c>
      <c r="L246" s="144" t="n">
        <v>48</v>
      </c>
      <c r="M246" s="1" t="n">
        <v>8</v>
      </c>
      <c r="N246" s="1" t="n">
        <v>8</v>
      </c>
      <c r="O246" s="149" t="n">
        <v>15</v>
      </c>
    </row>
    <row r="247" customFormat="false" ht="14.25" hidden="false" customHeight="false" outlineLevel="0" collapsed="false">
      <c r="A247" s="1" t="n">
        <v>12</v>
      </c>
      <c r="B247" s="1" t="s">
        <v>478</v>
      </c>
      <c r="C247" s="143" t="n">
        <v>11171</v>
      </c>
      <c r="D247" s="143" t="s">
        <v>74</v>
      </c>
      <c r="E247" s="143" t="s">
        <v>474</v>
      </c>
      <c r="F247" s="144" t="n">
        <v>200025888213</v>
      </c>
      <c r="G247" s="144" t="s">
        <v>181</v>
      </c>
      <c r="H247" s="144" t="n">
        <v>48</v>
      </c>
      <c r="I247" s="144" t="s">
        <v>152</v>
      </c>
      <c r="J247" s="148" t="n">
        <v>45055.9017476852</v>
      </c>
      <c r="K247" s="1" t="n">
        <v>2</v>
      </c>
      <c r="L247" s="144" t="n">
        <v>48</v>
      </c>
      <c r="M247" s="1" t="n">
        <v>8</v>
      </c>
      <c r="N247" s="1" t="n">
        <v>8</v>
      </c>
      <c r="O247" s="149" t="n">
        <v>16</v>
      </c>
    </row>
    <row r="248" customFormat="false" ht="14.25" hidden="false" customHeight="false" outlineLevel="0" collapsed="false">
      <c r="A248" s="1" t="n">
        <v>26</v>
      </c>
      <c r="B248" s="1" t="s">
        <v>473</v>
      </c>
      <c r="C248" s="143" t="n">
        <v>11490</v>
      </c>
      <c r="D248" s="143" t="s">
        <v>65</v>
      </c>
      <c r="E248" s="143" t="s">
        <v>474</v>
      </c>
      <c r="F248" s="144" t="s">
        <v>489</v>
      </c>
      <c r="G248" s="144" t="s">
        <v>181</v>
      </c>
      <c r="H248" s="144" t="n">
        <v>48</v>
      </c>
      <c r="I248" s="144" t="s">
        <v>152</v>
      </c>
      <c r="J248" s="148" t="n">
        <v>45055.9620833333</v>
      </c>
      <c r="K248" s="1" t="n">
        <v>1</v>
      </c>
      <c r="L248" s="144" t="n">
        <v>48</v>
      </c>
      <c r="M248" s="1" t="n">
        <v>8</v>
      </c>
      <c r="N248" s="1" t="n">
        <v>8</v>
      </c>
      <c r="O248" s="149" t="n">
        <v>17</v>
      </c>
    </row>
    <row r="249" customFormat="false" ht="14.25" hidden="false" customHeight="false" outlineLevel="0" collapsed="false">
      <c r="A249" s="1" t="n">
        <v>320</v>
      </c>
      <c r="B249" s="1" t="s">
        <v>473</v>
      </c>
      <c r="C249" s="143" t="n">
        <v>11490</v>
      </c>
      <c r="D249" s="143" t="s">
        <v>65</v>
      </c>
      <c r="E249" s="143" t="s">
        <v>474</v>
      </c>
      <c r="F249" s="144" t="n">
        <v>200025888213</v>
      </c>
      <c r="G249" s="144" t="s">
        <v>181</v>
      </c>
      <c r="H249" s="144" t="n">
        <v>48</v>
      </c>
      <c r="I249" s="144" t="s">
        <v>152</v>
      </c>
      <c r="J249" s="148" t="n">
        <v>45057.3855555556</v>
      </c>
      <c r="K249" s="1" t="n">
        <v>2</v>
      </c>
      <c r="L249" s="144" t="n">
        <v>48</v>
      </c>
      <c r="M249" s="1" t="n">
        <v>8</v>
      </c>
      <c r="N249" s="1" t="n">
        <v>8</v>
      </c>
      <c r="O249" s="149" t="n">
        <v>18</v>
      </c>
    </row>
    <row r="250" customFormat="false" ht="14.25" hidden="false" customHeight="false" outlineLevel="0" collapsed="false">
      <c r="A250" s="1" t="n">
        <v>322</v>
      </c>
      <c r="B250" s="1" t="s">
        <v>473</v>
      </c>
      <c r="C250" s="143" t="n">
        <v>11490</v>
      </c>
      <c r="D250" s="143" t="s">
        <v>65</v>
      </c>
      <c r="E250" s="143" t="s">
        <v>474</v>
      </c>
      <c r="F250" s="144" t="n">
        <v>200025888213</v>
      </c>
      <c r="G250" s="144" t="s">
        <v>181</v>
      </c>
      <c r="H250" s="144" t="n">
        <v>48</v>
      </c>
      <c r="I250" s="144" t="s">
        <v>152</v>
      </c>
      <c r="J250" s="148" t="n">
        <v>45057.3960300926</v>
      </c>
      <c r="K250" s="1" t="n">
        <v>0</v>
      </c>
      <c r="L250" s="144" t="n">
        <v>48</v>
      </c>
      <c r="M250" s="1" t="n">
        <v>8</v>
      </c>
      <c r="N250" s="1" t="n">
        <v>8</v>
      </c>
      <c r="O250" s="149" t="n">
        <v>19</v>
      </c>
    </row>
    <row r="251" customFormat="false" ht="14.25" hidden="false" customHeight="false" outlineLevel="0" collapsed="false">
      <c r="A251" s="1" t="n">
        <v>337</v>
      </c>
      <c r="B251" s="1" t="s">
        <v>473</v>
      </c>
      <c r="C251" s="143" t="n">
        <v>11490</v>
      </c>
      <c r="D251" s="143" t="s">
        <v>65</v>
      </c>
      <c r="E251" s="143" t="s">
        <v>474</v>
      </c>
      <c r="F251" s="144" t="n">
        <v>200025888213</v>
      </c>
      <c r="G251" s="144" t="s">
        <v>181</v>
      </c>
      <c r="H251" s="144" t="n">
        <v>48</v>
      </c>
      <c r="I251" s="144" t="s">
        <v>152</v>
      </c>
      <c r="J251" s="148" t="n">
        <v>45057.5210763889</v>
      </c>
      <c r="K251" s="1" t="n">
        <v>4</v>
      </c>
      <c r="L251" s="144" t="n">
        <v>48</v>
      </c>
      <c r="M251" s="1" t="n">
        <v>8</v>
      </c>
      <c r="N251" s="1" t="n">
        <v>8</v>
      </c>
      <c r="O251" s="149" t="n">
        <v>20</v>
      </c>
    </row>
    <row r="252" customFormat="false" ht="14.25" hidden="false" customHeight="false" outlineLevel="0" collapsed="false">
      <c r="A252" s="1" t="n">
        <v>338</v>
      </c>
      <c r="B252" s="1" t="s">
        <v>473</v>
      </c>
      <c r="C252" s="143" t="n">
        <v>11490</v>
      </c>
      <c r="D252" s="143" t="s">
        <v>65</v>
      </c>
      <c r="E252" s="143" t="s">
        <v>474</v>
      </c>
      <c r="F252" s="144" t="n">
        <v>200025888213</v>
      </c>
      <c r="G252" s="144" t="s">
        <v>181</v>
      </c>
      <c r="H252" s="144" t="n">
        <v>48</v>
      </c>
      <c r="I252" s="144" t="s">
        <v>152</v>
      </c>
      <c r="J252" s="148" t="n">
        <v>45057.5224074074</v>
      </c>
      <c r="K252" s="1" t="n">
        <v>2</v>
      </c>
      <c r="L252" s="144" t="n">
        <v>48</v>
      </c>
      <c r="M252" s="1" t="n">
        <v>8</v>
      </c>
      <c r="N252" s="1" t="n">
        <v>8</v>
      </c>
      <c r="O252" s="149" t="n">
        <v>21</v>
      </c>
    </row>
    <row r="253" customFormat="false" ht="14.25" hidden="false" customHeight="false" outlineLevel="0" collapsed="false">
      <c r="A253" s="1" t="n">
        <v>339</v>
      </c>
      <c r="B253" s="1" t="s">
        <v>473</v>
      </c>
      <c r="C253" s="143" t="n">
        <v>11490</v>
      </c>
      <c r="D253" s="143" t="s">
        <v>65</v>
      </c>
      <c r="E253" s="143" t="s">
        <v>474</v>
      </c>
      <c r="F253" s="144" t="n">
        <v>200025888213</v>
      </c>
      <c r="G253" s="144" t="s">
        <v>181</v>
      </c>
      <c r="H253" s="144" t="n">
        <v>48</v>
      </c>
      <c r="I253" s="144" t="s">
        <v>152</v>
      </c>
      <c r="J253" s="148" t="n">
        <v>45057.5226388889</v>
      </c>
      <c r="K253" s="1" t="n">
        <v>3</v>
      </c>
      <c r="L253" s="144" t="n">
        <v>48</v>
      </c>
      <c r="M253" s="1" t="n">
        <v>8</v>
      </c>
      <c r="N253" s="1" t="n">
        <v>8</v>
      </c>
      <c r="O253" s="149" t="n">
        <v>22</v>
      </c>
    </row>
    <row r="254" customFormat="false" ht="14.25" hidden="false" customHeight="false" outlineLevel="0" collapsed="false">
      <c r="A254" s="1" t="n">
        <v>340</v>
      </c>
      <c r="B254" s="1" t="s">
        <v>473</v>
      </c>
      <c r="C254" s="143" t="n">
        <v>11490</v>
      </c>
      <c r="D254" s="143" t="s">
        <v>65</v>
      </c>
      <c r="E254" s="143" t="s">
        <v>474</v>
      </c>
      <c r="F254" s="144" t="n">
        <v>200025888213</v>
      </c>
      <c r="G254" s="144" t="s">
        <v>181</v>
      </c>
      <c r="H254" s="144" t="n">
        <v>48</v>
      </c>
      <c r="I254" s="144" t="s">
        <v>152</v>
      </c>
      <c r="J254" s="148" t="n">
        <v>45057.5227777778</v>
      </c>
      <c r="K254" s="1" t="n">
        <v>1</v>
      </c>
      <c r="L254" s="144" t="n">
        <v>48</v>
      </c>
      <c r="M254" s="1" t="n">
        <v>8</v>
      </c>
      <c r="N254" s="1" t="n">
        <v>8</v>
      </c>
      <c r="O254" s="149" t="n">
        <v>23</v>
      </c>
    </row>
    <row r="255" customFormat="false" ht="14.25" hidden="false" customHeight="false" outlineLevel="0" collapsed="false">
      <c r="A255" s="1" t="n">
        <v>341</v>
      </c>
      <c r="B255" s="1" t="s">
        <v>473</v>
      </c>
      <c r="C255" s="143" t="n">
        <v>11490</v>
      </c>
      <c r="D255" s="143" t="s">
        <v>65</v>
      </c>
      <c r="E255" s="143" t="s">
        <v>474</v>
      </c>
      <c r="F255" s="144" t="n">
        <v>200025888213</v>
      </c>
      <c r="G255" s="144" t="s">
        <v>181</v>
      </c>
      <c r="H255" s="144" t="n">
        <v>48</v>
      </c>
      <c r="I255" s="144" t="s">
        <v>152</v>
      </c>
      <c r="J255" s="148" t="n">
        <v>45057.5228819444</v>
      </c>
      <c r="K255" s="1" t="n">
        <v>0</v>
      </c>
      <c r="L255" s="144" t="n">
        <v>48</v>
      </c>
      <c r="M255" s="1" t="n">
        <v>8</v>
      </c>
      <c r="N255" s="1" t="n">
        <v>8</v>
      </c>
      <c r="O255" s="149" t="n">
        <v>24</v>
      </c>
    </row>
    <row r="256" customFormat="false" ht="14.25" hidden="false" customHeight="false" outlineLevel="0" collapsed="false">
      <c r="A256" s="1" t="n">
        <v>342</v>
      </c>
      <c r="B256" s="1" t="s">
        <v>473</v>
      </c>
      <c r="C256" s="143" t="n">
        <v>11490</v>
      </c>
      <c r="D256" s="143" t="s">
        <v>65</v>
      </c>
      <c r="E256" s="143" t="s">
        <v>474</v>
      </c>
      <c r="F256" s="144" t="n">
        <v>200025888213</v>
      </c>
      <c r="G256" s="144" t="s">
        <v>181</v>
      </c>
      <c r="H256" s="144" t="n">
        <v>48</v>
      </c>
      <c r="I256" s="144" t="s">
        <v>152</v>
      </c>
      <c r="J256" s="148" t="n">
        <v>45057.5229166667</v>
      </c>
      <c r="K256" s="1" t="n">
        <v>4</v>
      </c>
      <c r="L256" s="144" t="n">
        <v>48</v>
      </c>
      <c r="M256" s="1" t="n">
        <v>8</v>
      </c>
      <c r="N256" s="1" t="n">
        <v>8</v>
      </c>
      <c r="O256" s="149" t="n">
        <v>25</v>
      </c>
    </row>
    <row r="257" customFormat="false" ht="14.25" hidden="false" customHeight="false" outlineLevel="0" collapsed="false">
      <c r="A257" s="1" t="n">
        <v>343</v>
      </c>
      <c r="B257" s="1" t="s">
        <v>473</v>
      </c>
      <c r="C257" s="143" t="n">
        <v>11490</v>
      </c>
      <c r="D257" s="143" t="s">
        <v>65</v>
      </c>
      <c r="E257" s="143" t="s">
        <v>474</v>
      </c>
      <c r="F257" s="144" t="n">
        <v>200025888213</v>
      </c>
      <c r="G257" s="144" t="s">
        <v>181</v>
      </c>
      <c r="H257" s="144" t="n">
        <v>48</v>
      </c>
      <c r="I257" s="144" t="s">
        <v>152</v>
      </c>
      <c r="J257" s="148" t="n">
        <v>45057.5319791667</v>
      </c>
      <c r="K257" s="1" t="n">
        <v>1</v>
      </c>
      <c r="L257" s="144" t="n">
        <v>48</v>
      </c>
      <c r="M257" s="1" t="n">
        <v>8</v>
      </c>
      <c r="N257" s="1" t="n">
        <v>8</v>
      </c>
      <c r="O257" s="149" t="n">
        <v>26</v>
      </c>
    </row>
    <row r="258" customFormat="false" ht="14.25" hidden="false" customHeight="false" outlineLevel="0" collapsed="false">
      <c r="A258" s="1" t="n">
        <v>344</v>
      </c>
      <c r="B258" s="1" t="s">
        <v>473</v>
      </c>
      <c r="C258" s="143" t="n">
        <v>11490</v>
      </c>
      <c r="D258" s="143" t="s">
        <v>65</v>
      </c>
      <c r="E258" s="143" t="s">
        <v>474</v>
      </c>
      <c r="F258" s="144" t="n">
        <v>200025888213</v>
      </c>
      <c r="G258" s="144" t="s">
        <v>181</v>
      </c>
      <c r="H258" s="144" t="n">
        <v>48</v>
      </c>
      <c r="I258" s="144" t="s">
        <v>152</v>
      </c>
      <c r="J258" s="148" t="n">
        <v>45057.5321643519</v>
      </c>
      <c r="K258" s="1" t="n">
        <v>1</v>
      </c>
      <c r="L258" s="144" t="n">
        <v>48</v>
      </c>
      <c r="M258" s="1" t="n">
        <v>8</v>
      </c>
      <c r="N258" s="1" t="n">
        <v>8</v>
      </c>
      <c r="O258" s="149" t="n">
        <v>27</v>
      </c>
    </row>
    <row r="259" customFormat="false" ht="14.25" hidden="false" customHeight="false" outlineLevel="0" collapsed="false">
      <c r="A259" s="1" t="n">
        <v>213</v>
      </c>
      <c r="B259" s="1" t="s">
        <v>477</v>
      </c>
      <c r="C259" s="143" t="n">
        <v>91601</v>
      </c>
      <c r="D259" s="143" t="s">
        <v>64</v>
      </c>
      <c r="E259" s="143" t="s">
        <v>474</v>
      </c>
      <c r="F259" s="144" t="n">
        <v>200025888213</v>
      </c>
      <c r="G259" s="144" t="s">
        <v>181</v>
      </c>
      <c r="H259" s="144" t="n">
        <v>48</v>
      </c>
      <c r="I259" s="144" t="s">
        <v>152</v>
      </c>
      <c r="J259" s="150" t="n">
        <v>45057.6913657407</v>
      </c>
      <c r="K259" s="1" t="n">
        <v>2</v>
      </c>
      <c r="L259" s="144" t="n">
        <v>48</v>
      </c>
      <c r="M259" s="1" t="n">
        <v>8</v>
      </c>
      <c r="N259" s="1" t="n">
        <v>8</v>
      </c>
      <c r="O259" s="149" t="n">
        <v>28</v>
      </c>
    </row>
    <row r="260" customFormat="false" ht="14.25" hidden="false" customHeight="false" outlineLevel="0" collapsed="false">
      <c r="A260" s="1" t="n">
        <v>214</v>
      </c>
      <c r="B260" s="1" t="s">
        <v>477</v>
      </c>
      <c r="C260" s="143" t="n">
        <v>91601</v>
      </c>
      <c r="D260" s="143" t="s">
        <v>64</v>
      </c>
      <c r="E260" s="143" t="s">
        <v>474</v>
      </c>
      <c r="F260" s="144" t="n">
        <v>200025888213</v>
      </c>
      <c r="G260" s="144" t="s">
        <v>181</v>
      </c>
      <c r="H260" s="144" t="n">
        <v>48</v>
      </c>
      <c r="I260" s="144" t="s">
        <v>152</v>
      </c>
      <c r="J260" s="150" t="n">
        <v>45057.6918171296</v>
      </c>
      <c r="K260" s="1" t="n">
        <v>1</v>
      </c>
      <c r="L260" s="144" t="n">
        <v>48</v>
      </c>
      <c r="M260" s="1" t="n">
        <v>8</v>
      </c>
      <c r="N260" s="1" t="n">
        <v>8</v>
      </c>
      <c r="O260" s="149" t="n">
        <v>29</v>
      </c>
    </row>
    <row r="261" customFormat="false" ht="14.25" hidden="false" customHeight="false" outlineLevel="0" collapsed="false">
      <c r="A261" s="1" t="n">
        <v>215</v>
      </c>
      <c r="B261" s="1" t="s">
        <v>477</v>
      </c>
      <c r="C261" s="143" t="n">
        <v>91601</v>
      </c>
      <c r="D261" s="143" t="s">
        <v>64</v>
      </c>
      <c r="E261" s="143" t="s">
        <v>474</v>
      </c>
      <c r="F261" s="144" t="n">
        <v>200025888213</v>
      </c>
      <c r="G261" s="144" t="s">
        <v>181</v>
      </c>
      <c r="H261" s="144" t="n">
        <v>48</v>
      </c>
      <c r="I261" s="144" t="s">
        <v>152</v>
      </c>
      <c r="J261" s="150" t="n">
        <v>45057.6918402778</v>
      </c>
      <c r="K261" s="1" t="n">
        <v>2</v>
      </c>
      <c r="L261" s="144" t="n">
        <v>48</v>
      </c>
      <c r="M261" s="1" t="n">
        <v>8</v>
      </c>
      <c r="N261" s="1" t="n">
        <v>8</v>
      </c>
      <c r="O261" s="149" t="n">
        <v>30</v>
      </c>
    </row>
    <row r="262" customFormat="false" ht="14.25" hidden="false" customHeight="false" outlineLevel="0" collapsed="false">
      <c r="A262" s="1" t="n">
        <v>217</v>
      </c>
      <c r="B262" s="1" t="s">
        <v>477</v>
      </c>
      <c r="C262" s="143" t="n">
        <v>91601</v>
      </c>
      <c r="D262" s="143" t="s">
        <v>64</v>
      </c>
      <c r="E262" s="143" t="s">
        <v>474</v>
      </c>
      <c r="F262" s="144" t="n">
        <v>200025888213</v>
      </c>
      <c r="G262" s="144" t="s">
        <v>181</v>
      </c>
      <c r="H262" s="144" t="n">
        <v>48</v>
      </c>
      <c r="I262" s="144" t="s">
        <v>152</v>
      </c>
      <c r="J262" s="150" t="n">
        <v>45057.6921527778</v>
      </c>
      <c r="K262" s="1" t="n">
        <v>1</v>
      </c>
      <c r="L262" s="144" t="n">
        <v>48</v>
      </c>
      <c r="M262" s="1" t="n">
        <v>8</v>
      </c>
      <c r="N262" s="1" t="n">
        <v>8</v>
      </c>
      <c r="O262" s="149" t="n">
        <v>31</v>
      </c>
    </row>
    <row r="263" customFormat="false" ht="14.25" hidden="false" customHeight="false" outlineLevel="0" collapsed="false">
      <c r="A263" s="1" t="n">
        <v>218</v>
      </c>
      <c r="B263" s="1" t="s">
        <v>477</v>
      </c>
      <c r="C263" s="143" t="n">
        <v>91601</v>
      </c>
      <c r="D263" s="143" t="s">
        <v>64</v>
      </c>
      <c r="E263" s="143" t="s">
        <v>474</v>
      </c>
      <c r="F263" s="144" t="n">
        <v>200025888213</v>
      </c>
      <c r="G263" s="144" t="s">
        <v>181</v>
      </c>
      <c r="H263" s="144" t="n">
        <v>48</v>
      </c>
      <c r="I263" s="144" t="s">
        <v>152</v>
      </c>
      <c r="J263" s="150" t="n">
        <v>45057.6968287037</v>
      </c>
      <c r="K263" s="1" t="n">
        <v>2</v>
      </c>
      <c r="L263" s="144" t="n">
        <v>48</v>
      </c>
      <c r="M263" s="1" t="n">
        <v>8</v>
      </c>
      <c r="N263" s="1" t="n">
        <v>8</v>
      </c>
      <c r="O263" s="149" t="n">
        <v>32</v>
      </c>
    </row>
    <row r="264" customFormat="false" ht="14.25" hidden="false" customHeight="false" outlineLevel="0" collapsed="false">
      <c r="A264" s="1" t="n">
        <v>231</v>
      </c>
      <c r="B264" s="1" t="s">
        <v>477</v>
      </c>
      <c r="C264" s="143" t="n">
        <v>91601</v>
      </c>
      <c r="D264" s="143" t="s">
        <v>64</v>
      </c>
      <c r="E264" s="143" t="s">
        <v>474</v>
      </c>
      <c r="F264" s="144" t="n">
        <v>200025888213</v>
      </c>
      <c r="G264" s="144" t="s">
        <v>181</v>
      </c>
      <c r="H264" s="144" t="n">
        <v>48</v>
      </c>
      <c r="I264" s="144" t="s">
        <v>152</v>
      </c>
      <c r="J264" s="150" t="n">
        <v>45057.7199189815</v>
      </c>
      <c r="K264" s="1" t="n">
        <v>1</v>
      </c>
      <c r="L264" s="144" t="n">
        <v>48</v>
      </c>
      <c r="M264" s="1" t="n">
        <v>8</v>
      </c>
      <c r="N264" s="1" t="n">
        <v>8</v>
      </c>
      <c r="O264" s="149" t="n">
        <v>33</v>
      </c>
    </row>
    <row r="265" customFormat="false" ht="14.25" hidden="false" customHeight="false" outlineLevel="0" collapsed="false">
      <c r="A265" s="1" t="n">
        <v>384</v>
      </c>
      <c r="B265" s="1" t="s">
        <v>473</v>
      </c>
      <c r="C265" s="143" t="n">
        <v>11490</v>
      </c>
      <c r="D265" s="143" t="s">
        <v>65</v>
      </c>
      <c r="E265" s="143" t="s">
        <v>474</v>
      </c>
      <c r="F265" s="144" t="n">
        <v>200025888213</v>
      </c>
      <c r="G265" s="144" t="s">
        <v>181</v>
      </c>
      <c r="H265" s="144" t="n">
        <v>48</v>
      </c>
      <c r="I265" s="144" t="s">
        <v>152</v>
      </c>
      <c r="J265" s="148" t="n">
        <v>45057.7420138889</v>
      </c>
      <c r="K265" s="1" t="n">
        <v>2</v>
      </c>
      <c r="L265" s="144" t="n">
        <v>48</v>
      </c>
      <c r="M265" s="1" t="n">
        <v>8</v>
      </c>
      <c r="N265" s="1" t="n">
        <v>8</v>
      </c>
      <c r="O265" s="149" t="n">
        <v>34</v>
      </c>
    </row>
    <row r="266" customFormat="false" ht="14.25" hidden="false" customHeight="false" outlineLevel="0" collapsed="false">
      <c r="A266" s="1" t="n">
        <v>385</v>
      </c>
      <c r="B266" s="1" t="s">
        <v>473</v>
      </c>
      <c r="C266" s="143" t="n">
        <v>11490</v>
      </c>
      <c r="D266" s="143" t="s">
        <v>65</v>
      </c>
      <c r="E266" s="143" t="s">
        <v>474</v>
      </c>
      <c r="F266" s="144" t="n">
        <v>200025888213</v>
      </c>
      <c r="G266" s="144" t="s">
        <v>181</v>
      </c>
      <c r="H266" s="144" t="n">
        <v>48</v>
      </c>
      <c r="I266" s="144" t="s">
        <v>152</v>
      </c>
      <c r="J266" s="148" t="n">
        <v>45057.7422685185</v>
      </c>
      <c r="K266" s="1" t="n">
        <v>1</v>
      </c>
      <c r="L266" s="144" t="n">
        <v>48</v>
      </c>
      <c r="M266" s="1" t="n">
        <v>8</v>
      </c>
      <c r="N266" s="1" t="n">
        <v>8</v>
      </c>
      <c r="O266" s="149" t="n">
        <v>35</v>
      </c>
    </row>
    <row r="267" customFormat="false" ht="14.25" hidden="false" customHeight="false" outlineLevel="0" collapsed="false">
      <c r="A267" s="1" t="n">
        <v>386</v>
      </c>
      <c r="B267" s="1" t="s">
        <v>473</v>
      </c>
      <c r="C267" s="143" t="n">
        <v>11490</v>
      </c>
      <c r="D267" s="143" t="s">
        <v>65</v>
      </c>
      <c r="E267" s="143" t="s">
        <v>474</v>
      </c>
      <c r="F267" s="144" t="n">
        <v>200025888213</v>
      </c>
      <c r="G267" s="144" t="s">
        <v>181</v>
      </c>
      <c r="H267" s="144" t="n">
        <v>48</v>
      </c>
      <c r="I267" s="144" t="s">
        <v>152</v>
      </c>
      <c r="J267" s="148" t="n">
        <v>45057.7422916667</v>
      </c>
      <c r="K267" s="1" t="n">
        <v>1</v>
      </c>
      <c r="L267" s="144" t="n">
        <v>48</v>
      </c>
      <c r="M267" s="1" t="n">
        <v>8</v>
      </c>
      <c r="N267" s="1" t="n">
        <v>8</v>
      </c>
      <c r="O267" s="149" t="n">
        <v>36</v>
      </c>
    </row>
    <row r="268" customFormat="false" ht="14.25" hidden="false" customHeight="false" outlineLevel="0" collapsed="false">
      <c r="A268" s="1" t="n">
        <v>387</v>
      </c>
      <c r="B268" s="1" t="s">
        <v>473</v>
      </c>
      <c r="C268" s="143" t="n">
        <v>11490</v>
      </c>
      <c r="D268" s="143" t="s">
        <v>65</v>
      </c>
      <c r="E268" s="143" t="s">
        <v>474</v>
      </c>
      <c r="F268" s="144" t="n">
        <v>200025888213</v>
      </c>
      <c r="G268" s="144" t="s">
        <v>181</v>
      </c>
      <c r="H268" s="144" t="n">
        <v>48</v>
      </c>
      <c r="I268" s="144" t="s">
        <v>152</v>
      </c>
      <c r="J268" s="148" t="n">
        <v>45057.7424537037</v>
      </c>
      <c r="K268" s="1" t="n">
        <v>2</v>
      </c>
      <c r="L268" s="144" t="n">
        <v>48</v>
      </c>
      <c r="M268" s="1" t="n">
        <v>8</v>
      </c>
      <c r="N268" s="1" t="n">
        <v>8</v>
      </c>
      <c r="O268" s="149" t="n">
        <v>37</v>
      </c>
    </row>
    <row r="269" customFormat="false" ht="14.25" hidden="false" customHeight="false" outlineLevel="0" collapsed="false">
      <c r="A269" s="1" t="n">
        <v>388</v>
      </c>
      <c r="B269" s="1" t="s">
        <v>473</v>
      </c>
      <c r="C269" s="143" t="n">
        <v>11490</v>
      </c>
      <c r="D269" s="143" t="s">
        <v>65</v>
      </c>
      <c r="E269" s="143" t="s">
        <v>474</v>
      </c>
      <c r="F269" s="144" t="n">
        <v>200025888213</v>
      </c>
      <c r="G269" s="144" t="s">
        <v>181</v>
      </c>
      <c r="H269" s="144" t="n">
        <v>48</v>
      </c>
      <c r="I269" s="144" t="s">
        <v>152</v>
      </c>
      <c r="J269" s="148" t="n">
        <v>45057.7424884259</v>
      </c>
      <c r="K269" s="1" t="n">
        <v>3</v>
      </c>
      <c r="L269" s="144" t="n">
        <v>48</v>
      </c>
      <c r="M269" s="1" t="n">
        <v>8</v>
      </c>
      <c r="N269" s="1" t="n">
        <v>8</v>
      </c>
      <c r="O269" s="149" t="n">
        <v>38</v>
      </c>
    </row>
    <row r="270" customFormat="false" ht="14.25" hidden="false" customHeight="false" outlineLevel="0" collapsed="false">
      <c r="A270" s="1" t="n">
        <v>21</v>
      </c>
      <c r="B270" s="1" t="s">
        <v>490</v>
      </c>
      <c r="C270" s="143" t="n">
        <v>11171</v>
      </c>
      <c r="D270" s="143" t="s">
        <v>74</v>
      </c>
      <c r="E270" s="143" t="s">
        <v>474</v>
      </c>
      <c r="F270" s="144" t="n">
        <v>200025888213</v>
      </c>
      <c r="G270" s="144" t="s">
        <v>181</v>
      </c>
      <c r="H270" s="144" t="n">
        <v>48</v>
      </c>
      <c r="I270" s="144" t="s">
        <v>152</v>
      </c>
      <c r="J270" s="148" t="n">
        <v>45070.524212963</v>
      </c>
      <c r="K270" s="1" t="n">
        <v>2</v>
      </c>
      <c r="L270" s="144" t="n">
        <v>48</v>
      </c>
      <c r="M270" s="1" t="n">
        <v>8</v>
      </c>
      <c r="N270" s="1" t="n">
        <v>8</v>
      </c>
      <c r="O270" s="149" t="n">
        <v>39</v>
      </c>
    </row>
    <row r="271" customFormat="false" ht="14.25" hidden="false" customHeight="false" outlineLevel="0" collapsed="false">
      <c r="A271" s="1" t="n">
        <v>22</v>
      </c>
      <c r="B271" s="1" t="s">
        <v>490</v>
      </c>
      <c r="C271" s="143" t="n">
        <v>11171</v>
      </c>
      <c r="D271" s="143" t="s">
        <v>74</v>
      </c>
      <c r="E271" s="143" t="s">
        <v>474</v>
      </c>
      <c r="F271" s="144" t="n">
        <v>200025888213</v>
      </c>
      <c r="G271" s="144" t="s">
        <v>181</v>
      </c>
      <c r="H271" s="144" t="n">
        <v>48</v>
      </c>
      <c r="I271" s="144" t="s">
        <v>152</v>
      </c>
      <c r="J271" s="148" t="n">
        <v>45070.5243171296</v>
      </c>
      <c r="K271" s="1" t="n">
        <v>1</v>
      </c>
      <c r="L271" s="144" t="n">
        <v>48</v>
      </c>
      <c r="M271" s="1" t="n">
        <v>8</v>
      </c>
      <c r="N271" s="1" t="n">
        <v>8</v>
      </c>
      <c r="O271" s="149" t="n">
        <v>40</v>
      </c>
    </row>
    <row r="272" customFormat="false" ht="14.25" hidden="false" customHeight="false" outlineLevel="0" collapsed="false">
      <c r="A272" s="1" t="n">
        <v>23</v>
      </c>
      <c r="B272" s="1" t="s">
        <v>490</v>
      </c>
      <c r="C272" s="143" t="n">
        <v>11171</v>
      </c>
      <c r="D272" s="143" t="s">
        <v>74</v>
      </c>
      <c r="E272" s="143" t="s">
        <v>474</v>
      </c>
      <c r="F272" s="144" t="n">
        <v>200025888213</v>
      </c>
      <c r="G272" s="144" t="s">
        <v>181</v>
      </c>
      <c r="H272" s="144" t="n">
        <v>48</v>
      </c>
      <c r="I272" s="144" t="s">
        <v>152</v>
      </c>
      <c r="J272" s="148" t="n">
        <v>45070.5244212963</v>
      </c>
      <c r="K272" s="1" t="n">
        <v>0</v>
      </c>
      <c r="L272" s="144" t="n">
        <v>48</v>
      </c>
      <c r="M272" s="1" t="n">
        <v>8</v>
      </c>
      <c r="N272" s="1" t="n">
        <v>8</v>
      </c>
      <c r="O272" s="149" t="n">
        <v>41</v>
      </c>
    </row>
    <row r="273" customFormat="false" ht="14.25" hidden="false" customHeight="false" outlineLevel="0" collapsed="false">
      <c r="A273" s="1" t="n">
        <v>24</v>
      </c>
      <c r="B273" s="1" t="s">
        <v>490</v>
      </c>
      <c r="C273" s="143" t="n">
        <v>11171</v>
      </c>
      <c r="D273" s="143" t="s">
        <v>74</v>
      </c>
      <c r="E273" s="143" t="s">
        <v>474</v>
      </c>
      <c r="F273" s="144" t="n">
        <v>200025888213</v>
      </c>
      <c r="G273" s="144" t="s">
        <v>181</v>
      </c>
      <c r="H273" s="144" t="n">
        <v>48</v>
      </c>
      <c r="I273" s="144" t="s">
        <v>152</v>
      </c>
      <c r="J273" s="148" t="n">
        <v>45070.5245138889</v>
      </c>
      <c r="K273" s="1" t="n">
        <v>1</v>
      </c>
      <c r="L273" s="144" t="n">
        <v>48</v>
      </c>
      <c r="M273" s="1" t="n">
        <v>8</v>
      </c>
      <c r="N273" s="1" t="n">
        <v>8</v>
      </c>
      <c r="O273" s="149" t="n">
        <v>42</v>
      </c>
    </row>
    <row r="274" customFormat="false" ht="14.25" hidden="false" customHeight="false" outlineLevel="0" collapsed="false">
      <c r="A274" s="1" t="n">
        <v>45</v>
      </c>
      <c r="B274" s="1" t="s">
        <v>476</v>
      </c>
      <c r="C274" s="143" t="n">
        <v>91601</v>
      </c>
      <c r="D274" s="143" t="s">
        <v>65</v>
      </c>
      <c r="E274" s="143" t="s">
        <v>474</v>
      </c>
      <c r="F274" s="144" t="n">
        <v>200025888213</v>
      </c>
      <c r="G274" s="144" t="s">
        <v>181</v>
      </c>
      <c r="H274" s="144" t="n">
        <v>48</v>
      </c>
      <c r="I274" s="144" t="s">
        <v>152</v>
      </c>
      <c r="J274" s="148" t="n">
        <v>45070.5426736111</v>
      </c>
      <c r="K274" s="1" t="n">
        <v>2</v>
      </c>
      <c r="L274" s="144" t="n">
        <v>48</v>
      </c>
      <c r="M274" s="1" t="n">
        <v>8</v>
      </c>
      <c r="N274" s="1" t="n">
        <v>8</v>
      </c>
      <c r="O274" s="149" t="n">
        <v>43</v>
      </c>
    </row>
    <row r="275" customFormat="false" ht="14.25" hidden="false" customHeight="false" outlineLevel="0" collapsed="false">
      <c r="A275" s="1" t="n">
        <v>27</v>
      </c>
      <c r="B275" s="1" t="s">
        <v>490</v>
      </c>
      <c r="C275" s="143" t="n">
        <v>11171</v>
      </c>
      <c r="D275" s="143" t="s">
        <v>74</v>
      </c>
      <c r="E275" s="143" t="s">
        <v>474</v>
      </c>
      <c r="F275" s="144" t="n">
        <v>200025888213</v>
      </c>
      <c r="G275" s="144" t="s">
        <v>181</v>
      </c>
      <c r="H275" s="144" t="n">
        <v>48</v>
      </c>
      <c r="I275" s="144" t="s">
        <v>152</v>
      </c>
      <c r="J275" s="148" t="n">
        <v>45070.5510185185</v>
      </c>
      <c r="K275" s="1" t="n">
        <v>1</v>
      </c>
      <c r="L275" s="144" t="n">
        <v>48</v>
      </c>
      <c r="M275" s="1" t="n">
        <v>8</v>
      </c>
      <c r="N275" s="1" t="n">
        <v>8</v>
      </c>
      <c r="O275" s="149" t="n">
        <v>44</v>
      </c>
    </row>
    <row r="276" customFormat="false" ht="14.25" hidden="false" customHeight="false" outlineLevel="0" collapsed="false">
      <c r="A276" s="1" t="n">
        <v>48</v>
      </c>
      <c r="B276" s="1" t="s">
        <v>476</v>
      </c>
      <c r="C276" s="143" t="n">
        <v>91601</v>
      </c>
      <c r="D276" s="143" t="s">
        <v>65</v>
      </c>
      <c r="E276" s="143" t="s">
        <v>474</v>
      </c>
      <c r="F276" s="144" t="n">
        <v>200025888213</v>
      </c>
      <c r="G276" s="144" t="s">
        <v>181</v>
      </c>
      <c r="H276" s="144" t="n">
        <v>48</v>
      </c>
      <c r="I276" s="144" t="s">
        <v>152</v>
      </c>
      <c r="J276" s="148" t="n">
        <v>45070.5600462963</v>
      </c>
      <c r="K276" s="1" t="n">
        <v>1</v>
      </c>
      <c r="L276" s="144" t="n">
        <v>48</v>
      </c>
      <c r="M276" s="1" t="n">
        <v>8</v>
      </c>
      <c r="N276" s="1" t="n">
        <v>8</v>
      </c>
      <c r="O276" s="149" t="n">
        <v>45</v>
      </c>
    </row>
    <row r="277" customFormat="false" ht="14.25" hidden="false" customHeight="false" outlineLevel="0" collapsed="false">
      <c r="A277" s="1" t="n">
        <v>67</v>
      </c>
      <c r="B277" s="1" t="s">
        <v>476</v>
      </c>
      <c r="C277" s="143" t="n">
        <v>91601</v>
      </c>
      <c r="D277" s="143" t="s">
        <v>65</v>
      </c>
      <c r="E277" s="143" t="s">
        <v>474</v>
      </c>
      <c r="F277" s="144" t="n">
        <v>200025888213</v>
      </c>
      <c r="G277" s="144" t="s">
        <v>181</v>
      </c>
      <c r="H277" s="144" t="n">
        <v>48</v>
      </c>
      <c r="I277" s="144" t="s">
        <v>152</v>
      </c>
      <c r="J277" s="148" t="n">
        <v>45071.5159027778</v>
      </c>
      <c r="K277" s="1" t="n">
        <v>0</v>
      </c>
      <c r="L277" s="144" t="n">
        <v>48</v>
      </c>
      <c r="M277" s="1" t="n">
        <v>8</v>
      </c>
      <c r="N277" s="1" t="n">
        <v>8</v>
      </c>
      <c r="O277" s="149" t="n">
        <v>46</v>
      </c>
    </row>
    <row r="278" customFormat="false" ht="14.25" hidden="false" customHeight="false" outlineLevel="0" collapsed="false">
      <c r="A278" s="1" t="n">
        <v>9</v>
      </c>
      <c r="B278" s="1" t="s">
        <v>476</v>
      </c>
      <c r="C278" s="143" t="s">
        <v>58</v>
      </c>
      <c r="D278" s="143" t="s">
        <v>59</v>
      </c>
      <c r="E278" s="143" t="s">
        <v>474</v>
      </c>
      <c r="F278" s="144" t="n">
        <v>200025889180</v>
      </c>
      <c r="G278" s="144" t="s">
        <v>368</v>
      </c>
      <c r="H278" s="144" t="n">
        <v>34</v>
      </c>
      <c r="I278" s="144" t="s">
        <v>152</v>
      </c>
      <c r="J278" s="148" t="n">
        <v>45055.6958333333</v>
      </c>
      <c r="K278" s="1" t="n">
        <v>2</v>
      </c>
      <c r="L278" s="144" t="n">
        <v>34</v>
      </c>
      <c r="M278" s="1" t="n">
        <v>9</v>
      </c>
      <c r="N278" s="1" t="n">
        <v>9</v>
      </c>
      <c r="O278" s="149" t="n">
        <v>1</v>
      </c>
    </row>
    <row r="279" customFormat="false" ht="14.25" hidden="false" customHeight="false" outlineLevel="0" collapsed="false">
      <c r="A279" s="1" t="n">
        <v>134</v>
      </c>
      <c r="B279" s="1" t="s">
        <v>477</v>
      </c>
      <c r="C279" s="143" t="n">
        <v>91601</v>
      </c>
      <c r="D279" s="143" t="s">
        <v>64</v>
      </c>
      <c r="E279" s="143" t="s">
        <v>474</v>
      </c>
      <c r="F279" s="144" t="n">
        <v>200025889180</v>
      </c>
      <c r="G279" s="144" t="s">
        <v>368</v>
      </c>
      <c r="H279" s="144" t="n">
        <v>34</v>
      </c>
      <c r="I279" s="144" t="s">
        <v>152</v>
      </c>
      <c r="J279" s="150" t="n">
        <v>45056.7248032407</v>
      </c>
      <c r="K279" s="1" t="n">
        <v>1</v>
      </c>
      <c r="L279" s="144" t="n">
        <v>34</v>
      </c>
      <c r="M279" s="1" t="n">
        <v>9</v>
      </c>
      <c r="N279" s="1" t="n">
        <v>9</v>
      </c>
      <c r="O279" s="149" t="n">
        <v>2</v>
      </c>
    </row>
    <row r="280" customFormat="false" ht="14.25" hidden="false" customHeight="false" outlineLevel="0" collapsed="false">
      <c r="A280" s="1" t="n">
        <v>393</v>
      </c>
      <c r="B280" s="1" t="s">
        <v>473</v>
      </c>
      <c r="C280" s="143" t="n">
        <v>11490</v>
      </c>
      <c r="D280" s="143" t="s">
        <v>65</v>
      </c>
      <c r="E280" s="143" t="s">
        <v>474</v>
      </c>
      <c r="F280" s="144" t="n">
        <v>200025889180</v>
      </c>
      <c r="G280" s="144" t="s">
        <v>368</v>
      </c>
      <c r="H280" s="144" t="n">
        <v>34</v>
      </c>
      <c r="I280" s="144" t="s">
        <v>152</v>
      </c>
      <c r="J280" s="148" t="n">
        <v>45057.7786458333</v>
      </c>
      <c r="K280" s="1" t="n">
        <v>1</v>
      </c>
      <c r="L280" s="144" t="n">
        <v>34</v>
      </c>
      <c r="M280" s="1" t="n">
        <v>9</v>
      </c>
      <c r="N280" s="1" t="n">
        <v>9</v>
      </c>
      <c r="O280" s="149" t="n">
        <v>3</v>
      </c>
    </row>
    <row r="281" customFormat="false" ht="14.25" hidden="false" customHeight="false" outlineLevel="0" collapsed="false">
      <c r="A281" s="1" t="n">
        <v>394</v>
      </c>
      <c r="B281" s="1" t="s">
        <v>473</v>
      </c>
      <c r="C281" s="143" t="n">
        <v>11490</v>
      </c>
      <c r="D281" s="143" t="s">
        <v>65</v>
      </c>
      <c r="E281" s="143" t="s">
        <v>474</v>
      </c>
      <c r="F281" s="144" t="n">
        <v>200025889180</v>
      </c>
      <c r="G281" s="144" t="s">
        <v>368</v>
      </c>
      <c r="H281" s="144" t="n">
        <v>34</v>
      </c>
      <c r="I281" s="144" t="s">
        <v>152</v>
      </c>
      <c r="J281" s="148" t="n">
        <v>45057.7790972222</v>
      </c>
      <c r="K281" s="1" t="n">
        <v>1</v>
      </c>
      <c r="L281" s="144" t="n">
        <v>34</v>
      </c>
      <c r="M281" s="1" t="n">
        <v>9</v>
      </c>
      <c r="N281" s="1" t="n">
        <v>9</v>
      </c>
      <c r="O281" s="149" t="n">
        <v>4</v>
      </c>
    </row>
    <row r="282" customFormat="false" ht="14.25" hidden="false" customHeight="false" outlineLevel="0" collapsed="false">
      <c r="A282" s="1" t="n">
        <v>395</v>
      </c>
      <c r="B282" s="1" t="s">
        <v>473</v>
      </c>
      <c r="C282" s="143" t="n">
        <v>11490</v>
      </c>
      <c r="D282" s="143" t="s">
        <v>65</v>
      </c>
      <c r="E282" s="143" t="s">
        <v>474</v>
      </c>
      <c r="F282" s="144" t="n">
        <v>200025889180</v>
      </c>
      <c r="G282" s="144" t="s">
        <v>368</v>
      </c>
      <c r="H282" s="144" t="n">
        <v>34</v>
      </c>
      <c r="I282" s="144" t="s">
        <v>152</v>
      </c>
      <c r="J282" s="148" t="n">
        <v>45057.7794907407</v>
      </c>
      <c r="K282" s="1" t="n">
        <v>2</v>
      </c>
      <c r="L282" s="144" t="n">
        <v>34</v>
      </c>
      <c r="M282" s="1" t="n">
        <v>9</v>
      </c>
      <c r="N282" s="1" t="n">
        <v>9</v>
      </c>
      <c r="O282" s="149" t="n">
        <v>5</v>
      </c>
    </row>
    <row r="283" customFormat="false" ht="14.25" hidden="false" customHeight="false" outlineLevel="0" collapsed="false">
      <c r="A283" s="1" t="n">
        <v>396</v>
      </c>
      <c r="B283" s="1" t="s">
        <v>473</v>
      </c>
      <c r="C283" s="143" t="n">
        <v>11490</v>
      </c>
      <c r="D283" s="143" t="s">
        <v>65</v>
      </c>
      <c r="E283" s="143" t="s">
        <v>474</v>
      </c>
      <c r="F283" s="144" t="n">
        <v>200025889180</v>
      </c>
      <c r="G283" s="144" t="s">
        <v>368</v>
      </c>
      <c r="H283" s="144" t="n">
        <v>34</v>
      </c>
      <c r="I283" s="144" t="s">
        <v>152</v>
      </c>
      <c r="J283" s="148" t="n">
        <v>45057.7796412037</v>
      </c>
      <c r="K283" s="1" t="n">
        <v>1</v>
      </c>
      <c r="L283" s="144" t="n">
        <v>34</v>
      </c>
      <c r="M283" s="1" t="n">
        <v>9</v>
      </c>
      <c r="N283" s="1" t="n">
        <v>9</v>
      </c>
      <c r="O283" s="149" t="n">
        <v>6</v>
      </c>
    </row>
    <row r="284" customFormat="false" ht="14.25" hidden="false" customHeight="false" outlineLevel="0" collapsed="false">
      <c r="A284" s="1" t="n">
        <v>397</v>
      </c>
      <c r="B284" s="1" t="s">
        <v>473</v>
      </c>
      <c r="C284" s="143" t="n">
        <v>11490</v>
      </c>
      <c r="D284" s="143" t="s">
        <v>65</v>
      </c>
      <c r="E284" s="143" t="s">
        <v>474</v>
      </c>
      <c r="F284" s="144" t="n">
        <v>200025889180</v>
      </c>
      <c r="G284" s="144" t="s">
        <v>368</v>
      </c>
      <c r="H284" s="144" t="n">
        <v>34</v>
      </c>
      <c r="I284" s="144" t="s">
        <v>152</v>
      </c>
      <c r="J284" s="148" t="n">
        <v>45057.7799305556</v>
      </c>
      <c r="K284" s="1" t="n">
        <v>2</v>
      </c>
      <c r="L284" s="144" t="n">
        <v>34</v>
      </c>
      <c r="M284" s="1" t="n">
        <v>9</v>
      </c>
      <c r="N284" s="1" t="n">
        <v>9</v>
      </c>
      <c r="O284" s="149" t="n">
        <v>7</v>
      </c>
    </row>
    <row r="285" customFormat="false" ht="14.25" hidden="false" customHeight="false" outlineLevel="0" collapsed="false">
      <c r="A285" s="1" t="n">
        <v>398</v>
      </c>
      <c r="B285" s="1" t="s">
        <v>473</v>
      </c>
      <c r="C285" s="143" t="n">
        <v>11490</v>
      </c>
      <c r="D285" s="143" t="s">
        <v>65</v>
      </c>
      <c r="E285" s="143" t="s">
        <v>474</v>
      </c>
      <c r="F285" s="144" t="n">
        <v>200025889180</v>
      </c>
      <c r="G285" s="144" t="s">
        <v>368</v>
      </c>
      <c r="H285" s="144" t="n">
        <v>34</v>
      </c>
      <c r="I285" s="144" t="s">
        <v>152</v>
      </c>
      <c r="J285" s="148" t="n">
        <v>45057.7800578704</v>
      </c>
      <c r="K285" s="1" t="n">
        <v>4</v>
      </c>
      <c r="L285" s="144" t="n">
        <v>34</v>
      </c>
      <c r="M285" s="1" t="n">
        <v>9</v>
      </c>
      <c r="N285" s="1" t="n">
        <v>9</v>
      </c>
      <c r="O285" s="149" t="n">
        <v>8</v>
      </c>
    </row>
    <row r="286" customFormat="false" ht="14.25" hidden="false" customHeight="false" outlineLevel="0" collapsed="false">
      <c r="A286" s="1" t="n">
        <v>399</v>
      </c>
      <c r="B286" s="1" t="s">
        <v>473</v>
      </c>
      <c r="C286" s="143" t="n">
        <v>11490</v>
      </c>
      <c r="D286" s="143" t="s">
        <v>65</v>
      </c>
      <c r="E286" s="143" t="s">
        <v>474</v>
      </c>
      <c r="F286" s="144" t="n">
        <v>200025889180</v>
      </c>
      <c r="G286" s="144" t="s">
        <v>368</v>
      </c>
      <c r="H286" s="144" t="n">
        <v>34</v>
      </c>
      <c r="I286" s="144" t="s">
        <v>152</v>
      </c>
      <c r="J286" s="148" t="n">
        <v>45057.7801851852</v>
      </c>
      <c r="K286" s="1" t="n">
        <v>1</v>
      </c>
      <c r="L286" s="144" t="n">
        <v>34</v>
      </c>
      <c r="M286" s="1" t="n">
        <v>9</v>
      </c>
      <c r="N286" s="1" t="n">
        <v>9</v>
      </c>
      <c r="O286" s="149" t="n">
        <v>9</v>
      </c>
    </row>
    <row r="287" customFormat="false" ht="14.25" hidden="false" customHeight="false" outlineLevel="0" collapsed="false">
      <c r="A287" s="1" t="n">
        <v>400</v>
      </c>
      <c r="B287" s="1" t="s">
        <v>473</v>
      </c>
      <c r="C287" s="143" t="n">
        <v>11490</v>
      </c>
      <c r="D287" s="143" t="s">
        <v>65</v>
      </c>
      <c r="E287" s="143" t="s">
        <v>474</v>
      </c>
      <c r="F287" s="144" t="n">
        <v>200025889180</v>
      </c>
      <c r="G287" s="144" t="s">
        <v>368</v>
      </c>
      <c r="H287" s="144" t="n">
        <v>34</v>
      </c>
      <c r="I287" s="144" t="s">
        <v>152</v>
      </c>
      <c r="J287" s="148" t="n">
        <v>45057.7803125</v>
      </c>
      <c r="K287" s="1" t="n">
        <v>1</v>
      </c>
      <c r="L287" s="144" t="n">
        <v>34</v>
      </c>
      <c r="M287" s="1" t="n">
        <v>9</v>
      </c>
      <c r="N287" s="1" t="n">
        <v>9</v>
      </c>
      <c r="O287" s="149" t="n">
        <v>10</v>
      </c>
    </row>
    <row r="288" customFormat="false" ht="14.25" hidden="false" customHeight="false" outlineLevel="0" collapsed="false">
      <c r="A288" s="1" t="n">
        <v>401</v>
      </c>
      <c r="B288" s="1" t="s">
        <v>473</v>
      </c>
      <c r="C288" s="143" t="n">
        <v>11490</v>
      </c>
      <c r="D288" s="143" t="s">
        <v>65</v>
      </c>
      <c r="E288" s="143" t="s">
        <v>474</v>
      </c>
      <c r="F288" s="144" t="n">
        <v>200025889180</v>
      </c>
      <c r="G288" s="144" t="s">
        <v>368</v>
      </c>
      <c r="H288" s="144" t="n">
        <v>34</v>
      </c>
      <c r="I288" s="144" t="s">
        <v>152</v>
      </c>
      <c r="J288" s="148" t="n">
        <v>45057.7823958333</v>
      </c>
      <c r="K288" s="1" t="n">
        <v>2</v>
      </c>
      <c r="L288" s="144" t="n">
        <v>34</v>
      </c>
      <c r="M288" s="1" t="n">
        <v>9</v>
      </c>
      <c r="N288" s="1" t="n">
        <v>9</v>
      </c>
      <c r="O288" s="149" t="n">
        <v>11</v>
      </c>
    </row>
    <row r="289" customFormat="false" ht="14.25" hidden="false" customHeight="false" outlineLevel="0" collapsed="false">
      <c r="A289" s="1" t="n">
        <v>402</v>
      </c>
      <c r="B289" s="1" t="s">
        <v>473</v>
      </c>
      <c r="C289" s="143" t="n">
        <v>11490</v>
      </c>
      <c r="D289" s="143" t="s">
        <v>65</v>
      </c>
      <c r="E289" s="143" t="s">
        <v>474</v>
      </c>
      <c r="F289" s="144" t="n">
        <v>200025889180</v>
      </c>
      <c r="G289" s="144" t="s">
        <v>368</v>
      </c>
      <c r="H289" s="144" t="n">
        <v>34</v>
      </c>
      <c r="I289" s="144" t="s">
        <v>152</v>
      </c>
      <c r="J289" s="148" t="n">
        <v>45057.7849884259</v>
      </c>
      <c r="K289" s="1" t="n">
        <v>1</v>
      </c>
      <c r="L289" s="144" t="n">
        <v>34</v>
      </c>
      <c r="M289" s="1" t="n">
        <v>9</v>
      </c>
      <c r="N289" s="1" t="n">
        <v>9</v>
      </c>
      <c r="O289" s="149" t="n">
        <v>12</v>
      </c>
    </row>
    <row r="290" customFormat="false" ht="14.25" hidden="false" customHeight="false" outlineLevel="0" collapsed="false">
      <c r="A290" s="1" t="n">
        <v>403</v>
      </c>
      <c r="B290" s="1" t="s">
        <v>473</v>
      </c>
      <c r="C290" s="143" t="n">
        <v>11490</v>
      </c>
      <c r="D290" s="143" t="s">
        <v>65</v>
      </c>
      <c r="E290" s="143" t="s">
        <v>474</v>
      </c>
      <c r="F290" s="144" t="n">
        <v>200025889180</v>
      </c>
      <c r="G290" s="144" t="s">
        <v>368</v>
      </c>
      <c r="H290" s="144" t="n">
        <v>34</v>
      </c>
      <c r="I290" s="144" t="s">
        <v>152</v>
      </c>
      <c r="J290" s="148" t="n">
        <v>45057.7852430556</v>
      </c>
      <c r="K290" s="1" t="n">
        <v>1</v>
      </c>
      <c r="L290" s="144" t="n">
        <v>34</v>
      </c>
      <c r="M290" s="1" t="n">
        <v>9</v>
      </c>
      <c r="N290" s="1" t="n">
        <v>9</v>
      </c>
      <c r="O290" s="149" t="n">
        <v>13</v>
      </c>
    </row>
    <row r="291" customFormat="false" ht="14.25" hidden="false" customHeight="false" outlineLevel="0" collapsed="false">
      <c r="A291" s="1" t="n">
        <v>404</v>
      </c>
      <c r="B291" s="1" t="s">
        <v>473</v>
      </c>
      <c r="C291" s="143" t="n">
        <v>11490</v>
      </c>
      <c r="D291" s="143" t="s">
        <v>65</v>
      </c>
      <c r="E291" s="143" t="s">
        <v>474</v>
      </c>
      <c r="F291" s="144" t="n">
        <v>200025889180</v>
      </c>
      <c r="G291" s="144" t="s">
        <v>368</v>
      </c>
      <c r="H291" s="144" t="n">
        <v>34</v>
      </c>
      <c r="I291" s="144" t="s">
        <v>152</v>
      </c>
      <c r="J291" s="148" t="n">
        <v>45057.7856712963</v>
      </c>
      <c r="K291" s="1" t="n">
        <v>1</v>
      </c>
      <c r="L291" s="144" t="n">
        <v>34</v>
      </c>
      <c r="M291" s="1" t="n">
        <v>9</v>
      </c>
      <c r="N291" s="1" t="n">
        <v>9</v>
      </c>
      <c r="O291" s="149" t="n">
        <v>14</v>
      </c>
    </row>
    <row r="292" customFormat="false" ht="14.25" hidden="false" customHeight="false" outlineLevel="0" collapsed="false">
      <c r="A292" s="1" t="n">
        <v>405</v>
      </c>
      <c r="B292" s="1" t="s">
        <v>473</v>
      </c>
      <c r="C292" s="143" t="n">
        <v>11490</v>
      </c>
      <c r="D292" s="143" t="s">
        <v>65</v>
      </c>
      <c r="E292" s="143" t="s">
        <v>474</v>
      </c>
      <c r="F292" s="144" t="n">
        <v>200025889180</v>
      </c>
      <c r="G292" s="144" t="s">
        <v>368</v>
      </c>
      <c r="H292" s="144" t="n">
        <v>34</v>
      </c>
      <c r="I292" s="144" t="s">
        <v>152</v>
      </c>
      <c r="J292" s="148" t="n">
        <v>45057.7857060185</v>
      </c>
      <c r="K292" s="1" t="n">
        <v>1</v>
      </c>
      <c r="L292" s="144" t="n">
        <v>34</v>
      </c>
      <c r="M292" s="1" t="n">
        <v>9</v>
      </c>
      <c r="N292" s="1" t="n">
        <v>9</v>
      </c>
      <c r="O292" s="149" t="n">
        <v>15</v>
      </c>
    </row>
    <row r="293" customFormat="false" ht="14.25" hidden="false" customHeight="false" outlineLevel="0" collapsed="false">
      <c r="A293" s="1" t="n">
        <v>406</v>
      </c>
      <c r="B293" s="1" t="s">
        <v>473</v>
      </c>
      <c r="C293" s="143" t="n">
        <v>11490</v>
      </c>
      <c r="D293" s="143" t="s">
        <v>65</v>
      </c>
      <c r="E293" s="143" t="s">
        <v>474</v>
      </c>
      <c r="F293" s="144" t="n">
        <v>200025889180</v>
      </c>
      <c r="G293" s="144" t="s">
        <v>368</v>
      </c>
      <c r="H293" s="144" t="n">
        <v>34</v>
      </c>
      <c r="I293" s="144" t="s">
        <v>152</v>
      </c>
      <c r="J293" s="148" t="n">
        <v>45057.7858680556</v>
      </c>
      <c r="K293" s="1" t="n">
        <v>1</v>
      </c>
      <c r="L293" s="144" t="n">
        <v>34</v>
      </c>
      <c r="M293" s="1" t="n">
        <v>9</v>
      </c>
      <c r="N293" s="1" t="n">
        <v>9</v>
      </c>
      <c r="O293" s="149" t="n">
        <v>16</v>
      </c>
    </row>
    <row r="294" customFormat="false" ht="14.25" hidden="false" customHeight="false" outlineLevel="0" collapsed="false">
      <c r="A294" s="1" t="n">
        <v>407</v>
      </c>
      <c r="B294" s="1" t="s">
        <v>473</v>
      </c>
      <c r="C294" s="143" t="n">
        <v>11490</v>
      </c>
      <c r="D294" s="143" t="s">
        <v>65</v>
      </c>
      <c r="E294" s="143" t="s">
        <v>474</v>
      </c>
      <c r="F294" s="144" t="n">
        <v>200025889180</v>
      </c>
      <c r="G294" s="144" t="s">
        <v>368</v>
      </c>
      <c r="H294" s="144" t="n">
        <v>34</v>
      </c>
      <c r="I294" s="144" t="s">
        <v>152</v>
      </c>
      <c r="J294" s="148" t="n">
        <v>45057.7861111111</v>
      </c>
      <c r="K294" s="1" t="n">
        <v>1</v>
      </c>
      <c r="L294" s="144" t="n">
        <v>34</v>
      </c>
      <c r="M294" s="1" t="n">
        <v>9</v>
      </c>
      <c r="N294" s="1" t="n">
        <v>9</v>
      </c>
      <c r="O294" s="149" t="n">
        <v>17</v>
      </c>
    </row>
    <row r="295" customFormat="false" ht="14.25" hidden="false" customHeight="false" outlineLevel="0" collapsed="false">
      <c r="A295" s="1" t="n">
        <v>408</v>
      </c>
      <c r="B295" s="1" t="s">
        <v>473</v>
      </c>
      <c r="C295" s="143" t="n">
        <v>11490</v>
      </c>
      <c r="D295" s="143" t="s">
        <v>65</v>
      </c>
      <c r="E295" s="143" t="s">
        <v>474</v>
      </c>
      <c r="F295" s="144" t="n">
        <v>200025889180</v>
      </c>
      <c r="G295" s="144" t="s">
        <v>368</v>
      </c>
      <c r="H295" s="144" t="n">
        <v>34</v>
      </c>
      <c r="I295" s="144" t="s">
        <v>152</v>
      </c>
      <c r="J295" s="148" t="n">
        <v>45057.7875694444</v>
      </c>
      <c r="K295" s="1" t="n">
        <v>2</v>
      </c>
      <c r="L295" s="144" t="n">
        <v>34</v>
      </c>
      <c r="M295" s="1" t="n">
        <v>9</v>
      </c>
      <c r="N295" s="1" t="n">
        <v>9</v>
      </c>
      <c r="O295" s="149" t="n">
        <v>18</v>
      </c>
    </row>
    <row r="296" customFormat="false" ht="14.25" hidden="false" customHeight="false" outlineLevel="0" collapsed="false">
      <c r="A296" s="1" t="n">
        <v>409</v>
      </c>
      <c r="B296" s="1" t="s">
        <v>473</v>
      </c>
      <c r="C296" s="143" t="n">
        <v>11490</v>
      </c>
      <c r="D296" s="143" t="s">
        <v>65</v>
      </c>
      <c r="E296" s="143" t="s">
        <v>474</v>
      </c>
      <c r="F296" s="144" t="n">
        <v>200025889180</v>
      </c>
      <c r="G296" s="144" t="s">
        <v>368</v>
      </c>
      <c r="H296" s="144" t="n">
        <v>34</v>
      </c>
      <c r="I296" s="144" t="s">
        <v>152</v>
      </c>
      <c r="J296" s="148" t="n">
        <v>45057.7895949074</v>
      </c>
      <c r="K296" s="1" t="n">
        <v>4</v>
      </c>
      <c r="L296" s="144" t="n">
        <v>34</v>
      </c>
      <c r="M296" s="1" t="n">
        <v>9</v>
      </c>
      <c r="N296" s="1" t="n">
        <v>9</v>
      </c>
      <c r="O296" s="149" t="n">
        <v>19</v>
      </c>
    </row>
    <row r="297" customFormat="false" ht="14.25" hidden="false" customHeight="false" outlineLevel="0" collapsed="false">
      <c r="A297" s="1" t="n">
        <v>412</v>
      </c>
      <c r="B297" s="1" t="s">
        <v>473</v>
      </c>
      <c r="C297" s="143" t="n">
        <v>11490</v>
      </c>
      <c r="D297" s="143" t="s">
        <v>65</v>
      </c>
      <c r="E297" s="143" t="s">
        <v>474</v>
      </c>
      <c r="F297" s="144" t="n">
        <v>200025889180</v>
      </c>
      <c r="G297" s="144" t="s">
        <v>368</v>
      </c>
      <c r="H297" s="144" t="n">
        <v>34</v>
      </c>
      <c r="I297" s="144" t="s">
        <v>152</v>
      </c>
      <c r="J297" s="148" t="n">
        <v>45057.7933101852</v>
      </c>
      <c r="K297" s="1" t="n">
        <v>2</v>
      </c>
      <c r="L297" s="144" t="n">
        <v>34</v>
      </c>
      <c r="M297" s="1" t="n">
        <v>9</v>
      </c>
      <c r="N297" s="1" t="n">
        <v>9</v>
      </c>
      <c r="O297" s="149" t="n">
        <v>20</v>
      </c>
    </row>
    <row r="298" customFormat="false" ht="14.25" hidden="false" customHeight="false" outlineLevel="0" collapsed="false">
      <c r="A298" s="1" t="n">
        <v>435</v>
      </c>
      <c r="B298" s="1" t="s">
        <v>473</v>
      </c>
      <c r="C298" s="143" t="n">
        <v>11490</v>
      </c>
      <c r="D298" s="143" t="s">
        <v>65</v>
      </c>
      <c r="E298" s="143" t="s">
        <v>474</v>
      </c>
      <c r="F298" s="144" t="n">
        <v>200025889180</v>
      </c>
      <c r="G298" s="144" t="s">
        <v>368</v>
      </c>
      <c r="H298" s="144" t="n">
        <v>34</v>
      </c>
      <c r="I298" s="144" t="s">
        <v>152</v>
      </c>
      <c r="J298" s="148" t="n">
        <v>45057.8384027778</v>
      </c>
      <c r="K298" s="1" t="n">
        <v>0</v>
      </c>
      <c r="L298" s="144" t="n">
        <v>34</v>
      </c>
      <c r="M298" s="1" t="n">
        <v>9</v>
      </c>
      <c r="N298" s="1" t="n">
        <v>9</v>
      </c>
      <c r="O298" s="149" t="n">
        <v>21</v>
      </c>
    </row>
    <row r="299" customFormat="false" ht="14.25" hidden="false" customHeight="false" outlineLevel="0" collapsed="false">
      <c r="A299" s="1" t="n">
        <v>436</v>
      </c>
      <c r="B299" s="1" t="s">
        <v>473</v>
      </c>
      <c r="C299" s="143" t="n">
        <v>11490</v>
      </c>
      <c r="D299" s="143" t="s">
        <v>65</v>
      </c>
      <c r="E299" s="143" t="s">
        <v>474</v>
      </c>
      <c r="F299" s="144" t="n">
        <v>200025889180</v>
      </c>
      <c r="G299" s="144" t="s">
        <v>368</v>
      </c>
      <c r="H299" s="144" t="n">
        <v>34</v>
      </c>
      <c r="I299" s="144" t="s">
        <v>152</v>
      </c>
      <c r="J299" s="148" t="n">
        <v>45057.8384606482</v>
      </c>
      <c r="K299" s="1" t="n">
        <v>1</v>
      </c>
      <c r="L299" s="144" t="n">
        <v>34</v>
      </c>
      <c r="M299" s="1" t="n">
        <v>9</v>
      </c>
      <c r="N299" s="1" t="n">
        <v>9</v>
      </c>
      <c r="O299" s="149" t="n">
        <v>22</v>
      </c>
    </row>
    <row r="300" customFormat="false" ht="14.25" hidden="false" customHeight="false" outlineLevel="0" collapsed="false">
      <c r="A300" s="1" t="n">
        <v>437</v>
      </c>
      <c r="B300" s="1" t="s">
        <v>473</v>
      </c>
      <c r="C300" s="143" t="n">
        <v>11490</v>
      </c>
      <c r="D300" s="143" t="s">
        <v>65</v>
      </c>
      <c r="E300" s="143" t="s">
        <v>474</v>
      </c>
      <c r="F300" s="144" t="n">
        <v>200025889180</v>
      </c>
      <c r="G300" s="144" t="s">
        <v>368</v>
      </c>
      <c r="H300" s="144" t="n">
        <v>34</v>
      </c>
      <c r="I300" s="144" t="s">
        <v>152</v>
      </c>
      <c r="J300" s="148" t="n">
        <v>45057.838599537</v>
      </c>
      <c r="K300" s="1" t="n">
        <v>2</v>
      </c>
      <c r="L300" s="144" t="n">
        <v>34</v>
      </c>
      <c r="M300" s="1" t="n">
        <v>9</v>
      </c>
      <c r="N300" s="1" t="n">
        <v>9</v>
      </c>
      <c r="O300" s="149" t="n">
        <v>23</v>
      </c>
    </row>
    <row r="301" customFormat="false" ht="14.25" hidden="false" customHeight="false" outlineLevel="0" collapsed="false">
      <c r="A301" s="1" t="n">
        <v>306</v>
      </c>
      <c r="B301" s="1" t="s">
        <v>476</v>
      </c>
      <c r="C301" s="143" t="s">
        <v>58</v>
      </c>
      <c r="D301" s="143" t="s">
        <v>59</v>
      </c>
      <c r="E301" s="143" t="s">
        <v>474</v>
      </c>
      <c r="F301" s="144" t="n">
        <v>200025889180</v>
      </c>
      <c r="G301" s="144" t="s">
        <v>368</v>
      </c>
      <c r="H301" s="144" t="n">
        <v>34</v>
      </c>
      <c r="I301" s="144" t="s">
        <v>152</v>
      </c>
      <c r="J301" s="148" t="n">
        <v>45057.9390277778</v>
      </c>
      <c r="K301" s="1" t="n">
        <v>1</v>
      </c>
      <c r="L301" s="144" t="n">
        <v>34</v>
      </c>
      <c r="M301" s="1" t="n">
        <v>9</v>
      </c>
      <c r="N301" s="1" t="n">
        <v>9</v>
      </c>
      <c r="O301" s="149" t="n">
        <v>24</v>
      </c>
    </row>
    <row r="302" customFormat="false" ht="14.25" hidden="false" customHeight="false" outlineLevel="0" collapsed="false">
      <c r="A302" s="1" t="n">
        <v>307</v>
      </c>
      <c r="B302" s="1" t="s">
        <v>476</v>
      </c>
      <c r="C302" s="143" t="s">
        <v>58</v>
      </c>
      <c r="D302" s="143" t="s">
        <v>59</v>
      </c>
      <c r="E302" s="143" t="s">
        <v>474</v>
      </c>
      <c r="F302" s="144" t="n">
        <v>200025889180</v>
      </c>
      <c r="G302" s="144" t="s">
        <v>368</v>
      </c>
      <c r="H302" s="144" t="n">
        <v>34</v>
      </c>
      <c r="I302" s="144" t="s">
        <v>152</v>
      </c>
      <c r="J302" s="148" t="n">
        <v>45057.9412731482</v>
      </c>
      <c r="K302" s="1" t="n">
        <v>1</v>
      </c>
      <c r="L302" s="144" t="n">
        <v>34</v>
      </c>
      <c r="M302" s="1" t="n">
        <v>9</v>
      </c>
      <c r="N302" s="1" t="n">
        <v>9</v>
      </c>
      <c r="O302" s="149" t="n">
        <v>25</v>
      </c>
    </row>
    <row r="303" customFormat="false" ht="14.25" hidden="false" customHeight="false" outlineLevel="0" collapsed="false">
      <c r="A303" s="1" t="n">
        <v>308</v>
      </c>
      <c r="B303" s="1" t="s">
        <v>476</v>
      </c>
      <c r="C303" s="143" t="s">
        <v>58</v>
      </c>
      <c r="D303" s="143" t="s">
        <v>59</v>
      </c>
      <c r="E303" s="143" t="s">
        <v>474</v>
      </c>
      <c r="F303" s="144" t="n">
        <v>200025889180</v>
      </c>
      <c r="G303" s="144" t="s">
        <v>368</v>
      </c>
      <c r="H303" s="144" t="n">
        <v>34</v>
      </c>
      <c r="I303" s="144" t="s">
        <v>152</v>
      </c>
      <c r="J303" s="148" t="n">
        <v>45057.9416550926</v>
      </c>
      <c r="K303" s="1" t="n">
        <v>2</v>
      </c>
      <c r="L303" s="144" t="n">
        <v>34</v>
      </c>
      <c r="M303" s="1" t="n">
        <v>9</v>
      </c>
      <c r="N303" s="1" t="n">
        <v>9</v>
      </c>
      <c r="O303" s="149" t="n">
        <v>26</v>
      </c>
    </row>
    <row r="304" customFormat="false" ht="14.25" hidden="false" customHeight="false" outlineLevel="0" collapsed="false">
      <c r="A304" s="1" t="n">
        <v>278</v>
      </c>
      <c r="B304" s="1" t="s">
        <v>475</v>
      </c>
      <c r="C304" s="143" t="s">
        <v>52</v>
      </c>
      <c r="D304" s="143" t="s">
        <v>53</v>
      </c>
      <c r="E304" s="143" t="s">
        <v>474</v>
      </c>
      <c r="F304" s="144" t="n">
        <v>200025889180</v>
      </c>
      <c r="G304" s="144" t="s">
        <v>368</v>
      </c>
      <c r="H304" s="144" t="n">
        <v>34</v>
      </c>
      <c r="I304" s="144" t="s">
        <v>152</v>
      </c>
      <c r="J304" s="148" t="n">
        <v>45057.9636805556</v>
      </c>
      <c r="K304" s="1" t="n">
        <v>1</v>
      </c>
      <c r="L304" s="144" t="n">
        <v>34</v>
      </c>
      <c r="M304" s="1" t="n">
        <v>9</v>
      </c>
      <c r="N304" s="1" t="n">
        <v>9</v>
      </c>
      <c r="O304" s="149" t="n">
        <v>27</v>
      </c>
    </row>
    <row r="305" customFormat="false" ht="14.25" hidden="false" customHeight="false" outlineLevel="0" collapsed="false">
      <c r="A305" s="1" t="n">
        <v>468</v>
      </c>
      <c r="B305" s="1" t="s">
        <v>473</v>
      </c>
      <c r="C305" s="143" t="n">
        <v>11490</v>
      </c>
      <c r="D305" s="143" t="s">
        <v>65</v>
      </c>
      <c r="E305" s="143" t="s">
        <v>474</v>
      </c>
      <c r="F305" s="144" t="n">
        <v>200025889180</v>
      </c>
      <c r="G305" s="144" t="s">
        <v>368</v>
      </c>
      <c r="H305" s="144" t="n">
        <v>34</v>
      </c>
      <c r="I305" s="144" t="s">
        <v>152</v>
      </c>
      <c r="J305" s="148" t="n">
        <v>45058.0172106482</v>
      </c>
      <c r="K305" s="1" t="n">
        <v>2</v>
      </c>
      <c r="L305" s="144" t="n">
        <v>34</v>
      </c>
      <c r="M305" s="1" t="n">
        <v>9</v>
      </c>
      <c r="N305" s="1" t="n">
        <v>9</v>
      </c>
      <c r="O305" s="149" t="n">
        <v>28</v>
      </c>
    </row>
    <row r="306" customFormat="false" ht="14.25" hidden="false" customHeight="false" outlineLevel="0" collapsed="false">
      <c r="A306" s="1" t="n">
        <v>469</v>
      </c>
      <c r="B306" s="1" t="s">
        <v>473</v>
      </c>
      <c r="C306" s="143" t="n">
        <v>11490</v>
      </c>
      <c r="D306" s="143" t="s">
        <v>65</v>
      </c>
      <c r="E306" s="143" t="s">
        <v>474</v>
      </c>
      <c r="F306" s="144" t="n">
        <v>200025889180</v>
      </c>
      <c r="G306" s="144" t="s">
        <v>368</v>
      </c>
      <c r="H306" s="144" t="n">
        <v>34</v>
      </c>
      <c r="I306" s="144" t="s">
        <v>152</v>
      </c>
      <c r="J306" s="148" t="n">
        <v>45058.0174537037</v>
      </c>
      <c r="K306" s="1" t="n">
        <v>1</v>
      </c>
      <c r="L306" s="144" t="n">
        <v>34</v>
      </c>
      <c r="M306" s="1" t="n">
        <v>9</v>
      </c>
      <c r="N306" s="1" t="n">
        <v>9</v>
      </c>
      <c r="O306" s="149" t="n">
        <v>29</v>
      </c>
    </row>
    <row r="307" customFormat="false" ht="14.25" hidden="false" customHeight="false" outlineLevel="0" collapsed="false">
      <c r="A307" s="1" t="n">
        <v>486</v>
      </c>
      <c r="B307" s="1" t="s">
        <v>473</v>
      </c>
      <c r="C307" s="143" t="n">
        <v>11490</v>
      </c>
      <c r="D307" s="143" t="s">
        <v>65</v>
      </c>
      <c r="E307" s="143" t="s">
        <v>474</v>
      </c>
      <c r="F307" s="144" t="n">
        <v>200025889180</v>
      </c>
      <c r="G307" s="144" t="s">
        <v>368</v>
      </c>
      <c r="H307" s="144" t="n">
        <v>34</v>
      </c>
      <c r="I307" s="144" t="s">
        <v>152</v>
      </c>
      <c r="J307" s="148" t="n">
        <v>45058.0514467593</v>
      </c>
      <c r="K307" s="1" t="n">
        <v>1</v>
      </c>
      <c r="L307" s="144" t="n">
        <v>34</v>
      </c>
      <c r="M307" s="1" t="n">
        <v>9</v>
      </c>
      <c r="N307" s="1" t="n">
        <v>9</v>
      </c>
      <c r="O307" s="149" t="n">
        <v>30</v>
      </c>
    </row>
    <row r="308" customFormat="false" ht="14.25" hidden="false" customHeight="false" outlineLevel="0" collapsed="false">
      <c r="A308" s="1" t="n">
        <v>487</v>
      </c>
      <c r="B308" s="1" t="s">
        <v>473</v>
      </c>
      <c r="C308" s="143" t="n">
        <v>11490</v>
      </c>
      <c r="D308" s="143" t="s">
        <v>65</v>
      </c>
      <c r="E308" s="143" t="s">
        <v>474</v>
      </c>
      <c r="F308" s="144" t="n">
        <v>200025889180</v>
      </c>
      <c r="G308" s="144" t="s">
        <v>368</v>
      </c>
      <c r="H308" s="144" t="n">
        <v>34</v>
      </c>
      <c r="I308" s="144" t="s">
        <v>152</v>
      </c>
      <c r="J308" s="148" t="n">
        <v>45058.0514930556</v>
      </c>
      <c r="K308" s="1" t="n">
        <v>0</v>
      </c>
      <c r="L308" s="144" t="n">
        <v>34</v>
      </c>
      <c r="M308" s="1" t="n">
        <v>9</v>
      </c>
      <c r="N308" s="1" t="n">
        <v>9</v>
      </c>
      <c r="O308" s="149" t="n">
        <v>31</v>
      </c>
    </row>
    <row r="309" customFormat="false" ht="14.25" hidden="false" customHeight="false" outlineLevel="0" collapsed="false">
      <c r="A309" s="1" t="n">
        <v>488</v>
      </c>
      <c r="B309" s="1" t="s">
        <v>473</v>
      </c>
      <c r="C309" s="143" t="n">
        <v>11490</v>
      </c>
      <c r="D309" s="143" t="s">
        <v>65</v>
      </c>
      <c r="E309" s="143" t="s">
        <v>474</v>
      </c>
      <c r="F309" s="144" t="n">
        <v>200025889180</v>
      </c>
      <c r="G309" s="144" t="s">
        <v>368</v>
      </c>
      <c r="H309" s="144" t="n">
        <v>34</v>
      </c>
      <c r="I309" s="144" t="s">
        <v>152</v>
      </c>
      <c r="J309" s="148" t="n">
        <v>45058.0520949074</v>
      </c>
      <c r="K309" s="1" t="n">
        <v>1</v>
      </c>
      <c r="L309" s="144" t="n">
        <v>34</v>
      </c>
      <c r="M309" s="1" t="n">
        <v>9</v>
      </c>
      <c r="N309" s="1" t="n">
        <v>9</v>
      </c>
      <c r="O309" s="149" t="n">
        <v>32</v>
      </c>
    </row>
    <row r="310" customFormat="false" ht="14.25" hidden="false" customHeight="false" outlineLevel="0" collapsed="false">
      <c r="A310" s="1" t="n">
        <v>489</v>
      </c>
      <c r="B310" s="1" t="s">
        <v>473</v>
      </c>
      <c r="C310" s="143" t="n">
        <v>11490</v>
      </c>
      <c r="D310" s="143" t="s">
        <v>65</v>
      </c>
      <c r="E310" s="143" t="s">
        <v>474</v>
      </c>
      <c r="F310" s="144" t="n">
        <v>200025889180</v>
      </c>
      <c r="G310" s="144" t="s">
        <v>368</v>
      </c>
      <c r="H310" s="144" t="n">
        <v>34</v>
      </c>
      <c r="I310" s="144" t="s">
        <v>152</v>
      </c>
      <c r="J310" s="148" t="n">
        <v>45058.0523263889</v>
      </c>
      <c r="K310" s="1" t="n">
        <v>3</v>
      </c>
      <c r="L310" s="144" t="n">
        <v>34</v>
      </c>
      <c r="M310" s="1" t="n">
        <v>9</v>
      </c>
      <c r="N310" s="1" t="n">
        <v>9</v>
      </c>
      <c r="O310" s="149" t="n">
        <v>33</v>
      </c>
    </row>
    <row r="311" customFormat="false" ht="14.25" hidden="false" customHeight="false" outlineLevel="0" collapsed="false">
      <c r="A311" s="1" t="n">
        <v>490</v>
      </c>
      <c r="B311" s="1" t="s">
        <v>473</v>
      </c>
      <c r="C311" s="143" t="n">
        <v>11490</v>
      </c>
      <c r="D311" s="143" t="s">
        <v>65</v>
      </c>
      <c r="E311" s="143" t="s">
        <v>474</v>
      </c>
      <c r="F311" s="144" t="n">
        <v>200025889180</v>
      </c>
      <c r="G311" s="144" t="s">
        <v>368</v>
      </c>
      <c r="H311" s="144" t="n">
        <v>34</v>
      </c>
      <c r="I311" s="144" t="s">
        <v>152</v>
      </c>
      <c r="J311" s="148" t="n">
        <v>45058.0524537037</v>
      </c>
      <c r="K311" s="1" t="n">
        <v>3</v>
      </c>
      <c r="L311" s="144" t="n">
        <v>34</v>
      </c>
      <c r="M311" s="1" t="n">
        <v>9</v>
      </c>
      <c r="N311" s="1" t="n">
        <v>9</v>
      </c>
      <c r="O311" s="149" t="n">
        <v>34</v>
      </c>
    </row>
    <row r="312" customFormat="false" ht="14.25" hidden="false" customHeight="false" outlineLevel="0" collapsed="false">
      <c r="A312" s="1" t="n">
        <v>491</v>
      </c>
      <c r="B312" s="1" t="s">
        <v>473</v>
      </c>
      <c r="C312" s="143" t="n">
        <v>11490</v>
      </c>
      <c r="D312" s="143" t="s">
        <v>65</v>
      </c>
      <c r="E312" s="143" t="s">
        <v>474</v>
      </c>
      <c r="F312" s="144" t="n">
        <v>200025889180</v>
      </c>
      <c r="G312" s="144" t="s">
        <v>368</v>
      </c>
      <c r="H312" s="144" t="n">
        <v>34</v>
      </c>
      <c r="I312" s="144" t="s">
        <v>152</v>
      </c>
      <c r="J312" s="148" t="n">
        <v>45058.052650463</v>
      </c>
      <c r="K312" s="1" t="n">
        <v>3</v>
      </c>
      <c r="L312" s="144" t="n">
        <v>34</v>
      </c>
      <c r="M312" s="1" t="n">
        <v>9</v>
      </c>
      <c r="N312" s="1" t="n">
        <v>9</v>
      </c>
      <c r="O312" s="149" t="n">
        <v>35</v>
      </c>
    </row>
    <row r="313" customFormat="false" ht="14.25" hidden="false" customHeight="false" outlineLevel="0" collapsed="false">
      <c r="A313" s="1" t="n">
        <v>492</v>
      </c>
      <c r="B313" s="1" t="s">
        <v>473</v>
      </c>
      <c r="C313" s="143" t="n">
        <v>11490</v>
      </c>
      <c r="D313" s="143" t="s">
        <v>65</v>
      </c>
      <c r="E313" s="143" t="s">
        <v>474</v>
      </c>
      <c r="F313" s="144" t="n">
        <v>200025889180</v>
      </c>
      <c r="G313" s="144" t="s">
        <v>368</v>
      </c>
      <c r="H313" s="144" t="n">
        <v>34</v>
      </c>
      <c r="I313" s="144" t="s">
        <v>152</v>
      </c>
      <c r="J313" s="148" t="n">
        <v>45058.0529050926</v>
      </c>
      <c r="K313" s="1" t="n">
        <v>1</v>
      </c>
      <c r="L313" s="144" t="n">
        <v>34</v>
      </c>
      <c r="M313" s="1" t="n">
        <v>9</v>
      </c>
      <c r="N313" s="1" t="n">
        <v>9</v>
      </c>
      <c r="O313" s="149" t="n">
        <v>36</v>
      </c>
    </row>
    <row r="314" customFormat="false" ht="14.25" hidden="false" customHeight="false" outlineLevel="0" collapsed="false">
      <c r="A314" s="1" t="n">
        <v>493</v>
      </c>
      <c r="B314" s="1" t="s">
        <v>473</v>
      </c>
      <c r="C314" s="143" t="n">
        <v>11490</v>
      </c>
      <c r="D314" s="143" t="s">
        <v>65</v>
      </c>
      <c r="E314" s="143" t="s">
        <v>474</v>
      </c>
      <c r="F314" s="144" t="n">
        <v>200025889180</v>
      </c>
      <c r="G314" s="144" t="s">
        <v>368</v>
      </c>
      <c r="H314" s="144" t="n">
        <v>34</v>
      </c>
      <c r="I314" s="144" t="s">
        <v>152</v>
      </c>
      <c r="J314" s="148" t="n">
        <v>45058.0531712963</v>
      </c>
      <c r="K314" s="1" t="n">
        <v>2</v>
      </c>
      <c r="L314" s="144" t="n">
        <v>34</v>
      </c>
      <c r="M314" s="1" t="n">
        <v>9</v>
      </c>
      <c r="N314" s="1" t="n">
        <v>9</v>
      </c>
      <c r="O314" s="149" t="n">
        <v>37</v>
      </c>
    </row>
    <row r="315" customFormat="false" ht="14.25" hidden="false" customHeight="false" outlineLevel="0" collapsed="false">
      <c r="A315" s="1" t="n">
        <v>494</v>
      </c>
      <c r="B315" s="1" t="s">
        <v>473</v>
      </c>
      <c r="C315" s="143" t="n">
        <v>11490</v>
      </c>
      <c r="D315" s="143" t="s">
        <v>65</v>
      </c>
      <c r="E315" s="143" t="s">
        <v>474</v>
      </c>
      <c r="F315" s="144" t="n">
        <v>200025889180</v>
      </c>
      <c r="G315" s="144" t="s">
        <v>368</v>
      </c>
      <c r="H315" s="144" t="n">
        <v>34</v>
      </c>
      <c r="I315" s="144" t="s">
        <v>152</v>
      </c>
      <c r="J315" s="148" t="n">
        <v>45058.0532986111</v>
      </c>
      <c r="K315" s="1" t="n">
        <v>1</v>
      </c>
      <c r="L315" s="144" t="n">
        <v>34</v>
      </c>
      <c r="M315" s="1" t="n">
        <v>9</v>
      </c>
      <c r="N315" s="1" t="n">
        <v>9</v>
      </c>
      <c r="O315" s="149" t="n">
        <v>38</v>
      </c>
    </row>
    <row r="316" customFormat="false" ht="14.25" hidden="false" customHeight="false" outlineLevel="0" collapsed="false">
      <c r="A316" s="1" t="n">
        <v>495</v>
      </c>
      <c r="B316" s="1" t="s">
        <v>473</v>
      </c>
      <c r="C316" s="143" t="n">
        <v>11490</v>
      </c>
      <c r="D316" s="143" t="s">
        <v>65</v>
      </c>
      <c r="E316" s="143" t="s">
        <v>474</v>
      </c>
      <c r="F316" s="144" t="n">
        <v>200025889180</v>
      </c>
      <c r="G316" s="144" t="s">
        <v>368</v>
      </c>
      <c r="H316" s="144" t="n">
        <v>34</v>
      </c>
      <c r="I316" s="144" t="s">
        <v>152</v>
      </c>
      <c r="J316" s="148" t="n">
        <v>45058.0541319444</v>
      </c>
      <c r="K316" s="1" t="n">
        <v>2</v>
      </c>
      <c r="L316" s="144" t="n">
        <v>34</v>
      </c>
      <c r="M316" s="1" t="n">
        <v>9</v>
      </c>
      <c r="N316" s="1" t="n">
        <v>9</v>
      </c>
      <c r="O316" s="149" t="n">
        <v>39</v>
      </c>
    </row>
    <row r="317" customFormat="false" ht="14.25" hidden="false" customHeight="false" outlineLevel="0" collapsed="false">
      <c r="A317" s="1" t="n">
        <v>27</v>
      </c>
      <c r="B317" s="1" t="s">
        <v>476</v>
      </c>
      <c r="C317" s="143" t="n">
        <v>11490</v>
      </c>
      <c r="D317" s="143" t="s">
        <v>65</v>
      </c>
      <c r="E317" s="143" t="s">
        <v>474</v>
      </c>
      <c r="F317" s="144" t="n">
        <v>200025889180</v>
      </c>
      <c r="G317" s="144" t="s">
        <v>368</v>
      </c>
      <c r="H317" s="144" t="n">
        <v>34</v>
      </c>
      <c r="I317" s="144" t="s">
        <v>152</v>
      </c>
      <c r="J317" s="148" t="n">
        <v>45066.4333564815</v>
      </c>
      <c r="K317" s="1" t="n">
        <v>2</v>
      </c>
      <c r="L317" s="144" t="n">
        <v>34</v>
      </c>
      <c r="M317" s="1" t="n">
        <v>9</v>
      </c>
      <c r="N317" s="1" t="n">
        <v>9</v>
      </c>
      <c r="O317" s="149" t="n">
        <v>40</v>
      </c>
    </row>
    <row r="318" customFormat="false" ht="14.25" hidden="false" customHeight="false" outlineLevel="0" collapsed="false">
      <c r="A318" s="1" t="n">
        <v>49</v>
      </c>
      <c r="B318" s="1" t="s">
        <v>476</v>
      </c>
      <c r="C318" s="143" t="n">
        <v>91601</v>
      </c>
      <c r="D318" s="143" t="s">
        <v>65</v>
      </c>
      <c r="E318" s="143" t="s">
        <v>474</v>
      </c>
      <c r="F318" s="144" t="n">
        <v>200025889180</v>
      </c>
      <c r="G318" s="144" t="s">
        <v>368</v>
      </c>
      <c r="H318" s="144" t="n">
        <v>34</v>
      </c>
      <c r="I318" s="144" t="s">
        <v>152</v>
      </c>
      <c r="J318" s="148" t="n">
        <v>45070.6536921296</v>
      </c>
      <c r="K318" s="1" t="n">
        <v>1</v>
      </c>
      <c r="L318" s="144" t="n">
        <v>34</v>
      </c>
      <c r="M318" s="1" t="n">
        <v>9</v>
      </c>
      <c r="N318" s="1" t="n">
        <v>9</v>
      </c>
      <c r="O318" s="149" t="n">
        <v>41</v>
      </c>
    </row>
    <row r="319" customFormat="false" ht="14.25" hidden="false" customHeight="false" outlineLevel="0" collapsed="false">
      <c r="A319" s="1" t="n">
        <v>32</v>
      </c>
      <c r="B319" s="1" t="s">
        <v>490</v>
      </c>
      <c r="C319" s="143" t="n">
        <v>11171</v>
      </c>
      <c r="D319" s="143" t="s">
        <v>74</v>
      </c>
      <c r="E319" s="143" t="s">
        <v>474</v>
      </c>
      <c r="F319" s="144" t="n">
        <v>200025889180</v>
      </c>
      <c r="G319" s="144" t="s">
        <v>368</v>
      </c>
      <c r="H319" s="144" t="n">
        <v>34</v>
      </c>
      <c r="I319" s="144" t="s">
        <v>152</v>
      </c>
      <c r="J319" s="148" t="n">
        <v>45070.7165046296</v>
      </c>
      <c r="K319" s="1" t="n">
        <v>0</v>
      </c>
      <c r="L319" s="144" t="n">
        <v>34</v>
      </c>
      <c r="M319" s="1" t="n">
        <v>9</v>
      </c>
      <c r="N319" s="1" t="n">
        <v>9</v>
      </c>
      <c r="O319" s="149" t="n">
        <v>42</v>
      </c>
    </row>
    <row r="320" customFormat="false" ht="14.25" hidden="false" customHeight="false" outlineLevel="0" collapsed="false">
      <c r="A320" s="1" t="n">
        <v>33</v>
      </c>
      <c r="B320" s="1" t="s">
        <v>490</v>
      </c>
      <c r="C320" s="143" t="n">
        <v>11171</v>
      </c>
      <c r="D320" s="143" t="s">
        <v>74</v>
      </c>
      <c r="E320" s="143" t="s">
        <v>474</v>
      </c>
      <c r="F320" s="144" t="n">
        <v>200025889180</v>
      </c>
      <c r="G320" s="144" t="s">
        <v>368</v>
      </c>
      <c r="H320" s="144" t="n">
        <v>34</v>
      </c>
      <c r="I320" s="144" t="s">
        <v>152</v>
      </c>
      <c r="J320" s="148" t="n">
        <v>45070.7213888889</v>
      </c>
      <c r="K320" s="1" t="n">
        <v>0</v>
      </c>
      <c r="L320" s="144" t="n">
        <v>34</v>
      </c>
      <c r="M320" s="1" t="n">
        <v>9</v>
      </c>
      <c r="N320" s="1" t="n">
        <v>9</v>
      </c>
      <c r="O320" s="149" t="n">
        <v>43</v>
      </c>
    </row>
    <row r="321" customFormat="false" ht="14.25" hidden="false" customHeight="false" outlineLevel="0" collapsed="false">
      <c r="A321" s="1" t="n">
        <v>34</v>
      </c>
      <c r="B321" s="1" t="s">
        <v>490</v>
      </c>
      <c r="C321" s="143" t="n">
        <v>11171</v>
      </c>
      <c r="D321" s="143" t="s">
        <v>74</v>
      </c>
      <c r="E321" s="143" t="s">
        <v>474</v>
      </c>
      <c r="F321" s="144" t="n">
        <v>200025889180</v>
      </c>
      <c r="G321" s="144" t="s">
        <v>368</v>
      </c>
      <c r="H321" s="144" t="n">
        <v>34</v>
      </c>
      <c r="I321" s="144" t="s">
        <v>152</v>
      </c>
      <c r="J321" s="148" t="n">
        <v>45070.7216782407</v>
      </c>
      <c r="K321" s="1" t="n">
        <v>1</v>
      </c>
      <c r="L321" s="144" t="n">
        <v>34</v>
      </c>
      <c r="M321" s="1" t="n">
        <v>9</v>
      </c>
      <c r="N321" s="1" t="n">
        <v>9</v>
      </c>
      <c r="O321" s="149" t="n">
        <v>44</v>
      </c>
    </row>
    <row r="322" customFormat="false" ht="14.25" hidden="false" customHeight="false" outlineLevel="0" collapsed="false">
      <c r="A322" s="1" t="n">
        <v>35</v>
      </c>
      <c r="B322" s="1" t="s">
        <v>490</v>
      </c>
      <c r="C322" s="143" t="n">
        <v>11171</v>
      </c>
      <c r="D322" s="143" t="s">
        <v>74</v>
      </c>
      <c r="E322" s="143" t="s">
        <v>474</v>
      </c>
      <c r="F322" s="144" t="n">
        <v>200025889180</v>
      </c>
      <c r="G322" s="144" t="s">
        <v>368</v>
      </c>
      <c r="H322" s="144" t="n">
        <v>34</v>
      </c>
      <c r="I322" s="144" t="s">
        <v>152</v>
      </c>
      <c r="J322" s="148" t="n">
        <v>45070.7260532407</v>
      </c>
      <c r="K322" s="1" t="n">
        <v>1</v>
      </c>
      <c r="L322" s="144" t="n">
        <v>34</v>
      </c>
      <c r="M322" s="1" t="n">
        <v>9</v>
      </c>
      <c r="N322" s="1" t="n">
        <v>9</v>
      </c>
      <c r="O322" s="149" t="n">
        <v>45</v>
      </c>
    </row>
    <row r="323" customFormat="false" ht="14.25" hidden="false" customHeight="false" outlineLevel="0" collapsed="false">
      <c r="A323" s="1" t="n">
        <v>53</v>
      </c>
      <c r="B323" s="1" t="s">
        <v>476</v>
      </c>
      <c r="C323" s="143" t="n">
        <v>91601</v>
      </c>
      <c r="D323" s="143" t="s">
        <v>65</v>
      </c>
      <c r="E323" s="143" t="s">
        <v>474</v>
      </c>
      <c r="F323" s="144" t="n">
        <v>200025889180</v>
      </c>
      <c r="G323" s="144" t="s">
        <v>368</v>
      </c>
      <c r="H323" s="144" t="n">
        <v>34</v>
      </c>
      <c r="I323" s="144" t="s">
        <v>152</v>
      </c>
      <c r="J323" s="148" t="n">
        <v>45070.7334375</v>
      </c>
      <c r="K323" s="1" t="n">
        <v>1</v>
      </c>
      <c r="L323" s="144" t="n">
        <v>34</v>
      </c>
      <c r="M323" s="1" t="n">
        <v>9</v>
      </c>
      <c r="N323" s="1" t="n">
        <v>9</v>
      </c>
      <c r="O323" s="149" t="n">
        <v>46</v>
      </c>
    </row>
    <row r="324" customFormat="false" ht="14.25" hidden="false" customHeight="false" outlineLevel="0" collapsed="false">
      <c r="A324" s="1" t="n">
        <v>56</v>
      </c>
      <c r="B324" s="1" t="s">
        <v>476</v>
      </c>
      <c r="C324" s="143" t="n">
        <v>91601</v>
      </c>
      <c r="D324" s="143" t="s">
        <v>65</v>
      </c>
      <c r="E324" s="143" t="s">
        <v>474</v>
      </c>
      <c r="F324" s="144" t="n">
        <v>200025889180</v>
      </c>
      <c r="G324" s="144" t="s">
        <v>368</v>
      </c>
      <c r="H324" s="144" t="n">
        <v>34</v>
      </c>
      <c r="I324" s="144" t="s">
        <v>152</v>
      </c>
      <c r="J324" s="148" t="n">
        <v>45070.7551851852</v>
      </c>
      <c r="K324" s="1" t="n">
        <v>1</v>
      </c>
      <c r="L324" s="144" t="n">
        <v>34</v>
      </c>
      <c r="M324" s="1" t="n">
        <v>9</v>
      </c>
      <c r="N324" s="1" t="n">
        <v>9</v>
      </c>
      <c r="O324" s="149" t="n">
        <v>47</v>
      </c>
    </row>
    <row r="325" customFormat="false" ht="14.25" hidden="false" customHeight="false" outlineLevel="0" collapsed="false">
      <c r="A325" s="1" t="n">
        <v>36</v>
      </c>
      <c r="B325" s="1" t="s">
        <v>490</v>
      </c>
      <c r="C325" s="143" t="n">
        <v>11171</v>
      </c>
      <c r="D325" s="143" t="s">
        <v>74</v>
      </c>
      <c r="E325" s="143" t="s">
        <v>474</v>
      </c>
      <c r="F325" s="144" t="n">
        <v>200025889180</v>
      </c>
      <c r="G325" s="144" t="s">
        <v>368</v>
      </c>
      <c r="H325" s="144" t="n">
        <v>34</v>
      </c>
      <c r="I325" s="144" t="s">
        <v>152</v>
      </c>
      <c r="J325" s="148" t="n">
        <v>45070.7720138889</v>
      </c>
      <c r="K325" s="1" t="n">
        <v>0</v>
      </c>
      <c r="L325" s="144" t="n">
        <v>34</v>
      </c>
      <c r="M325" s="1" t="n">
        <v>9</v>
      </c>
      <c r="N325" s="1" t="n">
        <v>9</v>
      </c>
      <c r="O325" s="149" t="n">
        <v>48</v>
      </c>
    </row>
    <row r="326" customFormat="false" ht="14.25" hidden="false" customHeight="false" outlineLevel="0" collapsed="false">
      <c r="A326" s="1" t="n">
        <v>37</v>
      </c>
      <c r="B326" s="1" t="s">
        <v>490</v>
      </c>
      <c r="C326" s="143" t="n">
        <v>11171</v>
      </c>
      <c r="D326" s="143" t="s">
        <v>74</v>
      </c>
      <c r="E326" s="143" t="s">
        <v>474</v>
      </c>
      <c r="F326" s="144" t="n">
        <v>200025889180</v>
      </c>
      <c r="G326" s="144" t="s">
        <v>368</v>
      </c>
      <c r="H326" s="144" t="n">
        <v>34</v>
      </c>
      <c r="I326" s="144" t="s">
        <v>152</v>
      </c>
      <c r="J326" s="148" t="n">
        <v>45070.7720717593</v>
      </c>
      <c r="K326" s="1" t="n">
        <v>4</v>
      </c>
      <c r="L326" s="144" t="n">
        <v>34</v>
      </c>
      <c r="M326" s="1" t="n">
        <v>9</v>
      </c>
      <c r="N326" s="1" t="n">
        <v>9</v>
      </c>
      <c r="O326" s="149" t="n">
        <v>49</v>
      </c>
    </row>
    <row r="327" customFormat="false" ht="14.25" hidden="false" customHeight="false" outlineLevel="0" collapsed="false">
      <c r="A327" s="1" t="n">
        <v>38</v>
      </c>
      <c r="B327" s="1" t="s">
        <v>490</v>
      </c>
      <c r="C327" s="143" t="n">
        <v>11171</v>
      </c>
      <c r="D327" s="143" t="s">
        <v>74</v>
      </c>
      <c r="E327" s="143" t="s">
        <v>474</v>
      </c>
      <c r="F327" s="144" t="n">
        <v>200025889180</v>
      </c>
      <c r="G327" s="144" t="s">
        <v>368</v>
      </c>
      <c r="H327" s="144" t="n">
        <v>34</v>
      </c>
      <c r="I327" s="144" t="s">
        <v>152</v>
      </c>
      <c r="J327" s="148" t="n">
        <v>45070.7927430556</v>
      </c>
      <c r="K327" s="1" t="n">
        <v>2</v>
      </c>
      <c r="L327" s="144" t="n">
        <v>34</v>
      </c>
      <c r="M327" s="1" t="n">
        <v>9</v>
      </c>
      <c r="N327" s="1" t="n">
        <v>9</v>
      </c>
      <c r="O327" s="149" t="n">
        <v>50</v>
      </c>
    </row>
    <row r="328" customFormat="false" ht="14.25" hidden="false" customHeight="false" outlineLevel="0" collapsed="false">
      <c r="A328" s="1" t="n">
        <v>57</v>
      </c>
      <c r="B328" s="1" t="s">
        <v>476</v>
      </c>
      <c r="C328" s="143" t="n">
        <v>91601</v>
      </c>
      <c r="D328" s="143" t="s">
        <v>65</v>
      </c>
      <c r="E328" s="143" t="s">
        <v>474</v>
      </c>
      <c r="F328" s="144" t="n">
        <v>200025889180</v>
      </c>
      <c r="G328" s="144" t="s">
        <v>368</v>
      </c>
      <c r="H328" s="144" t="n">
        <v>34</v>
      </c>
      <c r="I328" s="144" t="s">
        <v>152</v>
      </c>
      <c r="J328" s="148" t="n">
        <v>45071.3470486111</v>
      </c>
      <c r="K328" s="1" t="n">
        <v>0</v>
      </c>
      <c r="L328" s="144" t="n">
        <v>34</v>
      </c>
      <c r="M328" s="1" t="n">
        <v>9</v>
      </c>
      <c r="N328" s="1" t="n">
        <v>9</v>
      </c>
      <c r="O328" s="149" t="n">
        <v>51</v>
      </c>
    </row>
    <row r="329" customFormat="false" ht="14.25" hidden="false" customHeight="false" outlineLevel="0" collapsed="false">
      <c r="A329" s="1" t="n">
        <v>58</v>
      </c>
      <c r="B329" s="1" t="s">
        <v>476</v>
      </c>
      <c r="C329" s="143" t="n">
        <v>91601</v>
      </c>
      <c r="D329" s="143" t="s">
        <v>65</v>
      </c>
      <c r="E329" s="143" t="s">
        <v>474</v>
      </c>
      <c r="F329" s="144" t="n">
        <v>200025889180</v>
      </c>
      <c r="G329" s="144" t="s">
        <v>368</v>
      </c>
      <c r="H329" s="144" t="n">
        <v>34</v>
      </c>
      <c r="I329" s="144" t="s">
        <v>152</v>
      </c>
      <c r="J329" s="148" t="n">
        <v>45071.4897800926</v>
      </c>
      <c r="K329" s="1" t="n">
        <v>3</v>
      </c>
      <c r="L329" s="144" t="n">
        <v>34</v>
      </c>
      <c r="M329" s="1" t="n">
        <v>9</v>
      </c>
      <c r="N329" s="1" t="n">
        <v>9</v>
      </c>
      <c r="O329" s="149" t="n">
        <v>52</v>
      </c>
    </row>
    <row r="330" customFormat="false" ht="14.25" hidden="false" customHeight="false" outlineLevel="0" collapsed="false">
      <c r="A330" s="1" t="n">
        <v>63</v>
      </c>
      <c r="B330" s="1" t="s">
        <v>476</v>
      </c>
      <c r="C330" s="143" t="n">
        <v>91601</v>
      </c>
      <c r="D330" s="143" t="s">
        <v>65</v>
      </c>
      <c r="E330" s="143" t="s">
        <v>474</v>
      </c>
      <c r="F330" s="144" t="n">
        <v>200025889180</v>
      </c>
      <c r="G330" s="144" t="s">
        <v>368</v>
      </c>
      <c r="H330" s="144" t="n">
        <v>34</v>
      </c>
      <c r="I330" s="144" t="s">
        <v>152</v>
      </c>
      <c r="J330" s="148" t="n">
        <v>45071.4908680556</v>
      </c>
      <c r="K330" s="1" t="n">
        <v>2</v>
      </c>
      <c r="L330" s="144" t="n">
        <v>34</v>
      </c>
      <c r="M330" s="1" t="n">
        <v>9</v>
      </c>
      <c r="N330" s="1" t="n">
        <v>9</v>
      </c>
      <c r="O330" s="149" t="n">
        <v>53</v>
      </c>
    </row>
    <row r="331" customFormat="false" ht="14.25" hidden="false" customHeight="false" outlineLevel="0" collapsed="false">
      <c r="A331" s="1" t="n">
        <v>70</v>
      </c>
      <c r="B331" s="1" t="s">
        <v>476</v>
      </c>
      <c r="C331" s="143" t="n">
        <v>91601</v>
      </c>
      <c r="D331" s="143" t="s">
        <v>65</v>
      </c>
      <c r="E331" s="143" t="s">
        <v>474</v>
      </c>
      <c r="F331" s="144" t="n">
        <v>200025889180</v>
      </c>
      <c r="G331" s="144" t="s">
        <v>368</v>
      </c>
      <c r="H331" s="144" t="n">
        <v>34</v>
      </c>
      <c r="I331" s="144" t="s">
        <v>152</v>
      </c>
      <c r="J331" s="148" t="n">
        <v>45071.6556597222</v>
      </c>
      <c r="K331" s="1" t="n">
        <v>1</v>
      </c>
      <c r="L331" s="144" t="n">
        <v>34</v>
      </c>
      <c r="M331" s="1" t="n">
        <v>9</v>
      </c>
      <c r="N331" s="1" t="n">
        <v>9</v>
      </c>
      <c r="O331" s="149" t="n">
        <v>54</v>
      </c>
    </row>
    <row r="332" customFormat="false" ht="14.25" hidden="false" customHeight="false" outlineLevel="0" collapsed="false">
      <c r="A332" s="1" t="n">
        <v>71</v>
      </c>
      <c r="B332" s="1" t="s">
        <v>476</v>
      </c>
      <c r="C332" s="143" t="n">
        <v>91601</v>
      </c>
      <c r="D332" s="143" t="s">
        <v>65</v>
      </c>
      <c r="E332" s="143" t="s">
        <v>474</v>
      </c>
      <c r="F332" s="144" t="n">
        <v>200025889180</v>
      </c>
      <c r="G332" s="144" t="s">
        <v>368</v>
      </c>
      <c r="H332" s="144" t="n">
        <v>34</v>
      </c>
      <c r="I332" s="144" t="s">
        <v>152</v>
      </c>
      <c r="J332" s="148" t="n">
        <v>45071.7103125</v>
      </c>
      <c r="K332" s="1" t="n">
        <v>1</v>
      </c>
      <c r="L332" s="144" t="n">
        <v>34</v>
      </c>
      <c r="M332" s="1" t="n">
        <v>9</v>
      </c>
      <c r="N332" s="1" t="n">
        <v>9</v>
      </c>
      <c r="O332" s="149" t="n">
        <v>55</v>
      </c>
    </row>
    <row r="333" customFormat="false" ht="14.25" hidden="false" customHeight="false" outlineLevel="0" collapsed="false">
      <c r="A333" s="1" t="n">
        <v>72</v>
      </c>
      <c r="B333" s="1" t="s">
        <v>476</v>
      </c>
      <c r="C333" s="143" t="n">
        <v>91601</v>
      </c>
      <c r="D333" s="143" t="s">
        <v>65</v>
      </c>
      <c r="E333" s="143" t="s">
        <v>474</v>
      </c>
      <c r="F333" s="144" t="n">
        <v>200025889180</v>
      </c>
      <c r="G333" s="144" t="s">
        <v>368</v>
      </c>
      <c r="H333" s="144" t="n">
        <v>34</v>
      </c>
      <c r="I333" s="144" t="s">
        <v>152</v>
      </c>
      <c r="J333" s="148" t="n">
        <v>45071.7105439815</v>
      </c>
      <c r="K333" s="1" t="n">
        <v>1</v>
      </c>
      <c r="L333" s="144" t="n">
        <v>34</v>
      </c>
      <c r="M333" s="1" t="n">
        <v>9</v>
      </c>
      <c r="N333" s="1" t="n">
        <v>9</v>
      </c>
      <c r="O333" s="149" t="n">
        <v>56</v>
      </c>
    </row>
    <row r="334" customFormat="false" ht="14.25" hidden="false" customHeight="false" outlineLevel="0" collapsed="false">
      <c r="A334" s="1" t="n">
        <v>73</v>
      </c>
      <c r="B334" s="1" t="s">
        <v>476</v>
      </c>
      <c r="C334" s="143" t="n">
        <v>91601</v>
      </c>
      <c r="D334" s="143" t="s">
        <v>65</v>
      </c>
      <c r="E334" s="143" t="s">
        <v>474</v>
      </c>
      <c r="F334" s="144" t="n">
        <v>200025889180</v>
      </c>
      <c r="G334" s="144" t="s">
        <v>368</v>
      </c>
      <c r="H334" s="144" t="n">
        <v>34</v>
      </c>
      <c r="I334" s="144" t="s">
        <v>152</v>
      </c>
      <c r="J334" s="148" t="n">
        <v>45071.7511342593</v>
      </c>
      <c r="K334" s="1" t="n">
        <v>4</v>
      </c>
      <c r="L334" s="144" t="n">
        <v>34</v>
      </c>
      <c r="M334" s="1" t="n">
        <v>9</v>
      </c>
      <c r="N334" s="1" t="n">
        <v>9</v>
      </c>
      <c r="O334" s="149" t="n">
        <v>57</v>
      </c>
    </row>
    <row r="335" customFormat="false" ht="14.25" hidden="false" customHeight="false" outlineLevel="0" collapsed="false">
      <c r="A335" s="1" t="n">
        <v>74</v>
      </c>
      <c r="B335" s="1" t="s">
        <v>476</v>
      </c>
      <c r="C335" s="143" t="n">
        <v>91601</v>
      </c>
      <c r="D335" s="143" t="s">
        <v>65</v>
      </c>
      <c r="E335" s="143" t="s">
        <v>474</v>
      </c>
      <c r="F335" s="144" t="n">
        <v>200025889180</v>
      </c>
      <c r="G335" s="144" t="s">
        <v>368</v>
      </c>
      <c r="H335" s="144" t="n">
        <v>34</v>
      </c>
      <c r="I335" s="144" t="s">
        <v>152</v>
      </c>
      <c r="J335" s="148" t="n">
        <v>45072.3494791667</v>
      </c>
      <c r="K335" s="1" t="n">
        <v>1</v>
      </c>
      <c r="L335" s="144" t="n">
        <v>34</v>
      </c>
      <c r="M335" s="1" t="n">
        <v>9</v>
      </c>
      <c r="N335" s="1" t="n">
        <v>9</v>
      </c>
      <c r="O335" s="149" t="n">
        <v>58</v>
      </c>
    </row>
    <row r="336" customFormat="false" ht="14.25" hidden="false" customHeight="false" outlineLevel="0" collapsed="false">
      <c r="A336" s="1" t="n">
        <v>75</v>
      </c>
      <c r="B336" s="1" t="s">
        <v>476</v>
      </c>
      <c r="C336" s="143" t="n">
        <v>91601</v>
      </c>
      <c r="D336" s="143" t="s">
        <v>65</v>
      </c>
      <c r="E336" s="143" t="s">
        <v>474</v>
      </c>
      <c r="F336" s="144" t="n">
        <v>200025889180</v>
      </c>
      <c r="G336" s="144" t="s">
        <v>368</v>
      </c>
      <c r="H336" s="144" t="n">
        <v>34</v>
      </c>
      <c r="I336" s="144" t="s">
        <v>152</v>
      </c>
      <c r="J336" s="148" t="n">
        <v>45072.3497916667</v>
      </c>
      <c r="K336" s="1" t="n">
        <v>4</v>
      </c>
      <c r="L336" s="144" t="n">
        <v>34</v>
      </c>
      <c r="M336" s="1" t="n">
        <v>9</v>
      </c>
      <c r="N336" s="1" t="n">
        <v>9</v>
      </c>
      <c r="O336" s="149" t="n">
        <v>59</v>
      </c>
    </row>
    <row r="337" customFormat="false" ht="14.25" hidden="false" customHeight="false" outlineLevel="0" collapsed="false">
      <c r="A337" s="1" t="n">
        <v>76</v>
      </c>
      <c r="B337" s="1" t="s">
        <v>476</v>
      </c>
      <c r="C337" s="143" t="n">
        <v>91601</v>
      </c>
      <c r="D337" s="143" t="s">
        <v>65</v>
      </c>
      <c r="E337" s="143" t="s">
        <v>474</v>
      </c>
      <c r="F337" s="144" t="n">
        <v>200025889180</v>
      </c>
      <c r="G337" s="144" t="s">
        <v>368</v>
      </c>
      <c r="H337" s="144" t="n">
        <v>34</v>
      </c>
      <c r="I337" s="144" t="s">
        <v>152</v>
      </c>
      <c r="J337" s="148" t="n">
        <v>45072.3500925926</v>
      </c>
      <c r="K337" s="1" t="n">
        <v>3</v>
      </c>
      <c r="L337" s="144" t="n">
        <v>34</v>
      </c>
      <c r="M337" s="1" t="n">
        <v>9</v>
      </c>
      <c r="N337" s="1" t="n">
        <v>9</v>
      </c>
      <c r="O337" s="149" t="n">
        <v>60</v>
      </c>
    </row>
    <row r="338" customFormat="false" ht="14.25" hidden="false" customHeight="false" outlineLevel="0" collapsed="false">
      <c r="A338" s="1" t="n">
        <v>148</v>
      </c>
      <c r="B338" s="1" t="s">
        <v>488</v>
      </c>
      <c r="C338" s="143" t="n">
        <v>11358</v>
      </c>
      <c r="D338" s="143" t="s">
        <v>49</v>
      </c>
      <c r="E338" s="143" t="s">
        <v>474</v>
      </c>
      <c r="F338" s="144" t="n">
        <v>200025889180</v>
      </c>
      <c r="G338" s="144" t="s">
        <v>368</v>
      </c>
      <c r="H338" s="144" t="n">
        <v>34</v>
      </c>
      <c r="I338" s="144" t="s">
        <v>152</v>
      </c>
      <c r="J338" s="148" t="n">
        <v>45084.6255787037</v>
      </c>
      <c r="K338" s="1" t="n">
        <v>1</v>
      </c>
      <c r="L338" s="144" t="n">
        <v>34</v>
      </c>
      <c r="M338" s="1" t="n">
        <v>9</v>
      </c>
      <c r="N338" s="1" t="n">
        <v>9</v>
      </c>
      <c r="O338" s="149" t="n">
        <v>61</v>
      </c>
    </row>
    <row r="339" customFormat="false" ht="14.25" hidden="false" customHeight="false" outlineLevel="0" collapsed="false">
      <c r="A339" s="1" t="n">
        <v>149</v>
      </c>
      <c r="B339" s="1" t="s">
        <v>488</v>
      </c>
      <c r="C339" s="143" t="n">
        <v>11358</v>
      </c>
      <c r="D339" s="143" t="s">
        <v>49</v>
      </c>
      <c r="E339" s="143" t="s">
        <v>474</v>
      </c>
      <c r="F339" s="144" t="n">
        <v>200025889180</v>
      </c>
      <c r="G339" s="144" t="s">
        <v>368</v>
      </c>
      <c r="H339" s="144" t="n">
        <v>34</v>
      </c>
      <c r="I339" s="144" t="s">
        <v>152</v>
      </c>
      <c r="J339" s="148" t="n">
        <v>45084.6280671296</v>
      </c>
      <c r="K339" s="1" t="n">
        <v>2</v>
      </c>
      <c r="L339" s="144" t="n">
        <v>34</v>
      </c>
      <c r="M339" s="1" t="n">
        <v>9</v>
      </c>
      <c r="N339" s="1" t="n">
        <v>9</v>
      </c>
      <c r="O339" s="149" t="n">
        <v>62</v>
      </c>
    </row>
    <row r="340" customFormat="false" ht="14.25" hidden="false" customHeight="false" outlineLevel="0" collapsed="false">
      <c r="A340" s="1" t="n">
        <v>150</v>
      </c>
      <c r="B340" s="1" t="s">
        <v>488</v>
      </c>
      <c r="C340" s="143" t="n">
        <v>11358</v>
      </c>
      <c r="D340" s="143" t="s">
        <v>49</v>
      </c>
      <c r="E340" s="143" t="s">
        <v>474</v>
      </c>
      <c r="F340" s="144" t="n">
        <v>200025889180</v>
      </c>
      <c r="G340" s="144" t="s">
        <v>368</v>
      </c>
      <c r="H340" s="144" t="n">
        <v>34</v>
      </c>
      <c r="I340" s="144" t="s">
        <v>152</v>
      </c>
      <c r="J340" s="148" t="n">
        <v>45084.6283449074</v>
      </c>
      <c r="K340" s="1" t="n">
        <v>1</v>
      </c>
      <c r="L340" s="144" t="n">
        <v>34</v>
      </c>
      <c r="M340" s="1" t="n">
        <v>9</v>
      </c>
      <c r="N340" s="1" t="n">
        <v>9</v>
      </c>
      <c r="O340" s="149" t="n">
        <v>63</v>
      </c>
    </row>
    <row r="341" customFormat="false" ht="14.25" hidden="false" customHeight="false" outlineLevel="0" collapsed="false">
      <c r="A341" s="1" t="n">
        <v>151</v>
      </c>
      <c r="B341" s="1" t="s">
        <v>488</v>
      </c>
      <c r="C341" s="143" t="n">
        <v>11358</v>
      </c>
      <c r="D341" s="143" t="s">
        <v>49</v>
      </c>
      <c r="E341" s="143" t="s">
        <v>474</v>
      </c>
      <c r="F341" s="144" t="n">
        <v>200025889180</v>
      </c>
      <c r="G341" s="144" t="s">
        <v>368</v>
      </c>
      <c r="H341" s="144" t="n">
        <v>34</v>
      </c>
      <c r="I341" s="144" t="s">
        <v>152</v>
      </c>
      <c r="J341" s="148" t="n">
        <v>45084.628587963</v>
      </c>
      <c r="K341" s="1" t="n">
        <v>0</v>
      </c>
      <c r="L341" s="144" t="n">
        <v>34</v>
      </c>
      <c r="M341" s="1" t="n">
        <v>9</v>
      </c>
      <c r="N341" s="1" t="n">
        <v>9</v>
      </c>
      <c r="O341" s="149" t="n">
        <v>64</v>
      </c>
    </row>
    <row r="342" customFormat="false" ht="14.25" hidden="false" customHeight="false" outlineLevel="0" collapsed="false">
      <c r="A342" s="1" t="n">
        <v>152</v>
      </c>
      <c r="B342" s="1" t="s">
        <v>488</v>
      </c>
      <c r="C342" s="143" t="n">
        <v>11358</v>
      </c>
      <c r="D342" s="143" t="s">
        <v>49</v>
      </c>
      <c r="E342" s="143" t="s">
        <v>474</v>
      </c>
      <c r="F342" s="144" t="n">
        <v>200025889180</v>
      </c>
      <c r="G342" s="144" t="s">
        <v>368</v>
      </c>
      <c r="H342" s="144" t="n">
        <v>34</v>
      </c>
      <c r="I342" s="144" t="s">
        <v>152</v>
      </c>
      <c r="J342" s="148" t="n">
        <v>45084.6288657407</v>
      </c>
      <c r="K342" s="1" t="n">
        <v>1</v>
      </c>
      <c r="L342" s="144" t="n">
        <v>34</v>
      </c>
      <c r="M342" s="1" t="n">
        <v>9</v>
      </c>
      <c r="N342" s="1" t="n">
        <v>9</v>
      </c>
      <c r="O342" s="149" t="n">
        <v>65</v>
      </c>
    </row>
    <row r="343" customFormat="false" ht="14.25" hidden="false" customHeight="false" outlineLevel="0" collapsed="false">
      <c r="A343" s="1" t="n">
        <v>153</v>
      </c>
      <c r="B343" s="1" t="s">
        <v>488</v>
      </c>
      <c r="C343" s="143" t="n">
        <v>11358</v>
      </c>
      <c r="D343" s="143" t="s">
        <v>49</v>
      </c>
      <c r="E343" s="143" t="s">
        <v>474</v>
      </c>
      <c r="F343" s="144" t="n">
        <v>200025889180</v>
      </c>
      <c r="G343" s="144" t="s">
        <v>368</v>
      </c>
      <c r="H343" s="144" t="n">
        <v>34</v>
      </c>
      <c r="I343" s="144" t="s">
        <v>152</v>
      </c>
      <c r="J343" s="148" t="n">
        <v>45084.6289930556</v>
      </c>
      <c r="K343" s="1" t="n">
        <v>1</v>
      </c>
      <c r="L343" s="144" t="n">
        <v>34</v>
      </c>
      <c r="M343" s="1" t="n">
        <v>9</v>
      </c>
      <c r="N343" s="1" t="n">
        <v>9</v>
      </c>
      <c r="O343" s="149" t="n">
        <v>66</v>
      </c>
    </row>
    <row r="344" customFormat="false" ht="14.25" hidden="false" customHeight="false" outlineLevel="0" collapsed="false">
      <c r="A344" s="1" t="n">
        <v>28</v>
      </c>
      <c r="B344" s="1" t="s">
        <v>491</v>
      </c>
      <c r="C344" s="143" t="n">
        <v>21265</v>
      </c>
      <c r="D344" s="143" t="s">
        <v>76</v>
      </c>
      <c r="E344" s="143" t="s">
        <v>474</v>
      </c>
      <c r="F344" s="144" t="n">
        <v>200025889180</v>
      </c>
      <c r="G344" s="144" t="s">
        <v>368</v>
      </c>
      <c r="H344" s="144" t="n">
        <v>34</v>
      </c>
      <c r="I344" s="144" t="s">
        <v>152</v>
      </c>
      <c r="J344" s="148" t="n">
        <v>45084.6483680556</v>
      </c>
      <c r="K344" s="1" t="n">
        <v>3</v>
      </c>
      <c r="L344" s="144" t="n">
        <v>34</v>
      </c>
      <c r="M344" s="1" t="n">
        <v>9</v>
      </c>
      <c r="N344" s="1" t="n">
        <v>9</v>
      </c>
      <c r="O344" s="149" t="n">
        <v>67</v>
      </c>
    </row>
    <row r="345" customFormat="false" ht="14.25" hidden="false" customHeight="false" outlineLevel="0" collapsed="false">
      <c r="A345" s="1" t="n">
        <v>29</v>
      </c>
      <c r="B345" s="1" t="s">
        <v>491</v>
      </c>
      <c r="C345" s="143" t="n">
        <v>21265</v>
      </c>
      <c r="D345" s="143" t="s">
        <v>76</v>
      </c>
      <c r="E345" s="143" t="s">
        <v>474</v>
      </c>
      <c r="F345" s="144" t="n">
        <v>200025889180</v>
      </c>
      <c r="G345" s="144" t="s">
        <v>368</v>
      </c>
      <c r="H345" s="144" t="n">
        <v>34</v>
      </c>
      <c r="I345" s="144" t="s">
        <v>152</v>
      </c>
      <c r="J345" s="148" t="n">
        <v>45084.6485185185</v>
      </c>
      <c r="K345" s="1" t="n">
        <v>3</v>
      </c>
      <c r="L345" s="144" t="n">
        <v>34</v>
      </c>
      <c r="M345" s="1" t="n">
        <v>9</v>
      </c>
      <c r="N345" s="1" t="n">
        <v>9</v>
      </c>
      <c r="O345" s="149" t="n">
        <v>68</v>
      </c>
    </row>
    <row r="346" customFormat="false" ht="14.25" hidden="false" customHeight="false" outlineLevel="0" collapsed="false">
      <c r="A346" s="1" t="n">
        <v>30</v>
      </c>
      <c r="B346" s="1" t="s">
        <v>491</v>
      </c>
      <c r="C346" s="143" t="n">
        <v>21265</v>
      </c>
      <c r="D346" s="143" t="s">
        <v>76</v>
      </c>
      <c r="E346" s="143" t="s">
        <v>474</v>
      </c>
      <c r="F346" s="144" t="n">
        <v>200025889180</v>
      </c>
      <c r="G346" s="144" t="s">
        <v>368</v>
      </c>
      <c r="H346" s="144" t="n">
        <v>34</v>
      </c>
      <c r="I346" s="144" t="s">
        <v>152</v>
      </c>
      <c r="J346" s="148" t="n">
        <v>45084.649525463</v>
      </c>
      <c r="K346" s="1" t="n">
        <v>1</v>
      </c>
      <c r="L346" s="144" t="n">
        <v>34</v>
      </c>
      <c r="M346" s="1" t="n">
        <v>9</v>
      </c>
      <c r="N346" s="1" t="n">
        <v>9</v>
      </c>
      <c r="O346" s="149" t="n">
        <v>69</v>
      </c>
    </row>
    <row r="347" customFormat="false" ht="14.25" hidden="false" customHeight="false" outlineLevel="0" collapsed="false">
      <c r="A347" s="1" t="n">
        <v>31</v>
      </c>
      <c r="B347" s="1" t="s">
        <v>491</v>
      </c>
      <c r="C347" s="143" t="n">
        <v>21265</v>
      </c>
      <c r="D347" s="143" t="s">
        <v>76</v>
      </c>
      <c r="E347" s="143" t="s">
        <v>474</v>
      </c>
      <c r="F347" s="144" t="n">
        <v>200025889180</v>
      </c>
      <c r="G347" s="144" t="s">
        <v>368</v>
      </c>
      <c r="H347" s="144" t="n">
        <v>34</v>
      </c>
      <c r="I347" s="144" t="s">
        <v>152</v>
      </c>
      <c r="J347" s="148" t="n">
        <v>45084.6495601852</v>
      </c>
      <c r="K347" s="1" t="n">
        <v>2</v>
      </c>
      <c r="L347" s="144" t="n">
        <v>34</v>
      </c>
      <c r="M347" s="1" t="n">
        <v>9</v>
      </c>
      <c r="N347" s="1" t="n">
        <v>9</v>
      </c>
      <c r="O347" s="149" t="n">
        <v>70</v>
      </c>
    </row>
    <row r="348" customFormat="false" ht="14.25" hidden="false" customHeight="false" outlineLevel="0" collapsed="false">
      <c r="A348" s="1" t="n">
        <v>154</v>
      </c>
      <c r="B348" s="1" t="s">
        <v>488</v>
      </c>
      <c r="C348" s="143" t="n">
        <v>11358</v>
      </c>
      <c r="D348" s="143" t="s">
        <v>49</v>
      </c>
      <c r="E348" s="143" t="s">
        <v>474</v>
      </c>
      <c r="F348" s="144" t="n">
        <v>200025889180</v>
      </c>
      <c r="G348" s="144" t="s">
        <v>368</v>
      </c>
      <c r="H348" s="144" t="n">
        <v>34</v>
      </c>
      <c r="I348" s="144" t="s">
        <v>152</v>
      </c>
      <c r="J348" s="148" t="n">
        <v>45084.6528009259</v>
      </c>
      <c r="K348" s="1" t="n">
        <v>3</v>
      </c>
      <c r="L348" s="144" t="n">
        <v>34</v>
      </c>
      <c r="M348" s="1" t="n">
        <v>9</v>
      </c>
      <c r="N348" s="1" t="n">
        <v>9</v>
      </c>
      <c r="O348" s="149" t="n">
        <v>71</v>
      </c>
    </row>
    <row r="349" customFormat="false" ht="14.25" hidden="false" customHeight="false" outlineLevel="0" collapsed="false">
      <c r="A349" s="1" t="n">
        <v>155</v>
      </c>
      <c r="B349" s="1" t="s">
        <v>488</v>
      </c>
      <c r="C349" s="143" t="n">
        <v>11358</v>
      </c>
      <c r="D349" s="143" t="s">
        <v>49</v>
      </c>
      <c r="E349" s="143" t="s">
        <v>474</v>
      </c>
      <c r="F349" s="144" t="n">
        <v>200025889180</v>
      </c>
      <c r="G349" s="144" t="s">
        <v>368</v>
      </c>
      <c r="H349" s="144" t="n">
        <v>34</v>
      </c>
      <c r="I349" s="144" t="s">
        <v>152</v>
      </c>
      <c r="J349" s="148" t="n">
        <v>45084.6534375</v>
      </c>
      <c r="K349" s="1" t="n">
        <v>2</v>
      </c>
      <c r="L349" s="144" t="n">
        <v>34</v>
      </c>
      <c r="M349" s="1" t="n">
        <v>9</v>
      </c>
      <c r="N349" s="1" t="n">
        <v>9</v>
      </c>
      <c r="O349" s="149" t="n">
        <v>72</v>
      </c>
    </row>
    <row r="350" customFormat="false" ht="14.25" hidden="false" customHeight="false" outlineLevel="0" collapsed="false">
      <c r="A350" s="1" t="n">
        <v>32</v>
      </c>
      <c r="B350" s="1" t="s">
        <v>491</v>
      </c>
      <c r="C350" s="143" t="n">
        <v>21265</v>
      </c>
      <c r="D350" s="143" t="s">
        <v>76</v>
      </c>
      <c r="E350" s="143" t="s">
        <v>474</v>
      </c>
      <c r="F350" s="144" t="n">
        <v>200025889180</v>
      </c>
      <c r="G350" s="144" t="s">
        <v>368</v>
      </c>
      <c r="H350" s="144" t="n">
        <v>34</v>
      </c>
      <c r="I350" s="144" t="s">
        <v>152</v>
      </c>
      <c r="J350" s="148" t="n">
        <v>45084.654525463</v>
      </c>
      <c r="K350" s="1" t="n">
        <v>2</v>
      </c>
      <c r="L350" s="144" t="n">
        <v>34</v>
      </c>
      <c r="M350" s="1" t="n">
        <v>9</v>
      </c>
      <c r="N350" s="1" t="n">
        <v>9</v>
      </c>
      <c r="O350" s="149" t="n">
        <v>73</v>
      </c>
    </row>
    <row r="351" customFormat="false" ht="14.25" hidden="false" customHeight="false" outlineLevel="0" collapsed="false">
      <c r="A351" s="1" t="n">
        <v>156</v>
      </c>
      <c r="B351" s="1" t="s">
        <v>488</v>
      </c>
      <c r="C351" s="143" t="n">
        <v>11358</v>
      </c>
      <c r="D351" s="143" t="s">
        <v>49</v>
      </c>
      <c r="E351" s="143" t="s">
        <v>474</v>
      </c>
      <c r="F351" s="144" t="n">
        <v>200025889180</v>
      </c>
      <c r="G351" s="144" t="s">
        <v>368</v>
      </c>
      <c r="H351" s="144" t="n">
        <v>34</v>
      </c>
      <c r="I351" s="144" t="s">
        <v>152</v>
      </c>
      <c r="J351" s="148" t="n">
        <v>45084.6552893519</v>
      </c>
      <c r="K351" s="1" t="n">
        <v>0</v>
      </c>
      <c r="L351" s="144" t="n">
        <v>34</v>
      </c>
      <c r="M351" s="1" t="n">
        <v>9</v>
      </c>
      <c r="N351" s="1" t="n">
        <v>9</v>
      </c>
      <c r="O351" s="149" t="n">
        <v>74</v>
      </c>
    </row>
    <row r="352" customFormat="false" ht="14.25" hidden="false" customHeight="false" outlineLevel="0" collapsed="false">
      <c r="A352" s="1" t="n">
        <v>157</v>
      </c>
      <c r="B352" s="1" t="s">
        <v>488</v>
      </c>
      <c r="C352" s="143" t="n">
        <v>11358</v>
      </c>
      <c r="D352" s="143" t="s">
        <v>49</v>
      </c>
      <c r="E352" s="143" t="s">
        <v>474</v>
      </c>
      <c r="F352" s="144" t="n">
        <v>200025889180</v>
      </c>
      <c r="G352" s="144" t="s">
        <v>368</v>
      </c>
      <c r="H352" s="144" t="n">
        <v>34</v>
      </c>
      <c r="I352" s="144" t="s">
        <v>152</v>
      </c>
      <c r="J352" s="148" t="n">
        <v>45084.655625</v>
      </c>
      <c r="K352" s="1" t="n">
        <v>2</v>
      </c>
      <c r="L352" s="144" t="n">
        <v>34</v>
      </c>
      <c r="M352" s="1" t="n">
        <v>9</v>
      </c>
      <c r="N352" s="1" t="n">
        <v>9</v>
      </c>
      <c r="O352" s="149" t="n">
        <v>75</v>
      </c>
    </row>
    <row r="353" customFormat="false" ht="14.25" hidden="false" customHeight="false" outlineLevel="0" collapsed="false">
      <c r="A353" s="1" t="n">
        <v>158</v>
      </c>
      <c r="B353" s="1" t="s">
        <v>488</v>
      </c>
      <c r="C353" s="143" t="n">
        <v>11358</v>
      </c>
      <c r="D353" s="143" t="s">
        <v>49</v>
      </c>
      <c r="E353" s="143" t="s">
        <v>474</v>
      </c>
      <c r="F353" s="144" t="n">
        <v>200025889180</v>
      </c>
      <c r="G353" s="144" t="s">
        <v>368</v>
      </c>
      <c r="H353" s="144" t="n">
        <v>34</v>
      </c>
      <c r="I353" s="144" t="s">
        <v>152</v>
      </c>
      <c r="J353" s="148" t="n">
        <v>45084.6557407407</v>
      </c>
      <c r="K353" s="1" t="n">
        <v>1</v>
      </c>
      <c r="L353" s="144" t="n">
        <v>34</v>
      </c>
      <c r="M353" s="1" t="n">
        <v>9</v>
      </c>
      <c r="N353" s="1" t="n">
        <v>9</v>
      </c>
      <c r="O353" s="149" t="n">
        <v>76</v>
      </c>
    </row>
    <row r="354" customFormat="false" ht="14.25" hidden="false" customHeight="false" outlineLevel="0" collapsed="false">
      <c r="A354" s="1" t="n">
        <v>159</v>
      </c>
      <c r="B354" s="1" t="s">
        <v>488</v>
      </c>
      <c r="C354" s="143" t="n">
        <v>11358</v>
      </c>
      <c r="D354" s="143" t="s">
        <v>49</v>
      </c>
      <c r="E354" s="143" t="s">
        <v>474</v>
      </c>
      <c r="F354" s="144" t="n">
        <v>200025889180</v>
      </c>
      <c r="G354" s="144" t="s">
        <v>368</v>
      </c>
      <c r="H354" s="144" t="n">
        <v>34</v>
      </c>
      <c r="I354" s="144" t="s">
        <v>152</v>
      </c>
      <c r="J354" s="148" t="n">
        <v>45084.6559143519</v>
      </c>
      <c r="K354" s="1" t="n">
        <v>1</v>
      </c>
      <c r="L354" s="144" t="n">
        <v>34</v>
      </c>
      <c r="M354" s="1" t="n">
        <v>9</v>
      </c>
      <c r="N354" s="1" t="n">
        <v>9</v>
      </c>
      <c r="O354" s="149" t="n">
        <v>77</v>
      </c>
    </row>
    <row r="355" customFormat="false" ht="14.25" hidden="false" customHeight="false" outlineLevel="0" collapsed="false">
      <c r="A355" s="1" t="n">
        <v>160</v>
      </c>
      <c r="B355" s="1" t="s">
        <v>488</v>
      </c>
      <c r="C355" s="143" t="n">
        <v>11358</v>
      </c>
      <c r="D355" s="143" t="s">
        <v>49</v>
      </c>
      <c r="E355" s="143" t="s">
        <v>474</v>
      </c>
      <c r="F355" s="144" t="n">
        <v>200025889180</v>
      </c>
      <c r="G355" s="144" t="s">
        <v>368</v>
      </c>
      <c r="H355" s="144" t="n">
        <v>34</v>
      </c>
      <c r="I355" s="144" t="s">
        <v>152</v>
      </c>
      <c r="J355" s="148" t="n">
        <v>45084.6560763889</v>
      </c>
      <c r="K355" s="1" t="n">
        <v>0</v>
      </c>
      <c r="L355" s="144" t="n">
        <v>34</v>
      </c>
      <c r="M355" s="1" t="n">
        <v>9</v>
      </c>
      <c r="N355" s="1" t="n">
        <v>9</v>
      </c>
      <c r="O355" s="149" t="n">
        <v>78</v>
      </c>
    </row>
    <row r="356" customFormat="false" ht="14.25" hidden="false" customHeight="false" outlineLevel="0" collapsed="false">
      <c r="A356" s="1" t="n">
        <v>161</v>
      </c>
      <c r="B356" s="1" t="s">
        <v>488</v>
      </c>
      <c r="C356" s="143" t="n">
        <v>11358</v>
      </c>
      <c r="D356" s="143" t="s">
        <v>49</v>
      </c>
      <c r="E356" s="143" t="s">
        <v>474</v>
      </c>
      <c r="F356" s="144" t="n">
        <v>200025889180</v>
      </c>
      <c r="G356" s="144" t="s">
        <v>368</v>
      </c>
      <c r="H356" s="144" t="n">
        <v>34</v>
      </c>
      <c r="I356" s="144" t="s">
        <v>152</v>
      </c>
      <c r="J356" s="148" t="n">
        <v>45084.6564351852</v>
      </c>
      <c r="K356" s="1" t="n">
        <v>1</v>
      </c>
      <c r="L356" s="144" t="n">
        <v>34</v>
      </c>
      <c r="M356" s="1" t="n">
        <v>9</v>
      </c>
      <c r="N356" s="1" t="n">
        <v>9</v>
      </c>
      <c r="O356" s="149" t="n">
        <v>79</v>
      </c>
    </row>
    <row r="357" customFormat="false" ht="14.25" hidden="false" customHeight="false" outlineLevel="0" collapsed="false">
      <c r="A357" s="1" t="n">
        <v>33</v>
      </c>
      <c r="B357" s="1" t="s">
        <v>491</v>
      </c>
      <c r="C357" s="143" t="n">
        <v>21265</v>
      </c>
      <c r="D357" s="143" t="s">
        <v>76</v>
      </c>
      <c r="E357" s="143" t="s">
        <v>474</v>
      </c>
      <c r="F357" s="144" t="n">
        <v>200025889180</v>
      </c>
      <c r="G357" s="144" t="s">
        <v>368</v>
      </c>
      <c r="H357" s="144" t="n">
        <v>34</v>
      </c>
      <c r="I357" s="144" t="s">
        <v>152</v>
      </c>
      <c r="J357" s="148" t="n">
        <v>45084.6571296296</v>
      </c>
      <c r="K357" s="1" t="n">
        <v>1</v>
      </c>
      <c r="L357" s="144" t="n">
        <v>34</v>
      </c>
      <c r="M357" s="1" t="n">
        <v>9</v>
      </c>
      <c r="N357" s="1" t="n">
        <v>9</v>
      </c>
      <c r="O357" s="149" t="n">
        <v>80</v>
      </c>
    </row>
    <row r="358" customFormat="false" ht="14.25" hidden="false" customHeight="false" outlineLevel="0" collapsed="false">
      <c r="A358" s="1" t="n">
        <v>162</v>
      </c>
      <c r="B358" s="1" t="s">
        <v>488</v>
      </c>
      <c r="C358" s="143" t="n">
        <v>11358</v>
      </c>
      <c r="D358" s="143" t="s">
        <v>49</v>
      </c>
      <c r="E358" s="143" t="s">
        <v>474</v>
      </c>
      <c r="F358" s="144" t="n">
        <v>200025889180</v>
      </c>
      <c r="G358" s="144" t="s">
        <v>368</v>
      </c>
      <c r="H358" s="144" t="n">
        <v>34</v>
      </c>
      <c r="I358" s="144" t="s">
        <v>152</v>
      </c>
      <c r="J358" s="148" t="n">
        <v>45084.6571875</v>
      </c>
      <c r="K358" s="1" t="n">
        <v>2</v>
      </c>
      <c r="L358" s="144" t="n">
        <v>34</v>
      </c>
      <c r="M358" s="1" t="n">
        <v>9</v>
      </c>
      <c r="N358" s="1" t="n">
        <v>9</v>
      </c>
      <c r="O358" s="149" t="n">
        <v>81</v>
      </c>
    </row>
    <row r="359" customFormat="false" ht="14.25" hidden="false" customHeight="false" outlineLevel="0" collapsed="false">
      <c r="A359" s="1" t="n">
        <v>34</v>
      </c>
      <c r="B359" s="1" t="s">
        <v>491</v>
      </c>
      <c r="C359" s="143" t="n">
        <v>21265</v>
      </c>
      <c r="D359" s="143" t="s">
        <v>76</v>
      </c>
      <c r="E359" s="143" t="s">
        <v>474</v>
      </c>
      <c r="F359" s="144" t="n">
        <v>200025889180</v>
      </c>
      <c r="G359" s="144" t="s">
        <v>368</v>
      </c>
      <c r="H359" s="144" t="n">
        <v>34</v>
      </c>
      <c r="I359" s="144" t="s">
        <v>152</v>
      </c>
      <c r="J359" s="148" t="n">
        <v>45084.6580787037</v>
      </c>
      <c r="K359" s="1" t="n">
        <v>1</v>
      </c>
      <c r="L359" s="144" t="n">
        <v>34</v>
      </c>
      <c r="M359" s="1" t="n">
        <v>9</v>
      </c>
      <c r="N359" s="1" t="n">
        <v>9</v>
      </c>
      <c r="O359" s="149" t="n">
        <v>82</v>
      </c>
    </row>
    <row r="360" customFormat="false" ht="14.25" hidden="false" customHeight="false" outlineLevel="0" collapsed="false">
      <c r="A360" s="1" t="n">
        <v>35</v>
      </c>
      <c r="B360" s="1" t="s">
        <v>491</v>
      </c>
      <c r="C360" s="143" t="n">
        <v>21265</v>
      </c>
      <c r="D360" s="143" t="s">
        <v>76</v>
      </c>
      <c r="E360" s="143" t="s">
        <v>474</v>
      </c>
      <c r="F360" s="144" t="n">
        <v>200025889180</v>
      </c>
      <c r="G360" s="144" t="s">
        <v>368</v>
      </c>
      <c r="H360" s="144" t="n">
        <v>34</v>
      </c>
      <c r="I360" s="144" t="s">
        <v>152</v>
      </c>
      <c r="J360" s="148" t="n">
        <v>45084.6582175926</v>
      </c>
      <c r="K360" s="1" t="n">
        <v>1</v>
      </c>
      <c r="L360" s="144" t="n">
        <v>34</v>
      </c>
      <c r="M360" s="1" t="n">
        <v>9</v>
      </c>
      <c r="N360" s="1" t="n">
        <v>9</v>
      </c>
      <c r="O360" s="149" t="n">
        <v>83</v>
      </c>
    </row>
    <row r="361" customFormat="false" ht="14.25" hidden="false" customHeight="false" outlineLevel="0" collapsed="false">
      <c r="A361" s="1" t="n">
        <v>36</v>
      </c>
      <c r="B361" s="1" t="s">
        <v>491</v>
      </c>
      <c r="C361" s="143" t="n">
        <v>21265</v>
      </c>
      <c r="D361" s="143" t="s">
        <v>76</v>
      </c>
      <c r="E361" s="143" t="s">
        <v>474</v>
      </c>
      <c r="F361" s="144" t="n">
        <v>200025889180</v>
      </c>
      <c r="G361" s="144" t="s">
        <v>368</v>
      </c>
      <c r="H361" s="144" t="n">
        <v>34</v>
      </c>
      <c r="I361" s="144" t="s">
        <v>152</v>
      </c>
      <c r="J361" s="148" t="n">
        <v>45084.658287037</v>
      </c>
      <c r="K361" s="1" t="n">
        <v>2</v>
      </c>
      <c r="L361" s="144" t="n">
        <v>34</v>
      </c>
      <c r="M361" s="1" t="n">
        <v>9</v>
      </c>
      <c r="N361" s="1" t="n">
        <v>9</v>
      </c>
      <c r="O361" s="149" t="n">
        <v>84</v>
      </c>
    </row>
    <row r="362" customFormat="false" ht="14.25" hidden="false" customHeight="false" outlineLevel="0" collapsed="false">
      <c r="A362" s="1" t="n">
        <v>37</v>
      </c>
      <c r="B362" s="1" t="s">
        <v>491</v>
      </c>
      <c r="C362" s="143" t="n">
        <v>21265</v>
      </c>
      <c r="D362" s="143" t="s">
        <v>76</v>
      </c>
      <c r="E362" s="143" t="s">
        <v>474</v>
      </c>
      <c r="F362" s="144" t="n">
        <v>200025889180</v>
      </c>
      <c r="G362" s="144" t="s">
        <v>368</v>
      </c>
      <c r="H362" s="144" t="n">
        <v>34</v>
      </c>
      <c r="I362" s="144" t="s">
        <v>152</v>
      </c>
      <c r="J362" s="148" t="n">
        <v>45084.6585648148</v>
      </c>
      <c r="K362" s="1" t="n">
        <v>2</v>
      </c>
      <c r="L362" s="144" t="n">
        <v>34</v>
      </c>
      <c r="M362" s="1" t="n">
        <v>9</v>
      </c>
      <c r="N362" s="1" t="n">
        <v>9</v>
      </c>
      <c r="O362" s="149" t="n">
        <v>85</v>
      </c>
    </row>
    <row r="363" customFormat="false" ht="14.25" hidden="false" customHeight="false" outlineLevel="0" collapsed="false">
      <c r="A363" s="1" t="n">
        <v>38</v>
      </c>
      <c r="B363" s="1" t="s">
        <v>491</v>
      </c>
      <c r="C363" s="143" t="n">
        <v>21265</v>
      </c>
      <c r="D363" s="143" t="s">
        <v>76</v>
      </c>
      <c r="E363" s="143" t="s">
        <v>474</v>
      </c>
      <c r="F363" s="144" t="n">
        <v>200025889180</v>
      </c>
      <c r="G363" s="144" t="s">
        <v>368</v>
      </c>
      <c r="H363" s="144" t="n">
        <v>34</v>
      </c>
      <c r="I363" s="144" t="s">
        <v>152</v>
      </c>
      <c r="J363" s="148" t="n">
        <v>45084.6596296296</v>
      </c>
      <c r="K363" s="1" t="n">
        <v>1</v>
      </c>
      <c r="L363" s="144" t="n">
        <v>34</v>
      </c>
      <c r="M363" s="1" t="n">
        <v>9</v>
      </c>
      <c r="N363" s="1" t="n">
        <v>9</v>
      </c>
      <c r="O363" s="149" t="n">
        <v>86</v>
      </c>
    </row>
    <row r="364" customFormat="false" ht="14.25" hidden="false" customHeight="false" outlineLevel="0" collapsed="false">
      <c r="A364" s="1" t="n">
        <v>163</v>
      </c>
      <c r="B364" s="1" t="s">
        <v>488</v>
      </c>
      <c r="C364" s="143" t="n">
        <v>11358</v>
      </c>
      <c r="D364" s="143" t="s">
        <v>49</v>
      </c>
      <c r="E364" s="143" t="s">
        <v>474</v>
      </c>
      <c r="F364" s="144" t="n">
        <v>200025889180</v>
      </c>
      <c r="G364" s="144" t="s">
        <v>368</v>
      </c>
      <c r="H364" s="144" t="n">
        <v>34</v>
      </c>
      <c r="I364" s="144" t="s">
        <v>152</v>
      </c>
      <c r="J364" s="148" t="n">
        <v>45084.660162037</v>
      </c>
      <c r="K364" s="1" t="n">
        <v>1</v>
      </c>
      <c r="L364" s="144" t="n">
        <v>34</v>
      </c>
      <c r="M364" s="1" t="n">
        <v>9</v>
      </c>
      <c r="N364" s="1" t="n">
        <v>9</v>
      </c>
      <c r="O364" s="149" t="n">
        <v>87</v>
      </c>
    </row>
    <row r="365" customFormat="false" ht="14.25" hidden="false" customHeight="false" outlineLevel="0" collapsed="false">
      <c r="A365" s="1" t="n">
        <v>164</v>
      </c>
      <c r="B365" s="1" t="s">
        <v>488</v>
      </c>
      <c r="C365" s="143" t="n">
        <v>11358</v>
      </c>
      <c r="D365" s="143" t="s">
        <v>49</v>
      </c>
      <c r="E365" s="143" t="s">
        <v>474</v>
      </c>
      <c r="F365" s="144" t="n">
        <v>200025889180</v>
      </c>
      <c r="G365" s="144" t="s">
        <v>368</v>
      </c>
      <c r="H365" s="144" t="n">
        <v>34</v>
      </c>
      <c r="I365" s="144" t="s">
        <v>152</v>
      </c>
      <c r="J365" s="148" t="n">
        <v>45084.6602777778</v>
      </c>
      <c r="K365" s="1" t="n">
        <v>0</v>
      </c>
      <c r="L365" s="144" t="n">
        <v>34</v>
      </c>
      <c r="M365" s="1" t="n">
        <v>9</v>
      </c>
      <c r="N365" s="1" t="n">
        <v>9</v>
      </c>
      <c r="O365" s="149" t="n">
        <v>88</v>
      </c>
    </row>
    <row r="366" customFormat="false" ht="14.25" hidden="false" customHeight="false" outlineLevel="0" collapsed="false">
      <c r="A366" s="1" t="n">
        <v>165</v>
      </c>
      <c r="B366" s="1" t="s">
        <v>488</v>
      </c>
      <c r="C366" s="143" t="n">
        <v>11358</v>
      </c>
      <c r="D366" s="143" t="s">
        <v>49</v>
      </c>
      <c r="E366" s="143" t="s">
        <v>474</v>
      </c>
      <c r="F366" s="144" t="n">
        <v>200025889180</v>
      </c>
      <c r="G366" s="144" t="s">
        <v>368</v>
      </c>
      <c r="H366" s="144" t="n">
        <v>34</v>
      </c>
      <c r="I366" s="144" t="s">
        <v>152</v>
      </c>
      <c r="J366" s="148" t="n">
        <v>45084.6603587963</v>
      </c>
      <c r="K366" s="1" t="n">
        <v>2</v>
      </c>
      <c r="L366" s="144" t="n">
        <v>34</v>
      </c>
      <c r="M366" s="1" t="n">
        <v>9</v>
      </c>
      <c r="N366" s="1" t="n">
        <v>9</v>
      </c>
      <c r="O366" s="149" t="n">
        <v>89</v>
      </c>
    </row>
    <row r="367" customFormat="false" ht="14.25" hidden="false" customHeight="false" outlineLevel="0" collapsed="false">
      <c r="A367" s="1" t="n">
        <v>166</v>
      </c>
      <c r="B367" s="1" t="s">
        <v>488</v>
      </c>
      <c r="C367" s="143" t="n">
        <v>11358</v>
      </c>
      <c r="D367" s="143" t="s">
        <v>49</v>
      </c>
      <c r="E367" s="143" t="s">
        <v>474</v>
      </c>
      <c r="F367" s="144" t="n">
        <v>200025889180</v>
      </c>
      <c r="G367" s="144" t="s">
        <v>368</v>
      </c>
      <c r="H367" s="144" t="n">
        <v>34</v>
      </c>
      <c r="I367" s="144" t="s">
        <v>152</v>
      </c>
      <c r="J367" s="148" t="n">
        <v>45084.6620601852</v>
      </c>
      <c r="K367" s="1" t="n">
        <v>3</v>
      </c>
      <c r="L367" s="144" t="n">
        <v>34</v>
      </c>
      <c r="M367" s="1" t="n">
        <v>9</v>
      </c>
      <c r="N367" s="1" t="n">
        <v>9</v>
      </c>
      <c r="O367" s="149" t="n">
        <v>90</v>
      </c>
    </row>
    <row r="368" customFormat="false" ht="14.25" hidden="false" customHeight="false" outlineLevel="0" collapsed="false">
      <c r="A368" s="1" t="n">
        <v>39</v>
      </c>
      <c r="B368" s="1" t="s">
        <v>491</v>
      </c>
      <c r="C368" s="143" t="n">
        <v>21265</v>
      </c>
      <c r="D368" s="143" t="s">
        <v>76</v>
      </c>
      <c r="E368" s="143" t="s">
        <v>474</v>
      </c>
      <c r="F368" s="144" t="n">
        <v>200025889180</v>
      </c>
      <c r="G368" s="144" t="s">
        <v>368</v>
      </c>
      <c r="H368" s="144" t="n">
        <v>34</v>
      </c>
      <c r="I368" s="144" t="s">
        <v>152</v>
      </c>
      <c r="J368" s="148" t="n">
        <v>45084.6624768519</v>
      </c>
      <c r="K368" s="1" t="n">
        <v>2</v>
      </c>
      <c r="L368" s="144" t="n">
        <v>34</v>
      </c>
      <c r="M368" s="1" t="n">
        <v>9</v>
      </c>
      <c r="N368" s="1" t="n">
        <v>9</v>
      </c>
      <c r="O368" s="149" t="n">
        <v>91</v>
      </c>
    </row>
    <row r="369" customFormat="false" ht="14.25" hidden="false" customHeight="false" outlineLevel="0" collapsed="false">
      <c r="A369" s="1" t="n">
        <v>167</v>
      </c>
      <c r="B369" s="1" t="s">
        <v>488</v>
      </c>
      <c r="C369" s="143" t="n">
        <v>11358</v>
      </c>
      <c r="D369" s="143" t="s">
        <v>49</v>
      </c>
      <c r="E369" s="143" t="s">
        <v>474</v>
      </c>
      <c r="F369" s="144" t="n">
        <v>200025889180</v>
      </c>
      <c r="G369" s="144" t="s">
        <v>368</v>
      </c>
      <c r="H369" s="144" t="n">
        <v>34</v>
      </c>
      <c r="I369" s="144" t="s">
        <v>152</v>
      </c>
      <c r="J369" s="148" t="n">
        <v>45084.6627083333</v>
      </c>
      <c r="K369" s="1" t="n">
        <v>2</v>
      </c>
      <c r="L369" s="144" t="n">
        <v>34</v>
      </c>
      <c r="M369" s="1" t="n">
        <v>9</v>
      </c>
      <c r="N369" s="1" t="n">
        <v>9</v>
      </c>
      <c r="O369" s="149" t="n">
        <v>92</v>
      </c>
    </row>
    <row r="370" customFormat="false" ht="14.25" hidden="false" customHeight="false" outlineLevel="0" collapsed="false">
      <c r="A370" s="1" t="n">
        <v>250</v>
      </c>
      <c r="B370" s="1" t="s">
        <v>477</v>
      </c>
      <c r="C370" s="143" t="n">
        <v>11171</v>
      </c>
      <c r="D370" s="143" t="s">
        <v>74</v>
      </c>
      <c r="E370" s="143" t="s">
        <v>474</v>
      </c>
      <c r="F370" s="144" t="n">
        <v>200025889180</v>
      </c>
      <c r="G370" s="144" t="s">
        <v>368</v>
      </c>
      <c r="H370" s="144" t="n">
        <v>34</v>
      </c>
      <c r="I370" s="144" t="s">
        <v>152</v>
      </c>
      <c r="J370" s="150" t="n">
        <v>45084.6628009259</v>
      </c>
      <c r="K370" s="1" t="n">
        <v>0</v>
      </c>
      <c r="L370" s="144" t="n">
        <v>34</v>
      </c>
      <c r="M370" s="1" t="n">
        <v>9</v>
      </c>
      <c r="N370" s="1" t="n">
        <v>9</v>
      </c>
      <c r="O370" s="149" t="n">
        <v>93</v>
      </c>
    </row>
    <row r="371" customFormat="false" ht="14.25" hidden="false" customHeight="false" outlineLevel="0" collapsed="false">
      <c r="A371" s="1" t="n">
        <v>251</v>
      </c>
      <c r="B371" s="1" t="s">
        <v>477</v>
      </c>
      <c r="C371" s="143" t="n">
        <v>11171</v>
      </c>
      <c r="D371" s="143" t="s">
        <v>74</v>
      </c>
      <c r="E371" s="143" t="s">
        <v>474</v>
      </c>
      <c r="F371" s="144" t="n">
        <v>200025889180</v>
      </c>
      <c r="G371" s="144" t="s">
        <v>368</v>
      </c>
      <c r="H371" s="144" t="n">
        <v>34</v>
      </c>
      <c r="I371" s="144" t="s">
        <v>152</v>
      </c>
      <c r="J371" s="150" t="n">
        <v>45084.6629050926</v>
      </c>
      <c r="K371" s="1" t="n">
        <v>4</v>
      </c>
      <c r="L371" s="144" t="n">
        <v>34</v>
      </c>
      <c r="M371" s="1" t="n">
        <v>9</v>
      </c>
      <c r="N371" s="1" t="n">
        <v>9</v>
      </c>
      <c r="O371" s="149" t="n">
        <v>94</v>
      </c>
    </row>
    <row r="372" customFormat="false" ht="14.25" hidden="false" customHeight="false" outlineLevel="0" collapsed="false">
      <c r="A372" s="1" t="n">
        <v>252</v>
      </c>
      <c r="B372" s="1" t="s">
        <v>477</v>
      </c>
      <c r="C372" s="143" t="n">
        <v>11171</v>
      </c>
      <c r="D372" s="143" t="s">
        <v>74</v>
      </c>
      <c r="E372" s="143" t="s">
        <v>474</v>
      </c>
      <c r="F372" s="144" t="n">
        <v>200025889180</v>
      </c>
      <c r="G372" s="144" t="s">
        <v>368</v>
      </c>
      <c r="H372" s="144" t="n">
        <v>34</v>
      </c>
      <c r="I372" s="144" t="s">
        <v>152</v>
      </c>
      <c r="J372" s="150" t="n">
        <v>45084.6650694445</v>
      </c>
      <c r="K372" s="1" t="n">
        <v>1</v>
      </c>
      <c r="L372" s="144" t="n">
        <v>34</v>
      </c>
      <c r="M372" s="1" t="n">
        <v>9</v>
      </c>
      <c r="N372" s="1" t="n">
        <v>9</v>
      </c>
      <c r="O372" s="149" t="n">
        <v>95</v>
      </c>
    </row>
    <row r="373" customFormat="false" ht="14.25" hidden="false" customHeight="false" outlineLevel="0" collapsed="false">
      <c r="A373" s="1" t="n">
        <v>40</v>
      </c>
      <c r="B373" s="1" t="s">
        <v>491</v>
      </c>
      <c r="C373" s="143" t="n">
        <v>21265</v>
      </c>
      <c r="D373" s="143" t="s">
        <v>76</v>
      </c>
      <c r="E373" s="143" t="s">
        <v>474</v>
      </c>
      <c r="F373" s="144" t="n">
        <v>200025889180</v>
      </c>
      <c r="G373" s="144" t="s">
        <v>368</v>
      </c>
      <c r="H373" s="144" t="n">
        <v>34</v>
      </c>
      <c r="I373" s="144" t="s">
        <v>152</v>
      </c>
      <c r="J373" s="148" t="n">
        <v>45084.6655671296</v>
      </c>
      <c r="K373" s="1" t="n">
        <v>0</v>
      </c>
      <c r="L373" s="144" t="n">
        <v>34</v>
      </c>
      <c r="M373" s="1" t="n">
        <v>9</v>
      </c>
      <c r="N373" s="1" t="n">
        <v>9</v>
      </c>
      <c r="O373" s="149" t="n">
        <v>96</v>
      </c>
    </row>
    <row r="374" customFormat="false" ht="14.25" hidden="false" customHeight="false" outlineLevel="0" collapsed="false">
      <c r="A374" s="1" t="n">
        <v>41</v>
      </c>
      <c r="B374" s="1" t="s">
        <v>491</v>
      </c>
      <c r="C374" s="143" t="n">
        <v>21265</v>
      </c>
      <c r="D374" s="143" t="s">
        <v>76</v>
      </c>
      <c r="E374" s="143" t="s">
        <v>474</v>
      </c>
      <c r="F374" s="144" t="n">
        <v>200025889180</v>
      </c>
      <c r="G374" s="144" t="s">
        <v>368</v>
      </c>
      <c r="H374" s="144" t="n">
        <v>34</v>
      </c>
      <c r="I374" s="144" t="s">
        <v>152</v>
      </c>
      <c r="J374" s="148" t="n">
        <v>45084.6658101852</v>
      </c>
      <c r="K374" s="1" t="n">
        <v>2</v>
      </c>
      <c r="L374" s="144" t="n">
        <v>34</v>
      </c>
      <c r="M374" s="1" t="n">
        <v>9</v>
      </c>
      <c r="N374" s="1" t="n">
        <v>9</v>
      </c>
      <c r="O374" s="149" t="n">
        <v>97</v>
      </c>
    </row>
    <row r="375" customFormat="false" ht="14.25" hidden="false" customHeight="false" outlineLevel="0" collapsed="false">
      <c r="A375" s="1" t="n">
        <v>42</v>
      </c>
      <c r="B375" s="1" t="s">
        <v>491</v>
      </c>
      <c r="C375" s="143" t="n">
        <v>21265</v>
      </c>
      <c r="D375" s="143" t="s">
        <v>76</v>
      </c>
      <c r="E375" s="143" t="s">
        <v>474</v>
      </c>
      <c r="F375" s="144" t="n">
        <v>200025889180</v>
      </c>
      <c r="G375" s="144" t="s">
        <v>368</v>
      </c>
      <c r="H375" s="144" t="n">
        <v>34</v>
      </c>
      <c r="I375" s="144" t="s">
        <v>152</v>
      </c>
      <c r="J375" s="148" t="n">
        <v>45084.6801273148</v>
      </c>
      <c r="K375" s="1" t="n">
        <v>2</v>
      </c>
      <c r="L375" s="144" t="n">
        <v>34</v>
      </c>
      <c r="M375" s="1" t="n">
        <v>9</v>
      </c>
      <c r="N375" s="1" t="n">
        <v>9</v>
      </c>
      <c r="O375" s="149" t="n">
        <v>98</v>
      </c>
    </row>
    <row r="376" customFormat="false" ht="14.25" hidden="false" customHeight="false" outlineLevel="0" collapsed="false">
      <c r="A376" s="1" t="n">
        <v>254</v>
      </c>
      <c r="B376" s="1" t="s">
        <v>477</v>
      </c>
      <c r="C376" s="143" t="n">
        <v>11171</v>
      </c>
      <c r="D376" s="143" t="s">
        <v>74</v>
      </c>
      <c r="E376" s="143" t="s">
        <v>474</v>
      </c>
      <c r="F376" s="144" t="n">
        <v>200025889180</v>
      </c>
      <c r="G376" s="144" t="s">
        <v>368</v>
      </c>
      <c r="H376" s="144" t="n">
        <v>34</v>
      </c>
      <c r="I376" s="144" t="s">
        <v>152</v>
      </c>
      <c r="J376" s="150" t="n">
        <v>45084.6861226852</v>
      </c>
      <c r="K376" s="1" t="n">
        <v>1</v>
      </c>
      <c r="L376" s="144" t="n">
        <v>34</v>
      </c>
      <c r="M376" s="1" t="n">
        <v>9</v>
      </c>
      <c r="N376" s="1" t="n">
        <v>9</v>
      </c>
      <c r="O376" s="149" t="n">
        <v>99</v>
      </c>
    </row>
    <row r="377" customFormat="false" ht="14.25" hidden="false" customHeight="false" outlineLevel="0" collapsed="false">
      <c r="A377" s="1" t="n">
        <v>168</v>
      </c>
      <c r="B377" s="1" t="s">
        <v>488</v>
      </c>
      <c r="C377" s="143" t="n">
        <v>11358</v>
      </c>
      <c r="D377" s="143" t="s">
        <v>49</v>
      </c>
      <c r="E377" s="143" t="s">
        <v>474</v>
      </c>
      <c r="F377" s="144" t="n">
        <v>200025889180</v>
      </c>
      <c r="G377" s="144" t="s">
        <v>368</v>
      </c>
      <c r="H377" s="144" t="n">
        <v>34</v>
      </c>
      <c r="I377" s="144" t="s">
        <v>152</v>
      </c>
      <c r="J377" s="148" t="n">
        <v>45084.6882986111</v>
      </c>
      <c r="K377" s="1" t="n">
        <v>1</v>
      </c>
      <c r="L377" s="144" t="n">
        <v>34</v>
      </c>
      <c r="M377" s="1" t="n">
        <v>9</v>
      </c>
      <c r="N377" s="1" t="n">
        <v>9</v>
      </c>
      <c r="O377" s="149" t="n">
        <v>100</v>
      </c>
    </row>
    <row r="378" customFormat="false" ht="14.25" hidden="false" customHeight="false" outlineLevel="0" collapsed="false">
      <c r="A378" s="1" t="n">
        <v>169</v>
      </c>
      <c r="B378" s="1" t="s">
        <v>488</v>
      </c>
      <c r="C378" s="143" t="n">
        <v>11358</v>
      </c>
      <c r="D378" s="143" t="s">
        <v>49</v>
      </c>
      <c r="E378" s="143" t="s">
        <v>474</v>
      </c>
      <c r="F378" s="144" t="n">
        <v>200025889180</v>
      </c>
      <c r="G378" s="144" t="s">
        <v>368</v>
      </c>
      <c r="H378" s="144" t="n">
        <v>34</v>
      </c>
      <c r="I378" s="144" t="s">
        <v>152</v>
      </c>
      <c r="J378" s="148" t="n">
        <v>45084.6883680556</v>
      </c>
      <c r="K378" s="1" t="n">
        <v>2</v>
      </c>
      <c r="L378" s="144" t="n">
        <v>34</v>
      </c>
      <c r="M378" s="1" t="n">
        <v>9</v>
      </c>
      <c r="N378" s="1" t="n">
        <v>9</v>
      </c>
      <c r="O378" s="149" t="n">
        <v>101</v>
      </c>
    </row>
    <row r="379" customFormat="false" ht="14.25" hidden="false" customHeight="false" outlineLevel="0" collapsed="false">
      <c r="A379" s="1" t="n">
        <v>170</v>
      </c>
      <c r="B379" s="1" t="s">
        <v>488</v>
      </c>
      <c r="C379" s="143" t="n">
        <v>11358</v>
      </c>
      <c r="D379" s="143" t="s">
        <v>49</v>
      </c>
      <c r="E379" s="143" t="s">
        <v>474</v>
      </c>
      <c r="F379" s="144" t="n">
        <v>200025889180</v>
      </c>
      <c r="G379" s="144" t="s">
        <v>368</v>
      </c>
      <c r="H379" s="144" t="n">
        <v>34</v>
      </c>
      <c r="I379" s="144" t="s">
        <v>152</v>
      </c>
      <c r="J379" s="148" t="n">
        <v>45084.6911458333</v>
      </c>
      <c r="K379" s="1" t="n">
        <v>2</v>
      </c>
      <c r="L379" s="144" t="n">
        <v>34</v>
      </c>
      <c r="M379" s="1" t="n">
        <v>9</v>
      </c>
      <c r="N379" s="1" t="n">
        <v>9</v>
      </c>
      <c r="O379" s="149" t="n">
        <v>102</v>
      </c>
    </row>
    <row r="380" customFormat="false" ht="14.25" hidden="false" customHeight="false" outlineLevel="0" collapsed="false">
      <c r="A380" s="1" t="n">
        <v>171</v>
      </c>
      <c r="B380" s="1" t="s">
        <v>488</v>
      </c>
      <c r="C380" s="143" t="n">
        <v>11358</v>
      </c>
      <c r="D380" s="143" t="s">
        <v>49</v>
      </c>
      <c r="E380" s="143" t="s">
        <v>474</v>
      </c>
      <c r="F380" s="144" t="n">
        <v>200025889180</v>
      </c>
      <c r="G380" s="144" t="s">
        <v>368</v>
      </c>
      <c r="H380" s="144" t="n">
        <v>34</v>
      </c>
      <c r="I380" s="144" t="s">
        <v>152</v>
      </c>
      <c r="J380" s="148" t="n">
        <v>45084.6955555556</v>
      </c>
      <c r="K380" s="1" t="n">
        <v>1</v>
      </c>
      <c r="L380" s="144" t="n">
        <v>34</v>
      </c>
      <c r="M380" s="1" t="n">
        <v>9</v>
      </c>
      <c r="N380" s="1" t="n">
        <v>9</v>
      </c>
      <c r="O380" s="149" t="n">
        <v>103</v>
      </c>
    </row>
    <row r="381" customFormat="false" ht="14.25" hidden="false" customHeight="false" outlineLevel="0" collapsed="false">
      <c r="A381" s="1" t="n">
        <v>255</v>
      </c>
      <c r="B381" s="1" t="s">
        <v>477</v>
      </c>
      <c r="C381" s="143" t="n">
        <v>11171</v>
      </c>
      <c r="D381" s="143" t="s">
        <v>74</v>
      </c>
      <c r="E381" s="143" t="s">
        <v>474</v>
      </c>
      <c r="F381" s="144" t="n">
        <v>200025889180</v>
      </c>
      <c r="G381" s="144" t="s">
        <v>368</v>
      </c>
      <c r="H381" s="144" t="n">
        <v>34</v>
      </c>
      <c r="I381" s="144" t="s">
        <v>152</v>
      </c>
      <c r="J381" s="150" t="n">
        <v>45084.6962962963</v>
      </c>
      <c r="K381" s="1" t="n">
        <v>1</v>
      </c>
      <c r="L381" s="144" t="n">
        <v>34</v>
      </c>
      <c r="M381" s="1" t="n">
        <v>9</v>
      </c>
      <c r="N381" s="1" t="n">
        <v>9</v>
      </c>
      <c r="O381" s="149" t="n">
        <v>104</v>
      </c>
    </row>
    <row r="382" customFormat="false" ht="14.25" hidden="false" customHeight="false" outlineLevel="0" collapsed="false">
      <c r="A382" s="1" t="n">
        <v>256</v>
      </c>
      <c r="B382" s="1" t="s">
        <v>477</v>
      </c>
      <c r="C382" s="143" t="n">
        <v>11171</v>
      </c>
      <c r="D382" s="143" t="s">
        <v>74</v>
      </c>
      <c r="E382" s="143" t="s">
        <v>474</v>
      </c>
      <c r="F382" s="144" t="n">
        <v>200025889180</v>
      </c>
      <c r="G382" s="144" t="s">
        <v>368</v>
      </c>
      <c r="H382" s="144" t="n">
        <v>34</v>
      </c>
      <c r="I382" s="144" t="s">
        <v>152</v>
      </c>
      <c r="J382" s="150" t="n">
        <v>45084.696412037</v>
      </c>
      <c r="K382" s="1" t="n">
        <v>1</v>
      </c>
      <c r="L382" s="144" t="n">
        <v>34</v>
      </c>
      <c r="M382" s="1" t="n">
        <v>9</v>
      </c>
      <c r="N382" s="1" t="n">
        <v>9</v>
      </c>
      <c r="O382" s="149" t="n">
        <v>105</v>
      </c>
    </row>
    <row r="383" customFormat="false" ht="14.25" hidden="false" customHeight="false" outlineLevel="0" collapsed="false">
      <c r="A383" s="1" t="n">
        <v>257</v>
      </c>
      <c r="B383" s="1" t="s">
        <v>477</v>
      </c>
      <c r="C383" s="143" t="n">
        <v>11171</v>
      </c>
      <c r="D383" s="143" t="s">
        <v>74</v>
      </c>
      <c r="E383" s="143" t="s">
        <v>474</v>
      </c>
      <c r="F383" s="144" t="n">
        <v>200025889180</v>
      </c>
      <c r="G383" s="144" t="s">
        <v>368</v>
      </c>
      <c r="H383" s="144" t="n">
        <v>34</v>
      </c>
      <c r="I383" s="144" t="s">
        <v>152</v>
      </c>
      <c r="J383" s="150" t="n">
        <v>45084.7063541667</v>
      </c>
      <c r="K383" s="1" t="n">
        <v>2</v>
      </c>
      <c r="L383" s="144" t="n">
        <v>34</v>
      </c>
      <c r="M383" s="1" t="n">
        <v>9</v>
      </c>
      <c r="N383" s="1" t="n">
        <v>9</v>
      </c>
      <c r="O383" s="149" t="n">
        <v>106</v>
      </c>
    </row>
    <row r="384" customFormat="false" ht="14.25" hidden="false" customHeight="false" outlineLevel="0" collapsed="false">
      <c r="A384" s="1" t="n">
        <v>258</v>
      </c>
      <c r="B384" s="1" t="s">
        <v>477</v>
      </c>
      <c r="C384" s="143" t="n">
        <v>11171</v>
      </c>
      <c r="D384" s="143" t="s">
        <v>74</v>
      </c>
      <c r="E384" s="143" t="s">
        <v>474</v>
      </c>
      <c r="F384" s="144" t="n">
        <v>200025889180</v>
      </c>
      <c r="G384" s="144" t="s">
        <v>368</v>
      </c>
      <c r="H384" s="144" t="n">
        <v>34</v>
      </c>
      <c r="I384" s="144" t="s">
        <v>152</v>
      </c>
      <c r="J384" s="150" t="n">
        <v>45084.7064699074</v>
      </c>
      <c r="K384" s="1" t="n">
        <v>2</v>
      </c>
      <c r="L384" s="144" t="n">
        <v>34</v>
      </c>
      <c r="M384" s="1" t="n">
        <v>9</v>
      </c>
      <c r="N384" s="1" t="n">
        <v>9</v>
      </c>
      <c r="O384" s="149" t="n">
        <v>107</v>
      </c>
    </row>
    <row r="385" customFormat="false" ht="14.25" hidden="false" customHeight="false" outlineLevel="0" collapsed="false">
      <c r="A385" s="1" t="n">
        <v>259</v>
      </c>
      <c r="B385" s="1" t="s">
        <v>477</v>
      </c>
      <c r="C385" s="143" t="n">
        <v>11171</v>
      </c>
      <c r="D385" s="143" t="s">
        <v>74</v>
      </c>
      <c r="E385" s="143" t="s">
        <v>474</v>
      </c>
      <c r="F385" s="144" t="n">
        <v>200025889180</v>
      </c>
      <c r="G385" s="144" t="s">
        <v>368</v>
      </c>
      <c r="H385" s="144" t="n">
        <v>34</v>
      </c>
      <c r="I385" s="144" t="s">
        <v>152</v>
      </c>
      <c r="J385" s="150" t="n">
        <v>45084.7178935185</v>
      </c>
      <c r="K385" s="1" t="n">
        <v>37</v>
      </c>
      <c r="L385" s="144" t="n">
        <v>34</v>
      </c>
      <c r="M385" s="1" t="n">
        <v>9</v>
      </c>
      <c r="N385" s="1" t="n">
        <v>9</v>
      </c>
      <c r="O385" s="149" t="n">
        <v>108</v>
      </c>
    </row>
    <row r="386" customFormat="false" ht="14.25" hidden="false" customHeight="false" outlineLevel="0" collapsed="false">
      <c r="A386" s="1" t="n">
        <v>260</v>
      </c>
      <c r="B386" s="1" t="s">
        <v>477</v>
      </c>
      <c r="C386" s="143" t="n">
        <v>11171</v>
      </c>
      <c r="D386" s="143" t="s">
        <v>74</v>
      </c>
      <c r="E386" s="143" t="s">
        <v>474</v>
      </c>
      <c r="F386" s="144" t="n">
        <v>200025889180</v>
      </c>
      <c r="G386" s="144" t="s">
        <v>368</v>
      </c>
      <c r="H386" s="144" t="n">
        <v>34</v>
      </c>
      <c r="I386" s="144" t="s">
        <v>152</v>
      </c>
      <c r="J386" s="150" t="n">
        <v>45084.7198842593</v>
      </c>
      <c r="K386" s="1" t="n">
        <v>1</v>
      </c>
      <c r="L386" s="144" t="n">
        <v>34</v>
      </c>
      <c r="M386" s="1" t="n">
        <v>9</v>
      </c>
      <c r="N386" s="1" t="n">
        <v>9</v>
      </c>
      <c r="O386" s="149" t="n">
        <v>109</v>
      </c>
    </row>
    <row r="387" customFormat="false" ht="14.25" hidden="false" customHeight="false" outlineLevel="0" collapsed="false">
      <c r="A387" s="1" t="n">
        <v>261</v>
      </c>
      <c r="B387" s="1" t="s">
        <v>477</v>
      </c>
      <c r="C387" s="143" t="n">
        <v>11171</v>
      </c>
      <c r="D387" s="143" t="s">
        <v>74</v>
      </c>
      <c r="E387" s="143" t="s">
        <v>474</v>
      </c>
      <c r="F387" s="144" t="n">
        <v>200025889180</v>
      </c>
      <c r="G387" s="144" t="s">
        <v>368</v>
      </c>
      <c r="H387" s="144" t="n">
        <v>34</v>
      </c>
      <c r="I387" s="144" t="s">
        <v>152</v>
      </c>
      <c r="J387" s="150" t="n">
        <v>45084.722662037</v>
      </c>
      <c r="K387" s="1" t="n">
        <v>0</v>
      </c>
      <c r="L387" s="144" t="n">
        <v>34</v>
      </c>
      <c r="M387" s="1" t="n">
        <v>9</v>
      </c>
      <c r="N387" s="1" t="n">
        <v>9</v>
      </c>
      <c r="O387" s="149" t="n">
        <v>110</v>
      </c>
    </row>
    <row r="388" customFormat="false" ht="14.25" hidden="false" customHeight="false" outlineLevel="0" collapsed="false">
      <c r="A388" s="1" t="n">
        <v>262</v>
      </c>
      <c r="B388" s="1" t="s">
        <v>477</v>
      </c>
      <c r="C388" s="143" t="n">
        <v>11171</v>
      </c>
      <c r="D388" s="143" t="s">
        <v>74</v>
      </c>
      <c r="E388" s="143" t="s">
        <v>474</v>
      </c>
      <c r="F388" s="144" t="n">
        <v>200025889180</v>
      </c>
      <c r="G388" s="144" t="s">
        <v>368</v>
      </c>
      <c r="H388" s="144" t="n">
        <v>34</v>
      </c>
      <c r="I388" s="144" t="s">
        <v>152</v>
      </c>
      <c r="J388" s="150" t="n">
        <v>45084.7239351852</v>
      </c>
      <c r="K388" s="1" t="n">
        <v>2</v>
      </c>
      <c r="L388" s="144" t="n">
        <v>34</v>
      </c>
      <c r="M388" s="1" t="n">
        <v>9</v>
      </c>
      <c r="N388" s="1" t="n">
        <v>9</v>
      </c>
      <c r="O388" s="149" t="n">
        <v>111</v>
      </c>
    </row>
    <row r="389" customFormat="false" ht="14.25" hidden="false" customHeight="false" outlineLevel="0" collapsed="false">
      <c r="A389" s="1" t="n">
        <v>263</v>
      </c>
      <c r="B389" s="1" t="s">
        <v>477</v>
      </c>
      <c r="C389" s="143" t="n">
        <v>11171</v>
      </c>
      <c r="D389" s="143" t="s">
        <v>74</v>
      </c>
      <c r="E389" s="143" t="s">
        <v>474</v>
      </c>
      <c r="F389" s="144" t="n">
        <v>200025889180</v>
      </c>
      <c r="G389" s="144" t="s">
        <v>368</v>
      </c>
      <c r="H389" s="144" t="n">
        <v>34</v>
      </c>
      <c r="I389" s="144" t="s">
        <v>152</v>
      </c>
      <c r="J389" s="150" t="n">
        <v>45084.7304398148</v>
      </c>
      <c r="K389" s="1" t="n">
        <v>2</v>
      </c>
      <c r="L389" s="144" t="n">
        <v>34</v>
      </c>
      <c r="M389" s="1" t="n">
        <v>9</v>
      </c>
      <c r="N389" s="1" t="n">
        <v>9</v>
      </c>
      <c r="O389" s="149" t="n">
        <v>112</v>
      </c>
    </row>
    <row r="390" customFormat="false" ht="14.25" hidden="false" customHeight="false" outlineLevel="0" collapsed="false">
      <c r="A390" s="1" t="n">
        <v>264</v>
      </c>
      <c r="B390" s="1" t="s">
        <v>477</v>
      </c>
      <c r="C390" s="143" t="n">
        <v>11171</v>
      </c>
      <c r="D390" s="143" t="s">
        <v>74</v>
      </c>
      <c r="E390" s="143" t="s">
        <v>474</v>
      </c>
      <c r="F390" s="144" t="n">
        <v>200025889180</v>
      </c>
      <c r="G390" s="144" t="s">
        <v>368</v>
      </c>
      <c r="H390" s="144" t="n">
        <v>34</v>
      </c>
      <c r="I390" s="144" t="s">
        <v>152</v>
      </c>
      <c r="J390" s="150" t="n">
        <v>45084.7306944444</v>
      </c>
      <c r="K390" s="1" t="n">
        <v>2</v>
      </c>
      <c r="L390" s="144" t="n">
        <v>34</v>
      </c>
      <c r="M390" s="1" t="n">
        <v>9</v>
      </c>
      <c r="N390" s="1" t="n">
        <v>9</v>
      </c>
      <c r="O390" s="149" t="n">
        <v>113</v>
      </c>
    </row>
    <row r="391" customFormat="false" ht="14.25" hidden="false" customHeight="false" outlineLevel="0" collapsed="false">
      <c r="A391" s="1" t="n">
        <v>265</v>
      </c>
      <c r="B391" s="1" t="s">
        <v>477</v>
      </c>
      <c r="C391" s="143" t="n">
        <v>11171</v>
      </c>
      <c r="D391" s="143" t="s">
        <v>74</v>
      </c>
      <c r="E391" s="143" t="s">
        <v>474</v>
      </c>
      <c r="F391" s="144" t="n">
        <v>200025889180</v>
      </c>
      <c r="G391" s="144" t="s">
        <v>368</v>
      </c>
      <c r="H391" s="144" t="n">
        <v>34</v>
      </c>
      <c r="I391" s="144" t="s">
        <v>152</v>
      </c>
      <c r="J391" s="150" t="n">
        <v>45084.730787037</v>
      </c>
      <c r="K391" s="1" t="n">
        <v>4</v>
      </c>
      <c r="L391" s="144" t="n">
        <v>34</v>
      </c>
      <c r="M391" s="1" t="n">
        <v>9</v>
      </c>
      <c r="N391" s="1" t="n">
        <v>9</v>
      </c>
      <c r="O391" s="149" t="n">
        <v>114</v>
      </c>
    </row>
    <row r="392" customFormat="false" ht="14.25" hidden="false" customHeight="false" outlineLevel="0" collapsed="false">
      <c r="A392" s="1" t="n">
        <v>266</v>
      </c>
      <c r="B392" s="1" t="s">
        <v>477</v>
      </c>
      <c r="C392" s="143" t="n">
        <v>11171</v>
      </c>
      <c r="D392" s="143" t="s">
        <v>74</v>
      </c>
      <c r="E392" s="143" t="s">
        <v>474</v>
      </c>
      <c r="F392" s="144" t="n">
        <v>200025889180</v>
      </c>
      <c r="G392" s="144" t="s">
        <v>368</v>
      </c>
      <c r="H392" s="144" t="n">
        <v>34</v>
      </c>
      <c r="I392" s="144" t="s">
        <v>152</v>
      </c>
      <c r="J392" s="150" t="n">
        <v>45084.7308912037</v>
      </c>
      <c r="K392" s="1" t="n">
        <v>2</v>
      </c>
      <c r="L392" s="144" t="n">
        <v>34</v>
      </c>
      <c r="M392" s="1" t="n">
        <v>9</v>
      </c>
      <c r="N392" s="1" t="n">
        <v>9</v>
      </c>
      <c r="O392" s="149" t="n">
        <v>115</v>
      </c>
    </row>
    <row r="393" customFormat="false" ht="14.25" hidden="false" customHeight="false" outlineLevel="0" collapsed="false">
      <c r="A393" s="1" t="n">
        <v>267</v>
      </c>
      <c r="B393" s="1" t="s">
        <v>477</v>
      </c>
      <c r="C393" s="143" t="n">
        <v>11171</v>
      </c>
      <c r="D393" s="143" t="s">
        <v>74</v>
      </c>
      <c r="E393" s="143" t="s">
        <v>474</v>
      </c>
      <c r="F393" s="144" t="n">
        <v>200025889180</v>
      </c>
      <c r="G393" s="144" t="s">
        <v>368</v>
      </c>
      <c r="H393" s="144" t="n">
        <v>34</v>
      </c>
      <c r="I393" s="144" t="s">
        <v>152</v>
      </c>
      <c r="J393" s="150" t="n">
        <v>45084.7310069444</v>
      </c>
      <c r="K393" s="1" t="n">
        <v>0</v>
      </c>
      <c r="L393" s="144" t="n">
        <v>34</v>
      </c>
      <c r="M393" s="1" t="n">
        <v>9</v>
      </c>
      <c r="N393" s="1" t="n">
        <v>9</v>
      </c>
      <c r="O393" s="149" t="n">
        <v>116</v>
      </c>
    </row>
    <row r="394" customFormat="false" ht="14.25" hidden="false" customHeight="false" outlineLevel="0" collapsed="false">
      <c r="A394" s="1" t="n">
        <v>268</v>
      </c>
      <c r="B394" s="1" t="s">
        <v>477</v>
      </c>
      <c r="C394" s="143" t="n">
        <v>11171</v>
      </c>
      <c r="D394" s="143" t="s">
        <v>74</v>
      </c>
      <c r="E394" s="143" t="s">
        <v>474</v>
      </c>
      <c r="F394" s="144" t="n">
        <v>200025889180</v>
      </c>
      <c r="G394" s="144" t="s">
        <v>368</v>
      </c>
      <c r="H394" s="144" t="n">
        <v>34</v>
      </c>
      <c r="I394" s="144" t="s">
        <v>152</v>
      </c>
      <c r="J394" s="150" t="n">
        <v>45084.7316782407</v>
      </c>
      <c r="K394" s="1" t="n">
        <v>2</v>
      </c>
      <c r="L394" s="144" t="n">
        <v>34</v>
      </c>
      <c r="M394" s="1" t="n">
        <v>9</v>
      </c>
      <c r="N394" s="1" t="n">
        <v>9</v>
      </c>
      <c r="O394" s="149" t="n">
        <v>117</v>
      </c>
    </row>
    <row r="395" customFormat="false" ht="14.25" hidden="false" customHeight="false" outlineLevel="0" collapsed="false">
      <c r="A395" s="1" t="n">
        <v>269</v>
      </c>
      <c r="B395" s="1" t="s">
        <v>477</v>
      </c>
      <c r="C395" s="143" t="n">
        <v>11171</v>
      </c>
      <c r="D395" s="143" t="s">
        <v>74</v>
      </c>
      <c r="E395" s="143" t="s">
        <v>474</v>
      </c>
      <c r="F395" s="144" t="n">
        <v>200025889180</v>
      </c>
      <c r="G395" s="144" t="s">
        <v>368</v>
      </c>
      <c r="H395" s="144" t="n">
        <v>34</v>
      </c>
      <c r="I395" s="144" t="s">
        <v>152</v>
      </c>
      <c r="J395" s="150" t="n">
        <v>45084.7362152778</v>
      </c>
      <c r="K395" s="1" t="n">
        <v>4</v>
      </c>
      <c r="L395" s="144" t="n">
        <v>34</v>
      </c>
      <c r="M395" s="1" t="n">
        <v>9</v>
      </c>
      <c r="N395" s="1" t="n">
        <v>9</v>
      </c>
      <c r="O395" s="149" t="n">
        <v>118</v>
      </c>
    </row>
    <row r="396" customFormat="false" ht="14.25" hidden="false" customHeight="false" outlineLevel="0" collapsed="false">
      <c r="A396" s="1" t="n">
        <v>270</v>
      </c>
      <c r="B396" s="1" t="s">
        <v>477</v>
      </c>
      <c r="C396" s="143" t="n">
        <v>11171</v>
      </c>
      <c r="D396" s="143" t="s">
        <v>74</v>
      </c>
      <c r="E396" s="143" t="s">
        <v>474</v>
      </c>
      <c r="F396" s="144" t="n">
        <v>200025889180</v>
      </c>
      <c r="G396" s="144" t="s">
        <v>368</v>
      </c>
      <c r="H396" s="144" t="n">
        <v>34</v>
      </c>
      <c r="I396" s="144" t="s">
        <v>152</v>
      </c>
      <c r="J396" s="150" t="n">
        <v>45084.7366435185</v>
      </c>
      <c r="K396" s="1" t="n">
        <v>4</v>
      </c>
      <c r="L396" s="144" t="n">
        <v>34</v>
      </c>
      <c r="M396" s="1" t="n">
        <v>9</v>
      </c>
      <c r="N396" s="1" t="n">
        <v>9</v>
      </c>
      <c r="O396" s="149" t="n">
        <v>119</v>
      </c>
    </row>
    <row r="397" customFormat="false" ht="14.25" hidden="false" customHeight="false" outlineLevel="0" collapsed="false">
      <c r="A397" s="1" t="n">
        <v>271</v>
      </c>
      <c r="B397" s="1" t="s">
        <v>477</v>
      </c>
      <c r="C397" s="143" t="n">
        <v>11171</v>
      </c>
      <c r="D397" s="143" t="s">
        <v>74</v>
      </c>
      <c r="E397" s="143" t="s">
        <v>474</v>
      </c>
      <c r="F397" s="144" t="n">
        <v>200025889180</v>
      </c>
      <c r="G397" s="144" t="s">
        <v>368</v>
      </c>
      <c r="H397" s="144" t="n">
        <v>34</v>
      </c>
      <c r="I397" s="144" t="s">
        <v>152</v>
      </c>
      <c r="J397" s="150" t="n">
        <v>45084.7368634259</v>
      </c>
      <c r="K397" s="1" t="n">
        <v>1</v>
      </c>
      <c r="L397" s="144" t="n">
        <v>34</v>
      </c>
      <c r="M397" s="1" t="n">
        <v>9</v>
      </c>
      <c r="N397" s="1" t="n">
        <v>9</v>
      </c>
      <c r="O397" s="149" t="n">
        <v>120</v>
      </c>
    </row>
    <row r="398" customFormat="false" ht="14.25" hidden="false" customHeight="false" outlineLevel="0" collapsed="false">
      <c r="A398" s="1" t="n">
        <v>272</v>
      </c>
      <c r="B398" s="1" t="s">
        <v>477</v>
      </c>
      <c r="C398" s="143" t="n">
        <v>11171</v>
      </c>
      <c r="D398" s="143" t="s">
        <v>74</v>
      </c>
      <c r="E398" s="143" t="s">
        <v>474</v>
      </c>
      <c r="F398" s="144" t="n">
        <v>200025889180</v>
      </c>
      <c r="G398" s="144" t="s">
        <v>368</v>
      </c>
      <c r="H398" s="144" t="n">
        <v>34</v>
      </c>
      <c r="I398" s="144" t="s">
        <v>152</v>
      </c>
      <c r="J398" s="150" t="n">
        <v>45084.7376388889</v>
      </c>
      <c r="K398" s="1" t="n">
        <v>1</v>
      </c>
      <c r="L398" s="144" t="n">
        <v>34</v>
      </c>
      <c r="M398" s="1" t="n">
        <v>9</v>
      </c>
      <c r="N398" s="1" t="n">
        <v>9</v>
      </c>
      <c r="O398" s="149" t="n">
        <v>121</v>
      </c>
    </row>
    <row r="399" customFormat="false" ht="14.25" hidden="false" customHeight="false" outlineLevel="0" collapsed="false">
      <c r="A399" s="1" t="n">
        <v>273</v>
      </c>
      <c r="B399" s="1" t="s">
        <v>477</v>
      </c>
      <c r="C399" s="143" t="n">
        <v>11171</v>
      </c>
      <c r="D399" s="143" t="s">
        <v>74</v>
      </c>
      <c r="E399" s="143" t="s">
        <v>474</v>
      </c>
      <c r="F399" s="144" t="n">
        <v>200025889180</v>
      </c>
      <c r="G399" s="144" t="s">
        <v>368</v>
      </c>
      <c r="H399" s="144" t="n">
        <v>34</v>
      </c>
      <c r="I399" s="144" t="s">
        <v>152</v>
      </c>
      <c r="J399" s="150" t="n">
        <v>45084.7399074074</v>
      </c>
      <c r="K399" s="1" t="n">
        <v>3</v>
      </c>
      <c r="L399" s="144" t="n">
        <v>34</v>
      </c>
      <c r="M399" s="1" t="n">
        <v>9</v>
      </c>
      <c r="N399" s="1" t="n">
        <v>9</v>
      </c>
      <c r="O399" s="149" t="n">
        <v>122</v>
      </c>
    </row>
    <row r="400" customFormat="false" ht="14.25" hidden="false" customHeight="false" outlineLevel="0" collapsed="false">
      <c r="A400" s="1" t="n">
        <v>172</v>
      </c>
      <c r="B400" s="1" t="s">
        <v>488</v>
      </c>
      <c r="C400" s="143" t="n">
        <v>11358</v>
      </c>
      <c r="D400" s="143" t="s">
        <v>49</v>
      </c>
      <c r="E400" s="143" t="s">
        <v>474</v>
      </c>
      <c r="F400" s="144" t="n">
        <v>200025889180</v>
      </c>
      <c r="G400" s="144" t="s">
        <v>368</v>
      </c>
      <c r="H400" s="144" t="n">
        <v>34</v>
      </c>
      <c r="I400" s="144" t="s">
        <v>152</v>
      </c>
      <c r="J400" s="148" t="n">
        <v>45084.871875</v>
      </c>
      <c r="K400" s="1" t="n">
        <v>2</v>
      </c>
      <c r="L400" s="144" t="n">
        <v>34</v>
      </c>
      <c r="M400" s="1" t="n">
        <v>9</v>
      </c>
      <c r="N400" s="1" t="n">
        <v>9</v>
      </c>
      <c r="O400" s="149" t="n">
        <v>123</v>
      </c>
    </row>
    <row r="401" customFormat="false" ht="14.25" hidden="false" customHeight="false" outlineLevel="0" collapsed="false">
      <c r="A401" s="1" t="n">
        <v>173</v>
      </c>
      <c r="B401" s="1" t="s">
        <v>488</v>
      </c>
      <c r="C401" s="143" t="n">
        <v>11358</v>
      </c>
      <c r="D401" s="143" t="s">
        <v>49</v>
      </c>
      <c r="E401" s="143" t="s">
        <v>474</v>
      </c>
      <c r="F401" s="144" t="n">
        <v>200025889180</v>
      </c>
      <c r="G401" s="144" t="s">
        <v>368</v>
      </c>
      <c r="H401" s="144" t="n">
        <v>34</v>
      </c>
      <c r="I401" s="144" t="s">
        <v>152</v>
      </c>
      <c r="J401" s="148" t="n">
        <v>45084.8731134259</v>
      </c>
      <c r="K401" s="1" t="n">
        <v>3</v>
      </c>
      <c r="L401" s="144" t="n">
        <v>34</v>
      </c>
      <c r="M401" s="1" t="n">
        <v>9</v>
      </c>
      <c r="N401" s="1" t="n">
        <v>9</v>
      </c>
      <c r="O401" s="149" t="n">
        <v>124</v>
      </c>
    </row>
    <row r="402" customFormat="false" ht="14.25" hidden="false" customHeight="false" outlineLevel="0" collapsed="false">
      <c r="A402" s="1" t="n">
        <v>174</v>
      </c>
      <c r="B402" s="1" t="s">
        <v>488</v>
      </c>
      <c r="C402" s="143" t="n">
        <v>11358</v>
      </c>
      <c r="D402" s="143" t="s">
        <v>49</v>
      </c>
      <c r="E402" s="143" t="s">
        <v>474</v>
      </c>
      <c r="F402" s="144" t="n">
        <v>200025889180</v>
      </c>
      <c r="G402" s="144" t="s">
        <v>368</v>
      </c>
      <c r="H402" s="144" t="n">
        <v>34</v>
      </c>
      <c r="I402" s="144" t="s">
        <v>152</v>
      </c>
      <c r="J402" s="148" t="n">
        <v>45084.8735185185</v>
      </c>
      <c r="K402" s="1" t="n">
        <v>2</v>
      </c>
      <c r="L402" s="144" t="n">
        <v>34</v>
      </c>
      <c r="M402" s="1" t="n">
        <v>9</v>
      </c>
      <c r="N402" s="1" t="n">
        <v>9</v>
      </c>
      <c r="O402" s="149" t="n">
        <v>125</v>
      </c>
    </row>
    <row r="403" customFormat="false" ht="14.25" hidden="false" customHeight="false" outlineLevel="0" collapsed="false">
      <c r="A403" s="1" t="n">
        <v>175</v>
      </c>
      <c r="B403" s="1" t="s">
        <v>488</v>
      </c>
      <c r="C403" s="143" t="n">
        <v>11358</v>
      </c>
      <c r="D403" s="143" t="s">
        <v>49</v>
      </c>
      <c r="E403" s="143" t="s">
        <v>474</v>
      </c>
      <c r="F403" s="144" t="n">
        <v>200025889180</v>
      </c>
      <c r="G403" s="144" t="s">
        <v>368</v>
      </c>
      <c r="H403" s="144" t="n">
        <v>34</v>
      </c>
      <c r="I403" s="144" t="s">
        <v>152</v>
      </c>
      <c r="J403" s="148" t="n">
        <v>45084.8738425926</v>
      </c>
      <c r="K403" s="1" t="n">
        <v>1</v>
      </c>
      <c r="L403" s="144" t="n">
        <v>34</v>
      </c>
      <c r="M403" s="1" t="n">
        <v>9</v>
      </c>
      <c r="N403" s="1" t="n">
        <v>9</v>
      </c>
      <c r="O403" s="149" t="n">
        <v>126</v>
      </c>
    </row>
    <row r="404" customFormat="false" ht="14.25" hidden="false" customHeight="false" outlineLevel="0" collapsed="false">
      <c r="A404" s="1" t="n">
        <v>176</v>
      </c>
      <c r="B404" s="1" t="s">
        <v>488</v>
      </c>
      <c r="C404" s="143" t="n">
        <v>11358</v>
      </c>
      <c r="D404" s="143" t="s">
        <v>49</v>
      </c>
      <c r="E404" s="143" t="s">
        <v>474</v>
      </c>
      <c r="F404" s="144" t="n">
        <v>200025889180</v>
      </c>
      <c r="G404" s="144" t="s">
        <v>368</v>
      </c>
      <c r="H404" s="144" t="n">
        <v>34</v>
      </c>
      <c r="I404" s="144" t="s">
        <v>152</v>
      </c>
      <c r="J404" s="148" t="n">
        <v>45084.8745023148</v>
      </c>
      <c r="K404" s="1" t="n">
        <v>1</v>
      </c>
      <c r="L404" s="144" t="n">
        <v>34</v>
      </c>
      <c r="M404" s="1" t="n">
        <v>9</v>
      </c>
      <c r="N404" s="1" t="n">
        <v>9</v>
      </c>
      <c r="O404" s="149" t="n">
        <v>127</v>
      </c>
    </row>
    <row r="405" customFormat="false" ht="14.25" hidden="false" customHeight="false" outlineLevel="0" collapsed="false">
      <c r="A405" s="1" t="n">
        <v>177</v>
      </c>
      <c r="B405" s="1" t="s">
        <v>488</v>
      </c>
      <c r="C405" s="143" t="n">
        <v>11358</v>
      </c>
      <c r="D405" s="143" t="s">
        <v>49</v>
      </c>
      <c r="E405" s="143" t="s">
        <v>474</v>
      </c>
      <c r="F405" s="144" t="n">
        <v>200025889180</v>
      </c>
      <c r="G405" s="144" t="s">
        <v>368</v>
      </c>
      <c r="H405" s="144" t="n">
        <v>34</v>
      </c>
      <c r="I405" s="144" t="s">
        <v>152</v>
      </c>
      <c r="J405" s="148" t="n">
        <v>45084.8746875</v>
      </c>
      <c r="K405" s="1" t="n">
        <v>2</v>
      </c>
      <c r="L405" s="144" t="n">
        <v>34</v>
      </c>
      <c r="M405" s="1" t="n">
        <v>9</v>
      </c>
      <c r="N405" s="1" t="n">
        <v>9</v>
      </c>
      <c r="O405" s="149" t="n">
        <v>128</v>
      </c>
    </row>
    <row r="406" customFormat="false" ht="14.25" hidden="false" customHeight="false" outlineLevel="0" collapsed="false">
      <c r="A406" s="1" t="n">
        <v>178</v>
      </c>
      <c r="B406" s="1" t="s">
        <v>488</v>
      </c>
      <c r="C406" s="143" t="n">
        <v>11358</v>
      </c>
      <c r="D406" s="143" t="s">
        <v>49</v>
      </c>
      <c r="E406" s="143" t="s">
        <v>474</v>
      </c>
      <c r="F406" s="144" t="n">
        <v>200025889180</v>
      </c>
      <c r="G406" s="144" t="s">
        <v>368</v>
      </c>
      <c r="H406" s="144" t="n">
        <v>34</v>
      </c>
      <c r="I406" s="144" t="s">
        <v>152</v>
      </c>
      <c r="J406" s="148" t="n">
        <v>45084.8752777778</v>
      </c>
      <c r="K406" s="1" t="n">
        <v>2</v>
      </c>
      <c r="L406" s="144" t="n">
        <v>34</v>
      </c>
      <c r="M406" s="1" t="n">
        <v>9</v>
      </c>
      <c r="N406" s="1" t="n">
        <v>9</v>
      </c>
      <c r="O406" s="149" t="n">
        <v>129</v>
      </c>
    </row>
    <row r="407" customFormat="false" ht="14.25" hidden="false" customHeight="false" outlineLevel="0" collapsed="false">
      <c r="A407" s="1" t="n">
        <v>179</v>
      </c>
      <c r="B407" s="1" t="s">
        <v>488</v>
      </c>
      <c r="C407" s="143" t="n">
        <v>11358</v>
      </c>
      <c r="D407" s="143" t="s">
        <v>49</v>
      </c>
      <c r="E407" s="143" t="s">
        <v>474</v>
      </c>
      <c r="F407" s="144" t="n">
        <v>200025889180</v>
      </c>
      <c r="G407" s="144" t="s">
        <v>368</v>
      </c>
      <c r="H407" s="144" t="n">
        <v>34</v>
      </c>
      <c r="I407" s="144" t="s">
        <v>152</v>
      </c>
      <c r="J407" s="148" t="n">
        <v>45084.8753472222</v>
      </c>
      <c r="K407" s="1" t="n">
        <v>1</v>
      </c>
      <c r="L407" s="144" t="n">
        <v>34</v>
      </c>
      <c r="M407" s="1" t="n">
        <v>9</v>
      </c>
      <c r="N407" s="1" t="n">
        <v>9</v>
      </c>
      <c r="O407" s="149" t="n">
        <v>130</v>
      </c>
    </row>
    <row r="408" customFormat="false" ht="14.25" hidden="false" customHeight="false" outlineLevel="0" collapsed="false">
      <c r="A408" s="1" t="n">
        <v>43</v>
      </c>
      <c r="B408" s="1" t="s">
        <v>491</v>
      </c>
      <c r="C408" s="143" t="n">
        <v>21265</v>
      </c>
      <c r="D408" s="143" t="s">
        <v>76</v>
      </c>
      <c r="E408" s="143" t="s">
        <v>474</v>
      </c>
      <c r="F408" s="144" t="n">
        <v>200025889180</v>
      </c>
      <c r="G408" s="144" t="s">
        <v>368</v>
      </c>
      <c r="H408" s="144" t="n">
        <v>34</v>
      </c>
      <c r="I408" s="144" t="s">
        <v>152</v>
      </c>
      <c r="J408" s="148" t="n">
        <v>45084.8902430556</v>
      </c>
      <c r="K408" s="1" t="n">
        <v>1</v>
      </c>
      <c r="L408" s="144" t="n">
        <v>34</v>
      </c>
      <c r="M408" s="1" t="n">
        <v>9</v>
      </c>
      <c r="N408" s="1" t="n">
        <v>9</v>
      </c>
      <c r="O408" s="149" t="n">
        <v>131</v>
      </c>
    </row>
    <row r="409" customFormat="false" ht="14.25" hidden="false" customHeight="false" outlineLevel="0" collapsed="false">
      <c r="A409" s="1" t="n">
        <v>44</v>
      </c>
      <c r="B409" s="1" t="s">
        <v>491</v>
      </c>
      <c r="C409" s="143" t="n">
        <v>21265</v>
      </c>
      <c r="D409" s="143" t="s">
        <v>76</v>
      </c>
      <c r="E409" s="143" t="s">
        <v>474</v>
      </c>
      <c r="F409" s="144" t="n">
        <v>200025889180</v>
      </c>
      <c r="G409" s="144" t="s">
        <v>368</v>
      </c>
      <c r="H409" s="144" t="n">
        <v>34</v>
      </c>
      <c r="I409" s="144" t="s">
        <v>152</v>
      </c>
      <c r="J409" s="148" t="n">
        <v>45084.8909490741</v>
      </c>
      <c r="K409" s="1" t="n">
        <v>1</v>
      </c>
      <c r="L409" s="144" t="n">
        <v>34</v>
      </c>
      <c r="M409" s="1" t="n">
        <v>9</v>
      </c>
      <c r="N409" s="1" t="n">
        <v>9</v>
      </c>
      <c r="O409" s="149" t="n">
        <v>132</v>
      </c>
    </row>
    <row r="410" customFormat="false" ht="14.25" hidden="false" customHeight="false" outlineLevel="0" collapsed="false">
      <c r="A410" s="1" t="n">
        <v>45</v>
      </c>
      <c r="B410" s="1" t="s">
        <v>491</v>
      </c>
      <c r="C410" s="143" t="n">
        <v>21265</v>
      </c>
      <c r="D410" s="143" t="s">
        <v>76</v>
      </c>
      <c r="E410" s="143" t="s">
        <v>474</v>
      </c>
      <c r="F410" s="144" t="n">
        <v>200025889180</v>
      </c>
      <c r="G410" s="144" t="s">
        <v>368</v>
      </c>
      <c r="H410" s="144" t="n">
        <v>34</v>
      </c>
      <c r="I410" s="144" t="s">
        <v>152</v>
      </c>
      <c r="J410" s="148" t="n">
        <v>45084.8909953704</v>
      </c>
      <c r="K410" s="1" t="n">
        <v>2</v>
      </c>
      <c r="L410" s="144" t="n">
        <v>34</v>
      </c>
      <c r="M410" s="1" t="n">
        <v>9</v>
      </c>
      <c r="N410" s="1" t="n">
        <v>9</v>
      </c>
      <c r="O410" s="149" t="n">
        <v>133</v>
      </c>
    </row>
    <row r="411" customFormat="false" ht="14.25" hidden="false" customHeight="false" outlineLevel="0" collapsed="false">
      <c r="A411" s="1" t="n">
        <v>46</v>
      </c>
      <c r="B411" s="1" t="s">
        <v>491</v>
      </c>
      <c r="C411" s="143" t="n">
        <v>21265</v>
      </c>
      <c r="D411" s="143" t="s">
        <v>76</v>
      </c>
      <c r="E411" s="143" t="s">
        <v>474</v>
      </c>
      <c r="F411" s="144" t="n">
        <v>200025889180</v>
      </c>
      <c r="G411" s="144" t="s">
        <v>368</v>
      </c>
      <c r="H411" s="144" t="n">
        <v>34</v>
      </c>
      <c r="I411" s="144" t="s">
        <v>152</v>
      </c>
      <c r="J411" s="148" t="n">
        <v>45084.9531481481</v>
      </c>
      <c r="K411" s="1" t="n">
        <v>1</v>
      </c>
      <c r="L411" s="144" t="n">
        <v>34</v>
      </c>
      <c r="M411" s="1" t="n">
        <v>9</v>
      </c>
      <c r="N411" s="1" t="n">
        <v>9</v>
      </c>
      <c r="O411" s="149" t="n">
        <v>134</v>
      </c>
    </row>
    <row r="412" customFormat="false" ht="14.25" hidden="false" customHeight="false" outlineLevel="0" collapsed="false">
      <c r="A412" s="1" t="n">
        <v>47</v>
      </c>
      <c r="B412" s="1" t="s">
        <v>491</v>
      </c>
      <c r="C412" s="143" t="n">
        <v>21265</v>
      </c>
      <c r="D412" s="143" t="s">
        <v>76</v>
      </c>
      <c r="E412" s="143" t="s">
        <v>474</v>
      </c>
      <c r="F412" s="144" t="n">
        <v>200025889180</v>
      </c>
      <c r="G412" s="144" t="s">
        <v>368</v>
      </c>
      <c r="H412" s="144" t="n">
        <v>34</v>
      </c>
      <c r="I412" s="144" t="s">
        <v>152</v>
      </c>
      <c r="J412" s="148" t="n">
        <v>45084.9535416667</v>
      </c>
      <c r="K412" s="1" t="n">
        <v>1</v>
      </c>
      <c r="L412" s="144" t="n">
        <v>34</v>
      </c>
      <c r="M412" s="1" t="n">
        <v>9</v>
      </c>
      <c r="N412" s="1" t="n">
        <v>9</v>
      </c>
      <c r="O412" s="149" t="n">
        <v>135</v>
      </c>
    </row>
    <row r="413" customFormat="false" ht="14.25" hidden="false" customHeight="false" outlineLevel="0" collapsed="false">
      <c r="A413" s="1" t="n">
        <v>274</v>
      </c>
      <c r="B413" s="1" t="s">
        <v>477</v>
      </c>
      <c r="C413" s="143" t="n">
        <v>11171</v>
      </c>
      <c r="D413" s="143" t="s">
        <v>74</v>
      </c>
      <c r="E413" s="143" t="s">
        <v>474</v>
      </c>
      <c r="F413" s="144" t="n">
        <v>200025889180</v>
      </c>
      <c r="G413" s="144" t="s">
        <v>368</v>
      </c>
      <c r="H413" s="144" t="n">
        <v>34</v>
      </c>
      <c r="I413" s="144" t="s">
        <v>152</v>
      </c>
      <c r="J413" s="150" t="n">
        <v>45085.475625</v>
      </c>
      <c r="K413" s="1" t="n">
        <v>1</v>
      </c>
      <c r="L413" s="144" t="n">
        <v>34</v>
      </c>
      <c r="M413" s="1" t="n">
        <v>9</v>
      </c>
      <c r="N413" s="1" t="n">
        <v>9</v>
      </c>
      <c r="O413" s="149" t="n">
        <v>136</v>
      </c>
    </row>
    <row r="414" customFormat="false" ht="14.25" hidden="false" customHeight="false" outlineLevel="0" collapsed="false">
      <c r="A414" s="1" t="n">
        <v>49</v>
      </c>
      <c r="B414" s="1" t="s">
        <v>491</v>
      </c>
      <c r="C414" s="143" t="n">
        <v>21265</v>
      </c>
      <c r="D414" s="143" t="s">
        <v>76</v>
      </c>
      <c r="E414" s="143" t="s">
        <v>474</v>
      </c>
      <c r="F414" s="144" t="n">
        <v>200025889180</v>
      </c>
      <c r="G414" s="144" t="s">
        <v>368</v>
      </c>
      <c r="H414" s="144" t="n">
        <v>34</v>
      </c>
      <c r="I414" s="144" t="s">
        <v>152</v>
      </c>
      <c r="J414" s="148" t="n">
        <v>45085.5200694444</v>
      </c>
      <c r="K414" s="1" t="n">
        <v>1</v>
      </c>
      <c r="L414" s="144" t="n">
        <v>34</v>
      </c>
      <c r="M414" s="1" t="n">
        <v>9</v>
      </c>
      <c r="N414" s="1" t="n">
        <v>9</v>
      </c>
      <c r="O414" s="149" t="n">
        <v>137</v>
      </c>
    </row>
    <row r="415" customFormat="false" ht="14.25" hidden="false" customHeight="false" outlineLevel="0" collapsed="false">
      <c r="A415" s="1" t="n">
        <v>183</v>
      </c>
      <c r="B415" s="1" t="s">
        <v>488</v>
      </c>
      <c r="C415" s="143" t="n">
        <v>11358</v>
      </c>
      <c r="D415" s="143" t="s">
        <v>49</v>
      </c>
      <c r="E415" s="143" t="s">
        <v>474</v>
      </c>
      <c r="F415" s="144" t="n">
        <v>200025889180</v>
      </c>
      <c r="G415" s="144" t="s">
        <v>368</v>
      </c>
      <c r="H415" s="144" t="n">
        <v>34</v>
      </c>
      <c r="I415" s="144" t="s">
        <v>152</v>
      </c>
      <c r="J415" s="148" t="n">
        <v>45087.3668865741</v>
      </c>
      <c r="K415" s="1" t="n">
        <v>2</v>
      </c>
      <c r="L415" s="144" t="n">
        <v>34</v>
      </c>
      <c r="M415" s="1" t="n">
        <v>9</v>
      </c>
      <c r="N415" s="1" t="n">
        <v>9</v>
      </c>
      <c r="O415" s="149" t="n">
        <v>138</v>
      </c>
    </row>
    <row r="416" customFormat="false" ht="14.25" hidden="false" customHeight="false" outlineLevel="0" collapsed="false">
      <c r="A416" s="1" t="n">
        <v>184</v>
      </c>
      <c r="B416" s="1" t="s">
        <v>488</v>
      </c>
      <c r="C416" s="143" t="n">
        <v>11358</v>
      </c>
      <c r="D416" s="143" t="s">
        <v>49</v>
      </c>
      <c r="E416" s="143" t="s">
        <v>474</v>
      </c>
      <c r="F416" s="144" t="n">
        <v>200025889180</v>
      </c>
      <c r="G416" s="144" t="s">
        <v>368</v>
      </c>
      <c r="H416" s="144" t="n">
        <v>34</v>
      </c>
      <c r="I416" s="144" t="s">
        <v>152</v>
      </c>
      <c r="J416" s="148" t="n">
        <v>45087.3671875</v>
      </c>
      <c r="K416" s="1" t="n">
        <v>1</v>
      </c>
      <c r="L416" s="144" t="n">
        <v>34</v>
      </c>
      <c r="M416" s="1" t="n">
        <v>9</v>
      </c>
      <c r="N416" s="1" t="n">
        <v>9</v>
      </c>
      <c r="O416" s="149" t="n">
        <v>139</v>
      </c>
    </row>
    <row r="417" customFormat="false" ht="14.25" hidden="false" customHeight="false" outlineLevel="0" collapsed="false">
      <c r="A417" s="1" t="n">
        <v>185</v>
      </c>
      <c r="B417" s="1" t="s">
        <v>488</v>
      </c>
      <c r="C417" s="143" t="n">
        <v>11358</v>
      </c>
      <c r="D417" s="143" t="s">
        <v>49</v>
      </c>
      <c r="E417" s="143" t="s">
        <v>474</v>
      </c>
      <c r="F417" s="144" t="n">
        <v>200025889180</v>
      </c>
      <c r="G417" s="144" t="s">
        <v>368</v>
      </c>
      <c r="H417" s="144" t="n">
        <v>34</v>
      </c>
      <c r="I417" s="144" t="s">
        <v>152</v>
      </c>
      <c r="J417" s="148" t="n">
        <v>45087.3675694445</v>
      </c>
      <c r="K417" s="1" t="n">
        <v>0</v>
      </c>
      <c r="L417" s="144" t="n">
        <v>34</v>
      </c>
      <c r="M417" s="1" t="n">
        <v>9</v>
      </c>
      <c r="N417" s="1" t="n">
        <v>9</v>
      </c>
      <c r="O417" s="149" t="n">
        <v>140</v>
      </c>
    </row>
    <row r="418" customFormat="false" ht="14.25" hidden="false" customHeight="false" outlineLevel="0" collapsed="false">
      <c r="A418" s="1" t="n">
        <v>186</v>
      </c>
      <c r="B418" s="1" t="s">
        <v>488</v>
      </c>
      <c r="C418" s="143" t="n">
        <v>11358</v>
      </c>
      <c r="D418" s="143" t="s">
        <v>49</v>
      </c>
      <c r="E418" s="143" t="s">
        <v>474</v>
      </c>
      <c r="F418" s="144" t="n">
        <v>200025889180</v>
      </c>
      <c r="G418" s="144" t="s">
        <v>368</v>
      </c>
      <c r="H418" s="144" t="n">
        <v>34</v>
      </c>
      <c r="I418" s="144" t="s">
        <v>152</v>
      </c>
      <c r="J418" s="148" t="n">
        <v>45087.3677893519</v>
      </c>
      <c r="K418" s="1" t="n">
        <v>3</v>
      </c>
      <c r="L418" s="144" t="n">
        <v>34</v>
      </c>
      <c r="M418" s="1" t="n">
        <v>9</v>
      </c>
      <c r="N418" s="1" t="n">
        <v>9</v>
      </c>
      <c r="O418" s="149" t="n">
        <v>141</v>
      </c>
    </row>
    <row r="419" customFormat="false" ht="14.25" hidden="false" customHeight="false" outlineLevel="0" collapsed="false">
      <c r="A419" s="1" t="n">
        <v>187</v>
      </c>
      <c r="B419" s="1" t="s">
        <v>488</v>
      </c>
      <c r="C419" s="143" t="n">
        <v>11358</v>
      </c>
      <c r="D419" s="143" t="s">
        <v>49</v>
      </c>
      <c r="E419" s="143" t="s">
        <v>474</v>
      </c>
      <c r="F419" s="144" t="n">
        <v>200025889180</v>
      </c>
      <c r="G419" s="144" t="s">
        <v>368</v>
      </c>
      <c r="H419" s="144" t="n">
        <v>34</v>
      </c>
      <c r="I419" s="144" t="s">
        <v>152</v>
      </c>
      <c r="J419" s="148" t="n">
        <v>45087.367962963</v>
      </c>
      <c r="K419" s="1" t="n">
        <v>2</v>
      </c>
      <c r="L419" s="144" t="n">
        <v>34</v>
      </c>
      <c r="M419" s="1" t="n">
        <v>9</v>
      </c>
      <c r="N419" s="1" t="n">
        <v>9</v>
      </c>
      <c r="O419" s="149" t="n">
        <v>142</v>
      </c>
    </row>
    <row r="420" customFormat="false" ht="14.25" hidden="false" customHeight="false" outlineLevel="0" collapsed="false">
      <c r="A420" s="1" t="n">
        <v>188</v>
      </c>
      <c r="B420" s="1" t="s">
        <v>488</v>
      </c>
      <c r="C420" s="143" t="n">
        <v>11358</v>
      </c>
      <c r="D420" s="143" t="s">
        <v>49</v>
      </c>
      <c r="E420" s="143" t="s">
        <v>474</v>
      </c>
      <c r="F420" s="144" t="n">
        <v>200025889180</v>
      </c>
      <c r="G420" s="144" t="s">
        <v>368</v>
      </c>
      <c r="H420" s="144" t="n">
        <v>34</v>
      </c>
      <c r="I420" s="144" t="s">
        <v>152</v>
      </c>
      <c r="J420" s="148" t="n">
        <v>45087.3681944445</v>
      </c>
      <c r="K420" s="1" t="n">
        <v>1</v>
      </c>
      <c r="L420" s="144" t="n">
        <v>34</v>
      </c>
      <c r="M420" s="1" t="n">
        <v>9</v>
      </c>
      <c r="N420" s="1" t="n">
        <v>9</v>
      </c>
      <c r="O420" s="149" t="n">
        <v>143</v>
      </c>
    </row>
    <row r="421" customFormat="false" ht="14.25" hidden="false" customHeight="false" outlineLevel="0" collapsed="false">
      <c r="A421" s="1" t="n">
        <v>332</v>
      </c>
      <c r="B421" s="1" t="s">
        <v>490</v>
      </c>
      <c r="C421" s="143" t="n">
        <v>21265</v>
      </c>
      <c r="D421" s="143" t="s">
        <v>76</v>
      </c>
      <c r="E421" s="143" t="s">
        <v>474</v>
      </c>
      <c r="F421" s="144" t="n">
        <v>200025889180</v>
      </c>
      <c r="G421" s="144" t="s">
        <v>368</v>
      </c>
      <c r="H421" s="144" t="n">
        <v>34</v>
      </c>
      <c r="I421" s="144" t="s">
        <v>152</v>
      </c>
      <c r="J421" s="148" t="n">
        <v>45087.4380092593</v>
      </c>
      <c r="K421" s="1" t="n">
        <v>1</v>
      </c>
      <c r="L421" s="144" t="n">
        <v>34</v>
      </c>
      <c r="M421" s="1" t="n">
        <v>9</v>
      </c>
      <c r="N421" s="1" t="n">
        <v>9</v>
      </c>
      <c r="O421" s="149" t="n">
        <v>144</v>
      </c>
    </row>
    <row r="422" customFormat="false" ht="14.25" hidden="false" customHeight="false" outlineLevel="0" collapsed="false">
      <c r="A422" s="1" t="n">
        <v>24</v>
      </c>
      <c r="B422" s="1" t="s">
        <v>473</v>
      </c>
      <c r="C422" s="143" t="n">
        <v>11490</v>
      </c>
      <c r="D422" s="143" t="s">
        <v>65</v>
      </c>
      <c r="E422" s="143" t="s">
        <v>474</v>
      </c>
      <c r="F422" s="144" t="n">
        <v>200025888173</v>
      </c>
      <c r="G422" s="144" t="s">
        <v>154</v>
      </c>
      <c r="H422" s="144" t="n">
        <v>23</v>
      </c>
      <c r="I422" s="144" t="s">
        <v>152</v>
      </c>
      <c r="J422" s="148" t="n">
        <v>45055.9608680556</v>
      </c>
      <c r="K422" s="1" t="n">
        <v>1</v>
      </c>
      <c r="L422" s="144" t="n">
        <v>23</v>
      </c>
      <c r="M422" s="144" t="n">
        <v>10</v>
      </c>
      <c r="N422" s="144" t="n">
        <v>10</v>
      </c>
      <c r="O422" s="144" t="n">
        <v>1</v>
      </c>
    </row>
    <row r="423" customFormat="false" ht="14.25" hidden="false" customHeight="false" outlineLevel="0" collapsed="false">
      <c r="A423" s="1" t="n">
        <v>51</v>
      </c>
      <c r="B423" s="1" t="s">
        <v>476</v>
      </c>
      <c r="C423" s="143" t="n">
        <v>91601</v>
      </c>
      <c r="D423" s="143" t="s">
        <v>65</v>
      </c>
      <c r="E423" s="143" t="s">
        <v>474</v>
      </c>
      <c r="F423" s="144" t="n">
        <v>200025888173</v>
      </c>
      <c r="G423" s="144" t="s">
        <v>154</v>
      </c>
      <c r="H423" s="144" t="n">
        <v>23</v>
      </c>
      <c r="I423" s="144" t="s">
        <v>152</v>
      </c>
      <c r="J423" s="148" t="n">
        <v>45070.7166666667</v>
      </c>
      <c r="K423" s="1" t="n">
        <v>1</v>
      </c>
      <c r="L423" s="144" t="n">
        <v>23</v>
      </c>
      <c r="M423" s="1" t="n">
        <v>10</v>
      </c>
      <c r="N423" s="1" t="n">
        <v>10</v>
      </c>
      <c r="O423" s="149" t="n">
        <v>2</v>
      </c>
    </row>
    <row r="424" customFormat="false" ht="14.25" hidden="false" customHeight="false" outlineLevel="0" collapsed="false">
      <c r="A424" s="1" t="n">
        <v>52</v>
      </c>
      <c r="B424" s="1" t="s">
        <v>476</v>
      </c>
      <c r="C424" s="143" t="n">
        <v>91601</v>
      </c>
      <c r="D424" s="143" t="s">
        <v>65</v>
      </c>
      <c r="E424" s="143" t="s">
        <v>474</v>
      </c>
      <c r="F424" s="144" t="n">
        <v>200025888173</v>
      </c>
      <c r="G424" s="144" t="s">
        <v>154</v>
      </c>
      <c r="H424" s="144" t="n">
        <v>23</v>
      </c>
      <c r="I424" s="144" t="s">
        <v>152</v>
      </c>
      <c r="J424" s="148" t="n">
        <v>45070.7168171296</v>
      </c>
      <c r="K424" s="1" t="n">
        <v>0</v>
      </c>
      <c r="L424" s="144" t="n">
        <v>23</v>
      </c>
      <c r="M424" s="1" t="n">
        <v>10</v>
      </c>
      <c r="N424" s="1" t="n">
        <v>10</v>
      </c>
      <c r="O424" s="149" t="n">
        <v>3</v>
      </c>
    </row>
    <row r="425" customFormat="false" ht="14.25" hidden="false" customHeight="false" outlineLevel="0" collapsed="false">
      <c r="A425" s="1" t="n">
        <v>54</v>
      </c>
      <c r="B425" s="1" t="s">
        <v>476</v>
      </c>
      <c r="C425" s="143" t="n">
        <v>91601</v>
      </c>
      <c r="D425" s="143" t="s">
        <v>65</v>
      </c>
      <c r="E425" s="143" t="s">
        <v>474</v>
      </c>
      <c r="F425" s="144" t="n">
        <v>200025888173</v>
      </c>
      <c r="G425" s="144" t="s">
        <v>154</v>
      </c>
      <c r="H425" s="144" t="n">
        <v>23</v>
      </c>
      <c r="I425" s="144" t="s">
        <v>152</v>
      </c>
      <c r="J425" s="148" t="n">
        <v>45070.7426851852</v>
      </c>
      <c r="K425" s="1" t="n">
        <v>2</v>
      </c>
      <c r="L425" s="144" t="n">
        <v>23</v>
      </c>
      <c r="M425" s="1" t="n">
        <v>10</v>
      </c>
      <c r="N425" s="1" t="n">
        <v>10</v>
      </c>
      <c r="O425" s="149" t="n">
        <v>4</v>
      </c>
    </row>
    <row r="426" customFormat="false" ht="14.25" hidden="false" customHeight="false" outlineLevel="0" collapsed="false">
      <c r="A426" s="1" t="n">
        <v>194</v>
      </c>
      <c r="B426" s="1" t="s">
        <v>477</v>
      </c>
      <c r="C426" s="143" t="s">
        <v>52</v>
      </c>
      <c r="D426" s="143" t="s">
        <v>53</v>
      </c>
      <c r="E426" s="143" t="s">
        <v>474</v>
      </c>
      <c r="F426" s="144" t="n">
        <v>200025888173</v>
      </c>
      <c r="G426" s="144" t="s">
        <v>154</v>
      </c>
      <c r="H426" s="144" t="n">
        <v>23</v>
      </c>
      <c r="I426" s="144" t="s">
        <v>152</v>
      </c>
      <c r="J426" s="150" t="n">
        <v>45074.9781365741</v>
      </c>
      <c r="K426" s="1" t="n">
        <v>1</v>
      </c>
      <c r="L426" s="144" t="n">
        <v>23</v>
      </c>
      <c r="M426" s="1" t="n">
        <v>10</v>
      </c>
      <c r="N426" s="1" t="n">
        <v>10</v>
      </c>
      <c r="O426" s="149" t="n">
        <v>5</v>
      </c>
    </row>
    <row r="427" customFormat="false" ht="14.25" hidden="false" customHeight="false" outlineLevel="0" collapsed="false">
      <c r="A427" s="1" t="n">
        <v>195</v>
      </c>
      <c r="B427" s="1" t="s">
        <v>477</v>
      </c>
      <c r="C427" s="143" t="s">
        <v>52</v>
      </c>
      <c r="D427" s="143" t="s">
        <v>53</v>
      </c>
      <c r="E427" s="143" t="s">
        <v>474</v>
      </c>
      <c r="F427" s="144" t="n">
        <v>200025888173</v>
      </c>
      <c r="G427" s="144" t="s">
        <v>154</v>
      </c>
      <c r="H427" s="144" t="n">
        <v>23</v>
      </c>
      <c r="I427" s="144" t="s">
        <v>152</v>
      </c>
      <c r="J427" s="150" t="n">
        <v>45074.9783680556</v>
      </c>
      <c r="K427" s="1" t="n">
        <v>2</v>
      </c>
      <c r="L427" s="144" t="n">
        <v>23</v>
      </c>
      <c r="M427" s="1" t="n">
        <v>10</v>
      </c>
      <c r="N427" s="1" t="n">
        <v>10</v>
      </c>
      <c r="O427" s="149" t="n">
        <v>6</v>
      </c>
    </row>
    <row r="428" customFormat="false" ht="14.25" hidden="false" customHeight="false" outlineLevel="0" collapsed="false">
      <c r="A428" s="1" t="n">
        <v>196</v>
      </c>
      <c r="B428" s="1" t="s">
        <v>477</v>
      </c>
      <c r="C428" s="143" t="s">
        <v>52</v>
      </c>
      <c r="D428" s="143" t="s">
        <v>53</v>
      </c>
      <c r="E428" s="143" t="s">
        <v>474</v>
      </c>
      <c r="F428" s="144" t="n">
        <v>200025888173</v>
      </c>
      <c r="G428" s="144" t="s">
        <v>154</v>
      </c>
      <c r="H428" s="144" t="n">
        <v>23</v>
      </c>
      <c r="I428" s="144" t="s">
        <v>152</v>
      </c>
      <c r="J428" s="150" t="n">
        <v>45074.988587963</v>
      </c>
      <c r="K428" s="1" t="n">
        <v>4</v>
      </c>
      <c r="L428" s="144" t="n">
        <v>23</v>
      </c>
      <c r="M428" s="1" t="n">
        <v>10</v>
      </c>
      <c r="N428" s="1" t="n">
        <v>10</v>
      </c>
      <c r="O428" s="149" t="n">
        <v>7</v>
      </c>
    </row>
    <row r="429" customFormat="false" ht="14.25" hidden="false" customHeight="false" outlineLevel="0" collapsed="false">
      <c r="A429" s="1" t="n">
        <v>197</v>
      </c>
      <c r="B429" s="1" t="s">
        <v>477</v>
      </c>
      <c r="C429" s="143" t="s">
        <v>52</v>
      </c>
      <c r="D429" s="143" t="s">
        <v>53</v>
      </c>
      <c r="E429" s="143" t="s">
        <v>474</v>
      </c>
      <c r="F429" s="144" t="n">
        <v>200025888173</v>
      </c>
      <c r="G429" s="144" t="s">
        <v>154</v>
      </c>
      <c r="H429" s="144" t="n">
        <v>23</v>
      </c>
      <c r="I429" s="144" t="s">
        <v>152</v>
      </c>
      <c r="J429" s="150" t="n">
        <v>45074.9886921296</v>
      </c>
      <c r="K429" s="1" t="n">
        <v>1</v>
      </c>
      <c r="L429" s="144" t="n">
        <v>23</v>
      </c>
      <c r="M429" s="1" t="n">
        <v>10</v>
      </c>
      <c r="N429" s="1" t="n">
        <v>10</v>
      </c>
      <c r="O429" s="149" t="n">
        <v>8</v>
      </c>
    </row>
    <row r="430" customFormat="false" ht="14.25" hidden="false" customHeight="false" outlineLevel="0" collapsed="false">
      <c r="A430" s="1" t="n">
        <v>198</v>
      </c>
      <c r="B430" s="1" t="s">
        <v>477</v>
      </c>
      <c r="C430" s="143" t="s">
        <v>52</v>
      </c>
      <c r="D430" s="143" t="s">
        <v>53</v>
      </c>
      <c r="E430" s="143" t="s">
        <v>474</v>
      </c>
      <c r="F430" s="144" t="n">
        <v>200025888173</v>
      </c>
      <c r="G430" s="144" t="s">
        <v>154</v>
      </c>
      <c r="H430" s="144" t="n">
        <v>23</v>
      </c>
      <c r="I430" s="144" t="s">
        <v>152</v>
      </c>
      <c r="J430" s="150" t="n">
        <v>45074.9888657407</v>
      </c>
      <c r="K430" s="1" t="n">
        <v>2</v>
      </c>
      <c r="L430" s="144" t="n">
        <v>23</v>
      </c>
      <c r="M430" s="1" t="n">
        <v>10</v>
      </c>
      <c r="N430" s="1" t="n">
        <v>10</v>
      </c>
      <c r="O430" s="149" t="n">
        <v>9</v>
      </c>
    </row>
    <row r="431" customFormat="false" ht="14.25" hidden="false" customHeight="false" outlineLevel="0" collapsed="false">
      <c r="A431" s="1" t="n">
        <v>199</v>
      </c>
      <c r="B431" s="1" t="s">
        <v>477</v>
      </c>
      <c r="C431" s="143" t="s">
        <v>52</v>
      </c>
      <c r="D431" s="143" t="s">
        <v>53</v>
      </c>
      <c r="E431" s="143" t="s">
        <v>474</v>
      </c>
      <c r="F431" s="144" t="n">
        <v>200025888173</v>
      </c>
      <c r="G431" s="144" t="s">
        <v>154</v>
      </c>
      <c r="H431" s="144" t="n">
        <v>23</v>
      </c>
      <c r="I431" s="144" t="s">
        <v>152</v>
      </c>
      <c r="J431" s="150" t="n">
        <v>45075.0521527778</v>
      </c>
      <c r="K431" s="1" t="n">
        <v>2</v>
      </c>
      <c r="L431" s="144" t="n">
        <v>23</v>
      </c>
      <c r="M431" s="1" t="n">
        <v>10</v>
      </c>
      <c r="N431" s="1" t="n">
        <v>10</v>
      </c>
      <c r="O431" s="149" t="n">
        <v>10</v>
      </c>
    </row>
    <row r="432" customFormat="false" ht="14.25" hidden="false" customHeight="false" outlineLevel="0" collapsed="false">
      <c r="A432" s="1" t="n">
        <v>178</v>
      </c>
      <c r="B432" s="1" t="s">
        <v>476</v>
      </c>
      <c r="C432" s="143" t="n">
        <v>91601</v>
      </c>
      <c r="D432" s="143" t="s">
        <v>65</v>
      </c>
      <c r="E432" s="143" t="s">
        <v>474</v>
      </c>
      <c r="F432" s="144" t="n">
        <v>200025888173</v>
      </c>
      <c r="G432" s="144" t="s">
        <v>154</v>
      </c>
      <c r="H432" s="144" t="n">
        <v>23</v>
      </c>
      <c r="I432" s="144" t="s">
        <v>152</v>
      </c>
      <c r="J432" s="148" t="n">
        <v>45075.1110648148</v>
      </c>
      <c r="K432" s="1" t="n">
        <v>1</v>
      </c>
      <c r="L432" s="144" t="n">
        <v>23</v>
      </c>
      <c r="M432" s="1" t="n">
        <v>10</v>
      </c>
      <c r="N432" s="1" t="n">
        <v>10</v>
      </c>
      <c r="O432" s="149" t="n">
        <v>11</v>
      </c>
    </row>
    <row r="433" customFormat="false" ht="14.25" hidden="false" customHeight="false" outlineLevel="0" collapsed="false">
      <c r="A433" s="1" t="n">
        <v>179</v>
      </c>
      <c r="B433" s="1" t="s">
        <v>476</v>
      </c>
      <c r="C433" s="143" t="n">
        <v>91601</v>
      </c>
      <c r="D433" s="143" t="s">
        <v>65</v>
      </c>
      <c r="E433" s="143" t="s">
        <v>474</v>
      </c>
      <c r="F433" s="144" t="n">
        <v>200025888173</v>
      </c>
      <c r="G433" s="144" t="s">
        <v>154</v>
      </c>
      <c r="H433" s="144" t="n">
        <v>23</v>
      </c>
      <c r="I433" s="144" t="s">
        <v>152</v>
      </c>
      <c r="J433" s="148" t="n">
        <v>45075.1113425926</v>
      </c>
      <c r="K433" s="1" t="n">
        <v>2</v>
      </c>
      <c r="L433" s="144" t="n">
        <v>23</v>
      </c>
      <c r="M433" s="1" t="n">
        <v>10</v>
      </c>
      <c r="N433" s="1" t="n">
        <v>10</v>
      </c>
      <c r="O433" s="149" t="n">
        <v>12</v>
      </c>
    </row>
    <row r="434" customFormat="false" ht="14.25" hidden="false" customHeight="false" outlineLevel="0" collapsed="false">
      <c r="A434" s="1" t="n">
        <v>180</v>
      </c>
      <c r="B434" s="1" t="s">
        <v>476</v>
      </c>
      <c r="C434" s="143" t="n">
        <v>91601</v>
      </c>
      <c r="D434" s="143" t="s">
        <v>65</v>
      </c>
      <c r="E434" s="143" t="s">
        <v>474</v>
      </c>
      <c r="F434" s="144" t="n">
        <v>200025888173</v>
      </c>
      <c r="G434" s="144" t="s">
        <v>154</v>
      </c>
      <c r="H434" s="144" t="n">
        <v>23</v>
      </c>
      <c r="I434" s="144" t="s">
        <v>152</v>
      </c>
      <c r="J434" s="148" t="n">
        <v>45075.1351967593</v>
      </c>
      <c r="K434" s="1" t="n">
        <v>2</v>
      </c>
      <c r="L434" s="144" t="n">
        <v>23</v>
      </c>
      <c r="M434" s="1" t="n">
        <v>10</v>
      </c>
      <c r="N434" s="1" t="n">
        <v>10</v>
      </c>
      <c r="O434" s="149" t="n">
        <v>13</v>
      </c>
    </row>
    <row r="435" customFormat="false" ht="14.25" hidden="false" customHeight="false" outlineLevel="0" collapsed="false">
      <c r="A435" s="1" t="n">
        <v>181</v>
      </c>
      <c r="B435" s="1" t="s">
        <v>476</v>
      </c>
      <c r="C435" s="143" t="n">
        <v>91601</v>
      </c>
      <c r="D435" s="143" t="s">
        <v>65</v>
      </c>
      <c r="E435" s="143" t="s">
        <v>474</v>
      </c>
      <c r="F435" s="144" t="n">
        <v>200025888173</v>
      </c>
      <c r="G435" s="144" t="s">
        <v>154</v>
      </c>
      <c r="H435" s="144" t="n">
        <v>23</v>
      </c>
      <c r="I435" s="144" t="s">
        <v>152</v>
      </c>
      <c r="J435" s="148" t="n">
        <v>45075.139525463</v>
      </c>
      <c r="K435" s="1" t="n">
        <v>1</v>
      </c>
      <c r="L435" s="144" t="n">
        <v>23</v>
      </c>
      <c r="M435" s="1" t="n">
        <v>10</v>
      </c>
      <c r="N435" s="1" t="n">
        <v>10</v>
      </c>
      <c r="O435" s="149" t="n">
        <v>14</v>
      </c>
    </row>
    <row r="436" customFormat="false" ht="14.25" hidden="false" customHeight="false" outlineLevel="0" collapsed="false">
      <c r="A436" s="1" t="n">
        <v>213</v>
      </c>
      <c r="B436" s="1" t="s">
        <v>477</v>
      </c>
      <c r="C436" s="143" t="s">
        <v>52</v>
      </c>
      <c r="D436" s="143" t="s">
        <v>53</v>
      </c>
      <c r="E436" s="143" t="s">
        <v>474</v>
      </c>
      <c r="F436" s="144" t="n">
        <v>200025888173</v>
      </c>
      <c r="G436" s="144" t="s">
        <v>154</v>
      </c>
      <c r="H436" s="144" t="n">
        <v>23</v>
      </c>
      <c r="I436" s="144" t="s">
        <v>152</v>
      </c>
      <c r="J436" s="150" t="n">
        <v>45075.2038657407</v>
      </c>
      <c r="K436" s="1" t="n">
        <v>1</v>
      </c>
      <c r="L436" s="144" t="n">
        <v>23</v>
      </c>
      <c r="M436" s="1" t="n">
        <v>10</v>
      </c>
      <c r="N436" s="1" t="n">
        <v>10</v>
      </c>
      <c r="O436" s="149" t="n">
        <v>15</v>
      </c>
    </row>
    <row r="437" customFormat="false" ht="14.25" hidden="false" customHeight="false" outlineLevel="0" collapsed="false">
      <c r="A437" s="1" t="n">
        <v>214</v>
      </c>
      <c r="B437" s="1" t="s">
        <v>477</v>
      </c>
      <c r="C437" s="143" t="s">
        <v>52</v>
      </c>
      <c r="D437" s="143" t="s">
        <v>53</v>
      </c>
      <c r="E437" s="143" t="s">
        <v>474</v>
      </c>
      <c r="F437" s="144" t="n">
        <v>200025888173</v>
      </c>
      <c r="G437" s="144" t="s">
        <v>154</v>
      </c>
      <c r="H437" s="144" t="n">
        <v>23</v>
      </c>
      <c r="I437" s="144" t="s">
        <v>152</v>
      </c>
      <c r="J437" s="150" t="n">
        <v>45075.2041666667</v>
      </c>
      <c r="K437" s="1" t="n">
        <v>1</v>
      </c>
      <c r="L437" s="144" t="n">
        <v>23</v>
      </c>
      <c r="M437" s="1" t="n">
        <v>10</v>
      </c>
      <c r="N437" s="1" t="n">
        <v>10</v>
      </c>
      <c r="O437" s="149" t="n">
        <v>16</v>
      </c>
    </row>
    <row r="438" customFormat="false" ht="14.25" hidden="false" customHeight="false" outlineLevel="0" collapsed="false">
      <c r="A438" s="1" t="n">
        <v>215</v>
      </c>
      <c r="B438" s="1" t="s">
        <v>477</v>
      </c>
      <c r="C438" s="143" t="s">
        <v>52</v>
      </c>
      <c r="D438" s="143" t="s">
        <v>53</v>
      </c>
      <c r="E438" s="143" t="s">
        <v>474</v>
      </c>
      <c r="F438" s="144" t="n">
        <v>200025888173</v>
      </c>
      <c r="G438" s="144" t="s">
        <v>154</v>
      </c>
      <c r="H438" s="144" t="n">
        <v>23</v>
      </c>
      <c r="I438" s="144" t="s">
        <v>152</v>
      </c>
      <c r="J438" s="150" t="n">
        <v>45075.2043402778</v>
      </c>
      <c r="K438" s="1" t="n">
        <v>0</v>
      </c>
      <c r="L438" s="144" t="n">
        <v>23</v>
      </c>
      <c r="M438" s="1" t="n">
        <v>10</v>
      </c>
      <c r="N438" s="1" t="n">
        <v>10</v>
      </c>
      <c r="O438" s="149" t="n">
        <v>17</v>
      </c>
    </row>
    <row r="439" customFormat="false" ht="14.25" hidden="false" customHeight="false" outlineLevel="0" collapsed="false">
      <c r="A439" s="1" t="n">
        <v>216</v>
      </c>
      <c r="B439" s="1" t="s">
        <v>477</v>
      </c>
      <c r="C439" s="143" t="s">
        <v>52</v>
      </c>
      <c r="D439" s="143" t="s">
        <v>53</v>
      </c>
      <c r="E439" s="143" t="s">
        <v>474</v>
      </c>
      <c r="F439" s="144" t="n">
        <v>200025888173</v>
      </c>
      <c r="G439" s="144" t="s">
        <v>154</v>
      </c>
      <c r="H439" s="144" t="n">
        <v>23</v>
      </c>
      <c r="I439" s="144" t="s">
        <v>152</v>
      </c>
      <c r="J439" s="150" t="n">
        <v>45075.2046412037</v>
      </c>
      <c r="K439" s="1" t="n">
        <v>1</v>
      </c>
      <c r="L439" s="144" t="n">
        <v>23</v>
      </c>
      <c r="M439" s="1" t="n">
        <v>10</v>
      </c>
      <c r="N439" s="1" t="n">
        <v>10</v>
      </c>
      <c r="O439" s="149" t="n">
        <v>18</v>
      </c>
    </row>
    <row r="440" customFormat="false" ht="14.25" hidden="false" customHeight="false" outlineLevel="0" collapsed="false">
      <c r="A440" s="1" t="n">
        <v>217</v>
      </c>
      <c r="B440" s="1" t="s">
        <v>477</v>
      </c>
      <c r="C440" s="143" t="s">
        <v>52</v>
      </c>
      <c r="D440" s="143" t="s">
        <v>53</v>
      </c>
      <c r="E440" s="143" t="s">
        <v>474</v>
      </c>
      <c r="F440" s="144" t="n">
        <v>200025888173</v>
      </c>
      <c r="G440" s="144" t="s">
        <v>154</v>
      </c>
      <c r="H440" s="144" t="n">
        <v>23</v>
      </c>
      <c r="I440" s="144" t="s">
        <v>152</v>
      </c>
      <c r="J440" s="150" t="n">
        <v>45075.204837963</v>
      </c>
      <c r="K440" s="1" t="n">
        <v>1</v>
      </c>
      <c r="L440" s="144" t="n">
        <v>23</v>
      </c>
      <c r="M440" s="1" t="n">
        <v>10</v>
      </c>
      <c r="N440" s="1" t="n">
        <v>10</v>
      </c>
      <c r="O440" s="149" t="n">
        <v>19</v>
      </c>
    </row>
    <row r="441" customFormat="false" ht="14.25" hidden="false" customHeight="false" outlineLevel="0" collapsed="false">
      <c r="A441" s="1" t="n">
        <v>218</v>
      </c>
      <c r="B441" s="1" t="s">
        <v>477</v>
      </c>
      <c r="C441" s="143" t="s">
        <v>52</v>
      </c>
      <c r="D441" s="143" t="s">
        <v>53</v>
      </c>
      <c r="E441" s="143" t="s">
        <v>474</v>
      </c>
      <c r="F441" s="144" t="n">
        <v>200025888173</v>
      </c>
      <c r="G441" s="144" t="s">
        <v>154</v>
      </c>
      <c r="H441" s="144" t="n">
        <v>23</v>
      </c>
      <c r="I441" s="144" t="s">
        <v>152</v>
      </c>
      <c r="J441" s="150" t="n">
        <v>45075.2065625</v>
      </c>
      <c r="K441" s="1" t="n">
        <v>0</v>
      </c>
      <c r="L441" s="144" t="n">
        <v>23</v>
      </c>
      <c r="M441" s="1" t="n">
        <v>10</v>
      </c>
      <c r="N441" s="1" t="n">
        <v>10</v>
      </c>
      <c r="O441" s="149" t="n">
        <v>20</v>
      </c>
    </row>
    <row r="442" customFormat="false" ht="14.25" hidden="false" customHeight="false" outlineLevel="0" collapsed="false">
      <c r="A442" s="1" t="n">
        <v>182</v>
      </c>
      <c r="B442" s="1" t="s">
        <v>476</v>
      </c>
      <c r="C442" s="143" t="n">
        <v>91601</v>
      </c>
      <c r="D442" s="143" t="s">
        <v>65</v>
      </c>
      <c r="E442" s="143" t="s">
        <v>474</v>
      </c>
      <c r="F442" s="144" t="n">
        <v>200025888173</v>
      </c>
      <c r="G442" s="144" t="s">
        <v>154</v>
      </c>
      <c r="H442" s="144" t="n">
        <v>23</v>
      </c>
      <c r="I442" s="144" t="s">
        <v>152</v>
      </c>
      <c r="J442" s="148" t="n">
        <v>45075.2350810185</v>
      </c>
      <c r="K442" s="1" t="n">
        <v>1</v>
      </c>
      <c r="L442" s="144" t="n">
        <v>23</v>
      </c>
      <c r="M442" s="1" t="n">
        <v>10</v>
      </c>
      <c r="N442" s="1" t="n">
        <v>10</v>
      </c>
      <c r="O442" s="149" t="n">
        <v>21</v>
      </c>
    </row>
    <row r="443" customFormat="false" ht="14.25" hidden="false" customHeight="false" outlineLevel="0" collapsed="false">
      <c r="A443" s="1" t="n">
        <v>25</v>
      </c>
      <c r="B443" s="1" t="s">
        <v>473</v>
      </c>
      <c r="C443" s="143" t="n">
        <v>11490</v>
      </c>
      <c r="D443" s="143" t="s">
        <v>65</v>
      </c>
      <c r="E443" s="143" t="s">
        <v>474</v>
      </c>
      <c r="F443" s="144" t="n">
        <v>200025889380</v>
      </c>
      <c r="G443" s="144" t="s">
        <v>240</v>
      </c>
      <c r="H443" s="144" t="n">
        <v>14</v>
      </c>
      <c r="I443" s="144" t="s">
        <v>152</v>
      </c>
      <c r="J443" s="148" t="n">
        <v>45055.9619907407</v>
      </c>
      <c r="K443" s="1" t="n">
        <v>1</v>
      </c>
      <c r="L443" s="144" t="n">
        <v>14</v>
      </c>
      <c r="M443" s="1" t="n">
        <v>11</v>
      </c>
      <c r="N443" s="1" t="n">
        <v>11</v>
      </c>
      <c r="O443" s="149" t="n">
        <v>1</v>
      </c>
    </row>
    <row r="444" customFormat="false" ht="14.25" hidden="false" customHeight="false" outlineLevel="0" collapsed="false">
      <c r="A444" s="1" t="n">
        <v>433</v>
      </c>
      <c r="B444" s="1" t="s">
        <v>473</v>
      </c>
      <c r="C444" s="143" t="n">
        <v>11490</v>
      </c>
      <c r="D444" s="143" t="s">
        <v>65</v>
      </c>
      <c r="E444" s="143" t="s">
        <v>474</v>
      </c>
      <c r="F444" s="144" t="n">
        <v>200025889380</v>
      </c>
      <c r="G444" s="144" t="s">
        <v>240</v>
      </c>
      <c r="H444" s="144" t="n">
        <v>14</v>
      </c>
      <c r="I444" s="144" t="s">
        <v>152</v>
      </c>
      <c r="J444" s="148" t="n">
        <v>45057.8344328704</v>
      </c>
      <c r="K444" s="1" t="n">
        <v>1</v>
      </c>
      <c r="L444" s="144" t="n">
        <v>14</v>
      </c>
      <c r="M444" s="1" t="n">
        <v>11</v>
      </c>
      <c r="N444" s="1" t="n">
        <v>11</v>
      </c>
      <c r="O444" s="149" t="n">
        <v>2</v>
      </c>
    </row>
    <row r="445" customFormat="false" ht="14.25" hidden="false" customHeight="false" outlineLevel="0" collapsed="false">
      <c r="A445" s="1" t="n">
        <v>434</v>
      </c>
      <c r="B445" s="1" t="s">
        <v>473</v>
      </c>
      <c r="C445" s="143" t="n">
        <v>11490</v>
      </c>
      <c r="D445" s="143" t="s">
        <v>65</v>
      </c>
      <c r="E445" s="143" t="s">
        <v>474</v>
      </c>
      <c r="F445" s="144" t="n">
        <v>200025889380</v>
      </c>
      <c r="G445" s="144" t="s">
        <v>240</v>
      </c>
      <c r="H445" s="144" t="n">
        <v>14</v>
      </c>
      <c r="I445" s="144" t="s">
        <v>152</v>
      </c>
      <c r="J445" s="148" t="n">
        <v>45057.8348958333</v>
      </c>
      <c r="K445" s="1" t="n">
        <v>1</v>
      </c>
      <c r="L445" s="144" t="n">
        <v>14</v>
      </c>
      <c r="M445" s="1" t="n">
        <v>11</v>
      </c>
      <c r="N445" s="1" t="n">
        <v>11</v>
      </c>
      <c r="O445" s="149" t="n">
        <v>3</v>
      </c>
    </row>
    <row r="446" customFormat="false" ht="14.25" hidden="false" customHeight="false" outlineLevel="0" collapsed="false">
      <c r="A446" s="1" t="n">
        <v>257</v>
      </c>
      <c r="B446" s="1" t="s">
        <v>475</v>
      </c>
      <c r="C446" s="143" t="s">
        <v>52</v>
      </c>
      <c r="D446" s="143" t="s">
        <v>53</v>
      </c>
      <c r="E446" s="143" t="s">
        <v>474</v>
      </c>
      <c r="F446" s="144" t="n">
        <v>200025889380</v>
      </c>
      <c r="G446" s="144" t="s">
        <v>240</v>
      </c>
      <c r="H446" s="144" t="n">
        <v>14</v>
      </c>
      <c r="I446" s="144" t="s">
        <v>152</v>
      </c>
      <c r="J446" s="148" t="n">
        <v>45057.8384143519</v>
      </c>
      <c r="K446" s="1" t="n">
        <v>1</v>
      </c>
      <c r="L446" s="144" t="n">
        <v>14</v>
      </c>
      <c r="M446" s="1" t="n">
        <v>11</v>
      </c>
      <c r="N446" s="1" t="n">
        <v>11</v>
      </c>
      <c r="O446" s="149" t="n">
        <v>4</v>
      </c>
    </row>
    <row r="447" customFormat="false" ht="14.25" hidden="false" customHeight="false" outlineLevel="0" collapsed="false">
      <c r="A447" s="1" t="n">
        <v>258</v>
      </c>
      <c r="B447" s="1" t="s">
        <v>475</v>
      </c>
      <c r="C447" s="143" t="s">
        <v>52</v>
      </c>
      <c r="D447" s="143" t="s">
        <v>53</v>
      </c>
      <c r="E447" s="143" t="s">
        <v>474</v>
      </c>
      <c r="F447" s="144" t="n">
        <v>200025889380</v>
      </c>
      <c r="G447" s="144" t="s">
        <v>240</v>
      </c>
      <c r="H447" s="144" t="n">
        <v>14</v>
      </c>
      <c r="I447" s="144" t="s">
        <v>152</v>
      </c>
      <c r="J447" s="148" t="n">
        <v>45057.8384722222</v>
      </c>
      <c r="K447" s="1" t="n">
        <v>1</v>
      </c>
      <c r="L447" s="144" t="n">
        <v>14</v>
      </c>
      <c r="M447" s="1" t="n">
        <v>11</v>
      </c>
      <c r="N447" s="1" t="n">
        <v>11</v>
      </c>
      <c r="O447" s="149" t="n">
        <v>5</v>
      </c>
    </row>
    <row r="448" customFormat="false" ht="14.25" hidden="false" customHeight="false" outlineLevel="0" collapsed="false">
      <c r="A448" s="1" t="n">
        <v>259</v>
      </c>
      <c r="B448" s="1" t="s">
        <v>475</v>
      </c>
      <c r="C448" s="143" t="s">
        <v>52</v>
      </c>
      <c r="D448" s="143" t="s">
        <v>53</v>
      </c>
      <c r="E448" s="143" t="s">
        <v>474</v>
      </c>
      <c r="F448" s="144" t="n">
        <v>200025889380</v>
      </c>
      <c r="G448" s="144" t="s">
        <v>240</v>
      </c>
      <c r="H448" s="144" t="n">
        <v>14</v>
      </c>
      <c r="I448" s="144" t="s">
        <v>152</v>
      </c>
      <c r="J448" s="148" t="n">
        <v>45057.8387962963</v>
      </c>
      <c r="K448" s="1" t="n">
        <v>2</v>
      </c>
      <c r="L448" s="144" t="n">
        <v>14</v>
      </c>
      <c r="M448" s="1" t="n">
        <v>11</v>
      </c>
      <c r="N448" s="1" t="n">
        <v>11</v>
      </c>
      <c r="O448" s="149" t="n">
        <v>6</v>
      </c>
    </row>
    <row r="449" customFormat="false" ht="14.25" hidden="false" customHeight="false" outlineLevel="0" collapsed="false">
      <c r="A449" s="1" t="n">
        <v>260</v>
      </c>
      <c r="B449" s="1" t="s">
        <v>475</v>
      </c>
      <c r="C449" s="143" t="s">
        <v>52</v>
      </c>
      <c r="D449" s="143" t="s">
        <v>53</v>
      </c>
      <c r="E449" s="143" t="s">
        <v>474</v>
      </c>
      <c r="F449" s="144" t="n">
        <v>200025889380</v>
      </c>
      <c r="G449" s="144" t="s">
        <v>240</v>
      </c>
      <c r="H449" s="144" t="n">
        <v>14</v>
      </c>
      <c r="I449" s="144" t="s">
        <v>152</v>
      </c>
      <c r="J449" s="148" t="n">
        <v>45057.8391898148</v>
      </c>
      <c r="K449" s="1" t="n">
        <v>3</v>
      </c>
      <c r="L449" s="144" t="n">
        <v>14</v>
      </c>
      <c r="M449" s="1" t="n">
        <v>11</v>
      </c>
      <c r="N449" s="1" t="n">
        <v>11</v>
      </c>
      <c r="O449" s="149" t="n">
        <v>7</v>
      </c>
    </row>
    <row r="450" customFormat="false" ht="14.25" hidden="false" customHeight="false" outlineLevel="0" collapsed="false">
      <c r="A450" s="1" t="n">
        <v>264</v>
      </c>
      <c r="B450" s="1" t="s">
        <v>475</v>
      </c>
      <c r="C450" s="143" t="s">
        <v>52</v>
      </c>
      <c r="D450" s="143" t="s">
        <v>53</v>
      </c>
      <c r="E450" s="143" t="s">
        <v>474</v>
      </c>
      <c r="F450" s="144" t="n">
        <v>200025889380</v>
      </c>
      <c r="G450" s="144" t="s">
        <v>240</v>
      </c>
      <c r="H450" s="144" t="n">
        <v>14</v>
      </c>
      <c r="I450" s="144" t="s">
        <v>152</v>
      </c>
      <c r="J450" s="148" t="n">
        <v>45057.8530092593</v>
      </c>
      <c r="K450" s="1" t="n">
        <v>3</v>
      </c>
      <c r="L450" s="144" t="n">
        <v>14</v>
      </c>
      <c r="M450" s="1" t="n">
        <v>11</v>
      </c>
      <c r="N450" s="1" t="n">
        <v>11</v>
      </c>
      <c r="O450" s="149" t="n">
        <v>8</v>
      </c>
    </row>
    <row r="451" customFormat="false" ht="14.25" hidden="false" customHeight="false" outlineLevel="0" collapsed="false">
      <c r="A451" s="1" t="n">
        <v>458</v>
      </c>
      <c r="B451" s="1" t="s">
        <v>473</v>
      </c>
      <c r="C451" s="143" t="n">
        <v>11490</v>
      </c>
      <c r="D451" s="143" t="s">
        <v>65</v>
      </c>
      <c r="E451" s="143" t="s">
        <v>474</v>
      </c>
      <c r="F451" s="144" t="n">
        <v>200025889380</v>
      </c>
      <c r="G451" s="144" t="s">
        <v>240</v>
      </c>
      <c r="H451" s="144" t="n">
        <v>14</v>
      </c>
      <c r="I451" s="144" t="s">
        <v>152</v>
      </c>
      <c r="J451" s="148" t="n">
        <v>45057.9771064815</v>
      </c>
      <c r="K451" s="1" t="n">
        <v>3</v>
      </c>
      <c r="L451" s="144" t="n">
        <v>14</v>
      </c>
      <c r="M451" s="1" t="n">
        <v>11</v>
      </c>
      <c r="N451" s="1" t="n">
        <v>11</v>
      </c>
      <c r="O451" s="149" t="n">
        <v>9</v>
      </c>
    </row>
    <row r="452" customFormat="false" ht="14.25" hidden="false" customHeight="false" outlineLevel="0" collapsed="false">
      <c r="A452" s="1" t="n">
        <v>459</v>
      </c>
      <c r="B452" s="1" t="s">
        <v>473</v>
      </c>
      <c r="C452" s="143" t="n">
        <v>11490</v>
      </c>
      <c r="D452" s="143" t="s">
        <v>65</v>
      </c>
      <c r="E452" s="143" t="s">
        <v>474</v>
      </c>
      <c r="F452" s="144" t="n">
        <v>200025889380</v>
      </c>
      <c r="G452" s="144" t="s">
        <v>240</v>
      </c>
      <c r="H452" s="144" t="n">
        <v>14</v>
      </c>
      <c r="I452" s="144" t="s">
        <v>152</v>
      </c>
      <c r="J452" s="148" t="n">
        <v>45057.9771759259</v>
      </c>
      <c r="K452" s="1" t="n">
        <v>1</v>
      </c>
      <c r="L452" s="144" t="n">
        <v>14</v>
      </c>
      <c r="M452" s="1" t="n">
        <v>11</v>
      </c>
      <c r="N452" s="1" t="n">
        <v>11</v>
      </c>
      <c r="O452" s="149" t="n">
        <v>10</v>
      </c>
    </row>
    <row r="453" customFormat="false" ht="14.25" hidden="false" customHeight="false" outlineLevel="0" collapsed="false">
      <c r="A453" s="1" t="n">
        <v>460</v>
      </c>
      <c r="B453" s="1" t="s">
        <v>473</v>
      </c>
      <c r="C453" s="143" t="n">
        <v>11490</v>
      </c>
      <c r="D453" s="143" t="s">
        <v>65</v>
      </c>
      <c r="E453" s="143" t="s">
        <v>474</v>
      </c>
      <c r="F453" s="144" t="n">
        <v>200025889380</v>
      </c>
      <c r="G453" s="144" t="s">
        <v>240</v>
      </c>
      <c r="H453" s="144" t="n">
        <v>14</v>
      </c>
      <c r="I453" s="144" t="s">
        <v>152</v>
      </c>
      <c r="J453" s="148" t="n">
        <v>45057.9778703704</v>
      </c>
      <c r="K453" s="1" t="n">
        <v>2</v>
      </c>
      <c r="L453" s="144" t="n">
        <v>14</v>
      </c>
      <c r="M453" s="1" t="n">
        <v>11</v>
      </c>
      <c r="N453" s="1" t="n">
        <v>11</v>
      </c>
      <c r="O453" s="149" t="n">
        <v>11</v>
      </c>
    </row>
    <row r="454" customFormat="false" ht="14.25" hidden="false" customHeight="false" outlineLevel="0" collapsed="false">
      <c r="A454" s="1" t="n">
        <v>309</v>
      </c>
      <c r="B454" s="1" t="s">
        <v>476</v>
      </c>
      <c r="C454" s="143" t="s">
        <v>58</v>
      </c>
      <c r="D454" s="143" t="s">
        <v>59</v>
      </c>
      <c r="E454" s="143" t="s">
        <v>474</v>
      </c>
      <c r="F454" s="144" t="n">
        <v>200025889380</v>
      </c>
      <c r="G454" s="144" t="s">
        <v>240</v>
      </c>
      <c r="H454" s="144" t="n">
        <v>14</v>
      </c>
      <c r="I454" s="144" t="s">
        <v>152</v>
      </c>
      <c r="J454" s="148" t="n">
        <v>45058.0247800926</v>
      </c>
      <c r="K454" s="1" t="n">
        <v>2</v>
      </c>
      <c r="L454" s="144" t="n">
        <v>14</v>
      </c>
      <c r="M454" s="1" t="n">
        <v>11</v>
      </c>
      <c r="N454" s="1" t="n">
        <v>11</v>
      </c>
      <c r="O454" s="149" t="n">
        <v>12</v>
      </c>
    </row>
    <row r="455" customFormat="false" ht="14.25" hidden="false" customHeight="false" outlineLevel="0" collapsed="false">
      <c r="A455" s="1" t="n">
        <v>310</v>
      </c>
      <c r="B455" s="1" t="s">
        <v>476</v>
      </c>
      <c r="C455" s="143" t="s">
        <v>58</v>
      </c>
      <c r="D455" s="143" t="s">
        <v>59</v>
      </c>
      <c r="E455" s="143" t="s">
        <v>474</v>
      </c>
      <c r="F455" s="144" t="n">
        <v>200025889380</v>
      </c>
      <c r="G455" s="144" t="s">
        <v>240</v>
      </c>
      <c r="H455" s="144" t="n">
        <v>14</v>
      </c>
      <c r="I455" s="144" t="s">
        <v>152</v>
      </c>
      <c r="J455" s="148" t="n">
        <v>45058.0252083333</v>
      </c>
      <c r="K455" s="1" t="n">
        <v>2</v>
      </c>
      <c r="L455" s="144" t="n">
        <v>14</v>
      </c>
      <c r="M455" s="1" t="n">
        <v>11</v>
      </c>
      <c r="N455" s="1" t="n">
        <v>11</v>
      </c>
      <c r="O455" s="149" t="n">
        <v>13</v>
      </c>
    </row>
    <row r="456" customFormat="false" ht="14.25" hidden="false" customHeight="false" outlineLevel="0" collapsed="false">
      <c r="A456" s="1" t="n">
        <v>311</v>
      </c>
      <c r="B456" s="1" t="s">
        <v>476</v>
      </c>
      <c r="C456" s="143" t="s">
        <v>58</v>
      </c>
      <c r="D456" s="143" t="s">
        <v>59</v>
      </c>
      <c r="E456" s="143" t="s">
        <v>474</v>
      </c>
      <c r="F456" s="144" t="n">
        <v>200025889380</v>
      </c>
      <c r="G456" s="144" t="s">
        <v>240</v>
      </c>
      <c r="H456" s="144" t="n">
        <v>14</v>
      </c>
      <c r="I456" s="144" t="s">
        <v>152</v>
      </c>
      <c r="J456" s="148" t="n">
        <v>45058.026099537</v>
      </c>
      <c r="K456" s="1" t="n">
        <v>3</v>
      </c>
      <c r="L456" s="144" t="n">
        <v>14</v>
      </c>
      <c r="M456" s="1" t="n">
        <v>11</v>
      </c>
      <c r="N456" s="1" t="n">
        <v>11</v>
      </c>
      <c r="O456" s="149" t="n">
        <v>14</v>
      </c>
    </row>
    <row r="457" customFormat="false" ht="14.25" hidden="false" customHeight="false" outlineLevel="0" collapsed="false">
      <c r="A457" s="1" t="n">
        <v>312</v>
      </c>
      <c r="B457" s="1" t="s">
        <v>476</v>
      </c>
      <c r="C457" s="143" t="s">
        <v>58</v>
      </c>
      <c r="D457" s="143" t="s">
        <v>59</v>
      </c>
      <c r="E457" s="143" t="s">
        <v>474</v>
      </c>
      <c r="F457" s="144" t="n">
        <v>200025889380</v>
      </c>
      <c r="G457" s="144" t="s">
        <v>240</v>
      </c>
      <c r="H457" s="144" t="n">
        <v>14</v>
      </c>
      <c r="I457" s="144" t="s">
        <v>152</v>
      </c>
      <c r="J457" s="148" t="n">
        <v>45058.0270717593</v>
      </c>
      <c r="K457" s="1" t="n">
        <v>1</v>
      </c>
      <c r="L457" s="144" t="n">
        <v>14</v>
      </c>
      <c r="M457" s="1" t="n">
        <v>11</v>
      </c>
      <c r="N457" s="1" t="n">
        <v>11</v>
      </c>
      <c r="O457" s="149" t="n">
        <v>15</v>
      </c>
    </row>
    <row r="458" customFormat="false" ht="14.25" hidden="false" customHeight="false" outlineLevel="0" collapsed="false">
      <c r="A458" s="1" t="n">
        <v>313</v>
      </c>
      <c r="B458" s="1" t="s">
        <v>476</v>
      </c>
      <c r="C458" s="143" t="s">
        <v>58</v>
      </c>
      <c r="D458" s="143" t="s">
        <v>59</v>
      </c>
      <c r="E458" s="143" t="s">
        <v>474</v>
      </c>
      <c r="F458" s="144" t="n">
        <v>200025889380</v>
      </c>
      <c r="G458" s="144" t="s">
        <v>240</v>
      </c>
      <c r="H458" s="144" t="n">
        <v>14</v>
      </c>
      <c r="I458" s="144" t="s">
        <v>152</v>
      </c>
      <c r="J458" s="148" t="n">
        <v>45058.0281481482</v>
      </c>
      <c r="K458" s="1" t="n">
        <v>2</v>
      </c>
      <c r="L458" s="144" t="n">
        <v>14</v>
      </c>
      <c r="M458" s="1" t="n">
        <v>11</v>
      </c>
      <c r="N458" s="1" t="n">
        <v>11</v>
      </c>
      <c r="O458" s="149" t="n">
        <v>16</v>
      </c>
    </row>
    <row r="459" customFormat="false" ht="14.25" hidden="false" customHeight="false" outlineLevel="0" collapsed="false">
      <c r="A459" s="1" t="n">
        <v>314</v>
      </c>
      <c r="B459" s="1" t="s">
        <v>476</v>
      </c>
      <c r="C459" s="143" t="s">
        <v>58</v>
      </c>
      <c r="D459" s="143" t="s">
        <v>59</v>
      </c>
      <c r="E459" s="143" t="s">
        <v>474</v>
      </c>
      <c r="F459" s="144" t="n">
        <v>200025889380</v>
      </c>
      <c r="G459" s="144" t="s">
        <v>240</v>
      </c>
      <c r="H459" s="144" t="n">
        <v>14</v>
      </c>
      <c r="I459" s="144" t="s">
        <v>152</v>
      </c>
      <c r="J459" s="148" t="n">
        <v>45058.0997685185</v>
      </c>
      <c r="K459" s="1" t="n">
        <v>1</v>
      </c>
      <c r="L459" s="144" t="n">
        <v>14</v>
      </c>
      <c r="M459" s="1" t="n">
        <v>11</v>
      </c>
      <c r="N459" s="1" t="n">
        <v>11</v>
      </c>
      <c r="O459" s="149" t="n">
        <v>17</v>
      </c>
    </row>
    <row r="460" customFormat="false" ht="14.25" hidden="false" customHeight="false" outlineLevel="0" collapsed="false">
      <c r="A460" s="1" t="n">
        <v>315</v>
      </c>
      <c r="B460" s="1" t="s">
        <v>476</v>
      </c>
      <c r="C460" s="143" t="s">
        <v>58</v>
      </c>
      <c r="D460" s="143" t="s">
        <v>59</v>
      </c>
      <c r="E460" s="143" t="s">
        <v>474</v>
      </c>
      <c r="F460" s="144" t="n">
        <v>200025889380</v>
      </c>
      <c r="G460" s="144" t="s">
        <v>240</v>
      </c>
      <c r="H460" s="144" t="n">
        <v>14</v>
      </c>
      <c r="I460" s="144" t="s">
        <v>152</v>
      </c>
      <c r="J460" s="148" t="n">
        <v>45058.1001388889</v>
      </c>
      <c r="K460" s="1" t="n">
        <v>2</v>
      </c>
      <c r="L460" s="144" t="n">
        <v>14</v>
      </c>
      <c r="M460" s="1" t="n">
        <v>11</v>
      </c>
      <c r="N460" s="1" t="n">
        <v>11</v>
      </c>
      <c r="O460" s="149" t="n">
        <v>18</v>
      </c>
    </row>
    <row r="461" customFormat="false" ht="14.25" hidden="false" customHeight="false" outlineLevel="0" collapsed="false">
      <c r="A461" s="1" t="n">
        <v>316</v>
      </c>
      <c r="B461" s="1" t="s">
        <v>476</v>
      </c>
      <c r="C461" s="143" t="s">
        <v>58</v>
      </c>
      <c r="D461" s="143" t="s">
        <v>59</v>
      </c>
      <c r="E461" s="143" t="s">
        <v>474</v>
      </c>
      <c r="F461" s="144" t="n">
        <v>200025889380</v>
      </c>
      <c r="G461" s="144" t="s">
        <v>240</v>
      </c>
      <c r="H461" s="144" t="n">
        <v>14</v>
      </c>
      <c r="I461" s="144" t="s">
        <v>152</v>
      </c>
      <c r="J461" s="148" t="n">
        <v>45058.1020601852</v>
      </c>
      <c r="K461" s="1" t="n">
        <v>1</v>
      </c>
      <c r="L461" s="144" t="n">
        <v>14</v>
      </c>
      <c r="M461" s="1" t="n">
        <v>11</v>
      </c>
      <c r="N461" s="1" t="n">
        <v>11</v>
      </c>
      <c r="O461" s="149" t="n">
        <v>19</v>
      </c>
    </row>
    <row r="462" customFormat="false" ht="14.25" hidden="false" customHeight="false" outlineLevel="0" collapsed="false">
      <c r="A462" s="1" t="n">
        <v>30</v>
      </c>
      <c r="B462" s="1" t="s">
        <v>476</v>
      </c>
      <c r="C462" s="143" t="n">
        <v>11490</v>
      </c>
      <c r="D462" s="143" t="s">
        <v>65</v>
      </c>
      <c r="E462" s="143" t="s">
        <v>474</v>
      </c>
      <c r="F462" s="144" t="n">
        <v>200025889380</v>
      </c>
      <c r="G462" s="144" t="s">
        <v>240</v>
      </c>
      <c r="H462" s="144" t="n">
        <v>14</v>
      </c>
      <c r="I462" s="144" t="s">
        <v>152</v>
      </c>
      <c r="J462" s="148" t="n">
        <v>45066.491712963</v>
      </c>
      <c r="K462" s="1" t="n">
        <v>1</v>
      </c>
      <c r="L462" s="144" t="n">
        <v>14</v>
      </c>
      <c r="M462" s="1" t="n">
        <v>11</v>
      </c>
      <c r="N462" s="1" t="n">
        <v>11</v>
      </c>
      <c r="O462" s="149" t="n">
        <v>20</v>
      </c>
    </row>
    <row r="463" customFormat="false" ht="14.25" hidden="false" customHeight="false" outlineLevel="0" collapsed="false">
      <c r="A463" s="1" t="n">
        <v>27</v>
      </c>
      <c r="B463" s="1" t="s">
        <v>473</v>
      </c>
      <c r="C463" s="143" t="n">
        <v>11490</v>
      </c>
      <c r="D463" s="143" t="s">
        <v>65</v>
      </c>
      <c r="E463" s="143" t="s">
        <v>474</v>
      </c>
      <c r="F463" s="144" t="n">
        <v>200025888566</v>
      </c>
      <c r="G463" s="144" t="s">
        <v>311</v>
      </c>
      <c r="H463" s="144" t="n">
        <v>76</v>
      </c>
      <c r="I463" s="144" t="s">
        <v>152</v>
      </c>
      <c r="J463" s="148" t="n">
        <v>45055.9634837963</v>
      </c>
      <c r="K463" s="1" t="n">
        <v>2</v>
      </c>
      <c r="L463" s="144" t="n">
        <v>76</v>
      </c>
      <c r="M463" s="1" t="n">
        <v>12</v>
      </c>
      <c r="N463" s="1" t="n">
        <v>12</v>
      </c>
      <c r="O463" s="149" t="n">
        <v>1</v>
      </c>
    </row>
    <row r="464" customFormat="false" ht="14.25" hidden="false" customHeight="false" outlineLevel="0" collapsed="false">
      <c r="A464" s="1" t="n">
        <v>28</v>
      </c>
      <c r="B464" s="1" t="s">
        <v>473</v>
      </c>
      <c r="C464" s="143" t="n">
        <v>11490</v>
      </c>
      <c r="D464" s="143" t="s">
        <v>65</v>
      </c>
      <c r="E464" s="143" t="s">
        <v>474</v>
      </c>
      <c r="F464" s="144" t="n">
        <v>200025888566</v>
      </c>
      <c r="G464" s="144" t="s">
        <v>311</v>
      </c>
      <c r="H464" s="144" t="n">
        <v>76</v>
      </c>
      <c r="I464" s="144" t="s">
        <v>152</v>
      </c>
      <c r="J464" s="148" t="n">
        <v>45055.9641319444</v>
      </c>
      <c r="K464" s="1" t="n">
        <v>1</v>
      </c>
      <c r="L464" s="144" t="n">
        <v>76</v>
      </c>
      <c r="M464" s="1" t="n">
        <v>12</v>
      </c>
      <c r="N464" s="1" t="n">
        <v>12</v>
      </c>
      <c r="O464" s="149" t="n">
        <v>2</v>
      </c>
    </row>
    <row r="465" customFormat="false" ht="14.25" hidden="false" customHeight="false" outlineLevel="0" collapsed="false">
      <c r="A465" s="1" t="n">
        <v>29</v>
      </c>
      <c r="B465" s="1" t="s">
        <v>473</v>
      </c>
      <c r="C465" s="143" t="n">
        <v>11490</v>
      </c>
      <c r="D465" s="143" t="s">
        <v>65</v>
      </c>
      <c r="E465" s="143" t="s">
        <v>474</v>
      </c>
      <c r="F465" s="144" t="n">
        <v>200025888566</v>
      </c>
      <c r="G465" s="144" t="s">
        <v>311</v>
      </c>
      <c r="H465" s="144" t="n">
        <v>76</v>
      </c>
      <c r="I465" s="144" t="s">
        <v>152</v>
      </c>
      <c r="J465" s="148" t="n">
        <v>45055.9642476852</v>
      </c>
      <c r="K465" s="1" t="n">
        <v>1</v>
      </c>
      <c r="L465" s="144" t="n">
        <v>76</v>
      </c>
      <c r="M465" s="1" t="n">
        <v>12</v>
      </c>
      <c r="N465" s="1" t="n">
        <v>12</v>
      </c>
      <c r="O465" s="149" t="n">
        <v>3</v>
      </c>
    </row>
    <row r="466" customFormat="false" ht="14.25" hidden="false" customHeight="false" outlineLevel="0" collapsed="false">
      <c r="A466" s="1" t="n">
        <v>30</v>
      </c>
      <c r="B466" s="1" t="s">
        <v>473</v>
      </c>
      <c r="C466" s="143" t="n">
        <v>11490</v>
      </c>
      <c r="D466" s="143" t="s">
        <v>65</v>
      </c>
      <c r="E466" s="143" t="s">
        <v>474</v>
      </c>
      <c r="F466" s="144" t="s">
        <v>492</v>
      </c>
      <c r="G466" s="144" t="s">
        <v>311</v>
      </c>
      <c r="H466" s="144" t="n">
        <v>76</v>
      </c>
      <c r="I466" s="144" t="s">
        <v>152</v>
      </c>
      <c r="J466" s="148" t="n">
        <v>45055.9644444444</v>
      </c>
      <c r="K466" s="1" t="n">
        <v>2</v>
      </c>
      <c r="L466" s="144" t="n">
        <v>76</v>
      </c>
      <c r="M466" s="1" t="n">
        <v>12</v>
      </c>
      <c r="N466" s="1" t="n">
        <v>12</v>
      </c>
      <c r="O466" s="149" t="n">
        <v>4</v>
      </c>
    </row>
    <row r="467" customFormat="false" ht="14.25" hidden="false" customHeight="false" outlineLevel="0" collapsed="false">
      <c r="A467" s="1" t="n">
        <v>31</v>
      </c>
      <c r="B467" s="1" t="s">
        <v>473</v>
      </c>
      <c r="C467" s="143" t="n">
        <v>11490</v>
      </c>
      <c r="D467" s="143" t="s">
        <v>65</v>
      </c>
      <c r="E467" s="143" t="s">
        <v>474</v>
      </c>
      <c r="F467" s="144" t="n">
        <v>200025888566</v>
      </c>
      <c r="G467" s="144" t="s">
        <v>311</v>
      </c>
      <c r="H467" s="144" t="n">
        <v>76</v>
      </c>
      <c r="I467" s="144" t="s">
        <v>152</v>
      </c>
      <c r="J467" s="148" t="n">
        <v>45055.9645023148</v>
      </c>
      <c r="K467" s="1" t="n">
        <v>1</v>
      </c>
      <c r="L467" s="144" t="n">
        <v>76</v>
      </c>
      <c r="M467" s="1" t="n">
        <v>12</v>
      </c>
      <c r="N467" s="1" t="n">
        <v>12</v>
      </c>
      <c r="O467" s="149" t="n">
        <v>5</v>
      </c>
    </row>
    <row r="468" customFormat="false" ht="14.25" hidden="false" customHeight="false" outlineLevel="0" collapsed="false">
      <c r="A468" s="1" t="n">
        <v>32</v>
      </c>
      <c r="B468" s="1" t="s">
        <v>473</v>
      </c>
      <c r="C468" s="143" t="n">
        <v>11490</v>
      </c>
      <c r="D468" s="143" t="s">
        <v>65</v>
      </c>
      <c r="E468" s="143" t="s">
        <v>474</v>
      </c>
      <c r="F468" s="144" t="s">
        <v>492</v>
      </c>
      <c r="G468" s="144" t="s">
        <v>311</v>
      </c>
      <c r="H468" s="144" t="n">
        <v>76</v>
      </c>
      <c r="I468" s="144" t="s">
        <v>152</v>
      </c>
      <c r="J468" s="148" t="n">
        <v>45055.9647337963</v>
      </c>
      <c r="K468" s="1" t="n">
        <v>2</v>
      </c>
      <c r="L468" s="144" t="n">
        <v>76</v>
      </c>
      <c r="M468" s="1" t="n">
        <v>12</v>
      </c>
      <c r="N468" s="1" t="n">
        <v>12</v>
      </c>
      <c r="O468" s="149" t="n">
        <v>6</v>
      </c>
    </row>
    <row r="469" customFormat="false" ht="14.25" hidden="false" customHeight="false" outlineLevel="0" collapsed="false">
      <c r="A469" s="1" t="n">
        <v>33</v>
      </c>
      <c r="B469" s="1" t="s">
        <v>473</v>
      </c>
      <c r="C469" s="143" t="n">
        <v>11490</v>
      </c>
      <c r="D469" s="143" t="s">
        <v>65</v>
      </c>
      <c r="E469" s="143" t="s">
        <v>474</v>
      </c>
      <c r="F469" s="144" t="n">
        <v>200025888566</v>
      </c>
      <c r="G469" s="144" t="s">
        <v>311</v>
      </c>
      <c r="H469" s="144" t="n">
        <v>76</v>
      </c>
      <c r="I469" s="144" t="s">
        <v>152</v>
      </c>
      <c r="J469" s="148" t="n">
        <v>45055.9648611111</v>
      </c>
      <c r="K469" s="1" t="n">
        <v>1</v>
      </c>
      <c r="L469" s="144" t="n">
        <v>76</v>
      </c>
      <c r="M469" s="1" t="n">
        <v>12</v>
      </c>
      <c r="N469" s="1" t="n">
        <v>12</v>
      </c>
      <c r="O469" s="149" t="n">
        <v>7</v>
      </c>
    </row>
    <row r="470" customFormat="false" ht="14.25" hidden="false" customHeight="false" outlineLevel="0" collapsed="false">
      <c r="A470" s="1" t="n">
        <v>34</v>
      </c>
      <c r="B470" s="1" t="s">
        <v>473</v>
      </c>
      <c r="C470" s="143" t="n">
        <v>11490</v>
      </c>
      <c r="D470" s="143" t="s">
        <v>65</v>
      </c>
      <c r="E470" s="143" t="s">
        <v>474</v>
      </c>
      <c r="F470" s="144" t="s">
        <v>492</v>
      </c>
      <c r="G470" s="144" t="s">
        <v>311</v>
      </c>
      <c r="H470" s="144" t="n">
        <v>76</v>
      </c>
      <c r="I470" s="144" t="s">
        <v>152</v>
      </c>
      <c r="J470" s="148" t="n">
        <v>45055.9654513889</v>
      </c>
      <c r="K470" s="1" t="n">
        <v>1</v>
      </c>
      <c r="L470" s="144" t="n">
        <v>76</v>
      </c>
      <c r="M470" s="1" t="n">
        <v>12</v>
      </c>
      <c r="N470" s="1" t="n">
        <v>12</v>
      </c>
      <c r="O470" s="149" t="n">
        <v>8</v>
      </c>
    </row>
    <row r="471" customFormat="false" ht="14.25" hidden="false" customHeight="false" outlineLevel="0" collapsed="false">
      <c r="A471" s="1" t="n">
        <v>35</v>
      </c>
      <c r="B471" s="1" t="s">
        <v>473</v>
      </c>
      <c r="C471" s="143" t="n">
        <v>11490</v>
      </c>
      <c r="D471" s="143" t="s">
        <v>65</v>
      </c>
      <c r="E471" s="143" t="s">
        <v>474</v>
      </c>
      <c r="F471" s="144" t="n">
        <v>200025888566</v>
      </c>
      <c r="G471" s="144" t="s">
        <v>311</v>
      </c>
      <c r="H471" s="144" t="n">
        <v>76</v>
      </c>
      <c r="I471" s="144" t="s">
        <v>152</v>
      </c>
      <c r="J471" s="148" t="n">
        <v>45055.9658217593</v>
      </c>
      <c r="K471" s="1" t="n">
        <v>1</v>
      </c>
      <c r="L471" s="144" t="n">
        <v>76</v>
      </c>
      <c r="M471" s="1" t="n">
        <v>12</v>
      </c>
      <c r="N471" s="1" t="n">
        <v>12</v>
      </c>
      <c r="O471" s="149" t="n">
        <v>9</v>
      </c>
    </row>
    <row r="472" customFormat="false" ht="14.25" hidden="false" customHeight="false" outlineLevel="0" collapsed="false">
      <c r="A472" s="1" t="n">
        <v>21</v>
      </c>
      <c r="B472" s="1" t="s">
        <v>478</v>
      </c>
      <c r="C472" s="143" t="n">
        <v>11171</v>
      </c>
      <c r="D472" s="143" t="s">
        <v>74</v>
      </c>
      <c r="E472" s="143" t="s">
        <v>474</v>
      </c>
      <c r="F472" s="144" t="n">
        <v>200025888566</v>
      </c>
      <c r="G472" s="144" t="s">
        <v>311</v>
      </c>
      <c r="H472" s="144" t="n">
        <v>76</v>
      </c>
      <c r="I472" s="144" t="s">
        <v>152</v>
      </c>
      <c r="J472" s="148" t="n">
        <v>45056.3301041667</v>
      </c>
      <c r="K472" s="1" t="n">
        <v>2</v>
      </c>
      <c r="L472" s="144" t="n">
        <v>76</v>
      </c>
      <c r="M472" s="1" t="n">
        <v>12</v>
      </c>
      <c r="N472" s="1" t="n">
        <v>12</v>
      </c>
      <c r="O472" s="149" t="n">
        <v>10</v>
      </c>
    </row>
    <row r="473" customFormat="false" ht="14.25" hidden="false" customHeight="false" outlineLevel="0" collapsed="false">
      <c r="A473" s="1" t="n">
        <v>216</v>
      </c>
      <c r="B473" s="1" t="s">
        <v>476</v>
      </c>
      <c r="C473" s="143" t="s">
        <v>58</v>
      </c>
      <c r="D473" s="143" t="s">
        <v>59</v>
      </c>
      <c r="E473" s="143" t="s">
        <v>474</v>
      </c>
      <c r="F473" s="144" t="n">
        <v>200025888566</v>
      </c>
      <c r="G473" s="144" t="s">
        <v>311</v>
      </c>
      <c r="H473" s="144" t="n">
        <v>76</v>
      </c>
      <c r="I473" s="144" t="s">
        <v>152</v>
      </c>
      <c r="J473" s="148" t="n">
        <v>45057.0436226852</v>
      </c>
      <c r="K473" s="1" t="n">
        <v>1</v>
      </c>
      <c r="L473" s="144" t="n">
        <v>76</v>
      </c>
      <c r="M473" s="1" t="n">
        <v>12</v>
      </c>
      <c r="N473" s="1" t="n">
        <v>12</v>
      </c>
      <c r="O473" s="149" t="n">
        <v>11</v>
      </c>
    </row>
    <row r="474" customFormat="false" ht="14.25" hidden="false" customHeight="false" outlineLevel="0" collapsed="false">
      <c r="A474" s="1" t="n">
        <v>217</v>
      </c>
      <c r="B474" s="1" t="s">
        <v>476</v>
      </c>
      <c r="C474" s="143" t="s">
        <v>58</v>
      </c>
      <c r="D474" s="143" t="s">
        <v>59</v>
      </c>
      <c r="E474" s="143" t="s">
        <v>474</v>
      </c>
      <c r="F474" s="144" t="n">
        <v>200025888566</v>
      </c>
      <c r="G474" s="144" t="s">
        <v>311</v>
      </c>
      <c r="H474" s="144" t="n">
        <v>76</v>
      </c>
      <c r="I474" s="144" t="s">
        <v>152</v>
      </c>
      <c r="J474" s="148" t="n">
        <v>45057.0441898148</v>
      </c>
      <c r="K474" s="1" t="n">
        <v>5</v>
      </c>
      <c r="L474" s="144" t="n">
        <v>76</v>
      </c>
      <c r="M474" s="1" t="n">
        <v>12</v>
      </c>
      <c r="N474" s="1" t="n">
        <v>12</v>
      </c>
      <c r="O474" s="149" t="n">
        <v>12</v>
      </c>
    </row>
    <row r="475" customFormat="false" ht="14.25" hidden="false" customHeight="false" outlineLevel="0" collapsed="false">
      <c r="A475" s="1" t="n">
        <v>218</v>
      </c>
      <c r="B475" s="1" t="s">
        <v>476</v>
      </c>
      <c r="C475" s="143" t="s">
        <v>58</v>
      </c>
      <c r="D475" s="143" t="s">
        <v>59</v>
      </c>
      <c r="E475" s="143" t="s">
        <v>474</v>
      </c>
      <c r="F475" s="144" t="n">
        <v>200025888566</v>
      </c>
      <c r="G475" s="144" t="s">
        <v>311</v>
      </c>
      <c r="H475" s="144" t="n">
        <v>76</v>
      </c>
      <c r="I475" s="144" t="s">
        <v>152</v>
      </c>
      <c r="J475" s="148" t="n">
        <v>45057.04625</v>
      </c>
      <c r="K475" s="1" t="n">
        <v>1</v>
      </c>
      <c r="L475" s="144" t="n">
        <v>76</v>
      </c>
      <c r="M475" s="1" t="n">
        <v>12</v>
      </c>
      <c r="N475" s="1" t="n">
        <v>12</v>
      </c>
      <c r="O475" s="149" t="n">
        <v>13</v>
      </c>
    </row>
    <row r="476" customFormat="false" ht="14.25" hidden="false" customHeight="false" outlineLevel="0" collapsed="false">
      <c r="A476" s="1" t="n">
        <v>224</v>
      </c>
      <c r="B476" s="1" t="s">
        <v>476</v>
      </c>
      <c r="C476" s="143" t="s">
        <v>58</v>
      </c>
      <c r="D476" s="143" t="s">
        <v>59</v>
      </c>
      <c r="E476" s="143" t="s">
        <v>474</v>
      </c>
      <c r="F476" s="144" t="n">
        <v>200025888566</v>
      </c>
      <c r="G476" s="144" t="s">
        <v>311</v>
      </c>
      <c r="H476" s="144" t="n">
        <v>76</v>
      </c>
      <c r="I476" s="144" t="s">
        <v>152</v>
      </c>
      <c r="J476" s="148" t="n">
        <v>45057.0528240741</v>
      </c>
      <c r="K476" s="1" t="n">
        <v>1</v>
      </c>
      <c r="L476" s="144" t="n">
        <v>76</v>
      </c>
      <c r="M476" s="1" t="n">
        <v>12</v>
      </c>
      <c r="N476" s="1" t="n">
        <v>12</v>
      </c>
      <c r="O476" s="149" t="n">
        <v>14</v>
      </c>
    </row>
    <row r="477" customFormat="false" ht="14.25" hidden="false" customHeight="false" outlineLevel="0" collapsed="false">
      <c r="A477" s="1" t="n">
        <v>225</v>
      </c>
      <c r="B477" s="1" t="s">
        <v>476</v>
      </c>
      <c r="C477" s="143" t="s">
        <v>58</v>
      </c>
      <c r="D477" s="143" t="s">
        <v>59</v>
      </c>
      <c r="E477" s="143" t="s">
        <v>474</v>
      </c>
      <c r="F477" s="144" t="n">
        <v>200025888566</v>
      </c>
      <c r="G477" s="144" t="s">
        <v>311</v>
      </c>
      <c r="H477" s="144" t="n">
        <v>76</v>
      </c>
      <c r="I477" s="144" t="s">
        <v>152</v>
      </c>
      <c r="J477" s="148" t="n">
        <v>45057.0538310185</v>
      </c>
      <c r="K477" s="1" t="n">
        <v>2</v>
      </c>
      <c r="L477" s="144" t="n">
        <v>76</v>
      </c>
      <c r="M477" s="1" t="n">
        <v>12</v>
      </c>
      <c r="N477" s="1" t="n">
        <v>12</v>
      </c>
      <c r="O477" s="149" t="n">
        <v>15</v>
      </c>
    </row>
    <row r="478" customFormat="false" ht="14.25" hidden="false" customHeight="false" outlineLevel="0" collapsed="false">
      <c r="A478" s="1" t="n">
        <v>226</v>
      </c>
      <c r="B478" s="1" t="s">
        <v>476</v>
      </c>
      <c r="C478" s="143" t="s">
        <v>58</v>
      </c>
      <c r="D478" s="143" t="s">
        <v>59</v>
      </c>
      <c r="E478" s="143" t="s">
        <v>474</v>
      </c>
      <c r="F478" s="144" t="n">
        <v>200025888566</v>
      </c>
      <c r="G478" s="144" t="s">
        <v>311</v>
      </c>
      <c r="H478" s="144" t="n">
        <v>76</v>
      </c>
      <c r="I478" s="144" t="s">
        <v>152</v>
      </c>
      <c r="J478" s="148" t="n">
        <v>45057.0542013889</v>
      </c>
      <c r="K478" s="1" t="n">
        <v>4</v>
      </c>
      <c r="L478" s="144" t="n">
        <v>76</v>
      </c>
      <c r="M478" s="1" t="n">
        <v>12</v>
      </c>
      <c r="N478" s="1" t="n">
        <v>12</v>
      </c>
      <c r="O478" s="149" t="n">
        <v>16</v>
      </c>
    </row>
    <row r="479" customFormat="false" ht="14.25" hidden="false" customHeight="false" outlineLevel="0" collapsed="false">
      <c r="A479" s="1" t="n">
        <v>411</v>
      </c>
      <c r="B479" s="1" t="s">
        <v>473</v>
      </c>
      <c r="C479" s="143" t="n">
        <v>11490</v>
      </c>
      <c r="D479" s="143" t="s">
        <v>65</v>
      </c>
      <c r="E479" s="143" t="s">
        <v>474</v>
      </c>
      <c r="F479" s="144" t="n">
        <v>200025888566</v>
      </c>
      <c r="G479" s="144" t="s">
        <v>311</v>
      </c>
      <c r="H479" s="144" t="n">
        <v>76</v>
      </c>
      <c r="I479" s="144" t="s">
        <v>152</v>
      </c>
      <c r="J479" s="148" t="n">
        <v>45057.7931018519</v>
      </c>
      <c r="K479" s="1" t="n">
        <v>1</v>
      </c>
      <c r="L479" s="144" t="n">
        <v>76</v>
      </c>
      <c r="M479" s="1" t="n">
        <v>12</v>
      </c>
      <c r="N479" s="1" t="n">
        <v>12</v>
      </c>
      <c r="O479" s="149" t="n">
        <v>17</v>
      </c>
    </row>
    <row r="480" customFormat="false" ht="14.25" hidden="false" customHeight="false" outlineLevel="0" collapsed="false">
      <c r="A480" s="1" t="n">
        <v>108</v>
      </c>
      <c r="B480" s="1" t="s">
        <v>476</v>
      </c>
      <c r="C480" s="143" t="n">
        <v>91601</v>
      </c>
      <c r="D480" s="143" t="s">
        <v>65</v>
      </c>
      <c r="E480" s="143" t="s">
        <v>474</v>
      </c>
      <c r="F480" s="144" t="n">
        <v>200025888566</v>
      </c>
      <c r="G480" s="144" t="s">
        <v>311</v>
      </c>
      <c r="H480" s="144" t="n">
        <v>76</v>
      </c>
      <c r="I480" s="144" t="s">
        <v>152</v>
      </c>
      <c r="J480" s="148" t="n">
        <v>45073.3066666667</v>
      </c>
      <c r="K480" s="1" t="n">
        <v>2</v>
      </c>
      <c r="L480" s="144" t="n">
        <v>76</v>
      </c>
      <c r="M480" s="1" t="n">
        <v>12</v>
      </c>
      <c r="N480" s="1" t="n">
        <v>12</v>
      </c>
      <c r="O480" s="149" t="n">
        <v>18</v>
      </c>
    </row>
    <row r="481" customFormat="false" ht="14.25" hidden="false" customHeight="false" outlineLevel="0" collapsed="false">
      <c r="A481" s="1" t="n">
        <v>109</v>
      </c>
      <c r="B481" s="1" t="s">
        <v>476</v>
      </c>
      <c r="C481" s="143" t="n">
        <v>91601</v>
      </c>
      <c r="D481" s="143" t="s">
        <v>65</v>
      </c>
      <c r="E481" s="143" t="s">
        <v>474</v>
      </c>
      <c r="F481" s="144" t="n">
        <v>200025888566</v>
      </c>
      <c r="G481" s="144" t="s">
        <v>311</v>
      </c>
      <c r="H481" s="144" t="n">
        <v>76</v>
      </c>
      <c r="I481" s="144" t="s">
        <v>152</v>
      </c>
      <c r="J481" s="148" t="n">
        <v>45073.3074537037</v>
      </c>
      <c r="K481" s="1" t="n">
        <v>1</v>
      </c>
      <c r="L481" s="144" t="n">
        <v>76</v>
      </c>
      <c r="M481" s="1" t="n">
        <v>12</v>
      </c>
      <c r="N481" s="1" t="n">
        <v>12</v>
      </c>
      <c r="O481" s="149" t="n">
        <v>19</v>
      </c>
    </row>
    <row r="482" customFormat="false" ht="14.25" hidden="false" customHeight="false" outlineLevel="0" collapsed="false">
      <c r="A482" s="1" t="n">
        <v>116</v>
      </c>
      <c r="B482" s="1" t="s">
        <v>476</v>
      </c>
      <c r="C482" s="143" t="n">
        <v>91601</v>
      </c>
      <c r="D482" s="143" t="s">
        <v>65</v>
      </c>
      <c r="E482" s="143" t="s">
        <v>474</v>
      </c>
      <c r="F482" s="144" t="n">
        <v>200025888566</v>
      </c>
      <c r="G482" s="144" t="s">
        <v>311</v>
      </c>
      <c r="H482" s="144" t="n">
        <v>76</v>
      </c>
      <c r="I482" s="144" t="s">
        <v>152</v>
      </c>
      <c r="J482" s="148" t="n">
        <v>45073.4615046296</v>
      </c>
      <c r="K482" s="1" t="n">
        <v>0</v>
      </c>
      <c r="L482" s="144" t="n">
        <v>76</v>
      </c>
      <c r="M482" s="1" t="n">
        <v>12</v>
      </c>
      <c r="N482" s="1" t="n">
        <v>12</v>
      </c>
      <c r="O482" s="149" t="n">
        <v>20</v>
      </c>
    </row>
    <row r="483" customFormat="false" ht="14.25" hidden="false" customHeight="false" outlineLevel="0" collapsed="false">
      <c r="A483" s="1" t="n">
        <v>117</v>
      </c>
      <c r="B483" s="1" t="s">
        <v>476</v>
      </c>
      <c r="C483" s="143" t="n">
        <v>91601</v>
      </c>
      <c r="D483" s="143" t="s">
        <v>65</v>
      </c>
      <c r="E483" s="143" t="s">
        <v>474</v>
      </c>
      <c r="F483" s="144" t="n">
        <v>200025888566</v>
      </c>
      <c r="G483" s="144" t="s">
        <v>311</v>
      </c>
      <c r="H483" s="144" t="n">
        <v>76</v>
      </c>
      <c r="I483" s="144" t="s">
        <v>152</v>
      </c>
      <c r="J483" s="148" t="n">
        <v>45073.4616435185</v>
      </c>
      <c r="K483" s="1" t="n">
        <v>4</v>
      </c>
      <c r="L483" s="144" t="n">
        <v>76</v>
      </c>
      <c r="M483" s="1" t="n">
        <v>12</v>
      </c>
      <c r="N483" s="1" t="n">
        <v>12</v>
      </c>
      <c r="O483" s="149" t="n">
        <v>21</v>
      </c>
    </row>
    <row r="484" customFormat="false" ht="14.25" hidden="false" customHeight="false" outlineLevel="0" collapsed="false">
      <c r="A484" s="1" t="n">
        <v>118</v>
      </c>
      <c r="B484" s="1" t="s">
        <v>476</v>
      </c>
      <c r="C484" s="143" t="n">
        <v>91601</v>
      </c>
      <c r="D484" s="143" t="s">
        <v>65</v>
      </c>
      <c r="E484" s="143" t="s">
        <v>474</v>
      </c>
      <c r="F484" s="144" t="n">
        <v>200025888566</v>
      </c>
      <c r="G484" s="144" t="s">
        <v>311</v>
      </c>
      <c r="H484" s="144" t="n">
        <v>76</v>
      </c>
      <c r="I484" s="144" t="s">
        <v>152</v>
      </c>
      <c r="J484" s="148" t="n">
        <v>45073.4711226852</v>
      </c>
      <c r="K484" s="1" t="n">
        <v>2</v>
      </c>
      <c r="L484" s="144" t="n">
        <v>76</v>
      </c>
      <c r="M484" s="1" t="n">
        <v>12</v>
      </c>
      <c r="N484" s="1" t="n">
        <v>12</v>
      </c>
      <c r="O484" s="149" t="n">
        <v>22</v>
      </c>
    </row>
    <row r="485" customFormat="false" ht="14.25" hidden="false" customHeight="false" outlineLevel="0" collapsed="false">
      <c r="A485" s="1" t="n">
        <v>119</v>
      </c>
      <c r="B485" s="1" t="s">
        <v>476</v>
      </c>
      <c r="C485" s="143" t="n">
        <v>91601</v>
      </c>
      <c r="D485" s="143" t="s">
        <v>65</v>
      </c>
      <c r="E485" s="143" t="s">
        <v>474</v>
      </c>
      <c r="F485" s="144" t="n">
        <v>200025888566</v>
      </c>
      <c r="G485" s="144" t="s">
        <v>311</v>
      </c>
      <c r="H485" s="144" t="n">
        <v>76</v>
      </c>
      <c r="I485" s="144" t="s">
        <v>152</v>
      </c>
      <c r="J485" s="148" t="n">
        <v>45073.4711342593</v>
      </c>
      <c r="K485" s="1" t="n">
        <v>0</v>
      </c>
      <c r="L485" s="144" t="n">
        <v>76</v>
      </c>
      <c r="M485" s="1" t="n">
        <v>12</v>
      </c>
      <c r="N485" s="1" t="n">
        <v>12</v>
      </c>
      <c r="O485" s="149" t="n">
        <v>23</v>
      </c>
    </row>
    <row r="486" customFormat="false" ht="14.25" hidden="false" customHeight="false" outlineLevel="0" collapsed="false">
      <c r="A486" s="1" t="n">
        <v>130</v>
      </c>
      <c r="B486" s="1" t="s">
        <v>476</v>
      </c>
      <c r="C486" s="143" t="n">
        <v>91601</v>
      </c>
      <c r="D486" s="143" t="s">
        <v>65</v>
      </c>
      <c r="E486" s="143" t="s">
        <v>474</v>
      </c>
      <c r="F486" s="144" t="n">
        <v>200025888566</v>
      </c>
      <c r="G486" s="144" t="s">
        <v>311</v>
      </c>
      <c r="H486" s="144" t="n">
        <v>76</v>
      </c>
      <c r="I486" s="144" t="s">
        <v>152</v>
      </c>
      <c r="J486" s="148" t="n">
        <v>45073.7284490741</v>
      </c>
      <c r="K486" s="1" t="n">
        <v>1</v>
      </c>
      <c r="L486" s="144" t="n">
        <v>76</v>
      </c>
      <c r="M486" s="1" t="n">
        <v>12</v>
      </c>
      <c r="N486" s="1" t="n">
        <v>12</v>
      </c>
      <c r="O486" s="149" t="n">
        <v>24</v>
      </c>
    </row>
    <row r="487" customFormat="false" ht="14.25" hidden="false" customHeight="false" outlineLevel="0" collapsed="false">
      <c r="A487" s="1" t="n">
        <v>131</v>
      </c>
      <c r="B487" s="1" t="s">
        <v>476</v>
      </c>
      <c r="C487" s="143" t="n">
        <v>91601</v>
      </c>
      <c r="D487" s="143" t="s">
        <v>65</v>
      </c>
      <c r="E487" s="143" t="s">
        <v>474</v>
      </c>
      <c r="F487" s="144" t="n">
        <v>200025888566</v>
      </c>
      <c r="G487" s="144" t="s">
        <v>311</v>
      </c>
      <c r="H487" s="144" t="n">
        <v>76</v>
      </c>
      <c r="I487" s="144" t="s">
        <v>152</v>
      </c>
      <c r="J487" s="148" t="n">
        <v>45073.7293402778</v>
      </c>
      <c r="K487" s="1" t="n">
        <v>2</v>
      </c>
      <c r="L487" s="144" t="n">
        <v>76</v>
      </c>
      <c r="M487" s="1" t="n">
        <v>12</v>
      </c>
      <c r="N487" s="1" t="n">
        <v>12</v>
      </c>
      <c r="O487" s="149" t="n">
        <v>25</v>
      </c>
    </row>
    <row r="488" customFormat="false" ht="14.25" hidden="false" customHeight="false" outlineLevel="0" collapsed="false">
      <c r="A488" s="1" t="n">
        <v>132</v>
      </c>
      <c r="B488" s="1" t="s">
        <v>476</v>
      </c>
      <c r="C488" s="143" t="n">
        <v>91601</v>
      </c>
      <c r="D488" s="143" t="s">
        <v>65</v>
      </c>
      <c r="E488" s="143" t="s">
        <v>474</v>
      </c>
      <c r="F488" s="144" t="n">
        <v>200025888566</v>
      </c>
      <c r="G488" s="144" t="s">
        <v>311</v>
      </c>
      <c r="H488" s="144" t="n">
        <v>76</v>
      </c>
      <c r="I488" s="144" t="s">
        <v>152</v>
      </c>
      <c r="J488" s="148" t="n">
        <v>45073.729537037</v>
      </c>
      <c r="K488" s="1" t="n">
        <v>0</v>
      </c>
      <c r="L488" s="144" t="n">
        <v>76</v>
      </c>
      <c r="M488" s="1" t="n">
        <v>12</v>
      </c>
      <c r="N488" s="1" t="n">
        <v>12</v>
      </c>
      <c r="O488" s="149" t="n">
        <v>26</v>
      </c>
    </row>
    <row r="489" customFormat="false" ht="14.25" hidden="false" customHeight="false" outlineLevel="0" collapsed="false">
      <c r="A489" s="1" t="n">
        <v>133</v>
      </c>
      <c r="B489" s="1" t="s">
        <v>476</v>
      </c>
      <c r="C489" s="143" t="n">
        <v>91601</v>
      </c>
      <c r="D489" s="143" t="s">
        <v>65</v>
      </c>
      <c r="E489" s="143" t="s">
        <v>474</v>
      </c>
      <c r="F489" s="144" t="n">
        <v>200025888566</v>
      </c>
      <c r="G489" s="144" t="s">
        <v>311</v>
      </c>
      <c r="H489" s="144" t="n">
        <v>76</v>
      </c>
      <c r="I489" s="144" t="s">
        <v>152</v>
      </c>
      <c r="J489" s="148" t="n">
        <v>45073.7301041667</v>
      </c>
      <c r="K489" s="1" t="n">
        <v>1</v>
      </c>
      <c r="L489" s="144" t="n">
        <v>76</v>
      </c>
      <c r="M489" s="1" t="n">
        <v>12</v>
      </c>
      <c r="N489" s="1" t="n">
        <v>12</v>
      </c>
      <c r="O489" s="149" t="n">
        <v>27</v>
      </c>
    </row>
    <row r="490" customFormat="false" ht="14.25" hidden="false" customHeight="false" outlineLevel="0" collapsed="false">
      <c r="A490" s="1" t="n">
        <v>134</v>
      </c>
      <c r="B490" s="1" t="s">
        <v>476</v>
      </c>
      <c r="C490" s="143" t="n">
        <v>91601</v>
      </c>
      <c r="D490" s="143" t="s">
        <v>65</v>
      </c>
      <c r="E490" s="143" t="s">
        <v>474</v>
      </c>
      <c r="F490" s="144" t="n">
        <v>200025888566</v>
      </c>
      <c r="G490" s="144" t="s">
        <v>311</v>
      </c>
      <c r="H490" s="144" t="n">
        <v>76</v>
      </c>
      <c r="I490" s="144" t="s">
        <v>152</v>
      </c>
      <c r="J490" s="148" t="n">
        <v>45073.7301273148</v>
      </c>
      <c r="K490" s="1" t="n">
        <v>2</v>
      </c>
      <c r="L490" s="144" t="n">
        <v>76</v>
      </c>
      <c r="M490" s="1" t="n">
        <v>12</v>
      </c>
      <c r="N490" s="1" t="n">
        <v>12</v>
      </c>
      <c r="O490" s="149" t="n">
        <v>28</v>
      </c>
    </row>
    <row r="491" customFormat="false" ht="14.25" hidden="false" customHeight="false" outlineLevel="0" collapsed="false">
      <c r="A491" s="1" t="n">
        <v>135</v>
      </c>
      <c r="B491" s="1" t="s">
        <v>476</v>
      </c>
      <c r="C491" s="143" t="n">
        <v>91601</v>
      </c>
      <c r="D491" s="143" t="s">
        <v>65</v>
      </c>
      <c r="E491" s="143" t="s">
        <v>474</v>
      </c>
      <c r="F491" s="144" t="n">
        <v>200025888566</v>
      </c>
      <c r="G491" s="144" t="s">
        <v>311</v>
      </c>
      <c r="H491" s="144" t="n">
        <v>76</v>
      </c>
      <c r="I491" s="144" t="s">
        <v>152</v>
      </c>
      <c r="J491" s="148" t="n">
        <v>45073.733587963</v>
      </c>
      <c r="K491" s="1" t="n">
        <v>4</v>
      </c>
      <c r="L491" s="144" t="n">
        <v>76</v>
      </c>
      <c r="M491" s="1" t="n">
        <v>12</v>
      </c>
      <c r="N491" s="1" t="n">
        <v>12</v>
      </c>
      <c r="O491" s="149" t="n">
        <v>29</v>
      </c>
    </row>
    <row r="492" customFormat="false" ht="14.25" hidden="false" customHeight="false" outlineLevel="0" collapsed="false">
      <c r="A492" s="1" t="n">
        <v>136</v>
      </c>
      <c r="B492" s="1" t="s">
        <v>476</v>
      </c>
      <c r="C492" s="143" t="n">
        <v>91601</v>
      </c>
      <c r="D492" s="143" t="s">
        <v>65</v>
      </c>
      <c r="E492" s="143" t="s">
        <v>474</v>
      </c>
      <c r="F492" s="144" t="n">
        <v>200025888566</v>
      </c>
      <c r="G492" s="144" t="s">
        <v>311</v>
      </c>
      <c r="H492" s="144" t="n">
        <v>76</v>
      </c>
      <c r="I492" s="144" t="s">
        <v>152</v>
      </c>
      <c r="J492" s="148" t="n">
        <v>45073.7420023148</v>
      </c>
      <c r="K492" s="1" t="n">
        <v>1</v>
      </c>
      <c r="L492" s="144" t="n">
        <v>76</v>
      </c>
      <c r="M492" s="1" t="n">
        <v>12</v>
      </c>
      <c r="N492" s="1" t="n">
        <v>12</v>
      </c>
      <c r="O492" s="149" t="n">
        <v>30</v>
      </c>
    </row>
    <row r="493" customFormat="false" ht="14.25" hidden="false" customHeight="false" outlineLevel="0" collapsed="false">
      <c r="A493" s="1" t="n">
        <v>137</v>
      </c>
      <c r="B493" s="1" t="s">
        <v>476</v>
      </c>
      <c r="C493" s="143" t="n">
        <v>91601</v>
      </c>
      <c r="D493" s="143" t="s">
        <v>65</v>
      </c>
      <c r="E493" s="143" t="s">
        <v>474</v>
      </c>
      <c r="F493" s="144" t="n">
        <v>200025888566</v>
      </c>
      <c r="G493" s="144" t="s">
        <v>311</v>
      </c>
      <c r="H493" s="144" t="n">
        <v>76</v>
      </c>
      <c r="I493" s="144" t="s">
        <v>152</v>
      </c>
      <c r="J493" s="148" t="n">
        <v>45073.743125</v>
      </c>
      <c r="K493" s="1" t="n">
        <v>1</v>
      </c>
      <c r="L493" s="144" t="n">
        <v>76</v>
      </c>
      <c r="M493" s="1" t="n">
        <v>12</v>
      </c>
      <c r="N493" s="1" t="n">
        <v>12</v>
      </c>
      <c r="O493" s="149" t="n">
        <v>31</v>
      </c>
    </row>
    <row r="494" customFormat="false" ht="14.25" hidden="false" customHeight="false" outlineLevel="0" collapsed="false">
      <c r="A494" s="1" t="n">
        <v>138</v>
      </c>
      <c r="B494" s="1" t="s">
        <v>476</v>
      </c>
      <c r="C494" s="143" t="n">
        <v>91601</v>
      </c>
      <c r="D494" s="143" t="s">
        <v>65</v>
      </c>
      <c r="E494" s="143" t="s">
        <v>474</v>
      </c>
      <c r="F494" s="144" t="n">
        <v>200025888566</v>
      </c>
      <c r="G494" s="144" t="s">
        <v>311</v>
      </c>
      <c r="H494" s="144" t="n">
        <v>76</v>
      </c>
      <c r="I494" s="144" t="s">
        <v>152</v>
      </c>
      <c r="J494" s="148" t="n">
        <v>45073.7459027778</v>
      </c>
      <c r="K494" s="1" t="n">
        <v>2</v>
      </c>
      <c r="L494" s="144" t="n">
        <v>76</v>
      </c>
      <c r="M494" s="1" t="n">
        <v>12</v>
      </c>
      <c r="N494" s="1" t="n">
        <v>12</v>
      </c>
      <c r="O494" s="149" t="n">
        <v>32</v>
      </c>
    </row>
    <row r="495" customFormat="false" ht="14.25" hidden="false" customHeight="false" outlineLevel="0" collapsed="false">
      <c r="A495" s="1" t="n">
        <v>139</v>
      </c>
      <c r="B495" s="1" t="s">
        <v>476</v>
      </c>
      <c r="C495" s="143" t="n">
        <v>91601</v>
      </c>
      <c r="D495" s="143" t="s">
        <v>65</v>
      </c>
      <c r="E495" s="143" t="s">
        <v>474</v>
      </c>
      <c r="F495" s="144" t="n">
        <v>200025888566</v>
      </c>
      <c r="G495" s="144" t="s">
        <v>311</v>
      </c>
      <c r="H495" s="144" t="n">
        <v>76</v>
      </c>
      <c r="I495" s="144" t="s">
        <v>152</v>
      </c>
      <c r="J495" s="148" t="n">
        <v>45073.7581944445</v>
      </c>
      <c r="K495" s="1" t="n">
        <v>1</v>
      </c>
      <c r="L495" s="144" t="n">
        <v>76</v>
      </c>
      <c r="M495" s="1" t="n">
        <v>12</v>
      </c>
      <c r="N495" s="1" t="n">
        <v>12</v>
      </c>
      <c r="O495" s="149" t="n">
        <v>33</v>
      </c>
    </row>
    <row r="496" customFormat="false" ht="14.25" hidden="false" customHeight="false" outlineLevel="0" collapsed="false">
      <c r="A496" s="1" t="n">
        <v>140</v>
      </c>
      <c r="B496" s="1" t="s">
        <v>476</v>
      </c>
      <c r="C496" s="143" t="n">
        <v>91601</v>
      </c>
      <c r="D496" s="143" t="s">
        <v>65</v>
      </c>
      <c r="E496" s="143" t="s">
        <v>474</v>
      </c>
      <c r="F496" s="144" t="n">
        <v>200025888566</v>
      </c>
      <c r="G496" s="144" t="s">
        <v>311</v>
      </c>
      <c r="H496" s="144" t="n">
        <v>76</v>
      </c>
      <c r="I496" s="144" t="s">
        <v>152</v>
      </c>
      <c r="J496" s="148" t="n">
        <v>45073.7623611111</v>
      </c>
      <c r="K496" s="1" t="n">
        <v>1</v>
      </c>
      <c r="L496" s="144" t="n">
        <v>76</v>
      </c>
      <c r="M496" s="1" t="n">
        <v>12</v>
      </c>
      <c r="N496" s="1" t="n">
        <v>12</v>
      </c>
      <c r="O496" s="149" t="n">
        <v>34</v>
      </c>
    </row>
    <row r="497" customFormat="false" ht="14.25" hidden="false" customHeight="false" outlineLevel="0" collapsed="false">
      <c r="A497" s="1" t="n">
        <v>141</v>
      </c>
      <c r="B497" s="1" t="s">
        <v>476</v>
      </c>
      <c r="C497" s="143" t="n">
        <v>91601</v>
      </c>
      <c r="D497" s="143" t="s">
        <v>65</v>
      </c>
      <c r="E497" s="143" t="s">
        <v>474</v>
      </c>
      <c r="F497" s="144" t="n">
        <v>200025888566</v>
      </c>
      <c r="G497" s="144" t="s">
        <v>311</v>
      </c>
      <c r="H497" s="144" t="n">
        <v>76</v>
      </c>
      <c r="I497" s="144" t="s">
        <v>152</v>
      </c>
      <c r="J497" s="148" t="n">
        <v>45073.7662268519</v>
      </c>
      <c r="K497" s="1" t="n">
        <v>2</v>
      </c>
      <c r="L497" s="144" t="n">
        <v>76</v>
      </c>
      <c r="M497" s="1" t="n">
        <v>12</v>
      </c>
      <c r="N497" s="1" t="n">
        <v>12</v>
      </c>
      <c r="O497" s="149" t="n">
        <v>35</v>
      </c>
    </row>
    <row r="498" customFormat="false" ht="14.25" hidden="false" customHeight="false" outlineLevel="0" collapsed="false">
      <c r="A498" s="1" t="n">
        <v>142</v>
      </c>
      <c r="B498" s="1" t="s">
        <v>476</v>
      </c>
      <c r="C498" s="143" t="n">
        <v>91601</v>
      </c>
      <c r="D498" s="143" t="s">
        <v>65</v>
      </c>
      <c r="E498" s="143" t="s">
        <v>474</v>
      </c>
      <c r="F498" s="144" t="n">
        <v>200025888566</v>
      </c>
      <c r="G498" s="144" t="s">
        <v>311</v>
      </c>
      <c r="H498" s="144" t="n">
        <v>76</v>
      </c>
      <c r="I498" s="144" t="s">
        <v>152</v>
      </c>
      <c r="J498" s="148" t="n">
        <v>45073.7716550926</v>
      </c>
      <c r="K498" s="1" t="n">
        <v>0</v>
      </c>
      <c r="L498" s="144" t="n">
        <v>76</v>
      </c>
      <c r="M498" s="1" t="n">
        <v>12</v>
      </c>
      <c r="N498" s="1" t="n">
        <v>12</v>
      </c>
      <c r="O498" s="149" t="n">
        <v>36</v>
      </c>
    </row>
    <row r="499" customFormat="false" ht="14.25" hidden="false" customHeight="false" outlineLevel="0" collapsed="false">
      <c r="A499" s="1" t="n">
        <v>143</v>
      </c>
      <c r="B499" s="1" t="s">
        <v>476</v>
      </c>
      <c r="C499" s="143" t="n">
        <v>91601</v>
      </c>
      <c r="D499" s="143" t="s">
        <v>65</v>
      </c>
      <c r="E499" s="143" t="s">
        <v>474</v>
      </c>
      <c r="F499" s="144" t="n">
        <v>200025888566</v>
      </c>
      <c r="G499" s="144" t="s">
        <v>311</v>
      </c>
      <c r="H499" s="144" t="n">
        <v>76</v>
      </c>
      <c r="I499" s="144" t="s">
        <v>152</v>
      </c>
      <c r="J499" s="148" t="n">
        <v>45073.7750694445</v>
      </c>
      <c r="K499" s="1" t="n">
        <v>4</v>
      </c>
      <c r="L499" s="144" t="n">
        <v>76</v>
      </c>
      <c r="M499" s="1" t="n">
        <v>12</v>
      </c>
      <c r="N499" s="1" t="n">
        <v>12</v>
      </c>
      <c r="O499" s="149" t="n">
        <v>37</v>
      </c>
    </row>
    <row r="500" customFormat="false" ht="14.25" hidden="false" customHeight="false" outlineLevel="0" collapsed="false">
      <c r="A500" s="1" t="n">
        <v>144</v>
      </c>
      <c r="B500" s="1" t="s">
        <v>476</v>
      </c>
      <c r="C500" s="143" t="n">
        <v>91601</v>
      </c>
      <c r="D500" s="143" t="s">
        <v>65</v>
      </c>
      <c r="E500" s="143" t="s">
        <v>474</v>
      </c>
      <c r="F500" s="144" t="n">
        <v>200025888566</v>
      </c>
      <c r="G500" s="144" t="s">
        <v>311</v>
      </c>
      <c r="H500" s="144" t="n">
        <v>76</v>
      </c>
      <c r="I500" s="144" t="s">
        <v>152</v>
      </c>
      <c r="J500" s="148" t="n">
        <v>45073.802962963</v>
      </c>
      <c r="K500" s="1" t="n">
        <v>1</v>
      </c>
      <c r="L500" s="144" t="n">
        <v>76</v>
      </c>
      <c r="M500" s="1" t="n">
        <v>12</v>
      </c>
      <c r="N500" s="1" t="n">
        <v>12</v>
      </c>
      <c r="O500" s="149" t="n">
        <v>38</v>
      </c>
    </row>
    <row r="501" customFormat="false" ht="14.25" hidden="false" customHeight="false" outlineLevel="0" collapsed="false">
      <c r="A501" s="1" t="n">
        <v>145</v>
      </c>
      <c r="B501" s="1" t="s">
        <v>476</v>
      </c>
      <c r="C501" s="143" t="n">
        <v>91601</v>
      </c>
      <c r="D501" s="143" t="s">
        <v>65</v>
      </c>
      <c r="E501" s="143" t="s">
        <v>474</v>
      </c>
      <c r="F501" s="144" t="n">
        <v>200025888566</v>
      </c>
      <c r="G501" s="144" t="s">
        <v>311</v>
      </c>
      <c r="H501" s="144" t="n">
        <v>76</v>
      </c>
      <c r="I501" s="144" t="s">
        <v>152</v>
      </c>
      <c r="J501" s="148" t="n">
        <v>45073.8366898148</v>
      </c>
      <c r="K501" s="1" t="n">
        <v>2</v>
      </c>
      <c r="L501" s="144" t="n">
        <v>76</v>
      </c>
      <c r="M501" s="1" t="n">
        <v>12</v>
      </c>
      <c r="N501" s="1" t="n">
        <v>12</v>
      </c>
      <c r="O501" s="149" t="n">
        <v>39</v>
      </c>
    </row>
    <row r="502" customFormat="false" ht="14.25" hidden="false" customHeight="false" outlineLevel="0" collapsed="false">
      <c r="A502" s="1" t="n">
        <v>146</v>
      </c>
      <c r="B502" s="1" t="s">
        <v>476</v>
      </c>
      <c r="C502" s="143" t="n">
        <v>91601</v>
      </c>
      <c r="D502" s="143" t="s">
        <v>65</v>
      </c>
      <c r="E502" s="143" t="s">
        <v>474</v>
      </c>
      <c r="F502" s="144" t="n">
        <v>200025888566</v>
      </c>
      <c r="G502" s="144" t="s">
        <v>311</v>
      </c>
      <c r="H502" s="144" t="n">
        <v>76</v>
      </c>
      <c r="I502" s="144" t="s">
        <v>152</v>
      </c>
      <c r="J502" s="148" t="n">
        <v>45073.8378240741</v>
      </c>
      <c r="K502" s="1" t="n">
        <v>1</v>
      </c>
      <c r="L502" s="144" t="n">
        <v>76</v>
      </c>
      <c r="M502" s="1" t="n">
        <v>12</v>
      </c>
      <c r="N502" s="1" t="n">
        <v>12</v>
      </c>
      <c r="O502" s="149" t="n">
        <v>40</v>
      </c>
    </row>
    <row r="503" customFormat="false" ht="14.25" hidden="false" customHeight="false" outlineLevel="0" collapsed="false">
      <c r="A503" s="1" t="n">
        <v>147</v>
      </c>
      <c r="B503" s="1" t="s">
        <v>476</v>
      </c>
      <c r="C503" s="143" t="n">
        <v>91601</v>
      </c>
      <c r="D503" s="143" t="s">
        <v>65</v>
      </c>
      <c r="E503" s="143" t="s">
        <v>474</v>
      </c>
      <c r="F503" s="144" t="n">
        <v>200025888566</v>
      </c>
      <c r="G503" s="144" t="s">
        <v>311</v>
      </c>
      <c r="H503" s="144" t="n">
        <v>76</v>
      </c>
      <c r="I503" s="144" t="s">
        <v>152</v>
      </c>
      <c r="J503" s="148" t="n">
        <v>45073.851712963</v>
      </c>
      <c r="K503" s="1" t="n">
        <v>1</v>
      </c>
      <c r="L503" s="144" t="n">
        <v>76</v>
      </c>
      <c r="M503" s="1" t="n">
        <v>12</v>
      </c>
      <c r="N503" s="1" t="n">
        <v>12</v>
      </c>
      <c r="O503" s="149" t="n">
        <v>41</v>
      </c>
    </row>
    <row r="504" customFormat="false" ht="14.25" hidden="false" customHeight="false" outlineLevel="0" collapsed="false">
      <c r="A504" s="1" t="n">
        <v>148</v>
      </c>
      <c r="B504" s="1" t="s">
        <v>476</v>
      </c>
      <c r="C504" s="143" t="n">
        <v>91601</v>
      </c>
      <c r="D504" s="143" t="s">
        <v>65</v>
      </c>
      <c r="E504" s="143" t="s">
        <v>474</v>
      </c>
      <c r="F504" s="144" t="n">
        <v>200025888566</v>
      </c>
      <c r="G504" s="144" t="s">
        <v>311</v>
      </c>
      <c r="H504" s="144" t="n">
        <v>76</v>
      </c>
      <c r="I504" s="144" t="s">
        <v>152</v>
      </c>
      <c r="J504" s="148" t="n">
        <v>45073.8825578704</v>
      </c>
      <c r="K504" s="1" t="n">
        <v>1</v>
      </c>
      <c r="L504" s="144" t="n">
        <v>76</v>
      </c>
      <c r="M504" s="1" t="n">
        <v>12</v>
      </c>
      <c r="N504" s="1" t="n">
        <v>12</v>
      </c>
      <c r="O504" s="149" t="n">
        <v>42</v>
      </c>
    </row>
    <row r="505" customFormat="false" ht="14.25" hidden="false" customHeight="false" outlineLevel="0" collapsed="false">
      <c r="A505" s="1" t="n">
        <v>149</v>
      </c>
      <c r="B505" s="1" t="s">
        <v>476</v>
      </c>
      <c r="C505" s="143" t="n">
        <v>91601</v>
      </c>
      <c r="D505" s="143" t="s">
        <v>65</v>
      </c>
      <c r="E505" s="143" t="s">
        <v>474</v>
      </c>
      <c r="F505" s="144" t="n">
        <v>200025888566</v>
      </c>
      <c r="G505" s="144" t="s">
        <v>311</v>
      </c>
      <c r="H505" s="144" t="n">
        <v>76</v>
      </c>
      <c r="I505" s="144" t="s">
        <v>152</v>
      </c>
      <c r="J505" s="148" t="n">
        <v>45073.8825810185</v>
      </c>
      <c r="K505" s="1" t="n">
        <v>4</v>
      </c>
      <c r="L505" s="144" t="n">
        <v>76</v>
      </c>
      <c r="M505" s="1" t="n">
        <v>12</v>
      </c>
      <c r="N505" s="1" t="n">
        <v>12</v>
      </c>
      <c r="O505" s="149" t="n">
        <v>43</v>
      </c>
    </row>
    <row r="506" customFormat="false" ht="14.25" hidden="false" customHeight="false" outlineLevel="0" collapsed="false">
      <c r="A506" s="1" t="n">
        <v>150</v>
      </c>
      <c r="B506" s="1" t="s">
        <v>476</v>
      </c>
      <c r="C506" s="143" t="n">
        <v>91601</v>
      </c>
      <c r="D506" s="143" t="s">
        <v>65</v>
      </c>
      <c r="E506" s="143" t="s">
        <v>474</v>
      </c>
      <c r="F506" s="144" t="n">
        <v>200025888566</v>
      </c>
      <c r="G506" s="144" t="s">
        <v>311</v>
      </c>
      <c r="H506" s="144" t="n">
        <v>76</v>
      </c>
      <c r="I506" s="144" t="s">
        <v>152</v>
      </c>
      <c r="J506" s="148" t="n">
        <v>45073.9022337963</v>
      </c>
      <c r="K506" s="1" t="n">
        <v>0</v>
      </c>
      <c r="L506" s="144" t="n">
        <v>76</v>
      </c>
      <c r="M506" s="1" t="n">
        <v>12</v>
      </c>
      <c r="N506" s="1" t="n">
        <v>12</v>
      </c>
      <c r="O506" s="149" t="n">
        <v>44</v>
      </c>
    </row>
    <row r="507" customFormat="false" ht="14.25" hidden="false" customHeight="false" outlineLevel="0" collapsed="false">
      <c r="A507" s="1" t="n">
        <v>151</v>
      </c>
      <c r="B507" s="1" t="s">
        <v>476</v>
      </c>
      <c r="C507" s="143" t="n">
        <v>91601</v>
      </c>
      <c r="D507" s="143" t="s">
        <v>65</v>
      </c>
      <c r="E507" s="143" t="s">
        <v>474</v>
      </c>
      <c r="F507" s="144" t="n">
        <v>200025888566</v>
      </c>
      <c r="G507" s="144" t="s">
        <v>311</v>
      </c>
      <c r="H507" s="144" t="n">
        <v>76</v>
      </c>
      <c r="I507" s="144" t="s">
        <v>152</v>
      </c>
      <c r="J507" s="148" t="n">
        <v>45073.9254861111</v>
      </c>
      <c r="K507" s="1" t="n">
        <v>1</v>
      </c>
      <c r="L507" s="144" t="n">
        <v>76</v>
      </c>
      <c r="M507" s="1" t="n">
        <v>12</v>
      </c>
      <c r="N507" s="1" t="n">
        <v>12</v>
      </c>
      <c r="O507" s="149" t="n">
        <v>45</v>
      </c>
    </row>
    <row r="508" customFormat="false" ht="14.25" hidden="false" customHeight="false" outlineLevel="0" collapsed="false">
      <c r="A508" s="1" t="n">
        <v>152</v>
      </c>
      <c r="B508" s="1" t="s">
        <v>476</v>
      </c>
      <c r="C508" s="143" t="n">
        <v>91601</v>
      </c>
      <c r="D508" s="143" t="s">
        <v>65</v>
      </c>
      <c r="E508" s="143" t="s">
        <v>474</v>
      </c>
      <c r="F508" s="144" t="n">
        <v>200025888566</v>
      </c>
      <c r="G508" s="144" t="s">
        <v>311</v>
      </c>
      <c r="H508" s="144" t="n">
        <v>76</v>
      </c>
      <c r="I508" s="144" t="s">
        <v>152</v>
      </c>
      <c r="J508" s="148" t="n">
        <v>45073.9330787037</v>
      </c>
      <c r="K508" s="1" t="n">
        <v>1</v>
      </c>
      <c r="L508" s="144" t="n">
        <v>76</v>
      </c>
      <c r="M508" s="1" t="n">
        <v>12</v>
      </c>
      <c r="N508" s="1" t="n">
        <v>12</v>
      </c>
      <c r="O508" s="149" t="n">
        <v>46</v>
      </c>
    </row>
    <row r="509" customFormat="false" ht="14.25" hidden="false" customHeight="false" outlineLevel="0" collapsed="false">
      <c r="A509" s="1" t="n">
        <v>153</v>
      </c>
      <c r="B509" s="1" t="s">
        <v>476</v>
      </c>
      <c r="C509" s="143" t="n">
        <v>91601</v>
      </c>
      <c r="D509" s="143" t="s">
        <v>65</v>
      </c>
      <c r="E509" s="143" t="s">
        <v>474</v>
      </c>
      <c r="F509" s="144" t="n">
        <v>200025888566</v>
      </c>
      <c r="G509" s="144" t="s">
        <v>311</v>
      </c>
      <c r="H509" s="144" t="n">
        <v>76</v>
      </c>
      <c r="I509" s="144" t="s">
        <v>152</v>
      </c>
      <c r="J509" s="151" t="n">
        <v>45073.9336689815</v>
      </c>
      <c r="K509" s="1" t="n">
        <v>2</v>
      </c>
      <c r="L509" s="144" t="n">
        <v>76</v>
      </c>
      <c r="M509" s="1" t="n">
        <v>12</v>
      </c>
      <c r="N509" s="1" t="n">
        <v>12</v>
      </c>
      <c r="O509" s="149" t="n">
        <v>47</v>
      </c>
    </row>
    <row r="510" customFormat="false" ht="14.25" hidden="false" customHeight="false" outlineLevel="0" collapsed="false">
      <c r="A510" s="1" t="n">
        <v>154</v>
      </c>
      <c r="B510" s="1" t="s">
        <v>476</v>
      </c>
      <c r="C510" s="143" t="n">
        <v>91601</v>
      </c>
      <c r="D510" s="143" t="s">
        <v>65</v>
      </c>
      <c r="E510" s="143" t="s">
        <v>474</v>
      </c>
      <c r="F510" s="144" t="n">
        <v>200025888566</v>
      </c>
      <c r="G510" s="144" t="s">
        <v>311</v>
      </c>
      <c r="H510" s="144" t="n">
        <v>76</v>
      </c>
      <c r="I510" s="144" t="s">
        <v>152</v>
      </c>
      <c r="J510" s="151" t="n">
        <v>45073.9342939815</v>
      </c>
      <c r="K510" s="1" t="n">
        <v>1</v>
      </c>
      <c r="L510" s="144" t="n">
        <v>76</v>
      </c>
      <c r="M510" s="1" t="n">
        <v>12</v>
      </c>
      <c r="N510" s="1" t="n">
        <v>12</v>
      </c>
      <c r="O510" s="149" t="n">
        <v>48</v>
      </c>
    </row>
    <row r="511" customFormat="false" ht="14.25" hidden="false" customHeight="false" outlineLevel="0" collapsed="false">
      <c r="A511" s="1" t="n">
        <v>155</v>
      </c>
      <c r="B511" s="1" t="s">
        <v>476</v>
      </c>
      <c r="C511" s="143" t="n">
        <v>91601</v>
      </c>
      <c r="D511" s="143" t="s">
        <v>65</v>
      </c>
      <c r="E511" s="143" t="s">
        <v>474</v>
      </c>
      <c r="F511" s="144" t="n">
        <v>200025888566</v>
      </c>
      <c r="G511" s="144" t="s">
        <v>311</v>
      </c>
      <c r="H511" s="144" t="n">
        <v>76</v>
      </c>
      <c r="I511" s="144" t="s">
        <v>152</v>
      </c>
      <c r="J511" s="151" t="n">
        <v>45073.9706365741</v>
      </c>
      <c r="K511" s="1" t="n">
        <v>4</v>
      </c>
      <c r="L511" s="144" t="n">
        <v>76</v>
      </c>
      <c r="M511" s="1" t="n">
        <v>12</v>
      </c>
      <c r="N511" s="1" t="n">
        <v>12</v>
      </c>
      <c r="O511" s="149" t="n">
        <v>49</v>
      </c>
    </row>
    <row r="512" customFormat="false" ht="14.25" hidden="false" customHeight="false" outlineLevel="0" collapsed="false">
      <c r="A512" s="1" t="n">
        <v>156</v>
      </c>
      <c r="B512" s="1" t="s">
        <v>476</v>
      </c>
      <c r="C512" s="143" t="n">
        <v>91601</v>
      </c>
      <c r="D512" s="143" t="s">
        <v>65</v>
      </c>
      <c r="E512" s="143" t="s">
        <v>474</v>
      </c>
      <c r="F512" s="144" t="n">
        <v>200025888566</v>
      </c>
      <c r="G512" s="144" t="s">
        <v>311</v>
      </c>
      <c r="H512" s="144" t="n">
        <v>76</v>
      </c>
      <c r="I512" s="144" t="s">
        <v>152</v>
      </c>
      <c r="J512" s="151" t="n">
        <v>45073.9870023148</v>
      </c>
      <c r="K512" s="1" t="n">
        <v>4</v>
      </c>
      <c r="L512" s="144" t="n">
        <v>76</v>
      </c>
      <c r="M512" s="1" t="n">
        <v>12</v>
      </c>
      <c r="N512" s="1" t="n">
        <v>12</v>
      </c>
      <c r="O512" s="149" t="n">
        <v>50</v>
      </c>
    </row>
    <row r="513" customFormat="false" ht="14.25" hidden="false" customHeight="false" outlineLevel="0" collapsed="false">
      <c r="A513" s="1" t="n">
        <v>157</v>
      </c>
      <c r="B513" s="1" t="s">
        <v>476</v>
      </c>
      <c r="C513" s="143" t="n">
        <v>91601</v>
      </c>
      <c r="D513" s="143" t="s">
        <v>65</v>
      </c>
      <c r="E513" s="143" t="s">
        <v>474</v>
      </c>
      <c r="F513" s="144" t="n">
        <v>200025888566</v>
      </c>
      <c r="G513" s="144" t="s">
        <v>311</v>
      </c>
      <c r="H513" s="144" t="n">
        <v>76</v>
      </c>
      <c r="I513" s="144" t="s">
        <v>152</v>
      </c>
      <c r="J513" s="151" t="n">
        <v>45073.9872800926</v>
      </c>
      <c r="K513" s="1" t="n">
        <v>1</v>
      </c>
      <c r="L513" s="144" t="n">
        <v>76</v>
      </c>
      <c r="M513" s="1" t="n">
        <v>12</v>
      </c>
      <c r="N513" s="1" t="n">
        <v>12</v>
      </c>
      <c r="O513" s="149" t="n">
        <v>51</v>
      </c>
    </row>
    <row r="514" customFormat="false" ht="14.25" hidden="false" customHeight="false" outlineLevel="0" collapsed="false">
      <c r="A514" s="1" t="n">
        <v>158</v>
      </c>
      <c r="B514" s="1" t="s">
        <v>476</v>
      </c>
      <c r="C514" s="143" t="n">
        <v>91601</v>
      </c>
      <c r="D514" s="143" t="s">
        <v>65</v>
      </c>
      <c r="E514" s="143" t="s">
        <v>474</v>
      </c>
      <c r="F514" s="144" t="n">
        <v>200025888566</v>
      </c>
      <c r="G514" s="144" t="s">
        <v>311</v>
      </c>
      <c r="H514" s="144" t="n">
        <v>76</v>
      </c>
      <c r="I514" s="144" t="s">
        <v>152</v>
      </c>
      <c r="J514" s="151" t="n">
        <v>45073.9950347222</v>
      </c>
      <c r="K514" s="1" t="n">
        <v>4</v>
      </c>
      <c r="L514" s="144" t="n">
        <v>76</v>
      </c>
      <c r="M514" s="1" t="n">
        <v>12</v>
      </c>
      <c r="N514" s="1" t="n">
        <v>12</v>
      </c>
      <c r="O514" s="149" t="n">
        <v>52</v>
      </c>
    </row>
    <row r="515" customFormat="false" ht="14.25" hidden="false" customHeight="false" outlineLevel="0" collapsed="false">
      <c r="A515" s="1" t="n">
        <v>159</v>
      </c>
      <c r="B515" s="1" t="s">
        <v>476</v>
      </c>
      <c r="C515" s="143" t="n">
        <v>91601</v>
      </c>
      <c r="D515" s="143" t="s">
        <v>65</v>
      </c>
      <c r="E515" s="143" t="s">
        <v>474</v>
      </c>
      <c r="F515" s="144" t="n">
        <v>200025888566</v>
      </c>
      <c r="G515" s="144" t="s">
        <v>311</v>
      </c>
      <c r="H515" s="144" t="n">
        <v>76</v>
      </c>
      <c r="I515" s="144" t="s">
        <v>152</v>
      </c>
      <c r="J515" s="151" t="n">
        <v>45073.9950578704</v>
      </c>
      <c r="K515" s="1" t="n">
        <v>2</v>
      </c>
      <c r="L515" s="144" t="n">
        <v>76</v>
      </c>
      <c r="M515" s="1" t="n">
        <v>12</v>
      </c>
      <c r="N515" s="1" t="n">
        <v>12</v>
      </c>
      <c r="O515" s="149" t="n">
        <v>53</v>
      </c>
    </row>
    <row r="516" customFormat="false" ht="14.25" hidden="false" customHeight="false" outlineLevel="0" collapsed="false">
      <c r="A516" s="1" t="n">
        <v>160</v>
      </c>
      <c r="B516" s="1" t="s">
        <v>476</v>
      </c>
      <c r="C516" s="143" t="n">
        <v>91601</v>
      </c>
      <c r="D516" s="143" t="s">
        <v>65</v>
      </c>
      <c r="E516" s="143" t="s">
        <v>474</v>
      </c>
      <c r="F516" s="144" t="n">
        <v>200025888566</v>
      </c>
      <c r="G516" s="144" t="s">
        <v>311</v>
      </c>
      <c r="H516" s="144" t="n">
        <v>76</v>
      </c>
      <c r="I516" s="144" t="s">
        <v>152</v>
      </c>
      <c r="J516" s="6" t="n">
        <v>45073.9962037037</v>
      </c>
      <c r="K516" s="1" t="n">
        <v>1</v>
      </c>
      <c r="L516" s="144" t="n">
        <v>76</v>
      </c>
      <c r="M516" s="1" t="n">
        <v>12</v>
      </c>
      <c r="N516" s="1" t="n">
        <v>12</v>
      </c>
      <c r="O516" s="149" t="n">
        <v>54</v>
      </c>
    </row>
    <row r="517" customFormat="false" ht="14.25" hidden="false" customHeight="false" outlineLevel="0" collapsed="false">
      <c r="A517" s="1" t="n">
        <v>161</v>
      </c>
      <c r="B517" s="1" t="s">
        <v>476</v>
      </c>
      <c r="C517" s="143" t="n">
        <v>91601</v>
      </c>
      <c r="D517" s="143" t="s">
        <v>65</v>
      </c>
      <c r="E517" s="143" t="s">
        <v>474</v>
      </c>
      <c r="F517" s="144" t="n">
        <v>200025888566</v>
      </c>
      <c r="G517" s="144" t="s">
        <v>311</v>
      </c>
      <c r="H517" s="144" t="n">
        <v>76</v>
      </c>
      <c r="I517" s="144" t="s">
        <v>152</v>
      </c>
      <c r="J517" s="6" t="n">
        <v>45073.9962268519</v>
      </c>
      <c r="K517" s="1" t="n">
        <v>8</v>
      </c>
      <c r="L517" s="144" t="n">
        <v>76</v>
      </c>
      <c r="M517" s="1" t="n">
        <v>12</v>
      </c>
      <c r="N517" s="1" t="n">
        <v>12</v>
      </c>
      <c r="O517" s="149" t="n">
        <v>55</v>
      </c>
    </row>
    <row r="518" customFormat="false" ht="14.25" hidden="false" customHeight="false" outlineLevel="0" collapsed="false">
      <c r="A518" s="1" t="n">
        <v>157</v>
      </c>
      <c r="B518" s="1" t="s">
        <v>477</v>
      </c>
      <c r="C518" s="143" t="s">
        <v>52</v>
      </c>
      <c r="D518" s="143" t="s">
        <v>53</v>
      </c>
      <c r="E518" s="143" t="s">
        <v>474</v>
      </c>
      <c r="F518" s="144" t="n">
        <v>200025888566</v>
      </c>
      <c r="G518" s="144" t="s">
        <v>311</v>
      </c>
      <c r="H518" s="144" t="n">
        <v>76</v>
      </c>
      <c r="I518" s="144" t="s">
        <v>152</v>
      </c>
      <c r="J518" s="152" t="n">
        <v>45074.0292708333</v>
      </c>
      <c r="K518" s="1" t="n">
        <v>2</v>
      </c>
      <c r="L518" s="144" t="n">
        <v>76</v>
      </c>
      <c r="M518" s="1" t="n">
        <v>12</v>
      </c>
      <c r="N518" s="1" t="n">
        <v>12</v>
      </c>
      <c r="O518" s="149" t="n">
        <v>56</v>
      </c>
    </row>
    <row r="519" customFormat="false" ht="14.25" hidden="false" customHeight="false" outlineLevel="0" collapsed="false">
      <c r="A519" s="1" t="n">
        <v>158</v>
      </c>
      <c r="B519" s="1" t="s">
        <v>477</v>
      </c>
      <c r="C519" s="143" t="s">
        <v>52</v>
      </c>
      <c r="D519" s="143" t="s">
        <v>53</v>
      </c>
      <c r="E519" s="143" t="s">
        <v>474</v>
      </c>
      <c r="F519" s="144" t="n">
        <v>200025888566</v>
      </c>
      <c r="G519" s="144" t="s">
        <v>311</v>
      </c>
      <c r="H519" s="144" t="n">
        <v>76</v>
      </c>
      <c r="I519" s="144" t="s">
        <v>152</v>
      </c>
      <c r="J519" s="152" t="n">
        <v>45074.0312037037</v>
      </c>
      <c r="K519" s="1" t="n">
        <v>1</v>
      </c>
      <c r="L519" s="144" t="n">
        <v>76</v>
      </c>
      <c r="M519" s="1" t="n">
        <v>12</v>
      </c>
      <c r="N519" s="1" t="n">
        <v>12</v>
      </c>
      <c r="O519" s="149" t="n">
        <v>57</v>
      </c>
    </row>
    <row r="520" customFormat="false" ht="14.25" hidden="false" customHeight="false" outlineLevel="0" collapsed="false">
      <c r="A520" s="1" t="n">
        <v>167</v>
      </c>
      <c r="B520" s="1" t="s">
        <v>476</v>
      </c>
      <c r="C520" s="143" t="n">
        <v>91601</v>
      </c>
      <c r="D520" s="143" t="s">
        <v>65</v>
      </c>
      <c r="E520" s="143" t="s">
        <v>474</v>
      </c>
      <c r="F520" s="144" t="n">
        <v>200025888566</v>
      </c>
      <c r="G520" s="144" t="s">
        <v>311</v>
      </c>
      <c r="H520" s="144" t="n">
        <v>76</v>
      </c>
      <c r="I520" s="144" t="s">
        <v>152</v>
      </c>
      <c r="J520" s="6" t="n">
        <v>45074.1189814815</v>
      </c>
      <c r="K520" s="1" t="n">
        <v>2</v>
      </c>
      <c r="L520" s="144" t="n">
        <v>76</v>
      </c>
      <c r="M520" s="1" t="n">
        <v>12</v>
      </c>
      <c r="N520" s="1" t="n">
        <v>12</v>
      </c>
      <c r="O520" s="149" t="n">
        <v>58</v>
      </c>
    </row>
    <row r="521" customFormat="false" ht="14.25" hidden="false" customHeight="false" outlineLevel="0" collapsed="false">
      <c r="A521" s="1" t="n">
        <v>36</v>
      </c>
      <c r="B521" s="1" t="s">
        <v>473</v>
      </c>
      <c r="C521" s="143" t="n">
        <v>11490</v>
      </c>
      <c r="D521" s="143" t="s">
        <v>65</v>
      </c>
      <c r="E521" s="143" t="s">
        <v>474</v>
      </c>
      <c r="F521" s="144" t="n">
        <v>200025888808</v>
      </c>
      <c r="G521" s="144" t="s">
        <v>258</v>
      </c>
      <c r="H521" s="144" t="n">
        <v>16</v>
      </c>
      <c r="I521" s="144" t="s">
        <v>152</v>
      </c>
      <c r="J521" s="148" t="n">
        <v>45055.9669444444</v>
      </c>
      <c r="K521" s="1" t="n">
        <v>1</v>
      </c>
      <c r="L521" s="144" t="n">
        <v>16</v>
      </c>
      <c r="M521" s="1" t="n">
        <v>13</v>
      </c>
      <c r="N521" s="1" t="n">
        <v>13</v>
      </c>
      <c r="O521" s="149" t="n">
        <v>1</v>
      </c>
    </row>
    <row r="522" customFormat="false" ht="14.25" hidden="false" customHeight="false" outlineLevel="0" collapsed="false">
      <c r="A522" s="1" t="n">
        <v>37</v>
      </c>
      <c r="B522" s="1" t="s">
        <v>473</v>
      </c>
      <c r="C522" s="143" t="n">
        <v>11490</v>
      </c>
      <c r="D522" s="143" t="s">
        <v>65</v>
      </c>
      <c r="E522" s="143" t="s">
        <v>474</v>
      </c>
      <c r="F522" s="144" t="n">
        <v>200025888808</v>
      </c>
      <c r="G522" s="144" t="s">
        <v>258</v>
      </c>
      <c r="H522" s="144" t="n">
        <v>16</v>
      </c>
      <c r="I522" s="144" t="s">
        <v>152</v>
      </c>
      <c r="J522" s="148" t="n">
        <v>45055.9669675926</v>
      </c>
      <c r="K522" s="1" t="n">
        <v>1</v>
      </c>
      <c r="L522" s="144" t="n">
        <v>16</v>
      </c>
      <c r="M522" s="1" t="n">
        <v>13</v>
      </c>
      <c r="N522" s="1" t="n">
        <v>13</v>
      </c>
      <c r="O522" s="149" t="n">
        <v>2</v>
      </c>
    </row>
    <row r="523" customFormat="false" ht="14.25" hidden="false" customHeight="false" outlineLevel="0" collapsed="false">
      <c r="A523" s="1" t="n">
        <v>381</v>
      </c>
      <c r="B523" s="1" t="s">
        <v>473</v>
      </c>
      <c r="C523" s="143" t="n">
        <v>11490</v>
      </c>
      <c r="D523" s="143" t="s">
        <v>65</v>
      </c>
      <c r="E523" s="143" t="s">
        <v>474</v>
      </c>
      <c r="F523" s="144" t="n">
        <v>200025888808</v>
      </c>
      <c r="G523" s="144" t="s">
        <v>258</v>
      </c>
      <c r="H523" s="144" t="n">
        <v>16</v>
      </c>
      <c r="I523" s="144" t="s">
        <v>152</v>
      </c>
      <c r="J523" s="148" t="n">
        <v>45057.7187962963</v>
      </c>
      <c r="K523" s="1" t="n">
        <v>2</v>
      </c>
      <c r="L523" s="144" t="n">
        <v>16</v>
      </c>
      <c r="M523" s="1" t="n">
        <v>13</v>
      </c>
      <c r="N523" s="1" t="n">
        <v>13</v>
      </c>
      <c r="O523" s="149" t="n">
        <v>3</v>
      </c>
    </row>
    <row r="524" customFormat="false" ht="14.25" hidden="false" customHeight="false" outlineLevel="0" collapsed="false">
      <c r="A524" s="1" t="n">
        <v>382</v>
      </c>
      <c r="B524" s="1" t="s">
        <v>473</v>
      </c>
      <c r="C524" s="143" t="n">
        <v>11490</v>
      </c>
      <c r="D524" s="143" t="s">
        <v>65</v>
      </c>
      <c r="E524" s="143" t="s">
        <v>474</v>
      </c>
      <c r="F524" s="144" t="n">
        <v>200025888808</v>
      </c>
      <c r="G524" s="144" t="s">
        <v>258</v>
      </c>
      <c r="H524" s="144" t="n">
        <v>16</v>
      </c>
      <c r="I524" s="144" t="s">
        <v>152</v>
      </c>
      <c r="J524" s="148" t="n">
        <v>45057.7188078704</v>
      </c>
      <c r="K524" s="1" t="n">
        <v>1</v>
      </c>
      <c r="L524" s="144" t="n">
        <v>16</v>
      </c>
      <c r="M524" s="1" t="n">
        <v>13</v>
      </c>
      <c r="N524" s="1" t="n">
        <v>13</v>
      </c>
      <c r="O524" s="149" t="n">
        <v>4</v>
      </c>
    </row>
    <row r="525" customFormat="false" ht="14.25" hidden="false" customHeight="false" outlineLevel="0" collapsed="false">
      <c r="A525" s="1" t="n">
        <v>269</v>
      </c>
      <c r="B525" s="1" t="s">
        <v>476</v>
      </c>
      <c r="C525" s="143" t="s">
        <v>58</v>
      </c>
      <c r="D525" s="143" t="s">
        <v>59</v>
      </c>
      <c r="E525" s="143" t="s">
        <v>474</v>
      </c>
      <c r="F525" s="144" t="n">
        <v>200025888808</v>
      </c>
      <c r="G525" s="144" t="s">
        <v>258</v>
      </c>
      <c r="H525" s="144" t="n">
        <v>16</v>
      </c>
      <c r="I525" s="144" t="s">
        <v>152</v>
      </c>
      <c r="J525" s="148" t="n">
        <v>45057.7278703704</v>
      </c>
      <c r="K525" s="1" t="n">
        <v>2</v>
      </c>
      <c r="L525" s="144" t="n">
        <v>16</v>
      </c>
      <c r="M525" s="1" t="n">
        <v>13</v>
      </c>
      <c r="N525" s="1" t="n">
        <v>13</v>
      </c>
      <c r="O525" s="149" t="n">
        <v>5</v>
      </c>
    </row>
    <row r="526" customFormat="false" ht="14.25" hidden="false" customHeight="false" outlineLevel="0" collapsed="false">
      <c r="A526" s="1" t="n">
        <v>263</v>
      </c>
      <c r="B526" s="1" t="s">
        <v>475</v>
      </c>
      <c r="C526" s="143" t="s">
        <v>52</v>
      </c>
      <c r="D526" s="143" t="s">
        <v>53</v>
      </c>
      <c r="E526" s="143" t="s">
        <v>474</v>
      </c>
      <c r="F526" s="144" t="n">
        <v>200025888808</v>
      </c>
      <c r="G526" s="144" t="s">
        <v>258</v>
      </c>
      <c r="H526" s="144" t="n">
        <v>16</v>
      </c>
      <c r="I526" s="144" t="s">
        <v>152</v>
      </c>
      <c r="J526" s="148" t="n">
        <v>45057.8510416667</v>
      </c>
      <c r="K526" s="1" t="n">
        <v>0</v>
      </c>
      <c r="L526" s="144" t="n">
        <v>16</v>
      </c>
      <c r="M526" s="1" t="n">
        <v>13</v>
      </c>
      <c r="N526" s="1" t="n">
        <v>13</v>
      </c>
      <c r="O526" s="149" t="n">
        <v>6</v>
      </c>
    </row>
    <row r="527" customFormat="false" ht="14.25" hidden="false" customHeight="false" outlineLevel="0" collapsed="false">
      <c r="A527" s="1" t="n">
        <v>270</v>
      </c>
      <c r="B527" s="1" t="s">
        <v>476</v>
      </c>
      <c r="C527" s="143" t="s">
        <v>58</v>
      </c>
      <c r="D527" s="143" t="s">
        <v>59</v>
      </c>
      <c r="E527" s="143" t="s">
        <v>474</v>
      </c>
      <c r="F527" s="144" t="n">
        <v>200025888808</v>
      </c>
      <c r="G527" s="144" t="s">
        <v>258</v>
      </c>
      <c r="H527" s="144" t="n">
        <v>16</v>
      </c>
      <c r="I527" s="144" t="s">
        <v>152</v>
      </c>
      <c r="J527" s="148" t="n">
        <v>45057.8912962963</v>
      </c>
      <c r="K527" s="1" t="n">
        <v>2</v>
      </c>
      <c r="L527" s="144" t="n">
        <v>16</v>
      </c>
      <c r="M527" s="1" t="n">
        <v>13</v>
      </c>
      <c r="N527" s="1" t="n">
        <v>13</v>
      </c>
      <c r="O527" s="149" t="n">
        <v>7</v>
      </c>
    </row>
    <row r="528" customFormat="false" ht="14.25" hidden="false" customHeight="false" outlineLevel="0" collapsed="false">
      <c r="A528" s="1" t="n">
        <v>271</v>
      </c>
      <c r="B528" s="1" t="s">
        <v>476</v>
      </c>
      <c r="C528" s="143" t="s">
        <v>58</v>
      </c>
      <c r="D528" s="143" t="s">
        <v>59</v>
      </c>
      <c r="E528" s="143" t="s">
        <v>474</v>
      </c>
      <c r="F528" s="144" t="n">
        <v>200025888808</v>
      </c>
      <c r="G528" s="144" t="s">
        <v>258</v>
      </c>
      <c r="H528" s="144" t="n">
        <v>16</v>
      </c>
      <c r="I528" s="144" t="s">
        <v>152</v>
      </c>
      <c r="J528" s="148" t="n">
        <v>45057.8948263889</v>
      </c>
      <c r="K528" s="1" t="n">
        <v>1</v>
      </c>
      <c r="L528" s="144" t="n">
        <v>16</v>
      </c>
      <c r="M528" s="1" t="n">
        <v>13</v>
      </c>
      <c r="N528" s="1" t="n">
        <v>13</v>
      </c>
      <c r="O528" s="149" t="n">
        <v>8</v>
      </c>
    </row>
    <row r="529" customFormat="false" ht="14.25" hidden="false" customHeight="false" outlineLevel="0" collapsed="false">
      <c r="A529" s="1" t="n">
        <v>272</v>
      </c>
      <c r="B529" s="1" t="s">
        <v>476</v>
      </c>
      <c r="C529" s="143" t="s">
        <v>58</v>
      </c>
      <c r="D529" s="143" t="s">
        <v>59</v>
      </c>
      <c r="E529" s="143" t="s">
        <v>474</v>
      </c>
      <c r="F529" s="144" t="n">
        <v>200025888808</v>
      </c>
      <c r="G529" s="144" t="s">
        <v>258</v>
      </c>
      <c r="H529" s="144" t="n">
        <v>16</v>
      </c>
      <c r="I529" s="144" t="s">
        <v>152</v>
      </c>
      <c r="J529" s="148" t="n">
        <v>45057.8952546296</v>
      </c>
      <c r="K529" s="1" t="n">
        <v>3</v>
      </c>
      <c r="L529" s="144" t="n">
        <v>16</v>
      </c>
      <c r="M529" s="1" t="n">
        <v>13</v>
      </c>
      <c r="N529" s="1" t="n">
        <v>13</v>
      </c>
      <c r="O529" s="149" t="n">
        <v>9</v>
      </c>
    </row>
    <row r="530" customFormat="false" ht="14.25" hidden="false" customHeight="false" outlineLevel="0" collapsed="false">
      <c r="A530" s="1" t="n">
        <v>273</v>
      </c>
      <c r="B530" s="1" t="s">
        <v>476</v>
      </c>
      <c r="C530" s="143" t="s">
        <v>58</v>
      </c>
      <c r="D530" s="143" t="s">
        <v>59</v>
      </c>
      <c r="E530" s="143" t="s">
        <v>474</v>
      </c>
      <c r="F530" s="144" t="n">
        <v>200025888808</v>
      </c>
      <c r="G530" s="144" t="s">
        <v>258</v>
      </c>
      <c r="H530" s="144" t="n">
        <v>16</v>
      </c>
      <c r="I530" s="144" t="s">
        <v>152</v>
      </c>
      <c r="J530" s="148" t="n">
        <v>45057.8961111111</v>
      </c>
      <c r="K530" s="1" t="n">
        <v>2</v>
      </c>
      <c r="L530" s="144" t="n">
        <v>16</v>
      </c>
      <c r="M530" s="1" t="n">
        <v>13</v>
      </c>
      <c r="N530" s="1" t="n">
        <v>13</v>
      </c>
      <c r="O530" s="149" t="n">
        <v>10</v>
      </c>
    </row>
    <row r="531" customFormat="false" ht="14.25" hidden="false" customHeight="false" outlineLevel="0" collapsed="false">
      <c r="A531" s="1" t="n">
        <v>274</v>
      </c>
      <c r="B531" s="1" t="s">
        <v>476</v>
      </c>
      <c r="C531" s="143" t="s">
        <v>58</v>
      </c>
      <c r="D531" s="143" t="s">
        <v>59</v>
      </c>
      <c r="E531" s="143" t="s">
        <v>474</v>
      </c>
      <c r="F531" s="144" t="n">
        <v>200025888808</v>
      </c>
      <c r="G531" s="144" t="s">
        <v>258</v>
      </c>
      <c r="H531" s="144" t="n">
        <v>16</v>
      </c>
      <c r="I531" s="144" t="s">
        <v>152</v>
      </c>
      <c r="J531" s="148" t="n">
        <v>45057.8966435185</v>
      </c>
      <c r="K531" s="1" t="n">
        <v>3</v>
      </c>
      <c r="L531" s="144" t="n">
        <v>16</v>
      </c>
      <c r="M531" s="1" t="n">
        <v>13</v>
      </c>
      <c r="N531" s="1" t="n">
        <v>13</v>
      </c>
      <c r="O531" s="149" t="n">
        <v>11</v>
      </c>
    </row>
    <row r="532" customFormat="false" ht="14.25" hidden="false" customHeight="false" outlineLevel="0" collapsed="false">
      <c r="A532" s="1" t="n">
        <v>275</v>
      </c>
      <c r="B532" s="1" t="s">
        <v>476</v>
      </c>
      <c r="C532" s="143" t="s">
        <v>58</v>
      </c>
      <c r="D532" s="143" t="s">
        <v>59</v>
      </c>
      <c r="E532" s="143" t="s">
        <v>474</v>
      </c>
      <c r="F532" s="144" t="n">
        <v>200025888808</v>
      </c>
      <c r="G532" s="144" t="s">
        <v>258</v>
      </c>
      <c r="H532" s="144" t="n">
        <v>16</v>
      </c>
      <c r="I532" s="144" t="s">
        <v>152</v>
      </c>
      <c r="J532" s="148" t="n">
        <v>45057.8998263889</v>
      </c>
      <c r="K532" s="1" t="n">
        <v>1</v>
      </c>
      <c r="L532" s="144" t="n">
        <v>16</v>
      </c>
      <c r="M532" s="1" t="n">
        <v>13</v>
      </c>
      <c r="N532" s="1" t="n">
        <v>13</v>
      </c>
      <c r="O532" s="149" t="n">
        <v>12</v>
      </c>
    </row>
    <row r="533" customFormat="false" ht="14.25" hidden="false" customHeight="false" outlineLevel="0" collapsed="false">
      <c r="A533" s="1" t="n">
        <v>278</v>
      </c>
      <c r="B533" s="1" t="s">
        <v>476</v>
      </c>
      <c r="C533" s="143" t="s">
        <v>58</v>
      </c>
      <c r="D533" s="143" t="s">
        <v>59</v>
      </c>
      <c r="E533" s="143" t="s">
        <v>474</v>
      </c>
      <c r="F533" s="144" t="n">
        <v>200025888808</v>
      </c>
      <c r="G533" s="144" t="s">
        <v>258</v>
      </c>
      <c r="H533" s="144" t="n">
        <v>16</v>
      </c>
      <c r="I533" s="144" t="s">
        <v>152</v>
      </c>
      <c r="J533" s="148" t="n">
        <v>45057.9018055556</v>
      </c>
      <c r="K533" s="1" t="n">
        <v>2</v>
      </c>
      <c r="L533" s="144" t="n">
        <v>16</v>
      </c>
      <c r="M533" s="1" t="n">
        <v>13</v>
      </c>
      <c r="N533" s="1" t="n">
        <v>13</v>
      </c>
      <c r="O533" s="149" t="n">
        <v>13</v>
      </c>
    </row>
    <row r="534" customFormat="false" ht="14.25" hidden="false" customHeight="false" outlineLevel="0" collapsed="false">
      <c r="A534" s="1" t="n">
        <v>279</v>
      </c>
      <c r="B534" s="1" t="s">
        <v>476</v>
      </c>
      <c r="C534" s="143" t="s">
        <v>58</v>
      </c>
      <c r="D534" s="143" t="s">
        <v>59</v>
      </c>
      <c r="E534" s="143" t="s">
        <v>474</v>
      </c>
      <c r="F534" s="144" t="n">
        <v>200025888808</v>
      </c>
      <c r="G534" s="144" t="s">
        <v>258</v>
      </c>
      <c r="H534" s="144" t="n">
        <v>16</v>
      </c>
      <c r="I534" s="144" t="s">
        <v>152</v>
      </c>
      <c r="J534" s="148" t="n">
        <v>45057.9024421296</v>
      </c>
      <c r="K534" s="1" t="n">
        <v>2</v>
      </c>
      <c r="L534" s="144" t="n">
        <v>16</v>
      </c>
      <c r="M534" s="1" t="n">
        <v>13</v>
      </c>
      <c r="N534" s="1" t="n">
        <v>13</v>
      </c>
      <c r="O534" s="149" t="n">
        <v>14</v>
      </c>
    </row>
    <row r="535" customFormat="false" ht="14.25" hidden="false" customHeight="false" outlineLevel="0" collapsed="false">
      <c r="A535" s="1" t="n">
        <v>280</v>
      </c>
      <c r="B535" s="1" t="s">
        <v>476</v>
      </c>
      <c r="C535" s="143" t="s">
        <v>58</v>
      </c>
      <c r="D535" s="143" t="s">
        <v>59</v>
      </c>
      <c r="E535" s="143" t="s">
        <v>474</v>
      </c>
      <c r="F535" s="144" t="n">
        <v>200025888808</v>
      </c>
      <c r="G535" s="144" t="s">
        <v>258</v>
      </c>
      <c r="H535" s="144" t="n">
        <v>16</v>
      </c>
      <c r="I535" s="144" t="s">
        <v>152</v>
      </c>
      <c r="J535" s="148" t="n">
        <v>45057.9031712963</v>
      </c>
      <c r="K535" s="1" t="n">
        <v>2</v>
      </c>
      <c r="L535" s="144" t="n">
        <v>16</v>
      </c>
      <c r="M535" s="1" t="n">
        <v>13</v>
      </c>
      <c r="N535" s="1" t="n">
        <v>13</v>
      </c>
      <c r="O535" s="149" t="n">
        <v>15</v>
      </c>
    </row>
    <row r="536" customFormat="false" ht="14.25" hidden="false" customHeight="false" outlineLevel="0" collapsed="false">
      <c r="A536" s="1" t="n">
        <v>284</v>
      </c>
      <c r="B536" s="1" t="s">
        <v>476</v>
      </c>
      <c r="C536" s="143" t="s">
        <v>58</v>
      </c>
      <c r="D536" s="143" t="s">
        <v>59</v>
      </c>
      <c r="E536" s="143" t="s">
        <v>474</v>
      </c>
      <c r="F536" s="144" t="n">
        <v>200025888808</v>
      </c>
      <c r="G536" s="144" t="s">
        <v>258</v>
      </c>
      <c r="H536" s="144" t="n">
        <v>16</v>
      </c>
      <c r="I536" s="144" t="s">
        <v>152</v>
      </c>
      <c r="J536" s="148" t="n">
        <v>45057.9054050926</v>
      </c>
      <c r="K536" s="1" t="n">
        <v>3</v>
      </c>
      <c r="L536" s="144" t="n">
        <v>16</v>
      </c>
      <c r="M536" s="1" t="n">
        <v>13</v>
      </c>
      <c r="N536" s="1" t="n">
        <v>13</v>
      </c>
      <c r="O536" s="149" t="n">
        <v>16</v>
      </c>
    </row>
    <row r="537" customFormat="false" ht="14.25" hidden="false" customHeight="false" outlineLevel="0" collapsed="false">
      <c r="A537" s="1" t="n">
        <v>285</v>
      </c>
      <c r="B537" s="1" t="s">
        <v>476</v>
      </c>
      <c r="C537" s="143" t="s">
        <v>58</v>
      </c>
      <c r="D537" s="143" t="s">
        <v>59</v>
      </c>
      <c r="E537" s="143" t="s">
        <v>474</v>
      </c>
      <c r="F537" s="144" t="n">
        <v>200025888808</v>
      </c>
      <c r="G537" s="144" t="s">
        <v>258</v>
      </c>
      <c r="H537" s="144" t="n">
        <v>16</v>
      </c>
      <c r="I537" s="144" t="s">
        <v>152</v>
      </c>
      <c r="J537" s="148" t="n">
        <v>45057.9061226852</v>
      </c>
      <c r="K537" s="1" t="n">
        <v>0</v>
      </c>
      <c r="L537" s="144" t="n">
        <v>16</v>
      </c>
      <c r="M537" s="1" t="n">
        <v>13</v>
      </c>
      <c r="N537" s="1" t="n">
        <v>13</v>
      </c>
      <c r="O537" s="149" t="n">
        <v>17</v>
      </c>
    </row>
    <row r="538" customFormat="false" ht="14.25" hidden="false" customHeight="false" outlineLevel="0" collapsed="false">
      <c r="A538" s="1" t="n">
        <v>286</v>
      </c>
      <c r="B538" s="1" t="s">
        <v>476</v>
      </c>
      <c r="C538" s="143" t="s">
        <v>58</v>
      </c>
      <c r="D538" s="143" t="s">
        <v>59</v>
      </c>
      <c r="E538" s="143" t="s">
        <v>474</v>
      </c>
      <c r="F538" s="144" t="n">
        <v>200025888808</v>
      </c>
      <c r="G538" s="144" t="s">
        <v>258</v>
      </c>
      <c r="H538" s="144" t="n">
        <v>16</v>
      </c>
      <c r="I538" s="144" t="s">
        <v>152</v>
      </c>
      <c r="J538" s="148" t="n">
        <v>45057.907025463</v>
      </c>
      <c r="K538" s="1" t="n">
        <v>0</v>
      </c>
      <c r="L538" s="144" t="n">
        <v>16</v>
      </c>
      <c r="M538" s="1" t="n">
        <v>13</v>
      </c>
      <c r="N538" s="1" t="n">
        <v>13</v>
      </c>
      <c r="O538" s="149" t="n">
        <v>18</v>
      </c>
    </row>
    <row r="539" customFormat="false" ht="14.25" hidden="false" customHeight="false" outlineLevel="0" collapsed="false">
      <c r="A539" s="1" t="n">
        <v>287</v>
      </c>
      <c r="B539" s="1" t="s">
        <v>476</v>
      </c>
      <c r="C539" s="143" t="s">
        <v>58</v>
      </c>
      <c r="D539" s="143" t="s">
        <v>59</v>
      </c>
      <c r="E539" s="143" t="s">
        <v>474</v>
      </c>
      <c r="F539" s="144" t="n">
        <v>200025888808</v>
      </c>
      <c r="G539" s="144" t="s">
        <v>258</v>
      </c>
      <c r="H539" s="144" t="n">
        <v>16</v>
      </c>
      <c r="I539" s="144" t="s">
        <v>152</v>
      </c>
      <c r="J539" s="148" t="n">
        <v>45057.9073611111</v>
      </c>
      <c r="K539" s="1" t="n">
        <v>2</v>
      </c>
      <c r="L539" s="144" t="n">
        <v>16</v>
      </c>
      <c r="M539" s="1" t="n">
        <v>13</v>
      </c>
      <c r="N539" s="1" t="n">
        <v>13</v>
      </c>
      <c r="O539" s="149" t="n">
        <v>19</v>
      </c>
    </row>
    <row r="540" customFormat="false" ht="14.25" hidden="false" customHeight="false" outlineLevel="0" collapsed="false">
      <c r="A540" s="1" t="n">
        <v>288</v>
      </c>
      <c r="B540" s="1" t="s">
        <v>476</v>
      </c>
      <c r="C540" s="143" t="s">
        <v>58</v>
      </c>
      <c r="D540" s="143" t="s">
        <v>59</v>
      </c>
      <c r="E540" s="143" t="s">
        <v>474</v>
      </c>
      <c r="F540" s="144" t="n">
        <v>200025888808</v>
      </c>
      <c r="G540" s="144" t="s">
        <v>258</v>
      </c>
      <c r="H540" s="144" t="n">
        <v>16</v>
      </c>
      <c r="I540" s="144" t="s">
        <v>152</v>
      </c>
      <c r="J540" s="148" t="n">
        <v>45057.9086921296</v>
      </c>
      <c r="K540" s="1" t="n">
        <v>0</v>
      </c>
      <c r="L540" s="144" t="n">
        <v>16</v>
      </c>
      <c r="M540" s="1" t="n">
        <v>13</v>
      </c>
      <c r="N540" s="1" t="n">
        <v>13</v>
      </c>
      <c r="O540" s="149" t="n">
        <v>20</v>
      </c>
    </row>
    <row r="541" customFormat="false" ht="14.25" hidden="false" customHeight="false" outlineLevel="0" collapsed="false">
      <c r="A541" s="1" t="n">
        <v>289</v>
      </c>
      <c r="B541" s="1" t="s">
        <v>476</v>
      </c>
      <c r="C541" s="143" t="s">
        <v>58</v>
      </c>
      <c r="D541" s="143" t="s">
        <v>59</v>
      </c>
      <c r="E541" s="143" t="s">
        <v>474</v>
      </c>
      <c r="F541" s="144" t="n">
        <v>200025888808</v>
      </c>
      <c r="G541" s="144" t="s">
        <v>258</v>
      </c>
      <c r="H541" s="144" t="n">
        <v>16</v>
      </c>
      <c r="I541" s="144" t="s">
        <v>152</v>
      </c>
      <c r="J541" s="148" t="n">
        <v>45057.9104861111</v>
      </c>
      <c r="K541" s="1" t="n">
        <v>0</v>
      </c>
      <c r="L541" s="144" t="n">
        <v>16</v>
      </c>
      <c r="M541" s="1" t="n">
        <v>13</v>
      </c>
      <c r="N541" s="1" t="n">
        <v>13</v>
      </c>
      <c r="O541" s="149" t="n">
        <v>21</v>
      </c>
    </row>
    <row r="542" customFormat="false" ht="14.25" hidden="false" customHeight="false" outlineLevel="0" collapsed="false">
      <c r="A542" s="1" t="n">
        <v>290</v>
      </c>
      <c r="B542" s="1" t="s">
        <v>476</v>
      </c>
      <c r="C542" s="143" t="s">
        <v>58</v>
      </c>
      <c r="D542" s="143" t="s">
        <v>59</v>
      </c>
      <c r="E542" s="143" t="s">
        <v>474</v>
      </c>
      <c r="F542" s="144" t="n">
        <v>200025888808</v>
      </c>
      <c r="G542" s="144" t="s">
        <v>258</v>
      </c>
      <c r="H542" s="144" t="n">
        <v>16</v>
      </c>
      <c r="I542" s="144" t="s">
        <v>152</v>
      </c>
      <c r="J542" s="148" t="n">
        <v>45057.9108101852</v>
      </c>
      <c r="K542" s="1" t="n">
        <v>2</v>
      </c>
      <c r="L542" s="144" t="n">
        <v>16</v>
      </c>
      <c r="M542" s="1" t="n">
        <v>13</v>
      </c>
      <c r="N542" s="1" t="n">
        <v>13</v>
      </c>
      <c r="O542" s="149" t="n">
        <v>22</v>
      </c>
    </row>
    <row r="543" customFormat="false" ht="14.25" hidden="false" customHeight="false" outlineLevel="0" collapsed="false">
      <c r="A543" s="1" t="n">
        <v>291</v>
      </c>
      <c r="B543" s="1" t="s">
        <v>476</v>
      </c>
      <c r="C543" s="143" t="s">
        <v>58</v>
      </c>
      <c r="D543" s="143" t="s">
        <v>59</v>
      </c>
      <c r="E543" s="143" t="s">
        <v>474</v>
      </c>
      <c r="F543" s="144" t="n">
        <v>200025888808</v>
      </c>
      <c r="G543" s="144" t="s">
        <v>258</v>
      </c>
      <c r="H543" s="144" t="n">
        <v>16</v>
      </c>
      <c r="I543" s="144" t="s">
        <v>152</v>
      </c>
      <c r="J543" s="148" t="n">
        <v>45057.9108217593</v>
      </c>
      <c r="K543" s="1" t="n">
        <v>0</v>
      </c>
      <c r="L543" s="144" t="n">
        <v>16</v>
      </c>
      <c r="M543" s="1" t="n">
        <v>13</v>
      </c>
      <c r="N543" s="1" t="n">
        <v>13</v>
      </c>
      <c r="O543" s="149" t="n">
        <v>23</v>
      </c>
    </row>
    <row r="544" customFormat="false" ht="14.25" hidden="false" customHeight="false" outlineLevel="0" collapsed="false">
      <c r="A544" s="1" t="n">
        <v>292</v>
      </c>
      <c r="B544" s="1" t="s">
        <v>476</v>
      </c>
      <c r="C544" s="143" t="s">
        <v>58</v>
      </c>
      <c r="D544" s="143" t="s">
        <v>59</v>
      </c>
      <c r="E544" s="143" t="s">
        <v>474</v>
      </c>
      <c r="F544" s="144" t="n">
        <v>200025888808</v>
      </c>
      <c r="G544" s="144" t="s">
        <v>258</v>
      </c>
      <c r="H544" s="144" t="n">
        <v>16</v>
      </c>
      <c r="I544" s="144" t="s">
        <v>152</v>
      </c>
      <c r="J544" s="148" t="n">
        <v>45057.9112962963</v>
      </c>
      <c r="K544" s="1" t="n">
        <v>1</v>
      </c>
      <c r="L544" s="144" t="n">
        <v>16</v>
      </c>
      <c r="M544" s="1" t="n">
        <v>13</v>
      </c>
      <c r="N544" s="1" t="n">
        <v>13</v>
      </c>
      <c r="O544" s="149" t="n">
        <v>24</v>
      </c>
    </row>
    <row r="545" customFormat="false" ht="14.25" hidden="false" customHeight="false" outlineLevel="0" collapsed="false">
      <c r="A545" s="1" t="n">
        <v>293</v>
      </c>
      <c r="B545" s="1" t="s">
        <v>476</v>
      </c>
      <c r="C545" s="143" t="s">
        <v>58</v>
      </c>
      <c r="D545" s="143" t="s">
        <v>59</v>
      </c>
      <c r="E545" s="143" t="s">
        <v>474</v>
      </c>
      <c r="F545" s="144" t="n">
        <v>200025888808</v>
      </c>
      <c r="G545" s="144" t="s">
        <v>258</v>
      </c>
      <c r="H545" s="144" t="n">
        <v>16</v>
      </c>
      <c r="I545" s="144" t="s">
        <v>152</v>
      </c>
      <c r="J545" s="148" t="n">
        <v>45057.9266666667</v>
      </c>
      <c r="K545" s="1" t="n">
        <v>1</v>
      </c>
      <c r="L545" s="144" t="n">
        <v>16</v>
      </c>
      <c r="M545" s="1" t="n">
        <v>13</v>
      </c>
      <c r="N545" s="1" t="n">
        <v>13</v>
      </c>
      <c r="O545" s="149" t="n">
        <v>25</v>
      </c>
    </row>
    <row r="546" customFormat="false" ht="14.25" hidden="false" customHeight="false" outlineLevel="0" collapsed="false">
      <c r="A546" s="1" t="n">
        <v>294</v>
      </c>
      <c r="B546" s="1" t="s">
        <v>476</v>
      </c>
      <c r="C546" s="143" t="s">
        <v>58</v>
      </c>
      <c r="D546" s="143" t="s">
        <v>59</v>
      </c>
      <c r="E546" s="143" t="s">
        <v>474</v>
      </c>
      <c r="F546" s="144" t="n">
        <v>200025888808</v>
      </c>
      <c r="G546" s="144" t="s">
        <v>258</v>
      </c>
      <c r="H546" s="144" t="n">
        <v>16</v>
      </c>
      <c r="I546" s="144" t="s">
        <v>152</v>
      </c>
      <c r="J546" s="148" t="n">
        <v>45057.9269212963</v>
      </c>
      <c r="K546" s="1" t="n">
        <v>2</v>
      </c>
      <c r="L546" s="144" t="n">
        <v>16</v>
      </c>
      <c r="M546" s="1" t="n">
        <v>13</v>
      </c>
      <c r="N546" s="1" t="n">
        <v>13</v>
      </c>
      <c r="O546" s="149" t="n">
        <v>26</v>
      </c>
    </row>
    <row r="547" customFormat="false" ht="14.25" hidden="false" customHeight="false" outlineLevel="0" collapsed="false">
      <c r="A547" s="1" t="n">
        <v>295</v>
      </c>
      <c r="B547" s="1" t="s">
        <v>476</v>
      </c>
      <c r="C547" s="143" t="s">
        <v>58</v>
      </c>
      <c r="D547" s="143" t="s">
        <v>59</v>
      </c>
      <c r="E547" s="143" t="s">
        <v>474</v>
      </c>
      <c r="F547" s="144" t="n">
        <v>200025888808</v>
      </c>
      <c r="G547" s="144" t="s">
        <v>258</v>
      </c>
      <c r="H547" s="144" t="n">
        <v>16</v>
      </c>
      <c r="I547" s="144" t="s">
        <v>152</v>
      </c>
      <c r="J547" s="148" t="n">
        <v>45057.9278935185</v>
      </c>
      <c r="K547" s="1" t="n">
        <v>1</v>
      </c>
      <c r="L547" s="144" t="n">
        <v>16</v>
      </c>
      <c r="M547" s="1" t="n">
        <v>13</v>
      </c>
      <c r="N547" s="1" t="n">
        <v>13</v>
      </c>
      <c r="O547" s="149" t="n">
        <v>27</v>
      </c>
    </row>
    <row r="548" customFormat="false" ht="14.25" hidden="false" customHeight="false" outlineLevel="0" collapsed="false">
      <c r="A548" s="1" t="n">
        <v>296</v>
      </c>
      <c r="B548" s="1" t="s">
        <v>476</v>
      </c>
      <c r="C548" s="143" t="s">
        <v>58</v>
      </c>
      <c r="D548" s="143" t="s">
        <v>59</v>
      </c>
      <c r="E548" s="143" t="s">
        <v>474</v>
      </c>
      <c r="F548" s="144" t="n">
        <v>200025888808</v>
      </c>
      <c r="G548" s="144" t="s">
        <v>258</v>
      </c>
      <c r="H548" s="144" t="n">
        <v>16</v>
      </c>
      <c r="I548" s="144" t="s">
        <v>152</v>
      </c>
      <c r="J548" s="148" t="n">
        <v>45057.9292592593</v>
      </c>
      <c r="K548" s="1" t="n">
        <v>1</v>
      </c>
      <c r="L548" s="144" t="n">
        <v>16</v>
      </c>
      <c r="M548" s="1" t="n">
        <v>13</v>
      </c>
      <c r="N548" s="1" t="n">
        <v>13</v>
      </c>
      <c r="O548" s="149" t="n">
        <v>28</v>
      </c>
    </row>
    <row r="549" customFormat="false" ht="14.25" hidden="false" customHeight="false" outlineLevel="0" collapsed="false">
      <c r="A549" s="1" t="n">
        <v>297</v>
      </c>
      <c r="B549" s="1" t="s">
        <v>476</v>
      </c>
      <c r="C549" s="143" t="s">
        <v>58</v>
      </c>
      <c r="D549" s="143" t="s">
        <v>59</v>
      </c>
      <c r="E549" s="143" t="s">
        <v>474</v>
      </c>
      <c r="F549" s="144" t="n">
        <v>200025888808</v>
      </c>
      <c r="G549" s="144" t="s">
        <v>258</v>
      </c>
      <c r="H549" s="144" t="n">
        <v>16</v>
      </c>
      <c r="I549" s="144" t="s">
        <v>152</v>
      </c>
      <c r="J549" s="148" t="n">
        <v>45057.9297222222</v>
      </c>
      <c r="K549" s="1" t="n">
        <v>1</v>
      </c>
      <c r="L549" s="144" t="n">
        <v>16</v>
      </c>
      <c r="M549" s="1" t="n">
        <v>13</v>
      </c>
      <c r="N549" s="1" t="n">
        <v>13</v>
      </c>
      <c r="O549" s="149" t="n">
        <v>29</v>
      </c>
    </row>
    <row r="550" customFormat="false" ht="14.25" hidden="false" customHeight="false" outlineLevel="0" collapsed="false">
      <c r="A550" s="1" t="n">
        <v>298</v>
      </c>
      <c r="B550" s="1" t="s">
        <v>476</v>
      </c>
      <c r="C550" s="143" t="s">
        <v>58</v>
      </c>
      <c r="D550" s="143" t="s">
        <v>59</v>
      </c>
      <c r="E550" s="143" t="s">
        <v>474</v>
      </c>
      <c r="F550" s="144" t="n">
        <v>200025888808</v>
      </c>
      <c r="G550" s="144" t="s">
        <v>258</v>
      </c>
      <c r="H550" s="144" t="n">
        <v>16</v>
      </c>
      <c r="I550" s="144" t="s">
        <v>152</v>
      </c>
      <c r="J550" s="148" t="n">
        <v>45057.9321296296</v>
      </c>
      <c r="K550" s="1" t="n">
        <v>1</v>
      </c>
      <c r="L550" s="144" t="n">
        <v>16</v>
      </c>
      <c r="M550" s="1" t="n">
        <v>13</v>
      </c>
      <c r="N550" s="1" t="n">
        <v>13</v>
      </c>
      <c r="O550" s="149" t="n">
        <v>30</v>
      </c>
    </row>
    <row r="551" customFormat="false" ht="14.25" hidden="false" customHeight="false" outlineLevel="0" collapsed="false">
      <c r="A551" s="1" t="n">
        <v>299</v>
      </c>
      <c r="B551" s="1" t="s">
        <v>476</v>
      </c>
      <c r="C551" s="143" t="s">
        <v>58</v>
      </c>
      <c r="D551" s="143" t="s">
        <v>59</v>
      </c>
      <c r="E551" s="143" t="s">
        <v>474</v>
      </c>
      <c r="F551" s="144" t="n">
        <v>200025888808</v>
      </c>
      <c r="G551" s="144" t="s">
        <v>258</v>
      </c>
      <c r="H551" s="144" t="n">
        <v>16</v>
      </c>
      <c r="I551" s="144" t="s">
        <v>152</v>
      </c>
      <c r="J551" s="148" t="n">
        <v>45057.9322916667</v>
      </c>
      <c r="K551" s="1" t="n">
        <v>2</v>
      </c>
      <c r="L551" s="144" t="n">
        <v>16</v>
      </c>
      <c r="M551" s="1" t="n">
        <v>13</v>
      </c>
      <c r="N551" s="1" t="n">
        <v>13</v>
      </c>
      <c r="O551" s="149" t="n">
        <v>31</v>
      </c>
    </row>
    <row r="552" customFormat="false" ht="14.25" hidden="false" customHeight="false" outlineLevel="0" collapsed="false">
      <c r="A552" s="1" t="n">
        <v>300</v>
      </c>
      <c r="B552" s="1" t="s">
        <v>476</v>
      </c>
      <c r="C552" s="143" t="s">
        <v>58</v>
      </c>
      <c r="D552" s="143" t="s">
        <v>59</v>
      </c>
      <c r="E552" s="143" t="s">
        <v>474</v>
      </c>
      <c r="F552" s="144" t="n">
        <v>200025888808</v>
      </c>
      <c r="G552" s="144" t="s">
        <v>258</v>
      </c>
      <c r="H552" s="144" t="n">
        <v>16</v>
      </c>
      <c r="I552" s="144" t="s">
        <v>152</v>
      </c>
      <c r="J552" s="148" t="n">
        <v>45057.9325</v>
      </c>
      <c r="K552" s="1" t="n">
        <v>1</v>
      </c>
      <c r="L552" s="144" t="n">
        <v>16</v>
      </c>
      <c r="M552" s="1" t="n">
        <v>13</v>
      </c>
      <c r="N552" s="1" t="n">
        <v>13</v>
      </c>
      <c r="O552" s="149" t="n">
        <v>32</v>
      </c>
    </row>
    <row r="553" customFormat="false" ht="14.25" hidden="false" customHeight="false" outlineLevel="0" collapsed="false">
      <c r="A553" s="1" t="n">
        <v>301</v>
      </c>
      <c r="B553" s="1" t="s">
        <v>476</v>
      </c>
      <c r="C553" s="143" t="s">
        <v>58</v>
      </c>
      <c r="D553" s="143" t="s">
        <v>59</v>
      </c>
      <c r="E553" s="143" t="s">
        <v>474</v>
      </c>
      <c r="F553" s="144" t="n">
        <v>200025888808</v>
      </c>
      <c r="G553" s="144" t="s">
        <v>258</v>
      </c>
      <c r="H553" s="144" t="n">
        <v>16</v>
      </c>
      <c r="I553" s="144" t="s">
        <v>152</v>
      </c>
      <c r="J553" s="148" t="n">
        <v>45057.933125</v>
      </c>
      <c r="K553" s="1" t="n">
        <v>1</v>
      </c>
      <c r="L553" s="144" t="n">
        <v>16</v>
      </c>
      <c r="M553" s="1" t="n">
        <v>13</v>
      </c>
      <c r="N553" s="1" t="n">
        <v>13</v>
      </c>
      <c r="O553" s="149" t="n">
        <v>33</v>
      </c>
    </row>
    <row r="554" customFormat="false" ht="14.25" hidden="false" customHeight="false" outlineLevel="0" collapsed="false">
      <c r="A554" s="1" t="n">
        <v>302</v>
      </c>
      <c r="B554" s="1" t="s">
        <v>476</v>
      </c>
      <c r="C554" s="143" t="s">
        <v>58</v>
      </c>
      <c r="D554" s="143" t="s">
        <v>59</v>
      </c>
      <c r="E554" s="143" t="s">
        <v>474</v>
      </c>
      <c r="F554" s="144" t="n">
        <v>200025888808</v>
      </c>
      <c r="G554" s="144" t="s">
        <v>258</v>
      </c>
      <c r="H554" s="144" t="n">
        <v>16</v>
      </c>
      <c r="I554" s="144" t="s">
        <v>152</v>
      </c>
      <c r="J554" s="148" t="n">
        <v>45057.9333101852</v>
      </c>
      <c r="K554" s="1" t="n">
        <v>2</v>
      </c>
      <c r="L554" s="144" t="n">
        <v>16</v>
      </c>
      <c r="M554" s="1" t="n">
        <v>13</v>
      </c>
      <c r="N554" s="1" t="n">
        <v>13</v>
      </c>
      <c r="O554" s="149" t="n">
        <v>34</v>
      </c>
    </row>
    <row r="555" customFormat="false" ht="14.25" hidden="false" customHeight="false" outlineLevel="0" collapsed="false">
      <c r="A555" s="1" t="n">
        <v>303</v>
      </c>
      <c r="B555" s="1" t="s">
        <v>476</v>
      </c>
      <c r="C555" s="143" t="s">
        <v>58</v>
      </c>
      <c r="D555" s="143" t="s">
        <v>59</v>
      </c>
      <c r="E555" s="143" t="s">
        <v>474</v>
      </c>
      <c r="F555" s="144" t="n">
        <v>200025888808</v>
      </c>
      <c r="G555" s="144" t="s">
        <v>258</v>
      </c>
      <c r="H555" s="144" t="n">
        <v>16</v>
      </c>
      <c r="I555" s="144" t="s">
        <v>152</v>
      </c>
      <c r="J555" s="148" t="n">
        <v>45057.9340625</v>
      </c>
      <c r="K555" s="1" t="n">
        <v>2</v>
      </c>
      <c r="L555" s="144" t="n">
        <v>16</v>
      </c>
      <c r="M555" s="1" t="n">
        <v>13</v>
      </c>
      <c r="N555" s="1" t="n">
        <v>13</v>
      </c>
      <c r="O555" s="149" t="n">
        <v>35</v>
      </c>
    </row>
    <row r="556" customFormat="false" ht="14.25" hidden="false" customHeight="false" outlineLevel="0" collapsed="false">
      <c r="A556" s="1" t="n">
        <v>304</v>
      </c>
      <c r="B556" s="1" t="s">
        <v>476</v>
      </c>
      <c r="C556" s="143" t="s">
        <v>58</v>
      </c>
      <c r="D556" s="143" t="s">
        <v>59</v>
      </c>
      <c r="E556" s="143" t="s">
        <v>474</v>
      </c>
      <c r="F556" s="144" t="n">
        <v>200025888808</v>
      </c>
      <c r="G556" s="144" t="s">
        <v>258</v>
      </c>
      <c r="H556" s="144" t="n">
        <v>16</v>
      </c>
      <c r="I556" s="144" t="s">
        <v>152</v>
      </c>
      <c r="J556" s="151" t="n">
        <v>45057.9347685185</v>
      </c>
      <c r="K556" s="1" t="n">
        <v>2</v>
      </c>
      <c r="L556" s="144" t="n">
        <v>16</v>
      </c>
      <c r="M556" s="1" t="n">
        <v>13</v>
      </c>
      <c r="N556" s="1" t="n">
        <v>13</v>
      </c>
      <c r="O556" s="149" t="n">
        <v>36</v>
      </c>
    </row>
    <row r="557" customFormat="false" ht="14.25" hidden="false" customHeight="false" outlineLevel="0" collapsed="false">
      <c r="A557" s="1" t="n">
        <v>40</v>
      </c>
      <c r="B557" s="1" t="s">
        <v>476</v>
      </c>
      <c r="C557" s="143" t="n">
        <v>11490</v>
      </c>
      <c r="D557" s="143" t="s">
        <v>65</v>
      </c>
      <c r="E557" s="143" t="s">
        <v>474</v>
      </c>
      <c r="F557" s="144" t="n">
        <v>200025888808</v>
      </c>
      <c r="G557" s="144" t="s">
        <v>258</v>
      </c>
      <c r="H557" s="144" t="n">
        <v>16</v>
      </c>
      <c r="I557" s="144" t="s">
        <v>152</v>
      </c>
      <c r="J557" s="151" t="n">
        <v>45069.3385300926</v>
      </c>
      <c r="K557" s="1" t="n">
        <v>0</v>
      </c>
      <c r="L557" s="144" t="n">
        <v>16</v>
      </c>
      <c r="M557" s="1" t="n">
        <v>13</v>
      </c>
      <c r="N557" s="1" t="n">
        <v>13</v>
      </c>
      <c r="O557" s="149" t="n">
        <v>37</v>
      </c>
    </row>
    <row r="558" customFormat="false" ht="14.25" hidden="false" customHeight="false" outlineLevel="0" collapsed="false">
      <c r="A558" s="1" t="n">
        <v>275</v>
      </c>
      <c r="B558" s="1" t="s">
        <v>477</v>
      </c>
      <c r="C558" s="143" t="n">
        <v>11171</v>
      </c>
      <c r="D558" s="143" t="s">
        <v>74</v>
      </c>
      <c r="E558" s="143" t="s">
        <v>474</v>
      </c>
      <c r="F558" s="144" t="n">
        <v>200025888808</v>
      </c>
      <c r="G558" s="144" t="s">
        <v>258</v>
      </c>
      <c r="H558" s="144" t="n">
        <v>16</v>
      </c>
      <c r="I558" s="144" t="s">
        <v>152</v>
      </c>
      <c r="J558" s="152" t="n">
        <v>45085.5999421296</v>
      </c>
      <c r="K558" s="1" t="n">
        <v>4</v>
      </c>
      <c r="L558" s="144" t="n">
        <v>16</v>
      </c>
      <c r="M558" s="1" t="n">
        <v>13</v>
      </c>
      <c r="N558" s="1" t="n">
        <v>13</v>
      </c>
      <c r="O558" s="149" t="n">
        <v>38</v>
      </c>
    </row>
    <row r="559" customFormat="false" ht="14.25" hidden="false" customHeight="false" outlineLevel="0" collapsed="false">
      <c r="A559" s="1" t="n">
        <v>276</v>
      </c>
      <c r="B559" s="1" t="s">
        <v>477</v>
      </c>
      <c r="C559" s="143" t="n">
        <v>11171</v>
      </c>
      <c r="D559" s="143" t="s">
        <v>74</v>
      </c>
      <c r="E559" s="143" t="s">
        <v>474</v>
      </c>
      <c r="F559" s="144" t="n">
        <v>200025888808</v>
      </c>
      <c r="G559" s="144" t="s">
        <v>258</v>
      </c>
      <c r="H559" s="144" t="n">
        <v>16</v>
      </c>
      <c r="I559" s="144" t="s">
        <v>152</v>
      </c>
      <c r="J559" s="152" t="n">
        <v>45085.6124884259</v>
      </c>
      <c r="K559" s="1" t="n">
        <v>2</v>
      </c>
      <c r="L559" s="144" t="n">
        <v>16</v>
      </c>
      <c r="M559" s="1" t="n">
        <v>13</v>
      </c>
      <c r="N559" s="1" t="n">
        <v>13</v>
      </c>
      <c r="O559" s="149" t="n">
        <v>39</v>
      </c>
    </row>
    <row r="560" customFormat="false" ht="14.25" hidden="false" customHeight="false" outlineLevel="0" collapsed="false">
      <c r="A560" s="1" t="n">
        <v>277</v>
      </c>
      <c r="B560" s="1" t="s">
        <v>477</v>
      </c>
      <c r="C560" s="143" t="n">
        <v>11171</v>
      </c>
      <c r="D560" s="143" t="s">
        <v>74</v>
      </c>
      <c r="E560" s="143" t="s">
        <v>474</v>
      </c>
      <c r="F560" s="144" t="n">
        <v>200025888808</v>
      </c>
      <c r="G560" s="144" t="s">
        <v>258</v>
      </c>
      <c r="H560" s="144" t="n">
        <v>16</v>
      </c>
      <c r="I560" s="144" t="s">
        <v>152</v>
      </c>
      <c r="J560" s="152" t="n">
        <v>45085.6143518519</v>
      </c>
      <c r="K560" s="1" t="n">
        <v>1</v>
      </c>
      <c r="L560" s="144" t="n">
        <v>16</v>
      </c>
      <c r="M560" s="1" t="n">
        <v>13</v>
      </c>
      <c r="N560" s="1" t="n">
        <v>13</v>
      </c>
      <c r="O560" s="149" t="n">
        <v>40</v>
      </c>
    </row>
    <row r="561" customFormat="false" ht="14.25" hidden="false" customHeight="false" outlineLevel="0" collapsed="false">
      <c r="A561" s="1" t="n">
        <v>278</v>
      </c>
      <c r="B561" s="1" t="s">
        <v>477</v>
      </c>
      <c r="C561" s="143" t="n">
        <v>11171</v>
      </c>
      <c r="D561" s="143" t="s">
        <v>74</v>
      </c>
      <c r="E561" s="143" t="s">
        <v>474</v>
      </c>
      <c r="F561" s="144" t="n">
        <v>200025888808</v>
      </c>
      <c r="G561" s="144" t="s">
        <v>258</v>
      </c>
      <c r="H561" s="144" t="n">
        <v>16</v>
      </c>
      <c r="I561" s="144" t="s">
        <v>152</v>
      </c>
      <c r="J561" s="152" t="n">
        <v>45085.6154050926</v>
      </c>
      <c r="K561" s="1" t="n">
        <v>0</v>
      </c>
      <c r="L561" s="144" t="n">
        <v>16</v>
      </c>
      <c r="M561" s="1" t="n">
        <v>13</v>
      </c>
      <c r="N561" s="1" t="n">
        <v>13</v>
      </c>
      <c r="O561" s="149" t="n">
        <v>41</v>
      </c>
    </row>
    <row r="562" customFormat="false" ht="14.25" hidden="false" customHeight="false" outlineLevel="0" collapsed="false">
      <c r="A562" s="1" t="n">
        <v>279</v>
      </c>
      <c r="B562" s="1" t="s">
        <v>477</v>
      </c>
      <c r="C562" s="143" t="n">
        <v>11171</v>
      </c>
      <c r="D562" s="143" t="s">
        <v>74</v>
      </c>
      <c r="E562" s="143" t="s">
        <v>474</v>
      </c>
      <c r="F562" s="144" t="n">
        <v>200025888808</v>
      </c>
      <c r="G562" s="144" t="s">
        <v>258</v>
      </c>
      <c r="H562" s="144" t="n">
        <v>16</v>
      </c>
      <c r="I562" s="144" t="s">
        <v>152</v>
      </c>
      <c r="J562" s="152" t="n">
        <v>45085.623587963</v>
      </c>
      <c r="K562" s="1" t="n">
        <v>3</v>
      </c>
      <c r="L562" s="144" t="n">
        <v>16</v>
      </c>
      <c r="M562" s="1" t="n">
        <v>13</v>
      </c>
      <c r="N562" s="1" t="n">
        <v>13</v>
      </c>
      <c r="O562" s="149" t="n">
        <v>42</v>
      </c>
    </row>
    <row r="563" customFormat="false" ht="14.25" hidden="false" customHeight="false" outlineLevel="0" collapsed="false">
      <c r="A563" s="1" t="n">
        <v>280</v>
      </c>
      <c r="B563" s="1" t="s">
        <v>477</v>
      </c>
      <c r="C563" s="143" t="n">
        <v>11171</v>
      </c>
      <c r="D563" s="143" t="s">
        <v>74</v>
      </c>
      <c r="E563" s="143" t="s">
        <v>474</v>
      </c>
      <c r="F563" s="144" t="n">
        <v>200025888808</v>
      </c>
      <c r="G563" s="144" t="s">
        <v>258</v>
      </c>
      <c r="H563" s="144" t="n">
        <v>16</v>
      </c>
      <c r="I563" s="144" t="s">
        <v>152</v>
      </c>
      <c r="J563" s="152" t="n">
        <v>45085.6241550926</v>
      </c>
      <c r="K563" s="1" t="n">
        <v>1</v>
      </c>
      <c r="L563" s="144" t="n">
        <v>16</v>
      </c>
      <c r="M563" s="1" t="n">
        <v>13</v>
      </c>
      <c r="N563" s="1" t="n">
        <v>13</v>
      </c>
      <c r="O563" s="149" t="n">
        <v>43</v>
      </c>
    </row>
    <row r="564" customFormat="false" ht="14.25" hidden="false" customHeight="false" outlineLevel="0" collapsed="false">
      <c r="A564" s="1" t="n">
        <v>41</v>
      </c>
      <c r="B564" s="1" t="s">
        <v>473</v>
      </c>
      <c r="C564" s="143" t="n">
        <v>11490</v>
      </c>
      <c r="D564" s="143" t="s">
        <v>65</v>
      </c>
      <c r="E564" s="143" t="s">
        <v>474</v>
      </c>
      <c r="F564" s="144" t="n">
        <v>200025888839</v>
      </c>
      <c r="G564" s="144" t="s">
        <v>413</v>
      </c>
      <c r="H564" s="144" t="n">
        <v>94</v>
      </c>
      <c r="I564" s="144" t="s">
        <v>152</v>
      </c>
      <c r="J564" s="148" t="n">
        <v>45056.0032291667</v>
      </c>
      <c r="K564" s="1" t="n">
        <v>0</v>
      </c>
      <c r="L564" s="144" t="n">
        <v>94</v>
      </c>
      <c r="M564" s="1" t="n">
        <v>14</v>
      </c>
      <c r="N564" s="1" t="n">
        <v>14</v>
      </c>
      <c r="O564" s="149" t="n">
        <v>1</v>
      </c>
    </row>
    <row r="565" customFormat="false" ht="14.25" hidden="false" customHeight="false" outlineLevel="0" collapsed="false">
      <c r="A565" s="1" t="n">
        <v>42</v>
      </c>
      <c r="B565" s="1" t="s">
        <v>473</v>
      </c>
      <c r="C565" s="143" t="n">
        <v>11490</v>
      </c>
      <c r="D565" s="143" t="s">
        <v>65</v>
      </c>
      <c r="E565" s="143" t="s">
        <v>474</v>
      </c>
      <c r="F565" s="144" t="n">
        <v>200025888839</v>
      </c>
      <c r="G565" s="144" t="s">
        <v>413</v>
      </c>
      <c r="H565" s="144" t="n">
        <v>94</v>
      </c>
      <c r="I565" s="144" t="s">
        <v>152</v>
      </c>
      <c r="J565" s="148" t="n">
        <v>45056.0033333333</v>
      </c>
      <c r="K565" s="1" t="n">
        <v>5</v>
      </c>
      <c r="L565" s="144" t="n">
        <v>94</v>
      </c>
      <c r="M565" s="1" t="n">
        <v>14</v>
      </c>
      <c r="N565" s="1" t="n">
        <v>14</v>
      </c>
      <c r="O565" s="149" t="n">
        <v>2</v>
      </c>
    </row>
    <row r="566" customFormat="false" ht="14.25" hidden="false" customHeight="false" outlineLevel="0" collapsed="false">
      <c r="A566" s="1" t="n">
        <v>43</v>
      </c>
      <c r="B566" s="1" t="s">
        <v>473</v>
      </c>
      <c r="C566" s="143" t="n">
        <v>11490</v>
      </c>
      <c r="D566" s="143" t="s">
        <v>65</v>
      </c>
      <c r="E566" s="143" t="s">
        <v>474</v>
      </c>
      <c r="F566" s="144" t="n">
        <v>200025888839</v>
      </c>
      <c r="G566" s="144" t="s">
        <v>413</v>
      </c>
      <c r="H566" s="144" t="n">
        <v>94</v>
      </c>
      <c r="I566" s="144" t="s">
        <v>152</v>
      </c>
      <c r="J566" s="148" t="n">
        <v>45056.0035532407</v>
      </c>
      <c r="K566" s="1" t="n">
        <v>1</v>
      </c>
      <c r="L566" s="144" t="n">
        <v>94</v>
      </c>
      <c r="M566" s="1" t="n">
        <v>14</v>
      </c>
      <c r="N566" s="1" t="n">
        <v>14</v>
      </c>
      <c r="O566" s="149" t="n">
        <v>3</v>
      </c>
    </row>
    <row r="567" customFormat="false" ht="14.25" hidden="false" customHeight="false" outlineLevel="0" collapsed="false">
      <c r="A567" s="1" t="n">
        <v>59</v>
      </c>
      <c r="B567" s="1" t="s">
        <v>475</v>
      </c>
      <c r="C567" s="143" t="s">
        <v>52</v>
      </c>
      <c r="D567" s="143" t="s">
        <v>53</v>
      </c>
      <c r="E567" s="143" t="s">
        <v>474</v>
      </c>
      <c r="F567" s="144" t="n">
        <v>200025888839</v>
      </c>
      <c r="G567" s="144" t="s">
        <v>413</v>
      </c>
      <c r="H567" s="144" t="n">
        <v>94</v>
      </c>
      <c r="I567" s="144" t="s">
        <v>152</v>
      </c>
      <c r="J567" s="148" t="n">
        <v>45056.0141782407</v>
      </c>
      <c r="K567" s="1" t="n">
        <v>3</v>
      </c>
      <c r="L567" s="144" t="n">
        <v>94</v>
      </c>
      <c r="M567" s="1" t="n">
        <v>14</v>
      </c>
      <c r="N567" s="1" t="n">
        <v>14</v>
      </c>
      <c r="O567" s="149" t="n">
        <v>4</v>
      </c>
    </row>
    <row r="568" customFormat="false" ht="14.25" hidden="false" customHeight="false" outlineLevel="0" collapsed="false">
      <c r="A568" s="1" t="n">
        <v>60</v>
      </c>
      <c r="B568" s="1" t="s">
        <v>475</v>
      </c>
      <c r="C568" s="143" t="s">
        <v>52</v>
      </c>
      <c r="D568" s="143" t="s">
        <v>53</v>
      </c>
      <c r="E568" s="143" t="s">
        <v>474</v>
      </c>
      <c r="F568" s="144" t="n">
        <v>200025888839</v>
      </c>
      <c r="G568" s="144" t="s">
        <v>413</v>
      </c>
      <c r="H568" s="144" t="n">
        <v>94</v>
      </c>
      <c r="I568" s="144" t="s">
        <v>152</v>
      </c>
      <c r="J568" s="148" t="n">
        <v>45056.0197685185</v>
      </c>
      <c r="K568" s="1" t="n">
        <v>1</v>
      </c>
      <c r="L568" s="144" t="n">
        <v>94</v>
      </c>
      <c r="M568" s="1" t="n">
        <v>14</v>
      </c>
      <c r="N568" s="1" t="n">
        <v>14</v>
      </c>
      <c r="O568" s="149" t="n">
        <v>5</v>
      </c>
    </row>
    <row r="569" customFormat="false" ht="14.25" hidden="false" customHeight="false" outlineLevel="0" collapsed="false">
      <c r="A569" s="1" t="n">
        <v>61</v>
      </c>
      <c r="B569" s="1" t="s">
        <v>475</v>
      </c>
      <c r="C569" s="143" t="s">
        <v>52</v>
      </c>
      <c r="D569" s="143" t="s">
        <v>53</v>
      </c>
      <c r="E569" s="143" t="s">
        <v>474</v>
      </c>
      <c r="F569" s="144" t="n">
        <v>200025888839</v>
      </c>
      <c r="G569" s="144" t="s">
        <v>413</v>
      </c>
      <c r="H569" s="144" t="n">
        <v>94</v>
      </c>
      <c r="I569" s="144" t="s">
        <v>152</v>
      </c>
      <c r="J569" s="148" t="n">
        <v>45056.0202893519</v>
      </c>
      <c r="K569" s="1" t="n">
        <v>2</v>
      </c>
      <c r="L569" s="144" t="n">
        <v>94</v>
      </c>
      <c r="M569" s="1" t="n">
        <v>14</v>
      </c>
      <c r="N569" s="1" t="n">
        <v>14</v>
      </c>
      <c r="O569" s="149" t="n">
        <v>6</v>
      </c>
    </row>
    <row r="570" customFormat="false" ht="14.25" hidden="false" customHeight="false" outlineLevel="0" collapsed="false">
      <c r="A570" s="1" t="n">
        <v>93</v>
      </c>
      <c r="B570" s="1" t="s">
        <v>475</v>
      </c>
      <c r="C570" s="143" t="s">
        <v>52</v>
      </c>
      <c r="D570" s="143" t="s">
        <v>53</v>
      </c>
      <c r="E570" s="143" t="s">
        <v>474</v>
      </c>
      <c r="F570" s="144" t="n">
        <v>200025888839</v>
      </c>
      <c r="G570" s="144" t="s">
        <v>413</v>
      </c>
      <c r="H570" s="144" t="n">
        <v>94</v>
      </c>
      <c r="I570" s="144" t="s">
        <v>152</v>
      </c>
      <c r="J570" s="148" t="n">
        <v>45056.2000347222</v>
      </c>
      <c r="K570" s="1" t="n">
        <v>2</v>
      </c>
      <c r="L570" s="144" t="n">
        <v>94</v>
      </c>
      <c r="M570" s="1" t="n">
        <v>14</v>
      </c>
      <c r="N570" s="1" t="n">
        <v>14</v>
      </c>
      <c r="O570" s="149" t="n">
        <v>7</v>
      </c>
    </row>
    <row r="571" customFormat="false" ht="14.25" hidden="false" customHeight="false" outlineLevel="0" collapsed="false">
      <c r="A571" s="1" t="n">
        <v>129</v>
      </c>
      <c r="B571" s="1" t="s">
        <v>473</v>
      </c>
      <c r="C571" s="143" t="n">
        <v>11490</v>
      </c>
      <c r="D571" s="143" t="s">
        <v>65</v>
      </c>
      <c r="E571" s="143" t="s">
        <v>474</v>
      </c>
      <c r="F571" s="144" t="n">
        <v>200025888839</v>
      </c>
      <c r="G571" s="144" t="s">
        <v>413</v>
      </c>
      <c r="H571" s="144" t="n">
        <v>94</v>
      </c>
      <c r="I571" s="144" t="s">
        <v>152</v>
      </c>
      <c r="J571" s="148" t="n">
        <v>45056.2149189815</v>
      </c>
      <c r="K571" s="1" t="n">
        <v>2</v>
      </c>
      <c r="L571" s="144" t="n">
        <v>94</v>
      </c>
      <c r="M571" s="1" t="n">
        <v>14</v>
      </c>
      <c r="N571" s="1" t="n">
        <v>14</v>
      </c>
      <c r="O571" s="149" t="n">
        <v>8</v>
      </c>
    </row>
    <row r="572" customFormat="false" ht="14.25" hidden="false" customHeight="false" outlineLevel="0" collapsed="false">
      <c r="A572" s="1" t="n">
        <v>130</v>
      </c>
      <c r="B572" s="1" t="s">
        <v>473</v>
      </c>
      <c r="C572" s="143" t="n">
        <v>11490</v>
      </c>
      <c r="D572" s="143" t="s">
        <v>65</v>
      </c>
      <c r="E572" s="143" t="s">
        <v>474</v>
      </c>
      <c r="F572" s="144" t="n">
        <v>200025888839</v>
      </c>
      <c r="G572" s="144" t="s">
        <v>413</v>
      </c>
      <c r="H572" s="144" t="n">
        <v>94</v>
      </c>
      <c r="I572" s="144" t="s">
        <v>152</v>
      </c>
      <c r="J572" s="148" t="n">
        <v>45056.2152546296</v>
      </c>
      <c r="K572" s="1" t="n">
        <v>2</v>
      </c>
      <c r="L572" s="144" t="n">
        <v>94</v>
      </c>
      <c r="M572" s="1" t="n">
        <v>14</v>
      </c>
      <c r="N572" s="1" t="n">
        <v>14</v>
      </c>
      <c r="O572" s="149" t="n">
        <v>9</v>
      </c>
    </row>
    <row r="573" customFormat="false" ht="14.25" hidden="false" customHeight="false" outlineLevel="0" collapsed="false">
      <c r="A573" s="1" t="n">
        <v>131</v>
      </c>
      <c r="B573" s="1" t="s">
        <v>473</v>
      </c>
      <c r="C573" s="143" t="n">
        <v>11490</v>
      </c>
      <c r="D573" s="143" t="s">
        <v>65</v>
      </c>
      <c r="E573" s="143" t="s">
        <v>474</v>
      </c>
      <c r="F573" s="144" t="n">
        <v>200025888839</v>
      </c>
      <c r="G573" s="144" t="s">
        <v>413</v>
      </c>
      <c r="H573" s="144" t="n">
        <v>94</v>
      </c>
      <c r="I573" s="144" t="s">
        <v>152</v>
      </c>
      <c r="J573" s="148" t="n">
        <v>45056.2172453704</v>
      </c>
      <c r="K573" s="1" t="n">
        <v>3</v>
      </c>
      <c r="L573" s="144" t="n">
        <v>94</v>
      </c>
      <c r="M573" s="1" t="n">
        <v>14</v>
      </c>
      <c r="N573" s="1" t="n">
        <v>14</v>
      </c>
      <c r="O573" s="149" t="n">
        <v>10</v>
      </c>
    </row>
    <row r="574" customFormat="false" ht="14.25" hidden="false" customHeight="false" outlineLevel="0" collapsed="false">
      <c r="A574" s="1" t="n">
        <v>132</v>
      </c>
      <c r="B574" s="1" t="s">
        <v>473</v>
      </c>
      <c r="C574" s="143" t="n">
        <v>11490</v>
      </c>
      <c r="D574" s="143" t="s">
        <v>65</v>
      </c>
      <c r="E574" s="143" t="s">
        <v>474</v>
      </c>
      <c r="F574" s="144" t="n">
        <v>200025888839</v>
      </c>
      <c r="G574" s="144" t="s">
        <v>413</v>
      </c>
      <c r="H574" s="144" t="n">
        <v>94</v>
      </c>
      <c r="I574" s="144" t="s">
        <v>152</v>
      </c>
      <c r="J574" s="148" t="n">
        <v>45056.2174421296</v>
      </c>
      <c r="K574" s="1" t="n">
        <v>3</v>
      </c>
      <c r="L574" s="144" t="n">
        <v>94</v>
      </c>
      <c r="M574" s="1" t="n">
        <v>14</v>
      </c>
      <c r="N574" s="1" t="n">
        <v>14</v>
      </c>
      <c r="O574" s="149" t="n">
        <v>11</v>
      </c>
    </row>
    <row r="575" customFormat="false" ht="14.25" hidden="false" customHeight="false" outlineLevel="0" collapsed="false">
      <c r="A575" s="1" t="n">
        <v>133</v>
      </c>
      <c r="B575" s="1" t="s">
        <v>473</v>
      </c>
      <c r="C575" s="143" t="n">
        <v>11490</v>
      </c>
      <c r="D575" s="143" t="s">
        <v>65</v>
      </c>
      <c r="E575" s="143" t="s">
        <v>474</v>
      </c>
      <c r="F575" s="144" t="n">
        <v>200025888839</v>
      </c>
      <c r="G575" s="144" t="s">
        <v>413</v>
      </c>
      <c r="H575" s="144" t="n">
        <v>94</v>
      </c>
      <c r="I575" s="144" t="s">
        <v>152</v>
      </c>
      <c r="J575" s="148" t="n">
        <v>45056.2174652778</v>
      </c>
      <c r="K575" s="1" t="n">
        <v>2</v>
      </c>
      <c r="L575" s="144" t="n">
        <v>94</v>
      </c>
      <c r="M575" s="1" t="n">
        <v>14</v>
      </c>
      <c r="N575" s="1" t="n">
        <v>14</v>
      </c>
      <c r="O575" s="149" t="n">
        <v>12</v>
      </c>
    </row>
    <row r="576" customFormat="false" ht="14.25" hidden="false" customHeight="false" outlineLevel="0" collapsed="false">
      <c r="A576" s="1" t="n">
        <v>134</v>
      </c>
      <c r="B576" s="1" t="s">
        <v>473</v>
      </c>
      <c r="C576" s="143" t="n">
        <v>11490</v>
      </c>
      <c r="D576" s="143" t="s">
        <v>65</v>
      </c>
      <c r="E576" s="143" t="s">
        <v>474</v>
      </c>
      <c r="F576" s="144" t="n">
        <v>200025888839</v>
      </c>
      <c r="G576" s="144" t="s">
        <v>413</v>
      </c>
      <c r="H576" s="144" t="n">
        <v>94</v>
      </c>
      <c r="I576" s="144" t="s">
        <v>152</v>
      </c>
      <c r="J576" s="148" t="n">
        <v>45056.219212963</v>
      </c>
      <c r="K576" s="1" t="n">
        <v>18</v>
      </c>
      <c r="L576" s="144" t="n">
        <v>94</v>
      </c>
      <c r="M576" s="1" t="n">
        <v>14</v>
      </c>
      <c r="N576" s="1" t="n">
        <v>14</v>
      </c>
      <c r="O576" s="149" t="n">
        <v>13</v>
      </c>
    </row>
    <row r="577" customFormat="false" ht="14.25" hidden="false" customHeight="false" outlineLevel="0" collapsed="false">
      <c r="A577" s="1" t="n">
        <v>94</v>
      </c>
      <c r="B577" s="1" t="s">
        <v>475</v>
      </c>
      <c r="C577" s="143" t="s">
        <v>52</v>
      </c>
      <c r="D577" s="143" t="s">
        <v>53</v>
      </c>
      <c r="E577" s="143" t="s">
        <v>474</v>
      </c>
      <c r="F577" s="144" t="n">
        <v>200025888839</v>
      </c>
      <c r="G577" s="144" t="s">
        <v>413</v>
      </c>
      <c r="H577" s="144" t="n">
        <v>94</v>
      </c>
      <c r="I577" s="144" t="s">
        <v>152</v>
      </c>
      <c r="J577" s="148" t="n">
        <v>45056.2370601852</v>
      </c>
      <c r="K577" s="1" t="n">
        <v>2</v>
      </c>
      <c r="L577" s="144" t="n">
        <v>94</v>
      </c>
      <c r="M577" s="1" t="n">
        <v>14</v>
      </c>
      <c r="N577" s="1" t="n">
        <v>14</v>
      </c>
      <c r="O577" s="149" t="n">
        <v>14</v>
      </c>
    </row>
    <row r="578" customFormat="false" ht="14.25" hidden="false" customHeight="false" outlineLevel="0" collapsed="false">
      <c r="A578" s="1" t="n">
        <v>95</v>
      </c>
      <c r="B578" s="1" t="s">
        <v>475</v>
      </c>
      <c r="C578" s="143" t="s">
        <v>52</v>
      </c>
      <c r="D578" s="143" t="s">
        <v>53</v>
      </c>
      <c r="E578" s="143" t="s">
        <v>474</v>
      </c>
      <c r="F578" s="144" t="n">
        <v>200025888839</v>
      </c>
      <c r="G578" s="144" t="s">
        <v>413</v>
      </c>
      <c r="H578" s="144" t="n">
        <v>94</v>
      </c>
      <c r="I578" s="144" t="s">
        <v>152</v>
      </c>
      <c r="J578" s="148" t="n">
        <v>45056.2413078704</v>
      </c>
      <c r="K578" s="1" t="n">
        <v>4</v>
      </c>
      <c r="L578" s="144" t="n">
        <v>94</v>
      </c>
      <c r="M578" s="1" t="n">
        <v>14</v>
      </c>
      <c r="N578" s="1" t="n">
        <v>14</v>
      </c>
      <c r="O578" s="149" t="n">
        <v>15</v>
      </c>
    </row>
    <row r="579" customFormat="false" ht="14.25" hidden="false" customHeight="false" outlineLevel="0" collapsed="false">
      <c r="A579" s="1" t="n">
        <v>96</v>
      </c>
      <c r="B579" s="1" t="s">
        <v>475</v>
      </c>
      <c r="C579" s="143" t="s">
        <v>52</v>
      </c>
      <c r="D579" s="143" t="s">
        <v>53</v>
      </c>
      <c r="E579" s="143" t="s">
        <v>474</v>
      </c>
      <c r="F579" s="144" t="n">
        <v>200025888839</v>
      </c>
      <c r="G579" s="144" t="s">
        <v>413</v>
      </c>
      <c r="H579" s="144" t="n">
        <v>94</v>
      </c>
      <c r="I579" s="144" t="s">
        <v>152</v>
      </c>
      <c r="J579" s="148" t="n">
        <v>45056.2414236111</v>
      </c>
      <c r="K579" s="1" t="n">
        <v>2</v>
      </c>
      <c r="L579" s="144" t="n">
        <v>94</v>
      </c>
      <c r="M579" s="1" t="n">
        <v>14</v>
      </c>
      <c r="N579" s="1" t="n">
        <v>14</v>
      </c>
      <c r="O579" s="149" t="n">
        <v>16</v>
      </c>
    </row>
    <row r="580" customFormat="false" ht="14.25" hidden="false" customHeight="false" outlineLevel="0" collapsed="false">
      <c r="A580" s="1" t="n">
        <v>97</v>
      </c>
      <c r="B580" s="1" t="s">
        <v>475</v>
      </c>
      <c r="C580" s="143" t="s">
        <v>52</v>
      </c>
      <c r="D580" s="143" t="s">
        <v>53</v>
      </c>
      <c r="E580" s="143" t="s">
        <v>474</v>
      </c>
      <c r="F580" s="144" t="n">
        <v>200025888839</v>
      </c>
      <c r="G580" s="144" t="s">
        <v>413</v>
      </c>
      <c r="H580" s="144" t="n">
        <v>94</v>
      </c>
      <c r="I580" s="144" t="s">
        <v>152</v>
      </c>
      <c r="J580" s="148" t="n">
        <v>45056.2415972222</v>
      </c>
      <c r="K580" s="1" t="n">
        <v>2</v>
      </c>
      <c r="L580" s="144" t="n">
        <v>94</v>
      </c>
      <c r="M580" s="1" t="n">
        <v>14</v>
      </c>
      <c r="N580" s="1" t="n">
        <v>14</v>
      </c>
      <c r="O580" s="149" t="n">
        <v>17</v>
      </c>
    </row>
    <row r="581" customFormat="false" ht="14.25" hidden="false" customHeight="false" outlineLevel="0" collapsed="false">
      <c r="A581" s="1" t="n">
        <v>98</v>
      </c>
      <c r="B581" s="1" t="s">
        <v>475</v>
      </c>
      <c r="C581" s="143" t="s">
        <v>52</v>
      </c>
      <c r="D581" s="143" t="s">
        <v>53</v>
      </c>
      <c r="E581" s="143" t="s">
        <v>474</v>
      </c>
      <c r="F581" s="144" t="n">
        <v>200025888839</v>
      </c>
      <c r="G581" s="144" t="s">
        <v>413</v>
      </c>
      <c r="H581" s="144" t="n">
        <v>94</v>
      </c>
      <c r="I581" s="144" t="s">
        <v>152</v>
      </c>
      <c r="J581" s="148" t="n">
        <v>45056.2417361111</v>
      </c>
      <c r="K581" s="1" t="n">
        <v>3</v>
      </c>
      <c r="L581" s="144" t="n">
        <v>94</v>
      </c>
      <c r="M581" s="1" t="n">
        <v>14</v>
      </c>
      <c r="N581" s="1" t="n">
        <v>14</v>
      </c>
      <c r="O581" s="149" t="n">
        <v>18</v>
      </c>
    </row>
    <row r="582" customFormat="false" ht="14.25" hidden="false" customHeight="false" outlineLevel="0" collapsed="false">
      <c r="A582" s="1" t="n">
        <v>99</v>
      </c>
      <c r="B582" s="1" t="s">
        <v>475</v>
      </c>
      <c r="C582" s="143" t="s">
        <v>52</v>
      </c>
      <c r="D582" s="143" t="s">
        <v>53</v>
      </c>
      <c r="E582" s="143" t="s">
        <v>474</v>
      </c>
      <c r="F582" s="144" t="n">
        <v>200025888839</v>
      </c>
      <c r="G582" s="144" t="s">
        <v>413</v>
      </c>
      <c r="H582" s="144" t="n">
        <v>94</v>
      </c>
      <c r="I582" s="144" t="s">
        <v>152</v>
      </c>
      <c r="J582" s="148" t="n">
        <v>45056.2423842593</v>
      </c>
      <c r="K582" s="1" t="n">
        <v>2</v>
      </c>
      <c r="L582" s="144" t="n">
        <v>94</v>
      </c>
      <c r="M582" s="1" t="n">
        <v>14</v>
      </c>
      <c r="N582" s="1" t="n">
        <v>14</v>
      </c>
      <c r="O582" s="149" t="n">
        <v>19</v>
      </c>
    </row>
    <row r="583" customFormat="false" ht="14.25" hidden="false" customHeight="false" outlineLevel="0" collapsed="false">
      <c r="A583" s="1" t="n">
        <v>100</v>
      </c>
      <c r="B583" s="1" t="s">
        <v>475</v>
      </c>
      <c r="C583" s="143" t="s">
        <v>52</v>
      </c>
      <c r="D583" s="143" t="s">
        <v>53</v>
      </c>
      <c r="E583" s="143" t="s">
        <v>474</v>
      </c>
      <c r="F583" s="144" t="n">
        <v>200025888839</v>
      </c>
      <c r="G583" s="144" t="s">
        <v>413</v>
      </c>
      <c r="H583" s="144" t="n">
        <v>94</v>
      </c>
      <c r="I583" s="144" t="s">
        <v>152</v>
      </c>
      <c r="J583" s="148" t="n">
        <v>45056.2427430556</v>
      </c>
      <c r="K583" s="1" t="n">
        <v>2</v>
      </c>
      <c r="L583" s="144" t="n">
        <v>94</v>
      </c>
      <c r="M583" s="1" t="n">
        <v>14</v>
      </c>
      <c r="N583" s="1" t="n">
        <v>14</v>
      </c>
      <c r="O583" s="149" t="n">
        <v>20</v>
      </c>
    </row>
    <row r="584" customFormat="false" ht="14.25" hidden="false" customHeight="false" outlineLevel="0" collapsed="false">
      <c r="A584" s="1" t="n">
        <v>101</v>
      </c>
      <c r="B584" s="1" t="s">
        <v>475</v>
      </c>
      <c r="C584" s="143" t="s">
        <v>52</v>
      </c>
      <c r="D584" s="143" t="s">
        <v>53</v>
      </c>
      <c r="E584" s="143" t="s">
        <v>474</v>
      </c>
      <c r="F584" s="144" t="n">
        <v>200025888839</v>
      </c>
      <c r="G584" s="144" t="s">
        <v>413</v>
      </c>
      <c r="H584" s="144" t="n">
        <v>94</v>
      </c>
      <c r="I584" s="144" t="s">
        <v>152</v>
      </c>
      <c r="J584" s="148" t="n">
        <v>45056.2432175926</v>
      </c>
      <c r="K584" s="1" t="n">
        <v>1</v>
      </c>
      <c r="L584" s="144" t="n">
        <v>94</v>
      </c>
      <c r="M584" s="1" t="n">
        <v>14</v>
      </c>
      <c r="N584" s="1" t="n">
        <v>14</v>
      </c>
      <c r="O584" s="149" t="n">
        <v>21</v>
      </c>
    </row>
    <row r="585" customFormat="false" ht="14.25" hidden="false" customHeight="false" outlineLevel="0" collapsed="false">
      <c r="A585" s="1" t="n">
        <v>102</v>
      </c>
      <c r="B585" s="1" t="s">
        <v>475</v>
      </c>
      <c r="C585" s="143" t="s">
        <v>52</v>
      </c>
      <c r="D585" s="143" t="s">
        <v>53</v>
      </c>
      <c r="E585" s="143" t="s">
        <v>474</v>
      </c>
      <c r="F585" s="144" t="n">
        <v>200025888839</v>
      </c>
      <c r="G585" s="144" t="s">
        <v>413</v>
      </c>
      <c r="H585" s="144" t="n">
        <v>94</v>
      </c>
      <c r="I585" s="144" t="s">
        <v>152</v>
      </c>
      <c r="J585" s="148" t="n">
        <v>45056.2433217593</v>
      </c>
      <c r="K585" s="1" t="n">
        <v>4</v>
      </c>
      <c r="L585" s="144" t="n">
        <v>94</v>
      </c>
      <c r="M585" s="1" t="n">
        <v>14</v>
      </c>
      <c r="N585" s="1" t="n">
        <v>14</v>
      </c>
      <c r="O585" s="149" t="n">
        <v>22</v>
      </c>
    </row>
    <row r="586" customFormat="false" ht="14.25" hidden="false" customHeight="false" outlineLevel="0" collapsed="false">
      <c r="A586" s="1" t="n">
        <v>103</v>
      </c>
      <c r="B586" s="1" t="s">
        <v>475</v>
      </c>
      <c r="C586" s="143" t="s">
        <v>52</v>
      </c>
      <c r="D586" s="143" t="s">
        <v>53</v>
      </c>
      <c r="E586" s="143" t="s">
        <v>474</v>
      </c>
      <c r="F586" s="144" t="n">
        <v>200025888839</v>
      </c>
      <c r="G586" s="144" t="s">
        <v>413</v>
      </c>
      <c r="H586" s="144" t="n">
        <v>94</v>
      </c>
      <c r="I586" s="144" t="s">
        <v>152</v>
      </c>
      <c r="J586" s="148" t="n">
        <v>45056.2435185185</v>
      </c>
      <c r="K586" s="1" t="n">
        <v>0</v>
      </c>
      <c r="L586" s="144" t="n">
        <v>94</v>
      </c>
      <c r="M586" s="1" t="n">
        <v>14</v>
      </c>
      <c r="N586" s="1" t="n">
        <v>14</v>
      </c>
      <c r="O586" s="149" t="n">
        <v>23</v>
      </c>
    </row>
    <row r="587" customFormat="false" ht="14.25" hidden="false" customHeight="false" outlineLevel="0" collapsed="false">
      <c r="A587" s="1" t="n">
        <v>104</v>
      </c>
      <c r="B587" s="1" t="s">
        <v>475</v>
      </c>
      <c r="C587" s="143" t="s">
        <v>52</v>
      </c>
      <c r="D587" s="143" t="s">
        <v>53</v>
      </c>
      <c r="E587" s="143" t="s">
        <v>474</v>
      </c>
      <c r="F587" s="144" t="n">
        <v>200025888839</v>
      </c>
      <c r="G587" s="144" t="s">
        <v>413</v>
      </c>
      <c r="H587" s="144" t="n">
        <v>94</v>
      </c>
      <c r="I587" s="144" t="s">
        <v>152</v>
      </c>
      <c r="J587" s="148" t="n">
        <v>45056.2436574074</v>
      </c>
      <c r="K587" s="1" t="n">
        <v>5</v>
      </c>
      <c r="L587" s="144" t="n">
        <v>94</v>
      </c>
      <c r="M587" s="1" t="n">
        <v>14</v>
      </c>
      <c r="N587" s="1" t="n">
        <v>14</v>
      </c>
      <c r="O587" s="149" t="n">
        <v>24</v>
      </c>
    </row>
    <row r="588" customFormat="false" ht="14.25" hidden="false" customHeight="false" outlineLevel="0" collapsed="false">
      <c r="A588" s="1" t="n">
        <v>105</v>
      </c>
      <c r="B588" s="1" t="s">
        <v>475</v>
      </c>
      <c r="C588" s="143" t="s">
        <v>52</v>
      </c>
      <c r="D588" s="143" t="s">
        <v>53</v>
      </c>
      <c r="E588" s="143" t="s">
        <v>474</v>
      </c>
      <c r="F588" s="144" t="n">
        <v>200025888839</v>
      </c>
      <c r="G588" s="144" t="s">
        <v>413</v>
      </c>
      <c r="H588" s="144" t="n">
        <v>94</v>
      </c>
      <c r="I588" s="144" t="s">
        <v>152</v>
      </c>
      <c r="J588" s="148" t="n">
        <v>45056.2438194445</v>
      </c>
      <c r="K588" s="1" t="n">
        <v>1</v>
      </c>
      <c r="L588" s="144" t="n">
        <v>94</v>
      </c>
      <c r="M588" s="1" t="n">
        <v>14</v>
      </c>
      <c r="N588" s="1" t="n">
        <v>14</v>
      </c>
      <c r="O588" s="149" t="n">
        <v>25</v>
      </c>
    </row>
    <row r="589" customFormat="false" ht="14.25" hidden="false" customHeight="false" outlineLevel="0" collapsed="false">
      <c r="A589" s="1" t="n">
        <v>106</v>
      </c>
      <c r="B589" s="1" t="s">
        <v>475</v>
      </c>
      <c r="C589" s="143" t="s">
        <v>52</v>
      </c>
      <c r="D589" s="143" t="s">
        <v>53</v>
      </c>
      <c r="E589" s="143" t="s">
        <v>474</v>
      </c>
      <c r="F589" s="144" t="n">
        <v>200025888839</v>
      </c>
      <c r="G589" s="144" t="s">
        <v>413</v>
      </c>
      <c r="H589" s="144" t="n">
        <v>94</v>
      </c>
      <c r="I589" s="144" t="s">
        <v>152</v>
      </c>
      <c r="J589" s="148" t="n">
        <v>45056.2439814815</v>
      </c>
      <c r="K589" s="1" t="n">
        <v>2</v>
      </c>
      <c r="L589" s="144" t="n">
        <v>94</v>
      </c>
      <c r="M589" s="1" t="n">
        <v>14</v>
      </c>
      <c r="N589" s="1" t="n">
        <v>14</v>
      </c>
      <c r="O589" s="149" t="n">
        <v>26</v>
      </c>
    </row>
    <row r="590" customFormat="false" ht="14.25" hidden="false" customHeight="false" outlineLevel="0" collapsed="false">
      <c r="A590" s="1" t="n">
        <v>107</v>
      </c>
      <c r="B590" s="1" t="s">
        <v>475</v>
      </c>
      <c r="C590" s="143" t="s">
        <v>52</v>
      </c>
      <c r="D590" s="143" t="s">
        <v>53</v>
      </c>
      <c r="E590" s="143" t="s">
        <v>474</v>
      </c>
      <c r="F590" s="144" t="n">
        <v>200025888839</v>
      </c>
      <c r="G590" s="144" t="s">
        <v>413</v>
      </c>
      <c r="H590" s="144" t="n">
        <v>94</v>
      </c>
      <c r="I590" s="144" t="s">
        <v>152</v>
      </c>
      <c r="J590" s="148" t="n">
        <v>45056.2447685185</v>
      </c>
      <c r="K590" s="1" t="n">
        <v>3</v>
      </c>
      <c r="L590" s="144" t="n">
        <v>94</v>
      </c>
      <c r="M590" s="1" t="n">
        <v>14</v>
      </c>
      <c r="N590" s="1" t="n">
        <v>14</v>
      </c>
      <c r="O590" s="149" t="n">
        <v>27</v>
      </c>
    </row>
    <row r="591" customFormat="false" ht="14.25" hidden="false" customHeight="false" outlineLevel="0" collapsed="false">
      <c r="A591" s="1" t="n">
        <v>108</v>
      </c>
      <c r="B591" s="1" t="s">
        <v>475</v>
      </c>
      <c r="C591" s="143" t="s">
        <v>52</v>
      </c>
      <c r="D591" s="143" t="s">
        <v>53</v>
      </c>
      <c r="E591" s="143" t="s">
        <v>474</v>
      </c>
      <c r="F591" s="144" t="n">
        <v>200025888839</v>
      </c>
      <c r="G591" s="144" t="s">
        <v>413</v>
      </c>
      <c r="H591" s="144" t="n">
        <v>94</v>
      </c>
      <c r="I591" s="144" t="s">
        <v>152</v>
      </c>
      <c r="J591" s="148" t="n">
        <v>45056.2448263889</v>
      </c>
      <c r="K591" s="1" t="n">
        <v>1</v>
      </c>
      <c r="L591" s="144" t="n">
        <v>94</v>
      </c>
      <c r="M591" s="1" t="n">
        <v>14</v>
      </c>
      <c r="N591" s="1" t="n">
        <v>14</v>
      </c>
      <c r="O591" s="149" t="n">
        <v>28</v>
      </c>
    </row>
    <row r="592" customFormat="false" ht="14.25" hidden="false" customHeight="false" outlineLevel="0" collapsed="false">
      <c r="A592" s="1" t="n">
        <v>109</v>
      </c>
      <c r="B592" s="1" t="s">
        <v>475</v>
      </c>
      <c r="C592" s="143" t="s">
        <v>52</v>
      </c>
      <c r="D592" s="143" t="s">
        <v>53</v>
      </c>
      <c r="E592" s="143" t="s">
        <v>474</v>
      </c>
      <c r="F592" s="144" t="n">
        <v>200025888839</v>
      </c>
      <c r="G592" s="144" t="s">
        <v>413</v>
      </c>
      <c r="H592" s="144" t="n">
        <v>94</v>
      </c>
      <c r="I592" s="144" t="s">
        <v>152</v>
      </c>
      <c r="J592" s="148" t="n">
        <v>45056.245474537</v>
      </c>
      <c r="K592" s="1" t="n">
        <v>2</v>
      </c>
      <c r="L592" s="144" t="n">
        <v>94</v>
      </c>
      <c r="M592" s="1" t="n">
        <v>14</v>
      </c>
      <c r="N592" s="1" t="n">
        <v>14</v>
      </c>
      <c r="O592" s="149" t="n">
        <v>29</v>
      </c>
    </row>
    <row r="593" customFormat="false" ht="14.25" hidden="false" customHeight="false" outlineLevel="0" collapsed="false">
      <c r="A593" s="1" t="n">
        <v>110</v>
      </c>
      <c r="B593" s="1" t="s">
        <v>475</v>
      </c>
      <c r="C593" s="143" t="s">
        <v>52</v>
      </c>
      <c r="D593" s="143" t="s">
        <v>53</v>
      </c>
      <c r="E593" s="143" t="s">
        <v>474</v>
      </c>
      <c r="F593" s="144" t="n">
        <v>200025888839</v>
      </c>
      <c r="G593" s="144" t="s">
        <v>413</v>
      </c>
      <c r="H593" s="144" t="n">
        <v>94</v>
      </c>
      <c r="I593" s="144" t="s">
        <v>152</v>
      </c>
      <c r="J593" s="148" t="n">
        <v>45056.2455555556</v>
      </c>
      <c r="K593" s="1" t="n">
        <v>2</v>
      </c>
      <c r="L593" s="144" t="n">
        <v>94</v>
      </c>
      <c r="M593" s="1" t="n">
        <v>14</v>
      </c>
      <c r="N593" s="1" t="n">
        <v>14</v>
      </c>
      <c r="O593" s="149" t="n">
        <v>30</v>
      </c>
    </row>
    <row r="594" customFormat="false" ht="14.25" hidden="false" customHeight="false" outlineLevel="0" collapsed="false">
      <c r="A594" s="1" t="n">
        <v>111</v>
      </c>
      <c r="B594" s="1" t="s">
        <v>475</v>
      </c>
      <c r="C594" s="143" t="s">
        <v>52</v>
      </c>
      <c r="D594" s="143" t="s">
        <v>53</v>
      </c>
      <c r="E594" s="143" t="s">
        <v>474</v>
      </c>
      <c r="F594" s="144" t="n">
        <v>200025888839</v>
      </c>
      <c r="G594" s="144" t="s">
        <v>413</v>
      </c>
      <c r="H594" s="144" t="n">
        <v>94</v>
      </c>
      <c r="I594" s="144" t="s">
        <v>152</v>
      </c>
      <c r="J594" s="148" t="n">
        <v>45056.2457523148</v>
      </c>
      <c r="K594" s="1" t="n">
        <v>2</v>
      </c>
      <c r="L594" s="144" t="n">
        <v>94</v>
      </c>
      <c r="M594" s="1" t="n">
        <v>14</v>
      </c>
      <c r="N594" s="1" t="n">
        <v>14</v>
      </c>
      <c r="O594" s="149" t="n">
        <v>31</v>
      </c>
    </row>
    <row r="595" customFormat="false" ht="14.25" hidden="false" customHeight="false" outlineLevel="0" collapsed="false">
      <c r="A595" s="1" t="n">
        <v>112</v>
      </c>
      <c r="B595" s="1" t="s">
        <v>475</v>
      </c>
      <c r="C595" s="143" t="s">
        <v>52</v>
      </c>
      <c r="D595" s="143" t="s">
        <v>53</v>
      </c>
      <c r="E595" s="143" t="s">
        <v>474</v>
      </c>
      <c r="F595" s="144" t="n">
        <v>200025888839</v>
      </c>
      <c r="G595" s="144" t="s">
        <v>413</v>
      </c>
      <c r="H595" s="144" t="n">
        <v>94</v>
      </c>
      <c r="I595" s="144" t="s">
        <v>152</v>
      </c>
      <c r="J595" s="148" t="n">
        <v>45056.2458333333</v>
      </c>
      <c r="K595" s="1" t="n">
        <v>2</v>
      </c>
      <c r="L595" s="144" t="n">
        <v>94</v>
      </c>
      <c r="M595" s="1" t="n">
        <v>14</v>
      </c>
      <c r="N595" s="1" t="n">
        <v>14</v>
      </c>
      <c r="O595" s="149" t="n">
        <v>32</v>
      </c>
    </row>
    <row r="596" customFormat="false" ht="14.25" hidden="false" customHeight="false" outlineLevel="0" collapsed="false">
      <c r="A596" s="1" t="n">
        <v>113</v>
      </c>
      <c r="B596" s="1" t="s">
        <v>475</v>
      </c>
      <c r="C596" s="143" t="s">
        <v>52</v>
      </c>
      <c r="D596" s="143" t="s">
        <v>53</v>
      </c>
      <c r="E596" s="143" t="s">
        <v>474</v>
      </c>
      <c r="F596" s="144" t="n">
        <v>200025888839</v>
      </c>
      <c r="G596" s="144" t="s">
        <v>413</v>
      </c>
      <c r="H596" s="144" t="n">
        <v>94</v>
      </c>
      <c r="I596" s="144" t="s">
        <v>152</v>
      </c>
      <c r="J596" s="148" t="n">
        <v>45056.2467361111</v>
      </c>
      <c r="K596" s="1" t="n">
        <v>3</v>
      </c>
      <c r="L596" s="144" t="n">
        <v>94</v>
      </c>
      <c r="M596" s="1" t="n">
        <v>14</v>
      </c>
      <c r="N596" s="1" t="n">
        <v>14</v>
      </c>
      <c r="O596" s="149" t="n">
        <v>33</v>
      </c>
    </row>
    <row r="597" customFormat="false" ht="14.25" hidden="false" customHeight="false" outlineLevel="0" collapsed="false">
      <c r="A597" s="1" t="n">
        <v>114</v>
      </c>
      <c r="B597" s="1" t="s">
        <v>475</v>
      </c>
      <c r="C597" s="143" t="s">
        <v>52</v>
      </c>
      <c r="D597" s="143" t="s">
        <v>53</v>
      </c>
      <c r="E597" s="143" t="s">
        <v>474</v>
      </c>
      <c r="F597" s="144" t="n">
        <v>200025888839</v>
      </c>
      <c r="G597" s="144" t="s">
        <v>413</v>
      </c>
      <c r="H597" s="144" t="n">
        <v>94</v>
      </c>
      <c r="I597" s="144" t="s">
        <v>152</v>
      </c>
      <c r="J597" s="148" t="n">
        <v>45056.2469560185</v>
      </c>
      <c r="K597" s="1" t="n">
        <v>2</v>
      </c>
      <c r="L597" s="144" t="n">
        <v>94</v>
      </c>
      <c r="M597" s="1" t="n">
        <v>14</v>
      </c>
      <c r="N597" s="1" t="n">
        <v>14</v>
      </c>
      <c r="O597" s="149" t="n">
        <v>34</v>
      </c>
    </row>
    <row r="598" customFormat="false" ht="14.25" hidden="false" customHeight="false" outlineLevel="0" collapsed="false">
      <c r="A598" s="1" t="n">
        <v>115</v>
      </c>
      <c r="B598" s="1" t="s">
        <v>475</v>
      </c>
      <c r="C598" s="143" t="s">
        <v>52</v>
      </c>
      <c r="D598" s="143" t="s">
        <v>53</v>
      </c>
      <c r="E598" s="143" t="s">
        <v>474</v>
      </c>
      <c r="F598" s="144" t="n">
        <v>200025888839</v>
      </c>
      <c r="G598" s="144" t="s">
        <v>413</v>
      </c>
      <c r="H598" s="144" t="n">
        <v>94</v>
      </c>
      <c r="I598" s="144" t="s">
        <v>152</v>
      </c>
      <c r="J598" s="148" t="n">
        <v>45056.2472569444</v>
      </c>
      <c r="K598" s="1" t="n">
        <v>1</v>
      </c>
      <c r="L598" s="144" t="n">
        <v>94</v>
      </c>
      <c r="M598" s="1" t="n">
        <v>14</v>
      </c>
      <c r="N598" s="1" t="n">
        <v>14</v>
      </c>
      <c r="O598" s="149" t="n">
        <v>35</v>
      </c>
    </row>
    <row r="599" customFormat="false" ht="14.25" hidden="false" customHeight="false" outlineLevel="0" collapsed="false">
      <c r="A599" s="1" t="n">
        <v>90</v>
      </c>
      <c r="B599" s="1" t="s">
        <v>477</v>
      </c>
      <c r="C599" s="143" t="n">
        <v>91601</v>
      </c>
      <c r="D599" s="143" t="s">
        <v>64</v>
      </c>
      <c r="E599" s="143" t="s">
        <v>474</v>
      </c>
      <c r="F599" s="144" t="n">
        <v>200025888839</v>
      </c>
      <c r="G599" s="144" t="s">
        <v>413</v>
      </c>
      <c r="H599" s="144" t="n">
        <v>94</v>
      </c>
      <c r="I599" s="144" t="s">
        <v>152</v>
      </c>
      <c r="J599" s="150" t="n">
        <v>45056.5212152778</v>
      </c>
      <c r="K599" s="1" t="n">
        <v>2</v>
      </c>
      <c r="L599" s="144" t="n">
        <v>94</v>
      </c>
      <c r="M599" s="1" t="n">
        <v>14</v>
      </c>
      <c r="N599" s="1" t="n">
        <v>14</v>
      </c>
      <c r="O599" s="149" t="n">
        <v>36</v>
      </c>
    </row>
    <row r="600" customFormat="false" ht="14.25" hidden="false" customHeight="false" outlineLevel="0" collapsed="false">
      <c r="A600" s="1" t="n">
        <v>23</v>
      </c>
      <c r="B600" s="1" t="s">
        <v>478</v>
      </c>
      <c r="C600" s="143" t="n">
        <v>11171</v>
      </c>
      <c r="D600" s="143" t="s">
        <v>74</v>
      </c>
      <c r="E600" s="143" t="s">
        <v>474</v>
      </c>
      <c r="F600" s="144" t="n">
        <v>200025888839</v>
      </c>
      <c r="G600" s="144" t="s">
        <v>413</v>
      </c>
      <c r="H600" s="144" t="n">
        <v>94</v>
      </c>
      <c r="I600" s="144" t="s">
        <v>152</v>
      </c>
      <c r="J600" s="148" t="n">
        <v>45056.7739467593</v>
      </c>
      <c r="K600" s="1" t="n">
        <v>2</v>
      </c>
      <c r="L600" s="144" t="n">
        <v>94</v>
      </c>
      <c r="M600" s="1" t="n">
        <v>14</v>
      </c>
      <c r="N600" s="1" t="n">
        <v>14</v>
      </c>
      <c r="O600" s="149" t="n">
        <v>37</v>
      </c>
    </row>
    <row r="601" customFormat="false" ht="14.25" hidden="false" customHeight="false" outlineLevel="0" collapsed="false">
      <c r="A601" s="1" t="n">
        <v>199</v>
      </c>
      <c r="B601" s="1" t="s">
        <v>476</v>
      </c>
      <c r="C601" s="143" t="s">
        <v>58</v>
      </c>
      <c r="D601" s="143" t="s">
        <v>59</v>
      </c>
      <c r="E601" s="143" t="s">
        <v>474</v>
      </c>
      <c r="F601" s="144" t="n">
        <v>200025888839</v>
      </c>
      <c r="G601" s="144" t="s">
        <v>413</v>
      </c>
      <c r="H601" s="144" t="n">
        <v>94</v>
      </c>
      <c r="I601" s="144" t="s">
        <v>152</v>
      </c>
      <c r="J601" s="148" t="n">
        <v>45056.943125</v>
      </c>
      <c r="K601" s="1" t="n">
        <v>6</v>
      </c>
      <c r="L601" s="144" t="n">
        <v>94</v>
      </c>
      <c r="M601" s="1" t="n">
        <v>14</v>
      </c>
      <c r="N601" s="1" t="n">
        <v>14</v>
      </c>
      <c r="O601" s="149" t="n">
        <v>38</v>
      </c>
    </row>
    <row r="602" customFormat="false" ht="14.25" hidden="false" customHeight="false" outlineLevel="0" collapsed="false">
      <c r="A602" s="1" t="n">
        <v>202</v>
      </c>
      <c r="B602" s="1" t="s">
        <v>476</v>
      </c>
      <c r="C602" s="143" t="s">
        <v>58</v>
      </c>
      <c r="D602" s="143" t="s">
        <v>59</v>
      </c>
      <c r="E602" s="143" t="s">
        <v>474</v>
      </c>
      <c r="F602" s="144" t="n">
        <v>200025888839</v>
      </c>
      <c r="G602" s="144" t="s">
        <v>413</v>
      </c>
      <c r="H602" s="144" t="n">
        <v>94</v>
      </c>
      <c r="I602" s="144" t="s">
        <v>152</v>
      </c>
      <c r="J602" s="148" t="n">
        <v>45056.954375</v>
      </c>
      <c r="K602" s="1" t="n">
        <v>1</v>
      </c>
      <c r="L602" s="144" t="n">
        <v>94</v>
      </c>
      <c r="M602" s="1" t="n">
        <v>14</v>
      </c>
      <c r="N602" s="1" t="n">
        <v>14</v>
      </c>
      <c r="O602" s="149" t="n">
        <v>39</v>
      </c>
    </row>
    <row r="603" customFormat="false" ht="14.25" hidden="false" customHeight="false" outlineLevel="0" collapsed="false">
      <c r="A603" s="1" t="n">
        <v>203</v>
      </c>
      <c r="B603" s="1" t="s">
        <v>476</v>
      </c>
      <c r="C603" s="143" t="s">
        <v>58</v>
      </c>
      <c r="D603" s="143" t="s">
        <v>59</v>
      </c>
      <c r="E603" s="143" t="s">
        <v>474</v>
      </c>
      <c r="F603" s="144" t="n">
        <v>200025888839</v>
      </c>
      <c r="G603" s="144" t="s">
        <v>413</v>
      </c>
      <c r="H603" s="144" t="n">
        <v>94</v>
      </c>
      <c r="I603" s="144" t="s">
        <v>152</v>
      </c>
      <c r="J603" s="148" t="n">
        <v>45056.9543981482</v>
      </c>
      <c r="K603" s="1" t="n">
        <v>1</v>
      </c>
      <c r="L603" s="144" t="n">
        <v>94</v>
      </c>
      <c r="M603" s="1" t="n">
        <v>14</v>
      </c>
      <c r="N603" s="1" t="n">
        <v>14</v>
      </c>
      <c r="O603" s="149" t="n">
        <v>40</v>
      </c>
    </row>
    <row r="604" customFormat="false" ht="14.25" hidden="false" customHeight="false" outlineLevel="0" collapsed="false">
      <c r="A604" s="1" t="n">
        <v>214</v>
      </c>
      <c r="B604" s="1" t="s">
        <v>476</v>
      </c>
      <c r="C604" s="143" t="s">
        <v>58</v>
      </c>
      <c r="D604" s="143" t="s">
        <v>59</v>
      </c>
      <c r="E604" s="143" t="s">
        <v>474</v>
      </c>
      <c r="F604" s="144" t="n">
        <v>200025888839</v>
      </c>
      <c r="G604" s="144" t="s">
        <v>413</v>
      </c>
      <c r="H604" s="144" t="n">
        <v>94</v>
      </c>
      <c r="I604" s="144" t="s">
        <v>152</v>
      </c>
      <c r="J604" s="148" t="n">
        <v>45057.0354398148</v>
      </c>
      <c r="K604" s="1" t="n">
        <v>1</v>
      </c>
      <c r="L604" s="144" t="n">
        <v>94</v>
      </c>
      <c r="M604" s="1" t="n">
        <v>14</v>
      </c>
      <c r="N604" s="1" t="n">
        <v>14</v>
      </c>
      <c r="O604" s="149" t="n">
        <v>41</v>
      </c>
    </row>
    <row r="605" customFormat="false" ht="14.25" hidden="false" customHeight="false" outlineLevel="0" collapsed="false">
      <c r="A605" s="1" t="n">
        <v>215</v>
      </c>
      <c r="B605" s="1" t="s">
        <v>476</v>
      </c>
      <c r="C605" s="143" t="s">
        <v>58</v>
      </c>
      <c r="D605" s="143" t="s">
        <v>59</v>
      </c>
      <c r="E605" s="143" t="s">
        <v>474</v>
      </c>
      <c r="F605" s="144" t="n">
        <v>200025888839</v>
      </c>
      <c r="G605" s="144" t="s">
        <v>413</v>
      </c>
      <c r="H605" s="144" t="n">
        <v>94</v>
      </c>
      <c r="I605" s="144" t="s">
        <v>152</v>
      </c>
      <c r="J605" s="148" t="n">
        <v>45057.0361921296</v>
      </c>
      <c r="K605" s="1" t="n">
        <v>2</v>
      </c>
      <c r="L605" s="144" t="n">
        <v>94</v>
      </c>
      <c r="M605" s="1" t="n">
        <v>14</v>
      </c>
      <c r="N605" s="1" t="n">
        <v>14</v>
      </c>
      <c r="O605" s="149" t="n">
        <v>42</v>
      </c>
    </row>
    <row r="606" customFormat="false" ht="14.25" hidden="false" customHeight="false" outlineLevel="0" collapsed="false">
      <c r="A606" s="1" t="n">
        <v>232</v>
      </c>
      <c r="B606" s="1" t="s">
        <v>476</v>
      </c>
      <c r="C606" s="143" t="s">
        <v>58</v>
      </c>
      <c r="D606" s="143" t="s">
        <v>59</v>
      </c>
      <c r="E606" s="143" t="s">
        <v>474</v>
      </c>
      <c r="F606" s="144" t="n">
        <v>200025888839</v>
      </c>
      <c r="G606" s="144" t="s">
        <v>413</v>
      </c>
      <c r="H606" s="144" t="n">
        <v>94</v>
      </c>
      <c r="I606" s="144" t="s">
        <v>152</v>
      </c>
      <c r="J606" s="148" t="n">
        <v>45057.1227893519</v>
      </c>
      <c r="K606" s="1" t="n">
        <v>1</v>
      </c>
      <c r="L606" s="144" t="n">
        <v>94</v>
      </c>
      <c r="M606" s="1" t="n">
        <v>14</v>
      </c>
      <c r="N606" s="1" t="n">
        <v>14</v>
      </c>
      <c r="O606" s="149" t="n">
        <v>43</v>
      </c>
    </row>
    <row r="607" customFormat="false" ht="14.25" hidden="false" customHeight="false" outlineLevel="0" collapsed="false">
      <c r="A607" s="1" t="n">
        <v>30</v>
      </c>
      <c r="B607" s="1" t="s">
        <v>478</v>
      </c>
      <c r="C607" s="143" t="n">
        <v>11171</v>
      </c>
      <c r="D607" s="143" t="s">
        <v>74</v>
      </c>
      <c r="E607" s="143" t="s">
        <v>474</v>
      </c>
      <c r="F607" s="144" t="n">
        <v>200025888839</v>
      </c>
      <c r="G607" s="144" t="s">
        <v>413</v>
      </c>
      <c r="H607" s="144" t="n">
        <v>94</v>
      </c>
      <c r="I607" s="144" t="s">
        <v>152</v>
      </c>
      <c r="J607" s="148" t="n">
        <v>45057.2276736111</v>
      </c>
      <c r="K607" s="1" t="n">
        <v>3</v>
      </c>
      <c r="L607" s="144" t="n">
        <v>94</v>
      </c>
      <c r="M607" s="1" t="n">
        <v>14</v>
      </c>
      <c r="N607" s="1" t="n">
        <v>14</v>
      </c>
      <c r="O607" s="149" t="n">
        <v>44</v>
      </c>
    </row>
    <row r="608" customFormat="false" ht="14.25" hidden="false" customHeight="false" outlineLevel="0" collapsed="false">
      <c r="A608" s="1" t="n">
        <v>198</v>
      </c>
      <c r="B608" s="1" t="s">
        <v>477</v>
      </c>
      <c r="C608" s="143" t="n">
        <v>91601</v>
      </c>
      <c r="D608" s="143" t="s">
        <v>64</v>
      </c>
      <c r="E608" s="143" t="s">
        <v>474</v>
      </c>
      <c r="F608" s="144" t="n">
        <v>200025888839</v>
      </c>
      <c r="G608" s="144" t="s">
        <v>413</v>
      </c>
      <c r="H608" s="144" t="n">
        <v>94</v>
      </c>
      <c r="I608" s="144" t="s">
        <v>152</v>
      </c>
      <c r="J608" s="150" t="n">
        <v>45057.3191666667</v>
      </c>
      <c r="K608" s="1" t="n">
        <v>0</v>
      </c>
      <c r="L608" s="144" t="n">
        <v>94</v>
      </c>
      <c r="M608" s="1" t="n">
        <v>14</v>
      </c>
      <c r="N608" s="1" t="n">
        <v>14</v>
      </c>
      <c r="O608" s="149" t="n">
        <v>45</v>
      </c>
    </row>
    <row r="609" customFormat="false" ht="14.25" hidden="false" customHeight="false" outlineLevel="0" collapsed="false">
      <c r="A609" s="1" t="n">
        <v>192</v>
      </c>
      <c r="B609" s="1" t="s">
        <v>475</v>
      </c>
      <c r="C609" s="143" t="s">
        <v>52</v>
      </c>
      <c r="D609" s="143" t="s">
        <v>53</v>
      </c>
      <c r="E609" s="143" t="s">
        <v>474</v>
      </c>
      <c r="F609" s="144" t="n">
        <v>200025888839</v>
      </c>
      <c r="G609" s="144" t="s">
        <v>413</v>
      </c>
      <c r="H609" s="144" t="n">
        <v>94</v>
      </c>
      <c r="I609" s="144" t="s">
        <v>152</v>
      </c>
      <c r="J609" s="148" t="n">
        <v>45057.4124768519</v>
      </c>
      <c r="K609" s="1" t="n">
        <v>2</v>
      </c>
      <c r="L609" s="144" t="n">
        <v>94</v>
      </c>
      <c r="M609" s="1" t="n">
        <v>14</v>
      </c>
      <c r="N609" s="1" t="n">
        <v>14</v>
      </c>
      <c r="O609" s="149" t="n">
        <v>46</v>
      </c>
    </row>
    <row r="610" customFormat="false" ht="14.25" hidden="false" customHeight="false" outlineLevel="0" collapsed="false">
      <c r="A610" s="1" t="n">
        <v>256</v>
      </c>
      <c r="B610" s="1" t="s">
        <v>476</v>
      </c>
      <c r="C610" s="143" t="s">
        <v>58</v>
      </c>
      <c r="D610" s="143" t="s">
        <v>59</v>
      </c>
      <c r="E610" s="143" t="s">
        <v>474</v>
      </c>
      <c r="F610" s="144" t="n">
        <v>200025888839</v>
      </c>
      <c r="G610" s="144" t="s">
        <v>413</v>
      </c>
      <c r="H610" s="144" t="n">
        <v>94</v>
      </c>
      <c r="I610" s="144" t="s">
        <v>152</v>
      </c>
      <c r="J610" s="148" t="n">
        <v>45057.419537037</v>
      </c>
      <c r="K610" s="1" t="n">
        <v>1</v>
      </c>
      <c r="L610" s="144" t="n">
        <v>94</v>
      </c>
      <c r="M610" s="1" t="n">
        <v>14</v>
      </c>
      <c r="N610" s="1" t="n">
        <v>14</v>
      </c>
      <c r="O610" s="149" t="n">
        <v>47</v>
      </c>
    </row>
    <row r="611" customFormat="false" ht="14.25" hidden="false" customHeight="false" outlineLevel="0" collapsed="false">
      <c r="A611" s="1" t="n">
        <v>193</v>
      </c>
      <c r="B611" s="1" t="s">
        <v>475</v>
      </c>
      <c r="C611" s="143" t="s">
        <v>52</v>
      </c>
      <c r="D611" s="143" t="s">
        <v>53</v>
      </c>
      <c r="E611" s="143" t="s">
        <v>474</v>
      </c>
      <c r="F611" s="144" t="n">
        <v>200025888839</v>
      </c>
      <c r="G611" s="144" t="s">
        <v>413</v>
      </c>
      <c r="H611" s="144" t="n">
        <v>94</v>
      </c>
      <c r="I611" s="144" t="s">
        <v>152</v>
      </c>
      <c r="J611" s="148" t="n">
        <v>45057.4323958333</v>
      </c>
      <c r="K611" s="1" t="n">
        <v>1</v>
      </c>
      <c r="L611" s="144" t="n">
        <v>94</v>
      </c>
      <c r="M611" s="1" t="n">
        <v>14</v>
      </c>
      <c r="N611" s="1" t="n">
        <v>14</v>
      </c>
      <c r="O611" s="149" t="n">
        <v>48</v>
      </c>
    </row>
    <row r="612" customFormat="false" ht="14.25" hidden="false" customHeight="false" outlineLevel="0" collapsed="false">
      <c r="A612" s="1" t="n">
        <v>194</v>
      </c>
      <c r="B612" s="1" t="s">
        <v>475</v>
      </c>
      <c r="C612" s="143" t="s">
        <v>52</v>
      </c>
      <c r="D612" s="143" t="s">
        <v>53</v>
      </c>
      <c r="E612" s="143" t="s">
        <v>474</v>
      </c>
      <c r="F612" s="144" t="n">
        <v>200025888839</v>
      </c>
      <c r="G612" s="144" t="s">
        <v>413</v>
      </c>
      <c r="H612" s="144" t="n">
        <v>94</v>
      </c>
      <c r="I612" s="144" t="s">
        <v>152</v>
      </c>
      <c r="J612" s="148" t="n">
        <v>45057.4327662037</v>
      </c>
      <c r="K612" s="1" t="n">
        <v>2</v>
      </c>
      <c r="L612" s="144" t="n">
        <v>94</v>
      </c>
      <c r="M612" s="1" t="n">
        <v>14</v>
      </c>
      <c r="N612" s="1" t="n">
        <v>14</v>
      </c>
      <c r="O612" s="149" t="n">
        <v>49</v>
      </c>
    </row>
    <row r="613" customFormat="false" ht="14.25" hidden="false" customHeight="false" outlineLevel="0" collapsed="false">
      <c r="A613" s="1" t="n">
        <v>206</v>
      </c>
      <c r="B613" s="1" t="s">
        <v>475</v>
      </c>
      <c r="C613" s="143" t="s">
        <v>52</v>
      </c>
      <c r="D613" s="143" t="s">
        <v>53</v>
      </c>
      <c r="E613" s="143" t="s">
        <v>474</v>
      </c>
      <c r="F613" s="144" t="n">
        <v>200025888839</v>
      </c>
      <c r="G613" s="144" t="s">
        <v>413</v>
      </c>
      <c r="H613" s="144" t="n">
        <v>94</v>
      </c>
      <c r="I613" s="144" t="s">
        <v>152</v>
      </c>
      <c r="J613" s="148" t="n">
        <v>45057.5191435185</v>
      </c>
      <c r="K613" s="1" t="n">
        <v>1</v>
      </c>
      <c r="L613" s="144" t="n">
        <v>94</v>
      </c>
      <c r="M613" s="1" t="n">
        <v>14</v>
      </c>
      <c r="N613" s="1" t="n">
        <v>14</v>
      </c>
      <c r="O613" s="149" t="n">
        <v>50</v>
      </c>
    </row>
    <row r="614" customFormat="false" ht="14.25" hidden="false" customHeight="false" outlineLevel="0" collapsed="false">
      <c r="A614" s="1" t="n">
        <v>258</v>
      </c>
      <c r="B614" s="1" t="s">
        <v>476</v>
      </c>
      <c r="C614" s="143" t="s">
        <v>58</v>
      </c>
      <c r="D614" s="143" t="s">
        <v>59</v>
      </c>
      <c r="E614" s="143" t="s">
        <v>474</v>
      </c>
      <c r="F614" s="144" t="n">
        <v>200025888839</v>
      </c>
      <c r="G614" s="144" t="s">
        <v>413</v>
      </c>
      <c r="H614" s="144" t="n">
        <v>94</v>
      </c>
      <c r="I614" s="144" t="s">
        <v>152</v>
      </c>
      <c r="J614" s="148" t="n">
        <v>45057.6049074074</v>
      </c>
      <c r="K614" s="1" t="n">
        <v>2</v>
      </c>
      <c r="L614" s="144" t="n">
        <v>94</v>
      </c>
      <c r="M614" s="1" t="n">
        <v>14</v>
      </c>
      <c r="N614" s="1" t="n">
        <v>14</v>
      </c>
      <c r="O614" s="149" t="n">
        <v>51</v>
      </c>
    </row>
    <row r="615" customFormat="false" ht="14.25" hidden="false" customHeight="false" outlineLevel="0" collapsed="false">
      <c r="A615" s="1" t="n">
        <v>259</v>
      </c>
      <c r="B615" s="1" t="s">
        <v>476</v>
      </c>
      <c r="C615" s="143" t="s">
        <v>58</v>
      </c>
      <c r="D615" s="143" t="s">
        <v>59</v>
      </c>
      <c r="E615" s="143" t="s">
        <v>474</v>
      </c>
      <c r="F615" s="144" t="n">
        <v>200025888839</v>
      </c>
      <c r="G615" s="144" t="s">
        <v>413</v>
      </c>
      <c r="H615" s="144" t="n">
        <v>94</v>
      </c>
      <c r="I615" s="144" t="s">
        <v>152</v>
      </c>
      <c r="J615" s="148" t="n">
        <v>45057.6051157407</v>
      </c>
      <c r="K615" s="1" t="n">
        <v>2</v>
      </c>
      <c r="L615" s="144" t="n">
        <v>94</v>
      </c>
      <c r="M615" s="1" t="n">
        <v>14</v>
      </c>
      <c r="N615" s="1" t="n">
        <v>14</v>
      </c>
      <c r="O615" s="149" t="n">
        <v>52</v>
      </c>
    </row>
    <row r="616" customFormat="false" ht="14.25" hidden="false" customHeight="false" outlineLevel="0" collapsed="false">
      <c r="A616" s="1" t="n">
        <v>260</v>
      </c>
      <c r="B616" s="1" t="s">
        <v>476</v>
      </c>
      <c r="C616" s="143" t="s">
        <v>58</v>
      </c>
      <c r="D616" s="143" t="s">
        <v>59</v>
      </c>
      <c r="E616" s="143" t="s">
        <v>474</v>
      </c>
      <c r="F616" s="144" t="n">
        <v>200025888839</v>
      </c>
      <c r="G616" s="144" t="s">
        <v>413</v>
      </c>
      <c r="H616" s="144" t="n">
        <v>94</v>
      </c>
      <c r="I616" s="144" t="s">
        <v>152</v>
      </c>
      <c r="J616" s="151" t="n">
        <v>45057.6070717593</v>
      </c>
      <c r="K616" s="1" t="n">
        <v>3</v>
      </c>
      <c r="L616" s="144" t="n">
        <v>94</v>
      </c>
      <c r="M616" s="1" t="n">
        <v>14</v>
      </c>
      <c r="N616" s="1" t="n">
        <v>14</v>
      </c>
      <c r="O616" s="149" t="n">
        <v>53</v>
      </c>
    </row>
    <row r="617" customFormat="false" ht="14.25" hidden="false" customHeight="false" outlineLevel="0" collapsed="false">
      <c r="A617" s="1" t="n">
        <v>39</v>
      </c>
      <c r="B617" s="1" t="s">
        <v>476</v>
      </c>
      <c r="C617" s="143" t="n">
        <v>11490</v>
      </c>
      <c r="D617" s="143" t="s">
        <v>65</v>
      </c>
      <c r="E617" s="143" t="s">
        <v>474</v>
      </c>
      <c r="F617" s="144" t="n">
        <v>200025888839</v>
      </c>
      <c r="G617" s="144" t="s">
        <v>413</v>
      </c>
      <c r="H617" s="144" t="n">
        <v>94</v>
      </c>
      <c r="I617" s="144" t="s">
        <v>152</v>
      </c>
      <c r="J617" s="151" t="n">
        <v>45068.6102314815</v>
      </c>
      <c r="K617" s="1" t="n">
        <v>1</v>
      </c>
      <c r="L617" s="144" t="n">
        <v>94</v>
      </c>
      <c r="M617" s="1" t="n">
        <v>14</v>
      </c>
      <c r="N617" s="1" t="n">
        <v>14</v>
      </c>
      <c r="O617" s="149" t="n">
        <v>54</v>
      </c>
    </row>
    <row r="618" customFormat="false" ht="14.25" hidden="false" customHeight="false" outlineLevel="0" collapsed="false">
      <c r="A618" s="1" t="n">
        <v>44</v>
      </c>
      <c r="B618" s="1" t="s">
        <v>473</v>
      </c>
      <c r="C618" s="143" t="n">
        <v>11490</v>
      </c>
      <c r="D618" s="143" t="s">
        <v>65</v>
      </c>
      <c r="E618" s="143" t="s">
        <v>474</v>
      </c>
      <c r="F618" s="144" t="n">
        <v>200025889154</v>
      </c>
      <c r="G618" s="144" t="s">
        <v>193</v>
      </c>
      <c r="H618" s="144" t="n">
        <v>7</v>
      </c>
      <c r="I618" s="144" t="s">
        <v>152</v>
      </c>
      <c r="J618" s="148" t="n">
        <v>45056.0077546296</v>
      </c>
      <c r="K618" s="1" t="n">
        <v>5</v>
      </c>
      <c r="L618" s="144" t="n">
        <v>7</v>
      </c>
      <c r="M618" s="1" t="n">
        <v>15</v>
      </c>
      <c r="N618" s="1" t="n">
        <v>15</v>
      </c>
      <c r="O618" s="149" t="n">
        <v>1</v>
      </c>
    </row>
    <row r="619" customFormat="false" ht="14.25" hidden="false" customHeight="false" outlineLevel="0" collapsed="false">
      <c r="A619" s="1" t="n">
        <v>45</v>
      </c>
      <c r="B619" s="1" t="s">
        <v>473</v>
      </c>
      <c r="C619" s="143" t="n">
        <v>11490</v>
      </c>
      <c r="D619" s="143" t="s">
        <v>65</v>
      </c>
      <c r="E619" s="143" t="s">
        <v>474</v>
      </c>
      <c r="F619" s="144" t="n">
        <v>200025889154</v>
      </c>
      <c r="G619" s="144" t="s">
        <v>193</v>
      </c>
      <c r="H619" s="144" t="n">
        <v>7</v>
      </c>
      <c r="I619" s="144" t="s">
        <v>152</v>
      </c>
      <c r="J619" s="148" t="n">
        <v>45056.0079282407</v>
      </c>
      <c r="K619" s="1" t="n">
        <v>0</v>
      </c>
      <c r="L619" s="144" t="n">
        <v>7</v>
      </c>
      <c r="M619" s="1" t="n">
        <v>15</v>
      </c>
      <c r="N619" s="1" t="n">
        <v>15</v>
      </c>
      <c r="O619" s="149" t="n">
        <v>2</v>
      </c>
    </row>
    <row r="620" customFormat="false" ht="14.25" hidden="false" customHeight="false" outlineLevel="0" collapsed="false">
      <c r="A620" s="1" t="n">
        <v>46</v>
      </c>
      <c r="B620" s="1" t="s">
        <v>473</v>
      </c>
      <c r="C620" s="143" t="n">
        <v>11490</v>
      </c>
      <c r="D620" s="143" t="s">
        <v>65</v>
      </c>
      <c r="E620" s="143" t="s">
        <v>474</v>
      </c>
      <c r="F620" s="144" t="n">
        <v>200025889154</v>
      </c>
      <c r="G620" s="144" t="s">
        <v>193</v>
      </c>
      <c r="H620" s="144" t="n">
        <v>7</v>
      </c>
      <c r="I620" s="144" t="s">
        <v>152</v>
      </c>
      <c r="J620" s="148" t="n">
        <v>45056.0144328704</v>
      </c>
      <c r="K620" s="1" t="n">
        <v>1</v>
      </c>
      <c r="L620" s="144" t="n">
        <v>7</v>
      </c>
      <c r="M620" s="1" t="n">
        <v>15</v>
      </c>
      <c r="N620" s="1" t="n">
        <v>15</v>
      </c>
      <c r="O620" s="149" t="n">
        <v>3</v>
      </c>
    </row>
    <row r="621" customFormat="false" ht="14.25" hidden="false" customHeight="false" outlineLevel="0" collapsed="false">
      <c r="A621" s="1" t="n">
        <v>47</v>
      </c>
      <c r="B621" s="1" t="s">
        <v>473</v>
      </c>
      <c r="C621" s="143" t="n">
        <v>11490</v>
      </c>
      <c r="D621" s="143" t="s">
        <v>65</v>
      </c>
      <c r="E621" s="143" t="s">
        <v>474</v>
      </c>
      <c r="F621" s="144" t="n">
        <v>200025889154</v>
      </c>
      <c r="G621" s="144" t="s">
        <v>193</v>
      </c>
      <c r="H621" s="144" t="n">
        <v>7</v>
      </c>
      <c r="I621" s="144" t="s">
        <v>152</v>
      </c>
      <c r="J621" s="148" t="n">
        <v>45056.0150347222</v>
      </c>
      <c r="K621" s="1" t="n">
        <v>2</v>
      </c>
      <c r="L621" s="144" t="n">
        <v>7</v>
      </c>
      <c r="M621" s="1" t="n">
        <v>15</v>
      </c>
      <c r="N621" s="1" t="n">
        <v>15</v>
      </c>
      <c r="O621" s="149" t="n">
        <v>4</v>
      </c>
    </row>
    <row r="622" customFormat="false" ht="14.25" hidden="false" customHeight="false" outlineLevel="0" collapsed="false">
      <c r="A622" s="1" t="n">
        <v>48</v>
      </c>
      <c r="B622" s="1" t="s">
        <v>473</v>
      </c>
      <c r="C622" s="143" t="n">
        <v>11490</v>
      </c>
      <c r="D622" s="143" t="s">
        <v>65</v>
      </c>
      <c r="E622" s="143" t="s">
        <v>474</v>
      </c>
      <c r="F622" s="144" t="n">
        <v>200025889154</v>
      </c>
      <c r="G622" s="144" t="s">
        <v>193</v>
      </c>
      <c r="H622" s="144" t="n">
        <v>7</v>
      </c>
      <c r="I622" s="144" t="s">
        <v>152</v>
      </c>
      <c r="J622" s="148" t="n">
        <v>45056.0291319444</v>
      </c>
      <c r="K622" s="1" t="n">
        <v>2</v>
      </c>
      <c r="L622" s="144" t="n">
        <v>7</v>
      </c>
      <c r="M622" s="1" t="n">
        <v>15</v>
      </c>
      <c r="N622" s="1" t="n">
        <v>15</v>
      </c>
      <c r="O622" s="149" t="n">
        <v>5</v>
      </c>
    </row>
    <row r="623" customFormat="false" ht="14.25" hidden="false" customHeight="false" outlineLevel="0" collapsed="false">
      <c r="A623" s="1" t="n">
        <v>49</v>
      </c>
      <c r="B623" s="1" t="s">
        <v>473</v>
      </c>
      <c r="C623" s="143" t="n">
        <v>11490</v>
      </c>
      <c r="D623" s="143" t="s">
        <v>65</v>
      </c>
      <c r="E623" s="143" t="s">
        <v>474</v>
      </c>
      <c r="F623" s="144" t="n">
        <v>200025889154</v>
      </c>
      <c r="G623" s="144" t="s">
        <v>193</v>
      </c>
      <c r="H623" s="144" t="n">
        <v>7</v>
      </c>
      <c r="I623" s="144" t="s">
        <v>152</v>
      </c>
      <c r="J623" s="148" t="n">
        <v>45056.0296296296</v>
      </c>
      <c r="K623" s="1" t="n">
        <v>1</v>
      </c>
      <c r="L623" s="144" t="n">
        <v>7</v>
      </c>
      <c r="M623" s="1" t="n">
        <v>15</v>
      </c>
      <c r="N623" s="1" t="n">
        <v>15</v>
      </c>
      <c r="O623" s="149" t="n">
        <v>6</v>
      </c>
    </row>
    <row r="624" customFormat="false" ht="14.25" hidden="false" customHeight="false" outlineLevel="0" collapsed="false">
      <c r="A624" s="1" t="n">
        <v>50</v>
      </c>
      <c r="B624" s="1" t="s">
        <v>473</v>
      </c>
      <c r="C624" s="143" t="n">
        <v>11490</v>
      </c>
      <c r="D624" s="143" t="s">
        <v>65</v>
      </c>
      <c r="E624" s="143" t="s">
        <v>474</v>
      </c>
      <c r="F624" s="144" t="s">
        <v>493</v>
      </c>
      <c r="G624" s="144" t="s">
        <v>193</v>
      </c>
      <c r="H624" s="144" t="n">
        <v>7</v>
      </c>
      <c r="I624" s="144" t="s">
        <v>152</v>
      </c>
      <c r="J624" s="148" t="n">
        <v>45056.0301388889</v>
      </c>
      <c r="K624" s="1" t="n">
        <v>0</v>
      </c>
      <c r="L624" s="144" t="n">
        <v>7</v>
      </c>
      <c r="M624" s="1" t="n">
        <v>15</v>
      </c>
      <c r="N624" s="1" t="n">
        <v>15</v>
      </c>
      <c r="O624" s="149" t="n">
        <v>7</v>
      </c>
    </row>
    <row r="625" customFormat="false" ht="14.25" hidden="false" customHeight="false" outlineLevel="0" collapsed="false">
      <c r="A625" s="1" t="n">
        <v>51</v>
      </c>
      <c r="B625" s="1" t="s">
        <v>473</v>
      </c>
      <c r="C625" s="143" t="n">
        <v>11490</v>
      </c>
      <c r="D625" s="143" t="s">
        <v>65</v>
      </c>
      <c r="E625" s="143" t="s">
        <v>474</v>
      </c>
      <c r="F625" s="144" t="n">
        <v>200025889154</v>
      </c>
      <c r="G625" s="144" t="s">
        <v>193</v>
      </c>
      <c r="H625" s="144" t="n">
        <v>7</v>
      </c>
      <c r="I625" s="144" t="s">
        <v>152</v>
      </c>
      <c r="J625" s="148" t="n">
        <v>45056.040462963</v>
      </c>
      <c r="K625" s="1" t="n">
        <v>2</v>
      </c>
      <c r="L625" s="144" t="n">
        <v>7</v>
      </c>
      <c r="M625" s="1" t="n">
        <v>15</v>
      </c>
      <c r="N625" s="1" t="n">
        <v>15</v>
      </c>
      <c r="O625" s="149" t="n">
        <v>8</v>
      </c>
    </row>
    <row r="626" customFormat="false" ht="14.25" hidden="false" customHeight="false" outlineLevel="0" collapsed="false">
      <c r="A626" s="1" t="n">
        <v>52</v>
      </c>
      <c r="B626" s="1" t="s">
        <v>473</v>
      </c>
      <c r="C626" s="143" t="n">
        <v>11490</v>
      </c>
      <c r="D626" s="143" t="s">
        <v>65</v>
      </c>
      <c r="E626" s="143" t="s">
        <v>474</v>
      </c>
      <c r="F626" s="144" t="n">
        <v>200025889154</v>
      </c>
      <c r="G626" s="144" t="s">
        <v>193</v>
      </c>
      <c r="H626" s="144" t="n">
        <v>7</v>
      </c>
      <c r="I626" s="144" t="s">
        <v>152</v>
      </c>
      <c r="J626" s="148" t="n">
        <v>45056.0420486111</v>
      </c>
      <c r="K626" s="1" t="n">
        <v>1</v>
      </c>
      <c r="L626" s="144" t="n">
        <v>7</v>
      </c>
      <c r="M626" s="1" t="n">
        <v>15</v>
      </c>
      <c r="N626" s="1" t="n">
        <v>15</v>
      </c>
      <c r="O626" s="149" t="n">
        <v>9</v>
      </c>
    </row>
    <row r="627" customFormat="false" ht="14.25" hidden="false" customHeight="false" outlineLevel="0" collapsed="false">
      <c r="A627" s="1" t="n">
        <v>53</v>
      </c>
      <c r="B627" s="1" t="s">
        <v>473</v>
      </c>
      <c r="C627" s="143" t="n">
        <v>11490</v>
      </c>
      <c r="D627" s="143" t="s">
        <v>65</v>
      </c>
      <c r="E627" s="143" t="s">
        <v>474</v>
      </c>
      <c r="F627" s="144" t="s">
        <v>493</v>
      </c>
      <c r="G627" s="144" t="s">
        <v>193</v>
      </c>
      <c r="H627" s="144" t="n">
        <v>7</v>
      </c>
      <c r="I627" s="144" t="s">
        <v>152</v>
      </c>
      <c r="J627" s="148" t="n">
        <v>45056.0423726852</v>
      </c>
      <c r="K627" s="1" t="n">
        <v>2</v>
      </c>
      <c r="L627" s="144" t="n">
        <v>7</v>
      </c>
      <c r="M627" s="1" t="n">
        <v>15</v>
      </c>
      <c r="N627" s="1" t="n">
        <v>15</v>
      </c>
      <c r="O627" s="149" t="n">
        <v>10</v>
      </c>
    </row>
    <row r="628" customFormat="false" ht="14.25" hidden="false" customHeight="false" outlineLevel="0" collapsed="false">
      <c r="A628" s="1" t="n">
        <v>54</v>
      </c>
      <c r="B628" s="1" t="s">
        <v>473</v>
      </c>
      <c r="C628" s="143" t="n">
        <v>11490</v>
      </c>
      <c r="D628" s="143" t="s">
        <v>65</v>
      </c>
      <c r="E628" s="143" t="s">
        <v>474</v>
      </c>
      <c r="F628" s="144" t="n">
        <v>200025889154</v>
      </c>
      <c r="G628" s="144" t="s">
        <v>193</v>
      </c>
      <c r="H628" s="144" t="n">
        <v>7</v>
      </c>
      <c r="I628" s="144" t="s">
        <v>152</v>
      </c>
      <c r="J628" s="148" t="n">
        <v>45056.0440972222</v>
      </c>
      <c r="K628" s="1" t="n">
        <v>1</v>
      </c>
      <c r="L628" s="144" t="n">
        <v>7</v>
      </c>
      <c r="M628" s="1" t="n">
        <v>15</v>
      </c>
      <c r="N628" s="1" t="n">
        <v>15</v>
      </c>
      <c r="O628" s="149" t="n">
        <v>11</v>
      </c>
    </row>
    <row r="629" customFormat="false" ht="14.25" hidden="false" customHeight="false" outlineLevel="0" collapsed="false">
      <c r="A629" s="1" t="n">
        <v>55</v>
      </c>
      <c r="B629" s="1" t="s">
        <v>473</v>
      </c>
      <c r="C629" s="143" t="n">
        <v>11490</v>
      </c>
      <c r="D629" s="143" t="s">
        <v>65</v>
      </c>
      <c r="E629" s="143" t="s">
        <v>474</v>
      </c>
      <c r="F629" s="144" t="n">
        <v>200025889154</v>
      </c>
      <c r="G629" s="144" t="s">
        <v>193</v>
      </c>
      <c r="H629" s="144" t="n">
        <v>7</v>
      </c>
      <c r="I629" s="144" t="s">
        <v>152</v>
      </c>
      <c r="J629" s="148" t="n">
        <v>45056.044375</v>
      </c>
      <c r="K629" s="1" t="n">
        <v>1</v>
      </c>
      <c r="L629" s="144" t="n">
        <v>7</v>
      </c>
      <c r="M629" s="1" t="n">
        <v>15</v>
      </c>
      <c r="N629" s="1" t="n">
        <v>15</v>
      </c>
      <c r="O629" s="149" t="n">
        <v>12</v>
      </c>
    </row>
    <row r="630" customFormat="false" ht="14.25" hidden="false" customHeight="false" outlineLevel="0" collapsed="false">
      <c r="A630" s="1" t="n">
        <v>56</v>
      </c>
      <c r="B630" s="1" t="s">
        <v>473</v>
      </c>
      <c r="C630" s="143" t="n">
        <v>11490</v>
      </c>
      <c r="D630" s="143" t="s">
        <v>65</v>
      </c>
      <c r="E630" s="143" t="s">
        <v>474</v>
      </c>
      <c r="F630" s="144" t="n">
        <v>200025889154</v>
      </c>
      <c r="G630" s="144" t="s">
        <v>193</v>
      </c>
      <c r="H630" s="144" t="n">
        <v>7</v>
      </c>
      <c r="I630" s="144" t="s">
        <v>152</v>
      </c>
      <c r="J630" s="148" t="n">
        <v>45056.0443865741</v>
      </c>
      <c r="K630" s="1" t="n">
        <v>0</v>
      </c>
      <c r="L630" s="144" t="n">
        <v>7</v>
      </c>
      <c r="M630" s="1" t="n">
        <v>15</v>
      </c>
      <c r="N630" s="1" t="n">
        <v>15</v>
      </c>
      <c r="O630" s="149" t="n">
        <v>13</v>
      </c>
    </row>
    <row r="631" customFormat="false" ht="14.25" hidden="false" customHeight="false" outlineLevel="0" collapsed="false">
      <c r="A631" s="1" t="n">
        <v>57</v>
      </c>
      <c r="B631" s="1" t="s">
        <v>473</v>
      </c>
      <c r="C631" s="143" t="n">
        <v>11490</v>
      </c>
      <c r="D631" s="143" t="s">
        <v>65</v>
      </c>
      <c r="E631" s="143" t="s">
        <v>474</v>
      </c>
      <c r="F631" s="144" t="n">
        <v>200025889154</v>
      </c>
      <c r="G631" s="144" t="s">
        <v>193</v>
      </c>
      <c r="H631" s="144" t="n">
        <v>7</v>
      </c>
      <c r="I631" s="144" t="s">
        <v>152</v>
      </c>
      <c r="J631" s="148" t="n">
        <v>45056.044537037</v>
      </c>
      <c r="K631" s="1" t="n">
        <v>3</v>
      </c>
      <c r="L631" s="144" t="n">
        <v>7</v>
      </c>
      <c r="M631" s="1" t="n">
        <v>15</v>
      </c>
      <c r="N631" s="1" t="n">
        <v>15</v>
      </c>
      <c r="O631" s="149" t="n">
        <v>14</v>
      </c>
    </row>
    <row r="632" customFormat="false" ht="14.25" hidden="false" customHeight="false" outlineLevel="0" collapsed="false">
      <c r="A632" s="1" t="n">
        <v>58</v>
      </c>
      <c r="B632" s="1" t="s">
        <v>473</v>
      </c>
      <c r="C632" s="143" t="n">
        <v>11490</v>
      </c>
      <c r="D632" s="143" t="s">
        <v>65</v>
      </c>
      <c r="E632" s="143" t="s">
        <v>474</v>
      </c>
      <c r="F632" s="144" t="s">
        <v>493</v>
      </c>
      <c r="G632" s="144" t="s">
        <v>193</v>
      </c>
      <c r="H632" s="144" t="n">
        <v>7</v>
      </c>
      <c r="I632" s="144" t="s">
        <v>152</v>
      </c>
      <c r="J632" s="148" t="n">
        <v>45056.0449537037</v>
      </c>
      <c r="K632" s="1" t="n">
        <v>1</v>
      </c>
      <c r="L632" s="144" t="n">
        <v>7</v>
      </c>
      <c r="M632" s="1" t="n">
        <v>15</v>
      </c>
      <c r="N632" s="1" t="n">
        <v>15</v>
      </c>
      <c r="O632" s="149" t="n">
        <v>15</v>
      </c>
    </row>
    <row r="633" customFormat="false" ht="14.25" hidden="false" customHeight="false" outlineLevel="0" collapsed="false">
      <c r="A633" s="1" t="n">
        <v>59</v>
      </c>
      <c r="B633" s="1" t="s">
        <v>473</v>
      </c>
      <c r="C633" s="143" t="n">
        <v>11490</v>
      </c>
      <c r="D633" s="143" t="s">
        <v>65</v>
      </c>
      <c r="E633" s="143" t="s">
        <v>474</v>
      </c>
      <c r="F633" s="144" t="s">
        <v>493</v>
      </c>
      <c r="G633" s="144" t="s">
        <v>193</v>
      </c>
      <c r="H633" s="144" t="n">
        <v>7</v>
      </c>
      <c r="I633" s="144" t="s">
        <v>152</v>
      </c>
      <c r="J633" s="148" t="n">
        <v>45056.0452083333</v>
      </c>
      <c r="K633" s="1" t="n">
        <v>1</v>
      </c>
      <c r="L633" s="144" t="n">
        <v>7</v>
      </c>
      <c r="M633" s="1" t="n">
        <v>15</v>
      </c>
      <c r="N633" s="1" t="n">
        <v>15</v>
      </c>
      <c r="O633" s="149" t="n">
        <v>16</v>
      </c>
    </row>
    <row r="634" customFormat="false" ht="14.25" hidden="false" customHeight="false" outlineLevel="0" collapsed="false">
      <c r="A634" s="1" t="n">
        <v>60</v>
      </c>
      <c r="B634" s="1" t="s">
        <v>473</v>
      </c>
      <c r="C634" s="143" t="n">
        <v>11490</v>
      </c>
      <c r="D634" s="143" t="s">
        <v>65</v>
      </c>
      <c r="E634" s="143" t="s">
        <v>474</v>
      </c>
      <c r="F634" s="144" t="n">
        <v>200025889154</v>
      </c>
      <c r="G634" s="144" t="s">
        <v>193</v>
      </c>
      <c r="H634" s="144" t="n">
        <v>7</v>
      </c>
      <c r="I634" s="144" t="s">
        <v>152</v>
      </c>
      <c r="J634" s="148" t="n">
        <v>45056.0454050926</v>
      </c>
      <c r="K634" s="1" t="n">
        <v>3</v>
      </c>
      <c r="L634" s="144" t="n">
        <v>7</v>
      </c>
      <c r="M634" s="1" t="n">
        <v>15</v>
      </c>
      <c r="N634" s="1" t="n">
        <v>15</v>
      </c>
      <c r="O634" s="149" t="n">
        <v>17</v>
      </c>
    </row>
    <row r="635" customFormat="false" ht="14.25" hidden="false" customHeight="false" outlineLevel="0" collapsed="false">
      <c r="A635" s="1" t="n">
        <v>61</v>
      </c>
      <c r="B635" s="1" t="s">
        <v>473</v>
      </c>
      <c r="C635" s="143" t="n">
        <v>11490</v>
      </c>
      <c r="D635" s="143" t="s">
        <v>65</v>
      </c>
      <c r="E635" s="143" t="s">
        <v>474</v>
      </c>
      <c r="F635" s="144" t="n">
        <v>200025889154</v>
      </c>
      <c r="G635" s="144" t="s">
        <v>193</v>
      </c>
      <c r="H635" s="144" t="n">
        <v>7</v>
      </c>
      <c r="I635" s="144" t="s">
        <v>152</v>
      </c>
      <c r="J635" s="148" t="n">
        <v>45056.052025463</v>
      </c>
      <c r="K635" s="1" t="n">
        <v>2</v>
      </c>
      <c r="L635" s="144" t="n">
        <v>7</v>
      </c>
      <c r="M635" s="1" t="n">
        <v>15</v>
      </c>
      <c r="N635" s="1" t="n">
        <v>15</v>
      </c>
      <c r="O635" s="149" t="n">
        <v>18</v>
      </c>
    </row>
    <row r="636" customFormat="false" ht="14.25" hidden="false" customHeight="false" outlineLevel="0" collapsed="false">
      <c r="A636" s="1" t="n">
        <v>62</v>
      </c>
      <c r="B636" s="1" t="s">
        <v>473</v>
      </c>
      <c r="C636" s="143" t="n">
        <v>11490</v>
      </c>
      <c r="D636" s="143" t="s">
        <v>65</v>
      </c>
      <c r="E636" s="143" t="s">
        <v>474</v>
      </c>
      <c r="F636" s="144" t="s">
        <v>493</v>
      </c>
      <c r="G636" s="144" t="s">
        <v>193</v>
      </c>
      <c r="H636" s="144" t="n">
        <v>7</v>
      </c>
      <c r="I636" s="144" t="s">
        <v>152</v>
      </c>
      <c r="J636" s="148" t="n">
        <v>45056.0579398148</v>
      </c>
      <c r="K636" s="1" t="n">
        <v>3</v>
      </c>
      <c r="L636" s="144" t="n">
        <v>7</v>
      </c>
      <c r="M636" s="1" t="n">
        <v>15</v>
      </c>
      <c r="N636" s="1" t="n">
        <v>15</v>
      </c>
      <c r="O636" s="149" t="n">
        <v>19</v>
      </c>
    </row>
    <row r="637" customFormat="false" ht="14.25" hidden="false" customHeight="false" outlineLevel="0" collapsed="false">
      <c r="A637" s="1" t="n">
        <v>63</v>
      </c>
      <c r="B637" s="1" t="s">
        <v>473</v>
      </c>
      <c r="C637" s="143" t="n">
        <v>11490</v>
      </c>
      <c r="D637" s="143" t="s">
        <v>65</v>
      </c>
      <c r="E637" s="143" t="s">
        <v>474</v>
      </c>
      <c r="F637" s="144" t="n">
        <v>200025889154</v>
      </c>
      <c r="G637" s="144" t="s">
        <v>193</v>
      </c>
      <c r="H637" s="144" t="n">
        <v>7</v>
      </c>
      <c r="I637" s="144" t="s">
        <v>152</v>
      </c>
      <c r="J637" s="148" t="n">
        <v>45056.0581597222</v>
      </c>
      <c r="K637" s="1" t="n">
        <v>2</v>
      </c>
      <c r="L637" s="144" t="n">
        <v>7</v>
      </c>
      <c r="M637" s="1" t="n">
        <v>15</v>
      </c>
      <c r="N637" s="1" t="n">
        <v>15</v>
      </c>
      <c r="O637" s="149" t="n">
        <v>20</v>
      </c>
    </row>
    <row r="638" customFormat="false" ht="14.25" hidden="false" customHeight="false" outlineLevel="0" collapsed="false">
      <c r="A638" s="1" t="n">
        <v>64</v>
      </c>
      <c r="B638" s="1" t="s">
        <v>473</v>
      </c>
      <c r="C638" s="143" t="n">
        <v>11490</v>
      </c>
      <c r="D638" s="143" t="s">
        <v>65</v>
      </c>
      <c r="E638" s="143" t="s">
        <v>474</v>
      </c>
      <c r="F638" s="144" t="n">
        <v>200025889154</v>
      </c>
      <c r="G638" s="144" t="s">
        <v>193</v>
      </c>
      <c r="H638" s="144" t="n">
        <v>7</v>
      </c>
      <c r="I638" s="144" t="s">
        <v>152</v>
      </c>
      <c r="J638" s="148" t="n">
        <v>45056.0583217593</v>
      </c>
      <c r="K638" s="1" t="n">
        <v>2</v>
      </c>
      <c r="L638" s="144" t="n">
        <v>7</v>
      </c>
      <c r="M638" s="1" t="n">
        <v>15</v>
      </c>
      <c r="N638" s="1" t="n">
        <v>15</v>
      </c>
      <c r="O638" s="149" t="n">
        <v>21</v>
      </c>
    </row>
    <row r="639" customFormat="false" ht="14.25" hidden="false" customHeight="false" outlineLevel="0" collapsed="false">
      <c r="A639" s="1" t="n">
        <v>65</v>
      </c>
      <c r="B639" s="1" t="s">
        <v>473</v>
      </c>
      <c r="C639" s="143" t="n">
        <v>11490</v>
      </c>
      <c r="D639" s="143" t="s">
        <v>65</v>
      </c>
      <c r="E639" s="143" t="s">
        <v>474</v>
      </c>
      <c r="F639" s="144" t="n">
        <v>200025889154</v>
      </c>
      <c r="G639" s="144" t="s">
        <v>193</v>
      </c>
      <c r="H639" s="144" t="n">
        <v>7</v>
      </c>
      <c r="I639" s="144" t="s">
        <v>152</v>
      </c>
      <c r="J639" s="148" t="n">
        <v>45056.0585532407</v>
      </c>
      <c r="K639" s="1" t="n">
        <v>2</v>
      </c>
      <c r="L639" s="144" t="n">
        <v>7</v>
      </c>
      <c r="M639" s="1" t="n">
        <v>15</v>
      </c>
      <c r="N639" s="1" t="n">
        <v>15</v>
      </c>
      <c r="O639" s="149" t="n">
        <v>22</v>
      </c>
    </row>
    <row r="640" customFormat="false" ht="14.25" hidden="false" customHeight="false" outlineLevel="0" collapsed="false">
      <c r="A640" s="1" t="n">
        <v>66</v>
      </c>
      <c r="B640" s="1" t="s">
        <v>473</v>
      </c>
      <c r="C640" s="143" t="n">
        <v>11490</v>
      </c>
      <c r="D640" s="143" t="s">
        <v>65</v>
      </c>
      <c r="E640" s="143" t="s">
        <v>474</v>
      </c>
      <c r="F640" s="144" t="n">
        <v>200025889154</v>
      </c>
      <c r="G640" s="144" t="s">
        <v>193</v>
      </c>
      <c r="H640" s="144" t="n">
        <v>7</v>
      </c>
      <c r="I640" s="144" t="s">
        <v>152</v>
      </c>
      <c r="J640" s="148" t="n">
        <v>45056.061724537</v>
      </c>
      <c r="K640" s="1" t="n">
        <v>2</v>
      </c>
      <c r="L640" s="144" t="n">
        <v>7</v>
      </c>
      <c r="M640" s="1" t="n">
        <v>15</v>
      </c>
      <c r="N640" s="1" t="n">
        <v>15</v>
      </c>
      <c r="O640" s="149" t="n">
        <v>23</v>
      </c>
    </row>
    <row r="641" customFormat="false" ht="14.25" hidden="false" customHeight="false" outlineLevel="0" collapsed="false">
      <c r="A641" s="1" t="n">
        <v>67</v>
      </c>
      <c r="B641" s="1" t="s">
        <v>473</v>
      </c>
      <c r="C641" s="143" t="n">
        <v>11490</v>
      </c>
      <c r="D641" s="143" t="s">
        <v>65</v>
      </c>
      <c r="E641" s="143" t="s">
        <v>474</v>
      </c>
      <c r="F641" s="144" t="n">
        <v>200025889154</v>
      </c>
      <c r="G641" s="144" t="s">
        <v>193</v>
      </c>
      <c r="H641" s="144" t="n">
        <v>7</v>
      </c>
      <c r="I641" s="144" t="s">
        <v>152</v>
      </c>
      <c r="J641" s="148" t="n">
        <v>45056.0617476852</v>
      </c>
      <c r="K641" s="1" t="n">
        <v>4</v>
      </c>
      <c r="L641" s="144" t="n">
        <v>7</v>
      </c>
      <c r="M641" s="1" t="n">
        <v>15</v>
      </c>
      <c r="N641" s="1" t="n">
        <v>15</v>
      </c>
      <c r="O641" s="149" t="n">
        <v>24</v>
      </c>
    </row>
    <row r="642" customFormat="false" ht="14.25" hidden="false" customHeight="false" outlineLevel="0" collapsed="false">
      <c r="A642" s="1" t="n">
        <v>68</v>
      </c>
      <c r="B642" s="1" t="s">
        <v>473</v>
      </c>
      <c r="C642" s="143" t="n">
        <v>11490</v>
      </c>
      <c r="D642" s="143" t="s">
        <v>65</v>
      </c>
      <c r="E642" s="143" t="s">
        <v>474</v>
      </c>
      <c r="F642" s="144" t="n">
        <v>200025889154</v>
      </c>
      <c r="G642" s="144" t="s">
        <v>193</v>
      </c>
      <c r="H642" s="144" t="n">
        <v>7</v>
      </c>
      <c r="I642" s="144" t="s">
        <v>152</v>
      </c>
      <c r="J642" s="148" t="n">
        <v>45056.0619675926</v>
      </c>
      <c r="K642" s="1" t="n">
        <v>1</v>
      </c>
      <c r="L642" s="144" t="n">
        <v>7</v>
      </c>
      <c r="M642" s="1" t="n">
        <v>15</v>
      </c>
      <c r="N642" s="1" t="n">
        <v>15</v>
      </c>
      <c r="O642" s="149" t="n">
        <v>25</v>
      </c>
    </row>
    <row r="643" customFormat="false" ht="14.25" hidden="false" customHeight="false" outlineLevel="0" collapsed="false">
      <c r="A643" s="1" t="n">
        <v>66</v>
      </c>
      <c r="B643" s="1" t="s">
        <v>475</v>
      </c>
      <c r="C643" s="143" t="s">
        <v>52</v>
      </c>
      <c r="D643" s="143" t="s">
        <v>53</v>
      </c>
      <c r="E643" s="143" t="s">
        <v>474</v>
      </c>
      <c r="F643" s="144" t="n">
        <v>200025889154</v>
      </c>
      <c r="G643" s="144" t="s">
        <v>193</v>
      </c>
      <c r="H643" s="144" t="n">
        <v>7</v>
      </c>
      <c r="I643" s="144" t="s">
        <v>152</v>
      </c>
      <c r="J643" s="148" t="n">
        <v>45056.0874305556</v>
      </c>
      <c r="K643" s="1" t="n">
        <v>1</v>
      </c>
      <c r="L643" s="144" t="n">
        <v>7</v>
      </c>
      <c r="M643" s="1" t="n">
        <v>15</v>
      </c>
      <c r="N643" s="1" t="n">
        <v>15</v>
      </c>
      <c r="O643" s="149" t="n">
        <v>26</v>
      </c>
    </row>
    <row r="644" customFormat="false" ht="14.25" hidden="false" customHeight="false" outlineLevel="0" collapsed="false">
      <c r="A644" s="1" t="n">
        <v>67</v>
      </c>
      <c r="B644" s="1" t="s">
        <v>475</v>
      </c>
      <c r="C644" s="143" t="s">
        <v>52</v>
      </c>
      <c r="D644" s="143" t="s">
        <v>53</v>
      </c>
      <c r="E644" s="143" t="s">
        <v>474</v>
      </c>
      <c r="F644" s="144" t="n">
        <v>200025889154</v>
      </c>
      <c r="G644" s="144" t="s">
        <v>193</v>
      </c>
      <c r="H644" s="144" t="n">
        <v>7</v>
      </c>
      <c r="I644" s="144" t="s">
        <v>152</v>
      </c>
      <c r="J644" s="148" t="n">
        <v>45056.0876967593</v>
      </c>
      <c r="K644" s="1" t="n">
        <v>1</v>
      </c>
      <c r="L644" s="144" t="n">
        <v>7</v>
      </c>
      <c r="M644" s="1" t="n">
        <v>15</v>
      </c>
      <c r="N644" s="1" t="n">
        <v>15</v>
      </c>
      <c r="O644" s="149" t="n">
        <v>27</v>
      </c>
    </row>
    <row r="645" customFormat="false" ht="14.25" hidden="false" customHeight="false" outlineLevel="0" collapsed="false">
      <c r="A645" s="1" t="n">
        <v>68</v>
      </c>
      <c r="B645" s="1" t="s">
        <v>475</v>
      </c>
      <c r="C645" s="143" t="s">
        <v>52</v>
      </c>
      <c r="D645" s="143" t="s">
        <v>53</v>
      </c>
      <c r="E645" s="143" t="s">
        <v>474</v>
      </c>
      <c r="F645" s="144" t="n">
        <v>200025889154</v>
      </c>
      <c r="G645" s="144" t="s">
        <v>193</v>
      </c>
      <c r="H645" s="144" t="n">
        <v>7</v>
      </c>
      <c r="I645" s="144" t="s">
        <v>152</v>
      </c>
      <c r="J645" s="148" t="n">
        <v>45056.0879861111</v>
      </c>
      <c r="K645" s="1" t="n">
        <v>3</v>
      </c>
      <c r="L645" s="144" t="n">
        <v>7</v>
      </c>
      <c r="M645" s="1" t="n">
        <v>15</v>
      </c>
      <c r="N645" s="1" t="n">
        <v>15</v>
      </c>
      <c r="O645" s="149" t="n">
        <v>28</v>
      </c>
    </row>
    <row r="646" customFormat="false" ht="14.25" hidden="false" customHeight="false" outlineLevel="0" collapsed="false">
      <c r="A646" s="1" t="n">
        <v>69</v>
      </c>
      <c r="B646" s="1" t="s">
        <v>475</v>
      </c>
      <c r="C646" s="143" t="s">
        <v>52</v>
      </c>
      <c r="D646" s="143" t="s">
        <v>53</v>
      </c>
      <c r="E646" s="143" t="s">
        <v>474</v>
      </c>
      <c r="F646" s="144" t="n">
        <v>200025889154</v>
      </c>
      <c r="G646" s="144" t="s">
        <v>193</v>
      </c>
      <c r="H646" s="144" t="n">
        <v>7</v>
      </c>
      <c r="I646" s="144" t="s">
        <v>152</v>
      </c>
      <c r="J646" s="148" t="n">
        <v>45056.0895949074</v>
      </c>
      <c r="K646" s="1" t="n">
        <v>0</v>
      </c>
      <c r="L646" s="144" t="n">
        <v>7</v>
      </c>
      <c r="M646" s="1" t="n">
        <v>15</v>
      </c>
      <c r="N646" s="1" t="n">
        <v>15</v>
      </c>
      <c r="O646" s="149" t="n">
        <v>29</v>
      </c>
    </row>
    <row r="647" customFormat="false" ht="14.25" hidden="false" customHeight="false" outlineLevel="0" collapsed="false">
      <c r="A647" s="1" t="n">
        <v>70</v>
      </c>
      <c r="B647" s="1" t="s">
        <v>475</v>
      </c>
      <c r="C647" s="143" t="s">
        <v>52</v>
      </c>
      <c r="D647" s="143" t="s">
        <v>53</v>
      </c>
      <c r="E647" s="143" t="s">
        <v>474</v>
      </c>
      <c r="F647" s="144" t="n">
        <v>200025889154</v>
      </c>
      <c r="G647" s="144" t="s">
        <v>193</v>
      </c>
      <c r="H647" s="144" t="n">
        <v>7</v>
      </c>
      <c r="I647" s="144" t="s">
        <v>152</v>
      </c>
      <c r="J647" s="148" t="n">
        <v>45056.0908796296</v>
      </c>
      <c r="K647" s="1" t="n">
        <v>2</v>
      </c>
      <c r="L647" s="144" t="n">
        <v>7</v>
      </c>
      <c r="M647" s="1" t="n">
        <v>15</v>
      </c>
      <c r="N647" s="1" t="n">
        <v>15</v>
      </c>
      <c r="O647" s="149" t="n">
        <v>30</v>
      </c>
    </row>
    <row r="648" customFormat="false" ht="14.25" hidden="false" customHeight="false" outlineLevel="0" collapsed="false">
      <c r="A648" s="1" t="n">
        <v>71</v>
      </c>
      <c r="B648" s="1" t="s">
        <v>475</v>
      </c>
      <c r="C648" s="143" t="s">
        <v>52</v>
      </c>
      <c r="D648" s="143" t="s">
        <v>53</v>
      </c>
      <c r="E648" s="143" t="s">
        <v>474</v>
      </c>
      <c r="F648" s="144" t="n">
        <v>200025889154</v>
      </c>
      <c r="G648" s="144" t="s">
        <v>193</v>
      </c>
      <c r="H648" s="144" t="n">
        <v>7</v>
      </c>
      <c r="I648" s="144" t="s">
        <v>152</v>
      </c>
      <c r="J648" s="148" t="n">
        <v>45056.0917476852</v>
      </c>
      <c r="K648" s="1" t="n">
        <v>0</v>
      </c>
      <c r="L648" s="144" t="n">
        <v>7</v>
      </c>
      <c r="M648" s="1" t="n">
        <v>15</v>
      </c>
      <c r="N648" s="1" t="n">
        <v>15</v>
      </c>
      <c r="O648" s="149" t="n">
        <v>31</v>
      </c>
    </row>
    <row r="649" customFormat="false" ht="14.25" hidden="false" customHeight="false" outlineLevel="0" collapsed="false">
      <c r="A649" s="1" t="n">
        <v>72</v>
      </c>
      <c r="B649" s="1" t="s">
        <v>475</v>
      </c>
      <c r="C649" s="143" t="s">
        <v>52</v>
      </c>
      <c r="D649" s="143" t="s">
        <v>53</v>
      </c>
      <c r="E649" s="143" t="s">
        <v>474</v>
      </c>
      <c r="F649" s="144" t="n">
        <v>200025889154</v>
      </c>
      <c r="G649" s="144" t="s">
        <v>193</v>
      </c>
      <c r="H649" s="144" t="n">
        <v>7</v>
      </c>
      <c r="I649" s="144" t="s">
        <v>152</v>
      </c>
      <c r="J649" s="148" t="n">
        <v>45056.0925462963</v>
      </c>
      <c r="K649" s="1" t="n">
        <v>0</v>
      </c>
      <c r="L649" s="144" t="n">
        <v>7</v>
      </c>
      <c r="M649" s="1" t="n">
        <v>15</v>
      </c>
      <c r="N649" s="1" t="n">
        <v>15</v>
      </c>
      <c r="O649" s="149" t="n">
        <v>32</v>
      </c>
    </row>
    <row r="650" customFormat="false" ht="14.25" hidden="false" customHeight="false" outlineLevel="0" collapsed="false">
      <c r="A650" s="1" t="n">
        <v>73</v>
      </c>
      <c r="B650" s="1" t="s">
        <v>475</v>
      </c>
      <c r="C650" s="143" t="s">
        <v>52</v>
      </c>
      <c r="D650" s="143" t="s">
        <v>53</v>
      </c>
      <c r="E650" s="143" t="s">
        <v>474</v>
      </c>
      <c r="F650" s="144" t="n">
        <v>200025889154</v>
      </c>
      <c r="G650" s="144" t="s">
        <v>193</v>
      </c>
      <c r="H650" s="144" t="n">
        <v>7</v>
      </c>
      <c r="I650" s="144" t="s">
        <v>152</v>
      </c>
      <c r="J650" s="148" t="n">
        <v>45056.0925694444</v>
      </c>
      <c r="K650" s="1" t="n">
        <v>2</v>
      </c>
      <c r="L650" s="144" t="n">
        <v>7</v>
      </c>
      <c r="M650" s="1" t="n">
        <v>15</v>
      </c>
      <c r="N650" s="1" t="n">
        <v>15</v>
      </c>
      <c r="O650" s="149" t="n">
        <v>33</v>
      </c>
    </row>
    <row r="651" customFormat="false" ht="14.25" hidden="false" customHeight="false" outlineLevel="0" collapsed="false">
      <c r="A651" s="1" t="n">
        <v>74</v>
      </c>
      <c r="B651" s="1" t="s">
        <v>475</v>
      </c>
      <c r="C651" s="143" t="s">
        <v>52</v>
      </c>
      <c r="D651" s="143" t="s">
        <v>53</v>
      </c>
      <c r="E651" s="143" t="s">
        <v>474</v>
      </c>
      <c r="F651" s="144" t="n">
        <v>200025889154</v>
      </c>
      <c r="G651" s="144" t="s">
        <v>193</v>
      </c>
      <c r="H651" s="144" t="n">
        <v>7</v>
      </c>
      <c r="I651" s="144" t="s">
        <v>152</v>
      </c>
      <c r="J651" s="148" t="n">
        <v>45056.0928125</v>
      </c>
      <c r="K651" s="1" t="n">
        <v>1</v>
      </c>
      <c r="L651" s="144" t="n">
        <v>7</v>
      </c>
      <c r="M651" s="1" t="n">
        <v>15</v>
      </c>
      <c r="N651" s="1" t="n">
        <v>15</v>
      </c>
      <c r="O651" s="149" t="n">
        <v>34</v>
      </c>
    </row>
    <row r="652" customFormat="false" ht="14.25" hidden="false" customHeight="false" outlineLevel="0" collapsed="false">
      <c r="A652" s="1" t="n">
        <v>75</v>
      </c>
      <c r="B652" s="1" t="s">
        <v>475</v>
      </c>
      <c r="C652" s="143" t="s">
        <v>52</v>
      </c>
      <c r="D652" s="143" t="s">
        <v>53</v>
      </c>
      <c r="E652" s="143" t="s">
        <v>474</v>
      </c>
      <c r="F652" s="144" t="n">
        <v>200025889154</v>
      </c>
      <c r="G652" s="144" t="s">
        <v>193</v>
      </c>
      <c r="H652" s="144" t="n">
        <v>7</v>
      </c>
      <c r="I652" s="144" t="s">
        <v>152</v>
      </c>
      <c r="J652" s="148" t="n">
        <v>45056.0931712963</v>
      </c>
      <c r="K652" s="1" t="n">
        <v>1</v>
      </c>
      <c r="L652" s="144" t="n">
        <v>7</v>
      </c>
      <c r="M652" s="1" t="n">
        <v>15</v>
      </c>
      <c r="N652" s="1" t="n">
        <v>15</v>
      </c>
      <c r="O652" s="149" t="n">
        <v>35</v>
      </c>
    </row>
    <row r="653" customFormat="false" ht="14.25" hidden="false" customHeight="false" outlineLevel="0" collapsed="false">
      <c r="A653" s="1" t="n">
        <v>76</v>
      </c>
      <c r="B653" s="1" t="s">
        <v>475</v>
      </c>
      <c r="C653" s="143" t="s">
        <v>52</v>
      </c>
      <c r="D653" s="143" t="s">
        <v>53</v>
      </c>
      <c r="E653" s="143" t="s">
        <v>474</v>
      </c>
      <c r="F653" s="144" t="n">
        <v>200025889154</v>
      </c>
      <c r="G653" s="144" t="s">
        <v>193</v>
      </c>
      <c r="H653" s="144" t="n">
        <v>7</v>
      </c>
      <c r="I653" s="144" t="s">
        <v>152</v>
      </c>
      <c r="J653" s="148" t="n">
        <v>45056.093275463</v>
      </c>
      <c r="K653" s="1" t="n">
        <v>2</v>
      </c>
      <c r="L653" s="144" t="n">
        <v>7</v>
      </c>
      <c r="M653" s="1" t="n">
        <v>15</v>
      </c>
      <c r="N653" s="1" t="n">
        <v>15</v>
      </c>
      <c r="O653" s="149" t="n">
        <v>36</v>
      </c>
    </row>
    <row r="654" customFormat="false" ht="14.25" hidden="false" customHeight="false" outlineLevel="0" collapsed="false">
      <c r="A654" s="1" t="n">
        <v>77</v>
      </c>
      <c r="B654" s="1" t="s">
        <v>475</v>
      </c>
      <c r="C654" s="143" t="s">
        <v>52</v>
      </c>
      <c r="D654" s="143" t="s">
        <v>53</v>
      </c>
      <c r="E654" s="143" t="s">
        <v>474</v>
      </c>
      <c r="F654" s="144" t="n">
        <v>200025889154</v>
      </c>
      <c r="G654" s="144" t="s">
        <v>193</v>
      </c>
      <c r="H654" s="144" t="n">
        <v>7</v>
      </c>
      <c r="I654" s="144" t="s">
        <v>152</v>
      </c>
      <c r="J654" s="148" t="n">
        <v>45056.0933101852</v>
      </c>
      <c r="K654" s="1" t="n">
        <v>4</v>
      </c>
      <c r="L654" s="144" t="n">
        <v>7</v>
      </c>
      <c r="M654" s="1" t="n">
        <v>15</v>
      </c>
      <c r="N654" s="1" t="n">
        <v>15</v>
      </c>
      <c r="O654" s="149" t="n">
        <v>37</v>
      </c>
    </row>
    <row r="655" customFormat="false" ht="14.25" hidden="false" customHeight="false" outlineLevel="0" collapsed="false">
      <c r="A655" s="1" t="n">
        <v>78</v>
      </c>
      <c r="B655" s="1" t="s">
        <v>475</v>
      </c>
      <c r="C655" s="143" t="s">
        <v>52</v>
      </c>
      <c r="D655" s="143" t="s">
        <v>53</v>
      </c>
      <c r="E655" s="143" t="s">
        <v>474</v>
      </c>
      <c r="F655" s="144" t="n">
        <v>200025889154</v>
      </c>
      <c r="G655" s="144" t="s">
        <v>193</v>
      </c>
      <c r="H655" s="144" t="n">
        <v>7</v>
      </c>
      <c r="I655" s="144" t="s">
        <v>152</v>
      </c>
      <c r="J655" s="148" t="n">
        <v>45056.093900463</v>
      </c>
      <c r="K655" s="1" t="n">
        <v>1</v>
      </c>
      <c r="L655" s="144" t="n">
        <v>7</v>
      </c>
      <c r="M655" s="1" t="n">
        <v>15</v>
      </c>
      <c r="N655" s="1" t="n">
        <v>15</v>
      </c>
      <c r="O655" s="149" t="n">
        <v>38</v>
      </c>
    </row>
    <row r="656" customFormat="false" ht="14.25" hidden="false" customHeight="false" outlineLevel="0" collapsed="false">
      <c r="A656" s="1" t="n">
        <v>79</v>
      </c>
      <c r="B656" s="1" t="s">
        <v>475</v>
      </c>
      <c r="C656" s="143" t="s">
        <v>52</v>
      </c>
      <c r="D656" s="143" t="s">
        <v>53</v>
      </c>
      <c r="E656" s="143" t="s">
        <v>474</v>
      </c>
      <c r="F656" s="144" t="n">
        <v>200025889154</v>
      </c>
      <c r="G656" s="144" t="s">
        <v>193</v>
      </c>
      <c r="H656" s="144" t="n">
        <v>7</v>
      </c>
      <c r="I656" s="144" t="s">
        <v>152</v>
      </c>
      <c r="J656" s="148" t="n">
        <v>45056.0940277778</v>
      </c>
      <c r="K656" s="1" t="n">
        <v>1</v>
      </c>
      <c r="L656" s="144" t="n">
        <v>7</v>
      </c>
      <c r="M656" s="1" t="n">
        <v>15</v>
      </c>
      <c r="N656" s="1" t="n">
        <v>15</v>
      </c>
      <c r="O656" s="149" t="n">
        <v>39</v>
      </c>
    </row>
    <row r="657" customFormat="false" ht="14.25" hidden="false" customHeight="false" outlineLevel="0" collapsed="false">
      <c r="A657" s="1" t="n">
        <v>80</v>
      </c>
      <c r="B657" s="1" t="s">
        <v>475</v>
      </c>
      <c r="C657" s="143" t="s">
        <v>52</v>
      </c>
      <c r="D657" s="143" t="s">
        <v>53</v>
      </c>
      <c r="E657" s="143" t="s">
        <v>474</v>
      </c>
      <c r="F657" s="144" t="n">
        <v>200025889154</v>
      </c>
      <c r="G657" s="144" t="s">
        <v>193</v>
      </c>
      <c r="H657" s="144" t="n">
        <v>7</v>
      </c>
      <c r="I657" s="144" t="s">
        <v>152</v>
      </c>
      <c r="J657" s="148" t="n">
        <v>45056.0940393519</v>
      </c>
      <c r="K657" s="1" t="n">
        <v>1</v>
      </c>
      <c r="L657" s="144" t="n">
        <v>7</v>
      </c>
      <c r="M657" s="1" t="n">
        <v>15</v>
      </c>
      <c r="N657" s="1" t="n">
        <v>15</v>
      </c>
      <c r="O657" s="149" t="n">
        <v>40</v>
      </c>
    </row>
    <row r="658" customFormat="false" ht="14.25" hidden="false" customHeight="false" outlineLevel="0" collapsed="false">
      <c r="A658" s="1" t="n">
        <v>81</v>
      </c>
      <c r="B658" s="1" t="s">
        <v>475</v>
      </c>
      <c r="C658" s="143" t="s">
        <v>52</v>
      </c>
      <c r="D658" s="143" t="s">
        <v>53</v>
      </c>
      <c r="E658" s="143" t="s">
        <v>474</v>
      </c>
      <c r="F658" s="144" t="n">
        <v>200025889154</v>
      </c>
      <c r="G658" s="144" t="s">
        <v>193</v>
      </c>
      <c r="H658" s="144" t="n">
        <v>7</v>
      </c>
      <c r="I658" s="144" t="s">
        <v>152</v>
      </c>
      <c r="J658" s="148" t="n">
        <v>45056.0943402778</v>
      </c>
      <c r="K658" s="1" t="n">
        <v>1</v>
      </c>
      <c r="L658" s="144" t="n">
        <v>7</v>
      </c>
      <c r="M658" s="1" t="n">
        <v>15</v>
      </c>
      <c r="N658" s="1" t="n">
        <v>15</v>
      </c>
      <c r="O658" s="149" t="n">
        <v>41</v>
      </c>
    </row>
    <row r="659" customFormat="false" ht="14.25" hidden="false" customHeight="false" outlineLevel="0" collapsed="false">
      <c r="A659" s="1" t="n">
        <v>82</v>
      </c>
      <c r="B659" s="1" t="s">
        <v>475</v>
      </c>
      <c r="C659" s="143" t="s">
        <v>52</v>
      </c>
      <c r="D659" s="143" t="s">
        <v>53</v>
      </c>
      <c r="E659" s="143" t="s">
        <v>474</v>
      </c>
      <c r="F659" s="144" t="n">
        <v>200025889154</v>
      </c>
      <c r="G659" s="144" t="s">
        <v>193</v>
      </c>
      <c r="H659" s="144" t="n">
        <v>7</v>
      </c>
      <c r="I659" s="144" t="s">
        <v>152</v>
      </c>
      <c r="J659" s="148" t="n">
        <v>45056.0949652778</v>
      </c>
      <c r="K659" s="1" t="n">
        <v>2</v>
      </c>
      <c r="L659" s="144" t="n">
        <v>7</v>
      </c>
      <c r="M659" s="1" t="n">
        <v>15</v>
      </c>
      <c r="N659" s="1" t="n">
        <v>15</v>
      </c>
      <c r="O659" s="149" t="n">
        <v>42</v>
      </c>
    </row>
    <row r="660" customFormat="false" ht="14.25" hidden="false" customHeight="false" outlineLevel="0" collapsed="false">
      <c r="A660" s="1" t="n">
        <v>83</v>
      </c>
      <c r="B660" s="1" t="s">
        <v>475</v>
      </c>
      <c r="C660" s="143" t="s">
        <v>52</v>
      </c>
      <c r="D660" s="143" t="s">
        <v>53</v>
      </c>
      <c r="E660" s="143" t="s">
        <v>474</v>
      </c>
      <c r="F660" s="144" t="n">
        <v>200025889154</v>
      </c>
      <c r="G660" s="144" t="s">
        <v>193</v>
      </c>
      <c r="H660" s="144" t="n">
        <v>7</v>
      </c>
      <c r="I660" s="144" t="s">
        <v>152</v>
      </c>
      <c r="J660" s="148" t="n">
        <v>45056.0959837963</v>
      </c>
      <c r="K660" s="1" t="n">
        <v>1</v>
      </c>
      <c r="L660" s="144" t="n">
        <v>7</v>
      </c>
      <c r="M660" s="1" t="n">
        <v>15</v>
      </c>
      <c r="N660" s="1" t="n">
        <v>15</v>
      </c>
      <c r="O660" s="149" t="n">
        <v>43</v>
      </c>
    </row>
    <row r="661" customFormat="false" ht="14.25" hidden="false" customHeight="false" outlineLevel="0" collapsed="false">
      <c r="A661" s="1" t="n">
        <v>84</v>
      </c>
      <c r="B661" s="1" t="s">
        <v>475</v>
      </c>
      <c r="C661" s="143" t="s">
        <v>52</v>
      </c>
      <c r="D661" s="143" t="s">
        <v>53</v>
      </c>
      <c r="E661" s="143" t="s">
        <v>474</v>
      </c>
      <c r="F661" s="144" t="n">
        <v>200025889154</v>
      </c>
      <c r="G661" s="144" t="s">
        <v>193</v>
      </c>
      <c r="H661" s="144" t="n">
        <v>7</v>
      </c>
      <c r="I661" s="144" t="s">
        <v>152</v>
      </c>
      <c r="J661" s="148" t="n">
        <v>45056.0962384259</v>
      </c>
      <c r="K661" s="1" t="n">
        <v>2</v>
      </c>
      <c r="L661" s="144" t="n">
        <v>7</v>
      </c>
      <c r="M661" s="1" t="n">
        <v>15</v>
      </c>
      <c r="N661" s="1" t="n">
        <v>15</v>
      </c>
      <c r="O661" s="149" t="n">
        <v>44</v>
      </c>
    </row>
    <row r="662" customFormat="false" ht="14.25" hidden="false" customHeight="false" outlineLevel="0" collapsed="false">
      <c r="A662" s="1" t="n">
        <v>85</v>
      </c>
      <c r="B662" s="1" t="s">
        <v>475</v>
      </c>
      <c r="C662" s="143" t="s">
        <v>52</v>
      </c>
      <c r="D662" s="143" t="s">
        <v>53</v>
      </c>
      <c r="E662" s="143" t="s">
        <v>474</v>
      </c>
      <c r="F662" s="144" t="n">
        <v>200025889154</v>
      </c>
      <c r="G662" s="144" t="s">
        <v>193</v>
      </c>
      <c r="H662" s="144" t="n">
        <v>7</v>
      </c>
      <c r="I662" s="144" t="s">
        <v>152</v>
      </c>
      <c r="J662" s="148" t="n">
        <v>45056.0962847222</v>
      </c>
      <c r="K662" s="1" t="n">
        <v>2</v>
      </c>
      <c r="L662" s="144" t="n">
        <v>7</v>
      </c>
      <c r="M662" s="1" t="n">
        <v>15</v>
      </c>
      <c r="N662" s="1" t="n">
        <v>15</v>
      </c>
      <c r="O662" s="149" t="n">
        <v>45</v>
      </c>
    </row>
    <row r="663" customFormat="false" ht="14.25" hidden="false" customHeight="false" outlineLevel="0" collapsed="false">
      <c r="A663" s="1" t="n">
        <v>86</v>
      </c>
      <c r="B663" s="1" t="s">
        <v>475</v>
      </c>
      <c r="C663" s="143" t="s">
        <v>52</v>
      </c>
      <c r="D663" s="143" t="s">
        <v>53</v>
      </c>
      <c r="E663" s="143" t="s">
        <v>474</v>
      </c>
      <c r="F663" s="144" t="n">
        <v>200025889154</v>
      </c>
      <c r="G663" s="144" t="s">
        <v>193</v>
      </c>
      <c r="H663" s="144" t="n">
        <v>7</v>
      </c>
      <c r="I663" s="144" t="s">
        <v>152</v>
      </c>
      <c r="J663" s="148" t="n">
        <v>45056.1069791667</v>
      </c>
      <c r="K663" s="1" t="n">
        <v>1</v>
      </c>
      <c r="L663" s="144" t="n">
        <v>7</v>
      </c>
      <c r="M663" s="1" t="n">
        <v>15</v>
      </c>
      <c r="N663" s="1" t="n">
        <v>15</v>
      </c>
      <c r="O663" s="149" t="n">
        <v>46</v>
      </c>
    </row>
    <row r="664" customFormat="false" ht="14.25" hidden="false" customHeight="false" outlineLevel="0" collapsed="false">
      <c r="A664" s="1" t="n">
        <v>87</v>
      </c>
      <c r="B664" s="1" t="s">
        <v>475</v>
      </c>
      <c r="C664" s="143" t="s">
        <v>52</v>
      </c>
      <c r="D664" s="143" t="s">
        <v>53</v>
      </c>
      <c r="E664" s="143" t="s">
        <v>474</v>
      </c>
      <c r="F664" s="144" t="n">
        <v>200025889154</v>
      </c>
      <c r="G664" s="144" t="s">
        <v>193</v>
      </c>
      <c r="H664" s="144" t="n">
        <v>7</v>
      </c>
      <c r="I664" s="144" t="s">
        <v>152</v>
      </c>
      <c r="J664" s="148" t="n">
        <v>45056.1070833333</v>
      </c>
      <c r="K664" s="1" t="n">
        <v>2</v>
      </c>
      <c r="L664" s="144" t="n">
        <v>7</v>
      </c>
      <c r="M664" s="1" t="n">
        <v>15</v>
      </c>
      <c r="N664" s="1" t="n">
        <v>15</v>
      </c>
      <c r="O664" s="149" t="n">
        <v>47</v>
      </c>
    </row>
    <row r="665" customFormat="false" ht="14.25" hidden="false" customHeight="false" outlineLevel="0" collapsed="false">
      <c r="A665" s="1" t="n">
        <v>88</v>
      </c>
      <c r="B665" s="1" t="s">
        <v>475</v>
      </c>
      <c r="C665" s="143" t="s">
        <v>52</v>
      </c>
      <c r="D665" s="143" t="s">
        <v>53</v>
      </c>
      <c r="E665" s="143" t="s">
        <v>474</v>
      </c>
      <c r="F665" s="144" t="n">
        <v>200025889154</v>
      </c>
      <c r="G665" s="144" t="s">
        <v>193</v>
      </c>
      <c r="H665" s="144" t="n">
        <v>7</v>
      </c>
      <c r="I665" s="144" t="s">
        <v>152</v>
      </c>
      <c r="J665" s="148" t="n">
        <v>45056.1071875</v>
      </c>
      <c r="K665" s="1" t="n">
        <v>1</v>
      </c>
      <c r="L665" s="144" t="n">
        <v>7</v>
      </c>
      <c r="M665" s="1" t="n">
        <v>15</v>
      </c>
      <c r="N665" s="1" t="n">
        <v>15</v>
      </c>
      <c r="O665" s="149" t="n">
        <v>48</v>
      </c>
    </row>
    <row r="666" customFormat="false" ht="14.25" hidden="false" customHeight="false" outlineLevel="0" collapsed="false">
      <c r="A666" s="1" t="n">
        <v>89</v>
      </c>
      <c r="B666" s="1" t="s">
        <v>475</v>
      </c>
      <c r="C666" s="143" t="s">
        <v>52</v>
      </c>
      <c r="D666" s="143" t="s">
        <v>53</v>
      </c>
      <c r="E666" s="143" t="s">
        <v>474</v>
      </c>
      <c r="F666" s="144" t="n">
        <v>200025889154</v>
      </c>
      <c r="G666" s="144" t="s">
        <v>193</v>
      </c>
      <c r="H666" s="144" t="n">
        <v>7</v>
      </c>
      <c r="I666" s="144" t="s">
        <v>152</v>
      </c>
      <c r="J666" s="148" t="n">
        <v>45056.1117824074</v>
      </c>
      <c r="K666" s="1" t="n">
        <v>1</v>
      </c>
      <c r="L666" s="144" t="n">
        <v>7</v>
      </c>
      <c r="M666" s="1" t="n">
        <v>15</v>
      </c>
      <c r="N666" s="1" t="n">
        <v>15</v>
      </c>
      <c r="O666" s="149" t="n">
        <v>49</v>
      </c>
    </row>
    <row r="667" customFormat="false" ht="14.25" hidden="false" customHeight="false" outlineLevel="0" collapsed="false">
      <c r="A667" s="1" t="n">
        <v>90</v>
      </c>
      <c r="B667" s="1" t="s">
        <v>475</v>
      </c>
      <c r="C667" s="143" t="s">
        <v>52</v>
      </c>
      <c r="D667" s="143" t="s">
        <v>53</v>
      </c>
      <c r="E667" s="143" t="s">
        <v>474</v>
      </c>
      <c r="F667" s="144" t="n">
        <v>200025889154</v>
      </c>
      <c r="G667" s="144" t="s">
        <v>193</v>
      </c>
      <c r="H667" s="144" t="n">
        <v>7</v>
      </c>
      <c r="I667" s="144" t="s">
        <v>152</v>
      </c>
      <c r="J667" s="148" t="n">
        <v>45056.1119328704</v>
      </c>
      <c r="K667" s="1" t="n">
        <v>1</v>
      </c>
      <c r="L667" s="144" t="n">
        <v>7</v>
      </c>
      <c r="M667" s="1" t="n">
        <v>15</v>
      </c>
      <c r="N667" s="1" t="n">
        <v>15</v>
      </c>
      <c r="O667" s="149" t="n">
        <v>50</v>
      </c>
    </row>
    <row r="668" customFormat="false" ht="14.25" hidden="false" customHeight="false" outlineLevel="0" collapsed="false">
      <c r="A668" s="1" t="n">
        <v>91</v>
      </c>
      <c r="B668" s="1" t="s">
        <v>475</v>
      </c>
      <c r="C668" s="143" t="s">
        <v>52</v>
      </c>
      <c r="D668" s="143" t="s">
        <v>53</v>
      </c>
      <c r="E668" s="143" t="s">
        <v>474</v>
      </c>
      <c r="F668" s="144" t="n">
        <v>200025889154</v>
      </c>
      <c r="G668" s="144" t="s">
        <v>193</v>
      </c>
      <c r="H668" s="144" t="n">
        <v>7</v>
      </c>
      <c r="I668" s="144" t="s">
        <v>152</v>
      </c>
      <c r="J668" s="148" t="n">
        <v>45056.1279513889</v>
      </c>
      <c r="K668" s="1" t="n">
        <v>1</v>
      </c>
      <c r="L668" s="144" t="n">
        <v>7</v>
      </c>
      <c r="M668" s="1" t="n">
        <v>15</v>
      </c>
      <c r="N668" s="1" t="n">
        <v>15</v>
      </c>
      <c r="O668" s="149" t="n">
        <v>51</v>
      </c>
    </row>
    <row r="669" customFormat="false" ht="14.25" hidden="false" customHeight="false" outlineLevel="0" collapsed="false">
      <c r="A669" s="1" t="n">
        <v>92</v>
      </c>
      <c r="B669" s="1" t="s">
        <v>475</v>
      </c>
      <c r="C669" s="143" t="s">
        <v>52</v>
      </c>
      <c r="D669" s="143" t="s">
        <v>53</v>
      </c>
      <c r="E669" s="143" t="s">
        <v>474</v>
      </c>
      <c r="F669" s="144" t="n">
        <v>200025889154</v>
      </c>
      <c r="G669" s="144" t="s">
        <v>193</v>
      </c>
      <c r="H669" s="144" t="n">
        <v>7</v>
      </c>
      <c r="I669" s="144" t="s">
        <v>152</v>
      </c>
      <c r="J669" s="148" t="n">
        <v>45056.1995717593</v>
      </c>
      <c r="K669" s="1" t="n">
        <v>2</v>
      </c>
      <c r="L669" s="144" t="n">
        <v>7</v>
      </c>
      <c r="M669" s="1" t="n">
        <v>15</v>
      </c>
      <c r="N669" s="1" t="n">
        <v>15</v>
      </c>
      <c r="O669" s="149" t="n">
        <v>52</v>
      </c>
    </row>
    <row r="670" customFormat="false" ht="14.25" hidden="false" customHeight="false" outlineLevel="0" collapsed="false">
      <c r="A670" s="1" t="n">
        <v>116</v>
      </c>
      <c r="B670" s="1" t="s">
        <v>475</v>
      </c>
      <c r="C670" s="143" t="s">
        <v>52</v>
      </c>
      <c r="D670" s="143" t="s">
        <v>53</v>
      </c>
      <c r="E670" s="143" t="s">
        <v>474</v>
      </c>
      <c r="F670" s="144" t="n">
        <v>200025889154</v>
      </c>
      <c r="G670" s="144" t="s">
        <v>193</v>
      </c>
      <c r="H670" s="144" t="n">
        <v>7</v>
      </c>
      <c r="I670" s="144" t="s">
        <v>152</v>
      </c>
      <c r="J670" s="148" t="n">
        <v>45056.2502662037</v>
      </c>
      <c r="K670" s="1" t="n">
        <v>1</v>
      </c>
      <c r="L670" s="144" t="n">
        <v>7</v>
      </c>
      <c r="M670" s="1" t="n">
        <v>15</v>
      </c>
      <c r="N670" s="1" t="n">
        <v>15</v>
      </c>
      <c r="O670" s="149" t="n">
        <v>53</v>
      </c>
    </row>
    <row r="671" customFormat="false" ht="14.25" hidden="false" customHeight="false" outlineLevel="0" collapsed="false">
      <c r="A671" s="1" t="n">
        <v>117</v>
      </c>
      <c r="B671" s="1" t="s">
        <v>475</v>
      </c>
      <c r="C671" s="143" t="s">
        <v>52</v>
      </c>
      <c r="D671" s="143" t="s">
        <v>53</v>
      </c>
      <c r="E671" s="143" t="s">
        <v>474</v>
      </c>
      <c r="F671" s="144" t="n">
        <v>200025889154</v>
      </c>
      <c r="G671" s="144" t="s">
        <v>193</v>
      </c>
      <c r="H671" s="144" t="n">
        <v>7</v>
      </c>
      <c r="I671" s="144" t="s">
        <v>152</v>
      </c>
      <c r="J671" s="148" t="n">
        <v>45056.2504050926</v>
      </c>
      <c r="K671" s="1" t="n">
        <v>2</v>
      </c>
      <c r="L671" s="144" t="n">
        <v>7</v>
      </c>
      <c r="M671" s="1" t="n">
        <v>15</v>
      </c>
      <c r="N671" s="1" t="n">
        <v>15</v>
      </c>
      <c r="O671" s="149" t="n">
        <v>54</v>
      </c>
    </row>
    <row r="672" customFormat="false" ht="14.25" hidden="false" customHeight="false" outlineLevel="0" collapsed="false">
      <c r="A672" s="1" t="n">
        <v>118</v>
      </c>
      <c r="B672" s="1" t="s">
        <v>475</v>
      </c>
      <c r="C672" s="143" t="s">
        <v>52</v>
      </c>
      <c r="D672" s="143" t="s">
        <v>53</v>
      </c>
      <c r="E672" s="143" t="s">
        <v>474</v>
      </c>
      <c r="F672" s="144" t="n">
        <v>200025889154</v>
      </c>
      <c r="G672" s="144" t="s">
        <v>193</v>
      </c>
      <c r="H672" s="144" t="n">
        <v>7</v>
      </c>
      <c r="I672" s="144" t="s">
        <v>152</v>
      </c>
      <c r="J672" s="148" t="n">
        <v>45056.250474537</v>
      </c>
      <c r="K672" s="1" t="n">
        <v>2</v>
      </c>
      <c r="L672" s="144" t="n">
        <v>7</v>
      </c>
      <c r="M672" s="1" t="n">
        <v>15</v>
      </c>
      <c r="N672" s="1" t="n">
        <v>15</v>
      </c>
      <c r="O672" s="149" t="n">
        <v>55</v>
      </c>
    </row>
    <row r="673" customFormat="false" ht="14.25" hidden="false" customHeight="false" outlineLevel="0" collapsed="false">
      <c r="A673" s="1" t="n">
        <v>119</v>
      </c>
      <c r="B673" s="1" t="s">
        <v>475</v>
      </c>
      <c r="C673" s="143" t="s">
        <v>52</v>
      </c>
      <c r="D673" s="143" t="s">
        <v>53</v>
      </c>
      <c r="E673" s="143" t="s">
        <v>474</v>
      </c>
      <c r="F673" s="144" t="n">
        <v>200025889154</v>
      </c>
      <c r="G673" s="144" t="s">
        <v>193</v>
      </c>
      <c r="H673" s="144" t="n">
        <v>7</v>
      </c>
      <c r="I673" s="144" t="s">
        <v>152</v>
      </c>
      <c r="J673" s="148" t="n">
        <v>45056.2505902778</v>
      </c>
      <c r="K673" s="1" t="n">
        <v>4</v>
      </c>
      <c r="L673" s="144" t="n">
        <v>7</v>
      </c>
      <c r="M673" s="1" t="n">
        <v>15</v>
      </c>
      <c r="N673" s="1" t="n">
        <v>15</v>
      </c>
      <c r="O673" s="149" t="n">
        <v>56</v>
      </c>
    </row>
    <row r="674" customFormat="false" ht="14.25" hidden="false" customHeight="false" outlineLevel="0" collapsed="false">
      <c r="A674" s="1" t="n">
        <v>120</v>
      </c>
      <c r="B674" s="1" t="s">
        <v>475</v>
      </c>
      <c r="C674" s="143" t="s">
        <v>52</v>
      </c>
      <c r="D674" s="143" t="s">
        <v>53</v>
      </c>
      <c r="E674" s="143" t="s">
        <v>474</v>
      </c>
      <c r="F674" s="144" t="n">
        <v>200025889154</v>
      </c>
      <c r="G674" s="144" t="s">
        <v>193</v>
      </c>
      <c r="H674" s="144" t="n">
        <v>7</v>
      </c>
      <c r="I674" s="144" t="s">
        <v>152</v>
      </c>
      <c r="J674" s="148" t="n">
        <v>45056.2510532407</v>
      </c>
      <c r="K674" s="1" t="n">
        <v>2</v>
      </c>
      <c r="L674" s="144" t="n">
        <v>7</v>
      </c>
      <c r="M674" s="1" t="n">
        <v>15</v>
      </c>
      <c r="N674" s="1" t="n">
        <v>15</v>
      </c>
      <c r="O674" s="149" t="n">
        <v>57</v>
      </c>
    </row>
    <row r="675" customFormat="false" ht="14.25" hidden="false" customHeight="false" outlineLevel="0" collapsed="false">
      <c r="A675" s="1" t="n">
        <v>137</v>
      </c>
      <c r="B675" s="1" t="s">
        <v>473</v>
      </c>
      <c r="C675" s="143" t="n">
        <v>11490</v>
      </c>
      <c r="D675" s="143" t="s">
        <v>65</v>
      </c>
      <c r="E675" s="143" t="s">
        <v>474</v>
      </c>
      <c r="F675" s="144" t="n">
        <v>200025889154</v>
      </c>
      <c r="G675" s="144" t="s">
        <v>193</v>
      </c>
      <c r="H675" s="144" t="n">
        <v>7</v>
      </c>
      <c r="I675" s="144" t="s">
        <v>152</v>
      </c>
      <c r="J675" s="148" t="n">
        <v>45056.2610069444</v>
      </c>
      <c r="K675" s="1" t="n">
        <v>0</v>
      </c>
      <c r="L675" s="144" t="n">
        <v>7</v>
      </c>
      <c r="M675" s="1" t="n">
        <v>15</v>
      </c>
      <c r="N675" s="1" t="n">
        <v>15</v>
      </c>
      <c r="O675" s="149" t="n">
        <v>58</v>
      </c>
    </row>
    <row r="676" customFormat="false" ht="14.25" hidden="false" customHeight="false" outlineLevel="0" collapsed="false">
      <c r="A676" s="1" t="n">
        <v>138</v>
      </c>
      <c r="B676" s="1" t="s">
        <v>473</v>
      </c>
      <c r="C676" s="143" t="n">
        <v>11490</v>
      </c>
      <c r="D676" s="143" t="s">
        <v>65</v>
      </c>
      <c r="E676" s="143" t="s">
        <v>474</v>
      </c>
      <c r="F676" s="144" t="n">
        <v>200025889154</v>
      </c>
      <c r="G676" s="144" t="s">
        <v>193</v>
      </c>
      <c r="H676" s="144" t="n">
        <v>7</v>
      </c>
      <c r="I676" s="144" t="s">
        <v>152</v>
      </c>
      <c r="J676" s="148" t="n">
        <v>45056.261875</v>
      </c>
      <c r="K676" s="1" t="n">
        <v>3</v>
      </c>
      <c r="L676" s="144" t="n">
        <v>7</v>
      </c>
      <c r="M676" s="1" t="n">
        <v>15</v>
      </c>
      <c r="N676" s="1" t="n">
        <v>15</v>
      </c>
      <c r="O676" s="149" t="n">
        <v>59</v>
      </c>
    </row>
    <row r="677" customFormat="false" ht="14.25" hidden="false" customHeight="false" outlineLevel="0" collapsed="false">
      <c r="A677" s="1" t="n">
        <v>139</v>
      </c>
      <c r="B677" s="1" t="s">
        <v>473</v>
      </c>
      <c r="C677" s="143" t="n">
        <v>11490</v>
      </c>
      <c r="D677" s="143" t="s">
        <v>65</v>
      </c>
      <c r="E677" s="143" t="s">
        <v>474</v>
      </c>
      <c r="F677" s="144" t="n">
        <v>200025889154</v>
      </c>
      <c r="G677" s="144" t="s">
        <v>193</v>
      </c>
      <c r="H677" s="144" t="n">
        <v>7</v>
      </c>
      <c r="I677" s="144" t="s">
        <v>152</v>
      </c>
      <c r="J677" s="148" t="n">
        <v>45056.2620601852</v>
      </c>
      <c r="K677" s="1" t="n">
        <v>1</v>
      </c>
      <c r="L677" s="144" t="n">
        <v>7</v>
      </c>
      <c r="M677" s="1" t="n">
        <v>15</v>
      </c>
      <c r="N677" s="1" t="n">
        <v>15</v>
      </c>
      <c r="O677" s="149" t="n">
        <v>60</v>
      </c>
    </row>
    <row r="678" customFormat="false" ht="14.25" hidden="false" customHeight="false" outlineLevel="0" collapsed="false">
      <c r="A678" s="1" t="n">
        <v>140</v>
      </c>
      <c r="B678" s="1" t="s">
        <v>473</v>
      </c>
      <c r="C678" s="143" t="n">
        <v>11490</v>
      </c>
      <c r="D678" s="143" t="s">
        <v>65</v>
      </c>
      <c r="E678" s="143" t="s">
        <v>474</v>
      </c>
      <c r="F678" s="144" t="n">
        <v>200025889154</v>
      </c>
      <c r="G678" s="144" t="s">
        <v>193</v>
      </c>
      <c r="H678" s="144" t="n">
        <v>7</v>
      </c>
      <c r="I678" s="144" t="s">
        <v>152</v>
      </c>
      <c r="J678" s="148" t="n">
        <v>45056.2622453704</v>
      </c>
      <c r="K678" s="1" t="n">
        <v>3</v>
      </c>
      <c r="L678" s="144" t="n">
        <v>7</v>
      </c>
      <c r="M678" s="1" t="n">
        <v>15</v>
      </c>
      <c r="N678" s="1" t="n">
        <v>15</v>
      </c>
      <c r="O678" s="149" t="n">
        <v>61</v>
      </c>
    </row>
    <row r="679" customFormat="false" ht="14.25" hidden="false" customHeight="false" outlineLevel="0" collapsed="false">
      <c r="A679" s="1" t="n">
        <v>20</v>
      </c>
      <c r="B679" s="1" t="s">
        <v>478</v>
      </c>
      <c r="C679" s="143" t="n">
        <v>11171</v>
      </c>
      <c r="D679" s="143" t="s">
        <v>74</v>
      </c>
      <c r="E679" s="143" t="s">
        <v>474</v>
      </c>
      <c r="F679" s="144" t="n">
        <v>200025889154</v>
      </c>
      <c r="G679" s="144" t="s">
        <v>193</v>
      </c>
      <c r="H679" s="144" t="n">
        <v>7</v>
      </c>
      <c r="I679" s="144" t="s">
        <v>152</v>
      </c>
      <c r="J679" s="148" t="n">
        <v>45056.2790972222</v>
      </c>
      <c r="K679" s="1" t="n">
        <v>1</v>
      </c>
      <c r="L679" s="144" t="n">
        <v>7</v>
      </c>
      <c r="M679" s="1" t="n">
        <v>15</v>
      </c>
      <c r="N679" s="1" t="n">
        <v>15</v>
      </c>
      <c r="O679" s="149" t="n">
        <v>62</v>
      </c>
    </row>
    <row r="680" customFormat="false" ht="14.25" hidden="false" customHeight="false" outlineLevel="0" collapsed="false">
      <c r="A680" s="1" t="n">
        <v>146</v>
      </c>
      <c r="B680" s="1" t="s">
        <v>473</v>
      </c>
      <c r="C680" s="143" t="n">
        <v>11490</v>
      </c>
      <c r="D680" s="143" t="s">
        <v>65</v>
      </c>
      <c r="E680" s="143" t="s">
        <v>474</v>
      </c>
      <c r="F680" s="144" t="n">
        <v>200025889154</v>
      </c>
      <c r="G680" s="144" t="s">
        <v>193</v>
      </c>
      <c r="H680" s="144" t="n">
        <v>7</v>
      </c>
      <c r="I680" s="144" t="s">
        <v>152</v>
      </c>
      <c r="J680" s="148" t="n">
        <v>45056.2813425926</v>
      </c>
      <c r="K680" s="1" t="n">
        <v>2</v>
      </c>
      <c r="L680" s="144" t="n">
        <v>7</v>
      </c>
      <c r="M680" s="1" t="n">
        <v>15</v>
      </c>
      <c r="N680" s="1" t="n">
        <v>15</v>
      </c>
      <c r="O680" s="149" t="n">
        <v>63</v>
      </c>
    </row>
    <row r="681" customFormat="false" ht="14.25" hidden="false" customHeight="false" outlineLevel="0" collapsed="false">
      <c r="A681" s="1" t="n">
        <v>129</v>
      </c>
      <c r="B681" s="1" t="s">
        <v>475</v>
      </c>
      <c r="C681" s="143" t="s">
        <v>52</v>
      </c>
      <c r="D681" s="143" t="s">
        <v>53</v>
      </c>
      <c r="E681" s="143" t="s">
        <v>474</v>
      </c>
      <c r="F681" s="144" t="n">
        <v>200025889154</v>
      </c>
      <c r="G681" s="144" t="s">
        <v>193</v>
      </c>
      <c r="H681" s="144" t="n">
        <v>7</v>
      </c>
      <c r="I681" s="144" t="s">
        <v>152</v>
      </c>
      <c r="J681" s="148" t="n">
        <v>45056.2827546296</v>
      </c>
      <c r="K681" s="1" t="n">
        <v>4</v>
      </c>
      <c r="L681" s="144" t="n">
        <v>7</v>
      </c>
      <c r="M681" s="1" t="n">
        <v>15</v>
      </c>
      <c r="N681" s="1" t="n">
        <v>15</v>
      </c>
      <c r="O681" s="149" t="n">
        <v>64</v>
      </c>
    </row>
    <row r="682" customFormat="false" ht="14.25" hidden="false" customHeight="false" outlineLevel="0" collapsed="false">
      <c r="A682" s="1" t="n">
        <v>130</v>
      </c>
      <c r="B682" s="1" t="s">
        <v>475</v>
      </c>
      <c r="C682" s="143" t="s">
        <v>52</v>
      </c>
      <c r="D682" s="143" t="s">
        <v>53</v>
      </c>
      <c r="E682" s="143" t="s">
        <v>474</v>
      </c>
      <c r="F682" s="144" t="n">
        <v>200025889154</v>
      </c>
      <c r="G682" s="144" t="s">
        <v>193</v>
      </c>
      <c r="H682" s="144" t="n">
        <v>7</v>
      </c>
      <c r="I682" s="144" t="s">
        <v>152</v>
      </c>
      <c r="J682" s="148" t="n">
        <v>45056.2829976852</v>
      </c>
      <c r="K682" s="1" t="n">
        <v>3</v>
      </c>
      <c r="L682" s="144" t="n">
        <v>7</v>
      </c>
      <c r="M682" s="1" t="n">
        <v>15</v>
      </c>
      <c r="N682" s="1" t="n">
        <v>15</v>
      </c>
      <c r="O682" s="149" t="n">
        <v>65</v>
      </c>
    </row>
    <row r="683" customFormat="false" ht="14.25" hidden="false" customHeight="false" outlineLevel="0" collapsed="false">
      <c r="A683" s="1" t="n">
        <v>131</v>
      </c>
      <c r="B683" s="1" t="s">
        <v>475</v>
      </c>
      <c r="C683" s="143" t="s">
        <v>52</v>
      </c>
      <c r="D683" s="143" t="s">
        <v>53</v>
      </c>
      <c r="E683" s="143" t="s">
        <v>474</v>
      </c>
      <c r="F683" s="144" t="n">
        <v>200025889154</v>
      </c>
      <c r="G683" s="144" t="s">
        <v>193</v>
      </c>
      <c r="H683" s="144" t="n">
        <v>7</v>
      </c>
      <c r="I683" s="144" t="s">
        <v>152</v>
      </c>
      <c r="J683" s="148" t="n">
        <v>45056.2831365741</v>
      </c>
      <c r="K683" s="1" t="n">
        <v>2</v>
      </c>
      <c r="L683" s="144" t="n">
        <v>7</v>
      </c>
      <c r="M683" s="1" t="n">
        <v>15</v>
      </c>
      <c r="N683" s="1" t="n">
        <v>15</v>
      </c>
      <c r="O683" s="149" t="n">
        <v>66</v>
      </c>
    </row>
    <row r="684" customFormat="false" ht="14.25" hidden="false" customHeight="false" outlineLevel="0" collapsed="false">
      <c r="A684" s="1" t="n">
        <v>132</v>
      </c>
      <c r="B684" s="1" t="s">
        <v>475</v>
      </c>
      <c r="C684" s="143" t="s">
        <v>52</v>
      </c>
      <c r="D684" s="143" t="s">
        <v>53</v>
      </c>
      <c r="E684" s="143" t="s">
        <v>474</v>
      </c>
      <c r="F684" s="144" t="n">
        <v>200025889154</v>
      </c>
      <c r="G684" s="144" t="s">
        <v>193</v>
      </c>
      <c r="H684" s="144" t="n">
        <v>7</v>
      </c>
      <c r="I684" s="144" t="s">
        <v>152</v>
      </c>
      <c r="J684" s="148" t="n">
        <v>45056.283287037</v>
      </c>
      <c r="K684" s="1" t="n">
        <v>3</v>
      </c>
      <c r="L684" s="144" t="n">
        <v>7</v>
      </c>
      <c r="M684" s="1" t="n">
        <v>15</v>
      </c>
      <c r="N684" s="1" t="n">
        <v>15</v>
      </c>
      <c r="O684" s="149" t="n">
        <v>67</v>
      </c>
    </row>
    <row r="685" customFormat="false" ht="14.25" hidden="false" customHeight="false" outlineLevel="0" collapsed="false">
      <c r="A685" s="1" t="n">
        <v>133</v>
      </c>
      <c r="B685" s="1" t="s">
        <v>475</v>
      </c>
      <c r="C685" s="143" t="s">
        <v>52</v>
      </c>
      <c r="D685" s="143" t="s">
        <v>53</v>
      </c>
      <c r="E685" s="143" t="s">
        <v>474</v>
      </c>
      <c r="F685" s="144" t="n">
        <v>200025889154</v>
      </c>
      <c r="G685" s="144" t="s">
        <v>193</v>
      </c>
      <c r="H685" s="144" t="n">
        <v>7</v>
      </c>
      <c r="I685" s="144" t="s">
        <v>152</v>
      </c>
      <c r="J685" s="148" t="n">
        <v>45056.2834953704</v>
      </c>
      <c r="K685" s="1" t="n">
        <v>2</v>
      </c>
      <c r="L685" s="144" t="n">
        <v>7</v>
      </c>
      <c r="M685" s="1" t="n">
        <v>15</v>
      </c>
      <c r="N685" s="1" t="n">
        <v>15</v>
      </c>
      <c r="O685" s="149" t="n">
        <v>68</v>
      </c>
    </row>
    <row r="686" customFormat="false" ht="14.25" hidden="false" customHeight="false" outlineLevel="0" collapsed="false">
      <c r="A686" s="1" t="n">
        <v>134</v>
      </c>
      <c r="B686" s="1" t="s">
        <v>475</v>
      </c>
      <c r="C686" s="143" t="s">
        <v>52</v>
      </c>
      <c r="D686" s="143" t="s">
        <v>53</v>
      </c>
      <c r="E686" s="143" t="s">
        <v>474</v>
      </c>
      <c r="F686" s="144" t="n">
        <v>200025889154</v>
      </c>
      <c r="G686" s="144" t="s">
        <v>193</v>
      </c>
      <c r="H686" s="144" t="n">
        <v>7</v>
      </c>
      <c r="I686" s="144" t="s">
        <v>152</v>
      </c>
      <c r="J686" s="148" t="n">
        <v>45056.2838194444</v>
      </c>
      <c r="K686" s="1" t="n">
        <v>3</v>
      </c>
      <c r="L686" s="144" t="n">
        <v>7</v>
      </c>
      <c r="M686" s="1" t="n">
        <v>15</v>
      </c>
      <c r="N686" s="1" t="n">
        <v>15</v>
      </c>
      <c r="O686" s="149" t="n">
        <v>69</v>
      </c>
    </row>
    <row r="687" customFormat="false" ht="14.25" hidden="false" customHeight="false" outlineLevel="0" collapsed="false">
      <c r="A687" s="1" t="n">
        <v>158</v>
      </c>
      <c r="B687" s="1" t="s">
        <v>473</v>
      </c>
      <c r="C687" s="143" t="n">
        <v>11490</v>
      </c>
      <c r="D687" s="143" t="s">
        <v>65</v>
      </c>
      <c r="E687" s="143" t="s">
        <v>474</v>
      </c>
      <c r="F687" s="144" t="n">
        <v>200025889154</v>
      </c>
      <c r="G687" s="144" t="s">
        <v>193</v>
      </c>
      <c r="H687" s="144" t="n">
        <v>7</v>
      </c>
      <c r="I687" s="144" t="s">
        <v>152</v>
      </c>
      <c r="J687" s="148" t="n">
        <v>45056.3371180556</v>
      </c>
      <c r="K687" s="1" t="n">
        <v>3</v>
      </c>
      <c r="L687" s="144" t="n">
        <v>7</v>
      </c>
      <c r="M687" s="1" t="n">
        <v>15</v>
      </c>
      <c r="N687" s="1" t="n">
        <v>15</v>
      </c>
      <c r="O687" s="149" t="n">
        <v>70</v>
      </c>
    </row>
    <row r="688" customFormat="false" ht="14.25" hidden="false" customHeight="false" outlineLevel="0" collapsed="false">
      <c r="A688" s="1" t="n">
        <v>160</v>
      </c>
      <c r="B688" s="1" t="s">
        <v>473</v>
      </c>
      <c r="C688" s="143" t="n">
        <v>11490</v>
      </c>
      <c r="D688" s="143" t="s">
        <v>65</v>
      </c>
      <c r="E688" s="143" t="s">
        <v>474</v>
      </c>
      <c r="F688" s="144" t="n">
        <v>200025889154</v>
      </c>
      <c r="G688" s="144" t="s">
        <v>193</v>
      </c>
      <c r="H688" s="144" t="n">
        <v>7</v>
      </c>
      <c r="I688" s="144" t="s">
        <v>152</v>
      </c>
      <c r="J688" s="148" t="n">
        <v>45056.3415625</v>
      </c>
      <c r="K688" s="1" t="n">
        <v>4</v>
      </c>
      <c r="L688" s="144" t="n">
        <v>7</v>
      </c>
      <c r="M688" s="1" t="n">
        <v>15</v>
      </c>
      <c r="N688" s="1" t="n">
        <v>15</v>
      </c>
      <c r="O688" s="149" t="n">
        <v>71</v>
      </c>
    </row>
    <row r="689" customFormat="false" ht="14.25" hidden="false" customHeight="false" outlineLevel="0" collapsed="false">
      <c r="A689" s="1" t="n">
        <v>135</v>
      </c>
      <c r="B689" s="1" t="s">
        <v>475</v>
      </c>
      <c r="C689" s="143" t="s">
        <v>52</v>
      </c>
      <c r="D689" s="143" t="s">
        <v>53</v>
      </c>
      <c r="E689" s="143" t="s">
        <v>474</v>
      </c>
      <c r="F689" s="144" t="n">
        <v>200025889154</v>
      </c>
      <c r="G689" s="144" t="s">
        <v>193</v>
      </c>
      <c r="H689" s="144" t="n">
        <v>7</v>
      </c>
      <c r="I689" s="144" t="s">
        <v>152</v>
      </c>
      <c r="J689" s="148" t="n">
        <v>45056.3621064815</v>
      </c>
      <c r="K689" s="1" t="n">
        <v>1</v>
      </c>
      <c r="L689" s="144" t="n">
        <v>7</v>
      </c>
      <c r="M689" s="1" t="n">
        <v>15</v>
      </c>
      <c r="N689" s="1" t="n">
        <v>15</v>
      </c>
      <c r="O689" s="149" t="n">
        <v>72</v>
      </c>
    </row>
    <row r="690" customFormat="false" ht="14.25" hidden="false" customHeight="false" outlineLevel="0" collapsed="false">
      <c r="A690" s="1" t="n">
        <v>136</v>
      </c>
      <c r="B690" s="1" t="s">
        <v>475</v>
      </c>
      <c r="C690" s="143" t="s">
        <v>52</v>
      </c>
      <c r="D690" s="143" t="s">
        <v>53</v>
      </c>
      <c r="E690" s="143" t="s">
        <v>474</v>
      </c>
      <c r="F690" s="144" t="n">
        <v>200025889154</v>
      </c>
      <c r="G690" s="144" t="s">
        <v>193</v>
      </c>
      <c r="H690" s="144" t="n">
        <v>7</v>
      </c>
      <c r="I690" s="144" t="s">
        <v>152</v>
      </c>
      <c r="J690" s="148" t="n">
        <v>45056.3633680556</v>
      </c>
      <c r="K690" s="1" t="n">
        <v>1</v>
      </c>
      <c r="L690" s="144" t="n">
        <v>7</v>
      </c>
      <c r="M690" s="1" t="n">
        <v>15</v>
      </c>
      <c r="N690" s="1" t="n">
        <v>15</v>
      </c>
      <c r="O690" s="149" t="n">
        <v>73</v>
      </c>
    </row>
    <row r="691" customFormat="false" ht="14.25" hidden="false" customHeight="false" outlineLevel="0" collapsed="false">
      <c r="A691" s="1" t="n">
        <v>119</v>
      </c>
      <c r="B691" s="1" t="s">
        <v>476</v>
      </c>
      <c r="C691" s="143" t="s">
        <v>58</v>
      </c>
      <c r="D691" s="143" t="s">
        <v>59</v>
      </c>
      <c r="E691" s="143" t="s">
        <v>474</v>
      </c>
      <c r="F691" s="144" t="n">
        <v>200025889154</v>
      </c>
      <c r="G691" s="144" t="s">
        <v>193</v>
      </c>
      <c r="H691" s="144" t="n">
        <v>7</v>
      </c>
      <c r="I691" s="144" t="s">
        <v>152</v>
      </c>
      <c r="J691" s="148" t="n">
        <v>45056.4105902778</v>
      </c>
      <c r="K691" s="1" t="n">
        <v>2</v>
      </c>
      <c r="L691" s="144" t="n">
        <v>7</v>
      </c>
      <c r="M691" s="1" t="n">
        <v>15</v>
      </c>
      <c r="N691" s="1" t="n">
        <v>15</v>
      </c>
      <c r="O691" s="149" t="n">
        <v>74</v>
      </c>
    </row>
    <row r="692" customFormat="false" ht="14.25" hidden="false" customHeight="false" outlineLevel="0" collapsed="false">
      <c r="A692" s="1" t="n">
        <v>120</v>
      </c>
      <c r="B692" s="1" t="s">
        <v>476</v>
      </c>
      <c r="C692" s="143" t="s">
        <v>58</v>
      </c>
      <c r="D692" s="143" t="s">
        <v>59</v>
      </c>
      <c r="E692" s="143" t="s">
        <v>474</v>
      </c>
      <c r="F692" s="144" t="n">
        <v>200025889154</v>
      </c>
      <c r="G692" s="144" t="s">
        <v>193</v>
      </c>
      <c r="H692" s="144" t="n">
        <v>7</v>
      </c>
      <c r="I692" s="144" t="s">
        <v>152</v>
      </c>
      <c r="J692" s="148" t="n">
        <v>45056.4165046296</v>
      </c>
      <c r="K692" s="1" t="n">
        <v>1</v>
      </c>
      <c r="L692" s="144" t="n">
        <v>7</v>
      </c>
      <c r="M692" s="1" t="n">
        <v>15</v>
      </c>
      <c r="N692" s="1" t="n">
        <v>15</v>
      </c>
      <c r="O692" s="149" t="n">
        <v>75</v>
      </c>
    </row>
    <row r="693" customFormat="false" ht="14.25" hidden="false" customHeight="false" outlineLevel="0" collapsed="false">
      <c r="A693" s="1" t="n">
        <v>121</v>
      </c>
      <c r="B693" s="1" t="s">
        <v>476</v>
      </c>
      <c r="C693" s="143" t="s">
        <v>58</v>
      </c>
      <c r="D693" s="143" t="s">
        <v>59</v>
      </c>
      <c r="E693" s="143" t="s">
        <v>474</v>
      </c>
      <c r="F693" s="144" t="n">
        <v>200025889154</v>
      </c>
      <c r="G693" s="144" t="s">
        <v>193</v>
      </c>
      <c r="H693" s="144" t="n">
        <v>7</v>
      </c>
      <c r="I693" s="144" t="s">
        <v>152</v>
      </c>
      <c r="J693" s="148" t="n">
        <v>45056.417037037</v>
      </c>
      <c r="K693" s="1" t="n">
        <v>2</v>
      </c>
      <c r="L693" s="144" t="n">
        <v>7</v>
      </c>
      <c r="M693" s="1" t="n">
        <v>15</v>
      </c>
      <c r="N693" s="1" t="n">
        <v>15</v>
      </c>
      <c r="O693" s="149" t="n">
        <v>76</v>
      </c>
    </row>
    <row r="694" customFormat="false" ht="14.25" hidden="false" customHeight="false" outlineLevel="0" collapsed="false">
      <c r="A694" s="1" t="n">
        <v>122</v>
      </c>
      <c r="B694" s="1" t="s">
        <v>476</v>
      </c>
      <c r="C694" s="143" t="s">
        <v>58</v>
      </c>
      <c r="D694" s="143" t="s">
        <v>59</v>
      </c>
      <c r="E694" s="143" t="s">
        <v>474</v>
      </c>
      <c r="F694" s="144" t="n">
        <v>200025889154</v>
      </c>
      <c r="G694" s="144" t="s">
        <v>193</v>
      </c>
      <c r="H694" s="144" t="n">
        <v>7</v>
      </c>
      <c r="I694" s="144" t="s">
        <v>152</v>
      </c>
      <c r="J694" s="148" t="n">
        <v>45056.4172222222</v>
      </c>
      <c r="K694" s="1" t="n">
        <v>3</v>
      </c>
      <c r="L694" s="144" t="n">
        <v>7</v>
      </c>
      <c r="M694" s="1" t="n">
        <v>15</v>
      </c>
      <c r="N694" s="1" t="n">
        <v>15</v>
      </c>
      <c r="O694" s="149" t="n">
        <v>77</v>
      </c>
    </row>
    <row r="695" customFormat="false" ht="14.25" hidden="false" customHeight="false" outlineLevel="0" collapsed="false">
      <c r="A695" s="1" t="n">
        <v>123</v>
      </c>
      <c r="B695" s="1" t="s">
        <v>476</v>
      </c>
      <c r="C695" s="143" t="s">
        <v>58</v>
      </c>
      <c r="D695" s="143" t="s">
        <v>59</v>
      </c>
      <c r="E695" s="143" t="s">
        <v>474</v>
      </c>
      <c r="F695" s="144" t="n">
        <v>200025889154</v>
      </c>
      <c r="G695" s="144" t="s">
        <v>193</v>
      </c>
      <c r="H695" s="144" t="n">
        <v>7</v>
      </c>
      <c r="I695" s="144" t="s">
        <v>152</v>
      </c>
      <c r="J695" s="148" t="n">
        <v>45056.420775463</v>
      </c>
      <c r="K695" s="1" t="n">
        <v>1</v>
      </c>
      <c r="L695" s="144" t="n">
        <v>7</v>
      </c>
      <c r="M695" s="1" t="n">
        <v>15</v>
      </c>
      <c r="N695" s="1" t="n">
        <v>15</v>
      </c>
      <c r="O695" s="149" t="n">
        <v>78</v>
      </c>
    </row>
    <row r="696" customFormat="false" ht="14.25" hidden="false" customHeight="false" outlineLevel="0" collapsed="false">
      <c r="A696" s="1" t="n">
        <v>124</v>
      </c>
      <c r="B696" s="1" t="s">
        <v>476</v>
      </c>
      <c r="C696" s="143" t="s">
        <v>58</v>
      </c>
      <c r="D696" s="143" t="s">
        <v>59</v>
      </c>
      <c r="E696" s="143" t="s">
        <v>474</v>
      </c>
      <c r="F696" s="144" t="n">
        <v>200025889154</v>
      </c>
      <c r="G696" s="144" t="s">
        <v>193</v>
      </c>
      <c r="H696" s="144" t="n">
        <v>7</v>
      </c>
      <c r="I696" s="144" t="s">
        <v>152</v>
      </c>
      <c r="J696" s="148" t="n">
        <v>45056.4256481482</v>
      </c>
      <c r="K696" s="1" t="n">
        <v>1</v>
      </c>
      <c r="L696" s="144" t="n">
        <v>7</v>
      </c>
      <c r="M696" s="1" t="n">
        <v>15</v>
      </c>
      <c r="N696" s="1" t="n">
        <v>15</v>
      </c>
      <c r="O696" s="149" t="n">
        <v>79</v>
      </c>
    </row>
    <row r="697" customFormat="false" ht="14.25" hidden="false" customHeight="false" outlineLevel="0" collapsed="false">
      <c r="A697" s="1" t="n">
        <v>125</v>
      </c>
      <c r="B697" s="1" t="s">
        <v>476</v>
      </c>
      <c r="C697" s="143" t="s">
        <v>58</v>
      </c>
      <c r="D697" s="143" t="s">
        <v>59</v>
      </c>
      <c r="E697" s="143" t="s">
        <v>474</v>
      </c>
      <c r="F697" s="144" t="n">
        <v>200025889154</v>
      </c>
      <c r="G697" s="144" t="s">
        <v>193</v>
      </c>
      <c r="H697" s="144" t="n">
        <v>7</v>
      </c>
      <c r="I697" s="144" t="s">
        <v>152</v>
      </c>
      <c r="J697" s="148" t="n">
        <v>45056.4341319444</v>
      </c>
      <c r="K697" s="1" t="n">
        <v>0</v>
      </c>
      <c r="L697" s="144" t="n">
        <v>7</v>
      </c>
      <c r="M697" s="1" t="n">
        <v>15</v>
      </c>
      <c r="N697" s="1" t="n">
        <v>15</v>
      </c>
      <c r="O697" s="149" t="n">
        <v>80</v>
      </c>
    </row>
    <row r="698" customFormat="false" ht="14.25" hidden="false" customHeight="false" outlineLevel="0" collapsed="false">
      <c r="A698" s="1" t="n">
        <v>126</v>
      </c>
      <c r="B698" s="1" t="s">
        <v>476</v>
      </c>
      <c r="C698" s="143" t="s">
        <v>58</v>
      </c>
      <c r="D698" s="143" t="s">
        <v>59</v>
      </c>
      <c r="E698" s="143" t="s">
        <v>474</v>
      </c>
      <c r="F698" s="144" t="n">
        <v>200025889154</v>
      </c>
      <c r="G698" s="144" t="s">
        <v>193</v>
      </c>
      <c r="H698" s="144" t="n">
        <v>7</v>
      </c>
      <c r="I698" s="144" t="s">
        <v>152</v>
      </c>
      <c r="J698" s="148" t="n">
        <v>45056.4342824074</v>
      </c>
      <c r="K698" s="1" t="n">
        <v>2</v>
      </c>
      <c r="L698" s="144" t="n">
        <v>7</v>
      </c>
      <c r="M698" s="1" t="n">
        <v>15</v>
      </c>
      <c r="N698" s="1" t="n">
        <v>15</v>
      </c>
      <c r="O698" s="149" t="n">
        <v>81</v>
      </c>
    </row>
    <row r="699" customFormat="false" ht="14.25" hidden="false" customHeight="false" outlineLevel="0" collapsed="false">
      <c r="A699" s="1" t="n">
        <v>127</v>
      </c>
      <c r="B699" s="1" t="s">
        <v>476</v>
      </c>
      <c r="C699" s="143" t="s">
        <v>58</v>
      </c>
      <c r="D699" s="143" t="s">
        <v>59</v>
      </c>
      <c r="E699" s="143" t="s">
        <v>474</v>
      </c>
      <c r="F699" s="144" t="n">
        <v>200025889154</v>
      </c>
      <c r="G699" s="144" t="s">
        <v>193</v>
      </c>
      <c r="H699" s="144" t="n">
        <v>7</v>
      </c>
      <c r="I699" s="144" t="s">
        <v>152</v>
      </c>
      <c r="J699" s="148" t="n">
        <v>45056.4347685185</v>
      </c>
      <c r="K699" s="1" t="n">
        <v>1</v>
      </c>
      <c r="L699" s="144" t="n">
        <v>7</v>
      </c>
      <c r="M699" s="1" t="n">
        <v>15</v>
      </c>
      <c r="N699" s="1" t="n">
        <v>15</v>
      </c>
      <c r="O699" s="149" t="n">
        <v>82</v>
      </c>
    </row>
    <row r="700" customFormat="false" ht="14.25" hidden="false" customHeight="false" outlineLevel="0" collapsed="false">
      <c r="A700" s="1" t="n">
        <v>128</v>
      </c>
      <c r="B700" s="1" t="s">
        <v>476</v>
      </c>
      <c r="C700" s="143" t="s">
        <v>58</v>
      </c>
      <c r="D700" s="143" t="s">
        <v>59</v>
      </c>
      <c r="E700" s="143" t="s">
        <v>474</v>
      </c>
      <c r="F700" s="144" t="n">
        <v>200025889154</v>
      </c>
      <c r="G700" s="144" t="s">
        <v>193</v>
      </c>
      <c r="H700" s="144" t="n">
        <v>7</v>
      </c>
      <c r="I700" s="144" t="s">
        <v>152</v>
      </c>
      <c r="J700" s="148" t="n">
        <v>45056.4351157407</v>
      </c>
      <c r="K700" s="1" t="n">
        <v>2</v>
      </c>
      <c r="L700" s="144" t="n">
        <v>7</v>
      </c>
      <c r="M700" s="1" t="n">
        <v>15</v>
      </c>
      <c r="N700" s="1" t="n">
        <v>15</v>
      </c>
      <c r="O700" s="149" t="n">
        <v>83</v>
      </c>
    </row>
    <row r="701" customFormat="false" ht="14.25" hidden="false" customHeight="false" outlineLevel="0" collapsed="false">
      <c r="A701" s="1" t="n">
        <v>129</v>
      </c>
      <c r="B701" s="1" t="s">
        <v>476</v>
      </c>
      <c r="C701" s="143" t="s">
        <v>58</v>
      </c>
      <c r="D701" s="143" t="s">
        <v>59</v>
      </c>
      <c r="E701" s="143" t="s">
        <v>474</v>
      </c>
      <c r="F701" s="144" t="n">
        <v>200025889154</v>
      </c>
      <c r="G701" s="144" t="s">
        <v>193</v>
      </c>
      <c r="H701" s="144" t="n">
        <v>7</v>
      </c>
      <c r="I701" s="144" t="s">
        <v>152</v>
      </c>
      <c r="J701" s="148" t="n">
        <v>45056.4358449074</v>
      </c>
      <c r="K701" s="1" t="n">
        <v>0</v>
      </c>
      <c r="L701" s="144" t="n">
        <v>7</v>
      </c>
      <c r="M701" s="1" t="n">
        <v>15</v>
      </c>
      <c r="N701" s="1" t="n">
        <v>15</v>
      </c>
      <c r="O701" s="149" t="n">
        <v>84</v>
      </c>
    </row>
    <row r="702" customFormat="false" ht="14.25" hidden="false" customHeight="false" outlineLevel="0" collapsed="false">
      <c r="A702" s="1" t="n">
        <v>130</v>
      </c>
      <c r="B702" s="1" t="s">
        <v>476</v>
      </c>
      <c r="C702" s="143" t="s">
        <v>58</v>
      </c>
      <c r="D702" s="143" t="s">
        <v>59</v>
      </c>
      <c r="E702" s="143" t="s">
        <v>474</v>
      </c>
      <c r="F702" s="144" t="n">
        <v>200025889154</v>
      </c>
      <c r="G702" s="144" t="s">
        <v>193</v>
      </c>
      <c r="H702" s="144" t="n">
        <v>7</v>
      </c>
      <c r="I702" s="144" t="s">
        <v>152</v>
      </c>
      <c r="J702" s="148" t="n">
        <v>45056.436712963</v>
      </c>
      <c r="K702" s="1" t="n">
        <v>3</v>
      </c>
      <c r="L702" s="144" t="n">
        <v>7</v>
      </c>
      <c r="M702" s="1" t="n">
        <v>15</v>
      </c>
      <c r="N702" s="1" t="n">
        <v>15</v>
      </c>
      <c r="O702" s="149" t="n">
        <v>85</v>
      </c>
    </row>
    <row r="703" customFormat="false" ht="14.25" hidden="false" customHeight="false" outlineLevel="0" collapsed="false">
      <c r="A703" s="1" t="n">
        <v>131</v>
      </c>
      <c r="B703" s="1" t="s">
        <v>476</v>
      </c>
      <c r="C703" s="143" t="s">
        <v>58</v>
      </c>
      <c r="D703" s="143" t="s">
        <v>59</v>
      </c>
      <c r="E703" s="143" t="s">
        <v>474</v>
      </c>
      <c r="F703" s="144" t="n">
        <v>200025889154</v>
      </c>
      <c r="G703" s="144" t="s">
        <v>193</v>
      </c>
      <c r="H703" s="144" t="n">
        <v>7</v>
      </c>
      <c r="I703" s="144" t="s">
        <v>152</v>
      </c>
      <c r="J703" s="148" t="n">
        <v>45056.4369560185</v>
      </c>
      <c r="K703" s="1" t="n">
        <v>1</v>
      </c>
      <c r="L703" s="144" t="n">
        <v>7</v>
      </c>
      <c r="M703" s="1" t="n">
        <v>15</v>
      </c>
      <c r="N703" s="1" t="n">
        <v>15</v>
      </c>
      <c r="O703" s="149" t="n">
        <v>86</v>
      </c>
    </row>
    <row r="704" customFormat="false" ht="14.25" hidden="false" customHeight="false" outlineLevel="0" collapsed="false">
      <c r="A704" s="1" t="n">
        <v>132</v>
      </c>
      <c r="B704" s="1" t="s">
        <v>476</v>
      </c>
      <c r="C704" s="143" t="s">
        <v>58</v>
      </c>
      <c r="D704" s="143" t="s">
        <v>59</v>
      </c>
      <c r="E704" s="143" t="s">
        <v>474</v>
      </c>
      <c r="F704" s="144" t="n">
        <v>200025889154</v>
      </c>
      <c r="G704" s="144" t="s">
        <v>193</v>
      </c>
      <c r="H704" s="144" t="n">
        <v>7</v>
      </c>
      <c r="I704" s="144" t="s">
        <v>152</v>
      </c>
      <c r="J704" s="148" t="n">
        <v>45056.4392824074</v>
      </c>
      <c r="K704" s="1" t="n">
        <v>3</v>
      </c>
      <c r="L704" s="144" t="n">
        <v>7</v>
      </c>
      <c r="M704" s="1" t="n">
        <v>15</v>
      </c>
      <c r="N704" s="1" t="n">
        <v>15</v>
      </c>
      <c r="O704" s="149" t="n">
        <v>87</v>
      </c>
    </row>
    <row r="705" customFormat="false" ht="14.25" hidden="false" customHeight="false" outlineLevel="0" collapsed="false">
      <c r="A705" s="1" t="n">
        <v>133</v>
      </c>
      <c r="B705" s="1" t="s">
        <v>476</v>
      </c>
      <c r="C705" s="143" t="s">
        <v>58</v>
      </c>
      <c r="D705" s="143" t="s">
        <v>59</v>
      </c>
      <c r="E705" s="143" t="s">
        <v>474</v>
      </c>
      <c r="F705" s="144" t="n">
        <v>200025889154</v>
      </c>
      <c r="G705" s="144" t="s">
        <v>193</v>
      </c>
      <c r="H705" s="144" t="n">
        <v>7</v>
      </c>
      <c r="I705" s="144" t="s">
        <v>152</v>
      </c>
      <c r="J705" s="148" t="n">
        <v>45056.4393865741</v>
      </c>
      <c r="K705" s="1" t="n">
        <v>3</v>
      </c>
      <c r="L705" s="144" t="n">
        <v>7</v>
      </c>
      <c r="M705" s="1" t="n">
        <v>15</v>
      </c>
      <c r="N705" s="1" t="n">
        <v>15</v>
      </c>
      <c r="O705" s="149" t="n">
        <v>88</v>
      </c>
    </row>
    <row r="706" customFormat="false" ht="14.25" hidden="false" customHeight="false" outlineLevel="0" collapsed="false">
      <c r="A706" s="1" t="n">
        <v>134</v>
      </c>
      <c r="B706" s="1" t="s">
        <v>476</v>
      </c>
      <c r="C706" s="143" t="s">
        <v>58</v>
      </c>
      <c r="D706" s="143" t="s">
        <v>59</v>
      </c>
      <c r="E706" s="143" t="s">
        <v>474</v>
      </c>
      <c r="F706" s="144" t="n">
        <v>200025889154</v>
      </c>
      <c r="G706" s="144" t="s">
        <v>193</v>
      </c>
      <c r="H706" s="144" t="n">
        <v>7</v>
      </c>
      <c r="I706" s="144" t="s">
        <v>152</v>
      </c>
      <c r="J706" s="148" t="n">
        <v>45056.4426388889</v>
      </c>
      <c r="K706" s="1" t="n">
        <v>0</v>
      </c>
      <c r="L706" s="144" t="n">
        <v>7</v>
      </c>
      <c r="M706" s="1" t="n">
        <v>15</v>
      </c>
      <c r="N706" s="1" t="n">
        <v>15</v>
      </c>
      <c r="O706" s="149" t="n">
        <v>89</v>
      </c>
    </row>
    <row r="707" customFormat="false" ht="14.25" hidden="false" customHeight="false" outlineLevel="0" collapsed="false">
      <c r="A707" s="1" t="n">
        <v>74</v>
      </c>
      <c r="B707" s="1" t="s">
        <v>477</v>
      </c>
      <c r="C707" s="143" t="n">
        <v>91601</v>
      </c>
      <c r="D707" s="143" t="s">
        <v>64</v>
      </c>
      <c r="E707" s="143" t="s">
        <v>474</v>
      </c>
      <c r="F707" s="144" t="n">
        <v>200025889154</v>
      </c>
      <c r="G707" s="144" t="s">
        <v>193</v>
      </c>
      <c r="H707" s="144" t="n">
        <v>7</v>
      </c>
      <c r="I707" s="144" t="s">
        <v>152</v>
      </c>
      <c r="J707" s="150" t="n">
        <v>45056.5062615741</v>
      </c>
      <c r="K707" s="1" t="n">
        <v>0</v>
      </c>
      <c r="L707" s="144" t="n">
        <v>7</v>
      </c>
      <c r="M707" s="1" t="n">
        <v>15</v>
      </c>
      <c r="N707" s="1" t="n">
        <v>15</v>
      </c>
      <c r="O707" s="149" t="n">
        <v>90</v>
      </c>
    </row>
    <row r="708" customFormat="false" ht="14.25" hidden="false" customHeight="false" outlineLevel="0" collapsed="false">
      <c r="A708" s="1" t="n">
        <v>75</v>
      </c>
      <c r="B708" s="1" t="s">
        <v>477</v>
      </c>
      <c r="C708" s="143" t="n">
        <v>91601</v>
      </c>
      <c r="D708" s="143" t="s">
        <v>64</v>
      </c>
      <c r="E708" s="143" t="s">
        <v>474</v>
      </c>
      <c r="F708" s="144" t="n">
        <v>200025889154</v>
      </c>
      <c r="G708" s="144" t="s">
        <v>193</v>
      </c>
      <c r="H708" s="144" t="n">
        <v>7</v>
      </c>
      <c r="I708" s="144" t="s">
        <v>152</v>
      </c>
      <c r="J708" s="150" t="n">
        <v>45056.5065740741</v>
      </c>
      <c r="K708" s="1" t="n">
        <v>1</v>
      </c>
      <c r="L708" s="144" t="n">
        <v>7</v>
      </c>
      <c r="M708" s="1" t="n">
        <v>15</v>
      </c>
      <c r="N708" s="1" t="n">
        <v>15</v>
      </c>
      <c r="O708" s="149" t="n">
        <v>91</v>
      </c>
    </row>
    <row r="709" customFormat="false" ht="14.25" hidden="false" customHeight="false" outlineLevel="0" collapsed="false">
      <c r="A709" s="1" t="n">
        <v>135</v>
      </c>
      <c r="B709" s="1" t="s">
        <v>476</v>
      </c>
      <c r="C709" s="143" t="s">
        <v>58</v>
      </c>
      <c r="D709" s="143" t="s">
        <v>59</v>
      </c>
      <c r="E709" s="143" t="s">
        <v>474</v>
      </c>
      <c r="F709" s="144" t="n">
        <v>200025889154</v>
      </c>
      <c r="G709" s="144" t="s">
        <v>193</v>
      </c>
      <c r="H709" s="144" t="n">
        <v>7</v>
      </c>
      <c r="I709" s="144" t="s">
        <v>152</v>
      </c>
      <c r="J709" s="148" t="n">
        <v>45056.6543634259</v>
      </c>
      <c r="K709" s="1" t="n">
        <v>1</v>
      </c>
      <c r="L709" s="144" t="n">
        <v>7</v>
      </c>
      <c r="M709" s="1" t="n">
        <v>15</v>
      </c>
      <c r="N709" s="1" t="n">
        <v>15</v>
      </c>
      <c r="O709" s="149" t="n">
        <v>92</v>
      </c>
    </row>
    <row r="710" customFormat="false" ht="14.25" hidden="false" customHeight="false" outlineLevel="0" collapsed="false">
      <c r="A710" s="1" t="n">
        <v>136</v>
      </c>
      <c r="B710" s="1" t="s">
        <v>476</v>
      </c>
      <c r="C710" s="143" t="s">
        <v>58</v>
      </c>
      <c r="D710" s="143" t="s">
        <v>59</v>
      </c>
      <c r="E710" s="143" t="s">
        <v>474</v>
      </c>
      <c r="F710" s="144" t="n">
        <v>200025889154</v>
      </c>
      <c r="G710" s="144" t="s">
        <v>193</v>
      </c>
      <c r="H710" s="144" t="n">
        <v>7</v>
      </c>
      <c r="I710" s="144" t="s">
        <v>152</v>
      </c>
      <c r="J710" s="148" t="n">
        <v>45056.6547685185</v>
      </c>
      <c r="K710" s="1" t="n">
        <v>5</v>
      </c>
      <c r="L710" s="144" t="n">
        <v>7</v>
      </c>
      <c r="M710" s="1" t="n">
        <v>15</v>
      </c>
      <c r="N710" s="1" t="n">
        <v>15</v>
      </c>
      <c r="O710" s="149" t="n">
        <v>93</v>
      </c>
    </row>
    <row r="711" customFormat="false" ht="14.25" hidden="false" customHeight="false" outlineLevel="0" collapsed="false">
      <c r="A711" s="1" t="n">
        <v>137</v>
      </c>
      <c r="B711" s="1" t="s">
        <v>476</v>
      </c>
      <c r="C711" s="143" t="s">
        <v>58</v>
      </c>
      <c r="D711" s="143" t="s">
        <v>59</v>
      </c>
      <c r="E711" s="143" t="s">
        <v>474</v>
      </c>
      <c r="F711" s="144" t="n">
        <v>200025889154</v>
      </c>
      <c r="G711" s="144" t="s">
        <v>193</v>
      </c>
      <c r="H711" s="144" t="n">
        <v>7</v>
      </c>
      <c r="I711" s="144" t="s">
        <v>152</v>
      </c>
      <c r="J711" s="148" t="n">
        <v>45056.6558449074</v>
      </c>
      <c r="K711" s="1" t="n">
        <v>0</v>
      </c>
      <c r="L711" s="144" t="n">
        <v>7</v>
      </c>
      <c r="M711" s="1" t="n">
        <v>15</v>
      </c>
      <c r="N711" s="1" t="n">
        <v>15</v>
      </c>
      <c r="O711" s="149" t="n">
        <v>94</v>
      </c>
    </row>
    <row r="712" customFormat="false" ht="14.25" hidden="false" customHeight="false" outlineLevel="0" collapsed="false">
      <c r="A712" s="1" t="n">
        <v>138</v>
      </c>
      <c r="B712" s="1" t="s">
        <v>476</v>
      </c>
      <c r="C712" s="143" t="s">
        <v>58</v>
      </c>
      <c r="D712" s="143" t="s">
        <v>59</v>
      </c>
      <c r="E712" s="143" t="s">
        <v>474</v>
      </c>
      <c r="F712" s="144" t="n">
        <v>200025889154</v>
      </c>
      <c r="G712" s="144" t="s">
        <v>193</v>
      </c>
      <c r="H712" s="144" t="n">
        <v>7</v>
      </c>
      <c r="I712" s="144" t="s">
        <v>152</v>
      </c>
      <c r="J712" s="148" t="n">
        <v>45056.6563310185</v>
      </c>
      <c r="K712" s="1" t="n">
        <v>0</v>
      </c>
      <c r="L712" s="144" t="n">
        <v>7</v>
      </c>
      <c r="M712" s="1" t="n">
        <v>15</v>
      </c>
      <c r="N712" s="1" t="n">
        <v>15</v>
      </c>
      <c r="O712" s="149" t="n">
        <v>95</v>
      </c>
    </row>
    <row r="713" customFormat="false" ht="14.25" hidden="false" customHeight="false" outlineLevel="0" collapsed="false">
      <c r="A713" s="1" t="n">
        <v>139</v>
      </c>
      <c r="B713" s="1" t="s">
        <v>476</v>
      </c>
      <c r="C713" s="143" t="s">
        <v>58</v>
      </c>
      <c r="D713" s="143" t="s">
        <v>59</v>
      </c>
      <c r="E713" s="143" t="s">
        <v>474</v>
      </c>
      <c r="F713" s="144" t="n">
        <v>200025889154</v>
      </c>
      <c r="G713" s="144" t="s">
        <v>193</v>
      </c>
      <c r="H713" s="144" t="n">
        <v>7</v>
      </c>
      <c r="I713" s="144" t="s">
        <v>152</v>
      </c>
      <c r="J713" s="148" t="n">
        <v>45056.6583217593</v>
      </c>
      <c r="K713" s="1" t="n">
        <v>1</v>
      </c>
      <c r="L713" s="144" t="n">
        <v>7</v>
      </c>
      <c r="M713" s="1" t="n">
        <v>15</v>
      </c>
      <c r="N713" s="1" t="n">
        <v>15</v>
      </c>
      <c r="O713" s="149" t="n">
        <v>96</v>
      </c>
    </row>
    <row r="714" customFormat="false" ht="14.25" hidden="false" customHeight="false" outlineLevel="0" collapsed="false">
      <c r="A714" s="1" t="n">
        <v>140</v>
      </c>
      <c r="B714" s="1" t="s">
        <v>476</v>
      </c>
      <c r="C714" s="143" t="s">
        <v>58</v>
      </c>
      <c r="D714" s="143" t="s">
        <v>59</v>
      </c>
      <c r="E714" s="143" t="s">
        <v>474</v>
      </c>
      <c r="F714" s="144" t="n">
        <v>200025889154</v>
      </c>
      <c r="G714" s="144" t="s">
        <v>193</v>
      </c>
      <c r="H714" s="144" t="n">
        <v>7</v>
      </c>
      <c r="I714" s="144" t="s">
        <v>152</v>
      </c>
      <c r="J714" s="148" t="n">
        <v>45056.6588773148</v>
      </c>
      <c r="K714" s="1" t="n">
        <v>3</v>
      </c>
      <c r="L714" s="144" t="n">
        <v>7</v>
      </c>
      <c r="M714" s="1" t="n">
        <v>15</v>
      </c>
      <c r="N714" s="1" t="n">
        <v>15</v>
      </c>
      <c r="O714" s="149" t="n">
        <v>97</v>
      </c>
    </row>
    <row r="715" customFormat="false" ht="14.25" hidden="false" customHeight="false" outlineLevel="0" collapsed="false">
      <c r="A715" s="1" t="n">
        <v>141</v>
      </c>
      <c r="B715" s="1" t="s">
        <v>476</v>
      </c>
      <c r="C715" s="143" t="s">
        <v>58</v>
      </c>
      <c r="D715" s="143" t="s">
        <v>59</v>
      </c>
      <c r="E715" s="143" t="s">
        <v>474</v>
      </c>
      <c r="F715" s="144" t="n">
        <v>200025889154</v>
      </c>
      <c r="G715" s="144" t="s">
        <v>193</v>
      </c>
      <c r="H715" s="144" t="n">
        <v>7</v>
      </c>
      <c r="I715" s="144" t="s">
        <v>152</v>
      </c>
      <c r="J715" s="148" t="n">
        <v>45056.6591782407</v>
      </c>
      <c r="K715" s="1" t="n">
        <v>0</v>
      </c>
      <c r="L715" s="144" t="n">
        <v>7</v>
      </c>
      <c r="M715" s="1" t="n">
        <v>15</v>
      </c>
      <c r="N715" s="1" t="n">
        <v>15</v>
      </c>
      <c r="O715" s="149" t="n">
        <v>98</v>
      </c>
    </row>
    <row r="716" customFormat="false" ht="14.25" hidden="false" customHeight="false" outlineLevel="0" collapsed="false">
      <c r="A716" s="1" t="n">
        <v>142</v>
      </c>
      <c r="B716" s="1" t="s">
        <v>476</v>
      </c>
      <c r="C716" s="143" t="s">
        <v>58</v>
      </c>
      <c r="D716" s="143" t="s">
        <v>59</v>
      </c>
      <c r="E716" s="143" t="s">
        <v>474</v>
      </c>
      <c r="F716" s="144" t="n">
        <v>200025889154</v>
      </c>
      <c r="G716" s="144" t="s">
        <v>193</v>
      </c>
      <c r="H716" s="144" t="n">
        <v>7</v>
      </c>
      <c r="I716" s="144" t="s">
        <v>152</v>
      </c>
      <c r="J716" s="148" t="n">
        <v>45056.6593981482</v>
      </c>
      <c r="K716" s="1" t="n">
        <v>2</v>
      </c>
      <c r="L716" s="144" t="n">
        <v>7</v>
      </c>
      <c r="M716" s="1" t="n">
        <v>15</v>
      </c>
      <c r="N716" s="1" t="n">
        <v>15</v>
      </c>
      <c r="O716" s="149" t="n">
        <v>99</v>
      </c>
    </row>
    <row r="717" customFormat="false" ht="14.25" hidden="false" customHeight="false" outlineLevel="0" collapsed="false">
      <c r="A717" s="1" t="n">
        <v>143</v>
      </c>
      <c r="B717" s="1" t="s">
        <v>476</v>
      </c>
      <c r="C717" s="143" t="s">
        <v>58</v>
      </c>
      <c r="D717" s="143" t="s">
        <v>59</v>
      </c>
      <c r="E717" s="143" t="s">
        <v>474</v>
      </c>
      <c r="F717" s="144" t="n">
        <v>200025889154</v>
      </c>
      <c r="G717" s="144" t="s">
        <v>193</v>
      </c>
      <c r="H717" s="144" t="n">
        <v>7</v>
      </c>
      <c r="I717" s="144" t="s">
        <v>152</v>
      </c>
      <c r="J717" s="148" t="n">
        <v>45056.6618518519</v>
      </c>
      <c r="K717" s="1" t="n">
        <v>0</v>
      </c>
      <c r="L717" s="144" t="n">
        <v>7</v>
      </c>
      <c r="M717" s="1" t="n">
        <v>15</v>
      </c>
      <c r="N717" s="1" t="n">
        <v>15</v>
      </c>
      <c r="O717" s="149" t="n">
        <v>100</v>
      </c>
    </row>
    <row r="718" customFormat="false" ht="14.25" hidden="false" customHeight="false" outlineLevel="0" collapsed="false">
      <c r="A718" s="1" t="n">
        <v>144</v>
      </c>
      <c r="B718" s="1" t="s">
        <v>476</v>
      </c>
      <c r="C718" s="143" t="s">
        <v>58</v>
      </c>
      <c r="D718" s="143" t="s">
        <v>59</v>
      </c>
      <c r="E718" s="143" t="s">
        <v>474</v>
      </c>
      <c r="F718" s="144" t="n">
        <v>200025889154</v>
      </c>
      <c r="G718" s="144" t="s">
        <v>193</v>
      </c>
      <c r="H718" s="144" t="n">
        <v>7</v>
      </c>
      <c r="I718" s="144" t="s">
        <v>152</v>
      </c>
      <c r="J718" s="148" t="n">
        <v>45056.6619791667</v>
      </c>
      <c r="K718" s="1" t="n">
        <v>2</v>
      </c>
      <c r="L718" s="144" t="n">
        <v>7</v>
      </c>
      <c r="M718" s="1" t="n">
        <v>15</v>
      </c>
      <c r="N718" s="1" t="n">
        <v>15</v>
      </c>
      <c r="O718" s="149" t="n">
        <v>101</v>
      </c>
    </row>
    <row r="719" customFormat="false" ht="14.25" hidden="false" customHeight="false" outlineLevel="0" collapsed="false">
      <c r="A719" s="1" t="n">
        <v>145</v>
      </c>
      <c r="B719" s="1" t="s">
        <v>476</v>
      </c>
      <c r="C719" s="143" t="s">
        <v>58</v>
      </c>
      <c r="D719" s="143" t="s">
        <v>59</v>
      </c>
      <c r="E719" s="143" t="s">
        <v>474</v>
      </c>
      <c r="F719" s="144" t="n">
        <v>200025889154</v>
      </c>
      <c r="G719" s="144" t="s">
        <v>193</v>
      </c>
      <c r="H719" s="144" t="n">
        <v>7</v>
      </c>
      <c r="I719" s="144" t="s">
        <v>152</v>
      </c>
      <c r="J719" s="148" t="n">
        <v>45056.6687731482</v>
      </c>
      <c r="K719" s="1" t="n">
        <v>2</v>
      </c>
      <c r="L719" s="144" t="n">
        <v>7</v>
      </c>
      <c r="M719" s="1" t="n">
        <v>15</v>
      </c>
      <c r="N719" s="1" t="n">
        <v>15</v>
      </c>
      <c r="O719" s="149" t="n">
        <v>102</v>
      </c>
    </row>
    <row r="720" customFormat="false" ht="14.25" hidden="false" customHeight="false" outlineLevel="0" collapsed="false">
      <c r="A720" s="1" t="n">
        <v>146</v>
      </c>
      <c r="B720" s="1" t="s">
        <v>476</v>
      </c>
      <c r="C720" s="143" t="s">
        <v>58</v>
      </c>
      <c r="D720" s="143" t="s">
        <v>59</v>
      </c>
      <c r="E720" s="143" t="s">
        <v>474</v>
      </c>
      <c r="F720" s="144" t="n">
        <v>200025889154</v>
      </c>
      <c r="G720" s="144" t="s">
        <v>193</v>
      </c>
      <c r="H720" s="144" t="n">
        <v>7</v>
      </c>
      <c r="I720" s="144" t="s">
        <v>152</v>
      </c>
      <c r="J720" s="148" t="n">
        <v>45056.6754398148</v>
      </c>
      <c r="K720" s="1" t="n">
        <v>0</v>
      </c>
      <c r="L720" s="144" t="n">
        <v>7</v>
      </c>
      <c r="M720" s="1" t="n">
        <v>15</v>
      </c>
      <c r="N720" s="1" t="n">
        <v>15</v>
      </c>
      <c r="O720" s="149" t="n">
        <v>103</v>
      </c>
    </row>
    <row r="721" customFormat="false" ht="14.25" hidden="false" customHeight="false" outlineLevel="0" collapsed="false">
      <c r="A721" s="1" t="n">
        <v>147</v>
      </c>
      <c r="B721" s="1" t="s">
        <v>476</v>
      </c>
      <c r="C721" s="143" t="s">
        <v>58</v>
      </c>
      <c r="D721" s="143" t="s">
        <v>59</v>
      </c>
      <c r="E721" s="143" t="s">
        <v>474</v>
      </c>
      <c r="F721" s="144" t="n">
        <v>200025889154</v>
      </c>
      <c r="G721" s="144" t="s">
        <v>193</v>
      </c>
      <c r="H721" s="144" t="n">
        <v>7</v>
      </c>
      <c r="I721" s="144" t="s">
        <v>152</v>
      </c>
      <c r="J721" s="148" t="n">
        <v>45056.6818402778</v>
      </c>
      <c r="K721" s="1" t="n">
        <v>2</v>
      </c>
      <c r="L721" s="144" t="n">
        <v>7</v>
      </c>
      <c r="M721" s="1" t="n">
        <v>15</v>
      </c>
      <c r="N721" s="1" t="n">
        <v>15</v>
      </c>
      <c r="O721" s="149" t="n">
        <v>104</v>
      </c>
    </row>
    <row r="722" customFormat="false" ht="14.25" hidden="false" customHeight="false" outlineLevel="0" collapsed="false">
      <c r="A722" s="1" t="n">
        <v>148</v>
      </c>
      <c r="B722" s="1" t="s">
        <v>476</v>
      </c>
      <c r="C722" s="143" t="s">
        <v>58</v>
      </c>
      <c r="D722" s="143" t="s">
        <v>59</v>
      </c>
      <c r="E722" s="143" t="s">
        <v>474</v>
      </c>
      <c r="F722" s="144" t="n">
        <v>200025889154</v>
      </c>
      <c r="G722" s="144" t="s">
        <v>193</v>
      </c>
      <c r="H722" s="144" t="n">
        <v>7</v>
      </c>
      <c r="I722" s="144" t="s">
        <v>152</v>
      </c>
      <c r="J722" s="148" t="n">
        <v>45056.6842476852</v>
      </c>
      <c r="K722" s="1" t="n">
        <v>4</v>
      </c>
      <c r="L722" s="144" t="n">
        <v>7</v>
      </c>
      <c r="M722" s="1" t="n">
        <v>15</v>
      </c>
      <c r="N722" s="1" t="n">
        <v>15</v>
      </c>
      <c r="O722" s="149" t="n">
        <v>105</v>
      </c>
    </row>
    <row r="723" customFormat="false" ht="14.25" hidden="false" customHeight="false" outlineLevel="0" collapsed="false">
      <c r="A723" s="1" t="n">
        <v>149</v>
      </c>
      <c r="B723" s="1" t="s">
        <v>476</v>
      </c>
      <c r="C723" s="143" t="s">
        <v>58</v>
      </c>
      <c r="D723" s="143" t="s">
        <v>59</v>
      </c>
      <c r="E723" s="143" t="s">
        <v>474</v>
      </c>
      <c r="F723" s="144" t="n">
        <v>200025889154</v>
      </c>
      <c r="G723" s="144" t="s">
        <v>193</v>
      </c>
      <c r="H723" s="144" t="n">
        <v>7</v>
      </c>
      <c r="I723" s="144" t="s">
        <v>152</v>
      </c>
      <c r="J723" s="148" t="n">
        <v>45056.6909490741</v>
      </c>
      <c r="K723" s="1" t="n">
        <v>3</v>
      </c>
      <c r="L723" s="144" t="n">
        <v>7</v>
      </c>
      <c r="M723" s="1" t="n">
        <v>15</v>
      </c>
      <c r="N723" s="1" t="n">
        <v>15</v>
      </c>
      <c r="O723" s="149" t="n">
        <v>106</v>
      </c>
    </row>
    <row r="724" customFormat="false" ht="14.25" hidden="false" customHeight="false" outlineLevel="0" collapsed="false">
      <c r="A724" s="1" t="n">
        <v>150</v>
      </c>
      <c r="B724" s="1" t="s">
        <v>476</v>
      </c>
      <c r="C724" s="143" t="s">
        <v>58</v>
      </c>
      <c r="D724" s="143" t="s">
        <v>59</v>
      </c>
      <c r="E724" s="143" t="s">
        <v>474</v>
      </c>
      <c r="F724" s="144" t="n">
        <v>200025889154</v>
      </c>
      <c r="G724" s="144" t="s">
        <v>193</v>
      </c>
      <c r="H724" s="144" t="n">
        <v>7</v>
      </c>
      <c r="I724" s="144" t="s">
        <v>152</v>
      </c>
      <c r="J724" s="148" t="n">
        <v>45056.6909606482</v>
      </c>
      <c r="K724" s="1" t="n">
        <v>1</v>
      </c>
      <c r="L724" s="144" t="n">
        <v>7</v>
      </c>
      <c r="M724" s="1" t="n">
        <v>15</v>
      </c>
      <c r="N724" s="1" t="n">
        <v>15</v>
      </c>
      <c r="O724" s="149" t="n">
        <v>107</v>
      </c>
    </row>
    <row r="725" customFormat="false" ht="14.25" hidden="false" customHeight="false" outlineLevel="0" collapsed="false">
      <c r="A725" s="1" t="n">
        <v>151</v>
      </c>
      <c r="B725" s="1" t="s">
        <v>476</v>
      </c>
      <c r="C725" s="143" t="s">
        <v>58</v>
      </c>
      <c r="D725" s="143" t="s">
        <v>59</v>
      </c>
      <c r="E725" s="143" t="s">
        <v>474</v>
      </c>
      <c r="F725" s="144" t="n">
        <v>200025889154</v>
      </c>
      <c r="G725" s="144" t="s">
        <v>193</v>
      </c>
      <c r="H725" s="144" t="n">
        <v>7</v>
      </c>
      <c r="I725" s="144" t="s">
        <v>152</v>
      </c>
      <c r="J725" s="148" t="n">
        <v>45056.6951736111</v>
      </c>
      <c r="K725" s="1" t="n">
        <v>2</v>
      </c>
      <c r="L725" s="144" t="n">
        <v>7</v>
      </c>
      <c r="M725" s="1" t="n">
        <v>15</v>
      </c>
      <c r="N725" s="1" t="n">
        <v>15</v>
      </c>
      <c r="O725" s="149" t="n">
        <v>108</v>
      </c>
    </row>
    <row r="726" customFormat="false" ht="14.25" hidden="false" customHeight="false" outlineLevel="0" collapsed="false">
      <c r="A726" s="1" t="n">
        <v>152</v>
      </c>
      <c r="B726" s="1" t="s">
        <v>476</v>
      </c>
      <c r="C726" s="143" t="s">
        <v>58</v>
      </c>
      <c r="D726" s="143" t="s">
        <v>59</v>
      </c>
      <c r="E726" s="143" t="s">
        <v>474</v>
      </c>
      <c r="F726" s="144" t="n">
        <v>200025889154</v>
      </c>
      <c r="G726" s="144" t="s">
        <v>193</v>
      </c>
      <c r="H726" s="144" t="n">
        <v>7</v>
      </c>
      <c r="I726" s="144" t="s">
        <v>152</v>
      </c>
      <c r="J726" s="148" t="n">
        <v>45056.7196412037</v>
      </c>
      <c r="K726" s="1" t="n">
        <v>1</v>
      </c>
      <c r="L726" s="144" t="n">
        <v>7</v>
      </c>
      <c r="M726" s="1" t="n">
        <v>15</v>
      </c>
      <c r="N726" s="1" t="n">
        <v>15</v>
      </c>
      <c r="O726" s="149" t="n">
        <v>109</v>
      </c>
    </row>
    <row r="727" customFormat="false" ht="14.25" hidden="false" customHeight="false" outlineLevel="0" collapsed="false">
      <c r="A727" s="1" t="n">
        <v>153</v>
      </c>
      <c r="B727" s="1" t="s">
        <v>476</v>
      </c>
      <c r="C727" s="143" t="s">
        <v>58</v>
      </c>
      <c r="D727" s="143" t="s">
        <v>59</v>
      </c>
      <c r="E727" s="143" t="s">
        <v>474</v>
      </c>
      <c r="F727" s="144" t="n">
        <v>200025889154</v>
      </c>
      <c r="G727" s="144" t="s">
        <v>193</v>
      </c>
      <c r="H727" s="144" t="n">
        <v>7</v>
      </c>
      <c r="I727" s="144" t="s">
        <v>152</v>
      </c>
      <c r="J727" s="148" t="n">
        <v>45056.7196527778</v>
      </c>
      <c r="K727" s="1" t="n">
        <v>3</v>
      </c>
      <c r="L727" s="144" t="n">
        <v>7</v>
      </c>
      <c r="M727" s="1" t="n">
        <v>15</v>
      </c>
      <c r="N727" s="1" t="n">
        <v>15</v>
      </c>
      <c r="O727" s="149" t="n">
        <v>110</v>
      </c>
    </row>
    <row r="728" customFormat="false" ht="14.25" hidden="false" customHeight="false" outlineLevel="0" collapsed="false">
      <c r="A728" s="1" t="n">
        <v>154</v>
      </c>
      <c r="B728" s="1" t="s">
        <v>476</v>
      </c>
      <c r="C728" s="143" t="s">
        <v>58</v>
      </c>
      <c r="D728" s="143" t="s">
        <v>59</v>
      </c>
      <c r="E728" s="143" t="s">
        <v>474</v>
      </c>
      <c r="F728" s="144" t="n">
        <v>200025889154</v>
      </c>
      <c r="G728" s="144" t="s">
        <v>193</v>
      </c>
      <c r="H728" s="144" t="n">
        <v>7</v>
      </c>
      <c r="I728" s="144" t="s">
        <v>152</v>
      </c>
      <c r="J728" s="148" t="n">
        <v>45056.7307175926</v>
      </c>
      <c r="K728" s="1" t="n">
        <v>2</v>
      </c>
      <c r="L728" s="144" t="n">
        <v>7</v>
      </c>
      <c r="M728" s="1" t="n">
        <v>15</v>
      </c>
      <c r="N728" s="1" t="n">
        <v>15</v>
      </c>
      <c r="O728" s="149" t="n">
        <v>111</v>
      </c>
    </row>
    <row r="729" customFormat="false" ht="14.25" hidden="false" customHeight="false" outlineLevel="0" collapsed="false">
      <c r="A729" s="1" t="n">
        <v>155</v>
      </c>
      <c r="B729" s="1" t="s">
        <v>476</v>
      </c>
      <c r="C729" s="143" t="s">
        <v>58</v>
      </c>
      <c r="D729" s="143" t="s">
        <v>59</v>
      </c>
      <c r="E729" s="143" t="s">
        <v>474</v>
      </c>
      <c r="F729" s="144" t="n">
        <v>200025889154</v>
      </c>
      <c r="G729" s="144" t="s">
        <v>193</v>
      </c>
      <c r="H729" s="144" t="n">
        <v>7</v>
      </c>
      <c r="I729" s="144" t="s">
        <v>152</v>
      </c>
      <c r="J729" s="148" t="n">
        <v>45056.7326273148</v>
      </c>
      <c r="K729" s="1" t="n">
        <v>1</v>
      </c>
      <c r="L729" s="144" t="n">
        <v>7</v>
      </c>
      <c r="M729" s="1" t="n">
        <v>15</v>
      </c>
      <c r="N729" s="1" t="n">
        <v>15</v>
      </c>
      <c r="O729" s="149" t="n">
        <v>112</v>
      </c>
    </row>
    <row r="730" customFormat="false" ht="14.25" hidden="false" customHeight="false" outlineLevel="0" collapsed="false">
      <c r="A730" s="1" t="n">
        <v>156</v>
      </c>
      <c r="B730" s="1" t="s">
        <v>476</v>
      </c>
      <c r="C730" s="143" t="s">
        <v>58</v>
      </c>
      <c r="D730" s="143" t="s">
        <v>59</v>
      </c>
      <c r="E730" s="143" t="s">
        <v>474</v>
      </c>
      <c r="F730" s="144" t="n">
        <v>200025889154</v>
      </c>
      <c r="G730" s="144" t="s">
        <v>193</v>
      </c>
      <c r="H730" s="144" t="n">
        <v>7</v>
      </c>
      <c r="I730" s="144" t="s">
        <v>152</v>
      </c>
      <c r="J730" s="148" t="n">
        <v>45056.7336111111</v>
      </c>
      <c r="K730" s="1" t="n">
        <v>1</v>
      </c>
      <c r="L730" s="144" t="n">
        <v>7</v>
      </c>
      <c r="M730" s="1" t="n">
        <v>15</v>
      </c>
      <c r="N730" s="1" t="n">
        <v>15</v>
      </c>
      <c r="O730" s="149" t="n">
        <v>113</v>
      </c>
    </row>
    <row r="731" customFormat="false" ht="14.25" hidden="false" customHeight="false" outlineLevel="0" collapsed="false">
      <c r="A731" s="1" t="n">
        <v>157</v>
      </c>
      <c r="B731" s="1" t="s">
        <v>476</v>
      </c>
      <c r="C731" s="143" t="s">
        <v>58</v>
      </c>
      <c r="D731" s="143" t="s">
        <v>59</v>
      </c>
      <c r="E731" s="143" t="s">
        <v>474</v>
      </c>
      <c r="F731" s="144" t="n">
        <v>200025889154</v>
      </c>
      <c r="G731" s="144" t="s">
        <v>193</v>
      </c>
      <c r="H731" s="144" t="n">
        <v>7</v>
      </c>
      <c r="I731" s="144" t="s">
        <v>152</v>
      </c>
      <c r="J731" s="151" t="n">
        <v>45056.7345601852</v>
      </c>
      <c r="K731" s="1" t="n">
        <v>3</v>
      </c>
      <c r="L731" s="144" t="n">
        <v>7</v>
      </c>
      <c r="M731" s="1" t="n">
        <v>15</v>
      </c>
      <c r="N731" s="1" t="n">
        <v>15</v>
      </c>
      <c r="O731" s="149" t="n">
        <v>114</v>
      </c>
    </row>
    <row r="732" customFormat="false" ht="14.25" hidden="false" customHeight="false" outlineLevel="0" collapsed="false">
      <c r="A732" s="1" t="n">
        <v>158</v>
      </c>
      <c r="B732" s="1" t="s">
        <v>476</v>
      </c>
      <c r="C732" s="143" t="s">
        <v>58</v>
      </c>
      <c r="D732" s="143" t="s">
        <v>59</v>
      </c>
      <c r="E732" s="143" t="s">
        <v>474</v>
      </c>
      <c r="F732" s="144" t="n">
        <v>200025889154</v>
      </c>
      <c r="G732" s="144" t="s">
        <v>193</v>
      </c>
      <c r="H732" s="144" t="n">
        <v>7</v>
      </c>
      <c r="I732" s="144" t="s">
        <v>152</v>
      </c>
      <c r="J732" s="151" t="n">
        <v>45056.7348263889</v>
      </c>
      <c r="K732" s="1" t="n">
        <v>1</v>
      </c>
      <c r="L732" s="144" t="n">
        <v>7</v>
      </c>
      <c r="M732" s="1" t="n">
        <v>15</v>
      </c>
      <c r="N732" s="1" t="n">
        <v>15</v>
      </c>
      <c r="O732" s="149" t="n">
        <v>115</v>
      </c>
    </row>
    <row r="733" customFormat="false" ht="14.25" hidden="false" customHeight="false" outlineLevel="0" collapsed="false">
      <c r="A733" s="1" t="n">
        <v>159</v>
      </c>
      <c r="B733" s="1" t="s">
        <v>476</v>
      </c>
      <c r="C733" s="143" t="s">
        <v>58</v>
      </c>
      <c r="D733" s="143" t="s">
        <v>59</v>
      </c>
      <c r="E733" s="143" t="s">
        <v>474</v>
      </c>
      <c r="F733" s="144" t="n">
        <v>200025889154</v>
      </c>
      <c r="G733" s="144" t="s">
        <v>193</v>
      </c>
      <c r="H733" s="144" t="n">
        <v>7</v>
      </c>
      <c r="I733" s="144" t="s">
        <v>152</v>
      </c>
      <c r="J733" s="151" t="n">
        <v>45056.7357291667</v>
      </c>
      <c r="K733" s="1" t="n">
        <v>0</v>
      </c>
      <c r="L733" s="144" t="n">
        <v>7</v>
      </c>
      <c r="M733" s="1" t="n">
        <v>15</v>
      </c>
      <c r="N733" s="1" t="n">
        <v>15</v>
      </c>
      <c r="O733" s="149" t="n">
        <v>116</v>
      </c>
    </row>
    <row r="734" customFormat="false" ht="14.25" hidden="false" customHeight="false" outlineLevel="0" collapsed="false">
      <c r="A734" s="1" t="n">
        <v>160</v>
      </c>
      <c r="B734" s="1" t="s">
        <v>476</v>
      </c>
      <c r="C734" s="143" t="s">
        <v>58</v>
      </c>
      <c r="D734" s="143" t="s">
        <v>59</v>
      </c>
      <c r="E734" s="143" t="s">
        <v>474</v>
      </c>
      <c r="F734" s="144" t="n">
        <v>200025889154</v>
      </c>
      <c r="G734" s="144" t="s">
        <v>193</v>
      </c>
      <c r="H734" s="144" t="n">
        <v>7</v>
      </c>
      <c r="I734" s="144" t="s">
        <v>152</v>
      </c>
      <c r="J734" s="151" t="n">
        <v>45056.7363310185</v>
      </c>
      <c r="K734" s="1" t="n">
        <v>1</v>
      </c>
      <c r="L734" s="144" t="n">
        <v>7</v>
      </c>
      <c r="M734" s="1" t="n">
        <v>15</v>
      </c>
      <c r="N734" s="1" t="n">
        <v>15</v>
      </c>
      <c r="O734" s="149" t="n">
        <v>117</v>
      </c>
    </row>
    <row r="735" customFormat="false" ht="14.25" hidden="false" customHeight="false" outlineLevel="0" collapsed="false">
      <c r="A735" s="1" t="n">
        <v>161</v>
      </c>
      <c r="B735" s="1" t="s">
        <v>476</v>
      </c>
      <c r="C735" s="143" t="s">
        <v>58</v>
      </c>
      <c r="D735" s="143" t="s">
        <v>59</v>
      </c>
      <c r="E735" s="143" t="s">
        <v>474</v>
      </c>
      <c r="F735" s="144" t="n">
        <v>200025889154</v>
      </c>
      <c r="G735" s="144" t="s">
        <v>193</v>
      </c>
      <c r="H735" s="144" t="n">
        <v>7</v>
      </c>
      <c r="I735" s="144" t="s">
        <v>152</v>
      </c>
      <c r="J735" s="151" t="n">
        <v>45056.7368634259</v>
      </c>
      <c r="K735" s="1" t="n">
        <v>3</v>
      </c>
      <c r="L735" s="144" t="n">
        <v>7</v>
      </c>
      <c r="M735" s="1" t="n">
        <v>15</v>
      </c>
      <c r="N735" s="1" t="n">
        <v>15</v>
      </c>
      <c r="O735" s="149" t="n">
        <v>118</v>
      </c>
    </row>
    <row r="736" customFormat="false" ht="14.25" hidden="false" customHeight="false" outlineLevel="0" collapsed="false">
      <c r="A736" s="1" t="n">
        <v>162</v>
      </c>
      <c r="B736" s="1" t="s">
        <v>476</v>
      </c>
      <c r="C736" s="143" t="s">
        <v>58</v>
      </c>
      <c r="D736" s="143" t="s">
        <v>59</v>
      </c>
      <c r="E736" s="143" t="s">
        <v>474</v>
      </c>
      <c r="F736" s="144" t="n">
        <v>200025889154</v>
      </c>
      <c r="G736" s="144" t="s">
        <v>193</v>
      </c>
      <c r="H736" s="144" t="n">
        <v>7</v>
      </c>
      <c r="I736" s="144" t="s">
        <v>152</v>
      </c>
      <c r="J736" s="151" t="n">
        <v>45056.7446643519</v>
      </c>
      <c r="K736" s="1" t="n">
        <v>1</v>
      </c>
      <c r="L736" s="144" t="n">
        <v>7</v>
      </c>
      <c r="M736" s="1" t="n">
        <v>15</v>
      </c>
      <c r="N736" s="1" t="n">
        <v>15</v>
      </c>
      <c r="O736" s="149" t="n">
        <v>119</v>
      </c>
    </row>
    <row r="737" customFormat="false" ht="14.25" hidden="false" customHeight="false" outlineLevel="0" collapsed="false">
      <c r="A737" s="1" t="n">
        <v>163</v>
      </c>
      <c r="B737" s="1" t="s">
        <v>476</v>
      </c>
      <c r="C737" s="143" t="s">
        <v>58</v>
      </c>
      <c r="D737" s="143" t="s">
        <v>59</v>
      </c>
      <c r="E737" s="143" t="s">
        <v>474</v>
      </c>
      <c r="F737" s="144" t="n">
        <v>200025889154</v>
      </c>
      <c r="G737" s="144" t="s">
        <v>193</v>
      </c>
      <c r="H737" s="144" t="n">
        <v>7</v>
      </c>
      <c r="I737" s="144" t="s">
        <v>152</v>
      </c>
      <c r="J737" s="151" t="n">
        <v>45056.7446875</v>
      </c>
      <c r="K737" s="1" t="n">
        <v>1</v>
      </c>
      <c r="L737" s="144" t="n">
        <v>7</v>
      </c>
      <c r="M737" s="1" t="n">
        <v>15</v>
      </c>
      <c r="N737" s="1" t="n">
        <v>15</v>
      </c>
      <c r="O737" s="149" t="n">
        <v>120</v>
      </c>
    </row>
    <row r="738" customFormat="false" ht="14.25" hidden="false" customHeight="false" outlineLevel="0" collapsed="false">
      <c r="A738" s="1" t="n">
        <v>164</v>
      </c>
      <c r="B738" s="1" t="s">
        <v>476</v>
      </c>
      <c r="C738" s="143" t="s">
        <v>58</v>
      </c>
      <c r="D738" s="143" t="s">
        <v>59</v>
      </c>
      <c r="E738" s="143" t="s">
        <v>474</v>
      </c>
      <c r="F738" s="144" t="n">
        <v>200025889154</v>
      </c>
      <c r="G738" s="144" t="s">
        <v>193</v>
      </c>
      <c r="H738" s="144" t="n">
        <v>7</v>
      </c>
      <c r="I738" s="144" t="s">
        <v>152</v>
      </c>
      <c r="J738" s="151" t="n">
        <v>45056.7492013889</v>
      </c>
      <c r="K738" s="1" t="n">
        <v>3</v>
      </c>
      <c r="L738" s="144" t="n">
        <v>7</v>
      </c>
      <c r="M738" s="1" t="n">
        <v>15</v>
      </c>
      <c r="N738" s="1" t="n">
        <v>15</v>
      </c>
      <c r="O738" s="149" t="n">
        <v>121</v>
      </c>
    </row>
    <row r="739" customFormat="false" ht="14.25" hidden="false" customHeight="false" outlineLevel="0" collapsed="false">
      <c r="A739" s="1" t="n">
        <v>165</v>
      </c>
      <c r="B739" s="1" t="s">
        <v>476</v>
      </c>
      <c r="C739" s="143" t="s">
        <v>58</v>
      </c>
      <c r="D739" s="143" t="s">
        <v>59</v>
      </c>
      <c r="E739" s="143" t="s">
        <v>474</v>
      </c>
      <c r="F739" s="144" t="n">
        <v>200025889154</v>
      </c>
      <c r="G739" s="144" t="s">
        <v>193</v>
      </c>
      <c r="H739" s="144" t="n">
        <v>7</v>
      </c>
      <c r="I739" s="144" t="s">
        <v>152</v>
      </c>
      <c r="J739" s="151" t="n">
        <v>45056.749212963</v>
      </c>
      <c r="K739" s="1" t="n">
        <v>3</v>
      </c>
      <c r="L739" s="144" t="n">
        <v>7</v>
      </c>
      <c r="M739" s="1" t="n">
        <v>15</v>
      </c>
      <c r="N739" s="1" t="n">
        <v>15</v>
      </c>
      <c r="O739" s="149" t="n">
        <v>122</v>
      </c>
    </row>
    <row r="740" customFormat="false" ht="14.25" hidden="false" customHeight="false" outlineLevel="0" collapsed="false">
      <c r="A740" s="1" t="n">
        <v>166</v>
      </c>
      <c r="B740" s="1" t="s">
        <v>476</v>
      </c>
      <c r="C740" s="143" t="s">
        <v>58</v>
      </c>
      <c r="D740" s="143" t="s">
        <v>59</v>
      </c>
      <c r="E740" s="143" t="s">
        <v>474</v>
      </c>
      <c r="F740" s="144" t="n">
        <v>200025889154</v>
      </c>
      <c r="G740" s="144" t="s">
        <v>193</v>
      </c>
      <c r="H740" s="144" t="n">
        <v>7</v>
      </c>
      <c r="I740" s="144" t="s">
        <v>152</v>
      </c>
      <c r="J740" s="151" t="n">
        <v>45056.7515393519</v>
      </c>
      <c r="K740" s="1" t="n">
        <v>4</v>
      </c>
      <c r="L740" s="144" t="n">
        <v>7</v>
      </c>
      <c r="M740" s="1" t="n">
        <v>15</v>
      </c>
      <c r="N740" s="1" t="n">
        <v>15</v>
      </c>
      <c r="O740" s="149" t="n">
        <v>123</v>
      </c>
    </row>
    <row r="741" customFormat="false" ht="14.25" hidden="false" customHeight="false" outlineLevel="0" collapsed="false">
      <c r="A741" s="1" t="n">
        <v>167</v>
      </c>
      <c r="B741" s="1" t="s">
        <v>476</v>
      </c>
      <c r="C741" s="143" t="s">
        <v>58</v>
      </c>
      <c r="D741" s="143" t="s">
        <v>59</v>
      </c>
      <c r="E741" s="143" t="s">
        <v>474</v>
      </c>
      <c r="F741" s="144" t="n">
        <v>200025889154</v>
      </c>
      <c r="G741" s="144" t="s">
        <v>193</v>
      </c>
      <c r="H741" s="144" t="n">
        <v>7</v>
      </c>
      <c r="I741" s="144" t="s">
        <v>152</v>
      </c>
      <c r="J741" s="151" t="n">
        <v>45056.7525462963</v>
      </c>
      <c r="K741" s="1" t="n">
        <v>2</v>
      </c>
      <c r="L741" s="144" t="n">
        <v>7</v>
      </c>
      <c r="M741" s="1" t="n">
        <v>15</v>
      </c>
      <c r="N741" s="1" t="n">
        <v>15</v>
      </c>
      <c r="O741" s="149" t="n">
        <v>124</v>
      </c>
    </row>
    <row r="742" customFormat="false" ht="14.25" hidden="false" customHeight="false" outlineLevel="0" collapsed="false">
      <c r="A742" s="1" t="n">
        <v>168</v>
      </c>
      <c r="B742" s="1" t="s">
        <v>476</v>
      </c>
      <c r="C742" s="143" t="s">
        <v>58</v>
      </c>
      <c r="D742" s="143" t="s">
        <v>59</v>
      </c>
      <c r="E742" s="143" t="s">
        <v>474</v>
      </c>
      <c r="F742" s="144" t="n">
        <v>200025889154</v>
      </c>
      <c r="G742" s="144" t="s">
        <v>193</v>
      </c>
      <c r="H742" s="144" t="n">
        <v>7</v>
      </c>
      <c r="I742" s="144" t="s">
        <v>152</v>
      </c>
      <c r="J742" s="151" t="n">
        <v>45056.7528819444</v>
      </c>
      <c r="K742" s="1" t="n">
        <v>2</v>
      </c>
      <c r="L742" s="144" t="n">
        <v>7</v>
      </c>
      <c r="M742" s="1" t="n">
        <v>15</v>
      </c>
      <c r="N742" s="1" t="n">
        <v>15</v>
      </c>
      <c r="O742" s="149" t="n">
        <v>125</v>
      </c>
    </row>
    <row r="743" customFormat="false" ht="14.25" hidden="false" customHeight="false" outlineLevel="0" collapsed="false">
      <c r="A743" s="1" t="n">
        <v>169</v>
      </c>
      <c r="B743" s="1" t="s">
        <v>476</v>
      </c>
      <c r="C743" s="143" t="s">
        <v>58</v>
      </c>
      <c r="D743" s="143" t="s">
        <v>59</v>
      </c>
      <c r="E743" s="143" t="s">
        <v>474</v>
      </c>
      <c r="F743" s="144" t="n">
        <v>200025889154</v>
      </c>
      <c r="G743" s="144" t="s">
        <v>193</v>
      </c>
      <c r="H743" s="144" t="n">
        <v>7</v>
      </c>
      <c r="I743" s="144" t="s">
        <v>152</v>
      </c>
      <c r="J743" s="151" t="n">
        <v>45056.7602430556</v>
      </c>
      <c r="K743" s="1" t="n">
        <v>2</v>
      </c>
      <c r="L743" s="144" t="n">
        <v>7</v>
      </c>
      <c r="M743" s="1" t="n">
        <v>15</v>
      </c>
      <c r="N743" s="1" t="n">
        <v>15</v>
      </c>
      <c r="O743" s="149" t="n">
        <v>126</v>
      </c>
    </row>
    <row r="744" customFormat="false" ht="14.25" hidden="false" customHeight="false" outlineLevel="0" collapsed="false">
      <c r="A744" s="1" t="n">
        <v>172</v>
      </c>
      <c r="B744" s="1" t="s">
        <v>476</v>
      </c>
      <c r="C744" s="143" t="s">
        <v>58</v>
      </c>
      <c r="D744" s="143" t="s">
        <v>59</v>
      </c>
      <c r="E744" s="143" t="s">
        <v>474</v>
      </c>
      <c r="F744" s="144" t="n">
        <v>200025889154</v>
      </c>
      <c r="G744" s="144" t="s">
        <v>193</v>
      </c>
      <c r="H744" s="144" t="n">
        <v>7</v>
      </c>
      <c r="I744" s="144" t="s">
        <v>152</v>
      </c>
      <c r="J744" s="151" t="n">
        <v>45056.7638541667</v>
      </c>
      <c r="K744" s="1" t="n">
        <v>0</v>
      </c>
      <c r="L744" s="144" t="n">
        <v>7</v>
      </c>
      <c r="M744" s="1" t="n">
        <v>15</v>
      </c>
      <c r="N744" s="1" t="n">
        <v>15</v>
      </c>
      <c r="O744" s="149" t="n">
        <v>127</v>
      </c>
    </row>
    <row r="745" customFormat="false" ht="14.25" hidden="false" customHeight="false" outlineLevel="0" collapsed="false">
      <c r="A745" s="1" t="n">
        <v>173</v>
      </c>
      <c r="B745" s="1" t="s">
        <v>476</v>
      </c>
      <c r="C745" s="143" t="s">
        <v>58</v>
      </c>
      <c r="D745" s="143" t="s">
        <v>59</v>
      </c>
      <c r="E745" s="143" t="s">
        <v>474</v>
      </c>
      <c r="F745" s="144" t="n">
        <v>200025889154</v>
      </c>
      <c r="G745" s="144" t="s">
        <v>193</v>
      </c>
      <c r="H745" s="144" t="n">
        <v>7</v>
      </c>
      <c r="I745" s="144" t="s">
        <v>152</v>
      </c>
      <c r="J745" s="151" t="n">
        <v>45056.7649537037</v>
      </c>
      <c r="K745" s="1" t="n">
        <v>1</v>
      </c>
      <c r="L745" s="144" t="n">
        <v>7</v>
      </c>
      <c r="M745" s="1" t="n">
        <v>15</v>
      </c>
      <c r="N745" s="1" t="n">
        <v>15</v>
      </c>
      <c r="O745" s="149" t="n">
        <v>128</v>
      </c>
    </row>
    <row r="746" customFormat="false" ht="14.25" hidden="false" customHeight="false" outlineLevel="0" collapsed="false">
      <c r="A746" s="1" t="n">
        <v>174</v>
      </c>
      <c r="B746" s="1" t="s">
        <v>476</v>
      </c>
      <c r="C746" s="143" t="s">
        <v>58</v>
      </c>
      <c r="D746" s="143" t="s">
        <v>59</v>
      </c>
      <c r="E746" s="143" t="s">
        <v>474</v>
      </c>
      <c r="F746" s="144" t="n">
        <v>200025889154</v>
      </c>
      <c r="G746" s="144" t="s">
        <v>193</v>
      </c>
      <c r="H746" s="144" t="n">
        <v>7</v>
      </c>
      <c r="I746" s="144" t="s">
        <v>152</v>
      </c>
      <c r="J746" s="151" t="n">
        <v>45056.7653587963</v>
      </c>
      <c r="K746" s="1" t="n">
        <v>1</v>
      </c>
      <c r="L746" s="144" t="n">
        <v>7</v>
      </c>
      <c r="M746" s="1" t="n">
        <v>15</v>
      </c>
      <c r="N746" s="1" t="n">
        <v>15</v>
      </c>
      <c r="O746" s="149" t="n">
        <v>129</v>
      </c>
    </row>
    <row r="747" customFormat="false" ht="14.25" hidden="false" customHeight="false" outlineLevel="0" collapsed="false">
      <c r="A747" s="1" t="n">
        <v>195</v>
      </c>
      <c r="B747" s="1" t="s">
        <v>476</v>
      </c>
      <c r="C747" s="143" t="s">
        <v>58</v>
      </c>
      <c r="D747" s="143" t="s">
        <v>59</v>
      </c>
      <c r="E747" s="143" t="s">
        <v>474</v>
      </c>
      <c r="F747" s="144" t="n">
        <v>200025889154</v>
      </c>
      <c r="G747" s="144" t="s">
        <v>193</v>
      </c>
      <c r="H747" s="144" t="n">
        <v>7</v>
      </c>
      <c r="I747" s="144" t="s">
        <v>152</v>
      </c>
      <c r="J747" s="151" t="n">
        <v>45056.9029976852</v>
      </c>
      <c r="K747" s="1" t="n">
        <v>2</v>
      </c>
      <c r="L747" s="144" t="n">
        <v>7</v>
      </c>
      <c r="M747" s="1" t="n">
        <v>15</v>
      </c>
      <c r="N747" s="1" t="n">
        <v>15</v>
      </c>
      <c r="O747" s="149" t="n">
        <v>130</v>
      </c>
    </row>
    <row r="748" customFormat="false" ht="14.25" hidden="false" customHeight="false" outlineLevel="0" collapsed="false">
      <c r="A748" s="1" t="n">
        <v>196</v>
      </c>
      <c r="B748" s="1" t="s">
        <v>476</v>
      </c>
      <c r="C748" s="143" t="s">
        <v>58</v>
      </c>
      <c r="D748" s="143" t="s">
        <v>59</v>
      </c>
      <c r="E748" s="143" t="s">
        <v>474</v>
      </c>
      <c r="F748" s="144" t="n">
        <v>200025889154</v>
      </c>
      <c r="G748" s="144" t="s">
        <v>193</v>
      </c>
      <c r="H748" s="144" t="n">
        <v>7</v>
      </c>
      <c r="I748" s="144" t="s">
        <v>152</v>
      </c>
      <c r="J748" s="151" t="n">
        <v>45056.9052314815</v>
      </c>
      <c r="K748" s="1" t="n">
        <v>1</v>
      </c>
      <c r="L748" s="144" t="n">
        <v>7</v>
      </c>
      <c r="M748" s="1" t="n">
        <v>15</v>
      </c>
      <c r="N748" s="1" t="n">
        <v>15</v>
      </c>
      <c r="O748" s="149" t="n">
        <v>131</v>
      </c>
    </row>
    <row r="749" customFormat="false" ht="14.25" hidden="false" customHeight="false" outlineLevel="0" collapsed="false">
      <c r="A749" s="1" t="n">
        <v>211</v>
      </c>
      <c r="B749" s="1" t="s">
        <v>476</v>
      </c>
      <c r="C749" s="143" t="s">
        <v>58</v>
      </c>
      <c r="D749" s="143" t="s">
        <v>59</v>
      </c>
      <c r="E749" s="143" t="s">
        <v>474</v>
      </c>
      <c r="F749" s="144" t="n">
        <v>200025889154</v>
      </c>
      <c r="G749" s="144" t="s">
        <v>193</v>
      </c>
      <c r="H749" s="144" t="n">
        <v>7</v>
      </c>
      <c r="I749" s="144" t="s">
        <v>152</v>
      </c>
      <c r="J749" s="151" t="n">
        <v>45056.9751736111</v>
      </c>
      <c r="K749" s="1" t="n">
        <v>1</v>
      </c>
      <c r="L749" s="144" t="n">
        <v>7</v>
      </c>
      <c r="M749" s="1" t="n">
        <v>15</v>
      </c>
      <c r="N749" s="1" t="n">
        <v>15</v>
      </c>
      <c r="O749" s="149" t="n">
        <v>132</v>
      </c>
    </row>
    <row r="750" customFormat="false" ht="14.25" hidden="false" customHeight="false" outlineLevel="0" collapsed="false">
      <c r="A750" s="1" t="n">
        <v>62</v>
      </c>
      <c r="B750" s="1" t="s">
        <v>475</v>
      </c>
      <c r="C750" s="143" t="s">
        <v>52</v>
      </c>
      <c r="D750" s="143" t="s">
        <v>53</v>
      </c>
      <c r="E750" s="143" t="s">
        <v>474</v>
      </c>
      <c r="F750" s="144" t="n">
        <v>200025889203</v>
      </c>
      <c r="G750" s="144" t="s">
        <v>449</v>
      </c>
      <c r="H750" s="144" t="n">
        <v>95</v>
      </c>
      <c r="I750" s="144" t="s">
        <v>152</v>
      </c>
      <c r="J750" s="151" t="n">
        <v>45056.0367476852</v>
      </c>
      <c r="K750" s="1" t="n">
        <v>2</v>
      </c>
      <c r="L750" s="144" t="n">
        <v>95</v>
      </c>
      <c r="M750" s="1" t="n">
        <v>16</v>
      </c>
      <c r="N750" s="1" t="n">
        <v>16</v>
      </c>
      <c r="O750" s="149" t="n">
        <v>1</v>
      </c>
    </row>
    <row r="751" customFormat="false" ht="14.25" hidden="false" customHeight="false" outlineLevel="0" collapsed="false">
      <c r="A751" s="1" t="n">
        <v>63</v>
      </c>
      <c r="B751" s="1" t="s">
        <v>475</v>
      </c>
      <c r="C751" s="143" t="s">
        <v>52</v>
      </c>
      <c r="D751" s="143" t="s">
        <v>53</v>
      </c>
      <c r="E751" s="143" t="s">
        <v>474</v>
      </c>
      <c r="F751" s="144" t="n">
        <v>200025889203</v>
      </c>
      <c r="G751" s="144" t="s">
        <v>449</v>
      </c>
      <c r="H751" s="144" t="n">
        <v>95</v>
      </c>
      <c r="I751" s="144" t="s">
        <v>152</v>
      </c>
      <c r="J751" s="151" t="n">
        <v>45056.0375347222</v>
      </c>
      <c r="K751" s="1" t="n">
        <v>1</v>
      </c>
      <c r="L751" s="144" t="n">
        <v>95</v>
      </c>
      <c r="M751" s="1" t="n">
        <v>16</v>
      </c>
      <c r="N751" s="1" t="n">
        <v>16</v>
      </c>
      <c r="O751" s="149" t="n">
        <v>2</v>
      </c>
    </row>
    <row r="752" customFormat="false" ht="14.25" hidden="false" customHeight="false" outlineLevel="0" collapsed="false">
      <c r="A752" s="1" t="n">
        <v>64</v>
      </c>
      <c r="B752" s="1" t="s">
        <v>475</v>
      </c>
      <c r="C752" s="143" t="s">
        <v>52</v>
      </c>
      <c r="D752" s="143" t="s">
        <v>53</v>
      </c>
      <c r="E752" s="143" t="s">
        <v>474</v>
      </c>
      <c r="F752" s="144" t="n">
        <v>200025889203</v>
      </c>
      <c r="G752" s="144" t="s">
        <v>449</v>
      </c>
      <c r="H752" s="144" t="n">
        <v>95</v>
      </c>
      <c r="I752" s="144" t="s">
        <v>152</v>
      </c>
      <c r="J752" s="151" t="n">
        <v>45056.0400578704</v>
      </c>
      <c r="K752" s="1" t="n">
        <v>1</v>
      </c>
      <c r="L752" s="144" t="n">
        <v>95</v>
      </c>
      <c r="M752" s="1" t="n">
        <v>16</v>
      </c>
      <c r="N752" s="1" t="n">
        <v>16</v>
      </c>
      <c r="O752" s="149" t="n">
        <v>3</v>
      </c>
    </row>
    <row r="753" customFormat="false" ht="14.25" hidden="false" customHeight="false" outlineLevel="0" collapsed="false">
      <c r="A753" s="1" t="n">
        <v>41</v>
      </c>
      <c r="B753" s="1" t="s">
        <v>476</v>
      </c>
      <c r="C753" s="143" t="s">
        <v>58</v>
      </c>
      <c r="D753" s="143" t="s">
        <v>59</v>
      </c>
      <c r="E753" s="143" t="s">
        <v>474</v>
      </c>
      <c r="F753" s="144" t="n">
        <v>200025889203</v>
      </c>
      <c r="G753" s="144" t="s">
        <v>449</v>
      </c>
      <c r="H753" s="144" t="n">
        <v>95</v>
      </c>
      <c r="I753" s="144" t="s">
        <v>152</v>
      </c>
      <c r="J753" s="151" t="n">
        <v>45056.0811805556</v>
      </c>
      <c r="K753" s="1" t="n">
        <v>3</v>
      </c>
      <c r="L753" s="144" t="n">
        <v>95</v>
      </c>
      <c r="M753" s="1" t="n">
        <v>16</v>
      </c>
      <c r="N753" s="1" t="n">
        <v>16</v>
      </c>
      <c r="O753" s="149" t="n">
        <v>4</v>
      </c>
    </row>
    <row r="754" customFormat="false" ht="14.25" hidden="false" customHeight="false" outlineLevel="0" collapsed="false">
      <c r="A754" s="1" t="n">
        <v>42</v>
      </c>
      <c r="B754" s="1" t="s">
        <v>476</v>
      </c>
      <c r="C754" s="143" t="s">
        <v>58</v>
      </c>
      <c r="D754" s="143" t="s">
        <v>59</v>
      </c>
      <c r="E754" s="143" t="s">
        <v>474</v>
      </c>
      <c r="F754" s="144" t="n">
        <v>200025889203</v>
      </c>
      <c r="G754" s="144" t="s">
        <v>449</v>
      </c>
      <c r="H754" s="144" t="n">
        <v>95</v>
      </c>
      <c r="I754" s="144" t="s">
        <v>152</v>
      </c>
      <c r="J754" s="151" t="n">
        <v>45056.0814583333</v>
      </c>
      <c r="K754" s="1" t="n">
        <v>2</v>
      </c>
      <c r="L754" s="144" t="n">
        <v>95</v>
      </c>
      <c r="M754" s="1" t="n">
        <v>16</v>
      </c>
      <c r="N754" s="1" t="n">
        <v>16</v>
      </c>
      <c r="O754" s="149" t="n">
        <v>5</v>
      </c>
    </row>
    <row r="755" customFormat="false" ht="14.25" hidden="false" customHeight="false" outlineLevel="0" collapsed="false">
      <c r="A755" s="1" t="n">
        <v>43</v>
      </c>
      <c r="B755" s="1" t="s">
        <v>476</v>
      </c>
      <c r="C755" s="143" t="s">
        <v>58</v>
      </c>
      <c r="D755" s="143" t="s">
        <v>59</v>
      </c>
      <c r="E755" s="143" t="s">
        <v>474</v>
      </c>
      <c r="F755" s="144" t="n">
        <v>200025889203</v>
      </c>
      <c r="G755" s="144" t="s">
        <v>449</v>
      </c>
      <c r="H755" s="144" t="n">
        <v>95</v>
      </c>
      <c r="I755" s="144" t="s">
        <v>152</v>
      </c>
      <c r="J755" s="151" t="n">
        <v>45056.0821875</v>
      </c>
      <c r="K755" s="1" t="n">
        <v>1</v>
      </c>
      <c r="L755" s="144" t="n">
        <v>95</v>
      </c>
      <c r="M755" s="1" t="n">
        <v>16</v>
      </c>
      <c r="N755" s="1" t="n">
        <v>16</v>
      </c>
      <c r="O755" s="149" t="n">
        <v>6</v>
      </c>
    </row>
    <row r="756" customFormat="false" ht="14.25" hidden="false" customHeight="false" outlineLevel="0" collapsed="false">
      <c r="A756" s="1" t="n">
        <v>44</v>
      </c>
      <c r="B756" s="1" t="s">
        <v>476</v>
      </c>
      <c r="C756" s="143" t="s">
        <v>58</v>
      </c>
      <c r="D756" s="143" t="s">
        <v>59</v>
      </c>
      <c r="E756" s="143" t="s">
        <v>474</v>
      </c>
      <c r="F756" s="144" t="n">
        <v>200025889203</v>
      </c>
      <c r="G756" s="144" t="s">
        <v>449</v>
      </c>
      <c r="H756" s="144" t="n">
        <v>95</v>
      </c>
      <c r="I756" s="144" t="s">
        <v>152</v>
      </c>
      <c r="J756" s="151" t="n">
        <v>45056.0822222222</v>
      </c>
      <c r="K756" s="1" t="n">
        <v>2</v>
      </c>
      <c r="L756" s="144" t="n">
        <v>95</v>
      </c>
      <c r="M756" s="1" t="n">
        <v>16</v>
      </c>
      <c r="N756" s="1" t="n">
        <v>16</v>
      </c>
      <c r="O756" s="149" t="n">
        <v>7</v>
      </c>
    </row>
    <row r="757" customFormat="false" ht="14.25" hidden="false" customHeight="false" outlineLevel="0" collapsed="false">
      <c r="A757" s="1" t="n">
        <v>45</v>
      </c>
      <c r="B757" s="1" t="s">
        <v>476</v>
      </c>
      <c r="C757" s="143" t="s">
        <v>58</v>
      </c>
      <c r="D757" s="143" t="s">
        <v>59</v>
      </c>
      <c r="E757" s="143" t="s">
        <v>474</v>
      </c>
      <c r="F757" s="144" t="n">
        <v>200025889203</v>
      </c>
      <c r="G757" s="144" t="s">
        <v>449</v>
      </c>
      <c r="H757" s="144" t="n">
        <v>95</v>
      </c>
      <c r="I757" s="144" t="s">
        <v>152</v>
      </c>
      <c r="J757" s="151" t="n">
        <v>45056.0825694444</v>
      </c>
      <c r="K757" s="1" t="n">
        <v>1</v>
      </c>
      <c r="L757" s="144" t="n">
        <v>95</v>
      </c>
      <c r="M757" s="1" t="n">
        <v>16</v>
      </c>
      <c r="N757" s="1" t="n">
        <v>16</v>
      </c>
      <c r="O757" s="149" t="n">
        <v>8</v>
      </c>
    </row>
    <row r="758" customFormat="false" ht="14.25" hidden="false" customHeight="false" outlineLevel="0" collapsed="false">
      <c r="A758" s="1" t="n">
        <v>46</v>
      </c>
      <c r="B758" s="1" t="s">
        <v>476</v>
      </c>
      <c r="C758" s="143" t="s">
        <v>58</v>
      </c>
      <c r="D758" s="143" t="s">
        <v>59</v>
      </c>
      <c r="E758" s="143" t="s">
        <v>474</v>
      </c>
      <c r="F758" s="144" t="n">
        <v>200025889203</v>
      </c>
      <c r="G758" s="144" t="s">
        <v>449</v>
      </c>
      <c r="H758" s="144" t="n">
        <v>95</v>
      </c>
      <c r="I758" s="144" t="s">
        <v>152</v>
      </c>
      <c r="J758" s="151" t="n">
        <v>45056.0843402778</v>
      </c>
      <c r="K758" s="1" t="n">
        <v>2</v>
      </c>
      <c r="L758" s="144" t="n">
        <v>95</v>
      </c>
      <c r="M758" s="1" t="n">
        <v>16</v>
      </c>
      <c r="N758" s="1" t="n">
        <v>16</v>
      </c>
      <c r="O758" s="149" t="n">
        <v>9</v>
      </c>
    </row>
    <row r="759" customFormat="false" ht="14.25" hidden="false" customHeight="false" outlineLevel="0" collapsed="false">
      <c r="A759" s="1" t="n">
        <v>47</v>
      </c>
      <c r="B759" s="1" t="s">
        <v>476</v>
      </c>
      <c r="C759" s="143" t="s">
        <v>58</v>
      </c>
      <c r="D759" s="143" t="s">
        <v>59</v>
      </c>
      <c r="E759" s="143" t="s">
        <v>474</v>
      </c>
      <c r="F759" s="144" t="n">
        <v>200025889203</v>
      </c>
      <c r="G759" s="144" t="s">
        <v>449</v>
      </c>
      <c r="H759" s="144" t="n">
        <v>95</v>
      </c>
      <c r="I759" s="144" t="s">
        <v>152</v>
      </c>
      <c r="J759" s="151" t="n">
        <v>45056.0853125</v>
      </c>
      <c r="K759" s="1" t="n">
        <v>4</v>
      </c>
      <c r="L759" s="144" t="n">
        <v>95</v>
      </c>
      <c r="M759" s="1" t="n">
        <v>16</v>
      </c>
      <c r="N759" s="1" t="n">
        <v>16</v>
      </c>
      <c r="O759" s="149" t="n">
        <v>10</v>
      </c>
    </row>
    <row r="760" customFormat="false" ht="14.25" hidden="false" customHeight="false" outlineLevel="0" collapsed="false">
      <c r="A760" s="1" t="n">
        <v>48</v>
      </c>
      <c r="B760" s="1" t="s">
        <v>476</v>
      </c>
      <c r="C760" s="143" t="s">
        <v>58</v>
      </c>
      <c r="D760" s="143" t="s">
        <v>59</v>
      </c>
      <c r="E760" s="143" t="s">
        <v>474</v>
      </c>
      <c r="F760" s="144" t="n">
        <v>200025889203</v>
      </c>
      <c r="G760" s="144" t="s">
        <v>449</v>
      </c>
      <c r="H760" s="144" t="n">
        <v>95</v>
      </c>
      <c r="I760" s="144" t="s">
        <v>152</v>
      </c>
      <c r="J760" s="151" t="n">
        <v>45056.0854976852</v>
      </c>
      <c r="K760" s="1" t="n">
        <v>0</v>
      </c>
      <c r="L760" s="144" t="n">
        <v>95</v>
      </c>
      <c r="M760" s="1" t="n">
        <v>16</v>
      </c>
      <c r="N760" s="1" t="n">
        <v>16</v>
      </c>
      <c r="O760" s="149" t="n">
        <v>11</v>
      </c>
    </row>
    <row r="761" customFormat="false" ht="14.25" hidden="false" customHeight="false" outlineLevel="0" collapsed="false">
      <c r="A761" s="1" t="n">
        <v>49</v>
      </c>
      <c r="B761" s="1" t="s">
        <v>476</v>
      </c>
      <c r="C761" s="143" t="s">
        <v>58</v>
      </c>
      <c r="D761" s="143" t="s">
        <v>59</v>
      </c>
      <c r="E761" s="143" t="s">
        <v>474</v>
      </c>
      <c r="F761" s="144" t="n">
        <v>200025889203</v>
      </c>
      <c r="G761" s="144" t="s">
        <v>449</v>
      </c>
      <c r="H761" s="144" t="n">
        <v>95</v>
      </c>
      <c r="I761" s="144" t="s">
        <v>152</v>
      </c>
      <c r="J761" s="151" t="n">
        <v>45056.0855092593</v>
      </c>
      <c r="K761" s="1" t="n">
        <v>4</v>
      </c>
      <c r="L761" s="144" t="n">
        <v>95</v>
      </c>
      <c r="M761" s="1" t="n">
        <v>16</v>
      </c>
      <c r="N761" s="1" t="n">
        <v>16</v>
      </c>
      <c r="O761" s="149" t="n">
        <v>12</v>
      </c>
    </row>
    <row r="762" customFormat="false" ht="14.25" hidden="false" customHeight="false" outlineLevel="0" collapsed="false">
      <c r="A762" s="1" t="n">
        <v>50</v>
      </c>
      <c r="B762" s="1" t="s">
        <v>476</v>
      </c>
      <c r="C762" s="143" t="s">
        <v>58</v>
      </c>
      <c r="D762" s="143" t="s">
        <v>59</v>
      </c>
      <c r="E762" s="143" t="s">
        <v>474</v>
      </c>
      <c r="F762" s="144" t="n">
        <v>200025889203</v>
      </c>
      <c r="G762" s="144" t="s">
        <v>449</v>
      </c>
      <c r="H762" s="144" t="n">
        <v>95</v>
      </c>
      <c r="I762" s="144" t="s">
        <v>152</v>
      </c>
      <c r="J762" s="151" t="n">
        <v>45056.0859375</v>
      </c>
      <c r="K762" s="1" t="n">
        <v>2</v>
      </c>
      <c r="L762" s="144" t="n">
        <v>95</v>
      </c>
      <c r="M762" s="1" t="n">
        <v>16</v>
      </c>
      <c r="N762" s="1" t="n">
        <v>16</v>
      </c>
      <c r="O762" s="149" t="n">
        <v>13</v>
      </c>
    </row>
    <row r="763" customFormat="false" ht="14.25" hidden="false" customHeight="false" outlineLevel="0" collapsed="false">
      <c r="A763" s="1" t="n">
        <v>51</v>
      </c>
      <c r="B763" s="1" t="s">
        <v>476</v>
      </c>
      <c r="C763" s="143" t="s">
        <v>58</v>
      </c>
      <c r="D763" s="143" t="s">
        <v>59</v>
      </c>
      <c r="E763" s="143" t="s">
        <v>474</v>
      </c>
      <c r="F763" s="144" t="n">
        <v>200025889203</v>
      </c>
      <c r="G763" s="144" t="s">
        <v>449</v>
      </c>
      <c r="H763" s="144" t="n">
        <v>95</v>
      </c>
      <c r="I763" s="144" t="s">
        <v>152</v>
      </c>
      <c r="J763" s="151" t="n">
        <v>45056.0873842593</v>
      </c>
      <c r="K763" s="1" t="n">
        <v>1</v>
      </c>
      <c r="L763" s="144" t="n">
        <v>95</v>
      </c>
      <c r="M763" s="1" t="n">
        <v>16</v>
      </c>
      <c r="N763" s="1" t="n">
        <v>16</v>
      </c>
      <c r="O763" s="149" t="n">
        <v>14</v>
      </c>
    </row>
    <row r="764" customFormat="false" ht="14.25" hidden="false" customHeight="false" outlineLevel="0" collapsed="false">
      <c r="A764" s="1" t="n">
        <v>52</v>
      </c>
      <c r="B764" s="1" t="s">
        <v>476</v>
      </c>
      <c r="C764" s="143" t="s">
        <v>58</v>
      </c>
      <c r="D764" s="143" t="s">
        <v>59</v>
      </c>
      <c r="E764" s="143" t="s">
        <v>474</v>
      </c>
      <c r="F764" s="144" t="n">
        <v>200025889203</v>
      </c>
      <c r="G764" s="144" t="s">
        <v>449</v>
      </c>
      <c r="H764" s="144" t="n">
        <v>95</v>
      </c>
      <c r="I764" s="144" t="s">
        <v>152</v>
      </c>
      <c r="J764" s="151" t="n">
        <v>45056.0883796296</v>
      </c>
      <c r="K764" s="1" t="n">
        <v>1</v>
      </c>
      <c r="L764" s="144" t="n">
        <v>95</v>
      </c>
      <c r="M764" s="1" t="n">
        <v>16</v>
      </c>
      <c r="N764" s="1" t="n">
        <v>16</v>
      </c>
      <c r="O764" s="149" t="n">
        <v>15</v>
      </c>
    </row>
    <row r="765" customFormat="false" ht="14.25" hidden="false" customHeight="false" outlineLevel="0" collapsed="false">
      <c r="A765" s="1" t="n">
        <v>53</v>
      </c>
      <c r="B765" s="1" t="s">
        <v>476</v>
      </c>
      <c r="C765" s="143" t="s">
        <v>58</v>
      </c>
      <c r="D765" s="143" t="s">
        <v>59</v>
      </c>
      <c r="E765" s="143" t="s">
        <v>474</v>
      </c>
      <c r="F765" s="144" t="n">
        <v>200025889203</v>
      </c>
      <c r="G765" s="144" t="s">
        <v>449</v>
      </c>
      <c r="H765" s="144" t="n">
        <v>95</v>
      </c>
      <c r="I765" s="144" t="s">
        <v>152</v>
      </c>
      <c r="J765" s="151" t="n">
        <v>45056.08875</v>
      </c>
      <c r="K765" s="1" t="n">
        <v>2</v>
      </c>
      <c r="L765" s="144" t="n">
        <v>95</v>
      </c>
      <c r="M765" s="1" t="n">
        <v>16</v>
      </c>
      <c r="N765" s="1" t="n">
        <v>16</v>
      </c>
      <c r="O765" s="149" t="n">
        <v>16</v>
      </c>
    </row>
    <row r="766" customFormat="false" ht="14.25" hidden="false" customHeight="false" outlineLevel="0" collapsed="false">
      <c r="A766" s="1" t="n">
        <v>54</v>
      </c>
      <c r="B766" s="1" t="s">
        <v>476</v>
      </c>
      <c r="C766" s="143" t="s">
        <v>58</v>
      </c>
      <c r="D766" s="143" t="s">
        <v>59</v>
      </c>
      <c r="E766" s="143" t="s">
        <v>474</v>
      </c>
      <c r="F766" s="144" t="n">
        <v>200025889203</v>
      </c>
      <c r="G766" s="144" t="s">
        <v>449</v>
      </c>
      <c r="H766" s="144" t="n">
        <v>95</v>
      </c>
      <c r="I766" s="144" t="s">
        <v>152</v>
      </c>
      <c r="J766" s="151" t="n">
        <v>45056.0909143519</v>
      </c>
      <c r="K766" s="1" t="n">
        <v>6</v>
      </c>
      <c r="L766" s="144" t="n">
        <v>95</v>
      </c>
      <c r="M766" s="1" t="n">
        <v>16</v>
      </c>
      <c r="N766" s="1" t="n">
        <v>16</v>
      </c>
      <c r="O766" s="149" t="n">
        <v>17</v>
      </c>
    </row>
    <row r="767" customFormat="false" ht="14.25" hidden="false" customHeight="false" outlineLevel="0" collapsed="false">
      <c r="A767" s="1" t="n">
        <v>55</v>
      </c>
      <c r="B767" s="1" t="s">
        <v>476</v>
      </c>
      <c r="C767" s="143" t="s">
        <v>58</v>
      </c>
      <c r="D767" s="143" t="s">
        <v>59</v>
      </c>
      <c r="E767" s="143" t="s">
        <v>474</v>
      </c>
      <c r="F767" s="144" t="n">
        <v>200025889203</v>
      </c>
      <c r="G767" s="144" t="s">
        <v>449</v>
      </c>
      <c r="H767" s="144" t="n">
        <v>95</v>
      </c>
      <c r="I767" s="144" t="s">
        <v>152</v>
      </c>
      <c r="J767" s="151" t="n">
        <v>45056.0945023148</v>
      </c>
      <c r="K767" s="1" t="n">
        <v>2</v>
      </c>
      <c r="L767" s="144" t="n">
        <v>95</v>
      </c>
      <c r="M767" s="1" t="n">
        <v>16</v>
      </c>
      <c r="N767" s="1" t="n">
        <v>16</v>
      </c>
      <c r="O767" s="149" t="n">
        <v>18</v>
      </c>
    </row>
    <row r="768" customFormat="false" ht="14.25" hidden="false" customHeight="false" outlineLevel="0" collapsed="false">
      <c r="A768" s="1" t="n">
        <v>56</v>
      </c>
      <c r="B768" s="1" t="s">
        <v>476</v>
      </c>
      <c r="C768" s="143" t="s">
        <v>58</v>
      </c>
      <c r="D768" s="143" t="s">
        <v>59</v>
      </c>
      <c r="E768" s="143" t="s">
        <v>474</v>
      </c>
      <c r="F768" s="144" t="n">
        <v>200025889203</v>
      </c>
      <c r="G768" s="144" t="s">
        <v>449</v>
      </c>
      <c r="H768" s="144" t="n">
        <v>95</v>
      </c>
      <c r="I768" s="144" t="s">
        <v>152</v>
      </c>
      <c r="J768" s="151" t="n">
        <v>45056.0960300926</v>
      </c>
      <c r="K768" s="1" t="n">
        <v>2</v>
      </c>
      <c r="L768" s="144" t="n">
        <v>95</v>
      </c>
      <c r="M768" s="1" t="n">
        <v>16</v>
      </c>
      <c r="N768" s="1" t="n">
        <v>16</v>
      </c>
      <c r="O768" s="149" t="n">
        <v>19</v>
      </c>
    </row>
    <row r="769" customFormat="false" ht="14.25" hidden="false" customHeight="false" outlineLevel="0" collapsed="false">
      <c r="A769" s="1" t="n">
        <v>57</v>
      </c>
      <c r="B769" s="1" t="s">
        <v>476</v>
      </c>
      <c r="C769" s="143" t="s">
        <v>58</v>
      </c>
      <c r="D769" s="143" t="s">
        <v>59</v>
      </c>
      <c r="E769" s="143" t="s">
        <v>474</v>
      </c>
      <c r="F769" s="144" t="n">
        <v>200025889203</v>
      </c>
      <c r="G769" s="144" t="s">
        <v>449</v>
      </c>
      <c r="H769" s="144" t="n">
        <v>95</v>
      </c>
      <c r="I769" s="144" t="s">
        <v>152</v>
      </c>
      <c r="J769" s="151" t="n">
        <v>45056.0965277778</v>
      </c>
      <c r="K769" s="1" t="n">
        <v>1</v>
      </c>
      <c r="L769" s="144" t="n">
        <v>95</v>
      </c>
      <c r="M769" s="1" t="n">
        <v>16</v>
      </c>
      <c r="N769" s="1" t="n">
        <v>16</v>
      </c>
      <c r="O769" s="149" t="n">
        <v>20</v>
      </c>
    </row>
    <row r="770" customFormat="false" ht="14.25" hidden="false" customHeight="false" outlineLevel="0" collapsed="false">
      <c r="A770" s="1" t="n">
        <v>58</v>
      </c>
      <c r="B770" s="1" t="s">
        <v>476</v>
      </c>
      <c r="C770" s="143" t="s">
        <v>58</v>
      </c>
      <c r="D770" s="143" t="s">
        <v>59</v>
      </c>
      <c r="E770" s="143" t="s">
        <v>474</v>
      </c>
      <c r="F770" s="144" t="n">
        <v>200025889203</v>
      </c>
      <c r="G770" s="144" t="s">
        <v>449</v>
      </c>
      <c r="H770" s="144" t="n">
        <v>95</v>
      </c>
      <c r="I770" s="144" t="s">
        <v>152</v>
      </c>
      <c r="J770" s="151" t="n">
        <v>45056.0965625</v>
      </c>
      <c r="K770" s="1" t="n">
        <v>2</v>
      </c>
      <c r="L770" s="144" t="n">
        <v>95</v>
      </c>
      <c r="M770" s="1" t="n">
        <v>16</v>
      </c>
      <c r="N770" s="1" t="n">
        <v>16</v>
      </c>
      <c r="O770" s="149" t="n">
        <v>21</v>
      </c>
    </row>
    <row r="771" customFormat="false" ht="14.25" hidden="false" customHeight="false" outlineLevel="0" collapsed="false">
      <c r="A771" s="1" t="n">
        <v>81</v>
      </c>
      <c r="B771" s="1" t="s">
        <v>473</v>
      </c>
      <c r="C771" s="143" t="n">
        <v>11490</v>
      </c>
      <c r="D771" s="143" t="s">
        <v>65</v>
      </c>
      <c r="E771" s="143" t="s">
        <v>474</v>
      </c>
      <c r="F771" s="144" t="n">
        <v>200025889203</v>
      </c>
      <c r="G771" s="144" t="s">
        <v>449</v>
      </c>
      <c r="H771" s="144" t="n">
        <v>95</v>
      </c>
      <c r="I771" s="144" t="s">
        <v>152</v>
      </c>
      <c r="J771" s="151" t="n">
        <v>45056.0970717593</v>
      </c>
      <c r="K771" s="1" t="n">
        <v>1</v>
      </c>
      <c r="L771" s="144" t="n">
        <v>95</v>
      </c>
      <c r="M771" s="1" t="n">
        <v>16</v>
      </c>
      <c r="N771" s="1" t="n">
        <v>16</v>
      </c>
      <c r="O771" s="149" t="n">
        <v>22</v>
      </c>
    </row>
    <row r="772" customFormat="false" ht="14.25" hidden="false" customHeight="false" outlineLevel="0" collapsed="false">
      <c r="A772" s="1" t="n">
        <v>59</v>
      </c>
      <c r="B772" s="1" t="s">
        <v>476</v>
      </c>
      <c r="C772" s="143" t="s">
        <v>58</v>
      </c>
      <c r="D772" s="143" t="s">
        <v>59</v>
      </c>
      <c r="E772" s="143" t="s">
        <v>474</v>
      </c>
      <c r="F772" s="144" t="n">
        <v>200025889203</v>
      </c>
      <c r="G772" s="144" t="s">
        <v>449</v>
      </c>
      <c r="H772" s="144" t="n">
        <v>95</v>
      </c>
      <c r="I772" s="144" t="s">
        <v>152</v>
      </c>
      <c r="J772" s="151" t="n">
        <v>45056.101412037</v>
      </c>
      <c r="K772" s="1" t="n">
        <v>2</v>
      </c>
      <c r="L772" s="144" t="n">
        <v>95</v>
      </c>
      <c r="M772" s="1" t="n">
        <v>16</v>
      </c>
      <c r="N772" s="1" t="n">
        <v>16</v>
      </c>
      <c r="O772" s="149" t="n">
        <v>23</v>
      </c>
    </row>
    <row r="773" customFormat="false" ht="14.25" hidden="false" customHeight="false" outlineLevel="0" collapsed="false">
      <c r="A773" s="1" t="n">
        <v>60</v>
      </c>
      <c r="B773" s="1" t="s">
        <v>476</v>
      </c>
      <c r="C773" s="143" t="s">
        <v>58</v>
      </c>
      <c r="D773" s="143" t="s">
        <v>59</v>
      </c>
      <c r="E773" s="143" t="s">
        <v>474</v>
      </c>
      <c r="F773" s="144" t="n">
        <v>200025889203</v>
      </c>
      <c r="G773" s="144" t="s">
        <v>449</v>
      </c>
      <c r="H773" s="144" t="n">
        <v>95</v>
      </c>
      <c r="I773" s="144" t="s">
        <v>152</v>
      </c>
      <c r="J773" s="151" t="n">
        <v>45056.1020023148</v>
      </c>
      <c r="K773" s="1" t="n">
        <v>1</v>
      </c>
      <c r="L773" s="144" t="n">
        <v>95</v>
      </c>
      <c r="M773" s="1" t="n">
        <v>16</v>
      </c>
      <c r="N773" s="1" t="n">
        <v>16</v>
      </c>
      <c r="O773" s="149" t="n">
        <v>24</v>
      </c>
    </row>
    <row r="774" customFormat="false" ht="14.25" hidden="false" customHeight="false" outlineLevel="0" collapsed="false">
      <c r="A774" s="1" t="n">
        <v>61</v>
      </c>
      <c r="B774" s="1" t="s">
        <v>476</v>
      </c>
      <c r="C774" s="143" t="s">
        <v>58</v>
      </c>
      <c r="D774" s="143" t="s">
        <v>59</v>
      </c>
      <c r="E774" s="143" t="s">
        <v>474</v>
      </c>
      <c r="F774" s="144" t="n">
        <v>200025889203</v>
      </c>
      <c r="G774" s="144" t="s">
        <v>449</v>
      </c>
      <c r="H774" s="144" t="n">
        <v>95</v>
      </c>
      <c r="I774" s="144" t="s">
        <v>152</v>
      </c>
      <c r="J774" s="151" t="n">
        <v>45056.1023842593</v>
      </c>
      <c r="K774" s="1" t="n">
        <v>2</v>
      </c>
      <c r="L774" s="144" t="n">
        <v>95</v>
      </c>
      <c r="M774" s="1" t="n">
        <v>16</v>
      </c>
      <c r="N774" s="1" t="n">
        <v>16</v>
      </c>
      <c r="O774" s="149" t="n">
        <v>25</v>
      </c>
    </row>
    <row r="775" customFormat="false" ht="14.25" hidden="false" customHeight="false" outlineLevel="0" collapsed="false">
      <c r="A775" s="1" t="n">
        <v>62</v>
      </c>
      <c r="B775" s="1" t="s">
        <v>476</v>
      </c>
      <c r="C775" s="143" t="s">
        <v>58</v>
      </c>
      <c r="D775" s="143" t="s">
        <v>59</v>
      </c>
      <c r="E775" s="143" t="s">
        <v>474</v>
      </c>
      <c r="F775" s="144" t="n">
        <v>200025889203</v>
      </c>
      <c r="G775" s="144" t="s">
        <v>449</v>
      </c>
      <c r="H775" s="144" t="n">
        <v>95</v>
      </c>
      <c r="I775" s="144" t="s">
        <v>152</v>
      </c>
      <c r="J775" s="151" t="n">
        <v>45056.1028009259</v>
      </c>
      <c r="K775" s="1" t="n">
        <v>1</v>
      </c>
      <c r="L775" s="144" t="n">
        <v>95</v>
      </c>
      <c r="M775" s="1" t="n">
        <v>16</v>
      </c>
      <c r="N775" s="1" t="n">
        <v>16</v>
      </c>
      <c r="O775" s="149" t="n">
        <v>26</v>
      </c>
    </row>
    <row r="776" customFormat="false" ht="14.25" hidden="false" customHeight="false" outlineLevel="0" collapsed="false">
      <c r="A776" s="1" t="n">
        <v>63</v>
      </c>
      <c r="B776" s="1" t="s">
        <v>476</v>
      </c>
      <c r="C776" s="143" t="s">
        <v>58</v>
      </c>
      <c r="D776" s="143" t="s">
        <v>59</v>
      </c>
      <c r="E776" s="143" t="s">
        <v>474</v>
      </c>
      <c r="F776" s="144" t="n">
        <v>200025889203</v>
      </c>
      <c r="G776" s="144" t="s">
        <v>449</v>
      </c>
      <c r="H776" s="144" t="n">
        <v>95</v>
      </c>
      <c r="I776" s="144" t="s">
        <v>152</v>
      </c>
      <c r="J776" s="151" t="n">
        <v>45056.1077430556</v>
      </c>
      <c r="K776" s="1" t="n">
        <v>1</v>
      </c>
      <c r="L776" s="144" t="n">
        <v>95</v>
      </c>
      <c r="M776" s="1" t="n">
        <v>16</v>
      </c>
      <c r="N776" s="1" t="n">
        <v>16</v>
      </c>
      <c r="O776" s="149" t="n">
        <v>27</v>
      </c>
    </row>
    <row r="777" customFormat="false" ht="14.25" hidden="false" customHeight="false" outlineLevel="0" collapsed="false">
      <c r="A777" s="1" t="n">
        <v>64</v>
      </c>
      <c r="B777" s="1" t="s">
        <v>476</v>
      </c>
      <c r="C777" s="143" t="s">
        <v>58</v>
      </c>
      <c r="D777" s="143" t="s">
        <v>59</v>
      </c>
      <c r="E777" s="143" t="s">
        <v>474</v>
      </c>
      <c r="F777" s="144" t="n">
        <v>200025889203</v>
      </c>
      <c r="G777" s="144" t="s">
        <v>449</v>
      </c>
      <c r="H777" s="144" t="n">
        <v>95</v>
      </c>
      <c r="I777" s="144" t="s">
        <v>152</v>
      </c>
      <c r="J777" s="151" t="n">
        <v>45056.1086458333</v>
      </c>
      <c r="K777" s="1" t="n">
        <v>2</v>
      </c>
      <c r="L777" s="144" t="n">
        <v>95</v>
      </c>
      <c r="M777" s="1" t="n">
        <v>16</v>
      </c>
      <c r="N777" s="1" t="n">
        <v>16</v>
      </c>
      <c r="O777" s="149" t="n">
        <v>28</v>
      </c>
    </row>
    <row r="778" customFormat="false" ht="14.25" hidden="false" customHeight="false" outlineLevel="0" collapsed="false">
      <c r="A778" s="1" t="n">
        <v>65</v>
      </c>
      <c r="B778" s="1" t="s">
        <v>476</v>
      </c>
      <c r="C778" s="143" t="s">
        <v>58</v>
      </c>
      <c r="D778" s="143" t="s">
        <v>59</v>
      </c>
      <c r="E778" s="143" t="s">
        <v>474</v>
      </c>
      <c r="F778" s="144" t="n">
        <v>200025889203</v>
      </c>
      <c r="G778" s="144" t="s">
        <v>449</v>
      </c>
      <c r="H778" s="144" t="n">
        <v>95</v>
      </c>
      <c r="I778" s="144" t="s">
        <v>152</v>
      </c>
      <c r="J778" s="151" t="n">
        <v>45056.1098148148</v>
      </c>
      <c r="K778" s="1" t="n">
        <v>2</v>
      </c>
      <c r="L778" s="144" t="n">
        <v>95</v>
      </c>
      <c r="M778" s="1" t="n">
        <v>16</v>
      </c>
      <c r="N778" s="1" t="n">
        <v>16</v>
      </c>
      <c r="O778" s="149" t="n">
        <v>29</v>
      </c>
    </row>
    <row r="779" customFormat="false" ht="14.25" hidden="false" customHeight="false" outlineLevel="0" collapsed="false">
      <c r="A779" s="1" t="n">
        <v>66</v>
      </c>
      <c r="B779" s="1" t="s">
        <v>476</v>
      </c>
      <c r="C779" s="143" t="s">
        <v>58</v>
      </c>
      <c r="D779" s="143" t="s">
        <v>59</v>
      </c>
      <c r="E779" s="143" t="s">
        <v>474</v>
      </c>
      <c r="F779" s="144" t="n">
        <v>200025889203</v>
      </c>
      <c r="G779" s="144" t="s">
        <v>449</v>
      </c>
      <c r="H779" s="144" t="n">
        <v>95</v>
      </c>
      <c r="I779" s="144" t="s">
        <v>152</v>
      </c>
      <c r="J779" s="151" t="n">
        <v>45056.1115740741</v>
      </c>
      <c r="K779" s="1" t="n">
        <v>1</v>
      </c>
      <c r="L779" s="144" t="n">
        <v>95</v>
      </c>
      <c r="M779" s="1" t="n">
        <v>16</v>
      </c>
      <c r="N779" s="1" t="n">
        <v>16</v>
      </c>
      <c r="O779" s="149" t="n">
        <v>30</v>
      </c>
    </row>
    <row r="780" customFormat="false" ht="14.25" hidden="false" customHeight="false" outlineLevel="0" collapsed="false">
      <c r="A780" s="1" t="n">
        <v>67</v>
      </c>
      <c r="B780" s="1" t="s">
        <v>476</v>
      </c>
      <c r="C780" s="143" t="s">
        <v>58</v>
      </c>
      <c r="D780" s="143" t="s">
        <v>59</v>
      </c>
      <c r="E780" s="143" t="s">
        <v>474</v>
      </c>
      <c r="F780" s="144" t="n">
        <v>200025889203</v>
      </c>
      <c r="G780" s="144" t="s">
        <v>449</v>
      </c>
      <c r="H780" s="144" t="n">
        <v>95</v>
      </c>
      <c r="I780" s="144" t="s">
        <v>152</v>
      </c>
      <c r="J780" s="151" t="n">
        <v>45056.1127893519</v>
      </c>
      <c r="K780" s="1" t="n">
        <v>2</v>
      </c>
      <c r="L780" s="144" t="n">
        <v>95</v>
      </c>
      <c r="M780" s="1" t="n">
        <v>16</v>
      </c>
      <c r="N780" s="1" t="n">
        <v>16</v>
      </c>
      <c r="O780" s="149" t="n">
        <v>31</v>
      </c>
    </row>
    <row r="781" customFormat="false" ht="14.25" hidden="false" customHeight="false" outlineLevel="0" collapsed="false">
      <c r="A781" s="1" t="n">
        <v>68</v>
      </c>
      <c r="B781" s="1" t="s">
        <v>476</v>
      </c>
      <c r="C781" s="143" t="s">
        <v>58</v>
      </c>
      <c r="D781" s="143" t="s">
        <v>59</v>
      </c>
      <c r="E781" s="143" t="s">
        <v>474</v>
      </c>
      <c r="F781" s="144" t="n">
        <v>200025889203</v>
      </c>
      <c r="G781" s="144" t="s">
        <v>449</v>
      </c>
      <c r="H781" s="144" t="n">
        <v>95</v>
      </c>
      <c r="I781" s="144" t="s">
        <v>152</v>
      </c>
      <c r="J781" s="151" t="n">
        <v>45056.1149305556</v>
      </c>
      <c r="K781" s="1" t="n">
        <v>1</v>
      </c>
      <c r="L781" s="144" t="n">
        <v>95</v>
      </c>
      <c r="M781" s="1" t="n">
        <v>16</v>
      </c>
      <c r="N781" s="1" t="n">
        <v>16</v>
      </c>
      <c r="O781" s="149" t="n">
        <v>32</v>
      </c>
    </row>
    <row r="782" customFormat="false" ht="14.25" hidden="false" customHeight="false" outlineLevel="0" collapsed="false">
      <c r="A782" s="1" t="n">
        <v>69</v>
      </c>
      <c r="B782" s="1" t="s">
        <v>476</v>
      </c>
      <c r="C782" s="143" t="s">
        <v>58</v>
      </c>
      <c r="D782" s="143" t="s">
        <v>59</v>
      </c>
      <c r="E782" s="143" t="s">
        <v>474</v>
      </c>
      <c r="F782" s="144" t="n">
        <v>200025889203</v>
      </c>
      <c r="G782" s="144" t="s">
        <v>449</v>
      </c>
      <c r="H782" s="144" t="n">
        <v>95</v>
      </c>
      <c r="I782" s="144" t="s">
        <v>152</v>
      </c>
      <c r="J782" s="151" t="n">
        <v>45056.1210069444</v>
      </c>
      <c r="K782" s="1" t="n">
        <v>1</v>
      </c>
      <c r="L782" s="144" t="n">
        <v>95</v>
      </c>
      <c r="M782" s="1" t="n">
        <v>16</v>
      </c>
      <c r="N782" s="1" t="n">
        <v>16</v>
      </c>
      <c r="O782" s="149" t="n">
        <v>33</v>
      </c>
    </row>
    <row r="783" customFormat="false" ht="14.25" hidden="false" customHeight="false" outlineLevel="0" collapsed="false">
      <c r="A783" s="1" t="n">
        <v>70</v>
      </c>
      <c r="B783" s="1" t="s">
        <v>476</v>
      </c>
      <c r="C783" s="143" t="s">
        <v>58</v>
      </c>
      <c r="D783" s="143" t="s">
        <v>59</v>
      </c>
      <c r="E783" s="143" t="s">
        <v>474</v>
      </c>
      <c r="F783" s="144" t="n">
        <v>200025889203</v>
      </c>
      <c r="G783" s="144" t="s">
        <v>449</v>
      </c>
      <c r="H783" s="144" t="n">
        <v>95</v>
      </c>
      <c r="I783" s="144" t="s">
        <v>152</v>
      </c>
      <c r="J783" s="151" t="n">
        <v>45056.127025463</v>
      </c>
      <c r="K783" s="1" t="n">
        <v>1</v>
      </c>
      <c r="L783" s="144" t="n">
        <v>95</v>
      </c>
      <c r="M783" s="1" t="n">
        <v>16</v>
      </c>
      <c r="N783" s="1" t="n">
        <v>16</v>
      </c>
      <c r="O783" s="149" t="n">
        <v>34</v>
      </c>
    </row>
    <row r="784" customFormat="false" ht="14.25" hidden="false" customHeight="false" outlineLevel="0" collapsed="false">
      <c r="A784" s="1" t="n">
        <v>71</v>
      </c>
      <c r="B784" s="1" t="s">
        <v>476</v>
      </c>
      <c r="C784" s="143" t="s">
        <v>58</v>
      </c>
      <c r="D784" s="143" t="s">
        <v>59</v>
      </c>
      <c r="E784" s="143" t="s">
        <v>474</v>
      </c>
      <c r="F784" s="144" t="n">
        <v>200025889203</v>
      </c>
      <c r="G784" s="144" t="s">
        <v>449</v>
      </c>
      <c r="H784" s="144" t="n">
        <v>95</v>
      </c>
      <c r="I784" s="144" t="s">
        <v>152</v>
      </c>
      <c r="J784" s="151" t="n">
        <v>45056.1368634259</v>
      </c>
      <c r="K784" s="1" t="n">
        <v>2</v>
      </c>
      <c r="L784" s="144" t="n">
        <v>95</v>
      </c>
      <c r="M784" s="1" t="n">
        <v>16</v>
      </c>
      <c r="N784" s="1" t="n">
        <v>16</v>
      </c>
      <c r="O784" s="149" t="n">
        <v>35</v>
      </c>
    </row>
    <row r="785" customFormat="false" ht="14.25" hidden="false" customHeight="false" outlineLevel="0" collapsed="false">
      <c r="A785" s="1" t="n">
        <v>72</v>
      </c>
      <c r="B785" s="1" t="s">
        <v>476</v>
      </c>
      <c r="C785" s="143" t="s">
        <v>58</v>
      </c>
      <c r="D785" s="143" t="s">
        <v>59</v>
      </c>
      <c r="E785" s="143" t="s">
        <v>474</v>
      </c>
      <c r="F785" s="144" t="n">
        <v>200025889203</v>
      </c>
      <c r="G785" s="144" t="s">
        <v>449</v>
      </c>
      <c r="H785" s="144" t="n">
        <v>95</v>
      </c>
      <c r="I785" s="144" t="s">
        <v>152</v>
      </c>
      <c r="J785" s="151" t="n">
        <v>45056.1378819444</v>
      </c>
      <c r="K785" s="1" t="n">
        <v>1</v>
      </c>
      <c r="L785" s="144" t="n">
        <v>95</v>
      </c>
      <c r="M785" s="1" t="n">
        <v>16</v>
      </c>
      <c r="N785" s="1" t="n">
        <v>16</v>
      </c>
      <c r="O785" s="149" t="n">
        <v>36</v>
      </c>
    </row>
    <row r="786" customFormat="false" ht="14.25" hidden="false" customHeight="false" outlineLevel="0" collapsed="false">
      <c r="A786" s="1" t="n">
        <v>73</v>
      </c>
      <c r="B786" s="1" t="s">
        <v>476</v>
      </c>
      <c r="C786" s="143" t="s">
        <v>58</v>
      </c>
      <c r="D786" s="143" t="s">
        <v>59</v>
      </c>
      <c r="E786" s="143" t="s">
        <v>474</v>
      </c>
      <c r="F786" s="144" t="n">
        <v>200025889203</v>
      </c>
      <c r="G786" s="144" t="s">
        <v>449</v>
      </c>
      <c r="H786" s="144" t="n">
        <v>95</v>
      </c>
      <c r="I786" s="144" t="s">
        <v>152</v>
      </c>
      <c r="J786" s="151" t="n">
        <v>45056.1378935185</v>
      </c>
      <c r="K786" s="1" t="n">
        <v>0</v>
      </c>
      <c r="L786" s="144" t="n">
        <v>95</v>
      </c>
      <c r="M786" s="1" t="n">
        <v>16</v>
      </c>
      <c r="N786" s="1" t="n">
        <v>16</v>
      </c>
      <c r="O786" s="149" t="n">
        <v>37</v>
      </c>
    </row>
    <row r="787" customFormat="false" ht="14.25" hidden="false" customHeight="false" outlineLevel="0" collapsed="false">
      <c r="A787" s="1" t="n">
        <v>74</v>
      </c>
      <c r="B787" s="1" t="s">
        <v>476</v>
      </c>
      <c r="C787" s="143" t="s">
        <v>58</v>
      </c>
      <c r="D787" s="143" t="s">
        <v>59</v>
      </c>
      <c r="E787" s="143" t="s">
        <v>474</v>
      </c>
      <c r="F787" s="144" t="n">
        <v>200025889203</v>
      </c>
      <c r="G787" s="144" t="s">
        <v>449</v>
      </c>
      <c r="H787" s="144" t="n">
        <v>95</v>
      </c>
      <c r="I787" s="144" t="s">
        <v>152</v>
      </c>
      <c r="J787" s="151" t="n">
        <v>45056.1402199074</v>
      </c>
      <c r="K787" s="1" t="n">
        <v>3</v>
      </c>
      <c r="L787" s="144" t="n">
        <v>95</v>
      </c>
      <c r="M787" s="1" t="n">
        <v>16</v>
      </c>
      <c r="N787" s="1" t="n">
        <v>16</v>
      </c>
      <c r="O787" s="149" t="n">
        <v>38</v>
      </c>
    </row>
    <row r="788" customFormat="false" ht="14.25" hidden="false" customHeight="false" outlineLevel="0" collapsed="false">
      <c r="A788" s="1" t="n">
        <v>75</v>
      </c>
      <c r="B788" s="1" t="s">
        <v>476</v>
      </c>
      <c r="C788" s="143" t="s">
        <v>58</v>
      </c>
      <c r="D788" s="143" t="s">
        <v>59</v>
      </c>
      <c r="E788" s="143" t="s">
        <v>474</v>
      </c>
      <c r="F788" s="144" t="n">
        <v>200025889203</v>
      </c>
      <c r="G788" s="144" t="s">
        <v>449</v>
      </c>
      <c r="H788" s="144" t="n">
        <v>95</v>
      </c>
      <c r="I788" s="144" t="s">
        <v>152</v>
      </c>
      <c r="J788" s="151" t="n">
        <v>45056.1402430556</v>
      </c>
      <c r="K788" s="1" t="n">
        <v>1</v>
      </c>
      <c r="L788" s="144" t="n">
        <v>95</v>
      </c>
      <c r="M788" s="1" t="n">
        <v>16</v>
      </c>
      <c r="N788" s="1" t="n">
        <v>16</v>
      </c>
      <c r="O788" s="149" t="n">
        <v>39</v>
      </c>
    </row>
    <row r="789" customFormat="false" ht="14.25" hidden="false" customHeight="false" outlineLevel="0" collapsed="false">
      <c r="A789" s="1" t="n">
        <v>76</v>
      </c>
      <c r="B789" s="1" t="s">
        <v>476</v>
      </c>
      <c r="C789" s="143" t="s">
        <v>58</v>
      </c>
      <c r="D789" s="143" t="s">
        <v>59</v>
      </c>
      <c r="E789" s="143" t="s">
        <v>474</v>
      </c>
      <c r="F789" s="144" t="n">
        <v>200025889203</v>
      </c>
      <c r="G789" s="144" t="s">
        <v>449</v>
      </c>
      <c r="H789" s="144" t="n">
        <v>95</v>
      </c>
      <c r="I789" s="144" t="s">
        <v>152</v>
      </c>
      <c r="J789" s="151" t="n">
        <v>45056.1405092593</v>
      </c>
      <c r="K789" s="1" t="n">
        <v>2</v>
      </c>
      <c r="L789" s="144" t="n">
        <v>95</v>
      </c>
      <c r="M789" s="1" t="n">
        <v>16</v>
      </c>
      <c r="N789" s="1" t="n">
        <v>16</v>
      </c>
      <c r="O789" s="149" t="n">
        <v>40</v>
      </c>
    </row>
    <row r="790" customFormat="false" ht="14.25" hidden="false" customHeight="false" outlineLevel="0" collapsed="false">
      <c r="A790" s="1" t="n">
        <v>77</v>
      </c>
      <c r="B790" s="1" t="s">
        <v>476</v>
      </c>
      <c r="C790" s="143" t="s">
        <v>58</v>
      </c>
      <c r="D790" s="143" t="s">
        <v>59</v>
      </c>
      <c r="E790" s="143" t="s">
        <v>474</v>
      </c>
      <c r="F790" s="144" t="n">
        <v>200025889203</v>
      </c>
      <c r="G790" s="144" t="s">
        <v>449</v>
      </c>
      <c r="H790" s="144" t="n">
        <v>95</v>
      </c>
      <c r="I790" s="144" t="s">
        <v>152</v>
      </c>
      <c r="J790" s="151" t="n">
        <v>45056.1409953704</v>
      </c>
      <c r="K790" s="1" t="n">
        <v>0</v>
      </c>
      <c r="L790" s="144" t="n">
        <v>95</v>
      </c>
      <c r="M790" s="1" t="n">
        <v>16</v>
      </c>
      <c r="N790" s="1" t="n">
        <v>16</v>
      </c>
      <c r="O790" s="149" t="n">
        <v>41</v>
      </c>
    </row>
    <row r="791" customFormat="false" ht="14.25" hidden="false" customHeight="false" outlineLevel="0" collapsed="false">
      <c r="A791" s="1" t="n">
        <v>78</v>
      </c>
      <c r="B791" s="1" t="s">
        <v>476</v>
      </c>
      <c r="C791" s="143" t="s">
        <v>58</v>
      </c>
      <c r="D791" s="143" t="s">
        <v>59</v>
      </c>
      <c r="E791" s="143" t="s">
        <v>474</v>
      </c>
      <c r="F791" s="144" t="n">
        <v>200025889203</v>
      </c>
      <c r="G791" s="144" t="s">
        <v>449</v>
      </c>
      <c r="H791" s="144" t="n">
        <v>95</v>
      </c>
      <c r="I791" s="144" t="s">
        <v>152</v>
      </c>
      <c r="J791" s="151" t="n">
        <v>45056.1419097222</v>
      </c>
      <c r="K791" s="1" t="n">
        <v>1</v>
      </c>
      <c r="L791" s="144" t="n">
        <v>95</v>
      </c>
      <c r="M791" s="1" t="n">
        <v>16</v>
      </c>
      <c r="N791" s="1" t="n">
        <v>16</v>
      </c>
      <c r="O791" s="149" t="n">
        <v>42</v>
      </c>
    </row>
    <row r="792" customFormat="false" ht="14.25" hidden="false" customHeight="false" outlineLevel="0" collapsed="false">
      <c r="A792" s="1" t="n">
        <v>79</v>
      </c>
      <c r="B792" s="1" t="s">
        <v>476</v>
      </c>
      <c r="C792" s="143" t="s">
        <v>58</v>
      </c>
      <c r="D792" s="143" t="s">
        <v>59</v>
      </c>
      <c r="E792" s="143" t="s">
        <v>474</v>
      </c>
      <c r="F792" s="144" t="n">
        <v>200025889203</v>
      </c>
      <c r="G792" s="144" t="s">
        <v>449</v>
      </c>
      <c r="H792" s="144" t="n">
        <v>95</v>
      </c>
      <c r="I792" s="144" t="s">
        <v>152</v>
      </c>
      <c r="J792" s="151" t="n">
        <v>45056.1421412037</v>
      </c>
      <c r="K792" s="1" t="n">
        <v>0</v>
      </c>
      <c r="L792" s="144" t="n">
        <v>95</v>
      </c>
      <c r="M792" s="1" t="n">
        <v>16</v>
      </c>
      <c r="N792" s="1" t="n">
        <v>16</v>
      </c>
      <c r="O792" s="149" t="n">
        <v>43</v>
      </c>
    </row>
    <row r="793" customFormat="false" ht="14.25" hidden="false" customHeight="false" outlineLevel="0" collapsed="false">
      <c r="A793" s="1" t="n">
        <v>80</v>
      </c>
      <c r="B793" s="1" t="s">
        <v>476</v>
      </c>
      <c r="C793" s="143" t="s">
        <v>58</v>
      </c>
      <c r="D793" s="143" t="s">
        <v>59</v>
      </c>
      <c r="E793" s="143" t="s">
        <v>474</v>
      </c>
      <c r="F793" s="144" t="n">
        <v>200025889203</v>
      </c>
      <c r="G793" s="144" t="s">
        <v>449</v>
      </c>
      <c r="H793" s="144" t="n">
        <v>95</v>
      </c>
      <c r="I793" s="144" t="s">
        <v>152</v>
      </c>
      <c r="J793" s="151" t="n">
        <v>45056.1459953704</v>
      </c>
      <c r="K793" s="1" t="n">
        <v>3</v>
      </c>
      <c r="L793" s="144" t="n">
        <v>95</v>
      </c>
      <c r="M793" s="1" t="n">
        <v>16</v>
      </c>
      <c r="N793" s="1" t="n">
        <v>16</v>
      </c>
      <c r="O793" s="149" t="n">
        <v>44</v>
      </c>
    </row>
    <row r="794" customFormat="false" ht="14.25" hidden="false" customHeight="false" outlineLevel="0" collapsed="false">
      <c r="A794" s="1" t="n">
        <v>81</v>
      </c>
      <c r="B794" s="1" t="s">
        <v>476</v>
      </c>
      <c r="C794" s="143" t="s">
        <v>58</v>
      </c>
      <c r="D794" s="143" t="s">
        <v>59</v>
      </c>
      <c r="E794" s="143" t="s">
        <v>474</v>
      </c>
      <c r="F794" s="144" t="n">
        <v>200025889203</v>
      </c>
      <c r="G794" s="144" t="s">
        <v>449</v>
      </c>
      <c r="H794" s="144" t="n">
        <v>95</v>
      </c>
      <c r="I794" s="144" t="s">
        <v>152</v>
      </c>
      <c r="J794" s="151" t="n">
        <v>45056.1480671296</v>
      </c>
      <c r="K794" s="1" t="n">
        <v>0</v>
      </c>
      <c r="L794" s="144" t="n">
        <v>95</v>
      </c>
      <c r="M794" s="1" t="n">
        <v>16</v>
      </c>
      <c r="N794" s="1" t="n">
        <v>16</v>
      </c>
      <c r="O794" s="149" t="n">
        <v>45</v>
      </c>
    </row>
    <row r="795" customFormat="false" ht="14.25" hidden="false" customHeight="false" outlineLevel="0" collapsed="false">
      <c r="A795" s="1" t="n">
        <v>82</v>
      </c>
      <c r="B795" s="1" t="s">
        <v>476</v>
      </c>
      <c r="C795" s="143" t="s">
        <v>58</v>
      </c>
      <c r="D795" s="143" t="s">
        <v>59</v>
      </c>
      <c r="E795" s="143" t="s">
        <v>474</v>
      </c>
      <c r="F795" s="144" t="n">
        <v>200025889203</v>
      </c>
      <c r="G795" s="144" t="s">
        <v>449</v>
      </c>
      <c r="H795" s="144" t="n">
        <v>95</v>
      </c>
      <c r="I795" s="144" t="s">
        <v>152</v>
      </c>
      <c r="J795" s="151" t="n">
        <v>45056.1496180556</v>
      </c>
      <c r="K795" s="1" t="n">
        <v>6</v>
      </c>
      <c r="L795" s="144" t="n">
        <v>95</v>
      </c>
      <c r="M795" s="1" t="n">
        <v>16</v>
      </c>
      <c r="N795" s="1" t="n">
        <v>16</v>
      </c>
      <c r="O795" s="149" t="n">
        <v>46</v>
      </c>
    </row>
    <row r="796" customFormat="false" ht="14.25" hidden="false" customHeight="false" outlineLevel="0" collapsed="false">
      <c r="A796" s="1" t="n">
        <v>83</v>
      </c>
      <c r="B796" s="1" t="s">
        <v>476</v>
      </c>
      <c r="C796" s="143" t="s">
        <v>58</v>
      </c>
      <c r="D796" s="143" t="s">
        <v>59</v>
      </c>
      <c r="E796" s="143" t="s">
        <v>474</v>
      </c>
      <c r="F796" s="144" t="n">
        <v>200025889203</v>
      </c>
      <c r="G796" s="144" t="s">
        <v>449</v>
      </c>
      <c r="H796" s="144" t="n">
        <v>95</v>
      </c>
      <c r="I796" s="144" t="s">
        <v>152</v>
      </c>
      <c r="J796" s="151" t="n">
        <v>45056.1502893519</v>
      </c>
      <c r="K796" s="1" t="n">
        <v>4</v>
      </c>
      <c r="L796" s="144" t="n">
        <v>95</v>
      </c>
      <c r="M796" s="1" t="n">
        <v>16</v>
      </c>
      <c r="N796" s="1" t="n">
        <v>16</v>
      </c>
      <c r="O796" s="149" t="n">
        <v>47</v>
      </c>
    </row>
    <row r="797" customFormat="false" ht="14.25" hidden="false" customHeight="false" outlineLevel="0" collapsed="false">
      <c r="A797" s="1" t="n">
        <v>84</v>
      </c>
      <c r="B797" s="1" t="s">
        <v>476</v>
      </c>
      <c r="C797" s="143" t="s">
        <v>58</v>
      </c>
      <c r="D797" s="143" t="s">
        <v>59</v>
      </c>
      <c r="E797" s="143" t="s">
        <v>474</v>
      </c>
      <c r="F797" s="144" t="n">
        <v>200025889203</v>
      </c>
      <c r="G797" s="144" t="s">
        <v>449</v>
      </c>
      <c r="H797" s="144" t="n">
        <v>95</v>
      </c>
      <c r="I797" s="144" t="s">
        <v>152</v>
      </c>
      <c r="J797" s="151" t="n">
        <v>45056.1504050926</v>
      </c>
      <c r="K797" s="1" t="n">
        <v>3</v>
      </c>
      <c r="L797" s="144" t="n">
        <v>95</v>
      </c>
      <c r="M797" s="1" t="n">
        <v>16</v>
      </c>
      <c r="N797" s="1" t="n">
        <v>16</v>
      </c>
      <c r="O797" s="149" t="n">
        <v>48</v>
      </c>
    </row>
    <row r="798" customFormat="false" ht="14.25" hidden="false" customHeight="false" outlineLevel="0" collapsed="false">
      <c r="A798" s="1" t="n">
        <v>85</v>
      </c>
      <c r="B798" s="1" t="s">
        <v>476</v>
      </c>
      <c r="C798" s="143" t="s">
        <v>58</v>
      </c>
      <c r="D798" s="143" t="s">
        <v>59</v>
      </c>
      <c r="E798" s="143" t="s">
        <v>474</v>
      </c>
      <c r="F798" s="144" t="n">
        <v>200025889203</v>
      </c>
      <c r="G798" s="144" t="s">
        <v>449</v>
      </c>
      <c r="H798" s="144" t="n">
        <v>95</v>
      </c>
      <c r="I798" s="144" t="s">
        <v>152</v>
      </c>
      <c r="J798" s="151" t="n">
        <v>45056.1516435185</v>
      </c>
      <c r="K798" s="1" t="n">
        <v>2</v>
      </c>
      <c r="L798" s="144" t="n">
        <v>95</v>
      </c>
      <c r="M798" s="1" t="n">
        <v>16</v>
      </c>
      <c r="N798" s="1" t="n">
        <v>16</v>
      </c>
      <c r="O798" s="149" t="n">
        <v>49</v>
      </c>
    </row>
    <row r="799" customFormat="false" ht="14.25" hidden="false" customHeight="false" outlineLevel="0" collapsed="false">
      <c r="A799" s="1" t="n">
        <v>86</v>
      </c>
      <c r="B799" s="1" t="s">
        <v>476</v>
      </c>
      <c r="C799" s="143" t="s">
        <v>58</v>
      </c>
      <c r="D799" s="143" t="s">
        <v>59</v>
      </c>
      <c r="E799" s="143" t="s">
        <v>474</v>
      </c>
      <c r="F799" s="144" t="n">
        <v>200025889203</v>
      </c>
      <c r="G799" s="144" t="s">
        <v>449</v>
      </c>
      <c r="H799" s="144" t="n">
        <v>95</v>
      </c>
      <c r="I799" s="144" t="s">
        <v>152</v>
      </c>
      <c r="J799" s="151" t="n">
        <v>45056.1517361111</v>
      </c>
      <c r="K799" s="1" t="n">
        <v>2</v>
      </c>
      <c r="L799" s="144" t="n">
        <v>95</v>
      </c>
      <c r="M799" s="1" t="n">
        <v>16</v>
      </c>
      <c r="N799" s="1" t="n">
        <v>16</v>
      </c>
      <c r="O799" s="149" t="n">
        <v>50</v>
      </c>
    </row>
    <row r="800" customFormat="false" ht="14.25" hidden="false" customHeight="false" outlineLevel="0" collapsed="false">
      <c r="A800" s="1" t="n">
        <v>87</v>
      </c>
      <c r="B800" s="1" t="s">
        <v>476</v>
      </c>
      <c r="C800" s="143" t="s">
        <v>58</v>
      </c>
      <c r="D800" s="143" t="s">
        <v>59</v>
      </c>
      <c r="E800" s="143" t="s">
        <v>474</v>
      </c>
      <c r="F800" s="144" t="n">
        <v>200025889203</v>
      </c>
      <c r="G800" s="144" t="s">
        <v>449</v>
      </c>
      <c r="H800" s="144" t="n">
        <v>95</v>
      </c>
      <c r="I800" s="144" t="s">
        <v>152</v>
      </c>
      <c r="J800" s="151" t="n">
        <v>45056.155775463</v>
      </c>
      <c r="K800" s="1" t="n">
        <v>3</v>
      </c>
      <c r="L800" s="144" t="n">
        <v>95</v>
      </c>
      <c r="M800" s="1" t="n">
        <v>16</v>
      </c>
      <c r="N800" s="1" t="n">
        <v>16</v>
      </c>
      <c r="O800" s="149" t="n">
        <v>51</v>
      </c>
    </row>
    <row r="801" customFormat="false" ht="14.25" hidden="false" customHeight="false" outlineLevel="0" collapsed="false">
      <c r="A801" s="1" t="n">
        <v>88</v>
      </c>
      <c r="B801" s="1" t="s">
        <v>476</v>
      </c>
      <c r="C801" s="143" t="s">
        <v>58</v>
      </c>
      <c r="D801" s="143" t="s">
        <v>59</v>
      </c>
      <c r="E801" s="143" t="s">
        <v>474</v>
      </c>
      <c r="F801" s="144" t="n">
        <v>200025889203</v>
      </c>
      <c r="G801" s="144" t="s">
        <v>449</v>
      </c>
      <c r="H801" s="144" t="n">
        <v>95</v>
      </c>
      <c r="I801" s="144" t="s">
        <v>152</v>
      </c>
      <c r="J801" s="151" t="n">
        <v>45056.1561458333</v>
      </c>
      <c r="K801" s="1" t="n">
        <v>2</v>
      </c>
      <c r="L801" s="144" t="n">
        <v>95</v>
      </c>
      <c r="M801" s="1" t="n">
        <v>16</v>
      </c>
      <c r="N801" s="1" t="n">
        <v>16</v>
      </c>
      <c r="O801" s="149" t="n">
        <v>52</v>
      </c>
    </row>
    <row r="802" customFormat="false" ht="14.25" hidden="false" customHeight="false" outlineLevel="0" collapsed="false">
      <c r="A802" s="1" t="n">
        <v>89</v>
      </c>
      <c r="B802" s="1" t="s">
        <v>476</v>
      </c>
      <c r="C802" s="143" t="s">
        <v>58</v>
      </c>
      <c r="D802" s="143" t="s">
        <v>59</v>
      </c>
      <c r="E802" s="143" t="s">
        <v>474</v>
      </c>
      <c r="F802" s="144" t="n">
        <v>200025889203</v>
      </c>
      <c r="G802" s="144" t="s">
        <v>449</v>
      </c>
      <c r="H802" s="144" t="n">
        <v>95</v>
      </c>
      <c r="I802" s="144" t="s">
        <v>152</v>
      </c>
      <c r="J802" s="151" t="n">
        <v>45056.1645833333</v>
      </c>
      <c r="K802" s="1" t="n">
        <v>1</v>
      </c>
      <c r="L802" s="144" t="n">
        <v>95</v>
      </c>
      <c r="M802" s="1" t="n">
        <v>16</v>
      </c>
      <c r="N802" s="1" t="n">
        <v>16</v>
      </c>
      <c r="O802" s="149" t="n">
        <v>53</v>
      </c>
    </row>
    <row r="803" customFormat="false" ht="14.25" hidden="false" customHeight="false" outlineLevel="0" collapsed="false">
      <c r="A803" s="1" t="n">
        <v>90</v>
      </c>
      <c r="B803" s="1" t="s">
        <v>476</v>
      </c>
      <c r="C803" s="143" t="s">
        <v>58</v>
      </c>
      <c r="D803" s="143" t="s">
        <v>59</v>
      </c>
      <c r="E803" s="143" t="s">
        <v>474</v>
      </c>
      <c r="F803" s="144" t="n">
        <v>200025889203</v>
      </c>
      <c r="G803" s="144" t="s">
        <v>449</v>
      </c>
      <c r="H803" s="144" t="n">
        <v>95</v>
      </c>
      <c r="I803" s="144" t="s">
        <v>152</v>
      </c>
      <c r="J803" s="151" t="n">
        <v>45056.1646064815</v>
      </c>
      <c r="K803" s="1" t="n">
        <v>1</v>
      </c>
      <c r="L803" s="144" t="n">
        <v>95</v>
      </c>
      <c r="M803" s="1" t="n">
        <v>16</v>
      </c>
      <c r="N803" s="1" t="n">
        <v>16</v>
      </c>
      <c r="O803" s="149" t="n">
        <v>54</v>
      </c>
    </row>
    <row r="804" customFormat="false" ht="14.25" hidden="false" customHeight="false" outlineLevel="0" collapsed="false">
      <c r="A804" s="1" t="n">
        <v>91</v>
      </c>
      <c r="B804" s="1" t="s">
        <v>476</v>
      </c>
      <c r="C804" s="143" t="s">
        <v>58</v>
      </c>
      <c r="D804" s="143" t="s">
        <v>59</v>
      </c>
      <c r="E804" s="143" t="s">
        <v>474</v>
      </c>
      <c r="F804" s="144" t="n">
        <v>200025889203</v>
      </c>
      <c r="G804" s="144" t="s">
        <v>449</v>
      </c>
      <c r="H804" s="144" t="n">
        <v>95</v>
      </c>
      <c r="I804" s="144" t="s">
        <v>152</v>
      </c>
      <c r="J804" s="151" t="n">
        <v>45056.1730208333</v>
      </c>
      <c r="K804" s="1" t="n">
        <v>1</v>
      </c>
      <c r="L804" s="144" t="n">
        <v>95</v>
      </c>
      <c r="M804" s="1" t="n">
        <v>16</v>
      </c>
      <c r="N804" s="1" t="n">
        <v>16</v>
      </c>
      <c r="O804" s="149" t="n">
        <v>55</v>
      </c>
    </row>
    <row r="805" customFormat="false" ht="14.25" hidden="false" customHeight="false" outlineLevel="0" collapsed="false">
      <c r="A805" s="1" t="n">
        <v>135</v>
      </c>
      <c r="B805" s="1" t="s">
        <v>473</v>
      </c>
      <c r="C805" s="143" t="n">
        <v>11490</v>
      </c>
      <c r="D805" s="143" t="s">
        <v>65</v>
      </c>
      <c r="E805" s="143" t="s">
        <v>474</v>
      </c>
      <c r="F805" s="144" t="n">
        <v>200025889203</v>
      </c>
      <c r="G805" s="144" t="s">
        <v>449</v>
      </c>
      <c r="H805" s="144" t="n">
        <v>95</v>
      </c>
      <c r="I805" s="144" t="s">
        <v>152</v>
      </c>
      <c r="J805" s="151" t="n">
        <v>45056.2357523148</v>
      </c>
      <c r="K805" s="1" t="n">
        <v>14</v>
      </c>
      <c r="L805" s="144" t="n">
        <v>95</v>
      </c>
      <c r="M805" s="1" t="n">
        <v>16</v>
      </c>
      <c r="N805" s="1" t="n">
        <v>16</v>
      </c>
      <c r="O805" s="149" t="n">
        <v>56</v>
      </c>
    </row>
    <row r="806" customFormat="false" ht="14.25" hidden="false" customHeight="false" outlineLevel="0" collapsed="false">
      <c r="A806" s="1" t="n">
        <v>136</v>
      </c>
      <c r="B806" s="1" t="s">
        <v>473</v>
      </c>
      <c r="C806" s="143" t="n">
        <v>11490</v>
      </c>
      <c r="D806" s="143" t="s">
        <v>65</v>
      </c>
      <c r="E806" s="143" t="s">
        <v>474</v>
      </c>
      <c r="F806" s="144" t="n">
        <v>200025889203</v>
      </c>
      <c r="G806" s="144" t="s">
        <v>449</v>
      </c>
      <c r="H806" s="144" t="n">
        <v>95</v>
      </c>
      <c r="I806" s="144" t="s">
        <v>152</v>
      </c>
      <c r="J806" s="151" t="n">
        <v>45056.250162037</v>
      </c>
      <c r="K806" s="1" t="n">
        <v>4</v>
      </c>
      <c r="L806" s="144" t="n">
        <v>95</v>
      </c>
      <c r="M806" s="1" t="n">
        <v>16</v>
      </c>
      <c r="N806" s="1" t="n">
        <v>16</v>
      </c>
      <c r="O806" s="149" t="n">
        <v>57</v>
      </c>
    </row>
    <row r="807" customFormat="false" ht="14.25" hidden="false" customHeight="false" outlineLevel="0" collapsed="false">
      <c r="A807" s="1" t="n">
        <v>121</v>
      </c>
      <c r="B807" s="1" t="s">
        <v>475</v>
      </c>
      <c r="C807" s="143" t="s">
        <v>52</v>
      </c>
      <c r="D807" s="143" t="s">
        <v>53</v>
      </c>
      <c r="E807" s="143" t="s">
        <v>474</v>
      </c>
      <c r="F807" s="144" t="n">
        <v>200025889203</v>
      </c>
      <c r="G807" s="144" t="s">
        <v>449</v>
      </c>
      <c r="H807" s="144" t="n">
        <v>95</v>
      </c>
      <c r="I807" s="144" t="s">
        <v>152</v>
      </c>
      <c r="J807" s="151" t="n">
        <v>45056.2718981481</v>
      </c>
      <c r="K807" s="1" t="n">
        <v>4</v>
      </c>
      <c r="L807" s="144" t="n">
        <v>95</v>
      </c>
      <c r="M807" s="1" t="n">
        <v>16</v>
      </c>
      <c r="N807" s="1" t="n">
        <v>16</v>
      </c>
      <c r="O807" s="149" t="n">
        <v>58</v>
      </c>
    </row>
    <row r="808" customFormat="false" ht="14.25" hidden="false" customHeight="false" outlineLevel="0" collapsed="false">
      <c r="A808" s="1" t="n">
        <v>122</v>
      </c>
      <c r="B808" s="1" t="s">
        <v>475</v>
      </c>
      <c r="C808" s="143" t="s">
        <v>52</v>
      </c>
      <c r="D808" s="143" t="s">
        <v>53</v>
      </c>
      <c r="E808" s="143" t="s">
        <v>474</v>
      </c>
      <c r="F808" s="144" t="n">
        <v>200025889203</v>
      </c>
      <c r="G808" s="144" t="s">
        <v>449</v>
      </c>
      <c r="H808" s="144" t="n">
        <v>95</v>
      </c>
      <c r="I808" s="144" t="s">
        <v>152</v>
      </c>
      <c r="J808" s="151" t="n">
        <v>45056.2720601852</v>
      </c>
      <c r="K808" s="1" t="n">
        <v>1</v>
      </c>
      <c r="L808" s="144" t="n">
        <v>95</v>
      </c>
      <c r="M808" s="1" t="n">
        <v>16</v>
      </c>
      <c r="N808" s="1" t="n">
        <v>16</v>
      </c>
      <c r="O808" s="149" t="n">
        <v>59</v>
      </c>
    </row>
    <row r="809" customFormat="false" ht="14.25" hidden="false" customHeight="false" outlineLevel="0" collapsed="false">
      <c r="A809" s="1" t="n">
        <v>123</v>
      </c>
      <c r="B809" s="1" t="s">
        <v>475</v>
      </c>
      <c r="C809" s="143" t="s">
        <v>52</v>
      </c>
      <c r="D809" s="143" t="s">
        <v>53</v>
      </c>
      <c r="E809" s="143" t="s">
        <v>474</v>
      </c>
      <c r="F809" s="144" t="n">
        <v>200025889203</v>
      </c>
      <c r="G809" s="144" t="s">
        <v>449</v>
      </c>
      <c r="H809" s="144" t="n">
        <v>95</v>
      </c>
      <c r="I809" s="144" t="s">
        <v>152</v>
      </c>
      <c r="J809" s="151" t="n">
        <v>45056.2722106481</v>
      </c>
      <c r="K809" s="1" t="n">
        <v>3</v>
      </c>
      <c r="L809" s="144" t="n">
        <v>95</v>
      </c>
      <c r="M809" s="1" t="n">
        <v>16</v>
      </c>
      <c r="N809" s="1" t="n">
        <v>16</v>
      </c>
      <c r="O809" s="149" t="n">
        <v>60</v>
      </c>
    </row>
    <row r="810" customFormat="false" ht="14.25" hidden="false" customHeight="false" outlineLevel="0" collapsed="false">
      <c r="A810" s="1" t="n">
        <v>124</v>
      </c>
      <c r="B810" s="1" t="s">
        <v>475</v>
      </c>
      <c r="C810" s="143" t="s">
        <v>52</v>
      </c>
      <c r="D810" s="143" t="s">
        <v>53</v>
      </c>
      <c r="E810" s="143" t="s">
        <v>474</v>
      </c>
      <c r="F810" s="144" t="n">
        <v>200025889203</v>
      </c>
      <c r="G810" s="144" t="s">
        <v>449</v>
      </c>
      <c r="H810" s="144" t="n">
        <v>95</v>
      </c>
      <c r="I810" s="144" t="s">
        <v>152</v>
      </c>
      <c r="J810" s="151" t="n">
        <v>45056.2724768519</v>
      </c>
      <c r="K810" s="1" t="n">
        <v>1</v>
      </c>
      <c r="L810" s="144" t="n">
        <v>95</v>
      </c>
      <c r="M810" s="1" t="n">
        <v>16</v>
      </c>
      <c r="N810" s="1" t="n">
        <v>16</v>
      </c>
      <c r="O810" s="149" t="n">
        <v>61</v>
      </c>
    </row>
    <row r="811" customFormat="false" ht="14.25" hidden="false" customHeight="false" outlineLevel="0" collapsed="false">
      <c r="A811" s="1" t="n">
        <v>125</v>
      </c>
      <c r="B811" s="1" t="s">
        <v>475</v>
      </c>
      <c r="C811" s="143" t="s">
        <v>52</v>
      </c>
      <c r="D811" s="143" t="s">
        <v>53</v>
      </c>
      <c r="E811" s="143" t="s">
        <v>474</v>
      </c>
      <c r="F811" s="144" t="n">
        <v>200025889203</v>
      </c>
      <c r="G811" s="144" t="s">
        <v>449</v>
      </c>
      <c r="H811" s="144" t="n">
        <v>95</v>
      </c>
      <c r="I811" s="144" t="s">
        <v>152</v>
      </c>
      <c r="J811" s="151" t="n">
        <v>45056.2726388889</v>
      </c>
      <c r="K811" s="1" t="n">
        <v>3</v>
      </c>
      <c r="L811" s="144" t="n">
        <v>95</v>
      </c>
      <c r="M811" s="1" t="n">
        <v>16</v>
      </c>
      <c r="N811" s="1" t="n">
        <v>16</v>
      </c>
      <c r="O811" s="149" t="n">
        <v>62</v>
      </c>
    </row>
    <row r="812" customFormat="false" ht="14.25" hidden="false" customHeight="false" outlineLevel="0" collapsed="false">
      <c r="A812" s="1" t="n">
        <v>126</v>
      </c>
      <c r="B812" s="1" t="s">
        <v>475</v>
      </c>
      <c r="C812" s="143" t="s">
        <v>52</v>
      </c>
      <c r="D812" s="143" t="s">
        <v>53</v>
      </c>
      <c r="E812" s="143" t="s">
        <v>474</v>
      </c>
      <c r="F812" s="144" t="n">
        <v>200025889203</v>
      </c>
      <c r="G812" s="144" t="s">
        <v>449</v>
      </c>
      <c r="H812" s="144" t="n">
        <v>95</v>
      </c>
      <c r="I812" s="144" t="s">
        <v>152</v>
      </c>
      <c r="J812" s="151" t="n">
        <v>45056.273587963</v>
      </c>
      <c r="K812" s="1" t="n">
        <v>4</v>
      </c>
      <c r="L812" s="144" t="n">
        <v>95</v>
      </c>
      <c r="M812" s="1" t="n">
        <v>16</v>
      </c>
      <c r="N812" s="1" t="n">
        <v>16</v>
      </c>
      <c r="O812" s="149" t="n">
        <v>63</v>
      </c>
    </row>
    <row r="813" customFormat="false" ht="14.25" hidden="false" customHeight="false" outlineLevel="0" collapsed="false">
      <c r="A813" s="1" t="n">
        <v>127</v>
      </c>
      <c r="B813" s="1" t="s">
        <v>475</v>
      </c>
      <c r="C813" s="143" t="s">
        <v>52</v>
      </c>
      <c r="D813" s="143" t="s">
        <v>53</v>
      </c>
      <c r="E813" s="143" t="s">
        <v>474</v>
      </c>
      <c r="F813" s="144" t="n">
        <v>200025889203</v>
      </c>
      <c r="G813" s="144" t="s">
        <v>449</v>
      </c>
      <c r="H813" s="144" t="n">
        <v>95</v>
      </c>
      <c r="I813" s="144" t="s">
        <v>152</v>
      </c>
      <c r="J813" s="151" t="n">
        <v>45056.2744560185</v>
      </c>
      <c r="K813" s="1" t="n">
        <v>1</v>
      </c>
      <c r="L813" s="144" t="n">
        <v>95</v>
      </c>
      <c r="M813" s="1" t="n">
        <v>16</v>
      </c>
      <c r="N813" s="1" t="n">
        <v>16</v>
      </c>
      <c r="O813" s="149" t="n">
        <v>64</v>
      </c>
    </row>
    <row r="814" customFormat="false" ht="14.25" hidden="false" customHeight="false" outlineLevel="0" collapsed="false">
      <c r="A814" s="1" t="n">
        <v>128</v>
      </c>
      <c r="B814" s="1" t="s">
        <v>475</v>
      </c>
      <c r="C814" s="143" t="s">
        <v>52</v>
      </c>
      <c r="D814" s="143" t="s">
        <v>53</v>
      </c>
      <c r="E814" s="143" t="s">
        <v>474</v>
      </c>
      <c r="F814" s="144" t="n">
        <v>200025889203</v>
      </c>
      <c r="G814" s="144" t="s">
        <v>449</v>
      </c>
      <c r="H814" s="144" t="n">
        <v>95</v>
      </c>
      <c r="I814" s="144" t="s">
        <v>152</v>
      </c>
      <c r="J814" s="151" t="n">
        <v>45056.274525463</v>
      </c>
      <c r="K814" s="1" t="n">
        <v>3</v>
      </c>
      <c r="L814" s="144" t="n">
        <v>95</v>
      </c>
      <c r="M814" s="1" t="n">
        <v>16</v>
      </c>
      <c r="N814" s="1" t="n">
        <v>16</v>
      </c>
      <c r="O814" s="149" t="n">
        <v>65</v>
      </c>
    </row>
    <row r="815" customFormat="false" ht="14.25" hidden="false" customHeight="false" outlineLevel="0" collapsed="false">
      <c r="A815" s="1" t="n">
        <v>141</v>
      </c>
      <c r="B815" s="1" t="s">
        <v>473</v>
      </c>
      <c r="C815" s="143" t="n">
        <v>11490</v>
      </c>
      <c r="D815" s="143" t="s">
        <v>65</v>
      </c>
      <c r="E815" s="143" t="s">
        <v>474</v>
      </c>
      <c r="F815" s="144" t="n">
        <v>200025889203</v>
      </c>
      <c r="G815" s="144" t="s">
        <v>449</v>
      </c>
      <c r="H815" s="144" t="n">
        <v>95</v>
      </c>
      <c r="I815" s="144" t="s">
        <v>152</v>
      </c>
      <c r="J815" s="151" t="n">
        <v>45056.2776736111</v>
      </c>
      <c r="K815" s="1" t="n">
        <v>0</v>
      </c>
      <c r="L815" s="144" t="n">
        <v>95</v>
      </c>
      <c r="M815" s="1" t="n">
        <v>16</v>
      </c>
      <c r="N815" s="1" t="n">
        <v>16</v>
      </c>
      <c r="O815" s="149" t="n">
        <v>66</v>
      </c>
    </row>
    <row r="816" customFormat="false" ht="14.25" hidden="false" customHeight="false" outlineLevel="0" collapsed="false">
      <c r="A816" s="1" t="n">
        <v>142</v>
      </c>
      <c r="B816" s="1" t="s">
        <v>473</v>
      </c>
      <c r="C816" s="143" t="n">
        <v>11490</v>
      </c>
      <c r="D816" s="143" t="s">
        <v>65</v>
      </c>
      <c r="E816" s="143" t="s">
        <v>474</v>
      </c>
      <c r="F816" s="144" t="n">
        <v>200025889203</v>
      </c>
      <c r="G816" s="144" t="s">
        <v>449</v>
      </c>
      <c r="H816" s="144" t="n">
        <v>95</v>
      </c>
      <c r="I816" s="144" t="s">
        <v>152</v>
      </c>
      <c r="J816" s="151" t="n">
        <v>45056.2778472222</v>
      </c>
      <c r="K816" s="1" t="n">
        <v>1</v>
      </c>
      <c r="L816" s="144" t="n">
        <v>95</v>
      </c>
      <c r="M816" s="1" t="n">
        <v>16</v>
      </c>
      <c r="N816" s="1" t="n">
        <v>16</v>
      </c>
      <c r="O816" s="149" t="n">
        <v>67</v>
      </c>
    </row>
    <row r="817" customFormat="false" ht="14.25" hidden="false" customHeight="false" outlineLevel="0" collapsed="false">
      <c r="A817" s="1" t="n">
        <v>143</v>
      </c>
      <c r="B817" s="1" t="s">
        <v>473</v>
      </c>
      <c r="C817" s="143" t="n">
        <v>11490</v>
      </c>
      <c r="D817" s="143" t="s">
        <v>65</v>
      </c>
      <c r="E817" s="143" t="s">
        <v>474</v>
      </c>
      <c r="F817" s="144" t="s">
        <v>494</v>
      </c>
      <c r="G817" s="144" t="s">
        <v>449</v>
      </c>
      <c r="H817" s="144" t="n">
        <v>95</v>
      </c>
      <c r="I817" s="144" t="s">
        <v>152</v>
      </c>
      <c r="J817" s="151" t="n">
        <v>45056.2780092593</v>
      </c>
      <c r="K817" s="1" t="n">
        <v>2</v>
      </c>
      <c r="L817" s="144" t="n">
        <v>95</v>
      </c>
      <c r="M817" s="1" t="n">
        <v>16</v>
      </c>
      <c r="N817" s="1" t="n">
        <v>16</v>
      </c>
      <c r="O817" s="149" t="n">
        <v>68</v>
      </c>
    </row>
    <row r="818" customFormat="false" ht="14.25" hidden="false" customHeight="false" outlineLevel="0" collapsed="false">
      <c r="A818" s="1" t="n">
        <v>144</v>
      </c>
      <c r="B818" s="1" t="s">
        <v>473</v>
      </c>
      <c r="C818" s="143" t="n">
        <v>11490</v>
      </c>
      <c r="D818" s="143" t="s">
        <v>65</v>
      </c>
      <c r="E818" s="143" t="s">
        <v>474</v>
      </c>
      <c r="F818" s="144" t="n">
        <v>200025889203</v>
      </c>
      <c r="G818" s="144" t="s">
        <v>449</v>
      </c>
      <c r="H818" s="144" t="n">
        <v>95</v>
      </c>
      <c r="I818" s="144" t="s">
        <v>152</v>
      </c>
      <c r="J818" s="151" t="n">
        <v>45056.2803819444</v>
      </c>
      <c r="K818" s="1" t="n">
        <v>1</v>
      </c>
      <c r="L818" s="144" t="n">
        <v>95</v>
      </c>
      <c r="M818" s="1" t="n">
        <v>16</v>
      </c>
      <c r="N818" s="1" t="n">
        <v>16</v>
      </c>
      <c r="O818" s="149" t="n">
        <v>69</v>
      </c>
    </row>
    <row r="819" customFormat="false" ht="14.25" hidden="false" customHeight="false" outlineLevel="0" collapsed="false">
      <c r="A819" s="1" t="n">
        <v>145</v>
      </c>
      <c r="B819" s="1" t="s">
        <v>473</v>
      </c>
      <c r="C819" s="143" t="n">
        <v>11490</v>
      </c>
      <c r="D819" s="143" t="s">
        <v>65</v>
      </c>
      <c r="E819" s="143" t="s">
        <v>474</v>
      </c>
      <c r="F819" s="144" t="n">
        <v>200025889203</v>
      </c>
      <c r="G819" s="144" t="s">
        <v>449</v>
      </c>
      <c r="H819" s="144" t="n">
        <v>95</v>
      </c>
      <c r="I819" s="144" t="s">
        <v>152</v>
      </c>
      <c r="J819" s="151" t="n">
        <v>45056.2810416667</v>
      </c>
      <c r="K819" s="1" t="n">
        <v>1</v>
      </c>
      <c r="L819" s="144" t="n">
        <v>95</v>
      </c>
      <c r="M819" s="1" t="n">
        <v>16</v>
      </c>
      <c r="N819" s="1" t="n">
        <v>16</v>
      </c>
      <c r="O819" s="149" t="n">
        <v>70</v>
      </c>
    </row>
    <row r="820" customFormat="false" ht="14.25" hidden="false" customHeight="false" outlineLevel="0" collapsed="false">
      <c r="A820" s="1" t="n">
        <v>147</v>
      </c>
      <c r="B820" s="1" t="s">
        <v>473</v>
      </c>
      <c r="C820" s="143" t="n">
        <v>11490</v>
      </c>
      <c r="D820" s="143" t="s">
        <v>65</v>
      </c>
      <c r="E820" s="143" t="s">
        <v>474</v>
      </c>
      <c r="F820" s="144" t="n">
        <v>200025889203</v>
      </c>
      <c r="G820" s="144" t="s">
        <v>449</v>
      </c>
      <c r="H820" s="144" t="n">
        <v>95</v>
      </c>
      <c r="I820" s="144" t="s">
        <v>152</v>
      </c>
      <c r="J820" s="151" t="n">
        <v>45056.2814351852</v>
      </c>
      <c r="K820" s="1" t="n">
        <v>2</v>
      </c>
      <c r="L820" s="144" t="n">
        <v>95</v>
      </c>
      <c r="M820" s="1" t="n">
        <v>16</v>
      </c>
      <c r="N820" s="1" t="n">
        <v>16</v>
      </c>
      <c r="O820" s="149" t="n">
        <v>71</v>
      </c>
    </row>
    <row r="821" customFormat="false" ht="14.25" hidden="false" customHeight="false" outlineLevel="0" collapsed="false">
      <c r="A821" s="1" t="n">
        <v>148</v>
      </c>
      <c r="B821" s="1" t="s">
        <v>473</v>
      </c>
      <c r="C821" s="143" t="n">
        <v>11490</v>
      </c>
      <c r="D821" s="143" t="s">
        <v>65</v>
      </c>
      <c r="E821" s="143" t="s">
        <v>474</v>
      </c>
      <c r="F821" s="144" t="n">
        <v>200025889203</v>
      </c>
      <c r="G821" s="144" t="s">
        <v>449</v>
      </c>
      <c r="H821" s="144" t="n">
        <v>95</v>
      </c>
      <c r="I821" s="144" t="s">
        <v>152</v>
      </c>
      <c r="J821" s="151" t="n">
        <v>45056.2818402778</v>
      </c>
      <c r="K821" s="1" t="n">
        <v>1</v>
      </c>
      <c r="L821" s="144" t="n">
        <v>95</v>
      </c>
      <c r="M821" s="1" t="n">
        <v>16</v>
      </c>
      <c r="N821" s="1" t="n">
        <v>16</v>
      </c>
      <c r="O821" s="149" t="n">
        <v>72</v>
      </c>
    </row>
    <row r="822" customFormat="false" ht="14.25" hidden="false" customHeight="false" outlineLevel="0" collapsed="false">
      <c r="A822" s="1" t="n">
        <v>149</v>
      </c>
      <c r="B822" s="1" t="s">
        <v>473</v>
      </c>
      <c r="C822" s="143" t="n">
        <v>11490</v>
      </c>
      <c r="D822" s="143" t="s">
        <v>65</v>
      </c>
      <c r="E822" s="143" t="s">
        <v>474</v>
      </c>
      <c r="F822" s="144" t="n">
        <v>200025889203</v>
      </c>
      <c r="G822" s="144" t="s">
        <v>449</v>
      </c>
      <c r="H822" s="144" t="n">
        <v>95</v>
      </c>
      <c r="I822" s="144" t="s">
        <v>152</v>
      </c>
      <c r="J822" s="151" t="n">
        <v>45056.2819791667</v>
      </c>
      <c r="K822" s="1" t="n">
        <v>1</v>
      </c>
      <c r="L822" s="144" t="n">
        <v>95</v>
      </c>
      <c r="M822" s="1" t="n">
        <v>16</v>
      </c>
      <c r="N822" s="1" t="n">
        <v>16</v>
      </c>
      <c r="O822" s="149" t="n">
        <v>73</v>
      </c>
    </row>
    <row r="823" customFormat="false" ht="14.25" hidden="false" customHeight="false" outlineLevel="0" collapsed="false">
      <c r="A823" s="1" t="n">
        <v>150</v>
      </c>
      <c r="B823" s="1" t="s">
        <v>473</v>
      </c>
      <c r="C823" s="143" t="n">
        <v>11490</v>
      </c>
      <c r="D823" s="143" t="s">
        <v>65</v>
      </c>
      <c r="E823" s="143" t="s">
        <v>474</v>
      </c>
      <c r="F823" s="144" t="n">
        <v>200025889203</v>
      </c>
      <c r="G823" s="144" t="s">
        <v>449</v>
      </c>
      <c r="H823" s="144" t="n">
        <v>95</v>
      </c>
      <c r="I823" s="144" t="s">
        <v>152</v>
      </c>
      <c r="J823" s="151" t="n">
        <v>45056.2856134259</v>
      </c>
      <c r="K823" s="1" t="n">
        <v>1</v>
      </c>
      <c r="L823" s="144" t="n">
        <v>95</v>
      </c>
      <c r="M823" s="1" t="n">
        <v>16</v>
      </c>
      <c r="N823" s="1" t="n">
        <v>16</v>
      </c>
      <c r="O823" s="149" t="n">
        <v>74</v>
      </c>
    </row>
    <row r="824" customFormat="false" ht="14.25" hidden="false" customHeight="false" outlineLevel="0" collapsed="false">
      <c r="A824" s="1" t="n">
        <v>151</v>
      </c>
      <c r="B824" s="1" t="s">
        <v>473</v>
      </c>
      <c r="C824" s="143" t="n">
        <v>11490</v>
      </c>
      <c r="D824" s="143" t="s">
        <v>65</v>
      </c>
      <c r="E824" s="143" t="s">
        <v>474</v>
      </c>
      <c r="F824" s="144" t="n">
        <v>200025889203</v>
      </c>
      <c r="G824" s="144" t="s">
        <v>449</v>
      </c>
      <c r="H824" s="144" t="n">
        <v>95</v>
      </c>
      <c r="I824" s="144" t="s">
        <v>152</v>
      </c>
      <c r="J824" s="151" t="n">
        <v>45056.2860763889</v>
      </c>
      <c r="K824" s="1" t="n">
        <v>3</v>
      </c>
      <c r="L824" s="144" t="n">
        <v>95</v>
      </c>
      <c r="M824" s="1" t="n">
        <v>16</v>
      </c>
      <c r="N824" s="1" t="n">
        <v>16</v>
      </c>
      <c r="O824" s="149" t="n">
        <v>75</v>
      </c>
    </row>
    <row r="825" customFormat="false" ht="14.25" hidden="false" customHeight="false" outlineLevel="0" collapsed="false">
      <c r="A825" s="1" t="n">
        <v>152</v>
      </c>
      <c r="B825" s="1" t="s">
        <v>473</v>
      </c>
      <c r="C825" s="143" t="n">
        <v>11490</v>
      </c>
      <c r="D825" s="143" t="s">
        <v>65</v>
      </c>
      <c r="E825" s="143" t="s">
        <v>474</v>
      </c>
      <c r="F825" s="144" t="n">
        <v>200025889203</v>
      </c>
      <c r="G825" s="144" t="s">
        <v>449</v>
      </c>
      <c r="H825" s="144" t="n">
        <v>95</v>
      </c>
      <c r="I825" s="144" t="s">
        <v>152</v>
      </c>
      <c r="J825" s="151" t="n">
        <v>45056.2873611111</v>
      </c>
      <c r="K825" s="1" t="n">
        <v>4</v>
      </c>
      <c r="L825" s="144" t="n">
        <v>95</v>
      </c>
      <c r="M825" s="1" t="n">
        <v>16</v>
      </c>
      <c r="N825" s="1" t="n">
        <v>16</v>
      </c>
      <c r="O825" s="149" t="n">
        <v>76</v>
      </c>
    </row>
    <row r="826" customFormat="false" ht="14.25" hidden="false" customHeight="false" outlineLevel="0" collapsed="false">
      <c r="A826" s="1" t="n">
        <v>153</v>
      </c>
      <c r="B826" s="1" t="s">
        <v>473</v>
      </c>
      <c r="C826" s="143" t="n">
        <v>11490</v>
      </c>
      <c r="D826" s="143" t="s">
        <v>65</v>
      </c>
      <c r="E826" s="143" t="s">
        <v>474</v>
      </c>
      <c r="F826" s="144" t="n">
        <v>200025889203</v>
      </c>
      <c r="G826" s="144" t="s">
        <v>449</v>
      </c>
      <c r="H826" s="144" t="n">
        <v>95</v>
      </c>
      <c r="I826" s="144" t="s">
        <v>152</v>
      </c>
      <c r="J826" s="151" t="n">
        <v>45056.2900810185</v>
      </c>
      <c r="K826" s="1" t="n">
        <v>1</v>
      </c>
      <c r="L826" s="144" t="n">
        <v>95</v>
      </c>
      <c r="M826" s="1" t="n">
        <v>16</v>
      </c>
      <c r="N826" s="1" t="n">
        <v>16</v>
      </c>
      <c r="O826" s="149" t="n">
        <v>77</v>
      </c>
    </row>
    <row r="827" customFormat="false" ht="14.25" hidden="false" customHeight="false" outlineLevel="0" collapsed="false">
      <c r="A827" s="1" t="n">
        <v>154</v>
      </c>
      <c r="B827" s="1" t="s">
        <v>473</v>
      </c>
      <c r="C827" s="143" t="n">
        <v>11490</v>
      </c>
      <c r="D827" s="143" t="s">
        <v>65</v>
      </c>
      <c r="E827" s="143" t="s">
        <v>474</v>
      </c>
      <c r="F827" s="144" t="n">
        <v>200025889203</v>
      </c>
      <c r="G827" s="144" t="s">
        <v>449</v>
      </c>
      <c r="H827" s="144" t="n">
        <v>95</v>
      </c>
      <c r="I827" s="144" t="s">
        <v>152</v>
      </c>
      <c r="J827" s="151" t="n">
        <v>45056.290474537</v>
      </c>
      <c r="K827" s="1" t="n">
        <v>0</v>
      </c>
      <c r="L827" s="144" t="n">
        <v>95</v>
      </c>
      <c r="M827" s="1" t="n">
        <v>16</v>
      </c>
      <c r="N827" s="1" t="n">
        <v>16</v>
      </c>
      <c r="O827" s="149" t="n">
        <v>78</v>
      </c>
    </row>
    <row r="828" customFormat="false" ht="14.25" hidden="false" customHeight="false" outlineLevel="0" collapsed="false">
      <c r="A828" s="1" t="n">
        <v>155</v>
      </c>
      <c r="B828" s="1" t="s">
        <v>473</v>
      </c>
      <c r="C828" s="143" t="n">
        <v>11490</v>
      </c>
      <c r="D828" s="143" t="s">
        <v>65</v>
      </c>
      <c r="E828" s="143" t="s">
        <v>474</v>
      </c>
      <c r="F828" s="144" t="n">
        <v>200025889203</v>
      </c>
      <c r="G828" s="144" t="s">
        <v>449</v>
      </c>
      <c r="H828" s="144" t="n">
        <v>95</v>
      </c>
      <c r="I828" s="144" t="s">
        <v>152</v>
      </c>
      <c r="J828" s="151" t="n">
        <v>45056.2910069445</v>
      </c>
      <c r="K828" s="1" t="n">
        <v>2</v>
      </c>
      <c r="L828" s="144" t="n">
        <v>95</v>
      </c>
      <c r="M828" s="1" t="n">
        <v>16</v>
      </c>
      <c r="N828" s="1" t="n">
        <v>16</v>
      </c>
      <c r="O828" s="149" t="n">
        <v>79</v>
      </c>
    </row>
    <row r="829" customFormat="false" ht="14.25" hidden="false" customHeight="false" outlineLevel="0" collapsed="false">
      <c r="A829" s="1" t="n">
        <v>156</v>
      </c>
      <c r="B829" s="1" t="s">
        <v>473</v>
      </c>
      <c r="C829" s="143" t="n">
        <v>11490</v>
      </c>
      <c r="D829" s="143" t="s">
        <v>65</v>
      </c>
      <c r="E829" s="143" t="s">
        <v>474</v>
      </c>
      <c r="F829" s="144" t="n">
        <v>200025889203</v>
      </c>
      <c r="G829" s="144" t="s">
        <v>449</v>
      </c>
      <c r="H829" s="144" t="n">
        <v>95</v>
      </c>
      <c r="I829" s="144" t="s">
        <v>152</v>
      </c>
      <c r="J829" s="151" t="n">
        <v>45056.291099537</v>
      </c>
      <c r="K829" s="1" t="n">
        <v>1</v>
      </c>
      <c r="L829" s="144" t="n">
        <v>95</v>
      </c>
      <c r="M829" s="1" t="n">
        <v>16</v>
      </c>
      <c r="N829" s="1" t="n">
        <v>16</v>
      </c>
      <c r="O829" s="149" t="n">
        <v>80</v>
      </c>
    </row>
    <row r="830" customFormat="false" ht="14.25" hidden="false" customHeight="false" outlineLevel="0" collapsed="false">
      <c r="A830" s="1" t="n">
        <v>157</v>
      </c>
      <c r="B830" s="1" t="s">
        <v>473</v>
      </c>
      <c r="C830" s="143" t="n">
        <v>11490</v>
      </c>
      <c r="D830" s="143" t="s">
        <v>65</v>
      </c>
      <c r="E830" s="143" t="s">
        <v>474</v>
      </c>
      <c r="F830" s="144" t="n">
        <v>200025889203</v>
      </c>
      <c r="G830" s="144" t="s">
        <v>449</v>
      </c>
      <c r="H830" s="144" t="n">
        <v>95</v>
      </c>
      <c r="I830" s="144" t="s">
        <v>152</v>
      </c>
      <c r="J830" s="151" t="n">
        <v>45056.2912384259</v>
      </c>
      <c r="K830" s="1" t="n">
        <v>1</v>
      </c>
      <c r="L830" s="144" t="n">
        <v>95</v>
      </c>
      <c r="M830" s="1" t="n">
        <v>16</v>
      </c>
      <c r="N830" s="1" t="n">
        <v>16</v>
      </c>
      <c r="O830" s="149" t="n">
        <v>81</v>
      </c>
    </row>
    <row r="831" customFormat="false" ht="14.25" hidden="false" customHeight="false" outlineLevel="0" collapsed="false">
      <c r="A831" s="1" t="n">
        <v>76</v>
      </c>
      <c r="B831" s="1" t="s">
        <v>477</v>
      </c>
      <c r="C831" s="143" t="n">
        <v>91601</v>
      </c>
      <c r="D831" s="143" t="s">
        <v>64</v>
      </c>
      <c r="E831" s="143" t="s">
        <v>474</v>
      </c>
      <c r="F831" s="144" t="n">
        <v>200025889203</v>
      </c>
      <c r="G831" s="144" t="s">
        <v>449</v>
      </c>
      <c r="H831" s="144" t="n">
        <v>95</v>
      </c>
      <c r="I831" s="144" t="s">
        <v>152</v>
      </c>
      <c r="J831" s="152" t="n">
        <v>45056.510150463</v>
      </c>
      <c r="K831" s="1" t="n">
        <v>2</v>
      </c>
      <c r="L831" s="144" t="n">
        <v>95</v>
      </c>
      <c r="M831" s="1" t="n">
        <v>16</v>
      </c>
      <c r="N831" s="1" t="n">
        <v>16</v>
      </c>
      <c r="O831" s="149" t="n">
        <v>82</v>
      </c>
    </row>
    <row r="832" customFormat="false" ht="14.25" hidden="false" customHeight="false" outlineLevel="0" collapsed="false">
      <c r="A832" s="1" t="n">
        <v>77</v>
      </c>
      <c r="B832" s="1" t="s">
        <v>477</v>
      </c>
      <c r="C832" s="143" t="n">
        <v>91601</v>
      </c>
      <c r="D832" s="143" t="s">
        <v>64</v>
      </c>
      <c r="E832" s="143" t="s">
        <v>474</v>
      </c>
      <c r="F832" s="144" t="n">
        <v>200025889203</v>
      </c>
      <c r="G832" s="144" t="s">
        <v>449</v>
      </c>
      <c r="H832" s="144" t="n">
        <v>95</v>
      </c>
      <c r="I832" s="144" t="s">
        <v>152</v>
      </c>
      <c r="J832" s="152" t="n">
        <v>45056.5103703704</v>
      </c>
      <c r="K832" s="1" t="n">
        <v>1</v>
      </c>
      <c r="L832" s="144" t="n">
        <v>95</v>
      </c>
      <c r="M832" s="1" t="n">
        <v>16</v>
      </c>
      <c r="N832" s="1" t="n">
        <v>16</v>
      </c>
      <c r="O832" s="149" t="n">
        <v>83</v>
      </c>
    </row>
    <row r="833" customFormat="false" ht="14.25" hidden="false" customHeight="false" outlineLevel="0" collapsed="false">
      <c r="A833" s="1" t="n">
        <v>78</v>
      </c>
      <c r="B833" s="1" t="s">
        <v>477</v>
      </c>
      <c r="C833" s="143" t="n">
        <v>91601</v>
      </c>
      <c r="D833" s="143" t="s">
        <v>64</v>
      </c>
      <c r="E833" s="143" t="s">
        <v>474</v>
      </c>
      <c r="F833" s="144" t="n">
        <v>200025889203</v>
      </c>
      <c r="G833" s="144" t="s">
        <v>449</v>
      </c>
      <c r="H833" s="144" t="n">
        <v>95</v>
      </c>
      <c r="I833" s="144" t="s">
        <v>152</v>
      </c>
      <c r="J833" s="152" t="n">
        <v>45056.516087963</v>
      </c>
      <c r="K833" s="1" t="n">
        <v>1</v>
      </c>
      <c r="L833" s="144" t="n">
        <v>95</v>
      </c>
      <c r="M833" s="1" t="n">
        <v>16</v>
      </c>
      <c r="N833" s="1" t="n">
        <v>16</v>
      </c>
      <c r="O833" s="149" t="n">
        <v>84</v>
      </c>
    </row>
    <row r="834" customFormat="false" ht="14.25" hidden="false" customHeight="false" outlineLevel="0" collapsed="false">
      <c r="A834" s="1" t="n">
        <v>79</v>
      </c>
      <c r="B834" s="1" t="s">
        <v>477</v>
      </c>
      <c r="C834" s="143" t="n">
        <v>91601</v>
      </c>
      <c r="D834" s="143" t="s">
        <v>64</v>
      </c>
      <c r="E834" s="143" t="s">
        <v>474</v>
      </c>
      <c r="F834" s="144" t="n">
        <v>200025889203</v>
      </c>
      <c r="G834" s="144" t="s">
        <v>449</v>
      </c>
      <c r="H834" s="144" t="n">
        <v>95</v>
      </c>
      <c r="I834" s="144" t="s">
        <v>152</v>
      </c>
      <c r="J834" s="152" t="n">
        <v>45056.5168055556</v>
      </c>
      <c r="K834" s="1" t="n">
        <v>1</v>
      </c>
      <c r="L834" s="144" t="n">
        <v>95</v>
      </c>
      <c r="M834" s="1" t="n">
        <v>16</v>
      </c>
      <c r="N834" s="1" t="n">
        <v>16</v>
      </c>
      <c r="O834" s="149" t="n">
        <v>85</v>
      </c>
    </row>
    <row r="835" customFormat="false" ht="14.25" hidden="false" customHeight="false" outlineLevel="0" collapsed="false">
      <c r="A835" s="1" t="n">
        <v>80</v>
      </c>
      <c r="B835" s="1" t="s">
        <v>477</v>
      </c>
      <c r="C835" s="143" t="n">
        <v>91601</v>
      </c>
      <c r="D835" s="143" t="s">
        <v>64</v>
      </c>
      <c r="E835" s="143" t="s">
        <v>474</v>
      </c>
      <c r="F835" s="144" t="n">
        <v>200025889203</v>
      </c>
      <c r="G835" s="144" t="s">
        <v>449</v>
      </c>
      <c r="H835" s="144" t="n">
        <v>95</v>
      </c>
      <c r="I835" s="144" t="s">
        <v>152</v>
      </c>
      <c r="J835" s="152" t="n">
        <v>45056.517337963</v>
      </c>
      <c r="K835" s="1" t="n">
        <v>2</v>
      </c>
      <c r="L835" s="144" t="n">
        <v>95</v>
      </c>
      <c r="M835" s="1" t="n">
        <v>16</v>
      </c>
      <c r="N835" s="1" t="n">
        <v>16</v>
      </c>
      <c r="O835" s="149" t="n">
        <v>86</v>
      </c>
    </row>
    <row r="836" customFormat="false" ht="14.25" hidden="false" customHeight="false" outlineLevel="0" collapsed="false">
      <c r="A836" s="1" t="n">
        <v>81</v>
      </c>
      <c r="B836" s="1" t="s">
        <v>477</v>
      </c>
      <c r="C836" s="143" t="n">
        <v>91601</v>
      </c>
      <c r="D836" s="143" t="s">
        <v>64</v>
      </c>
      <c r="E836" s="143" t="s">
        <v>474</v>
      </c>
      <c r="F836" s="144" t="n">
        <v>200025889203</v>
      </c>
      <c r="G836" s="144" t="s">
        <v>449</v>
      </c>
      <c r="H836" s="144" t="n">
        <v>95</v>
      </c>
      <c r="I836" s="144" t="s">
        <v>152</v>
      </c>
      <c r="J836" s="152" t="n">
        <v>45056.5173611111</v>
      </c>
      <c r="K836" s="1" t="n">
        <v>0</v>
      </c>
      <c r="L836" s="144" t="n">
        <v>95</v>
      </c>
      <c r="M836" s="1" t="n">
        <v>16</v>
      </c>
      <c r="N836" s="1" t="n">
        <v>16</v>
      </c>
      <c r="O836" s="149" t="n">
        <v>87</v>
      </c>
    </row>
    <row r="837" customFormat="false" ht="14.25" hidden="false" customHeight="false" outlineLevel="0" collapsed="false">
      <c r="A837" s="1" t="n">
        <v>82</v>
      </c>
      <c r="B837" s="1" t="s">
        <v>477</v>
      </c>
      <c r="C837" s="143" t="n">
        <v>91601</v>
      </c>
      <c r="D837" s="143" t="s">
        <v>64</v>
      </c>
      <c r="E837" s="143" t="s">
        <v>474</v>
      </c>
      <c r="F837" s="144" t="n">
        <v>200025889203</v>
      </c>
      <c r="G837" s="144" t="s">
        <v>449</v>
      </c>
      <c r="H837" s="144" t="n">
        <v>95</v>
      </c>
      <c r="I837" s="144" t="s">
        <v>152</v>
      </c>
      <c r="J837" s="152" t="n">
        <v>45056.5175115741</v>
      </c>
      <c r="K837" s="1" t="n">
        <v>1</v>
      </c>
      <c r="L837" s="144" t="n">
        <v>95</v>
      </c>
      <c r="M837" s="1" t="n">
        <v>16</v>
      </c>
      <c r="N837" s="1" t="n">
        <v>16</v>
      </c>
      <c r="O837" s="149" t="n">
        <v>88</v>
      </c>
    </row>
    <row r="838" customFormat="false" ht="14.25" hidden="false" customHeight="false" outlineLevel="0" collapsed="false">
      <c r="A838" s="1" t="n">
        <v>83</v>
      </c>
      <c r="B838" s="1" t="s">
        <v>477</v>
      </c>
      <c r="C838" s="143" t="n">
        <v>91601</v>
      </c>
      <c r="D838" s="143" t="s">
        <v>64</v>
      </c>
      <c r="E838" s="143" t="s">
        <v>474</v>
      </c>
      <c r="F838" s="144" t="n">
        <v>200025889203</v>
      </c>
      <c r="G838" s="144" t="s">
        <v>449</v>
      </c>
      <c r="H838" s="144" t="n">
        <v>95</v>
      </c>
      <c r="I838" s="144" t="s">
        <v>152</v>
      </c>
      <c r="J838" s="152" t="n">
        <v>45056.5178356482</v>
      </c>
      <c r="K838" s="1" t="n">
        <v>1</v>
      </c>
      <c r="L838" s="144" t="n">
        <v>95</v>
      </c>
      <c r="M838" s="1" t="n">
        <v>16</v>
      </c>
      <c r="N838" s="1" t="n">
        <v>16</v>
      </c>
      <c r="O838" s="149" t="n">
        <v>89</v>
      </c>
    </row>
    <row r="839" customFormat="false" ht="14.25" hidden="false" customHeight="false" outlineLevel="0" collapsed="false">
      <c r="A839" s="1" t="n">
        <v>84</v>
      </c>
      <c r="B839" s="1" t="s">
        <v>477</v>
      </c>
      <c r="C839" s="143" t="n">
        <v>91601</v>
      </c>
      <c r="D839" s="143" t="s">
        <v>64</v>
      </c>
      <c r="E839" s="143" t="s">
        <v>474</v>
      </c>
      <c r="F839" s="144" t="n">
        <v>200025889203</v>
      </c>
      <c r="G839" s="144" t="s">
        <v>449</v>
      </c>
      <c r="H839" s="144" t="n">
        <v>95</v>
      </c>
      <c r="I839" s="144" t="s">
        <v>152</v>
      </c>
      <c r="J839" s="152" t="n">
        <v>45056.5180787037</v>
      </c>
      <c r="K839" s="1" t="n">
        <v>1</v>
      </c>
      <c r="L839" s="144" t="n">
        <v>95</v>
      </c>
      <c r="M839" s="1" t="n">
        <v>16</v>
      </c>
      <c r="N839" s="1" t="n">
        <v>16</v>
      </c>
      <c r="O839" s="149" t="n">
        <v>90</v>
      </c>
    </row>
    <row r="840" customFormat="false" ht="14.25" hidden="false" customHeight="false" outlineLevel="0" collapsed="false">
      <c r="A840" s="1" t="n">
        <v>85</v>
      </c>
      <c r="B840" s="1" t="s">
        <v>477</v>
      </c>
      <c r="C840" s="143" t="n">
        <v>91601</v>
      </c>
      <c r="D840" s="143" t="s">
        <v>64</v>
      </c>
      <c r="E840" s="143" t="s">
        <v>474</v>
      </c>
      <c r="F840" s="144" t="n">
        <v>200025889203</v>
      </c>
      <c r="G840" s="144" t="s">
        <v>449</v>
      </c>
      <c r="H840" s="144" t="n">
        <v>95</v>
      </c>
      <c r="I840" s="144" t="s">
        <v>152</v>
      </c>
      <c r="J840" s="152" t="n">
        <v>45056.5182407407</v>
      </c>
      <c r="K840" s="1" t="n">
        <v>2</v>
      </c>
      <c r="L840" s="144" t="n">
        <v>95</v>
      </c>
      <c r="M840" s="1" t="n">
        <v>16</v>
      </c>
      <c r="N840" s="1" t="n">
        <v>16</v>
      </c>
      <c r="O840" s="149" t="n">
        <v>91</v>
      </c>
    </row>
    <row r="841" customFormat="false" ht="14.25" hidden="false" customHeight="false" outlineLevel="0" collapsed="false">
      <c r="A841" s="1" t="n">
        <v>86</v>
      </c>
      <c r="B841" s="1" t="s">
        <v>477</v>
      </c>
      <c r="C841" s="143" t="n">
        <v>91601</v>
      </c>
      <c r="D841" s="143" t="s">
        <v>64</v>
      </c>
      <c r="E841" s="143" t="s">
        <v>474</v>
      </c>
      <c r="F841" s="144" t="n">
        <v>200025889203</v>
      </c>
      <c r="G841" s="144" t="s">
        <v>449</v>
      </c>
      <c r="H841" s="144" t="n">
        <v>95</v>
      </c>
      <c r="I841" s="144" t="s">
        <v>152</v>
      </c>
      <c r="J841" s="152" t="n">
        <v>45056.5187615741</v>
      </c>
      <c r="K841" s="1" t="n">
        <v>1</v>
      </c>
      <c r="L841" s="144" t="n">
        <v>95</v>
      </c>
      <c r="M841" s="1" t="n">
        <v>16</v>
      </c>
      <c r="N841" s="1" t="n">
        <v>16</v>
      </c>
      <c r="O841" s="149" t="n">
        <v>92</v>
      </c>
    </row>
    <row r="842" customFormat="false" ht="14.25" hidden="false" customHeight="false" outlineLevel="0" collapsed="false">
      <c r="A842" s="1" t="n">
        <v>87</v>
      </c>
      <c r="B842" s="1" t="s">
        <v>477</v>
      </c>
      <c r="C842" s="143" t="n">
        <v>91601</v>
      </c>
      <c r="D842" s="143" t="s">
        <v>64</v>
      </c>
      <c r="E842" s="143" t="s">
        <v>474</v>
      </c>
      <c r="F842" s="144" t="n">
        <v>200025889203</v>
      </c>
      <c r="G842" s="144" t="s">
        <v>449</v>
      </c>
      <c r="H842" s="144" t="n">
        <v>95</v>
      </c>
      <c r="I842" s="144" t="s">
        <v>152</v>
      </c>
      <c r="J842" s="152" t="n">
        <v>45056.5188888889</v>
      </c>
      <c r="K842" s="1" t="n">
        <v>1</v>
      </c>
      <c r="L842" s="144" t="n">
        <v>95</v>
      </c>
      <c r="M842" s="1" t="n">
        <v>16</v>
      </c>
      <c r="N842" s="1" t="n">
        <v>16</v>
      </c>
      <c r="O842" s="149" t="n">
        <v>93</v>
      </c>
    </row>
    <row r="843" customFormat="false" ht="14.25" hidden="false" customHeight="false" outlineLevel="0" collapsed="false">
      <c r="A843" s="1" t="n">
        <v>88</v>
      </c>
      <c r="B843" s="1" t="s">
        <v>477</v>
      </c>
      <c r="C843" s="143" t="n">
        <v>91601</v>
      </c>
      <c r="D843" s="143" t="s">
        <v>64</v>
      </c>
      <c r="E843" s="143" t="s">
        <v>474</v>
      </c>
      <c r="F843" s="144" t="n">
        <v>200025889203</v>
      </c>
      <c r="G843" s="144" t="s">
        <v>449</v>
      </c>
      <c r="H843" s="144" t="n">
        <v>95</v>
      </c>
      <c r="I843" s="144" t="s">
        <v>152</v>
      </c>
      <c r="J843" s="152" t="n">
        <v>45056.5190509259</v>
      </c>
      <c r="K843" s="1" t="n">
        <v>2</v>
      </c>
      <c r="L843" s="144" t="n">
        <v>95</v>
      </c>
      <c r="M843" s="1" t="n">
        <v>16</v>
      </c>
      <c r="N843" s="1" t="n">
        <v>16</v>
      </c>
      <c r="O843" s="149" t="n">
        <v>94</v>
      </c>
    </row>
    <row r="844" customFormat="false" ht="14.25" hidden="false" customHeight="false" outlineLevel="0" collapsed="false">
      <c r="A844" s="1" t="n">
        <v>89</v>
      </c>
      <c r="B844" s="1" t="s">
        <v>477</v>
      </c>
      <c r="C844" s="143" t="n">
        <v>91601</v>
      </c>
      <c r="D844" s="143" t="s">
        <v>64</v>
      </c>
      <c r="E844" s="143" t="s">
        <v>474</v>
      </c>
      <c r="F844" s="144" t="n">
        <v>200025889203</v>
      </c>
      <c r="G844" s="144" t="s">
        <v>449</v>
      </c>
      <c r="H844" s="144" t="n">
        <v>95</v>
      </c>
      <c r="I844" s="144" t="s">
        <v>152</v>
      </c>
      <c r="J844" s="152" t="n">
        <v>45056.5207523148</v>
      </c>
      <c r="K844" s="1" t="n">
        <v>1</v>
      </c>
      <c r="L844" s="144" t="n">
        <v>95</v>
      </c>
      <c r="M844" s="1" t="n">
        <v>16</v>
      </c>
      <c r="N844" s="1" t="n">
        <v>16</v>
      </c>
      <c r="O844" s="149" t="n">
        <v>95</v>
      </c>
    </row>
    <row r="845" customFormat="false" ht="14.25" hidden="false" customHeight="false" outlineLevel="0" collapsed="false">
      <c r="A845" s="1" t="n">
        <v>91</v>
      </c>
      <c r="B845" s="1" t="s">
        <v>477</v>
      </c>
      <c r="C845" s="143" t="n">
        <v>91601</v>
      </c>
      <c r="D845" s="143" t="s">
        <v>64</v>
      </c>
      <c r="E845" s="143" t="s">
        <v>474</v>
      </c>
      <c r="F845" s="144" t="n">
        <v>200025889203</v>
      </c>
      <c r="G845" s="144" t="s">
        <v>449</v>
      </c>
      <c r="H845" s="144" t="n">
        <v>95</v>
      </c>
      <c r="I845" s="144" t="s">
        <v>152</v>
      </c>
      <c r="J845" s="152" t="n">
        <v>45056.5250694445</v>
      </c>
      <c r="K845" s="1" t="n">
        <v>4</v>
      </c>
      <c r="L845" s="144" t="n">
        <v>95</v>
      </c>
      <c r="M845" s="1" t="n">
        <v>16</v>
      </c>
      <c r="N845" s="1" t="n">
        <v>16</v>
      </c>
      <c r="O845" s="149" t="n">
        <v>96</v>
      </c>
    </row>
    <row r="846" customFormat="false" ht="14.25" hidden="false" customHeight="false" outlineLevel="0" collapsed="false">
      <c r="A846" s="1" t="n">
        <v>92</v>
      </c>
      <c r="B846" s="1" t="s">
        <v>477</v>
      </c>
      <c r="C846" s="143" t="n">
        <v>91601</v>
      </c>
      <c r="D846" s="143" t="s">
        <v>64</v>
      </c>
      <c r="E846" s="143" t="s">
        <v>474</v>
      </c>
      <c r="F846" s="144" t="n">
        <v>200025889203</v>
      </c>
      <c r="G846" s="144" t="s">
        <v>449</v>
      </c>
      <c r="H846" s="144" t="n">
        <v>95</v>
      </c>
      <c r="I846" s="144" t="s">
        <v>152</v>
      </c>
      <c r="J846" s="152" t="n">
        <v>45056.5254976852</v>
      </c>
      <c r="K846" s="1" t="n">
        <v>4</v>
      </c>
      <c r="L846" s="144" t="n">
        <v>95</v>
      </c>
      <c r="M846" s="1" t="n">
        <v>16</v>
      </c>
      <c r="N846" s="1" t="n">
        <v>16</v>
      </c>
      <c r="O846" s="149" t="n">
        <v>97</v>
      </c>
    </row>
    <row r="847" customFormat="false" ht="14.25" hidden="false" customHeight="false" outlineLevel="0" collapsed="false">
      <c r="A847" s="1" t="n">
        <v>93</v>
      </c>
      <c r="B847" s="1" t="s">
        <v>477</v>
      </c>
      <c r="C847" s="143" t="n">
        <v>91601</v>
      </c>
      <c r="D847" s="143" t="s">
        <v>64</v>
      </c>
      <c r="E847" s="143" t="s">
        <v>474</v>
      </c>
      <c r="F847" s="144" t="n">
        <v>200025889203</v>
      </c>
      <c r="G847" s="144" t="s">
        <v>449</v>
      </c>
      <c r="H847" s="144" t="n">
        <v>95</v>
      </c>
      <c r="I847" s="144" t="s">
        <v>152</v>
      </c>
      <c r="J847" s="152" t="n">
        <v>45056.5266087963</v>
      </c>
      <c r="K847" s="1" t="n">
        <v>3</v>
      </c>
      <c r="L847" s="144" t="n">
        <v>95</v>
      </c>
      <c r="M847" s="1" t="n">
        <v>16</v>
      </c>
      <c r="N847" s="1" t="n">
        <v>16</v>
      </c>
      <c r="O847" s="149" t="n">
        <v>98</v>
      </c>
    </row>
    <row r="848" customFormat="false" ht="14.25" hidden="false" customHeight="false" outlineLevel="0" collapsed="false">
      <c r="A848" s="1" t="n">
        <v>95</v>
      </c>
      <c r="B848" s="1" t="s">
        <v>477</v>
      </c>
      <c r="C848" s="143" t="n">
        <v>91601</v>
      </c>
      <c r="D848" s="143" t="s">
        <v>64</v>
      </c>
      <c r="E848" s="143" t="s">
        <v>474</v>
      </c>
      <c r="F848" s="144" t="n">
        <v>200025889203</v>
      </c>
      <c r="G848" s="144" t="s">
        <v>449</v>
      </c>
      <c r="H848" s="144" t="n">
        <v>95</v>
      </c>
      <c r="I848" s="144" t="s">
        <v>152</v>
      </c>
      <c r="J848" s="152" t="n">
        <v>45056.5292708333</v>
      </c>
      <c r="K848" s="1" t="n">
        <v>1</v>
      </c>
      <c r="L848" s="144" t="n">
        <v>95</v>
      </c>
      <c r="M848" s="1" t="n">
        <v>16</v>
      </c>
      <c r="N848" s="1" t="n">
        <v>16</v>
      </c>
      <c r="O848" s="149" t="n">
        <v>99</v>
      </c>
    </row>
    <row r="849" customFormat="false" ht="14.25" hidden="false" customHeight="false" outlineLevel="0" collapsed="false">
      <c r="A849" s="1" t="n">
        <v>97</v>
      </c>
      <c r="B849" s="1" t="s">
        <v>477</v>
      </c>
      <c r="C849" s="143" t="n">
        <v>91601</v>
      </c>
      <c r="D849" s="143" t="s">
        <v>64</v>
      </c>
      <c r="E849" s="143" t="s">
        <v>474</v>
      </c>
      <c r="F849" s="144" t="n">
        <v>200025889203</v>
      </c>
      <c r="G849" s="144" t="s">
        <v>449</v>
      </c>
      <c r="H849" s="144" t="n">
        <v>95</v>
      </c>
      <c r="I849" s="144" t="s">
        <v>152</v>
      </c>
      <c r="J849" s="152" t="n">
        <v>45056.570474537</v>
      </c>
      <c r="K849" s="1" t="n">
        <v>3</v>
      </c>
      <c r="L849" s="144" t="n">
        <v>95</v>
      </c>
      <c r="M849" s="1" t="n">
        <v>16</v>
      </c>
      <c r="N849" s="1" t="n">
        <v>16</v>
      </c>
      <c r="O849" s="149" t="n">
        <v>100</v>
      </c>
    </row>
    <row r="850" customFormat="false" ht="14.25" hidden="false" customHeight="false" outlineLevel="0" collapsed="false">
      <c r="A850" s="1" t="n">
        <v>98</v>
      </c>
      <c r="B850" s="1" t="s">
        <v>477</v>
      </c>
      <c r="C850" s="143" t="n">
        <v>91601</v>
      </c>
      <c r="D850" s="143" t="s">
        <v>64</v>
      </c>
      <c r="E850" s="143" t="s">
        <v>474</v>
      </c>
      <c r="F850" s="144" t="n">
        <v>200025889203</v>
      </c>
      <c r="G850" s="144" t="s">
        <v>449</v>
      </c>
      <c r="H850" s="144" t="n">
        <v>95</v>
      </c>
      <c r="I850" s="144" t="s">
        <v>152</v>
      </c>
      <c r="J850" s="152" t="n">
        <v>45056.5733449074</v>
      </c>
      <c r="K850" s="1" t="n">
        <v>1</v>
      </c>
      <c r="L850" s="144" t="n">
        <v>95</v>
      </c>
      <c r="M850" s="1" t="n">
        <v>16</v>
      </c>
      <c r="N850" s="1" t="n">
        <v>16</v>
      </c>
      <c r="O850" s="149" t="n">
        <v>101</v>
      </c>
    </row>
    <row r="851" customFormat="false" ht="14.25" hidden="false" customHeight="false" outlineLevel="0" collapsed="false">
      <c r="A851" s="1" t="n">
        <v>99</v>
      </c>
      <c r="B851" s="1" t="s">
        <v>477</v>
      </c>
      <c r="C851" s="143" t="n">
        <v>91601</v>
      </c>
      <c r="D851" s="143" t="s">
        <v>64</v>
      </c>
      <c r="E851" s="143" t="s">
        <v>474</v>
      </c>
      <c r="F851" s="144" t="n">
        <v>200025889203</v>
      </c>
      <c r="G851" s="144" t="s">
        <v>449</v>
      </c>
      <c r="H851" s="144" t="n">
        <v>95</v>
      </c>
      <c r="I851" s="144" t="s">
        <v>152</v>
      </c>
      <c r="J851" s="152" t="n">
        <v>45056.5735532407</v>
      </c>
      <c r="K851" s="1" t="n">
        <v>1</v>
      </c>
      <c r="L851" s="144" t="n">
        <v>95</v>
      </c>
      <c r="M851" s="1" t="n">
        <v>16</v>
      </c>
      <c r="N851" s="1" t="n">
        <v>16</v>
      </c>
      <c r="O851" s="149" t="n">
        <v>102</v>
      </c>
    </row>
    <row r="852" customFormat="false" ht="14.25" hidden="false" customHeight="false" outlineLevel="0" collapsed="false">
      <c r="A852" s="1" t="n">
        <v>100</v>
      </c>
      <c r="B852" s="1" t="s">
        <v>477</v>
      </c>
      <c r="C852" s="143" t="n">
        <v>91601</v>
      </c>
      <c r="D852" s="143" t="s">
        <v>64</v>
      </c>
      <c r="E852" s="143" t="s">
        <v>474</v>
      </c>
      <c r="F852" s="144" t="n">
        <v>200025889203</v>
      </c>
      <c r="G852" s="144" t="s">
        <v>449</v>
      </c>
      <c r="H852" s="144" t="n">
        <v>95</v>
      </c>
      <c r="I852" s="144" t="s">
        <v>152</v>
      </c>
      <c r="J852" s="152" t="n">
        <v>45056.5740277778</v>
      </c>
      <c r="K852" s="1" t="n">
        <v>2</v>
      </c>
      <c r="L852" s="144" t="n">
        <v>95</v>
      </c>
      <c r="M852" s="1" t="n">
        <v>16</v>
      </c>
      <c r="N852" s="1" t="n">
        <v>16</v>
      </c>
      <c r="O852" s="149" t="n">
        <v>103</v>
      </c>
    </row>
    <row r="853" customFormat="false" ht="14.25" hidden="false" customHeight="false" outlineLevel="0" collapsed="false">
      <c r="A853" s="1" t="n">
        <v>101</v>
      </c>
      <c r="B853" s="1" t="s">
        <v>477</v>
      </c>
      <c r="C853" s="143" t="n">
        <v>91601</v>
      </c>
      <c r="D853" s="143" t="s">
        <v>64</v>
      </c>
      <c r="E853" s="143" t="s">
        <v>474</v>
      </c>
      <c r="F853" s="144" t="n">
        <v>200025889203</v>
      </c>
      <c r="G853" s="144" t="s">
        <v>449</v>
      </c>
      <c r="H853" s="144" t="n">
        <v>95</v>
      </c>
      <c r="I853" s="144" t="s">
        <v>152</v>
      </c>
      <c r="J853" s="152" t="n">
        <v>45056.5740509259</v>
      </c>
      <c r="K853" s="1" t="n">
        <v>4</v>
      </c>
      <c r="L853" s="144" t="n">
        <v>95</v>
      </c>
      <c r="M853" s="1" t="n">
        <v>16</v>
      </c>
      <c r="N853" s="1" t="n">
        <v>16</v>
      </c>
      <c r="O853" s="149" t="n">
        <v>104</v>
      </c>
    </row>
    <row r="854" customFormat="false" ht="14.25" hidden="false" customHeight="false" outlineLevel="0" collapsed="false">
      <c r="A854" s="1" t="n">
        <v>102</v>
      </c>
      <c r="B854" s="1" t="s">
        <v>477</v>
      </c>
      <c r="C854" s="143" t="n">
        <v>91601</v>
      </c>
      <c r="D854" s="143" t="s">
        <v>64</v>
      </c>
      <c r="E854" s="143" t="s">
        <v>474</v>
      </c>
      <c r="F854" s="144" t="n">
        <v>200025889203</v>
      </c>
      <c r="G854" s="144" t="s">
        <v>449</v>
      </c>
      <c r="H854" s="144" t="n">
        <v>95</v>
      </c>
      <c r="I854" s="144" t="s">
        <v>152</v>
      </c>
      <c r="J854" s="152" t="n">
        <v>45056.5766319444</v>
      </c>
      <c r="K854" s="1" t="n">
        <v>2</v>
      </c>
      <c r="L854" s="144" t="n">
        <v>95</v>
      </c>
      <c r="M854" s="1" t="n">
        <v>16</v>
      </c>
      <c r="N854" s="1" t="n">
        <v>16</v>
      </c>
      <c r="O854" s="149" t="n">
        <v>105</v>
      </c>
    </row>
    <row r="855" customFormat="false" ht="14.25" hidden="false" customHeight="false" outlineLevel="0" collapsed="false">
      <c r="A855" s="1" t="n">
        <v>103</v>
      </c>
      <c r="B855" s="1" t="s">
        <v>477</v>
      </c>
      <c r="C855" s="143" t="n">
        <v>91601</v>
      </c>
      <c r="D855" s="143" t="s">
        <v>64</v>
      </c>
      <c r="E855" s="143" t="s">
        <v>474</v>
      </c>
      <c r="F855" s="144" t="n">
        <v>200025889203</v>
      </c>
      <c r="G855" s="144" t="s">
        <v>449</v>
      </c>
      <c r="H855" s="144" t="n">
        <v>95</v>
      </c>
      <c r="I855" s="144" t="s">
        <v>152</v>
      </c>
      <c r="J855" s="152" t="n">
        <v>45056.5779861111</v>
      </c>
      <c r="K855" s="1" t="n">
        <v>1</v>
      </c>
      <c r="L855" s="144" t="n">
        <v>95</v>
      </c>
      <c r="M855" s="1" t="n">
        <v>16</v>
      </c>
      <c r="N855" s="1" t="n">
        <v>16</v>
      </c>
      <c r="O855" s="149" t="n">
        <v>106</v>
      </c>
    </row>
    <row r="856" customFormat="false" ht="14.25" hidden="false" customHeight="false" outlineLevel="0" collapsed="false">
      <c r="A856" s="1" t="n">
        <v>104</v>
      </c>
      <c r="B856" s="1" t="s">
        <v>477</v>
      </c>
      <c r="C856" s="143" t="n">
        <v>91601</v>
      </c>
      <c r="D856" s="143" t="s">
        <v>64</v>
      </c>
      <c r="E856" s="143" t="s">
        <v>474</v>
      </c>
      <c r="F856" s="144" t="n">
        <v>200025889203</v>
      </c>
      <c r="G856" s="144" t="s">
        <v>449</v>
      </c>
      <c r="H856" s="144" t="n">
        <v>95</v>
      </c>
      <c r="I856" s="144" t="s">
        <v>152</v>
      </c>
      <c r="J856" s="152" t="n">
        <v>45056.6209606482</v>
      </c>
      <c r="K856" s="1" t="n">
        <v>2</v>
      </c>
      <c r="L856" s="144" t="n">
        <v>95</v>
      </c>
      <c r="M856" s="1" t="n">
        <v>16</v>
      </c>
      <c r="N856" s="1" t="n">
        <v>16</v>
      </c>
      <c r="O856" s="149" t="n">
        <v>107</v>
      </c>
    </row>
    <row r="857" customFormat="false" ht="14.25" hidden="false" customHeight="false" outlineLevel="0" collapsed="false">
      <c r="A857" s="1" t="n">
        <v>105</v>
      </c>
      <c r="B857" s="1" t="s">
        <v>477</v>
      </c>
      <c r="C857" s="143" t="n">
        <v>91601</v>
      </c>
      <c r="D857" s="143" t="s">
        <v>64</v>
      </c>
      <c r="E857" s="143" t="s">
        <v>474</v>
      </c>
      <c r="F857" s="144" t="n">
        <v>200025889203</v>
      </c>
      <c r="G857" s="144" t="s">
        <v>449</v>
      </c>
      <c r="H857" s="144" t="n">
        <v>95</v>
      </c>
      <c r="I857" s="144" t="s">
        <v>152</v>
      </c>
      <c r="J857" s="152" t="n">
        <v>45056.6217361111</v>
      </c>
      <c r="K857" s="1" t="n">
        <v>1</v>
      </c>
      <c r="L857" s="144" t="n">
        <v>95</v>
      </c>
      <c r="M857" s="1" t="n">
        <v>16</v>
      </c>
      <c r="N857" s="1" t="n">
        <v>16</v>
      </c>
      <c r="O857" s="149" t="n">
        <v>108</v>
      </c>
    </row>
    <row r="858" customFormat="false" ht="14.25" hidden="false" customHeight="false" outlineLevel="0" collapsed="false">
      <c r="A858" s="1" t="n">
        <v>106</v>
      </c>
      <c r="B858" s="1" t="s">
        <v>477</v>
      </c>
      <c r="C858" s="143" t="n">
        <v>91601</v>
      </c>
      <c r="D858" s="143" t="s">
        <v>64</v>
      </c>
      <c r="E858" s="143" t="s">
        <v>474</v>
      </c>
      <c r="F858" s="144" t="n">
        <v>200025889203</v>
      </c>
      <c r="G858" s="144" t="s">
        <v>449</v>
      </c>
      <c r="H858" s="144" t="n">
        <v>95</v>
      </c>
      <c r="I858" s="144" t="s">
        <v>152</v>
      </c>
      <c r="J858" s="152" t="n">
        <v>45056.6221527778</v>
      </c>
      <c r="K858" s="1" t="n">
        <v>2</v>
      </c>
      <c r="L858" s="144" t="n">
        <v>95</v>
      </c>
      <c r="M858" s="1" t="n">
        <v>16</v>
      </c>
      <c r="N858" s="1" t="n">
        <v>16</v>
      </c>
      <c r="O858" s="149" t="n">
        <v>109</v>
      </c>
    </row>
    <row r="859" customFormat="false" ht="14.25" hidden="false" customHeight="false" outlineLevel="0" collapsed="false">
      <c r="A859" s="1" t="n">
        <v>107</v>
      </c>
      <c r="B859" s="1" t="s">
        <v>477</v>
      </c>
      <c r="C859" s="143" t="n">
        <v>91601</v>
      </c>
      <c r="D859" s="143" t="s">
        <v>64</v>
      </c>
      <c r="E859" s="143" t="s">
        <v>474</v>
      </c>
      <c r="F859" s="144" t="n">
        <v>200025889203</v>
      </c>
      <c r="G859" s="144" t="s">
        <v>449</v>
      </c>
      <c r="H859" s="144" t="n">
        <v>95</v>
      </c>
      <c r="I859" s="144" t="s">
        <v>152</v>
      </c>
      <c r="J859" s="152" t="n">
        <v>45056.6233449074</v>
      </c>
      <c r="K859" s="1" t="n">
        <v>1</v>
      </c>
      <c r="L859" s="144" t="n">
        <v>95</v>
      </c>
      <c r="M859" s="1" t="n">
        <v>16</v>
      </c>
      <c r="N859" s="1" t="n">
        <v>16</v>
      </c>
      <c r="O859" s="149" t="n">
        <v>110</v>
      </c>
    </row>
    <row r="860" customFormat="false" ht="14.25" hidden="false" customHeight="false" outlineLevel="0" collapsed="false">
      <c r="A860" s="1" t="n">
        <v>108</v>
      </c>
      <c r="B860" s="1" t="s">
        <v>477</v>
      </c>
      <c r="C860" s="143" t="n">
        <v>91601</v>
      </c>
      <c r="D860" s="143" t="s">
        <v>64</v>
      </c>
      <c r="E860" s="143" t="s">
        <v>474</v>
      </c>
      <c r="F860" s="144" t="n">
        <v>200025889203</v>
      </c>
      <c r="G860" s="144" t="s">
        <v>449</v>
      </c>
      <c r="H860" s="144" t="n">
        <v>95</v>
      </c>
      <c r="I860" s="144" t="s">
        <v>152</v>
      </c>
      <c r="J860" s="152" t="n">
        <v>45056.6313888889</v>
      </c>
      <c r="K860" s="1" t="n">
        <v>1</v>
      </c>
      <c r="L860" s="144" t="n">
        <v>95</v>
      </c>
      <c r="M860" s="1" t="n">
        <v>16</v>
      </c>
      <c r="N860" s="1" t="n">
        <v>16</v>
      </c>
      <c r="O860" s="149" t="n">
        <v>111</v>
      </c>
    </row>
    <row r="861" customFormat="false" ht="14.25" hidden="false" customHeight="false" outlineLevel="0" collapsed="false">
      <c r="A861" s="1" t="n">
        <v>109</v>
      </c>
      <c r="B861" s="1" t="s">
        <v>477</v>
      </c>
      <c r="C861" s="143" t="n">
        <v>91601</v>
      </c>
      <c r="D861" s="143" t="s">
        <v>64</v>
      </c>
      <c r="E861" s="143" t="s">
        <v>474</v>
      </c>
      <c r="F861" s="144" t="n">
        <v>200025889203</v>
      </c>
      <c r="G861" s="144" t="s">
        <v>449</v>
      </c>
      <c r="H861" s="144" t="n">
        <v>95</v>
      </c>
      <c r="I861" s="144" t="s">
        <v>152</v>
      </c>
      <c r="J861" s="152" t="n">
        <v>45056.6496990741</v>
      </c>
      <c r="K861" s="1" t="n">
        <v>1</v>
      </c>
      <c r="L861" s="144" t="n">
        <v>95</v>
      </c>
      <c r="M861" s="1" t="n">
        <v>16</v>
      </c>
      <c r="N861" s="1" t="n">
        <v>16</v>
      </c>
      <c r="O861" s="149" t="n">
        <v>112</v>
      </c>
    </row>
    <row r="862" customFormat="false" ht="14.25" hidden="false" customHeight="false" outlineLevel="0" collapsed="false">
      <c r="A862" s="1" t="n">
        <v>110</v>
      </c>
      <c r="B862" s="1" t="s">
        <v>477</v>
      </c>
      <c r="C862" s="143" t="n">
        <v>91601</v>
      </c>
      <c r="D862" s="143" t="s">
        <v>64</v>
      </c>
      <c r="E862" s="143" t="s">
        <v>474</v>
      </c>
      <c r="F862" s="144" t="n">
        <v>200025889203</v>
      </c>
      <c r="G862" s="144" t="s">
        <v>449</v>
      </c>
      <c r="H862" s="144" t="n">
        <v>95</v>
      </c>
      <c r="I862" s="144" t="s">
        <v>152</v>
      </c>
      <c r="J862" s="152" t="n">
        <v>45056.6502777778</v>
      </c>
      <c r="K862" s="1" t="n">
        <v>1</v>
      </c>
      <c r="L862" s="144" t="n">
        <v>95</v>
      </c>
      <c r="M862" s="1" t="n">
        <v>16</v>
      </c>
      <c r="N862" s="1" t="n">
        <v>16</v>
      </c>
      <c r="O862" s="149" t="n">
        <v>113</v>
      </c>
    </row>
    <row r="863" customFormat="false" ht="14.25" hidden="false" customHeight="false" outlineLevel="0" collapsed="false">
      <c r="A863" s="1" t="n">
        <v>111</v>
      </c>
      <c r="B863" s="1" t="s">
        <v>477</v>
      </c>
      <c r="C863" s="143" t="n">
        <v>91601</v>
      </c>
      <c r="D863" s="143" t="s">
        <v>64</v>
      </c>
      <c r="E863" s="143" t="s">
        <v>474</v>
      </c>
      <c r="F863" s="144" t="n">
        <v>200025889203</v>
      </c>
      <c r="G863" s="144" t="s">
        <v>449</v>
      </c>
      <c r="H863" s="144" t="n">
        <v>95</v>
      </c>
      <c r="I863" s="144" t="s">
        <v>152</v>
      </c>
      <c r="J863" s="152" t="n">
        <v>45056.6511111111</v>
      </c>
      <c r="K863" s="1" t="n">
        <v>1</v>
      </c>
      <c r="L863" s="144" t="n">
        <v>95</v>
      </c>
      <c r="M863" s="1" t="n">
        <v>16</v>
      </c>
      <c r="N863" s="1" t="n">
        <v>16</v>
      </c>
      <c r="O863" s="149" t="n">
        <v>114</v>
      </c>
    </row>
    <row r="864" customFormat="false" ht="14.25" hidden="false" customHeight="false" outlineLevel="0" collapsed="false">
      <c r="A864" s="1" t="n">
        <v>112</v>
      </c>
      <c r="B864" s="1" t="s">
        <v>477</v>
      </c>
      <c r="C864" s="143" t="n">
        <v>91601</v>
      </c>
      <c r="D864" s="143" t="s">
        <v>64</v>
      </c>
      <c r="E864" s="143" t="s">
        <v>474</v>
      </c>
      <c r="F864" s="144" t="n">
        <v>200025889203</v>
      </c>
      <c r="G864" s="144" t="s">
        <v>449</v>
      </c>
      <c r="H864" s="144" t="n">
        <v>95</v>
      </c>
      <c r="I864" s="144" t="s">
        <v>152</v>
      </c>
      <c r="J864" s="152" t="n">
        <v>45056.651400463</v>
      </c>
      <c r="K864" s="1" t="n">
        <v>1</v>
      </c>
      <c r="L864" s="144" t="n">
        <v>95</v>
      </c>
      <c r="M864" s="1" t="n">
        <v>16</v>
      </c>
      <c r="N864" s="1" t="n">
        <v>16</v>
      </c>
      <c r="O864" s="149" t="n">
        <v>115</v>
      </c>
    </row>
    <row r="865" customFormat="false" ht="14.25" hidden="false" customHeight="false" outlineLevel="0" collapsed="false">
      <c r="A865" s="1" t="n">
        <v>113</v>
      </c>
      <c r="B865" s="1" t="s">
        <v>477</v>
      </c>
      <c r="C865" s="143" t="n">
        <v>91601</v>
      </c>
      <c r="D865" s="143" t="s">
        <v>64</v>
      </c>
      <c r="E865" s="143" t="s">
        <v>474</v>
      </c>
      <c r="F865" s="144" t="n">
        <v>200025889203</v>
      </c>
      <c r="G865" s="144" t="s">
        <v>449</v>
      </c>
      <c r="H865" s="144" t="n">
        <v>95</v>
      </c>
      <c r="I865" s="144" t="s">
        <v>152</v>
      </c>
      <c r="J865" s="152" t="n">
        <v>45056.6515625</v>
      </c>
      <c r="K865" s="1" t="n">
        <v>0</v>
      </c>
      <c r="L865" s="144" t="n">
        <v>95</v>
      </c>
      <c r="M865" s="1" t="n">
        <v>16</v>
      </c>
      <c r="N865" s="1" t="n">
        <v>16</v>
      </c>
      <c r="O865" s="149" t="n">
        <v>116</v>
      </c>
    </row>
    <row r="866" customFormat="false" ht="14.25" hidden="false" customHeight="false" outlineLevel="0" collapsed="false">
      <c r="A866" s="1" t="n">
        <v>114</v>
      </c>
      <c r="B866" s="1" t="s">
        <v>477</v>
      </c>
      <c r="C866" s="143" t="n">
        <v>91601</v>
      </c>
      <c r="D866" s="143" t="s">
        <v>64</v>
      </c>
      <c r="E866" s="143" t="s">
        <v>474</v>
      </c>
      <c r="F866" s="144" t="n">
        <v>200025889203</v>
      </c>
      <c r="G866" s="144" t="s">
        <v>449</v>
      </c>
      <c r="H866" s="144" t="n">
        <v>95</v>
      </c>
      <c r="I866" s="144" t="s">
        <v>152</v>
      </c>
      <c r="J866" s="152" t="n">
        <v>45056.6515856482</v>
      </c>
      <c r="K866" s="1" t="n">
        <v>2</v>
      </c>
      <c r="L866" s="144" t="n">
        <v>95</v>
      </c>
      <c r="M866" s="1" t="n">
        <v>16</v>
      </c>
      <c r="N866" s="1" t="n">
        <v>16</v>
      </c>
      <c r="O866" s="149" t="n">
        <v>117</v>
      </c>
    </row>
    <row r="867" customFormat="false" ht="14.25" hidden="false" customHeight="false" outlineLevel="0" collapsed="false">
      <c r="A867" s="1" t="n">
        <v>115</v>
      </c>
      <c r="B867" s="1" t="s">
        <v>477</v>
      </c>
      <c r="C867" s="143" t="n">
        <v>91601</v>
      </c>
      <c r="D867" s="143" t="s">
        <v>64</v>
      </c>
      <c r="E867" s="143" t="s">
        <v>474</v>
      </c>
      <c r="F867" s="144" t="n">
        <v>200025889203</v>
      </c>
      <c r="G867" s="144" t="s">
        <v>449</v>
      </c>
      <c r="H867" s="144" t="n">
        <v>95</v>
      </c>
      <c r="I867" s="144" t="s">
        <v>152</v>
      </c>
      <c r="J867" s="152" t="n">
        <v>45056.6521875</v>
      </c>
      <c r="K867" s="1" t="n">
        <v>1</v>
      </c>
      <c r="L867" s="144" t="n">
        <v>95</v>
      </c>
      <c r="M867" s="1" t="n">
        <v>16</v>
      </c>
      <c r="N867" s="1" t="n">
        <v>16</v>
      </c>
      <c r="O867" s="149" t="n">
        <v>118</v>
      </c>
    </row>
    <row r="868" customFormat="false" ht="14.25" hidden="false" customHeight="false" outlineLevel="0" collapsed="false">
      <c r="A868" s="1" t="n">
        <v>116</v>
      </c>
      <c r="B868" s="1" t="s">
        <v>477</v>
      </c>
      <c r="C868" s="143" t="n">
        <v>91601</v>
      </c>
      <c r="D868" s="143" t="s">
        <v>64</v>
      </c>
      <c r="E868" s="143" t="s">
        <v>474</v>
      </c>
      <c r="F868" s="144" t="n">
        <v>200025889203</v>
      </c>
      <c r="G868" s="144" t="s">
        <v>449</v>
      </c>
      <c r="H868" s="144" t="n">
        <v>95</v>
      </c>
      <c r="I868" s="144" t="s">
        <v>152</v>
      </c>
      <c r="J868" s="152" t="n">
        <v>45056.6535532407</v>
      </c>
      <c r="K868" s="1" t="n">
        <v>1</v>
      </c>
      <c r="L868" s="144" t="n">
        <v>95</v>
      </c>
      <c r="M868" s="1" t="n">
        <v>16</v>
      </c>
      <c r="N868" s="1" t="n">
        <v>16</v>
      </c>
      <c r="O868" s="149" t="n">
        <v>119</v>
      </c>
    </row>
    <row r="869" customFormat="false" ht="14.25" hidden="false" customHeight="false" outlineLevel="0" collapsed="false">
      <c r="A869" s="1" t="n">
        <v>117</v>
      </c>
      <c r="B869" s="1" t="s">
        <v>477</v>
      </c>
      <c r="C869" s="143" t="n">
        <v>91601</v>
      </c>
      <c r="D869" s="143" t="s">
        <v>64</v>
      </c>
      <c r="E869" s="143" t="s">
        <v>474</v>
      </c>
      <c r="F869" s="144" t="n">
        <v>200025889203</v>
      </c>
      <c r="G869" s="144" t="s">
        <v>449</v>
      </c>
      <c r="H869" s="144" t="n">
        <v>95</v>
      </c>
      <c r="I869" s="144" t="s">
        <v>152</v>
      </c>
      <c r="J869" s="152" t="n">
        <v>45056.6550694444</v>
      </c>
      <c r="K869" s="1" t="n">
        <v>2</v>
      </c>
      <c r="L869" s="144" t="n">
        <v>95</v>
      </c>
      <c r="M869" s="1" t="n">
        <v>16</v>
      </c>
      <c r="N869" s="1" t="n">
        <v>16</v>
      </c>
      <c r="O869" s="149" t="n">
        <v>120</v>
      </c>
    </row>
    <row r="870" customFormat="false" ht="14.25" hidden="false" customHeight="false" outlineLevel="0" collapsed="false">
      <c r="A870" s="1" t="n">
        <v>118</v>
      </c>
      <c r="B870" s="1" t="s">
        <v>477</v>
      </c>
      <c r="C870" s="143" t="n">
        <v>91601</v>
      </c>
      <c r="D870" s="143" t="s">
        <v>64</v>
      </c>
      <c r="E870" s="143" t="s">
        <v>474</v>
      </c>
      <c r="F870" s="144" t="n">
        <v>200025889203</v>
      </c>
      <c r="G870" s="144" t="s">
        <v>449</v>
      </c>
      <c r="H870" s="144" t="n">
        <v>95</v>
      </c>
      <c r="I870" s="144" t="s">
        <v>152</v>
      </c>
      <c r="J870" s="152" t="n">
        <v>45056.6716782407</v>
      </c>
      <c r="K870" s="1" t="n">
        <v>1</v>
      </c>
      <c r="L870" s="144" t="n">
        <v>95</v>
      </c>
      <c r="M870" s="1" t="n">
        <v>16</v>
      </c>
      <c r="N870" s="1" t="n">
        <v>16</v>
      </c>
      <c r="O870" s="149" t="n">
        <v>121</v>
      </c>
    </row>
    <row r="871" customFormat="false" ht="14.25" hidden="false" customHeight="false" outlineLevel="0" collapsed="false">
      <c r="A871" s="1" t="n">
        <v>119</v>
      </c>
      <c r="B871" s="1" t="s">
        <v>477</v>
      </c>
      <c r="C871" s="143" t="n">
        <v>91601</v>
      </c>
      <c r="D871" s="143" t="s">
        <v>64</v>
      </c>
      <c r="E871" s="143" t="s">
        <v>474</v>
      </c>
      <c r="F871" s="144" t="n">
        <v>200025889203</v>
      </c>
      <c r="G871" s="144" t="s">
        <v>449</v>
      </c>
      <c r="H871" s="144" t="n">
        <v>95</v>
      </c>
      <c r="I871" s="144" t="s">
        <v>152</v>
      </c>
      <c r="J871" s="152" t="n">
        <v>45056.6728009259</v>
      </c>
      <c r="K871" s="1" t="n">
        <v>1</v>
      </c>
      <c r="L871" s="144" t="n">
        <v>95</v>
      </c>
      <c r="M871" s="1" t="n">
        <v>16</v>
      </c>
      <c r="N871" s="1" t="n">
        <v>16</v>
      </c>
      <c r="O871" s="149" t="n">
        <v>122</v>
      </c>
    </row>
    <row r="872" customFormat="false" ht="14.25" hidden="false" customHeight="false" outlineLevel="0" collapsed="false">
      <c r="A872" s="1" t="n">
        <v>120</v>
      </c>
      <c r="B872" s="1" t="s">
        <v>477</v>
      </c>
      <c r="C872" s="143" t="n">
        <v>91601</v>
      </c>
      <c r="D872" s="143" t="s">
        <v>64</v>
      </c>
      <c r="E872" s="143" t="s">
        <v>474</v>
      </c>
      <c r="F872" s="144" t="n">
        <v>200025889203</v>
      </c>
      <c r="G872" s="144" t="s">
        <v>449</v>
      </c>
      <c r="H872" s="144" t="n">
        <v>95</v>
      </c>
      <c r="I872" s="144" t="s">
        <v>152</v>
      </c>
      <c r="J872" s="152" t="n">
        <v>45056.6747337963</v>
      </c>
      <c r="K872" s="1" t="n">
        <v>1</v>
      </c>
      <c r="L872" s="144" t="n">
        <v>95</v>
      </c>
      <c r="M872" s="1" t="n">
        <v>16</v>
      </c>
      <c r="N872" s="1" t="n">
        <v>16</v>
      </c>
      <c r="O872" s="149" t="n">
        <v>123</v>
      </c>
    </row>
    <row r="873" customFormat="false" ht="14.25" hidden="false" customHeight="false" outlineLevel="0" collapsed="false">
      <c r="A873" s="1" t="n">
        <v>121</v>
      </c>
      <c r="B873" s="1" t="s">
        <v>477</v>
      </c>
      <c r="C873" s="143" t="n">
        <v>91601</v>
      </c>
      <c r="D873" s="143" t="s">
        <v>64</v>
      </c>
      <c r="E873" s="143" t="s">
        <v>474</v>
      </c>
      <c r="F873" s="144" t="n">
        <v>200025889203</v>
      </c>
      <c r="G873" s="144" t="s">
        <v>449</v>
      </c>
      <c r="H873" s="144" t="n">
        <v>95</v>
      </c>
      <c r="I873" s="144" t="s">
        <v>152</v>
      </c>
      <c r="J873" s="152" t="n">
        <v>45056.6749652778</v>
      </c>
      <c r="K873" s="1" t="n">
        <v>1</v>
      </c>
      <c r="L873" s="144" t="n">
        <v>95</v>
      </c>
      <c r="M873" s="1" t="n">
        <v>16</v>
      </c>
      <c r="N873" s="1" t="n">
        <v>16</v>
      </c>
      <c r="O873" s="149" t="n">
        <v>124</v>
      </c>
    </row>
    <row r="874" customFormat="false" ht="14.25" hidden="false" customHeight="false" outlineLevel="0" collapsed="false">
      <c r="A874" s="1" t="n">
        <v>122</v>
      </c>
      <c r="B874" s="1" t="s">
        <v>477</v>
      </c>
      <c r="C874" s="143" t="n">
        <v>91601</v>
      </c>
      <c r="D874" s="143" t="s">
        <v>64</v>
      </c>
      <c r="E874" s="143" t="s">
        <v>474</v>
      </c>
      <c r="F874" s="144" t="n">
        <v>200025889203</v>
      </c>
      <c r="G874" s="144" t="s">
        <v>449</v>
      </c>
      <c r="H874" s="144" t="n">
        <v>95</v>
      </c>
      <c r="I874" s="144" t="s">
        <v>152</v>
      </c>
      <c r="J874" s="152" t="n">
        <v>45056.6754282407</v>
      </c>
      <c r="K874" s="1" t="n">
        <v>1</v>
      </c>
      <c r="L874" s="144" t="n">
        <v>95</v>
      </c>
      <c r="M874" s="1" t="n">
        <v>16</v>
      </c>
      <c r="N874" s="1" t="n">
        <v>16</v>
      </c>
      <c r="O874" s="149" t="n">
        <v>125</v>
      </c>
    </row>
    <row r="875" customFormat="false" ht="14.25" hidden="false" customHeight="false" outlineLevel="0" collapsed="false">
      <c r="A875" s="1" t="n">
        <v>123</v>
      </c>
      <c r="B875" s="1" t="s">
        <v>477</v>
      </c>
      <c r="C875" s="143" t="n">
        <v>91601</v>
      </c>
      <c r="D875" s="143" t="s">
        <v>64</v>
      </c>
      <c r="E875" s="143" t="s">
        <v>474</v>
      </c>
      <c r="F875" s="144" t="n">
        <v>200025889203</v>
      </c>
      <c r="G875" s="144" t="s">
        <v>449</v>
      </c>
      <c r="H875" s="144" t="n">
        <v>95</v>
      </c>
      <c r="I875" s="144" t="s">
        <v>152</v>
      </c>
      <c r="J875" s="152" t="n">
        <v>45056.6754398148</v>
      </c>
      <c r="K875" s="1" t="n">
        <v>1</v>
      </c>
      <c r="L875" s="144" t="n">
        <v>95</v>
      </c>
      <c r="M875" s="1" t="n">
        <v>16</v>
      </c>
      <c r="N875" s="1" t="n">
        <v>16</v>
      </c>
      <c r="O875" s="149" t="n">
        <v>126</v>
      </c>
    </row>
    <row r="876" customFormat="false" ht="14.25" hidden="false" customHeight="false" outlineLevel="0" collapsed="false">
      <c r="A876" s="1" t="n">
        <v>124</v>
      </c>
      <c r="B876" s="1" t="s">
        <v>477</v>
      </c>
      <c r="C876" s="143" t="n">
        <v>91601</v>
      </c>
      <c r="D876" s="143" t="s">
        <v>64</v>
      </c>
      <c r="E876" s="143" t="s">
        <v>474</v>
      </c>
      <c r="F876" s="144" t="n">
        <v>200025889203</v>
      </c>
      <c r="G876" s="144" t="s">
        <v>449</v>
      </c>
      <c r="H876" s="144" t="n">
        <v>95</v>
      </c>
      <c r="I876" s="144" t="s">
        <v>152</v>
      </c>
      <c r="J876" s="152" t="n">
        <v>45056.6760416667</v>
      </c>
      <c r="K876" s="1" t="n">
        <v>1</v>
      </c>
      <c r="L876" s="144" t="n">
        <v>95</v>
      </c>
      <c r="M876" s="1" t="n">
        <v>16</v>
      </c>
      <c r="N876" s="1" t="n">
        <v>16</v>
      </c>
      <c r="O876" s="149" t="n">
        <v>127</v>
      </c>
    </row>
    <row r="877" customFormat="false" ht="14.25" hidden="false" customHeight="false" outlineLevel="0" collapsed="false">
      <c r="A877" s="1" t="n">
        <v>125</v>
      </c>
      <c r="B877" s="1" t="s">
        <v>477</v>
      </c>
      <c r="C877" s="143" t="n">
        <v>91601</v>
      </c>
      <c r="D877" s="143" t="s">
        <v>64</v>
      </c>
      <c r="E877" s="143" t="s">
        <v>474</v>
      </c>
      <c r="F877" s="144" t="n">
        <v>200025889203</v>
      </c>
      <c r="G877" s="144" t="s">
        <v>449</v>
      </c>
      <c r="H877" s="144" t="n">
        <v>95</v>
      </c>
      <c r="I877" s="144" t="s">
        <v>152</v>
      </c>
      <c r="J877" s="152" t="n">
        <v>45056.6763888889</v>
      </c>
      <c r="K877" s="1" t="n">
        <v>2</v>
      </c>
      <c r="L877" s="144" t="n">
        <v>95</v>
      </c>
      <c r="M877" s="1" t="n">
        <v>16</v>
      </c>
      <c r="N877" s="1" t="n">
        <v>16</v>
      </c>
      <c r="O877" s="149" t="n">
        <v>128</v>
      </c>
    </row>
    <row r="878" customFormat="false" ht="14.25" hidden="false" customHeight="false" outlineLevel="0" collapsed="false">
      <c r="A878" s="1" t="n">
        <v>126</v>
      </c>
      <c r="B878" s="1" t="s">
        <v>477</v>
      </c>
      <c r="C878" s="143" t="n">
        <v>91601</v>
      </c>
      <c r="D878" s="143" t="s">
        <v>64</v>
      </c>
      <c r="E878" s="143" t="s">
        <v>474</v>
      </c>
      <c r="F878" s="144" t="n">
        <v>200025889203</v>
      </c>
      <c r="G878" s="144" t="s">
        <v>449</v>
      </c>
      <c r="H878" s="144" t="n">
        <v>95</v>
      </c>
      <c r="I878" s="144" t="s">
        <v>152</v>
      </c>
      <c r="J878" s="152" t="n">
        <v>45056.6770138889</v>
      </c>
      <c r="K878" s="1" t="n">
        <v>1</v>
      </c>
      <c r="L878" s="144" t="n">
        <v>95</v>
      </c>
      <c r="M878" s="1" t="n">
        <v>16</v>
      </c>
      <c r="N878" s="1" t="n">
        <v>16</v>
      </c>
      <c r="O878" s="149" t="n">
        <v>129</v>
      </c>
    </row>
    <row r="879" customFormat="false" ht="14.25" hidden="false" customHeight="false" outlineLevel="0" collapsed="false">
      <c r="A879" s="1" t="n">
        <v>127</v>
      </c>
      <c r="B879" s="1" t="s">
        <v>477</v>
      </c>
      <c r="C879" s="143" t="n">
        <v>91601</v>
      </c>
      <c r="D879" s="143" t="s">
        <v>64</v>
      </c>
      <c r="E879" s="143" t="s">
        <v>474</v>
      </c>
      <c r="F879" s="144" t="n">
        <v>200025889203</v>
      </c>
      <c r="G879" s="144" t="s">
        <v>449</v>
      </c>
      <c r="H879" s="144" t="n">
        <v>95</v>
      </c>
      <c r="I879" s="144" t="s">
        <v>152</v>
      </c>
      <c r="J879" s="152" t="n">
        <v>45056.6773032407</v>
      </c>
      <c r="K879" s="1" t="n">
        <v>1</v>
      </c>
      <c r="L879" s="144" t="n">
        <v>95</v>
      </c>
      <c r="M879" s="1" t="n">
        <v>16</v>
      </c>
      <c r="N879" s="1" t="n">
        <v>16</v>
      </c>
      <c r="O879" s="149" t="n">
        <v>130</v>
      </c>
    </row>
    <row r="880" customFormat="false" ht="14.25" hidden="false" customHeight="false" outlineLevel="0" collapsed="false">
      <c r="A880" s="1" t="n">
        <v>128</v>
      </c>
      <c r="B880" s="1" t="s">
        <v>477</v>
      </c>
      <c r="C880" s="143" t="n">
        <v>91601</v>
      </c>
      <c r="D880" s="143" t="s">
        <v>64</v>
      </c>
      <c r="E880" s="143" t="s">
        <v>474</v>
      </c>
      <c r="F880" s="144" t="n">
        <v>200025889203</v>
      </c>
      <c r="G880" s="144" t="s">
        <v>449</v>
      </c>
      <c r="H880" s="144" t="n">
        <v>95</v>
      </c>
      <c r="I880" s="144" t="s">
        <v>152</v>
      </c>
      <c r="J880" s="152" t="n">
        <v>45056.6775925926</v>
      </c>
      <c r="K880" s="1" t="n">
        <v>2</v>
      </c>
      <c r="L880" s="144" t="n">
        <v>95</v>
      </c>
      <c r="M880" s="1" t="n">
        <v>16</v>
      </c>
      <c r="N880" s="1" t="n">
        <v>16</v>
      </c>
      <c r="O880" s="149" t="n">
        <v>131</v>
      </c>
    </row>
    <row r="881" customFormat="false" ht="14.25" hidden="false" customHeight="false" outlineLevel="0" collapsed="false">
      <c r="A881" s="1" t="n">
        <v>129</v>
      </c>
      <c r="B881" s="1" t="s">
        <v>477</v>
      </c>
      <c r="C881" s="143" t="n">
        <v>91601</v>
      </c>
      <c r="D881" s="143" t="s">
        <v>64</v>
      </c>
      <c r="E881" s="143" t="s">
        <v>474</v>
      </c>
      <c r="F881" s="144" t="n">
        <v>200025889203</v>
      </c>
      <c r="G881" s="144" t="s">
        <v>449</v>
      </c>
      <c r="H881" s="144" t="n">
        <v>95</v>
      </c>
      <c r="I881" s="144" t="s">
        <v>152</v>
      </c>
      <c r="J881" s="152" t="n">
        <v>45056.6779398148</v>
      </c>
      <c r="K881" s="1" t="n">
        <v>2</v>
      </c>
      <c r="L881" s="144" t="n">
        <v>95</v>
      </c>
      <c r="M881" s="1" t="n">
        <v>16</v>
      </c>
      <c r="N881" s="1" t="n">
        <v>16</v>
      </c>
      <c r="O881" s="149" t="n">
        <v>132</v>
      </c>
    </row>
    <row r="882" customFormat="false" ht="14.25" hidden="false" customHeight="false" outlineLevel="0" collapsed="false">
      <c r="A882" s="1" t="n">
        <v>130</v>
      </c>
      <c r="B882" s="1" t="s">
        <v>477</v>
      </c>
      <c r="C882" s="143" t="n">
        <v>91601</v>
      </c>
      <c r="D882" s="143" t="s">
        <v>64</v>
      </c>
      <c r="E882" s="143" t="s">
        <v>474</v>
      </c>
      <c r="F882" s="144" t="n">
        <v>200025889203</v>
      </c>
      <c r="G882" s="144" t="s">
        <v>449</v>
      </c>
      <c r="H882" s="144" t="n">
        <v>95</v>
      </c>
      <c r="I882" s="144" t="s">
        <v>152</v>
      </c>
      <c r="J882" s="152" t="n">
        <v>45056.6787152778</v>
      </c>
      <c r="K882" s="1" t="n">
        <v>3</v>
      </c>
      <c r="L882" s="144" t="n">
        <v>95</v>
      </c>
      <c r="M882" s="1" t="n">
        <v>16</v>
      </c>
      <c r="N882" s="1" t="n">
        <v>16</v>
      </c>
      <c r="O882" s="149" t="n">
        <v>133</v>
      </c>
    </row>
    <row r="883" customFormat="false" ht="14.25" hidden="false" customHeight="false" outlineLevel="0" collapsed="false">
      <c r="A883" s="1" t="n">
        <v>131</v>
      </c>
      <c r="B883" s="1" t="s">
        <v>477</v>
      </c>
      <c r="C883" s="143" t="n">
        <v>91601</v>
      </c>
      <c r="D883" s="143" t="s">
        <v>64</v>
      </c>
      <c r="E883" s="143" t="s">
        <v>474</v>
      </c>
      <c r="F883" s="144" t="n">
        <v>200025889203</v>
      </c>
      <c r="G883" s="144" t="s">
        <v>449</v>
      </c>
      <c r="H883" s="144" t="n">
        <v>95</v>
      </c>
      <c r="I883" s="144" t="s">
        <v>152</v>
      </c>
      <c r="J883" s="152" t="n">
        <v>45056.6789814815</v>
      </c>
      <c r="K883" s="1" t="n">
        <v>1</v>
      </c>
      <c r="L883" s="144" t="n">
        <v>95</v>
      </c>
      <c r="M883" s="1" t="n">
        <v>16</v>
      </c>
      <c r="N883" s="1" t="n">
        <v>16</v>
      </c>
      <c r="O883" s="149" t="n">
        <v>134</v>
      </c>
    </row>
    <row r="884" customFormat="false" ht="14.25" hidden="false" customHeight="false" outlineLevel="0" collapsed="false">
      <c r="A884" s="1" t="n">
        <v>132</v>
      </c>
      <c r="B884" s="1" t="s">
        <v>477</v>
      </c>
      <c r="C884" s="143" t="n">
        <v>91601</v>
      </c>
      <c r="D884" s="143" t="s">
        <v>64</v>
      </c>
      <c r="E884" s="143" t="s">
        <v>474</v>
      </c>
      <c r="F884" s="144" t="n">
        <v>200025889203</v>
      </c>
      <c r="G884" s="144" t="s">
        <v>449</v>
      </c>
      <c r="H884" s="144" t="n">
        <v>95</v>
      </c>
      <c r="I884" s="144" t="s">
        <v>152</v>
      </c>
      <c r="J884" s="152" t="n">
        <v>45056.6849189815</v>
      </c>
      <c r="K884" s="1" t="n">
        <v>0</v>
      </c>
      <c r="L884" s="144" t="n">
        <v>95</v>
      </c>
      <c r="M884" s="1" t="n">
        <v>16</v>
      </c>
      <c r="N884" s="1" t="n">
        <v>16</v>
      </c>
      <c r="O884" s="149" t="n">
        <v>135</v>
      </c>
    </row>
    <row r="885" customFormat="false" ht="14.25" hidden="false" customHeight="false" outlineLevel="0" collapsed="false">
      <c r="A885" s="1" t="n">
        <v>133</v>
      </c>
      <c r="B885" s="1" t="s">
        <v>477</v>
      </c>
      <c r="C885" s="143" t="n">
        <v>91601</v>
      </c>
      <c r="D885" s="143" t="s">
        <v>64</v>
      </c>
      <c r="E885" s="143" t="s">
        <v>474</v>
      </c>
      <c r="F885" s="144" t="n">
        <v>200025889203</v>
      </c>
      <c r="G885" s="144" t="s">
        <v>449</v>
      </c>
      <c r="H885" s="144" t="n">
        <v>95</v>
      </c>
      <c r="I885" s="144" t="s">
        <v>152</v>
      </c>
      <c r="J885" s="152" t="n">
        <v>45056.6925</v>
      </c>
      <c r="K885" s="1" t="n">
        <v>2</v>
      </c>
      <c r="L885" s="144" t="n">
        <v>95</v>
      </c>
      <c r="M885" s="1" t="n">
        <v>16</v>
      </c>
      <c r="N885" s="1" t="n">
        <v>16</v>
      </c>
      <c r="O885" s="149" t="n">
        <v>136</v>
      </c>
    </row>
    <row r="886" customFormat="false" ht="14.25" hidden="false" customHeight="false" outlineLevel="0" collapsed="false">
      <c r="A886" s="1" t="n">
        <v>179</v>
      </c>
      <c r="B886" s="1" t="s">
        <v>476</v>
      </c>
      <c r="C886" s="143" t="s">
        <v>58</v>
      </c>
      <c r="D886" s="143" t="s">
        <v>59</v>
      </c>
      <c r="E886" s="143" t="s">
        <v>474</v>
      </c>
      <c r="F886" s="144" t="n">
        <v>200025889203</v>
      </c>
      <c r="G886" s="144" t="s">
        <v>449</v>
      </c>
      <c r="H886" s="144" t="n">
        <v>95</v>
      </c>
      <c r="I886" s="144" t="s">
        <v>152</v>
      </c>
      <c r="J886" s="151" t="n">
        <v>45056.7719560185</v>
      </c>
      <c r="K886" s="1" t="n">
        <v>3</v>
      </c>
      <c r="L886" s="144" t="n">
        <v>95</v>
      </c>
      <c r="M886" s="1" t="n">
        <v>16</v>
      </c>
      <c r="N886" s="1" t="n">
        <v>16</v>
      </c>
      <c r="O886" s="149" t="n">
        <v>137</v>
      </c>
    </row>
    <row r="887" customFormat="false" ht="14.25" hidden="false" customHeight="false" outlineLevel="0" collapsed="false">
      <c r="A887" s="1" t="n">
        <v>181</v>
      </c>
      <c r="B887" s="1" t="s">
        <v>476</v>
      </c>
      <c r="C887" s="143" t="s">
        <v>58</v>
      </c>
      <c r="D887" s="143" t="s">
        <v>59</v>
      </c>
      <c r="E887" s="143" t="s">
        <v>474</v>
      </c>
      <c r="F887" s="144" t="n">
        <v>200025889203</v>
      </c>
      <c r="G887" s="144" t="s">
        <v>449</v>
      </c>
      <c r="H887" s="144" t="n">
        <v>95</v>
      </c>
      <c r="I887" s="144" t="s">
        <v>152</v>
      </c>
      <c r="J887" s="151" t="n">
        <v>45056.7751157407</v>
      </c>
      <c r="K887" s="1" t="n">
        <v>0</v>
      </c>
      <c r="L887" s="144" t="n">
        <v>95</v>
      </c>
      <c r="M887" s="1" t="n">
        <v>16</v>
      </c>
      <c r="N887" s="1" t="n">
        <v>16</v>
      </c>
      <c r="O887" s="149" t="n">
        <v>138</v>
      </c>
    </row>
    <row r="888" customFormat="false" ht="14.25" hidden="false" customHeight="false" outlineLevel="0" collapsed="false">
      <c r="A888" s="1" t="n">
        <v>182</v>
      </c>
      <c r="B888" s="1" t="s">
        <v>476</v>
      </c>
      <c r="C888" s="143" t="s">
        <v>58</v>
      </c>
      <c r="D888" s="143" t="s">
        <v>59</v>
      </c>
      <c r="E888" s="143" t="s">
        <v>474</v>
      </c>
      <c r="F888" s="144" t="n">
        <v>200025889203</v>
      </c>
      <c r="G888" s="144" t="s">
        <v>449</v>
      </c>
      <c r="H888" s="144" t="n">
        <v>95</v>
      </c>
      <c r="I888" s="144" t="s">
        <v>152</v>
      </c>
      <c r="J888" s="151" t="n">
        <v>45056.7752546296</v>
      </c>
      <c r="K888" s="1" t="n">
        <v>2</v>
      </c>
      <c r="L888" s="144" t="n">
        <v>95</v>
      </c>
      <c r="M888" s="1" t="n">
        <v>16</v>
      </c>
      <c r="N888" s="1" t="n">
        <v>16</v>
      </c>
      <c r="O888" s="149" t="n">
        <v>139</v>
      </c>
    </row>
    <row r="889" customFormat="false" ht="14.25" hidden="false" customHeight="false" outlineLevel="0" collapsed="false">
      <c r="A889" s="1" t="n">
        <v>183</v>
      </c>
      <c r="B889" s="1" t="s">
        <v>476</v>
      </c>
      <c r="C889" s="143" t="s">
        <v>58</v>
      </c>
      <c r="D889" s="143" t="s">
        <v>59</v>
      </c>
      <c r="E889" s="143" t="s">
        <v>474</v>
      </c>
      <c r="F889" s="144" t="n">
        <v>200025889203</v>
      </c>
      <c r="G889" s="144" t="s">
        <v>449</v>
      </c>
      <c r="H889" s="144" t="n">
        <v>95</v>
      </c>
      <c r="I889" s="144" t="s">
        <v>152</v>
      </c>
      <c r="J889" s="151" t="n">
        <v>45056.7762615741</v>
      </c>
      <c r="K889" s="1" t="n">
        <v>1</v>
      </c>
      <c r="L889" s="144" t="n">
        <v>95</v>
      </c>
      <c r="M889" s="1" t="n">
        <v>16</v>
      </c>
      <c r="N889" s="1" t="n">
        <v>16</v>
      </c>
      <c r="O889" s="149" t="n">
        <v>140</v>
      </c>
    </row>
    <row r="890" customFormat="false" ht="14.25" hidden="false" customHeight="false" outlineLevel="0" collapsed="false">
      <c r="A890" s="1" t="n">
        <v>184</v>
      </c>
      <c r="B890" s="1" t="s">
        <v>476</v>
      </c>
      <c r="C890" s="143" t="s">
        <v>58</v>
      </c>
      <c r="D890" s="143" t="s">
        <v>59</v>
      </c>
      <c r="E890" s="143" t="s">
        <v>474</v>
      </c>
      <c r="F890" s="144" t="n">
        <v>200025889203</v>
      </c>
      <c r="G890" s="144" t="s">
        <v>449</v>
      </c>
      <c r="H890" s="144" t="n">
        <v>95</v>
      </c>
      <c r="I890" s="144" t="s">
        <v>152</v>
      </c>
      <c r="J890" s="6" t="n">
        <v>45056.7763773148</v>
      </c>
      <c r="K890" s="1" t="n">
        <v>3</v>
      </c>
      <c r="L890" s="144" t="n">
        <v>95</v>
      </c>
      <c r="M890" s="1" t="n">
        <v>16</v>
      </c>
      <c r="N890" s="1" t="n">
        <v>16</v>
      </c>
      <c r="O890" s="149" t="n">
        <v>141</v>
      </c>
    </row>
    <row r="891" customFormat="false" ht="14.25" hidden="false" customHeight="false" outlineLevel="0" collapsed="false">
      <c r="A891" s="1" t="n">
        <v>185</v>
      </c>
      <c r="B891" s="1" t="s">
        <v>476</v>
      </c>
      <c r="C891" s="143" t="s">
        <v>58</v>
      </c>
      <c r="D891" s="143" t="s">
        <v>59</v>
      </c>
      <c r="E891" s="143" t="s">
        <v>474</v>
      </c>
      <c r="F891" s="144" t="n">
        <v>200025889203</v>
      </c>
      <c r="G891" s="144" t="s">
        <v>449</v>
      </c>
      <c r="H891" s="144" t="n">
        <v>95</v>
      </c>
      <c r="I891" s="144" t="s">
        <v>152</v>
      </c>
      <c r="J891" s="6" t="n">
        <v>45056.7768634259</v>
      </c>
      <c r="K891" s="1" t="n">
        <v>4</v>
      </c>
      <c r="L891" s="144" t="n">
        <v>95</v>
      </c>
      <c r="M891" s="1" t="n">
        <v>16</v>
      </c>
      <c r="N891" s="1" t="n">
        <v>16</v>
      </c>
      <c r="O891" s="149" t="n">
        <v>142</v>
      </c>
    </row>
    <row r="892" customFormat="false" ht="14.25" hidden="false" customHeight="false" outlineLevel="0" collapsed="false">
      <c r="A892" s="1" t="n">
        <v>186</v>
      </c>
      <c r="B892" s="1" t="s">
        <v>476</v>
      </c>
      <c r="C892" s="143" t="s">
        <v>58</v>
      </c>
      <c r="D892" s="143" t="s">
        <v>59</v>
      </c>
      <c r="E892" s="143" t="s">
        <v>474</v>
      </c>
      <c r="F892" s="144" t="n">
        <v>200025889203</v>
      </c>
      <c r="G892" s="144" t="s">
        <v>449</v>
      </c>
      <c r="H892" s="144" t="n">
        <v>95</v>
      </c>
      <c r="I892" s="144" t="s">
        <v>152</v>
      </c>
      <c r="J892" s="6" t="n">
        <v>45056.7770833333</v>
      </c>
      <c r="K892" s="1" t="n">
        <v>2</v>
      </c>
      <c r="L892" s="144" t="n">
        <v>95</v>
      </c>
      <c r="M892" s="1" t="n">
        <v>16</v>
      </c>
      <c r="N892" s="1" t="n">
        <v>16</v>
      </c>
      <c r="O892" s="149" t="n">
        <v>143</v>
      </c>
    </row>
    <row r="893" customFormat="false" ht="14.25" hidden="false" customHeight="false" outlineLevel="0" collapsed="false">
      <c r="A893" s="1" t="n">
        <v>187</v>
      </c>
      <c r="B893" s="1" t="s">
        <v>476</v>
      </c>
      <c r="C893" s="143" t="s">
        <v>58</v>
      </c>
      <c r="D893" s="143" t="s">
        <v>59</v>
      </c>
      <c r="E893" s="143" t="s">
        <v>474</v>
      </c>
      <c r="F893" s="144" t="n">
        <v>200025889203</v>
      </c>
      <c r="G893" s="144" t="s">
        <v>449</v>
      </c>
      <c r="H893" s="144" t="n">
        <v>95</v>
      </c>
      <c r="I893" s="144" t="s">
        <v>152</v>
      </c>
      <c r="J893" s="6" t="n">
        <v>45056.7789930556</v>
      </c>
      <c r="K893" s="1" t="n">
        <v>0</v>
      </c>
      <c r="L893" s="144" t="n">
        <v>95</v>
      </c>
      <c r="M893" s="1" t="n">
        <v>16</v>
      </c>
      <c r="N893" s="1" t="n">
        <v>16</v>
      </c>
      <c r="O893" s="149" t="n">
        <v>144</v>
      </c>
    </row>
    <row r="894" customFormat="false" ht="14.25" hidden="false" customHeight="false" outlineLevel="0" collapsed="false">
      <c r="A894" s="1" t="n">
        <v>188</v>
      </c>
      <c r="B894" s="1" t="s">
        <v>476</v>
      </c>
      <c r="C894" s="143" t="s">
        <v>58</v>
      </c>
      <c r="D894" s="143" t="s">
        <v>59</v>
      </c>
      <c r="E894" s="143" t="s">
        <v>474</v>
      </c>
      <c r="F894" s="144" t="n">
        <v>200025889203</v>
      </c>
      <c r="G894" s="144" t="s">
        <v>449</v>
      </c>
      <c r="H894" s="144" t="n">
        <v>95</v>
      </c>
      <c r="I894" s="144" t="s">
        <v>152</v>
      </c>
      <c r="J894" s="6" t="n">
        <v>45056.7790162037</v>
      </c>
      <c r="K894" s="1" t="n">
        <v>2</v>
      </c>
      <c r="L894" s="144" t="n">
        <v>95</v>
      </c>
      <c r="M894" s="1" t="n">
        <v>16</v>
      </c>
      <c r="N894" s="1" t="n">
        <v>16</v>
      </c>
      <c r="O894" s="149" t="n">
        <v>145</v>
      </c>
    </row>
    <row r="895" customFormat="false" ht="14.25" hidden="false" customHeight="false" outlineLevel="0" collapsed="false">
      <c r="A895" s="1" t="n">
        <v>189</v>
      </c>
      <c r="B895" s="1" t="s">
        <v>476</v>
      </c>
      <c r="C895" s="143" t="s">
        <v>58</v>
      </c>
      <c r="D895" s="143" t="s">
        <v>59</v>
      </c>
      <c r="E895" s="143" t="s">
        <v>474</v>
      </c>
      <c r="F895" s="144" t="n">
        <v>200025889203</v>
      </c>
      <c r="G895" s="144" t="s">
        <v>449</v>
      </c>
      <c r="H895" s="144" t="n">
        <v>95</v>
      </c>
      <c r="I895" s="144" t="s">
        <v>152</v>
      </c>
      <c r="J895" s="6" t="n">
        <v>45056.78</v>
      </c>
      <c r="K895" s="1" t="n">
        <v>1</v>
      </c>
      <c r="L895" s="144" t="n">
        <v>95</v>
      </c>
      <c r="M895" s="1" t="n">
        <v>16</v>
      </c>
      <c r="N895" s="1" t="n">
        <v>16</v>
      </c>
      <c r="O895" s="149" t="n">
        <v>146</v>
      </c>
    </row>
    <row r="896" customFormat="false" ht="14.25" hidden="false" customHeight="false" outlineLevel="0" collapsed="false">
      <c r="A896" s="1" t="n">
        <v>10</v>
      </c>
      <c r="B896" s="1" t="s">
        <v>495</v>
      </c>
      <c r="C896" s="143" t="n">
        <v>21265</v>
      </c>
      <c r="D896" s="143" t="s">
        <v>76</v>
      </c>
      <c r="E896" s="143" t="s">
        <v>474</v>
      </c>
      <c r="F896" s="144" t="n">
        <v>200025889203</v>
      </c>
      <c r="G896" s="144" t="s">
        <v>449</v>
      </c>
      <c r="H896" s="144" t="n">
        <v>95</v>
      </c>
      <c r="I896" s="144" t="s">
        <v>152</v>
      </c>
      <c r="J896" s="6" t="n">
        <v>45056.8046180556</v>
      </c>
      <c r="K896" s="1" t="n">
        <v>1</v>
      </c>
      <c r="L896" s="144" t="n">
        <v>95</v>
      </c>
      <c r="M896" s="1" t="n">
        <v>16</v>
      </c>
      <c r="N896" s="1" t="n">
        <v>16</v>
      </c>
      <c r="O896" s="149" t="n">
        <v>147</v>
      </c>
    </row>
    <row r="897" customFormat="false" ht="14.25" hidden="false" customHeight="false" outlineLevel="0" collapsed="false">
      <c r="A897" s="1" t="n">
        <v>11</v>
      </c>
      <c r="B897" s="1" t="s">
        <v>495</v>
      </c>
      <c r="C897" s="143" t="n">
        <v>21265</v>
      </c>
      <c r="D897" s="143" t="s">
        <v>76</v>
      </c>
      <c r="E897" s="143" t="s">
        <v>474</v>
      </c>
      <c r="F897" s="144" t="n">
        <v>200025889203</v>
      </c>
      <c r="G897" s="144" t="s">
        <v>449</v>
      </c>
      <c r="H897" s="144" t="n">
        <v>95</v>
      </c>
      <c r="I897" s="144" t="s">
        <v>152</v>
      </c>
      <c r="J897" s="6" t="n">
        <v>45056.8049074074</v>
      </c>
      <c r="K897" s="1" t="n">
        <v>1</v>
      </c>
      <c r="L897" s="144" t="n">
        <v>95</v>
      </c>
      <c r="M897" s="1" t="n">
        <v>16</v>
      </c>
      <c r="N897" s="1" t="n">
        <v>16</v>
      </c>
      <c r="O897" s="149" t="n">
        <v>148</v>
      </c>
    </row>
    <row r="898" customFormat="false" ht="14.25" hidden="false" customHeight="false" outlineLevel="0" collapsed="false">
      <c r="A898" s="1" t="n">
        <v>12</v>
      </c>
      <c r="B898" s="1" t="s">
        <v>495</v>
      </c>
      <c r="C898" s="143" t="n">
        <v>21265</v>
      </c>
      <c r="D898" s="143" t="s">
        <v>76</v>
      </c>
      <c r="E898" s="143" t="s">
        <v>474</v>
      </c>
      <c r="F898" s="144" t="n">
        <v>200025889203</v>
      </c>
      <c r="G898" s="144" t="s">
        <v>449</v>
      </c>
      <c r="H898" s="144" t="n">
        <v>95</v>
      </c>
      <c r="I898" s="144" t="s">
        <v>152</v>
      </c>
      <c r="J898" s="6" t="n">
        <v>45056.8057407407</v>
      </c>
      <c r="K898" s="1" t="n">
        <v>3</v>
      </c>
      <c r="L898" s="144" t="n">
        <v>95</v>
      </c>
      <c r="M898" s="1" t="n">
        <v>16</v>
      </c>
      <c r="N898" s="1" t="n">
        <v>16</v>
      </c>
      <c r="O898" s="149" t="n">
        <v>149</v>
      </c>
    </row>
    <row r="899" customFormat="false" ht="14.25" hidden="false" customHeight="false" outlineLevel="0" collapsed="false">
      <c r="A899" s="1" t="n">
        <v>13</v>
      </c>
      <c r="B899" s="1" t="s">
        <v>495</v>
      </c>
      <c r="C899" s="143" t="n">
        <v>21265</v>
      </c>
      <c r="D899" s="143" t="s">
        <v>76</v>
      </c>
      <c r="E899" s="143" t="s">
        <v>474</v>
      </c>
      <c r="F899" s="144" t="n">
        <v>200025889203</v>
      </c>
      <c r="G899" s="144" t="s">
        <v>449</v>
      </c>
      <c r="H899" s="144" t="n">
        <v>95</v>
      </c>
      <c r="I899" s="144" t="s">
        <v>152</v>
      </c>
      <c r="J899" s="6" t="n">
        <v>45056.8062268519</v>
      </c>
      <c r="K899" s="1" t="n">
        <v>3</v>
      </c>
      <c r="L899" s="144" t="n">
        <v>95</v>
      </c>
      <c r="M899" s="1" t="n">
        <v>16</v>
      </c>
      <c r="N899" s="1" t="n">
        <v>16</v>
      </c>
      <c r="O899" s="149" t="n">
        <v>150</v>
      </c>
    </row>
    <row r="900" customFormat="false" ht="14.25" hidden="false" customHeight="false" outlineLevel="0" collapsed="false">
      <c r="A900" s="1" t="n">
        <v>14</v>
      </c>
      <c r="B900" s="1" t="s">
        <v>495</v>
      </c>
      <c r="C900" s="143" t="n">
        <v>21265</v>
      </c>
      <c r="D900" s="143" t="s">
        <v>76</v>
      </c>
      <c r="E900" s="143" t="s">
        <v>474</v>
      </c>
      <c r="F900" s="144" t="n">
        <v>200025889203</v>
      </c>
      <c r="G900" s="144" t="s">
        <v>449</v>
      </c>
      <c r="H900" s="144" t="n">
        <v>95</v>
      </c>
      <c r="I900" s="144" t="s">
        <v>152</v>
      </c>
      <c r="J900" s="6" t="n">
        <v>45056.8064583333</v>
      </c>
      <c r="K900" s="1" t="n">
        <v>2</v>
      </c>
      <c r="L900" s="144" t="n">
        <v>95</v>
      </c>
      <c r="M900" s="1" t="n">
        <v>16</v>
      </c>
      <c r="N900" s="1" t="n">
        <v>16</v>
      </c>
      <c r="O900" s="149" t="n">
        <v>151</v>
      </c>
    </row>
    <row r="901" customFormat="false" ht="14.25" hidden="false" customHeight="false" outlineLevel="0" collapsed="false">
      <c r="A901" s="1" t="n">
        <v>185</v>
      </c>
      <c r="B901" s="1" t="s">
        <v>475</v>
      </c>
      <c r="C901" s="143" t="s">
        <v>52</v>
      </c>
      <c r="D901" s="143" t="s">
        <v>53</v>
      </c>
      <c r="E901" s="143" t="s">
        <v>474</v>
      </c>
      <c r="F901" s="144" t="n">
        <v>200025889203</v>
      </c>
      <c r="G901" s="144" t="s">
        <v>449</v>
      </c>
      <c r="H901" s="144" t="n">
        <v>95</v>
      </c>
      <c r="I901" s="144" t="s">
        <v>152</v>
      </c>
      <c r="J901" s="151" t="n">
        <v>45057.3851273148</v>
      </c>
      <c r="K901" s="1" t="n">
        <v>1</v>
      </c>
      <c r="L901" s="144" t="n">
        <v>95</v>
      </c>
      <c r="M901" s="1" t="n">
        <v>16</v>
      </c>
      <c r="N901" s="1" t="n">
        <v>16</v>
      </c>
      <c r="O901" s="149" t="n">
        <v>152</v>
      </c>
    </row>
    <row r="902" customFormat="false" ht="14.25" hidden="false" customHeight="false" outlineLevel="0" collapsed="false">
      <c r="A902" s="1" t="n">
        <v>186</v>
      </c>
      <c r="B902" s="1" t="s">
        <v>475</v>
      </c>
      <c r="C902" s="143" t="s">
        <v>52</v>
      </c>
      <c r="D902" s="143" t="s">
        <v>53</v>
      </c>
      <c r="E902" s="143" t="s">
        <v>474</v>
      </c>
      <c r="F902" s="144" t="n">
        <v>200025889203</v>
      </c>
      <c r="G902" s="144" t="s">
        <v>449</v>
      </c>
      <c r="H902" s="144" t="n">
        <v>95</v>
      </c>
      <c r="I902" s="144" t="s">
        <v>152</v>
      </c>
      <c r="J902" s="151" t="n">
        <v>45057.3855555556</v>
      </c>
      <c r="K902" s="1" t="n">
        <v>0</v>
      </c>
      <c r="L902" s="144" t="n">
        <v>95</v>
      </c>
      <c r="M902" s="1" t="n">
        <v>16</v>
      </c>
      <c r="N902" s="1" t="n">
        <v>16</v>
      </c>
      <c r="O902" s="149" t="n">
        <v>153</v>
      </c>
    </row>
    <row r="903" customFormat="false" ht="14.25" hidden="false" customHeight="false" outlineLevel="0" collapsed="false">
      <c r="A903" s="1" t="n">
        <v>187</v>
      </c>
      <c r="B903" s="1" t="s">
        <v>475</v>
      </c>
      <c r="C903" s="143" t="s">
        <v>52</v>
      </c>
      <c r="D903" s="143" t="s">
        <v>53</v>
      </c>
      <c r="E903" s="143" t="s">
        <v>474</v>
      </c>
      <c r="F903" s="144" t="n">
        <v>200025889203</v>
      </c>
      <c r="G903" s="144" t="s">
        <v>449</v>
      </c>
      <c r="H903" s="144" t="n">
        <v>95</v>
      </c>
      <c r="I903" s="144" t="s">
        <v>152</v>
      </c>
      <c r="J903" s="151" t="n">
        <v>45057.3884027778</v>
      </c>
      <c r="K903" s="1" t="n">
        <v>3</v>
      </c>
      <c r="L903" s="144" t="n">
        <v>95</v>
      </c>
      <c r="M903" s="1" t="n">
        <v>16</v>
      </c>
      <c r="N903" s="1" t="n">
        <v>16</v>
      </c>
      <c r="O903" s="149" t="n">
        <v>154</v>
      </c>
    </row>
    <row r="904" customFormat="false" ht="14.25" hidden="false" customHeight="false" outlineLevel="0" collapsed="false">
      <c r="A904" s="1" t="n">
        <v>1</v>
      </c>
      <c r="B904" s="1" t="s">
        <v>473</v>
      </c>
      <c r="C904" s="143" t="s">
        <v>52</v>
      </c>
      <c r="D904" s="143" t="s">
        <v>53</v>
      </c>
      <c r="E904" s="143" t="s">
        <v>474</v>
      </c>
      <c r="F904" s="144" t="s">
        <v>494</v>
      </c>
      <c r="G904" s="144" t="s">
        <v>449</v>
      </c>
      <c r="H904" s="144" t="n">
        <v>95</v>
      </c>
      <c r="I904" s="144" t="s">
        <v>152</v>
      </c>
      <c r="J904" s="151" t="n">
        <v>45062.4858796296</v>
      </c>
      <c r="K904" s="1" t="n">
        <v>1</v>
      </c>
      <c r="L904" s="144" t="n">
        <v>95</v>
      </c>
      <c r="M904" s="1" t="n">
        <v>16</v>
      </c>
      <c r="N904" s="1" t="n">
        <v>16</v>
      </c>
      <c r="O904" s="149" t="n">
        <v>155</v>
      </c>
    </row>
    <row r="905" customFormat="false" ht="14.25" hidden="false" customHeight="false" outlineLevel="0" collapsed="false">
      <c r="A905" s="1" t="n">
        <v>7</v>
      </c>
      <c r="B905" s="153" t="s">
        <v>496</v>
      </c>
      <c r="C905" s="154" t="s">
        <v>497</v>
      </c>
      <c r="D905" s="154" t="s">
        <v>64</v>
      </c>
      <c r="E905" s="154" t="s">
        <v>474</v>
      </c>
      <c r="F905" s="154" t="s">
        <v>494</v>
      </c>
      <c r="G905" s="144" t="s">
        <v>449</v>
      </c>
      <c r="H905" s="144" t="n">
        <v>95</v>
      </c>
      <c r="I905" s="144" t="s">
        <v>152</v>
      </c>
      <c r="J905" s="6" t="n">
        <v>45065.4772569445</v>
      </c>
      <c r="K905" s="1" t="n">
        <v>1</v>
      </c>
      <c r="L905" s="144" t="n">
        <v>95</v>
      </c>
      <c r="M905" s="1" t="n">
        <v>16</v>
      </c>
      <c r="N905" s="1" t="n">
        <v>16</v>
      </c>
      <c r="O905" s="149" t="n">
        <v>156</v>
      </c>
    </row>
    <row r="906" customFormat="false" ht="14.25" hidden="false" customHeight="false" outlineLevel="0" collapsed="false">
      <c r="A906" s="1" t="n">
        <v>69</v>
      </c>
      <c r="B906" s="1" t="s">
        <v>473</v>
      </c>
      <c r="C906" s="143" t="n">
        <v>11490</v>
      </c>
      <c r="D906" s="143" t="s">
        <v>65</v>
      </c>
      <c r="E906" s="143" t="s">
        <v>474</v>
      </c>
      <c r="F906" s="144" t="n">
        <v>200025889213</v>
      </c>
      <c r="G906" s="144" t="s">
        <v>178</v>
      </c>
      <c r="H906" s="144" t="n">
        <v>5</v>
      </c>
      <c r="I906" s="144" t="s">
        <v>152</v>
      </c>
      <c r="J906" s="151" t="n">
        <v>45056.0749305556</v>
      </c>
      <c r="K906" s="1" t="n">
        <v>2</v>
      </c>
      <c r="L906" s="144" t="n">
        <v>5</v>
      </c>
      <c r="M906" s="1" t="n">
        <v>17</v>
      </c>
      <c r="N906" s="1" t="n">
        <v>17</v>
      </c>
      <c r="O906" s="149" t="n">
        <v>1</v>
      </c>
    </row>
    <row r="907" customFormat="false" ht="14.25" hidden="false" customHeight="false" outlineLevel="0" collapsed="false">
      <c r="A907" s="1" t="n">
        <v>70</v>
      </c>
      <c r="B907" s="1" t="s">
        <v>473</v>
      </c>
      <c r="C907" s="143" t="n">
        <v>11490</v>
      </c>
      <c r="D907" s="143" t="s">
        <v>65</v>
      </c>
      <c r="E907" s="143" t="s">
        <v>474</v>
      </c>
      <c r="F907" s="144" t="n">
        <v>200025889213</v>
      </c>
      <c r="G907" s="144" t="s">
        <v>178</v>
      </c>
      <c r="H907" s="144" t="n">
        <v>5</v>
      </c>
      <c r="I907" s="144" t="s">
        <v>152</v>
      </c>
      <c r="J907" s="151" t="n">
        <v>45056.0753240741</v>
      </c>
      <c r="K907" s="1" t="n">
        <v>1</v>
      </c>
      <c r="L907" s="144" t="n">
        <v>5</v>
      </c>
      <c r="M907" s="1" t="n">
        <v>17</v>
      </c>
      <c r="N907" s="1" t="n">
        <v>17</v>
      </c>
      <c r="O907" s="149" t="n">
        <v>2</v>
      </c>
    </row>
    <row r="908" customFormat="false" ht="14.25" hidden="false" customHeight="false" outlineLevel="0" collapsed="false">
      <c r="A908" s="1" t="n">
        <v>71</v>
      </c>
      <c r="B908" s="1" t="s">
        <v>473</v>
      </c>
      <c r="C908" s="143" t="n">
        <v>11490</v>
      </c>
      <c r="D908" s="143" t="s">
        <v>65</v>
      </c>
      <c r="E908" s="143" t="s">
        <v>474</v>
      </c>
      <c r="F908" s="144" t="n">
        <v>200025889213</v>
      </c>
      <c r="G908" s="144" t="s">
        <v>178</v>
      </c>
      <c r="H908" s="144" t="n">
        <v>5</v>
      </c>
      <c r="I908" s="144" t="s">
        <v>152</v>
      </c>
      <c r="J908" s="151" t="n">
        <v>45056.0754861111</v>
      </c>
      <c r="K908" s="1" t="n">
        <v>1</v>
      </c>
      <c r="L908" s="144" t="n">
        <v>5</v>
      </c>
      <c r="M908" s="1" t="n">
        <v>17</v>
      </c>
      <c r="N908" s="1" t="n">
        <v>17</v>
      </c>
      <c r="O908" s="149" t="n">
        <v>3</v>
      </c>
    </row>
    <row r="909" customFormat="false" ht="14.25" hidden="false" customHeight="false" outlineLevel="0" collapsed="false">
      <c r="A909" s="1" t="n">
        <v>72</v>
      </c>
      <c r="B909" s="1" t="s">
        <v>473</v>
      </c>
      <c r="C909" s="143" t="n">
        <v>11490</v>
      </c>
      <c r="D909" s="143" t="s">
        <v>65</v>
      </c>
      <c r="E909" s="143" t="s">
        <v>474</v>
      </c>
      <c r="F909" s="144" t="n">
        <v>200025889213</v>
      </c>
      <c r="G909" s="144" t="s">
        <v>178</v>
      </c>
      <c r="H909" s="144" t="n">
        <v>5</v>
      </c>
      <c r="I909" s="144" t="s">
        <v>152</v>
      </c>
      <c r="J909" s="151" t="n">
        <v>45056.0776041667</v>
      </c>
      <c r="K909" s="1" t="n">
        <v>0</v>
      </c>
      <c r="L909" s="144" t="n">
        <v>5</v>
      </c>
      <c r="M909" s="1" t="n">
        <v>17</v>
      </c>
      <c r="N909" s="1" t="n">
        <v>17</v>
      </c>
      <c r="O909" s="149" t="n">
        <v>4</v>
      </c>
    </row>
    <row r="910" customFormat="false" ht="14.25" hidden="false" customHeight="false" outlineLevel="0" collapsed="false">
      <c r="A910" s="1" t="n">
        <v>73</v>
      </c>
      <c r="B910" s="1" t="s">
        <v>473</v>
      </c>
      <c r="C910" s="143" t="n">
        <v>11490</v>
      </c>
      <c r="D910" s="143" t="s">
        <v>65</v>
      </c>
      <c r="E910" s="143" t="s">
        <v>474</v>
      </c>
      <c r="F910" s="144" t="n">
        <v>200025889213</v>
      </c>
      <c r="G910" s="144" t="s">
        <v>178</v>
      </c>
      <c r="H910" s="144" t="n">
        <v>5</v>
      </c>
      <c r="I910" s="144" t="s">
        <v>152</v>
      </c>
      <c r="J910" s="151" t="n">
        <v>45056.0776388889</v>
      </c>
      <c r="K910" s="1" t="n">
        <v>0</v>
      </c>
      <c r="L910" s="144" t="n">
        <v>5</v>
      </c>
      <c r="M910" s="1" t="n">
        <v>17</v>
      </c>
      <c r="N910" s="1" t="n">
        <v>17</v>
      </c>
      <c r="O910" s="149" t="n">
        <v>5</v>
      </c>
    </row>
    <row r="911" customFormat="false" ht="14.25" hidden="false" customHeight="false" outlineLevel="0" collapsed="false">
      <c r="A911" s="1" t="n">
        <v>74</v>
      </c>
      <c r="B911" s="1" t="s">
        <v>473</v>
      </c>
      <c r="C911" s="143" t="n">
        <v>11490</v>
      </c>
      <c r="D911" s="143" t="s">
        <v>65</v>
      </c>
      <c r="E911" s="143" t="s">
        <v>474</v>
      </c>
      <c r="F911" s="144" t="n">
        <v>200025889213</v>
      </c>
      <c r="G911" s="144" t="s">
        <v>178</v>
      </c>
      <c r="H911" s="144" t="n">
        <v>5</v>
      </c>
      <c r="I911" s="144" t="s">
        <v>152</v>
      </c>
      <c r="J911" s="151" t="n">
        <v>45056.0779050926</v>
      </c>
      <c r="K911" s="1" t="n">
        <v>4</v>
      </c>
      <c r="L911" s="144" t="n">
        <v>5</v>
      </c>
      <c r="M911" s="1" t="n">
        <v>17</v>
      </c>
      <c r="N911" s="1" t="n">
        <v>17</v>
      </c>
      <c r="O911" s="149" t="n">
        <v>6</v>
      </c>
    </row>
    <row r="912" customFormat="false" ht="14.25" hidden="false" customHeight="false" outlineLevel="0" collapsed="false">
      <c r="A912" s="1" t="n">
        <v>65</v>
      </c>
      <c r="B912" s="1" t="s">
        <v>475</v>
      </c>
      <c r="C912" s="143" t="s">
        <v>52</v>
      </c>
      <c r="D912" s="143" t="s">
        <v>53</v>
      </c>
      <c r="E912" s="143" t="s">
        <v>474</v>
      </c>
      <c r="F912" s="144" t="n">
        <v>200025889213</v>
      </c>
      <c r="G912" s="144" t="s">
        <v>178</v>
      </c>
      <c r="H912" s="144" t="n">
        <v>5</v>
      </c>
      <c r="I912" s="144" t="s">
        <v>152</v>
      </c>
      <c r="J912" s="151" t="n">
        <v>45056.0817592593</v>
      </c>
      <c r="K912" s="1" t="n">
        <v>0</v>
      </c>
      <c r="L912" s="144" t="n">
        <v>5</v>
      </c>
      <c r="M912" s="1" t="n">
        <v>17</v>
      </c>
      <c r="N912" s="1" t="n">
        <v>17</v>
      </c>
      <c r="O912" s="149" t="n">
        <v>7</v>
      </c>
    </row>
    <row r="913" customFormat="false" ht="14.25" hidden="false" customHeight="false" outlineLevel="0" collapsed="false">
      <c r="A913" s="1" t="n">
        <v>13</v>
      </c>
      <c r="B913" s="1" t="s">
        <v>478</v>
      </c>
      <c r="C913" s="143" t="n">
        <v>11171</v>
      </c>
      <c r="D913" s="143" t="s">
        <v>74</v>
      </c>
      <c r="E913" s="143" t="s">
        <v>474</v>
      </c>
      <c r="F913" s="144" t="n">
        <v>200025889213</v>
      </c>
      <c r="G913" s="144" t="s">
        <v>178</v>
      </c>
      <c r="H913" s="144" t="n">
        <v>5</v>
      </c>
      <c r="I913" s="144" t="s">
        <v>152</v>
      </c>
      <c r="J913" s="151" t="n">
        <v>45056.0908912037</v>
      </c>
      <c r="K913" s="1" t="n">
        <v>1</v>
      </c>
      <c r="L913" s="144" t="n">
        <v>5</v>
      </c>
      <c r="M913" s="1" t="n">
        <v>17</v>
      </c>
      <c r="N913" s="1" t="n">
        <v>17</v>
      </c>
      <c r="O913" s="149" t="n">
        <v>8</v>
      </c>
    </row>
    <row r="914" customFormat="false" ht="14.25" hidden="false" customHeight="false" outlineLevel="0" collapsed="false">
      <c r="A914" s="1" t="n">
        <v>14</v>
      </c>
      <c r="B914" s="1" t="s">
        <v>478</v>
      </c>
      <c r="C914" s="143" t="n">
        <v>11171</v>
      </c>
      <c r="D914" s="143" t="s">
        <v>74</v>
      </c>
      <c r="E914" s="143" t="s">
        <v>474</v>
      </c>
      <c r="F914" s="144" t="n">
        <v>200025889213</v>
      </c>
      <c r="G914" s="144" t="s">
        <v>178</v>
      </c>
      <c r="H914" s="144" t="n">
        <v>5</v>
      </c>
      <c r="I914" s="144" t="s">
        <v>152</v>
      </c>
      <c r="J914" s="151" t="n">
        <v>45056.0910069444</v>
      </c>
      <c r="K914" s="1" t="n">
        <v>1</v>
      </c>
      <c r="L914" s="144" t="n">
        <v>5</v>
      </c>
      <c r="M914" s="1" t="n">
        <v>17</v>
      </c>
      <c r="N914" s="1" t="n">
        <v>17</v>
      </c>
      <c r="O914" s="149" t="n">
        <v>9</v>
      </c>
    </row>
    <row r="915" customFormat="false" ht="14.25" hidden="false" customHeight="false" outlineLevel="0" collapsed="false">
      <c r="A915" s="1" t="n">
        <v>15</v>
      </c>
      <c r="B915" s="1" t="s">
        <v>478</v>
      </c>
      <c r="C915" s="143" t="n">
        <v>11171</v>
      </c>
      <c r="D915" s="143" t="s">
        <v>74</v>
      </c>
      <c r="E915" s="143" t="s">
        <v>474</v>
      </c>
      <c r="F915" s="144" t="n">
        <v>200025889213</v>
      </c>
      <c r="G915" s="144" t="s">
        <v>178</v>
      </c>
      <c r="H915" s="144" t="n">
        <v>5</v>
      </c>
      <c r="I915" s="144" t="s">
        <v>152</v>
      </c>
      <c r="J915" s="151" t="n">
        <v>45056.0936458333</v>
      </c>
      <c r="K915" s="1" t="n">
        <v>2</v>
      </c>
      <c r="L915" s="144" t="n">
        <v>5</v>
      </c>
      <c r="M915" s="1" t="n">
        <v>17</v>
      </c>
      <c r="N915" s="1" t="n">
        <v>17</v>
      </c>
      <c r="O915" s="149" t="n">
        <v>10</v>
      </c>
    </row>
    <row r="916" customFormat="false" ht="14.25" hidden="false" customHeight="false" outlineLevel="0" collapsed="false">
      <c r="A916" s="1" t="n">
        <v>16</v>
      </c>
      <c r="B916" s="1" t="s">
        <v>478</v>
      </c>
      <c r="C916" s="143" t="n">
        <v>11171</v>
      </c>
      <c r="D916" s="143" t="s">
        <v>74</v>
      </c>
      <c r="E916" s="143" t="s">
        <v>474</v>
      </c>
      <c r="F916" s="144" t="n">
        <v>200025889213</v>
      </c>
      <c r="G916" s="144" t="s">
        <v>178</v>
      </c>
      <c r="H916" s="144" t="n">
        <v>5</v>
      </c>
      <c r="I916" s="144" t="s">
        <v>152</v>
      </c>
      <c r="J916" s="151" t="n">
        <v>45056.0988657407</v>
      </c>
      <c r="K916" s="1" t="n">
        <v>1</v>
      </c>
      <c r="L916" s="144" t="n">
        <v>5</v>
      </c>
      <c r="M916" s="1" t="n">
        <v>17</v>
      </c>
      <c r="N916" s="1" t="n">
        <v>17</v>
      </c>
      <c r="O916" s="149" t="n">
        <v>11</v>
      </c>
    </row>
    <row r="917" customFormat="false" ht="14.25" hidden="false" customHeight="false" outlineLevel="0" collapsed="false">
      <c r="A917" s="1" t="n">
        <v>17</v>
      </c>
      <c r="B917" s="1" t="s">
        <v>478</v>
      </c>
      <c r="C917" s="143" t="n">
        <v>11171</v>
      </c>
      <c r="D917" s="143" t="s">
        <v>74</v>
      </c>
      <c r="E917" s="143" t="s">
        <v>474</v>
      </c>
      <c r="F917" s="144" t="n">
        <v>200025889213</v>
      </c>
      <c r="G917" s="144" t="s">
        <v>178</v>
      </c>
      <c r="H917" s="144" t="n">
        <v>5</v>
      </c>
      <c r="I917" s="144" t="s">
        <v>152</v>
      </c>
      <c r="J917" s="151" t="n">
        <v>45056.0997453704</v>
      </c>
      <c r="K917" s="1" t="n">
        <v>1</v>
      </c>
      <c r="L917" s="144" t="n">
        <v>5</v>
      </c>
      <c r="M917" s="1" t="n">
        <v>17</v>
      </c>
      <c r="N917" s="1" t="n">
        <v>17</v>
      </c>
      <c r="O917" s="149" t="n">
        <v>12</v>
      </c>
    </row>
    <row r="918" customFormat="false" ht="14.25" hidden="false" customHeight="false" outlineLevel="0" collapsed="false">
      <c r="A918" s="1" t="n">
        <v>18</v>
      </c>
      <c r="B918" s="1" t="s">
        <v>478</v>
      </c>
      <c r="C918" s="143" t="n">
        <v>11171</v>
      </c>
      <c r="D918" s="143" t="s">
        <v>74</v>
      </c>
      <c r="E918" s="143" t="s">
        <v>474</v>
      </c>
      <c r="F918" s="144" t="n">
        <v>200025889213</v>
      </c>
      <c r="G918" s="144" t="s">
        <v>178</v>
      </c>
      <c r="H918" s="144" t="n">
        <v>5</v>
      </c>
      <c r="I918" s="144" t="s">
        <v>152</v>
      </c>
      <c r="J918" s="151" t="n">
        <v>45056.2737847222</v>
      </c>
      <c r="K918" s="1" t="n">
        <v>3</v>
      </c>
      <c r="L918" s="144" t="n">
        <v>5</v>
      </c>
      <c r="M918" s="1" t="n">
        <v>17</v>
      </c>
      <c r="N918" s="1" t="n">
        <v>17</v>
      </c>
      <c r="O918" s="149" t="n">
        <v>13</v>
      </c>
    </row>
    <row r="919" customFormat="false" ht="14.25" hidden="false" customHeight="false" outlineLevel="0" collapsed="false">
      <c r="A919" s="1" t="n">
        <v>19</v>
      </c>
      <c r="B919" s="1" t="s">
        <v>478</v>
      </c>
      <c r="C919" s="143" t="n">
        <v>11171</v>
      </c>
      <c r="D919" s="143" t="s">
        <v>74</v>
      </c>
      <c r="E919" s="143" t="s">
        <v>474</v>
      </c>
      <c r="F919" s="144" t="n">
        <v>200025889213</v>
      </c>
      <c r="G919" s="144" t="s">
        <v>178</v>
      </c>
      <c r="H919" s="144" t="n">
        <v>5</v>
      </c>
      <c r="I919" s="144" t="s">
        <v>152</v>
      </c>
      <c r="J919" s="151" t="n">
        <v>45056.2763657407</v>
      </c>
      <c r="K919" s="1" t="n">
        <v>2</v>
      </c>
      <c r="L919" s="144" t="n">
        <v>5</v>
      </c>
      <c r="M919" s="1" t="n">
        <v>17</v>
      </c>
      <c r="N919" s="1" t="n">
        <v>17</v>
      </c>
      <c r="O919" s="149" t="n">
        <v>14</v>
      </c>
    </row>
    <row r="920" customFormat="false" ht="14.25" hidden="false" customHeight="false" outlineLevel="0" collapsed="false">
      <c r="A920" s="1" t="n">
        <v>109</v>
      </c>
      <c r="B920" s="1" t="s">
        <v>476</v>
      </c>
      <c r="C920" s="143" t="s">
        <v>58</v>
      </c>
      <c r="D920" s="143" t="s">
        <v>59</v>
      </c>
      <c r="E920" s="143" t="s">
        <v>474</v>
      </c>
      <c r="F920" s="144" t="n">
        <v>200025889213</v>
      </c>
      <c r="G920" s="144" t="s">
        <v>178</v>
      </c>
      <c r="H920" s="144" t="n">
        <v>5</v>
      </c>
      <c r="I920" s="144" t="s">
        <v>152</v>
      </c>
      <c r="J920" s="151" t="n">
        <v>45056.3578009259</v>
      </c>
      <c r="K920" s="1" t="n">
        <v>1</v>
      </c>
      <c r="L920" s="144" t="n">
        <v>5</v>
      </c>
      <c r="M920" s="1" t="n">
        <v>17</v>
      </c>
      <c r="N920" s="1" t="n">
        <v>17</v>
      </c>
      <c r="O920" s="149" t="n">
        <v>15</v>
      </c>
    </row>
    <row r="921" customFormat="false" ht="14.25" hidden="false" customHeight="false" outlineLevel="0" collapsed="false">
      <c r="A921" s="1" t="n">
        <v>110</v>
      </c>
      <c r="B921" s="1" t="s">
        <v>476</v>
      </c>
      <c r="C921" s="143" t="s">
        <v>58</v>
      </c>
      <c r="D921" s="143" t="s">
        <v>59</v>
      </c>
      <c r="E921" s="143" t="s">
        <v>474</v>
      </c>
      <c r="F921" s="144" t="n">
        <v>200025889213</v>
      </c>
      <c r="G921" s="144" t="s">
        <v>178</v>
      </c>
      <c r="H921" s="144" t="n">
        <v>5</v>
      </c>
      <c r="I921" s="144" t="s">
        <v>152</v>
      </c>
      <c r="J921" s="151" t="n">
        <v>45056.3581597222</v>
      </c>
      <c r="K921" s="1" t="n">
        <v>3</v>
      </c>
      <c r="L921" s="144" t="n">
        <v>5</v>
      </c>
      <c r="M921" s="1" t="n">
        <v>17</v>
      </c>
      <c r="N921" s="1" t="n">
        <v>17</v>
      </c>
      <c r="O921" s="149" t="n">
        <v>16</v>
      </c>
    </row>
    <row r="922" customFormat="false" ht="14.25" hidden="false" customHeight="false" outlineLevel="0" collapsed="false">
      <c r="A922" s="1" t="n">
        <v>111</v>
      </c>
      <c r="B922" s="1" t="s">
        <v>476</v>
      </c>
      <c r="C922" s="143" t="s">
        <v>58</v>
      </c>
      <c r="D922" s="143" t="s">
        <v>59</v>
      </c>
      <c r="E922" s="143" t="s">
        <v>474</v>
      </c>
      <c r="F922" s="144" t="n">
        <v>200025889213</v>
      </c>
      <c r="G922" s="144" t="s">
        <v>178</v>
      </c>
      <c r="H922" s="144" t="n">
        <v>5</v>
      </c>
      <c r="I922" s="144" t="s">
        <v>152</v>
      </c>
      <c r="J922" s="151" t="n">
        <v>45056.3585300926</v>
      </c>
      <c r="K922" s="1" t="n">
        <v>2</v>
      </c>
      <c r="L922" s="144" t="n">
        <v>5</v>
      </c>
      <c r="M922" s="1" t="n">
        <v>17</v>
      </c>
      <c r="N922" s="1" t="n">
        <v>17</v>
      </c>
      <c r="O922" s="149" t="n">
        <v>17</v>
      </c>
    </row>
    <row r="923" customFormat="false" ht="14.25" hidden="false" customHeight="false" outlineLevel="0" collapsed="false">
      <c r="A923" s="1" t="n">
        <v>112</v>
      </c>
      <c r="B923" s="1" t="s">
        <v>476</v>
      </c>
      <c r="C923" s="143" t="s">
        <v>58</v>
      </c>
      <c r="D923" s="143" t="s">
        <v>59</v>
      </c>
      <c r="E923" s="143" t="s">
        <v>474</v>
      </c>
      <c r="F923" s="144" t="n">
        <v>200025889213</v>
      </c>
      <c r="G923" s="144" t="s">
        <v>178</v>
      </c>
      <c r="H923" s="144" t="n">
        <v>5</v>
      </c>
      <c r="I923" s="144" t="s">
        <v>152</v>
      </c>
      <c r="J923" s="151" t="n">
        <v>45056.359375</v>
      </c>
      <c r="K923" s="1" t="n">
        <v>1</v>
      </c>
      <c r="L923" s="144" t="n">
        <v>5</v>
      </c>
      <c r="M923" s="1" t="n">
        <v>17</v>
      </c>
      <c r="N923" s="1" t="n">
        <v>17</v>
      </c>
      <c r="O923" s="149" t="n">
        <v>18</v>
      </c>
    </row>
    <row r="924" customFormat="false" ht="14.25" hidden="false" customHeight="false" outlineLevel="0" collapsed="false">
      <c r="A924" s="1" t="n">
        <v>113</v>
      </c>
      <c r="B924" s="1" t="s">
        <v>476</v>
      </c>
      <c r="C924" s="143" t="s">
        <v>58</v>
      </c>
      <c r="D924" s="143" t="s">
        <v>59</v>
      </c>
      <c r="E924" s="143" t="s">
        <v>474</v>
      </c>
      <c r="F924" s="144" t="n">
        <v>200025889213</v>
      </c>
      <c r="G924" s="144" t="s">
        <v>178</v>
      </c>
      <c r="H924" s="144" t="n">
        <v>5</v>
      </c>
      <c r="I924" s="144" t="s">
        <v>152</v>
      </c>
      <c r="J924" s="151" t="n">
        <v>45056.3595486111</v>
      </c>
      <c r="K924" s="1" t="n">
        <v>0</v>
      </c>
      <c r="L924" s="144" t="n">
        <v>5</v>
      </c>
      <c r="M924" s="1" t="n">
        <v>17</v>
      </c>
      <c r="N924" s="1" t="n">
        <v>17</v>
      </c>
      <c r="O924" s="149" t="n">
        <v>19</v>
      </c>
    </row>
    <row r="925" customFormat="false" ht="14.25" hidden="false" customHeight="false" outlineLevel="0" collapsed="false">
      <c r="A925" s="1" t="n">
        <v>114</v>
      </c>
      <c r="B925" s="1" t="s">
        <v>476</v>
      </c>
      <c r="C925" s="143" t="s">
        <v>58</v>
      </c>
      <c r="D925" s="143" t="s">
        <v>59</v>
      </c>
      <c r="E925" s="143" t="s">
        <v>474</v>
      </c>
      <c r="F925" s="144" t="n">
        <v>200025889213</v>
      </c>
      <c r="G925" s="144" t="s">
        <v>178</v>
      </c>
      <c r="H925" s="144" t="n">
        <v>5</v>
      </c>
      <c r="I925" s="144" t="s">
        <v>152</v>
      </c>
      <c r="J925" s="151" t="n">
        <v>45056.3603819445</v>
      </c>
      <c r="K925" s="1" t="n">
        <v>1</v>
      </c>
      <c r="L925" s="144" t="n">
        <v>5</v>
      </c>
      <c r="M925" s="1" t="n">
        <v>17</v>
      </c>
      <c r="N925" s="1" t="n">
        <v>17</v>
      </c>
      <c r="O925" s="149" t="n">
        <v>20</v>
      </c>
    </row>
    <row r="926" customFormat="false" ht="14.25" hidden="false" customHeight="false" outlineLevel="0" collapsed="false">
      <c r="A926" s="1" t="n">
        <v>233</v>
      </c>
      <c r="B926" s="1" t="s">
        <v>476</v>
      </c>
      <c r="C926" s="143" t="s">
        <v>58</v>
      </c>
      <c r="D926" s="143" t="s">
        <v>59</v>
      </c>
      <c r="E926" s="143" t="s">
        <v>474</v>
      </c>
      <c r="F926" s="144" t="n">
        <v>200025889213</v>
      </c>
      <c r="G926" s="144" t="s">
        <v>178</v>
      </c>
      <c r="H926" s="144" t="n">
        <v>5</v>
      </c>
      <c r="I926" s="144" t="s">
        <v>152</v>
      </c>
      <c r="J926" s="151" t="n">
        <v>45057.228912037</v>
      </c>
      <c r="K926" s="1" t="n">
        <v>1</v>
      </c>
      <c r="L926" s="144" t="n">
        <v>5</v>
      </c>
      <c r="M926" s="1" t="n">
        <v>17</v>
      </c>
      <c r="N926" s="1" t="n">
        <v>17</v>
      </c>
      <c r="O926" s="149" t="n">
        <v>21</v>
      </c>
    </row>
    <row r="927" customFormat="false" ht="14.25" hidden="false" customHeight="false" outlineLevel="0" collapsed="false">
      <c r="A927" s="1" t="n">
        <v>234</v>
      </c>
      <c r="B927" s="1" t="s">
        <v>476</v>
      </c>
      <c r="C927" s="143" t="s">
        <v>58</v>
      </c>
      <c r="D927" s="143" t="s">
        <v>59</v>
      </c>
      <c r="E927" s="143" t="s">
        <v>474</v>
      </c>
      <c r="F927" s="144" t="n">
        <v>200025889213</v>
      </c>
      <c r="G927" s="144" t="s">
        <v>178</v>
      </c>
      <c r="H927" s="144" t="n">
        <v>5</v>
      </c>
      <c r="I927" s="144" t="s">
        <v>152</v>
      </c>
      <c r="J927" s="151" t="n">
        <v>45057.2297222222</v>
      </c>
      <c r="K927" s="1" t="n">
        <v>0</v>
      </c>
      <c r="L927" s="144" t="n">
        <v>5</v>
      </c>
      <c r="M927" s="1" t="n">
        <v>17</v>
      </c>
      <c r="N927" s="1" t="n">
        <v>17</v>
      </c>
      <c r="O927" s="149" t="n">
        <v>22</v>
      </c>
    </row>
    <row r="928" customFormat="false" ht="14.25" hidden="false" customHeight="false" outlineLevel="0" collapsed="false">
      <c r="A928" s="1" t="n">
        <v>246</v>
      </c>
      <c r="B928" s="1" t="s">
        <v>476</v>
      </c>
      <c r="C928" s="143" t="s">
        <v>58</v>
      </c>
      <c r="D928" s="143" t="s">
        <v>59</v>
      </c>
      <c r="E928" s="143" t="s">
        <v>474</v>
      </c>
      <c r="F928" s="144" t="n">
        <v>200025889213</v>
      </c>
      <c r="G928" s="144" t="s">
        <v>178</v>
      </c>
      <c r="H928" s="144" t="n">
        <v>5</v>
      </c>
      <c r="I928" s="144" t="s">
        <v>152</v>
      </c>
      <c r="J928" s="151" t="n">
        <v>45057.346400463</v>
      </c>
      <c r="K928" s="1" t="n">
        <v>1</v>
      </c>
      <c r="L928" s="144" t="n">
        <v>5</v>
      </c>
      <c r="M928" s="1" t="n">
        <v>17</v>
      </c>
      <c r="N928" s="1" t="n">
        <v>17</v>
      </c>
      <c r="O928" s="149" t="n">
        <v>23</v>
      </c>
    </row>
    <row r="929" customFormat="false" ht="14.25" hidden="false" customHeight="false" outlineLevel="0" collapsed="false">
      <c r="A929" s="1" t="n">
        <v>249</v>
      </c>
      <c r="B929" s="1" t="s">
        <v>476</v>
      </c>
      <c r="C929" s="143" t="s">
        <v>58</v>
      </c>
      <c r="D929" s="143" t="s">
        <v>59</v>
      </c>
      <c r="E929" s="143" t="s">
        <v>474</v>
      </c>
      <c r="F929" s="144" t="n">
        <v>200025889213</v>
      </c>
      <c r="G929" s="144" t="s">
        <v>178</v>
      </c>
      <c r="H929" s="144" t="n">
        <v>5</v>
      </c>
      <c r="I929" s="144" t="s">
        <v>152</v>
      </c>
      <c r="J929" s="151" t="n">
        <v>45057.3886921296</v>
      </c>
      <c r="K929" s="1" t="n">
        <v>1</v>
      </c>
      <c r="L929" s="144" t="n">
        <v>5</v>
      </c>
      <c r="M929" s="1" t="n">
        <v>17</v>
      </c>
      <c r="N929" s="1" t="n">
        <v>17</v>
      </c>
      <c r="O929" s="149" t="n">
        <v>24</v>
      </c>
    </row>
    <row r="930" customFormat="false" ht="14.25" hidden="false" customHeight="false" outlineLevel="0" collapsed="false">
      <c r="A930" s="1" t="n">
        <v>324</v>
      </c>
      <c r="B930" s="1" t="s">
        <v>473</v>
      </c>
      <c r="C930" s="143" t="n">
        <v>11490</v>
      </c>
      <c r="D930" s="143" t="s">
        <v>65</v>
      </c>
      <c r="E930" s="143" t="s">
        <v>474</v>
      </c>
      <c r="F930" s="144" t="n">
        <v>200025889213</v>
      </c>
      <c r="G930" s="144" t="s">
        <v>178</v>
      </c>
      <c r="H930" s="144" t="n">
        <v>5</v>
      </c>
      <c r="I930" s="144" t="s">
        <v>152</v>
      </c>
      <c r="J930" s="151" t="n">
        <v>45057.4100462963</v>
      </c>
      <c r="K930" s="1" t="n">
        <v>3</v>
      </c>
      <c r="L930" s="144" t="n">
        <v>5</v>
      </c>
      <c r="M930" s="1" t="n">
        <v>17</v>
      </c>
      <c r="N930" s="1" t="n">
        <v>17</v>
      </c>
      <c r="O930" s="149" t="n">
        <v>25</v>
      </c>
    </row>
    <row r="931" customFormat="false" ht="14.25" hidden="false" customHeight="false" outlineLevel="0" collapsed="false">
      <c r="A931" s="1" t="n">
        <v>253</v>
      </c>
      <c r="B931" s="1" t="s">
        <v>475</v>
      </c>
      <c r="C931" s="143" t="s">
        <v>52</v>
      </c>
      <c r="D931" s="143" t="s">
        <v>53</v>
      </c>
      <c r="E931" s="143" t="s">
        <v>474</v>
      </c>
      <c r="F931" s="144" t="n">
        <v>200025889213</v>
      </c>
      <c r="G931" s="144" t="s">
        <v>178</v>
      </c>
      <c r="H931" s="144" t="n">
        <v>5</v>
      </c>
      <c r="I931" s="144" t="s">
        <v>152</v>
      </c>
      <c r="J931" s="151" t="n">
        <v>45057.7956365741</v>
      </c>
      <c r="K931" s="1" t="n">
        <v>1</v>
      </c>
      <c r="L931" s="144" t="n">
        <v>5</v>
      </c>
      <c r="M931" s="1" t="n">
        <v>17</v>
      </c>
      <c r="N931" s="1" t="n">
        <v>17</v>
      </c>
      <c r="O931" s="149" t="n">
        <v>26</v>
      </c>
    </row>
    <row r="932" customFormat="false" ht="14.25" hidden="false" customHeight="false" outlineLevel="0" collapsed="false">
      <c r="A932" s="1" t="n">
        <v>12</v>
      </c>
      <c r="B932" s="1" t="s">
        <v>476</v>
      </c>
      <c r="C932" s="143" t="n">
        <v>11490</v>
      </c>
      <c r="D932" s="143" t="s">
        <v>65</v>
      </c>
      <c r="E932" s="143" t="s">
        <v>474</v>
      </c>
      <c r="F932" s="144" t="n">
        <v>200025889213</v>
      </c>
      <c r="G932" s="144" t="s">
        <v>178</v>
      </c>
      <c r="H932" s="144" t="n">
        <v>5</v>
      </c>
      <c r="I932" s="144" t="s">
        <v>152</v>
      </c>
      <c r="J932" s="151" t="n">
        <v>45063.4192476852</v>
      </c>
      <c r="K932" s="1" t="n">
        <v>1</v>
      </c>
      <c r="L932" s="144" t="n">
        <v>5</v>
      </c>
      <c r="M932" s="1" t="n">
        <v>17</v>
      </c>
      <c r="N932" s="1" t="n">
        <v>17</v>
      </c>
      <c r="O932" s="149" t="n">
        <v>27</v>
      </c>
    </row>
    <row r="933" customFormat="false" ht="14.25" hidden="false" customHeight="false" outlineLevel="0" collapsed="false">
      <c r="A933" s="1" t="n">
        <v>54</v>
      </c>
      <c r="B933" s="1" t="s">
        <v>478</v>
      </c>
      <c r="C933" s="143" t="n">
        <v>21265</v>
      </c>
      <c r="D933" s="143" t="s">
        <v>76</v>
      </c>
      <c r="E933" s="143" t="s">
        <v>474</v>
      </c>
      <c r="F933" s="144" t="n">
        <v>200025889213</v>
      </c>
      <c r="G933" s="144" t="s">
        <v>178</v>
      </c>
      <c r="H933" s="144" t="n">
        <v>5</v>
      </c>
      <c r="I933" s="144" t="s">
        <v>152</v>
      </c>
      <c r="J933" s="151" t="n">
        <v>45064.6671527778</v>
      </c>
      <c r="K933" s="1" t="n">
        <v>1</v>
      </c>
      <c r="L933" s="144" t="n">
        <v>5</v>
      </c>
      <c r="M933" s="1" t="n">
        <v>17</v>
      </c>
      <c r="N933" s="1" t="n">
        <v>17</v>
      </c>
      <c r="O933" s="149" t="n">
        <v>28</v>
      </c>
    </row>
    <row r="934" customFormat="false" ht="14.25" hidden="false" customHeight="false" outlineLevel="0" collapsed="false">
      <c r="A934" s="1" t="n">
        <v>161</v>
      </c>
      <c r="B934" s="1" t="s">
        <v>473</v>
      </c>
      <c r="C934" s="143" t="n">
        <v>11490</v>
      </c>
      <c r="D934" s="143" t="s">
        <v>65</v>
      </c>
      <c r="E934" s="143" t="s">
        <v>474</v>
      </c>
      <c r="F934" s="144" t="n">
        <v>200025888715</v>
      </c>
      <c r="G934" s="144" t="s">
        <v>389</v>
      </c>
      <c r="H934" s="144" t="n">
        <v>84</v>
      </c>
      <c r="I934" s="144" t="s">
        <v>152</v>
      </c>
      <c r="J934" s="151" t="n">
        <v>45056.3571296296</v>
      </c>
      <c r="K934" s="1" t="n">
        <v>3</v>
      </c>
      <c r="L934" s="144" t="n">
        <v>84</v>
      </c>
      <c r="M934" s="1" t="n">
        <v>18</v>
      </c>
      <c r="N934" s="1" t="n">
        <v>18</v>
      </c>
      <c r="O934" s="149" t="n">
        <v>1</v>
      </c>
    </row>
    <row r="935" customFormat="false" ht="14.25" hidden="false" customHeight="false" outlineLevel="0" collapsed="false">
      <c r="A935" s="1" t="n">
        <v>439</v>
      </c>
      <c r="B935" s="1" t="s">
        <v>473</v>
      </c>
      <c r="C935" s="143" t="n">
        <v>11490</v>
      </c>
      <c r="D935" s="143" t="s">
        <v>65</v>
      </c>
      <c r="E935" s="143" t="s">
        <v>474</v>
      </c>
      <c r="F935" s="144" t="n">
        <v>200025888715</v>
      </c>
      <c r="G935" s="144" t="s">
        <v>389</v>
      </c>
      <c r="H935" s="144" t="n">
        <v>84</v>
      </c>
      <c r="I935" s="144" t="s">
        <v>152</v>
      </c>
      <c r="J935" s="151" t="n">
        <v>45057.8538773148</v>
      </c>
      <c r="K935" s="1" t="n">
        <v>1</v>
      </c>
      <c r="L935" s="144" t="n">
        <v>84</v>
      </c>
      <c r="M935" s="1" t="n">
        <v>18</v>
      </c>
      <c r="N935" s="1" t="n">
        <v>18</v>
      </c>
      <c r="O935" s="149" t="n">
        <v>2</v>
      </c>
    </row>
    <row r="936" customFormat="false" ht="14.25" hidden="false" customHeight="false" outlineLevel="0" collapsed="false">
      <c r="A936" s="1" t="n">
        <v>440</v>
      </c>
      <c r="B936" s="1" t="s">
        <v>473</v>
      </c>
      <c r="C936" s="143" t="n">
        <v>11490</v>
      </c>
      <c r="D936" s="143" t="s">
        <v>65</v>
      </c>
      <c r="E936" s="143" t="s">
        <v>474</v>
      </c>
      <c r="F936" s="144" t="n">
        <v>200025888715</v>
      </c>
      <c r="G936" s="144" t="s">
        <v>389</v>
      </c>
      <c r="H936" s="144" t="n">
        <v>84</v>
      </c>
      <c r="I936" s="144" t="s">
        <v>152</v>
      </c>
      <c r="J936" s="151" t="n">
        <v>45057.8541898148</v>
      </c>
      <c r="K936" s="1" t="n">
        <v>1</v>
      </c>
      <c r="L936" s="144" t="n">
        <v>84</v>
      </c>
      <c r="M936" s="1" t="n">
        <v>18</v>
      </c>
      <c r="N936" s="1" t="n">
        <v>18</v>
      </c>
      <c r="O936" s="149" t="n">
        <v>3</v>
      </c>
    </row>
    <row r="937" customFormat="false" ht="14.25" hidden="false" customHeight="false" outlineLevel="0" collapsed="false">
      <c r="A937" s="1" t="n">
        <v>441</v>
      </c>
      <c r="B937" s="1" t="s">
        <v>473</v>
      </c>
      <c r="C937" s="143" t="n">
        <v>11490</v>
      </c>
      <c r="D937" s="143" t="s">
        <v>65</v>
      </c>
      <c r="E937" s="143" t="s">
        <v>474</v>
      </c>
      <c r="F937" s="144" t="n">
        <v>200025888715</v>
      </c>
      <c r="G937" s="144" t="s">
        <v>389</v>
      </c>
      <c r="H937" s="144" t="n">
        <v>84</v>
      </c>
      <c r="I937" s="144" t="s">
        <v>152</v>
      </c>
      <c r="J937" s="151" t="n">
        <v>45057.8542361111</v>
      </c>
      <c r="K937" s="1" t="n">
        <v>1</v>
      </c>
      <c r="L937" s="144" t="n">
        <v>84</v>
      </c>
      <c r="M937" s="1" t="n">
        <v>18</v>
      </c>
      <c r="N937" s="1" t="n">
        <v>18</v>
      </c>
      <c r="O937" s="149" t="n">
        <v>4</v>
      </c>
    </row>
    <row r="938" customFormat="false" ht="14.25" hidden="false" customHeight="false" outlineLevel="0" collapsed="false">
      <c r="A938" s="1" t="n">
        <v>442</v>
      </c>
      <c r="B938" s="1" t="s">
        <v>473</v>
      </c>
      <c r="C938" s="143" t="n">
        <v>11490</v>
      </c>
      <c r="D938" s="143" t="s">
        <v>65</v>
      </c>
      <c r="E938" s="143" t="s">
        <v>474</v>
      </c>
      <c r="F938" s="144" t="n">
        <v>200025888715</v>
      </c>
      <c r="G938" s="144" t="s">
        <v>389</v>
      </c>
      <c r="H938" s="144" t="n">
        <v>84</v>
      </c>
      <c r="I938" s="144" t="s">
        <v>152</v>
      </c>
      <c r="J938" s="151" t="n">
        <v>45057.8542824074</v>
      </c>
      <c r="K938" s="1" t="n">
        <v>1</v>
      </c>
      <c r="L938" s="144" t="n">
        <v>84</v>
      </c>
      <c r="M938" s="1" t="n">
        <v>18</v>
      </c>
      <c r="N938" s="1" t="n">
        <v>18</v>
      </c>
      <c r="O938" s="149" t="n">
        <v>5</v>
      </c>
    </row>
    <row r="939" customFormat="false" ht="14.25" hidden="false" customHeight="false" outlineLevel="0" collapsed="false">
      <c r="A939" s="1" t="n">
        <v>267</v>
      </c>
      <c r="B939" s="1" t="s">
        <v>475</v>
      </c>
      <c r="C939" s="143" t="s">
        <v>52</v>
      </c>
      <c r="D939" s="143" t="s">
        <v>53</v>
      </c>
      <c r="E939" s="143" t="s">
        <v>474</v>
      </c>
      <c r="F939" s="144" t="n">
        <v>200025888715</v>
      </c>
      <c r="G939" s="144" t="s">
        <v>389</v>
      </c>
      <c r="H939" s="144" t="n">
        <v>84</v>
      </c>
      <c r="I939" s="144" t="s">
        <v>152</v>
      </c>
      <c r="J939" s="151" t="n">
        <v>45057.8718865741</v>
      </c>
      <c r="K939" s="1" t="n">
        <v>3</v>
      </c>
      <c r="L939" s="144" t="n">
        <v>84</v>
      </c>
      <c r="M939" s="1" t="n">
        <v>18</v>
      </c>
      <c r="N939" s="1" t="n">
        <v>18</v>
      </c>
      <c r="O939" s="149" t="n">
        <v>6</v>
      </c>
    </row>
    <row r="940" customFormat="false" ht="14.25" hidden="false" customHeight="false" outlineLevel="0" collapsed="false">
      <c r="A940" s="1" t="n">
        <v>268</v>
      </c>
      <c r="B940" s="1" t="s">
        <v>475</v>
      </c>
      <c r="C940" s="143" t="s">
        <v>52</v>
      </c>
      <c r="D940" s="143" t="s">
        <v>53</v>
      </c>
      <c r="E940" s="143" t="s">
        <v>474</v>
      </c>
      <c r="F940" s="144" t="n">
        <v>200025888715</v>
      </c>
      <c r="G940" s="144" t="s">
        <v>389</v>
      </c>
      <c r="H940" s="144" t="n">
        <v>84</v>
      </c>
      <c r="I940" s="144" t="s">
        <v>152</v>
      </c>
      <c r="J940" s="151" t="n">
        <v>45057.8719907407</v>
      </c>
      <c r="K940" s="1" t="n">
        <v>1</v>
      </c>
      <c r="L940" s="144" t="n">
        <v>84</v>
      </c>
      <c r="M940" s="1" t="n">
        <v>18</v>
      </c>
      <c r="N940" s="1" t="n">
        <v>18</v>
      </c>
      <c r="O940" s="149" t="n">
        <v>7</v>
      </c>
    </row>
    <row r="941" customFormat="false" ht="14.25" hidden="false" customHeight="false" outlineLevel="0" collapsed="false">
      <c r="A941" s="1" t="n">
        <v>269</v>
      </c>
      <c r="B941" s="1" t="s">
        <v>475</v>
      </c>
      <c r="C941" s="143" t="s">
        <v>52</v>
      </c>
      <c r="D941" s="143" t="s">
        <v>53</v>
      </c>
      <c r="E941" s="143" t="s">
        <v>474</v>
      </c>
      <c r="F941" s="144" t="n">
        <v>200025888715</v>
      </c>
      <c r="G941" s="144" t="s">
        <v>389</v>
      </c>
      <c r="H941" s="144" t="n">
        <v>84</v>
      </c>
      <c r="I941" s="144" t="s">
        <v>152</v>
      </c>
      <c r="J941" s="151" t="n">
        <v>45057.8741782407</v>
      </c>
      <c r="K941" s="1" t="n">
        <v>3</v>
      </c>
      <c r="L941" s="144" t="n">
        <v>84</v>
      </c>
      <c r="M941" s="1" t="n">
        <v>18</v>
      </c>
      <c r="N941" s="1" t="n">
        <v>18</v>
      </c>
      <c r="O941" s="149" t="n">
        <v>8</v>
      </c>
    </row>
    <row r="942" customFormat="false" ht="14.25" hidden="false" customHeight="false" outlineLevel="0" collapsed="false">
      <c r="A942" s="1" t="n">
        <v>305</v>
      </c>
      <c r="B942" s="1" t="s">
        <v>476</v>
      </c>
      <c r="C942" s="143" t="s">
        <v>58</v>
      </c>
      <c r="D942" s="143" t="s">
        <v>59</v>
      </c>
      <c r="E942" s="143" t="s">
        <v>474</v>
      </c>
      <c r="F942" s="144" t="n">
        <v>200025888715</v>
      </c>
      <c r="G942" s="144" t="s">
        <v>389</v>
      </c>
      <c r="H942" s="144" t="n">
        <v>84</v>
      </c>
      <c r="I942" s="144" t="s">
        <v>152</v>
      </c>
      <c r="J942" s="151" t="n">
        <v>45057.9377546296</v>
      </c>
      <c r="K942" s="1" t="n">
        <v>1</v>
      </c>
      <c r="L942" s="144" t="n">
        <v>84</v>
      </c>
      <c r="M942" s="1" t="n">
        <v>18</v>
      </c>
      <c r="N942" s="1" t="n">
        <v>18</v>
      </c>
      <c r="O942" s="149" t="n">
        <v>9</v>
      </c>
    </row>
    <row r="943" customFormat="false" ht="14.25" hidden="false" customHeight="false" outlineLevel="0" collapsed="false">
      <c r="A943" s="1" t="n">
        <v>461</v>
      </c>
      <c r="B943" s="1" t="s">
        <v>473</v>
      </c>
      <c r="C943" s="143" t="n">
        <v>11490</v>
      </c>
      <c r="D943" s="143" t="s">
        <v>65</v>
      </c>
      <c r="E943" s="143" t="s">
        <v>474</v>
      </c>
      <c r="F943" s="144" t="n">
        <v>200025888715</v>
      </c>
      <c r="G943" s="144" t="s">
        <v>389</v>
      </c>
      <c r="H943" s="144" t="n">
        <v>84</v>
      </c>
      <c r="I943" s="144" t="s">
        <v>152</v>
      </c>
      <c r="J943" s="151" t="n">
        <v>45057.990787037</v>
      </c>
      <c r="K943" s="1" t="n">
        <v>1</v>
      </c>
      <c r="L943" s="144" t="n">
        <v>84</v>
      </c>
      <c r="M943" s="1" t="n">
        <v>18</v>
      </c>
      <c r="N943" s="1" t="n">
        <v>18</v>
      </c>
      <c r="O943" s="149" t="n">
        <v>10</v>
      </c>
    </row>
    <row r="944" customFormat="false" ht="14.25" hidden="false" customHeight="false" outlineLevel="0" collapsed="false">
      <c r="A944" s="1" t="n">
        <v>462</v>
      </c>
      <c r="B944" s="1" t="s">
        <v>473</v>
      </c>
      <c r="C944" s="143" t="n">
        <v>11490</v>
      </c>
      <c r="D944" s="143" t="s">
        <v>65</v>
      </c>
      <c r="E944" s="143" t="s">
        <v>474</v>
      </c>
      <c r="F944" s="144" t="n">
        <v>200025888715</v>
      </c>
      <c r="G944" s="144" t="s">
        <v>389</v>
      </c>
      <c r="H944" s="144" t="n">
        <v>84</v>
      </c>
      <c r="I944" s="144" t="s">
        <v>152</v>
      </c>
      <c r="J944" s="151" t="n">
        <v>45057.9911342593</v>
      </c>
      <c r="K944" s="1" t="n">
        <v>0</v>
      </c>
      <c r="L944" s="144" t="n">
        <v>84</v>
      </c>
      <c r="M944" s="1" t="n">
        <v>18</v>
      </c>
      <c r="N944" s="1" t="n">
        <v>18</v>
      </c>
      <c r="O944" s="149" t="n">
        <v>11</v>
      </c>
    </row>
    <row r="945" customFormat="false" ht="14.25" hidden="false" customHeight="false" outlineLevel="0" collapsed="false">
      <c r="A945" s="1" t="n">
        <v>235</v>
      </c>
      <c r="B945" s="1" t="s">
        <v>477</v>
      </c>
      <c r="C945" s="143" t="n">
        <v>91601</v>
      </c>
      <c r="D945" s="143" t="s">
        <v>64</v>
      </c>
      <c r="E945" s="143" t="s">
        <v>474</v>
      </c>
      <c r="F945" s="144" t="n">
        <v>200025888715</v>
      </c>
      <c r="G945" s="144" t="s">
        <v>389</v>
      </c>
      <c r="H945" s="144" t="n">
        <v>84</v>
      </c>
      <c r="I945" s="144" t="s">
        <v>152</v>
      </c>
      <c r="J945" s="152" t="n">
        <v>45058.0301388889</v>
      </c>
      <c r="K945" s="1" t="n">
        <v>1</v>
      </c>
      <c r="L945" s="144" t="n">
        <v>84</v>
      </c>
      <c r="M945" s="1" t="n">
        <v>18</v>
      </c>
      <c r="N945" s="1" t="n">
        <v>18</v>
      </c>
      <c r="O945" s="149" t="n">
        <v>12</v>
      </c>
    </row>
    <row r="946" customFormat="false" ht="14.25" hidden="false" customHeight="false" outlineLevel="0" collapsed="false">
      <c r="A946" s="1" t="n">
        <v>245</v>
      </c>
      <c r="B946" s="1" t="s">
        <v>477</v>
      </c>
      <c r="C946" s="143" t="n">
        <v>91601</v>
      </c>
      <c r="D946" s="143" t="s">
        <v>64</v>
      </c>
      <c r="E946" s="143" t="s">
        <v>474</v>
      </c>
      <c r="F946" s="144" t="n">
        <v>200025888715</v>
      </c>
      <c r="G946" s="144" t="s">
        <v>389</v>
      </c>
      <c r="H946" s="144" t="n">
        <v>84</v>
      </c>
      <c r="I946" s="144" t="s">
        <v>152</v>
      </c>
      <c r="J946" s="152" t="n">
        <v>45058.0906018519</v>
      </c>
      <c r="K946" s="1" t="n">
        <v>1</v>
      </c>
      <c r="L946" s="144" t="n">
        <v>84</v>
      </c>
      <c r="M946" s="1" t="n">
        <v>18</v>
      </c>
      <c r="N946" s="1" t="n">
        <v>18</v>
      </c>
      <c r="O946" s="149" t="n">
        <v>13</v>
      </c>
    </row>
    <row r="947" customFormat="false" ht="14.25" hidden="false" customHeight="false" outlineLevel="0" collapsed="false">
      <c r="A947" s="1" t="n">
        <v>246</v>
      </c>
      <c r="B947" s="1" t="s">
        <v>477</v>
      </c>
      <c r="C947" s="143" t="n">
        <v>91601</v>
      </c>
      <c r="D947" s="143" t="s">
        <v>64</v>
      </c>
      <c r="E947" s="143" t="s">
        <v>474</v>
      </c>
      <c r="F947" s="144" t="n">
        <v>200025888715</v>
      </c>
      <c r="G947" s="144" t="s">
        <v>389</v>
      </c>
      <c r="H947" s="144" t="n">
        <v>84</v>
      </c>
      <c r="I947" s="144" t="s">
        <v>152</v>
      </c>
      <c r="J947" s="152" t="n">
        <v>45058.0908217593</v>
      </c>
      <c r="K947" s="1" t="n">
        <v>0</v>
      </c>
      <c r="L947" s="144" t="n">
        <v>84</v>
      </c>
      <c r="M947" s="1" t="n">
        <v>18</v>
      </c>
      <c r="N947" s="1" t="n">
        <v>18</v>
      </c>
      <c r="O947" s="149" t="n">
        <v>14</v>
      </c>
    </row>
    <row r="948" customFormat="false" ht="14.25" hidden="false" customHeight="false" outlineLevel="0" collapsed="false">
      <c r="A948" s="1" t="n">
        <v>247</v>
      </c>
      <c r="B948" s="1" t="s">
        <v>477</v>
      </c>
      <c r="C948" s="143" t="n">
        <v>91601</v>
      </c>
      <c r="D948" s="143" t="s">
        <v>64</v>
      </c>
      <c r="E948" s="143" t="s">
        <v>474</v>
      </c>
      <c r="F948" s="144" t="n">
        <v>200025888715</v>
      </c>
      <c r="G948" s="144" t="s">
        <v>389</v>
      </c>
      <c r="H948" s="144" t="n">
        <v>84</v>
      </c>
      <c r="I948" s="144" t="s">
        <v>152</v>
      </c>
      <c r="J948" s="152" t="n">
        <v>45058.0940162037</v>
      </c>
      <c r="K948" s="1" t="n">
        <v>1</v>
      </c>
      <c r="L948" s="144" t="n">
        <v>84</v>
      </c>
      <c r="M948" s="1" t="n">
        <v>18</v>
      </c>
      <c r="N948" s="1" t="n">
        <v>18</v>
      </c>
      <c r="O948" s="149" t="n">
        <v>15</v>
      </c>
    </row>
    <row r="949" customFormat="false" ht="14.25" hidden="false" customHeight="false" outlineLevel="0" collapsed="false">
      <c r="A949" s="1" t="n">
        <v>248</v>
      </c>
      <c r="B949" s="1" t="s">
        <v>477</v>
      </c>
      <c r="C949" s="143" t="n">
        <v>91601</v>
      </c>
      <c r="D949" s="143" t="s">
        <v>64</v>
      </c>
      <c r="E949" s="143" t="s">
        <v>474</v>
      </c>
      <c r="F949" s="144" t="n">
        <v>200025888715</v>
      </c>
      <c r="G949" s="144" t="s">
        <v>389</v>
      </c>
      <c r="H949" s="144" t="n">
        <v>84</v>
      </c>
      <c r="I949" s="144" t="s">
        <v>152</v>
      </c>
      <c r="J949" s="152" t="n">
        <v>45058.1104861111</v>
      </c>
      <c r="K949" s="1" t="n">
        <v>3</v>
      </c>
      <c r="L949" s="144" t="n">
        <v>84</v>
      </c>
      <c r="M949" s="1" t="n">
        <v>18</v>
      </c>
      <c r="N949" s="1" t="n">
        <v>18</v>
      </c>
      <c r="O949" s="149" t="n">
        <v>16</v>
      </c>
    </row>
    <row r="950" customFormat="false" ht="14.25" hidden="false" customHeight="false" outlineLevel="0" collapsed="false">
      <c r="A950" s="1" t="n">
        <v>525</v>
      </c>
      <c r="B950" s="1" t="s">
        <v>473</v>
      </c>
      <c r="C950" s="143" t="n">
        <v>11490</v>
      </c>
      <c r="D950" s="143" t="s">
        <v>65</v>
      </c>
      <c r="E950" s="143" t="s">
        <v>474</v>
      </c>
      <c r="F950" s="144" t="n">
        <v>200025888715</v>
      </c>
      <c r="G950" s="144" t="s">
        <v>389</v>
      </c>
      <c r="H950" s="144" t="n">
        <v>84</v>
      </c>
      <c r="I950" s="144" t="s">
        <v>152</v>
      </c>
      <c r="J950" s="151" t="n">
        <v>45058.2571875</v>
      </c>
      <c r="K950" s="1" t="n">
        <v>0</v>
      </c>
      <c r="L950" s="144" t="n">
        <v>84</v>
      </c>
      <c r="M950" s="1" t="n">
        <v>18</v>
      </c>
      <c r="N950" s="1" t="n">
        <v>18</v>
      </c>
      <c r="O950" s="149" t="n">
        <v>17</v>
      </c>
    </row>
    <row r="951" customFormat="false" ht="14.25" hidden="false" customHeight="false" outlineLevel="0" collapsed="false">
      <c r="A951" s="1" t="n">
        <v>526</v>
      </c>
      <c r="B951" s="1" t="s">
        <v>473</v>
      </c>
      <c r="C951" s="143" t="n">
        <v>11490</v>
      </c>
      <c r="D951" s="143" t="s">
        <v>65</v>
      </c>
      <c r="E951" s="143" t="s">
        <v>474</v>
      </c>
      <c r="F951" s="144" t="n">
        <v>200025888715</v>
      </c>
      <c r="G951" s="144" t="s">
        <v>389</v>
      </c>
      <c r="H951" s="144" t="n">
        <v>84</v>
      </c>
      <c r="I951" s="144" t="s">
        <v>152</v>
      </c>
      <c r="J951" s="151" t="n">
        <v>45058.2588773148</v>
      </c>
      <c r="K951" s="1" t="n">
        <v>2</v>
      </c>
      <c r="L951" s="144" t="n">
        <v>84</v>
      </c>
      <c r="M951" s="1" t="n">
        <v>18</v>
      </c>
      <c r="N951" s="1" t="n">
        <v>18</v>
      </c>
      <c r="O951" s="149" t="n">
        <v>18</v>
      </c>
    </row>
    <row r="952" customFormat="false" ht="14.25" hidden="false" customHeight="false" outlineLevel="0" collapsed="false">
      <c r="A952" s="1" t="n">
        <v>527</v>
      </c>
      <c r="B952" s="1" t="s">
        <v>473</v>
      </c>
      <c r="C952" s="143" t="n">
        <v>11490</v>
      </c>
      <c r="D952" s="143" t="s">
        <v>65</v>
      </c>
      <c r="E952" s="143" t="s">
        <v>474</v>
      </c>
      <c r="F952" s="144" t="n">
        <v>200025888715</v>
      </c>
      <c r="G952" s="144" t="s">
        <v>389</v>
      </c>
      <c r="H952" s="144" t="n">
        <v>84</v>
      </c>
      <c r="I952" s="144" t="s">
        <v>152</v>
      </c>
      <c r="J952" s="151" t="n">
        <v>45058.259212963</v>
      </c>
      <c r="K952" s="1" t="n">
        <v>1</v>
      </c>
      <c r="L952" s="144" t="n">
        <v>84</v>
      </c>
      <c r="M952" s="1" t="n">
        <v>18</v>
      </c>
      <c r="N952" s="1" t="n">
        <v>18</v>
      </c>
      <c r="O952" s="149" t="n">
        <v>19</v>
      </c>
    </row>
    <row r="953" customFormat="false" ht="14.25" hidden="false" customHeight="false" outlineLevel="0" collapsed="false">
      <c r="A953" s="1" t="n">
        <v>320</v>
      </c>
      <c r="B953" s="1" t="s">
        <v>476</v>
      </c>
      <c r="C953" s="143" t="s">
        <v>58</v>
      </c>
      <c r="D953" s="143" t="s">
        <v>59</v>
      </c>
      <c r="E953" s="143" t="s">
        <v>474</v>
      </c>
      <c r="F953" s="144" t="n">
        <v>200025888715</v>
      </c>
      <c r="G953" s="144" t="s">
        <v>389</v>
      </c>
      <c r="H953" s="144" t="n">
        <v>84</v>
      </c>
      <c r="I953" s="144" t="s">
        <v>152</v>
      </c>
      <c r="J953" s="151" t="n">
        <v>45058.2794560185</v>
      </c>
      <c r="K953" s="1" t="n">
        <v>1</v>
      </c>
      <c r="L953" s="144" t="n">
        <v>84</v>
      </c>
      <c r="M953" s="1" t="n">
        <v>18</v>
      </c>
      <c r="N953" s="1" t="n">
        <v>18</v>
      </c>
      <c r="O953" s="149" t="n">
        <v>20</v>
      </c>
    </row>
    <row r="954" customFormat="false" ht="14.25" hidden="false" customHeight="false" outlineLevel="0" collapsed="false">
      <c r="A954" s="1" t="n">
        <v>321</v>
      </c>
      <c r="B954" s="1" t="s">
        <v>476</v>
      </c>
      <c r="C954" s="143" t="s">
        <v>58</v>
      </c>
      <c r="D954" s="143" t="s">
        <v>59</v>
      </c>
      <c r="E954" s="143" t="s">
        <v>474</v>
      </c>
      <c r="F954" s="144" t="n">
        <v>200025888715</v>
      </c>
      <c r="G954" s="144" t="s">
        <v>389</v>
      </c>
      <c r="H954" s="144" t="n">
        <v>84</v>
      </c>
      <c r="I954" s="144" t="s">
        <v>152</v>
      </c>
      <c r="J954" s="151" t="n">
        <v>45058.2798611111</v>
      </c>
      <c r="K954" s="1" t="n">
        <v>1</v>
      </c>
      <c r="L954" s="144" t="n">
        <v>84</v>
      </c>
      <c r="M954" s="1" t="n">
        <v>18</v>
      </c>
      <c r="N954" s="1" t="n">
        <v>18</v>
      </c>
      <c r="O954" s="149" t="n">
        <v>21</v>
      </c>
    </row>
    <row r="955" customFormat="false" ht="14.25" hidden="false" customHeight="false" outlineLevel="0" collapsed="false">
      <c r="A955" s="1" t="n">
        <v>322</v>
      </c>
      <c r="B955" s="1" t="s">
        <v>476</v>
      </c>
      <c r="C955" s="143" t="s">
        <v>58</v>
      </c>
      <c r="D955" s="143" t="s">
        <v>59</v>
      </c>
      <c r="E955" s="143" t="s">
        <v>474</v>
      </c>
      <c r="F955" s="144" t="n">
        <v>200025888715</v>
      </c>
      <c r="G955" s="144" t="s">
        <v>389</v>
      </c>
      <c r="H955" s="144" t="n">
        <v>84</v>
      </c>
      <c r="I955" s="144" t="s">
        <v>152</v>
      </c>
      <c r="J955" s="151" t="n">
        <v>45058.2800578704</v>
      </c>
      <c r="K955" s="1" t="n">
        <v>1</v>
      </c>
      <c r="L955" s="144" t="n">
        <v>84</v>
      </c>
      <c r="M955" s="1" t="n">
        <v>18</v>
      </c>
      <c r="N955" s="1" t="n">
        <v>18</v>
      </c>
      <c r="O955" s="149" t="n">
        <v>22</v>
      </c>
    </row>
    <row r="956" customFormat="false" ht="14.25" hidden="false" customHeight="false" outlineLevel="0" collapsed="false">
      <c r="A956" s="1" t="n">
        <v>323</v>
      </c>
      <c r="B956" s="1" t="s">
        <v>476</v>
      </c>
      <c r="C956" s="143" t="s">
        <v>58</v>
      </c>
      <c r="D956" s="143" t="s">
        <v>59</v>
      </c>
      <c r="E956" s="143" t="s">
        <v>474</v>
      </c>
      <c r="F956" s="144" t="n">
        <v>200025888715</v>
      </c>
      <c r="G956" s="144" t="s">
        <v>389</v>
      </c>
      <c r="H956" s="144" t="n">
        <v>84</v>
      </c>
      <c r="I956" s="144" t="s">
        <v>152</v>
      </c>
      <c r="J956" s="6" t="n">
        <v>45058.2804861111</v>
      </c>
      <c r="K956" s="1" t="n">
        <v>1</v>
      </c>
      <c r="L956" s="144" t="n">
        <v>84</v>
      </c>
      <c r="M956" s="1" t="n">
        <v>18</v>
      </c>
      <c r="N956" s="1" t="n">
        <v>18</v>
      </c>
      <c r="O956" s="149" t="n">
        <v>23</v>
      </c>
    </row>
    <row r="957" customFormat="false" ht="14.25" hidden="false" customHeight="false" outlineLevel="0" collapsed="false">
      <c r="A957" s="1" t="n">
        <v>324</v>
      </c>
      <c r="B957" s="1" t="s">
        <v>476</v>
      </c>
      <c r="C957" s="143" t="s">
        <v>58</v>
      </c>
      <c r="D957" s="143" t="s">
        <v>59</v>
      </c>
      <c r="E957" s="143" t="s">
        <v>474</v>
      </c>
      <c r="F957" s="144" t="n">
        <v>200025888715</v>
      </c>
      <c r="G957" s="144" t="s">
        <v>389</v>
      </c>
      <c r="H957" s="144" t="n">
        <v>84</v>
      </c>
      <c r="I957" s="144" t="s">
        <v>152</v>
      </c>
      <c r="J957" s="6" t="n">
        <v>45058.2804976852</v>
      </c>
      <c r="K957" s="1" t="n">
        <v>2</v>
      </c>
      <c r="L957" s="144" t="n">
        <v>84</v>
      </c>
      <c r="M957" s="1" t="n">
        <v>18</v>
      </c>
      <c r="N957" s="1" t="n">
        <v>18</v>
      </c>
      <c r="O957" s="149" t="n">
        <v>24</v>
      </c>
    </row>
    <row r="958" customFormat="false" ht="14.25" hidden="false" customHeight="false" outlineLevel="0" collapsed="false">
      <c r="A958" s="1" t="n">
        <v>325</v>
      </c>
      <c r="B958" s="1" t="s">
        <v>476</v>
      </c>
      <c r="C958" s="143" t="s">
        <v>58</v>
      </c>
      <c r="D958" s="143" t="s">
        <v>59</v>
      </c>
      <c r="E958" s="143" t="s">
        <v>474</v>
      </c>
      <c r="F958" s="144" t="n">
        <v>200025888715</v>
      </c>
      <c r="G958" s="144" t="s">
        <v>389</v>
      </c>
      <c r="H958" s="144" t="n">
        <v>84</v>
      </c>
      <c r="I958" s="144" t="s">
        <v>152</v>
      </c>
      <c r="J958" s="6" t="n">
        <v>45058.2810300926</v>
      </c>
      <c r="K958" s="1" t="n">
        <v>1</v>
      </c>
      <c r="L958" s="144" t="n">
        <v>84</v>
      </c>
      <c r="M958" s="1" t="n">
        <v>18</v>
      </c>
      <c r="N958" s="1" t="n">
        <v>18</v>
      </c>
      <c r="O958" s="149" t="n">
        <v>25</v>
      </c>
    </row>
    <row r="959" customFormat="false" ht="14.25" hidden="false" customHeight="false" outlineLevel="0" collapsed="false">
      <c r="A959" s="1" t="n">
        <v>326</v>
      </c>
      <c r="B959" s="1" t="s">
        <v>476</v>
      </c>
      <c r="C959" s="143" t="s">
        <v>58</v>
      </c>
      <c r="D959" s="143" t="s">
        <v>59</v>
      </c>
      <c r="E959" s="143" t="s">
        <v>474</v>
      </c>
      <c r="F959" s="144" t="n">
        <v>200025888715</v>
      </c>
      <c r="G959" s="144" t="s">
        <v>389</v>
      </c>
      <c r="H959" s="144" t="n">
        <v>84</v>
      </c>
      <c r="I959" s="144" t="s">
        <v>152</v>
      </c>
      <c r="J959" s="6" t="n">
        <v>45058.281875</v>
      </c>
      <c r="K959" s="1" t="n">
        <v>1</v>
      </c>
      <c r="L959" s="144" t="n">
        <v>84</v>
      </c>
      <c r="M959" s="1" t="n">
        <v>18</v>
      </c>
      <c r="N959" s="1" t="n">
        <v>18</v>
      </c>
      <c r="O959" s="149" t="n">
        <v>26</v>
      </c>
    </row>
    <row r="960" customFormat="false" ht="14.25" hidden="false" customHeight="false" outlineLevel="0" collapsed="false">
      <c r="A960" s="1" t="n">
        <v>327</v>
      </c>
      <c r="B960" s="1" t="s">
        <v>476</v>
      </c>
      <c r="C960" s="143" t="s">
        <v>58</v>
      </c>
      <c r="D960" s="143" t="s">
        <v>59</v>
      </c>
      <c r="E960" s="143" t="s">
        <v>474</v>
      </c>
      <c r="F960" s="144" t="n">
        <v>200025888715</v>
      </c>
      <c r="G960" s="144" t="s">
        <v>389</v>
      </c>
      <c r="H960" s="144" t="n">
        <v>84</v>
      </c>
      <c r="I960" s="144" t="s">
        <v>152</v>
      </c>
      <c r="J960" s="6" t="n">
        <v>45058.2833217593</v>
      </c>
      <c r="K960" s="1" t="n">
        <v>0</v>
      </c>
      <c r="L960" s="144" t="n">
        <v>84</v>
      </c>
      <c r="M960" s="1" t="n">
        <v>18</v>
      </c>
      <c r="N960" s="1" t="n">
        <v>18</v>
      </c>
      <c r="O960" s="149" t="n">
        <v>27</v>
      </c>
    </row>
    <row r="961" customFormat="false" ht="14.25" hidden="false" customHeight="false" outlineLevel="0" collapsed="false">
      <c r="A961" s="1" t="n">
        <v>328</v>
      </c>
      <c r="B961" s="1" t="s">
        <v>476</v>
      </c>
      <c r="C961" s="143" t="s">
        <v>58</v>
      </c>
      <c r="D961" s="143" t="s">
        <v>59</v>
      </c>
      <c r="E961" s="143" t="s">
        <v>474</v>
      </c>
      <c r="F961" s="144" t="n">
        <v>200025888715</v>
      </c>
      <c r="G961" s="144" t="s">
        <v>389</v>
      </c>
      <c r="H961" s="144" t="n">
        <v>84</v>
      </c>
      <c r="I961" s="144" t="s">
        <v>152</v>
      </c>
      <c r="J961" s="6" t="n">
        <v>45058.2833564815</v>
      </c>
      <c r="K961" s="1" t="n">
        <v>3</v>
      </c>
      <c r="L961" s="144" t="n">
        <v>84</v>
      </c>
      <c r="M961" s="1" t="n">
        <v>18</v>
      </c>
      <c r="N961" s="1" t="n">
        <v>18</v>
      </c>
      <c r="O961" s="149" t="n">
        <v>28</v>
      </c>
    </row>
    <row r="962" customFormat="false" ht="14.25" hidden="false" customHeight="false" outlineLevel="0" collapsed="false">
      <c r="A962" s="1" t="n">
        <v>329</v>
      </c>
      <c r="B962" s="1" t="s">
        <v>476</v>
      </c>
      <c r="C962" s="143" t="s">
        <v>58</v>
      </c>
      <c r="D962" s="143" t="s">
        <v>59</v>
      </c>
      <c r="E962" s="143" t="s">
        <v>474</v>
      </c>
      <c r="F962" s="144" t="n">
        <v>200025888715</v>
      </c>
      <c r="G962" s="144" t="s">
        <v>389</v>
      </c>
      <c r="H962" s="144" t="n">
        <v>84</v>
      </c>
      <c r="I962" s="144" t="s">
        <v>152</v>
      </c>
      <c r="J962" s="6" t="n">
        <v>45058.2838657407</v>
      </c>
      <c r="K962" s="1" t="n">
        <v>1</v>
      </c>
      <c r="L962" s="144" t="n">
        <v>84</v>
      </c>
      <c r="M962" s="1" t="n">
        <v>18</v>
      </c>
      <c r="N962" s="1" t="n">
        <v>18</v>
      </c>
      <c r="O962" s="149" t="n">
        <v>29</v>
      </c>
    </row>
    <row r="963" customFormat="false" ht="14.25" hidden="false" customHeight="false" outlineLevel="0" collapsed="false">
      <c r="A963" s="1" t="n">
        <v>330</v>
      </c>
      <c r="B963" s="1" t="s">
        <v>476</v>
      </c>
      <c r="C963" s="143" t="s">
        <v>58</v>
      </c>
      <c r="D963" s="143" t="s">
        <v>59</v>
      </c>
      <c r="E963" s="143" t="s">
        <v>474</v>
      </c>
      <c r="F963" s="144" t="n">
        <v>200025888715</v>
      </c>
      <c r="G963" s="144" t="s">
        <v>389</v>
      </c>
      <c r="H963" s="144" t="n">
        <v>84</v>
      </c>
      <c r="I963" s="144" t="s">
        <v>152</v>
      </c>
      <c r="J963" s="151" t="n">
        <v>45058.2856828704</v>
      </c>
      <c r="K963" s="1" t="n">
        <v>2</v>
      </c>
      <c r="L963" s="144" t="n">
        <v>84</v>
      </c>
      <c r="M963" s="1" t="n">
        <v>18</v>
      </c>
      <c r="N963" s="1" t="n">
        <v>18</v>
      </c>
      <c r="O963" s="149" t="n">
        <v>30</v>
      </c>
    </row>
    <row r="964" customFormat="false" ht="14.25" hidden="false" customHeight="false" outlineLevel="0" collapsed="false">
      <c r="A964" s="1" t="n">
        <v>77</v>
      </c>
      <c r="B964" s="1" t="s">
        <v>476</v>
      </c>
      <c r="C964" s="143" t="n">
        <v>91601</v>
      </c>
      <c r="D964" s="143" t="s">
        <v>65</v>
      </c>
      <c r="E964" s="155" t="s">
        <v>474</v>
      </c>
      <c r="F964" s="144" t="n">
        <v>200025888715</v>
      </c>
      <c r="G964" s="144" t="s">
        <v>389</v>
      </c>
      <c r="H964" s="144" t="n">
        <v>84</v>
      </c>
      <c r="I964" s="144" t="s">
        <v>152</v>
      </c>
      <c r="J964" s="151" t="n">
        <v>45072.4615393519</v>
      </c>
      <c r="K964" s="1" t="n">
        <v>2</v>
      </c>
      <c r="L964" s="144" t="n">
        <v>84</v>
      </c>
      <c r="M964" s="1" t="n">
        <v>18</v>
      </c>
      <c r="N964" s="1" t="n">
        <v>18</v>
      </c>
      <c r="O964" s="149" t="n">
        <v>31</v>
      </c>
    </row>
    <row r="965" customFormat="false" ht="14.25" hidden="false" customHeight="false" outlineLevel="0" collapsed="false">
      <c r="A965" s="1" t="n">
        <v>73</v>
      </c>
      <c r="B965" s="1" t="s">
        <v>477</v>
      </c>
      <c r="C965" s="143" t="n">
        <v>91601</v>
      </c>
      <c r="D965" s="143" t="s">
        <v>64</v>
      </c>
      <c r="E965" s="143" t="s">
        <v>474</v>
      </c>
      <c r="F965" s="144" t="n">
        <v>200025888209</v>
      </c>
      <c r="G965" s="144" t="s">
        <v>172</v>
      </c>
      <c r="H965" s="144" t="n">
        <v>19</v>
      </c>
      <c r="I965" s="144" t="s">
        <v>152</v>
      </c>
      <c r="J965" s="152" t="n">
        <v>45056.3959259259</v>
      </c>
      <c r="K965" s="1" t="n">
        <v>1</v>
      </c>
      <c r="L965" s="144" t="n">
        <v>19</v>
      </c>
      <c r="M965" s="1" t="n">
        <v>19</v>
      </c>
      <c r="N965" s="1" t="n">
        <v>19</v>
      </c>
      <c r="O965" s="149" t="n">
        <v>1</v>
      </c>
    </row>
    <row r="966" customFormat="false" ht="14.25" hidden="false" customHeight="false" outlineLevel="0" collapsed="false">
      <c r="A966" s="1" t="n">
        <v>238</v>
      </c>
      <c r="B966" s="1" t="s">
        <v>476</v>
      </c>
      <c r="C966" s="143" t="s">
        <v>58</v>
      </c>
      <c r="D966" s="143" t="s">
        <v>59</v>
      </c>
      <c r="E966" s="143" t="s">
        <v>474</v>
      </c>
      <c r="F966" s="144" t="n">
        <v>200025888209</v>
      </c>
      <c r="G966" s="144" t="s">
        <v>172</v>
      </c>
      <c r="H966" s="144" t="n">
        <v>19</v>
      </c>
      <c r="I966" s="144" t="s">
        <v>152</v>
      </c>
      <c r="J966" s="151" t="n">
        <v>45057.3211111111</v>
      </c>
      <c r="K966" s="1" t="n">
        <v>3</v>
      </c>
      <c r="L966" s="144" t="n">
        <v>19</v>
      </c>
      <c r="M966" s="1" t="n">
        <v>19</v>
      </c>
      <c r="N966" s="1" t="n">
        <v>19</v>
      </c>
      <c r="O966" s="149" t="n">
        <v>2</v>
      </c>
    </row>
    <row r="967" customFormat="false" ht="14.25" hidden="false" customHeight="false" outlineLevel="0" collapsed="false">
      <c r="A967" s="1" t="n">
        <v>239</v>
      </c>
      <c r="B967" s="1" t="s">
        <v>476</v>
      </c>
      <c r="C967" s="143" t="s">
        <v>58</v>
      </c>
      <c r="D967" s="143" t="s">
        <v>59</v>
      </c>
      <c r="E967" s="143" t="s">
        <v>474</v>
      </c>
      <c r="F967" s="144" t="n">
        <v>200025888209</v>
      </c>
      <c r="G967" s="144" t="s">
        <v>172</v>
      </c>
      <c r="H967" s="144" t="n">
        <v>19</v>
      </c>
      <c r="I967" s="144" t="s">
        <v>152</v>
      </c>
      <c r="J967" s="151" t="n">
        <v>45057.3249421296</v>
      </c>
      <c r="K967" s="1" t="n">
        <v>1</v>
      </c>
      <c r="L967" s="144" t="n">
        <v>19</v>
      </c>
      <c r="M967" s="1" t="n">
        <v>19</v>
      </c>
      <c r="N967" s="1" t="n">
        <v>19</v>
      </c>
      <c r="O967" s="149" t="n">
        <v>3</v>
      </c>
    </row>
    <row r="968" customFormat="false" ht="14.25" hidden="false" customHeight="false" outlineLevel="0" collapsed="false">
      <c r="A968" s="1" t="n">
        <v>240</v>
      </c>
      <c r="B968" s="1" t="s">
        <v>476</v>
      </c>
      <c r="C968" s="143" t="s">
        <v>58</v>
      </c>
      <c r="D968" s="143" t="s">
        <v>59</v>
      </c>
      <c r="E968" s="143" t="s">
        <v>474</v>
      </c>
      <c r="F968" s="144" t="n">
        <v>200025888209</v>
      </c>
      <c r="G968" s="144" t="s">
        <v>172</v>
      </c>
      <c r="H968" s="144" t="n">
        <v>19</v>
      </c>
      <c r="I968" s="144" t="s">
        <v>152</v>
      </c>
      <c r="J968" s="151" t="n">
        <v>45057.3272800926</v>
      </c>
      <c r="K968" s="1" t="n">
        <v>2</v>
      </c>
      <c r="L968" s="144" t="n">
        <v>19</v>
      </c>
      <c r="M968" s="1" t="n">
        <v>19</v>
      </c>
      <c r="N968" s="1" t="n">
        <v>19</v>
      </c>
      <c r="O968" s="149" t="n">
        <v>4</v>
      </c>
    </row>
    <row r="969" customFormat="false" ht="14.25" hidden="false" customHeight="false" outlineLevel="0" collapsed="false">
      <c r="A969" s="1" t="n">
        <v>241</v>
      </c>
      <c r="B969" s="1" t="s">
        <v>476</v>
      </c>
      <c r="C969" s="143" t="s">
        <v>58</v>
      </c>
      <c r="D969" s="143" t="s">
        <v>59</v>
      </c>
      <c r="E969" s="143" t="s">
        <v>474</v>
      </c>
      <c r="F969" s="144" t="n">
        <v>200025888209</v>
      </c>
      <c r="G969" s="144" t="s">
        <v>172</v>
      </c>
      <c r="H969" s="144" t="n">
        <v>19</v>
      </c>
      <c r="I969" s="144" t="s">
        <v>152</v>
      </c>
      <c r="J969" s="151" t="n">
        <v>45057.3287384259</v>
      </c>
      <c r="K969" s="1" t="n">
        <v>1</v>
      </c>
      <c r="L969" s="144" t="n">
        <v>19</v>
      </c>
      <c r="M969" s="1" t="n">
        <v>19</v>
      </c>
      <c r="N969" s="1" t="n">
        <v>19</v>
      </c>
      <c r="O969" s="149" t="n">
        <v>5</v>
      </c>
    </row>
    <row r="970" customFormat="false" ht="14.25" hidden="false" customHeight="false" outlineLevel="0" collapsed="false">
      <c r="A970" s="1" t="n">
        <v>242</v>
      </c>
      <c r="B970" s="1" t="s">
        <v>476</v>
      </c>
      <c r="C970" s="143" t="s">
        <v>58</v>
      </c>
      <c r="D970" s="143" t="s">
        <v>59</v>
      </c>
      <c r="E970" s="143" t="s">
        <v>474</v>
      </c>
      <c r="F970" s="144" t="n">
        <v>200025888209</v>
      </c>
      <c r="G970" s="144" t="s">
        <v>172</v>
      </c>
      <c r="H970" s="144" t="n">
        <v>19</v>
      </c>
      <c r="I970" s="144" t="s">
        <v>152</v>
      </c>
      <c r="J970" s="151" t="n">
        <v>45057.3381481482</v>
      </c>
      <c r="K970" s="1" t="n">
        <v>3</v>
      </c>
      <c r="L970" s="144" t="n">
        <v>19</v>
      </c>
      <c r="M970" s="1" t="n">
        <v>19</v>
      </c>
      <c r="N970" s="1" t="n">
        <v>19</v>
      </c>
      <c r="O970" s="149" t="n">
        <v>6</v>
      </c>
    </row>
    <row r="971" customFormat="false" ht="14.25" hidden="false" customHeight="false" outlineLevel="0" collapsed="false">
      <c r="A971" s="1" t="n">
        <v>188</v>
      </c>
      <c r="B971" s="1" t="s">
        <v>475</v>
      </c>
      <c r="C971" s="143" t="s">
        <v>52</v>
      </c>
      <c r="D971" s="143" t="s">
        <v>53</v>
      </c>
      <c r="E971" s="143" t="s">
        <v>474</v>
      </c>
      <c r="F971" s="144" t="n">
        <v>200025888209</v>
      </c>
      <c r="G971" s="144" t="s">
        <v>172</v>
      </c>
      <c r="H971" s="144" t="n">
        <v>19</v>
      </c>
      <c r="I971" s="144" t="s">
        <v>152</v>
      </c>
      <c r="J971" s="151" t="n">
        <v>45057.3927083333</v>
      </c>
      <c r="K971" s="1" t="n">
        <v>0</v>
      </c>
      <c r="L971" s="144" t="n">
        <v>19</v>
      </c>
      <c r="M971" s="1" t="n">
        <v>19</v>
      </c>
      <c r="N971" s="1" t="n">
        <v>19</v>
      </c>
      <c r="O971" s="149" t="n">
        <v>7</v>
      </c>
    </row>
    <row r="972" customFormat="false" ht="14.25" hidden="false" customHeight="false" outlineLevel="0" collapsed="false">
      <c r="A972" s="1" t="n">
        <v>189</v>
      </c>
      <c r="B972" s="1" t="s">
        <v>475</v>
      </c>
      <c r="C972" s="143" t="s">
        <v>52</v>
      </c>
      <c r="D972" s="143" t="s">
        <v>53</v>
      </c>
      <c r="E972" s="143" t="s">
        <v>474</v>
      </c>
      <c r="F972" s="144" t="n">
        <v>200025888209</v>
      </c>
      <c r="G972" s="144" t="s">
        <v>172</v>
      </c>
      <c r="H972" s="144" t="n">
        <v>19</v>
      </c>
      <c r="I972" s="144" t="s">
        <v>152</v>
      </c>
      <c r="J972" s="151" t="n">
        <v>45057.3935532407</v>
      </c>
      <c r="K972" s="1" t="n">
        <v>1</v>
      </c>
      <c r="L972" s="144" t="n">
        <v>19</v>
      </c>
      <c r="M972" s="1" t="n">
        <v>19</v>
      </c>
      <c r="N972" s="1" t="n">
        <v>19</v>
      </c>
      <c r="O972" s="149" t="n">
        <v>8</v>
      </c>
    </row>
    <row r="973" customFormat="false" ht="14.25" hidden="false" customHeight="false" outlineLevel="0" collapsed="false">
      <c r="A973" s="1" t="n">
        <v>190</v>
      </c>
      <c r="B973" s="1" t="s">
        <v>475</v>
      </c>
      <c r="C973" s="143" t="s">
        <v>52</v>
      </c>
      <c r="D973" s="143" t="s">
        <v>53</v>
      </c>
      <c r="E973" s="143" t="s">
        <v>474</v>
      </c>
      <c r="F973" s="144" t="n">
        <v>200025888209</v>
      </c>
      <c r="G973" s="144" t="s">
        <v>172</v>
      </c>
      <c r="H973" s="144" t="n">
        <v>19</v>
      </c>
      <c r="I973" s="144" t="s">
        <v>152</v>
      </c>
      <c r="J973" s="151" t="n">
        <v>45057.3936226852</v>
      </c>
      <c r="K973" s="1" t="n">
        <v>1</v>
      </c>
      <c r="L973" s="144" t="n">
        <v>19</v>
      </c>
      <c r="M973" s="1" t="n">
        <v>19</v>
      </c>
      <c r="N973" s="1" t="n">
        <v>19</v>
      </c>
      <c r="O973" s="149" t="n">
        <v>9</v>
      </c>
    </row>
    <row r="974" customFormat="false" ht="14.25" hidden="false" customHeight="false" outlineLevel="0" collapsed="false">
      <c r="A974" s="1" t="n">
        <v>191</v>
      </c>
      <c r="B974" s="1" t="s">
        <v>475</v>
      </c>
      <c r="C974" s="143" t="s">
        <v>52</v>
      </c>
      <c r="D974" s="143" t="s">
        <v>53</v>
      </c>
      <c r="E974" s="143" t="s">
        <v>474</v>
      </c>
      <c r="F974" s="144" t="n">
        <v>200025888209</v>
      </c>
      <c r="G974" s="144" t="s">
        <v>172</v>
      </c>
      <c r="H974" s="144" t="n">
        <v>19</v>
      </c>
      <c r="I974" s="144" t="s">
        <v>152</v>
      </c>
      <c r="J974" s="151" t="n">
        <v>45057.4110185185</v>
      </c>
      <c r="K974" s="1" t="n">
        <v>1</v>
      </c>
      <c r="L974" s="144" t="n">
        <v>19</v>
      </c>
      <c r="M974" s="1" t="n">
        <v>19</v>
      </c>
      <c r="N974" s="1" t="n">
        <v>19</v>
      </c>
      <c r="O974" s="149" t="n">
        <v>10</v>
      </c>
    </row>
    <row r="975" customFormat="false" ht="14.25" hidden="false" customHeight="false" outlineLevel="0" collapsed="false">
      <c r="A975" s="1" t="n">
        <v>195</v>
      </c>
      <c r="B975" s="1" t="s">
        <v>475</v>
      </c>
      <c r="C975" s="143" t="s">
        <v>52</v>
      </c>
      <c r="D975" s="143" t="s">
        <v>53</v>
      </c>
      <c r="E975" s="143" t="s">
        <v>474</v>
      </c>
      <c r="F975" s="144" t="n">
        <v>200025888209</v>
      </c>
      <c r="G975" s="144" t="s">
        <v>172</v>
      </c>
      <c r="H975" s="144" t="n">
        <v>19</v>
      </c>
      <c r="I975" s="144" t="s">
        <v>152</v>
      </c>
      <c r="J975" s="151" t="n">
        <v>45057.4467013889</v>
      </c>
      <c r="K975" s="1" t="n">
        <v>1</v>
      </c>
      <c r="L975" s="144" t="n">
        <v>19</v>
      </c>
      <c r="M975" s="1" t="n">
        <v>19</v>
      </c>
      <c r="N975" s="1" t="n">
        <v>19</v>
      </c>
      <c r="O975" s="149" t="n">
        <v>11</v>
      </c>
    </row>
    <row r="976" customFormat="false" ht="14.25" hidden="false" customHeight="false" outlineLevel="0" collapsed="false">
      <c r="A976" s="1" t="n">
        <v>196</v>
      </c>
      <c r="B976" s="1" t="s">
        <v>475</v>
      </c>
      <c r="C976" s="143" t="s">
        <v>52</v>
      </c>
      <c r="D976" s="143" t="s">
        <v>53</v>
      </c>
      <c r="E976" s="143" t="s">
        <v>474</v>
      </c>
      <c r="F976" s="144" t="n">
        <v>200025888209</v>
      </c>
      <c r="G976" s="144" t="s">
        <v>172</v>
      </c>
      <c r="H976" s="144" t="n">
        <v>19</v>
      </c>
      <c r="I976" s="144" t="s">
        <v>152</v>
      </c>
      <c r="J976" s="151" t="n">
        <v>45057.4481597222</v>
      </c>
      <c r="K976" s="1" t="n">
        <v>1</v>
      </c>
      <c r="L976" s="144" t="n">
        <v>19</v>
      </c>
      <c r="M976" s="1" t="n">
        <v>19</v>
      </c>
      <c r="N976" s="1" t="n">
        <v>19</v>
      </c>
      <c r="O976" s="149" t="n">
        <v>12</v>
      </c>
    </row>
    <row r="977" customFormat="false" ht="14.25" hidden="false" customHeight="false" outlineLevel="0" collapsed="false">
      <c r="A977" s="1" t="n">
        <v>197</v>
      </c>
      <c r="B977" s="1" t="s">
        <v>475</v>
      </c>
      <c r="C977" s="143" t="s">
        <v>52</v>
      </c>
      <c r="D977" s="143" t="s">
        <v>53</v>
      </c>
      <c r="E977" s="143" t="s">
        <v>474</v>
      </c>
      <c r="F977" s="144" t="n">
        <v>200025888209</v>
      </c>
      <c r="G977" s="144" t="s">
        <v>172</v>
      </c>
      <c r="H977" s="144" t="n">
        <v>19</v>
      </c>
      <c r="I977" s="144" t="s">
        <v>152</v>
      </c>
      <c r="J977" s="151" t="n">
        <v>45057.4504513889</v>
      </c>
      <c r="K977" s="1" t="n">
        <v>1</v>
      </c>
      <c r="L977" s="144" t="n">
        <v>19</v>
      </c>
      <c r="M977" s="1" t="n">
        <v>19</v>
      </c>
      <c r="N977" s="1" t="n">
        <v>19</v>
      </c>
      <c r="O977" s="149" t="n">
        <v>13</v>
      </c>
    </row>
    <row r="978" customFormat="false" ht="14.25" hidden="false" customHeight="false" outlineLevel="0" collapsed="false">
      <c r="A978" s="1" t="n">
        <v>257</v>
      </c>
      <c r="B978" s="1" t="s">
        <v>476</v>
      </c>
      <c r="C978" s="143" t="s">
        <v>58</v>
      </c>
      <c r="D978" s="143" t="s">
        <v>59</v>
      </c>
      <c r="E978" s="143" t="s">
        <v>474</v>
      </c>
      <c r="F978" s="144" t="n">
        <v>200025888209</v>
      </c>
      <c r="G978" s="144" t="s">
        <v>172</v>
      </c>
      <c r="H978" s="144" t="n">
        <v>19</v>
      </c>
      <c r="I978" s="144" t="s">
        <v>152</v>
      </c>
      <c r="J978" s="151" t="n">
        <v>45057.4552199074</v>
      </c>
      <c r="K978" s="1" t="n">
        <v>1</v>
      </c>
      <c r="L978" s="144" t="n">
        <v>19</v>
      </c>
      <c r="M978" s="1" t="n">
        <v>19</v>
      </c>
      <c r="N978" s="1" t="n">
        <v>19</v>
      </c>
      <c r="O978" s="149" t="n">
        <v>14</v>
      </c>
    </row>
    <row r="979" customFormat="false" ht="14.25" hidden="false" customHeight="false" outlineLevel="0" collapsed="false">
      <c r="A979" s="1" t="n">
        <v>199</v>
      </c>
      <c r="B979" s="1" t="s">
        <v>475</v>
      </c>
      <c r="C979" s="143" t="s">
        <v>52</v>
      </c>
      <c r="D979" s="143" t="s">
        <v>53</v>
      </c>
      <c r="E979" s="143" t="s">
        <v>474</v>
      </c>
      <c r="F979" s="144" t="n">
        <v>200025888209</v>
      </c>
      <c r="G979" s="144" t="s">
        <v>172</v>
      </c>
      <c r="H979" s="144" t="n">
        <v>19</v>
      </c>
      <c r="I979" s="144" t="s">
        <v>152</v>
      </c>
      <c r="J979" s="151" t="n">
        <v>45057.4619791667</v>
      </c>
      <c r="K979" s="1" t="n">
        <v>0</v>
      </c>
      <c r="L979" s="144" t="n">
        <v>19</v>
      </c>
      <c r="M979" s="1" t="n">
        <v>19</v>
      </c>
      <c r="N979" s="1" t="n">
        <v>19</v>
      </c>
      <c r="O979" s="149" t="n">
        <v>15</v>
      </c>
    </row>
    <row r="980" customFormat="false" ht="14.25" hidden="false" customHeight="false" outlineLevel="0" collapsed="false">
      <c r="A980" s="1" t="n">
        <v>374</v>
      </c>
      <c r="B980" s="1" t="s">
        <v>473</v>
      </c>
      <c r="C980" s="143" t="n">
        <v>11490</v>
      </c>
      <c r="D980" s="143" t="s">
        <v>65</v>
      </c>
      <c r="E980" s="143" t="s">
        <v>474</v>
      </c>
      <c r="F980" s="144" t="n">
        <v>200025888209</v>
      </c>
      <c r="G980" s="144" t="s">
        <v>172</v>
      </c>
      <c r="H980" s="144" t="n">
        <v>19</v>
      </c>
      <c r="I980" s="144" t="s">
        <v>152</v>
      </c>
      <c r="J980" s="151" t="n">
        <v>45057.6974884259</v>
      </c>
      <c r="K980" s="1" t="n">
        <v>3</v>
      </c>
      <c r="L980" s="144" t="n">
        <v>19</v>
      </c>
      <c r="M980" s="1" t="n">
        <v>19</v>
      </c>
      <c r="N980" s="1" t="n">
        <v>19</v>
      </c>
      <c r="O980" s="149" t="n">
        <v>16</v>
      </c>
    </row>
    <row r="981" customFormat="false" ht="14.25" hidden="false" customHeight="false" outlineLevel="0" collapsed="false">
      <c r="A981" s="1" t="n">
        <v>264</v>
      </c>
      <c r="B981" s="1" t="s">
        <v>476</v>
      </c>
      <c r="C981" s="143" t="s">
        <v>58</v>
      </c>
      <c r="D981" s="143" t="s">
        <v>59</v>
      </c>
      <c r="E981" s="143" t="s">
        <v>474</v>
      </c>
      <c r="F981" s="144" t="n">
        <v>200025888209</v>
      </c>
      <c r="G981" s="144" t="s">
        <v>172</v>
      </c>
      <c r="H981" s="144" t="n">
        <v>19</v>
      </c>
      <c r="I981" s="144" t="s">
        <v>152</v>
      </c>
      <c r="J981" s="151" t="n">
        <v>45057.702037037</v>
      </c>
      <c r="K981" s="1" t="n">
        <v>2</v>
      </c>
      <c r="L981" s="144" t="n">
        <v>19</v>
      </c>
      <c r="M981" s="1" t="n">
        <v>19</v>
      </c>
      <c r="N981" s="1" t="n">
        <v>19</v>
      </c>
      <c r="O981" s="149" t="n">
        <v>17</v>
      </c>
    </row>
    <row r="982" customFormat="false" ht="14.25" hidden="false" customHeight="false" outlineLevel="0" collapsed="false">
      <c r="A982" s="1" t="n">
        <v>254</v>
      </c>
      <c r="B982" s="1" t="s">
        <v>475</v>
      </c>
      <c r="C982" s="143" t="s">
        <v>52</v>
      </c>
      <c r="D982" s="143" t="s">
        <v>53</v>
      </c>
      <c r="E982" s="143" t="s">
        <v>474</v>
      </c>
      <c r="F982" s="144" t="n">
        <v>200025888209</v>
      </c>
      <c r="G982" s="144" t="s">
        <v>172</v>
      </c>
      <c r="H982" s="144" t="n">
        <v>19</v>
      </c>
      <c r="I982" s="144" t="s">
        <v>152</v>
      </c>
      <c r="J982" s="151" t="n">
        <v>45057.831875</v>
      </c>
      <c r="K982" s="1" t="n">
        <v>1</v>
      </c>
      <c r="L982" s="144" t="n">
        <v>19</v>
      </c>
      <c r="M982" s="1" t="n">
        <v>19</v>
      </c>
      <c r="N982" s="1" t="n">
        <v>19</v>
      </c>
      <c r="O982" s="149" t="n">
        <v>18</v>
      </c>
    </row>
    <row r="983" customFormat="false" ht="14.25" hidden="false" customHeight="false" outlineLevel="0" collapsed="false">
      <c r="A983" s="1" t="n">
        <v>255</v>
      </c>
      <c r="B983" s="1" t="s">
        <v>475</v>
      </c>
      <c r="C983" s="143" t="s">
        <v>52</v>
      </c>
      <c r="D983" s="143" t="s">
        <v>53</v>
      </c>
      <c r="E983" s="143" t="s">
        <v>474</v>
      </c>
      <c r="F983" s="144" t="n">
        <v>200025888209</v>
      </c>
      <c r="G983" s="144" t="s">
        <v>172</v>
      </c>
      <c r="H983" s="144" t="n">
        <v>19</v>
      </c>
      <c r="I983" s="144" t="s">
        <v>152</v>
      </c>
      <c r="J983" s="151" t="n">
        <v>45057.8322916667</v>
      </c>
      <c r="K983" s="1" t="n">
        <v>1</v>
      </c>
      <c r="L983" s="144" t="n">
        <v>19</v>
      </c>
      <c r="M983" s="1" t="n">
        <v>19</v>
      </c>
      <c r="N983" s="1" t="n">
        <v>19</v>
      </c>
      <c r="O983" s="149" t="n">
        <v>19</v>
      </c>
    </row>
    <row r="984" customFormat="false" ht="14.25" hidden="false" customHeight="false" outlineLevel="0" collapsed="false">
      <c r="A984" s="1" t="n">
        <v>496</v>
      </c>
      <c r="B984" s="1" t="s">
        <v>473</v>
      </c>
      <c r="C984" s="143" t="n">
        <v>11490</v>
      </c>
      <c r="D984" s="143" t="s">
        <v>65</v>
      </c>
      <c r="E984" s="143" t="s">
        <v>474</v>
      </c>
      <c r="F984" s="144" t="n">
        <v>200025888209</v>
      </c>
      <c r="G984" s="144" t="s">
        <v>172</v>
      </c>
      <c r="H984" s="144" t="n">
        <v>19</v>
      </c>
      <c r="I984" s="144" t="s">
        <v>152</v>
      </c>
      <c r="J984" s="151" t="n">
        <v>45058.068125</v>
      </c>
      <c r="K984" s="1" t="n">
        <v>3</v>
      </c>
      <c r="L984" s="144" t="n">
        <v>19</v>
      </c>
      <c r="M984" s="1" t="n">
        <v>19</v>
      </c>
      <c r="N984" s="1" t="n">
        <v>19</v>
      </c>
      <c r="O984" s="149" t="n">
        <v>20</v>
      </c>
    </row>
    <row r="985" customFormat="false" ht="14.25" hidden="false" customHeight="false" outlineLevel="0" collapsed="false">
      <c r="A985" s="1" t="n">
        <v>497</v>
      </c>
      <c r="B985" s="1" t="s">
        <v>473</v>
      </c>
      <c r="C985" s="143" t="n">
        <v>11490</v>
      </c>
      <c r="D985" s="143" t="s">
        <v>65</v>
      </c>
      <c r="E985" s="143" t="s">
        <v>474</v>
      </c>
      <c r="F985" s="144" t="n">
        <v>200025888209</v>
      </c>
      <c r="G985" s="144" t="s">
        <v>172</v>
      </c>
      <c r="H985" s="144" t="n">
        <v>19</v>
      </c>
      <c r="I985" s="144" t="s">
        <v>152</v>
      </c>
      <c r="J985" s="151" t="n">
        <v>45058.0688657407</v>
      </c>
      <c r="K985" s="1" t="n">
        <v>3</v>
      </c>
      <c r="L985" s="144" t="n">
        <v>19</v>
      </c>
      <c r="M985" s="1" t="n">
        <v>19</v>
      </c>
      <c r="N985" s="1" t="n">
        <v>19</v>
      </c>
      <c r="O985" s="149" t="n">
        <v>21</v>
      </c>
    </row>
    <row r="986" customFormat="false" ht="14.25" hidden="false" customHeight="false" outlineLevel="0" collapsed="false">
      <c r="A986" s="1" t="n">
        <v>498</v>
      </c>
      <c r="B986" s="1" t="s">
        <v>473</v>
      </c>
      <c r="C986" s="143" t="n">
        <v>11490</v>
      </c>
      <c r="D986" s="143" t="s">
        <v>65</v>
      </c>
      <c r="E986" s="143" t="s">
        <v>474</v>
      </c>
      <c r="F986" s="144" t="n">
        <v>200025888209</v>
      </c>
      <c r="G986" s="144" t="s">
        <v>172</v>
      </c>
      <c r="H986" s="144" t="n">
        <v>19</v>
      </c>
      <c r="I986" s="144" t="s">
        <v>152</v>
      </c>
      <c r="J986" s="151" t="n">
        <v>45058.0690393519</v>
      </c>
      <c r="K986" s="1" t="n">
        <v>2</v>
      </c>
      <c r="L986" s="144" t="n">
        <v>19</v>
      </c>
      <c r="M986" s="1" t="n">
        <v>19</v>
      </c>
      <c r="N986" s="1" t="n">
        <v>19</v>
      </c>
      <c r="O986" s="149" t="n">
        <v>22</v>
      </c>
    </row>
    <row r="987" customFormat="false" ht="14.25" hidden="false" customHeight="false" outlineLevel="0" collapsed="false">
      <c r="A987" s="1" t="n">
        <v>499</v>
      </c>
      <c r="B987" s="1" t="s">
        <v>473</v>
      </c>
      <c r="C987" s="143" t="n">
        <v>11490</v>
      </c>
      <c r="D987" s="143" t="s">
        <v>65</v>
      </c>
      <c r="E987" s="143" t="s">
        <v>474</v>
      </c>
      <c r="F987" s="144" t="n">
        <v>200025888209</v>
      </c>
      <c r="G987" s="144" t="s">
        <v>172</v>
      </c>
      <c r="H987" s="144" t="n">
        <v>19</v>
      </c>
      <c r="I987" s="144" t="s">
        <v>152</v>
      </c>
      <c r="J987" s="151" t="n">
        <v>45058.0692013889</v>
      </c>
      <c r="K987" s="1" t="n">
        <v>0</v>
      </c>
      <c r="L987" s="144" t="n">
        <v>19</v>
      </c>
      <c r="M987" s="1" t="n">
        <v>19</v>
      </c>
      <c r="N987" s="1" t="n">
        <v>19</v>
      </c>
      <c r="O987" s="149" t="n">
        <v>23</v>
      </c>
    </row>
    <row r="988" customFormat="false" ht="14.25" hidden="false" customHeight="false" outlineLevel="0" collapsed="false">
      <c r="A988" s="1" t="n">
        <v>17</v>
      </c>
      <c r="B988" s="1" t="s">
        <v>476</v>
      </c>
      <c r="C988" s="143" t="n">
        <v>11490</v>
      </c>
      <c r="D988" s="143" t="s">
        <v>65</v>
      </c>
      <c r="E988" s="143" t="s">
        <v>474</v>
      </c>
      <c r="F988" s="144" t="n">
        <v>200025888209</v>
      </c>
      <c r="G988" s="144" t="s">
        <v>172</v>
      </c>
      <c r="H988" s="144" t="n">
        <v>19</v>
      </c>
      <c r="I988" s="144" t="s">
        <v>152</v>
      </c>
      <c r="J988" s="151" t="n">
        <v>45064.547337963</v>
      </c>
      <c r="K988" s="1" t="n">
        <v>1</v>
      </c>
      <c r="L988" s="144" t="n">
        <v>19</v>
      </c>
      <c r="M988" s="1" t="n">
        <v>19</v>
      </c>
      <c r="N988" s="1" t="n">
        <v>19</v>
      </c>
      <c r="O988" s="149" t="n">
        <v>24</v>
      </c>
    </row>
    <row r="989" customFormat="false" ht="14.25" hidden="false" customHeight="false" outlineLevel="0" collapsed="false">
      <c r="A989" s="1" t="n">
        <v>22</v>
      </c>
      <c r="B989" s="1" t="s">
        <v>491</v>
      </c>
      <c r="C989" s="143" t="s">
        <v>52</v>
      </c>
      <c r="D989" s="143" t="s">
        <v>53</v>
      </c>
      <c r="E989" s="155" t="s">
        <v>474</v>
      </c>
      <c r="F989" s="144" t="n">
        <v>200025888639</v>
      </c>
      <c r="G989" s="144" t="s">
        <v>172</v>
      </c>
      <c r="H989" s="144" t="n">
        <v>19</v>
      </c>
      <c r="I989" s="144" t="s">
        <v>152</v>
      </c>
      <c r="J989" s="6" t="n">
        <v>45079.2932060185</v>
      </c>
      <c r="K989" s="1" t="n">
        <v>2</v>
      </c>
      <c r="L989" s="144" t="n">
        <v>19</v>
      </c>
      <c r="M989" s="1" t="n">
        <v>19</v>
      </c>
      <c r="N989" s="1" t="n">
        <v>19</v>
      </c>
      <c r="O989" s="149" t="n">
        <v>25</v>
      </c>
    </row>
    <row r="990" customFormat="false" ht="14.25" hidden="false" customHeight="false" outlineLevel="0" collapsed="false">
      <c r="A990" s="1" t="n">
        <v>94</v>
      </c>
      <c r="B990" s="1" t="s">
        <v>477</v>
      </c>
      <c r="C990" s="143" t="n">
        <v>91601</v>
      </c>
      <c r="D990" s="143" t="s">
        <v>64</v>
      </c>
      <c r="E990" s="143" t="s">
        <v>474</v>
      </c>
      <c r="F990" s="144" t="n">
        <v>200025889376</v>
      </c>
      <c r="G990" s="144" t="s">
        <v>432</v>
      </c>
      <c r="H990" s="144" t="n">
        <v>61</v>
      </c>
      <c r="I990" s="144" t="s">
        <v>152</v>
      </c>
      <c r="J990" s="152" t="n">
        <v>45056.5272453704</v>
      </c>
      <c r="K990" s="1" t="n">
        <v>2</v>
      </c>
      <c r="L990" s="144" t="n">
        <v>61</v>
      </c>
      <c r="M990" s="1" t="n">
        <v>20</v>
      </c>
      <c r="N990" s="1" t="n">
        <v>20</v>
      </c>
      <c r="O990" s="149" t="n">
        <v>1</v>
      </c>
    </row>
    <row r="991" customFormat="false" ht="14.25" hidden="false" customHeight="false" outlineLevel="0" collapsed="false">
      <c r="A991" s="1" t="n">
        <v>261</v>
      </c>
      <c r="B991" s="1" t="s">
        <v>476</v>
      </c>
      <c r="C991" s="143" t="s">
        <v>58</v>
      </c>
      <c r="D991" s="143" t="s">
        <v>59</v>
      </c>
      <c r="E991" s="143" t="s">
        <v>474</v>
      </c>
      <c r="F991" s="144" t="n">
        <v>200025889376</v>
      </c>
      <c r="G991" s="144" t="s">
        <v>432</v>
      </c>
      <c r="H991" s="144" t="n">
        <v>61</v>
      </c>
      <c r="I991" s="144" t="s">
        <v>152</v>
      </c>
      <c r="J991" s="6" t="n">
        <v>45057.6939814815</v>
      </c>
      <c r="K991" s="1" t="n">
        <v>3</v>
      </c>
      <c r="L991" s="144" t="n">
        <v>61</v>
      </c>
      <c r="M991" s="1" t="n">
        <v>20</v>
      </c>
      <c r="N991" s="1" t="n">
        <v>20</v>
      </c>
      <c r="O991" s="149" t="n">
        <v>2</v>
      </c>
    </row>
    <row r="992" customFormat="false" ht="14.25" hidden="false" customHeight="false" outlineLevel="0" collapsed="false">
      <c r="A992" s="1" t="n">
        <v>262</v>
      </c>
      <c r="B992" s="1" t="s">
        <v>476</v>
      </c>
      <c r="C992" s="143" t="s">
        <v>58</v>
      </c>
      <c r="D992" s="143" t="s">
        <v>59</v>
      </c>
      <c r="E992" s="143" t="s">
        <v>474</v>
      </c>
      <c r="F992" s="144" t="n">
        <v>200025889376</v>
      </c>
      <c r="G992" s="144" t="s">
        <v>432</v>
      </c>
      <c r="H992" s="144" t="n">
        <v>61</v>
      </c>
      <c r="I992" s="144" t="s">
        <v>152</v>
      </c>
      <c r="J992" s="6" t="n">
        <v>45057.6945486111</v>
      </c>
      <c r="K992" s="1" t="n">
        <v>0</v>
      </c>
      <c r="L992" s="144" t="n">
        <v>61</v>
      </c>
      <c r="M992" s="1" t="n">
        <v>20</v>
      </c>
      <c r="N992" s="1" t="n">
        <v>20</v>
      </c>
      <c r="O992" s="149" t="n">
        <v>3</v>
      </c>
    </row>
    <row r="993" customFormat="false" ht="14.25" hidden="false" customHeight="false" outlineLevel="0" collapsed="false">
      <c r="A993" s="1" t="n">
        <v>263</v>
      </c>
      <c r="B993" s="1" t="s">
        <v>476</v>
      </c>
      <c r="C993" s="143" t="s">
        <v>58</v>
      </c>
      <c r="D993" s="143" t="s">
        <v>59</v>
      </c>
      <c r="E993" s="143" t="s">
        <v>474</v>
      </c>
      <c r="F993" s="144" t="n">
        <v>200025889376</v>
      </c>
      <c r="G993" s="144" t="s">
        <v>432</v>
      </c>
      <c r="H993" s="144" t="n">
        <v>61</v>
      </c>
      <c r="I993" s="144" t="s">
        <v>152</v>
      </c>
      <c r="J993" s="6" t="n">
        <v>45057.6954976852</v>
      </c>
      <c r="K993" s="1" t="n">
        <v>0</v>
      </c>
      <c r="L993" s="144" t="n">
        <v>61</v>
      </c>
      <c r="M993" s="1" t="n">
        <v>20</v>
      </c>
      <c r="N993" s="1" t="n">
        <v>20</v>
      </c>
      <c r="O993" s="149" t="n">
        <v>4</v>
      </c>
    </row>
    <row r="994" customFormat="false" ht="14.25" hidden="false" customHeight="false" outlineLevel="0" collapsed="false">
      <c r="A994" s="1" t="n">
        <v>294</v>
      </c>
      <c r="B994" s="1" t="s">
        <v>475</v>
      </c>
      <c r="C994" s="143" t="s">
        <v>52</v>
      </c>
      <c r="D994" s="143" t="s">
        <v>53</v>
      </c>
      <c r="E994" s="143" t="s">
        <v>474</v>
      </c>
      <c r="F994" s="144" t="n">
        <v>200025889376</v>
      </c>
      <c r="G994" s="144" t="s">
        <v>432</v>
      </c>
      <c r="H994" s="144" t="n">
        <v>61</v>
      </c>
      <c r="I994" s="144" t="s">
        <v>152</v>
      </c>
      <c r="J994" s="151" t="n">
        <v>45057.9781828704</v>
      </c>
      <c r="K994" s="1" t="n">
        <v>1</v>
      </c>
      <c r="L994" s="144" t="n">
        <v>61</v>
      </c>
      <c r="M994" s="1" t="n">
        <v>20</v>
      </c>
      <c r="N994" s="1" t="n">
        <v>20</v>
      </c>
      <c r="O994" s="149" t="n">
        <v>5</v>
      </c>
    </row>
    <row r="995" customFormat="false" ht="14.25" hidden="false" customHeight="false" outlineLevel="0" collapsed="false">
      <c r="A995" s="1" t="n">
        <v>96</v>
      </c>
      <c r="B995" s="1" t="s">
        <v>477</v>
      </c>
      <c r="C995" s="143" t="n">
        <v>91601</v>
      </c>
      <c r="D995" s="143" t="s">
        <v>64</v>
      </c>
      <c r="E995" s="143" t="s">
        <v>474</v>
      </c>
      <c r="F995" s="144" t="n">
        <v>200025888623</v>
      </c>
      <c r="G995" s="144" t="s">
        <v>362</v>
      </c>
      <c r="H995" s="144" t="n">
        <v>74</v>
      </c>
      <c r="I995" s="144" t="s">
        <v>152</v>
      </c>
      <c r="J995" s="152" t="n">
        <v>45056.5502893519</v>
      </c>
      <c r="K995" s="1" t="n">
        <v>1</v>
      </c>
      <c r="L995" s="144" t="n">
        <v>74</v>
      </c>
      <c r="M995" s="1" t="n">
        <v>21</v>
      </c>
      <c r="N995" s="1" t="n">
        <v>21</v>
      </c>
      <c r="O995" s="149" t="n">
        <v>1</v>
      </c>
    </row>
    <row r="996" customFormat="false" ht="14.25" hidden="false" customHeight="false" outlineLevel="0" collapsed="false">
      <c r="A996" s="1" t="n">
        <v>201</v>
      </c>
      <c r="B996" s="1" t="s">
        <v>476</v>
      </c>
      <c r="C996" s="143" t="s">
        <v>58</v>
      </c>
      <c r="D996" s="143" t="s">
        <v>59</v>
      </c>
      <c r="E996" s="143" t="s">
        <v>474</v>
      </c>
      <c r="F996" s="144" t="n">
        <v>200025888623</v>
      </c>
      <c r="G996" s="144" t="s">
        <v>362</v>
      </c>
      <c r="H996" s="144" t="n">
        <v>74</v>
      </c>
      <c r="I996" s="144" t="s">
        <v>152</v>
      </c>
      <c r="J996" s="151" t="n">
        <v>45056.9519907407</v>
      </c>
      <c r="K996" s="1" t="n">
        <v>1</v>
      </c>
      <c r="L996" s="144" t="n">
        <v>74</v>
      </c>
      <c r="M996" s="1" t="n">
        <v>21</v>
      </c>
      <c r="N996" s="1" t="n">
        <v>21</v>
      </c>
      <c r="O996" s="149" t="n">
        <v>2</v>
      </c>
    </row>
    <row r="997" customFormat="false" ht="14.25" hidden="false" customHeight="false" outlineLevel="0" collapsed="false">
      <c r="A997" s="1" t="n">
        <v>229</v>
      </c>
      <c r="B997" s="1" t="s">
        <v>476</v>
      </c>
      <c r="C997" s="143" t="s">
        <v>58</v>
      </c>
      <c r="D997" s="143" t="s">
        <v>59</v>
      </c>
      <c r="E997" s="143" t="s">
        <v>474</v>
      </c>
      <c r="F997" s="144" t="n">
        <v>200025888623</v>
      </c>
      <c r="G997" s="144" t="s">
        <v>362</v>
      </c>
      <c r="H997" s="144" t="n">
        <v>74</v>
      </c>
      <c r="I997" s="144" t="s">
        <v>152</v>
      </c>
      <c r="J997" s="151" t="n">
        <v>45057.0651157407</v>
      </c>
      <c r="K997" s="1" t="n">
        <v>2</v>
      </c>
      <c r="L997" s="144" t="n">
        <v>74</v>
      </c>
      <c r="M997" s="1" t="n">
        <v>21</v>
      </c>
      <c r="N997" s="1" t="n">
        <v>21</v>
      </c>
      <c r="O997" s="149" t="n">
        <v>3</v>
      </c>
    </row>
    <row r="998" customFormat="false" ht="14.25" hidden="false" customHeight="false" outlineLevel="0" collapsed="false">
      <c r="A998" s="1" t="n">
        <v>230</v>
      </c>
      <c r="B998" s="1" t="s">
        <v>476</v>
      </c>
      <c r="C998" s="143" t="s">
        <v>58</v>
      </c>
      <c r="D998" s="143" t="s">
        <v>59</v>
      </c>
      <c r="E998" s="143" t="s">
        <v>474</v>
      </c>
      <c r="F998" s="144" t="n">
        <v>200025888623</v>
      </c>
      <c r="G998" s="144" t="s">
        <v>362</v>
      </c>
      <c r="H998" s="144" t="n">
        <v>74</v>
      </c>
      <c r="I998" s="144" t="s">
        <v>152</v>
      </c>
      <c r="J998" s="151" t="n">
        <v>45057.067662037</v>
      </c>
      <c r="K998" s="1" t="n">
        <v>1</v>
      </c>
      <c r="L998" s="144" t="n">
        <v>74</v>
      </c>
      <c r="M998" s="1" t="n">
        <v>21</v>
      </c>
      <c r="N998" s="1" t="n">
        <v>21</v>
      </c>
      <c r="O998" s="149" t="n">
        <v>4</v>
      </c>
    </row>
    <row r="999" customFormat="false" ht="14.25" hidden="false" customHeight="false" outlineLevel="0" collapsed="false">
      <c r="A999" s="1" t="n">
        <v>199</v>
      </c>
      <c r="B999" s="1" t="s">
        <v>477</v>
      </c>
      <c r="C999" s="143" t="n">
        <v>91601</v>
      </c>
      <c r="D999" s="143" t="s">
        <v>64</v>
      </c>
      <c r="E999" s="143" t="s">
        <v>474</v>
      </c>
      <c r="F999" s="144" t="n">
        <v>200025888623</v>
      </c>
      <c r="G999" s="144" t="s">
        <v>362</v>
      </c>
      <c r="H999" s="144" t="n">
        <v>74</v>
      </c>
      <c r="I999" s="144" t="s">
        <v>152</v>
      </c>
      <c r="J999" s="152" t="n">
        <v>45057.3571180556</v>
      </c>
      <c r="K999" s="1" t="n">
        <v>1</v>
      </c>
      <c r="L999" s="144" t="n">
        <v>74</v>
      </c>
      <c r="M999" s="1" t="n">
        <v>21</v>
      </c>
      <c r="N999" s="1" t="n">
        <v>21</v>
      </c>
      <c r="O999" s="149" t="n">
        <v>5</v>
      </c>
    </row>
    <row r="1000" customFormat="false" ht="14.25" hidden="false" customHeight="false" outlineLevel="0" collapsed="false">
      <c r="A1000" s="1" t="n">
        <v>200</v>
      </c>
      <c r="B1000" s="1" t="s">
        <v>477</v>
      </c>
      <c r="C1000" s="143" t="n">
        <v>91601</v>
      </c>
      <c r="D1000" s="143" t="s">
        <v>64</v>
      </c>
      <c r="E1000" s="143" t="s">
        <v>474</v>
      </c>
      <c r="F1000" s="144" t="n">
        <v>200025888623</v>
      </c>
      <c r="G1000" s="144" t="s">
        <v>362</v>
      </c>
      <c r="H1000" s="144" t="n">
        <v>74</v>
      </c>
      <c r="I1000" s="144" t="s">
        <v>152</v>
      </c>
      <c r="J1000" s="152" t="n">
        <v>45057.3574537037</v>
      </c>
      <c r="K1000" s="1" t="n">
        <v>1</v>
      </c>
      <c r="L1000" s="144" t="n">
        <v>74</v>
      </c>
      <c r="M1000" s="1" t="n">
        <v>21</v>
      </c>
      <c r="N1000" s="1" t="n">
        <v>21</v>
      </c>
      <c r="O1000" s="149" t="n">
        <v>6</v>
      </c>
    </row>
    <row r="1001" customFormat="false" ht="14.25" hidden="false" customHeight="false" outlineLevel="0" collapsed="false">
      <c r="A1001" s="1" t="n">
        <v>211</v>
      </c>
      <c r="B1001" s="1" t="s">
        <v>475</v>
      </c>
      <c r="C1001" s="143" t="s">
        <v>52</v>
      </c>
      <c r="D1001" s="143" t="s">
        <v>53</v>
      </c>
      <c r="E1001" s="143" t="s">
        <v>474</v>
      </c>
      <c r="F1001" s="144" t="n">
        <v>200025888623</v>
      </c>
      <c r="G1001" s="144" t="s">
        <v>362</v>
      </c>
      <c r="H1001" s="144" t="n">
        <v>74</v>
      </c>
      <c r="I1001" s="144" t="s">
        <v>152</v>
      </c>
      <c r="J1001" s="151" t="n">
        <v>45057.6945949074</v>
      </c>
      <c r="K1001" s="1" t="n">
        <v>2</v>
      </c>
      <c r="L1001" s="144" t="n">
        <v>74</v>
      </c>
      <c r="M1001" s="1" t="n">
        <v>21</v>
      </c>
      <c r="N1001" s="1" t="n">
        <v>21</v>
      </c>
      <c r="O1001" s="149" t="n">
        <v>7</v>
      </c>
    </row>
    <row r="1002" customFormat="false" ht="14.25" hidden="false" customHeight="false" outlineLevel="0" collapsed="false">
      <c r="A1002" s="1" t="n">
        <v>212</v>
      </c>
      <c r="B1002" s="1" t="s">
        <v>475</v>
      </c>
      <c r="C1002" s="143" t="s">
        <v>52</v>
      </c>
      <c r="D1002" s="143" t="s">
        <v>53</v>
      </c>
      <c r="E1002" s="143" t="s">
        <v>474</v>
      </c>
      <c r="F1002" s="144" t="n">
        <v>200025888623</v>
      </c>
      <c r="G1002" s="144" t="s">
        <v>362</v>
      </c>
      <c r="H1002" s="144" t="n">
        <v>74</v>
      </c>
      <c r="I1002" s="144" t="s">
        <v>152</v>
      </c>
      <c r="J1002" s="151" t="n">
        <v>45057.6950694444</v>
      </c>
      <c r="K1002" s="1" t="n">
        <v>3</v>
      </c>
      <c r="L1002" s="144" t="n">
        <v>74</v>
      </c>
      <c r="M1002" s="1" t="n">
        <v>21</v>
      </c>
      <c r="N1002" s="1" t="n">
        <v>21</v>
      </c>
      <c r="O1002" s="149" t="n">
        <v>8</v>
      </c>
    </row>
    <row r="1003" customFormat="false" ht="14.25" hidden="false" customHeight="false" outlineLevel="0" collapsed="false">
      <c r="A1003" s="1" t="n">
        <v>213</v>
      </c>
      <c r="B1003" s="1" t="s">
        <v>475</v>
      </c>
      <c r="C1003" s="143" t="s">
        <v>52</v>
      </c>
      <c r="D1003" s="143" t="s">
        <v>53</v>
      </c>
      <c r="E1003" s="143" t="s">
        <v>474</v>
      </c>
      <c r="F1003" s="144" t="n">
        <v>200025888623</v>
      </c>
      <c r="G1003" s="144" t="s">
        <v>362</v>
      </c>
      <c r="H1003" s="144" t="n">
        <v>74</v>
      </c>
      <c r="I1003" s="144" t="s">
        <v>152</v>
      </c>
      <c r="J1003" s="151" t="n">
        <v>45057.6952430556</v>
      </c>
      <c r="K1003" s="1" t="n">
        <v>2</v>
      </c>
      <c r="L1003" s="144" t="n">
        <v>74</v>
      </c>
      <c r="M1003" s="1" t="n">
        <v>21</v>
      </c>
      <c r="N1003" s="1" t="n">
        <v>21</v>
      </c>
      <c r="O1003" s="149" t="n">
        <v>9</v>
      </c>
    </row>
    <row r="1004" customFormat="false" ht="14.25" hidden="false" customHeight="false" outlineLevel="0" collapsed="false">
      <c r="A1004" s="1" t="n">
        <v>214</v>
      </c>
      <c r="B1004" s="1" t="s">
        <v>475</v>
      </c>
      <c r="C1004" s="143" t="s">
        <v>52</v>
      </c>
      <c r="D1004" s="143" t="s">
        <v>53</v>
      </c>
      <c r="E1004" s="143" t="s">
        <v>474</v>
      </c>
      <c r="F1004" s="144" t="n">
        <v>200025888623</v>
      </c>
      <c r="G1004" s="144" t="s">
        <v>362</v>
      </c>
      <c r="H1004" s="144" t="n">
        <v>74</v>
      </c>
      <c r="I1004" s="144" t="s">
        <v>152</v>
      </c>
      <c r="J1004" s="151" t="n">
        <v>45057.6958101852</v>
      </c>
      <c r="K1004" s="1" t="n">
        <v>0</v>
      </c>
      <c r="L1004" s="144" t="n">
        <v>74</v>
      </c>
      <c r="M1004" s="1" t="n">
        <v>21</v>
      </c>
      <c r="N1004" s="1" t="n">
        <v>21</v>
      </c>
      <c r="O1004" s="149" t="n">
        <v>10</v>
      </c>
    </row>
    <row r="1005" customFormat="false" ht="14.25" hidden="false" customHeight="false" outlineLevel="0" collapsed="false">
      <c r="A1005" s="1" t="n">
        <v>219</v>
      </c>
      <c r="B1005" s="1" t="s">
        <v>475</v>
      </c>
      <c r="C1005" s="143" t="s">
        <v>52</v>
      </c>
      <c r="D1005" s="143" t="s">
        <v>53</v>
      </c>
      <c r="E1005" s="143" t="s">
        <v>474</v>
      </c>
      <c r="F1005" s="144" t="n">
        <v>200025888623</v>
      </c>
      <c r="G1005" s="144" t="s">
        <v>362</v>
      </c>
      <c r="H1005" s="144" t="n">
        <v>74</v>
      </c>
      <c r="I1005" s="144" t="s">
        <v>152</v>
      </c>
      <c r="J1005" s="151" t="n">
        <v>45057.7092013889</v>
      </c>
      <c r="K1005" s="1" t="n">
        <v>1</v>
      </c>
      <c r="L1005" s="144" t="n">
        <v>74</v>
      </c>
      <c r="M1005" s="1" t="n">
        <v>21</v>
      </c>
      <c r="N1005" s="1" t="n">
        <v>21</v>
      </c>
      <c r="O1005" s="149" t="n">
        <v>11</v>
      </c>
    </row>
    <row r="1006" customFormat="false" ht="14.25" hidden="false" customHeight="false" outlineLevel="0" collapsed="false">
      <c r="A1006" s="1" t="n">
        <v>378</v>
      </c>
      <c r="B1006" s="1" t="s">
        <v>473</v>
      </c>
      <c r="C1006" s="143" t="n">
        <v>11490</v>
      </c>
      <c r="D1006" s="143" t="s">
        <v>65</v>
      </c>
      <c r="E1006" s="143" t="s">
        <v>474</v>
      </c>
      <c r="F1006" s="144" t="n">
        <v>200025888623</v>
      </c>
      <c r="G1006" s="144" t="s">
        <v>362</v>
      </c>
      <c r="H1006" s="144" t="n">
        <v>74</v>
      </c>
      <c r="I1006" s="144" t="s">
        <v>152</v>
      </c>
      <c r="J1006" s="151" t="n">
        <v>45057.7122916667</v>
      </c>
      <c r="K1006" s="1" t="n">
        <v>1</v>
      </c>
      <c r="L1006" s="144" t="n">
        <v>74</v>
      </c>
      <c r="M1006" s="1" t="n">
        <v>21</v>
      </c>
      <c r="N1006" s="1" t="n">
        <v>21</v>
      </c>
      <c r="O1006" s="149" t="n">
        <v>12</v>
      </c>
    </row>
    <row r="1007" customFormat="false" ht="14.25" hidden="false" customHeight="false" outlineLevel="0" collapsed="false">
      <c r="A1007" s="1" t="n">
        <v>379</v>
      </c>
      <c r="B1007" s="1" t="s">
        <v>473</v>
      </c>
      <c r="C1007" s="143" t="n">
        <v>11490</v>
      </c>
      <c r="D1007" s="143" t="s">
        <v>65</v>
      </c>
      <c r="E1007" s="143" t="s">
        <v>474</v>
      </c>
      <c r="F1007" s="144" t="n">
        <v>200025888623</v>
      </c>
      <c r="G1007" s="144" t="s">
        <v>362</v>
      </c>
      <c r="H1007" s="144" t="n">
        <v>74</v>
      </c>
      <c r="I1007" s="144" t="s">
        <v>152</v>
      </c>
      <c r="J1007" s="151" t="n">
        <v>45057.7124768519</v>
      </c>
      <c r="K1007" s="1" t="n">
        <v>2</v>
      </c>
      <c r="L1007" s="144" t="n">
        <v>74</v>
      </c>
      <c r="M1007" s="1" t="n">
        <v>21</v>
      </c>
      <c r="N1007" s="1" t="n">
        <v>21</v>
      </c>
      <c r="O1007" s="149" t="n">
        <v>13</v>
      </c>
    </row>
    <row r="1008" customFormat="false" ht="14.25" hidden="false" customHeight="false" outlineLevel="0" collapsed="false">
      <c r="A1008" s="1" t="n">
        <v>380</v>
      </c>
      <c r="B1008" s="1" t="s">
        <v>473</v>
      </c>
      <c r="C1008" s="143" t="n">
        <v>11490</v>
      </c>
      <c r="D1008" s="143" t="s">
        <v>65</v>
      </c>
      <c r="E1008" s="143" t="s">
        <v>474</v>
      </c>
      <c r="F1008" s="144" t="n">
        <v>200025888623</v>
      </c>
      <c r="G1008" s="144" t="s">
        <v>362</v>
      </c>
      <c r="H1008" s="144" t="n">
        <v>74</v>
      </c>
      <c r="I1008" s="144" t="s">
        <v>152</v>
      </c>
      <c r="J1008" s="151" t="n">
        <v>45057.7126388889</v>
      </c>
      <c r="K1008" s="1" t="n">
        <v>2</v>
      </c>
      <c r="L1008" s="144" t="n">
        <v>74</v>
      </c>
      <c r="M1008" s="1" t="n">
        <v>21</v>
      </c>
      <c r="N1008" s="1" t="n">
        <v>21</v>
      </c>
      <c r="O1008" s="149" t="n">
        <v>14</v>
      </c>
    </row>
    <row r="1009" customFormat="false" ht="14.25" hidden="false" customHeight="false" outlineLevel="0" collapsed="false">
      <c r="A1009" s="1" t="n">
        <v>227</v>
      </c>
      <c r="B1009" s="1" t="s">
        <v>475</v>
      </c>
      <c r="C1009" s="143" t="s">
        <v>52</v>
      </c>
      <c r="D1009" s="143" t="s">
        <v>53</v>
      </c>
      <c r="E1009" s="143" t="s">
        <v>474</v>
      </c>
      <c r="F1009" s="144" t="n">
        <v>200025888623</v>
      </c>
      <c r="G1009" s="144" t="s">
        <v>362</v>
      </c>
      <c r="H1009" s="144" t="n">
        <v>74</v>
      </c>
      <c r="I1009" s="144" t="s">
        <v>152</v>
      </c>
      <c r="J1009" s="151" t="n">
        <v>45057.7282638889</v>
      </c>
      <c r="K1009" s="1" t="n">
        <v>1</v>
      </c>
      <c r="L1009" s="144" t="n">
        <v>74</v>
      </c>
      <c r="M1009" s="1" t="n">
        <v>21</v>
      </c>
      <c r="N1009" s="1" t="n">
        <v>21</v>
      </c>
      <c r="O1009" s="149" t="n">
        <v>15</v>
      </c>
    </row>
    <row r="1010" customFormat="false" ht="14.25" hidden="false" customHeight="false" outlineLevel="0" collapsed="false">
      <c r="A1010" s="1" t="n">
        <v>251</v>
      </c>
      <c r="B1010" s="1" t="s">
        <v>475</v>
      </c>
      <c r="C1010" s="143" t="s">
        <v>52</v>
      </c>
      <c r="D1010" s="143" t="s">
        <v>53</v>
      </c>
      <c r="E1010" s="143" t="s">
        <v>474</v>
      </c>
      <c r="F1010" s="144" t="n">
        <v>200025888623</v>
      </c>
      <c r="G1010" s="144" t="s">
        <v>362</v>
      </c>
      <c r="H1010" s="144" t="n">
        <v>74</v>
      </c>
      <c r="I1010" s="144" t="s">
        <v>152</v>
      </c>
      <c r="J1010" s="151" t="n">
        <v>45057.7852314815</v>
      </c>
      <c r="K1010" s="1" t="n">
        <v>1</v>
      </c>
      <c r="L1010" s="144" t="n">
        <v>74</v>
      </c>
      <c r="M1010" s="1" t="n">
        <v>21</v>
      </c>
      <c r="N1010" s="1" t="n">
        <v>21</v>
      </c>
      <c r="O1010" s="149" t="n">
        <v>16</v>
      </c>
    </row>
    <row r="1011" customFormat="false" ht="14.25" hidden="false" customHeight="false" outlineLevel="0" collapsed="false">
      <c r="A1011" s="1" t="n">
        <v>245</v>
      </c>
      <c r="B1011" s="1" t="s">
        <v>477</v>
      </c>
      <c r="C1011" s="143" t="n">
        <v>11171</v>
      </c>
      <c r="D1011" s="143" t="s">
        <v>74</v>
      </c>
      <c r="E1011" s="155" t="s">
        <v>474</v>
      </c>
      <c r="F1011" s="144" t="n">
        <v>200025888623</v>
      </c>
      <c r="G1011" s="144" t="s">
        <v>362</v>
      </c>
      <c r="H1011" s="144" t="n">
        <v>74</v>
      </c>
      <c r="I1011" s="144" t="s">
        <v>152</v>
      </c>
      <c r="J1011" s="152" t="n">
        <v>45081.3606018519</v>
      </c>
      <c r="K1011" s="1" t="n">
        <v>2</v>
      </c>
      <c r="L1011" s="144" t="n">
        <v>74</v>
      </c>
      <c r="M1011" s="1" t="n">
        <v>21</v>
      </c>
      <c r="N1011" s="1" t="n">
        <v>21</v>
      </c>
      <c r="O1011" s="149" t="n">
        <v>17</v>
      </c>
    </row>
    <row r="1012" customFormat="false" ht="14.25" hidden="false" customHeight="false" outlineLevel="0" collapsed="false">
      <c r="A1012" s="1" t="n">
        <v>246</v>
      </c>
      <c r="B1012" s="1" t="s">
        <v>477</v>
      </c>
      <c r="C1012" s="143" t="n">
        <v>11171</v>
      </c>
      <c r="D1012" s="143" t="s">
        <v>74</v>
      </c>
      <c r="E1012" s="155" t="s">
        <v>474</v>
      </c>
      <c r="F1012" s="144" t="n">
        <v>200025888623</v>
      </c>
      <c r="G1012" s="144" t="s">
        <v>362</v>
      </c>
      <c r="H1012" s="144" t="n">
        <v>74</v>
      </c>
      <c r="I1012" s="144" t="s">
        <v>152</v>
      </c>
      <c r="J1012" s="152" t="n">
        <v>45081.371412037</v>
      </c>
      <c r="K1012" s="1" t="n">
        <v>1</v>
      </c>
      <c r="L1012" s="144" t="n">
        <v>74</v>
      </c>
      <c r="M1012" s="1" t="n">
        <v>21</v>
      </c>
      <c r="N1012" s="1" t="n">
        <v>21</v>
      </c>
      <c r="O1012" s="149" t="n">
        <v>18</v>
      </c>
    </row>
    <row r="1013" customFormat="false" ht="14.25" hidden="false" customHeight="false" outlineLevel="0" collapsed="false">
      <c r="A1013" s="1" t="n">
        <v>22</v>
      </c>
      <c r="B1013" s="1" t="s">
        <v>478</v>
      </c>
      <c r="C1013" s="143" t="n">
        <v>11171</v>
      </c>
      <c r="D1013" s="143" t="s">
        <v>74</v>
      </c>
      <c r="E1013" s="143" t="s">
        <v>474</v>
      </c>
      <c r="F1013" s="144" t="n">
        <v>200025889367</v>
      </c>
      <c r="G1013" s="144" t="s">
        <v>323</v>
      </c>
      <c r="H1013" s="144" t="n">
        <v>26</v>
      </c>
      <c r="I1013" s="144" t="s">
        <v>152</v>
      </c>
      <c r="J1013" s="151" t="n">
        <v>45056.7270949074</v>
      </c>
      <c r="K1013" s="1" t="n">
        <v>1</v>
      </c>
      <c r="L1013" s="144" t="n">
        <v>26</v>
      </c>
      <c r="M1013" s="1" t="n">
        <v>22</v>
      </c>
      <c r="N1013" s="1" t="n">
        <v>22</v>
      </c>
      <c r="O1013" s="149" t="n">
        <v>1</v>
      </c>
    </row>
    <row r="1014" customFormat="false" ht="14.25" hidden="false" customHeight="false" outlineLevel="0" collapsed="false">
      <c r="A1014" s="1" t="n">
        <v>261</v>
      </c>
      <c r="B1014" s="1" t="s">
        <v>475</v>
      </c>
      <c r="C1014" s="143" t="s">
        <v>52</v>
      </c>
      <c r="D1014" s="143" t="s">
        <v>53</v>
      </c>
      <c r="E1014" s="143" t="s">
        <v>474</v>
      </c>
      <c r="F1014" s="144" t="n">
        <v>200025889367</v>
      </c>
      <c r="G1014" s="144" t="s">
        <v>323</v>
      </c>
      <c r="H1014" s="144" t="n">
        <v>26</v>
      </c>
      <c r="I1014" s="144" t="s">
        <v>152</v>
      </c>
      <c r="J1014" s="151" t="n">
        <v>45057.8452777778</v>
      </c>
      <c r="K1014" s="1" t="n">
        <v>0</v>
      </c>
      <c r="L1014" s="144" t="n">
        <v>26</v>
      </c>
      <c r="M1014" s="1" t="n">
        <v>22</v>
      </c>
      <c r="N1014" s="1" t="n">
        <v>22</v>
      </c>
      <c r="O1014" s="149" t="n">
        <v>2</v>
      </c>
    </row>
    <row r="1015" customFormat="false" ht="14.25" hidden="false" customHeight="false" outlineLevel="0" collapsed="false">
      <c r="A1015" s="1" t="n">
        <v>262</v>
      </c>
      <c r="B1015" s="1" t="s">
        <v>475</v>
      </c>
      <c r="C1015" s="143" t="s">
        <v>52</v>
      </c>
      <c r="D1015" s="143" t="s">
        <v>53</v>
      </c>
      <c r="E1015" s="143" t="s">
        <v>474</v>
      </c>
      <c r="F1015" s="144" t="n">
        <v>200025889367</v>
      </c>
      <c r="G1015" s="144" t="s">
        <v>323</v>
      </c>
      <c r="H1015" s="144" t="n">
        <v>26</v>
      </c>
      <c r="I1015" s="144" t="s">
        <v>152</v>
      </c>
      <c r="J1015" s="151" t="n">
        <v>45057.8460648148</v>
      </c>
      <c r="K1015" s="1" t="n">
        <v>1</v>
      </c>
      <c r="L1015" s="144" t="n">
        <v>26</v>
      </c>
      <c r="M1015" s="1" t="n">
        <v>22</v>
      </c>
      <c r="N1015" s="1" t="n">
        <v>22</v>
      </c>
      <c r="O1015" s="149" t="n">
        <v>3</v>
      </c>
    </row>
    <row r="1016" customFormat="false" ht="14.25" hidden="false" customHeight="false" outlineLevel="0" collapsed="false">
      <c r="A1016" s="1" t="n">
        <v>443</v>
      </c>
      <c r="B1016" s="1" t="s">
        <v>473</v>
      </c>
      <c r="C1016" s="143" t="n">
        <v>11490</v>
      </c>
      <c r="D1016" s="143" t="s">
        <v>65</v>
      </c>
      <c r="E1016" s="143" t="s">
        <v>474</v>
      </c>
      <c r="F1016" s="144" t="n">
        <v>200025889367</v>
      </c>
      <c r="G1016" s="144" t="s">
        <v>323</v>
      </c>
      <c r="H1016" s="144" t="n">
        <v>26</v>
      </c>
      <c r="I1016" s="144" t="s">
        <v>152</v>
      </c>
      <c r="J1016" s="151" t="n">
        <v>45057.8612268519</v>
      </c>
      <c r="K1016" s="1" t="n">
        <v>2</v>
      </c>
      <c r="L1016" s="144" t="n">
        <v>26</v>
      </c>
      <c r="M1016" s="1" t="n">
        <v>22</v>
      </c>
      <c r="N1016" s="1" t="n">
        <v>22</v>
      </c>
      <c r="O1016" s="149" t="n">
        <v>4</v>
      </c>
    </row>
    <row r="1017" customFormat="false" ht="14.25" hidden="false" customHeight="false" outlineLevel="0" collapsed="false">
      <c r="A1017" s="1" t="n">
        <v>266</v>
      </c>
      <c r="B1017" s="1" t="s">
        <v>475</v>
      </c>
      <c r="C1017" s="143" t="s">
        <v>52</v>
      </c>
      <c r="D1017" s="143" t="s">
        <v>53</v>
      </c>
      <c r="E1017" s="143" t="s">
        <v>474</v>
      </c>
      <c r="F1017" s="144" t="n">
        <v>200025889367</v>
      </c>
      <c r="G1017" s="144" t="s">
        <v>323</v>
      </c>
      <c r="H1017" s="144" t="n">
        <v>26</v>
      </c>
      <c r="I1017" s="144" t="s">
        <v>152</v>
      </c>
      <c r="J1017" s="151" t="n">
        <v>45057.8653935185</v>
      </c>
      <c r="K1017" s="1" t="n">
        <v>2</v>
      </c>
      <c r="L1017" s="144" t="n">
        <v>26</v>
      </c>
      <c r="M1017" s="1" t="n">
        <v>22</v>
      </c>
      <c r="N1017" s="1" t="n">
        <v>22</v>
      </c>
      <c r="O1017" s="149" t="n">
        <v>5</v>
      </c>
    </row>
    <row r="1018" customFormat="false" ht="14.25" hidden="false" customHeight="false" outlineLevel="0" collapsed="false">
      <c r="A1018" s="1" t="n">
        <v>276</v>
      </c>
      <c r="B1018" s="1" t="s">
        <v>476</v>
      </c>
      <c r="C1018" s="143" t="s">
        <v>58</v>
      </c>
      <c r="D1018" s="143" t="s">
        <v>59</v>
      </c>
      <c r="E1018" s="143" t="s">
        <v>474</v>
      </c>
      <c r="F1018" s="144" t="n">
        <v>200025889367</v>
      </c>
      <c r="G1018" s="144" t="s">
        <v>323</v>
      </c>
      <c r="H1018" s="144" t="n">
        <v>26</v>
      </c>
      <c r="I1018" s="144" t="s">
        <v>152</v>
      </c>
      <c r="J1018" s="151" t="n">
        <v>45057.9005555556</v>
      </c>
      <c r="K1018" s="1" t="n">
        <v>1</v>
      </c>
      <c r="L1018" s="144" t="n">
        <v>26</v>
      </c>
      <c r="M1018" s="1" t="n">
        <v>22</v>
      </c>
      <c r="N1018" s="1" t="n">
        <v>22</v>
      </c>
      <c r="O1018" s="149" t="n">
        <v>6</v>
      </c>
    </row>
    <row r="1019" customFormat="false" ht="14.25" hidden="false" customHeight="false" outlineLevel="0" collapsed="false">
      <c r="A1019" s="1" t="n">
        <v>277</v>
      </c>
      <c r="B1019" s="1" t="s">
        <v>476</v>
      </c>
      <c r="C1019" s="143" t="s">
        <v>58</v>
      </c>
      <c r="D1019" s="143" t="s">
        <v>59</v>
      </c>
      <c r="E1019" s="143" t="s">
        <v>474</v>
      </c>
      <c r="F1019" s="144" t="n">
        <v>200025889367</v>
      </c>
      <c r="G1019" s="144" t="s">
        <v>323</v>
      </c>
      <c r="H1019" s="144" t="n">
        <v>26</v>
      </c>
      <c r="I1019" s="144" t="s">
        <v>152</v>
      </c>
      <c r="J1019" s="151" t="n">
        <v>45057.9007175926</v>
      </c>
      <c r="K1019" s="1" t="n">
        <v>2</v>
      </c>
      <c r="L1019" s="144" t="n">
        <v>26</v>
      </c>
      <c r="M1019" s="1" t="n">
        <v>22</v>
      </c>
      <c r="N1019" s="1" t="n">
        <v>22</v>
      </c>
      <c r="O1019" s="149" t="n">
        <v>7</v>
      </c>
    </row>
    <row r="1020" customFormat="false" ht="14.25" hidden="false" customHeight="false" outlineLevel="0" collapsed="false">
      <c r="A1020" s="1" t="n">
        <v>281</v>
      </c>
      <c r="B1020" s="1" t="s">
        <v>476</v>
      </c>
      <c r="C1020" s="143" t="s">
        <v>58</v>
      </c>
      <c r="D1020" s="143" t="s">
        <v>59</v>
      </c>
      <c r="E1020" s="143" t="s">
        <v>474</v>
      </c>
      <c r="F1020" s="144" t="n">
        <v>200025889367</v>
      </c>
      <c r="G1020" s="144" t="s">
        <v>323</v>
      </c>
      <c r="H1020" s="144" t="n">
        <v>26</v>
      </c>
      <c r="I1020" s="144" t="s">
        <v>152</v>
      </c>
      <c r="J1020" s="151" t="n">
        <v>45057.9042708333</v>
      </c>
      <c r="K1020" s="1" t="n">
        <v>1</v>
      </c>
      <c r="L1020" s="144" t="n">
        <v>26</v>
      </c>
      <c r="M1020" s="1" t="n">
        <v>22</v>
      </c>
      <c r="N1020" s="1" t="n">
        <v>22</v>
      </c>
      <c r="O1020" s="149" t="n">
        <v>8</v>
      </c>
    </row>
    <row r="1021" customFormat="false" ht="14.25" hidden="false" customHeight="false" outlineLevel="0" collapsed="false">
      <c r="A1021" s="1" t="n">
        <v>282</v>
      </c>
      <c r="B1021" s="1" t="s">
        <v>476</v>
      </c>
      <c r="C1021" s="143" t="s">
        <v>58</v>
      </c>
      <c r="D1021" s="143" t="s">
        <v>59</v>
      </c>
      <c r="E1021" s="143" t="s">
        <v>474</v>
      </c>
      <c r="F1021" s="144" t="n">
        <v>200025889367</v>
      </c>
      <c r="G1021" s="144" t="s">
        <v>323</v>
      </c>
      <c r="H1021" s="144" t="n">
        <v>26</v>
      </c>
      <c r="I1021" s="144" t="s">
        <v>152</v>
      </c>
      <c r="J1021" s="151" t="n">
        <v>45057.9045138889</v>
      </c>
      <c r="K1021" s="1" t="n">
        <v>2</v>
      </c>
      <c r="L1021" s="144" t="n">
        <v>26</v>
      </c>
      <c r="M1021" s="1" t="n">
        <v>22</v>
      </c>
      <c r="N1021" s="1" t="n">
        <v>22</v>
      </c>
      <c r="O1021" s="149" t="n">
        <v>9</v>
      </c>
    </row>
    <row r="1022" customFormat="false" ht="14.25" hidden="false" customHeight="false" outlineLevel="0" collapsed="false">
      <c r="A1022" s="1" t="n">
        <v>283</v>
      </c>
      <c r="B1022" s="1" t="s">
        <v>476</v>
      </c>
      <c r="C1022" s="143" t="s">
        <v>58</v>
      </c>
      <c r="D1022" s="143" t="s">
        <v>59</v>
      </c>
      <c r="E1022" s="143" t="s">
        <v>474</v>
      </c>
      <c r="F1022" s="144" t="n">
        <v>200025889367</v>
      </c>
      <c r="G1022" s="144" t="s">
        <v>323</v>
      </c>
      <c r="H1022" s="144" t="n">
        <v>26</v>
      </c>
      <c r="I1022" s="144" t="s">
        <v>152</v>
      </c>
      <c r="J1022" s="151" t="n">
        <v>45057.9048958333</v>
      </c>
      <c r="K1022" s="1" t="n">
        <v>1</v>
      </c>
      <c r="L1022" s="144" t="n">
        <v>26</v>
      </c>
      <c r="M1022" s="1" t="n">
        <v>22</v>
      </c>
      <c r="N1022" s="1" t="n">
        <v>22</v>
      </c>
      <c r="O1022" s="149" t="n">
        <v>10</v>
      </c>
    </row>
    <row r="1023" customFormat="false" ht="14.25" hidden="false" customHeight="false" outlineLevel="0" collapsed="false">
      <c r="A1023" s="1" t="n">
        <v>448</v>
      </c>
      <c r="B1023" s="1" t="s">
        <v>473</v>
      </c>
      <c r="C1023" s="143" t="n">
        <v>11490</v>
      </c>
      <c r="D1023" s="143" t="s">
        <v>65</v>
      </c>
      <c r="E1023" s="143" t="s">
        <v>474</v>
      </c>
      <c r="F1023" s="144" t="n">
        <v>200025889367</v>
      </c>
      <c r="G1023" s="144" t="s">
        <v>323</v>
      </c>
      <c r="H1023" s="144" t="n">
        <v>26</v>
      </c>
      <c r="I1023" s="144" t="s">
        <v>152</v>
      </c>
      <c r="J1023" s="151" t="n">
        <v>45057.9121990741</v>
      </c>
      <c r="K1023" s="1" t="n">
        <v>0</v>
      </c>
      <c r="L1023" s="144" t="n">
        <v>26</v>
      </c>
      <c r="M1023" s="1" t="n">
        <v>22</v>
      </c>
      <c r="N1023" s="1" t="n">
        <v>22</v>
      </c>
      <c r="O1023" s="149" t="n">
        <v>11</v>
      </c>
    </row>
    <row r="1024" customFormat="false" ht="14.25" hidden="false" customHeight="false" outlineLevel="0" collapsed="false">
      <c r="A1024" s="1" t="n">
        <v>449</v>
      </c>
      <c r="B1024" s="1" t="s">
        <v>473</v>
      </c>
      <c r="C1024" s="143" t="n">
        <v>11490</v>
      </c>
      <c r="D1024" s="143" t="s">
        <v>65</v>
      </c>
      <c r="E1024" s="143" t="s">
        <v>474</v>
      </c>
      <c r="F1024" s="144" t="n">
        <v>200025889367</v>
      </c>
      <c r="G1024" s="144" t="s">
        <v>323</v>
      </c>
      <c r="H1024" s="144" t="n">
        <v>26</v>
      </c>
      <c r="I1024" s="144" t="s">
        <v>152</v>
      </c>
      <c r="J1024" s="151" t="n">
        <v>45057.9125</v>
      </c>
      <c r="K1024" s="1" t="n">
        <v>2</v>
      </c>
      <c r="L1024" s="144" t="n">
        <v>26</v>
      </c>
      <c r="M1024" s="1" t="n">
        <v>22</v>
      </c>
      <c r="N1024" s="1" t="n">
        <v>22</v>
      </c>
      <c r="O1024" s="149" t="n">
        <v>12</v>
      </c>
    </row>
    <row r="1025" customFormat="false" ht="14.25" hidden="false" customHeight="false" outlineLevel="0" collapsed="false">
      <c r="A1025" s="1" t="n">
        <v>463</v>
      </c>
      <c r="B1025" s="1" t="s">
        <v>473</v>
      </c>
      <c r="C1025" s="143" t="n">
        <v>11490</v>
      </c>
      <c r="D1025" s="143" t="s">
        <v>65</v>
      </c>
      <c r="E1025" s="143" t="s">
        <v>474</v>
      </c>
      <c r="F1025" s="144" t="n">
        <v>200025889367</v>
      </c>
      <c r="G1025" s="144" t="s">
        <v>323</v>
      </c>
      <c r="H1025" s="144" t="n">
        <v>26</v>
      </c>
      <c r="I1025" s="144" t="s">
        <v>152</v>
      </c>
      <c r="J1025" s="151" t="n">
        <v>45058.0066203704</v>
      </c>
      <c r="K1025" s="1" t="n">
        <v>2</v>
      </c>
      <c r="L1025" s="144" t="n">
        <v>26</v>
      </c>
      <c r="M1025" s="1" t="n">
        <v>22</v>
      </c>
      <c r="N1025" s="1" t="n">
        <v>22</v>
      </c>
      <c r="O1025" s="149" t="n">
        <v>13</v>
      </c>
    </row>
    <row r="1026" customFormat="false" ht="14.25" hidden="false" customHeight="false" outlineLevel="0" collapsed="false">
      <c r="A1026" s="1" t="n">
        <v>464</v>
      </c>
      <c r="B1026" s="1" t="s">
        <v>473</v>
      </c>
      <c r="C1026" s="143" t="n">
        <v>11490</v>
      </c>
      <c r="D1026" s="143" t="s">
        <v>65</v>
      </c>
      <c r="E1026" s="143" t="s">
        <v>474</v>
      </c>
      <c r="F1026" s="144" t="n">
        <v>200025889367</v>
      </c>
      <c r="G1026" s="144" t="s">
        <v>323</v>
      </c>
      <c r="H1026" s="144" t="n">
        <v>26</v>
      </c>
      <c r="I1026" s="144" t="s">
        <v>152</v>
      </c>
      <c r="J1026" s="151" t="n">
        <v>45058.0069212963</v>
      </c>
      <c r="K1026" s="1" t="n">
        <v>0</v>
      </c>
      <c r="L1026" s="144" t="n">
        <v>26</v>
      </c>
      <c r="M1026" s="1" t="n">
        <v>22</v>
      </c>
      <c r="N1026" s="1" t="n">
        <v>22</v>
      </c>
      <c r="O1026" s="149" t="n">
        <v>14</v>
      </c>
    </row>
    <row r="1027" customFormat="false" ht="14.25" hidden="false" customHeight="false" outlineLevel="0" collapsed="false">
      <c r="A1027" s="1" t="n">
        <v>465</v>
      </c>
      <c r="B1027" s="1" t="s">
        <v>473</v>
      </c>
      <c r="C1027" s="143" t="n">
        <v>11490</v>
      </c>
      <c r="D1027" s="143" t="s">
        <v>65</v>
      </c>
      <c r="E1027" s="143" t="s">
        <v>474</v>
      </c>
      <c r="F1027" s="144" t="n">
        <v>200025889367</v>
      </c>
      <c r="G1027" s="144" t="s">
        <v>323</v>
      </c>
      <c r="H1027" s="144" t="n">
        <v>26</v>
      </c>
      <c r="I1027" s="144" t="s">
        <v>152</v>
      </c>
      <c r="J1027" s="151" t="n">
        <v>45058.0071527778</v>
      </c>
      <c r="K1027" s="1" t="n">
        <v>3</v>
      </c>
      <c r="L1027" s="144" t="n">
        <v>26</v>
      </c>
      <c r="M1027" s="1" t="n">
        <v>22</v>
      </c>
      <c r="N1027" s="1" t="n">
        <v>22</v>
      </c>
      <c r="O1027" s="149" t="n">
        <v>15</v>
      </c>
    </row>
    <row r="1028" customFormat="false" ht="14.25" hidden="false" customHeight="false" outlineLevel="0" collapsed="false">
      <c r="A1028" s="1" t="n">
        <v>466</v>
      </c>
      <c r="B1028" s="1" t="s">
        <v>473</v>
      </c>
      <c r="C1028" s="143" t="n">
        <v>11490</v>
      </c>
      <c r="D1028" s="143" t="s">
        <v>65</v>
      </c>
      <c r="E1028" s="143" t="s">
        <v>474</v>
      </c>
      <c r="F1028" s="144" t="n">
        <v>200025889367</v>
      </c>
      <c r="G1028" s="144" t="s">
        <v>323</v>
      </c>
      <c r="H1028" s="144" t="n">
        <v>26</v>
      </c>
      <c r="I1028" s="144" t="s">
        <v>152</v>
      </c>
      <c r="J1028" s="151" t="n">
        <v>45058.0073611111</v>
      </c>
      <c r="K1028" s="1" t="n">
        <v>3</v>
      </c>
      <c r="L1028" s="144" t="n">
        <v>26</v>
      </c>
      <c r="M1028" s="1" t="n">
        <v>22</v>
      </c>
      <c r="N1028" s="1" t="n">
        <v>22</v>
      </c>
      <c r="O1028" s="149" t="n">
        <v>16</v>
      </c>
    </row>
    <row r="1029" customFormat="false" ht="14.25" hidden="false" customHeight="false" outlineLevel="0" collapsed="false">
      <c r="A1029" s="1" t="n">
        <v>467</v>
      </c>
      <c r="B1029" s="1" t="s">
        <v>473</v>
      </c>
      <c r="C1029" s="143" t="n">
        <v>11490</v>
      </c>
      <c r="D1029" s="143" t="s">
        <v>65</v>
      </c>
      <c r="E1029" s="143" t="s">
        <v>474</v>
      </c>
      <c r="F1029" s="144" t="n">
        <v>200025889367</v>
      </c>
      <c r="G1029" s="144" t="s">
        <v>323</v>
      </c>
      <c r="H1029" s="144" t="n">
        <v>26</v>
      </c>
      <c r="I1029" s="144" t="s">
        <v>152</v>
      </c>
      <c r="J1029" s="151" t="n">
        <v>45058.0075810185</v>
      </c>
      <c r="K1029" s="1" t="n">
        <v>5</v>
      </c>
      <c r="L1029" s="144" t="n">
        <v>26</v>
      </c>
      <c r="M1029" s="1" t="n">
        <v>22</v>
      </c>
      <c r="N1029" s="1" t="n">
        <v>22</v>
      </c>
      <c r="O1029" s="149" t="n">
        <v>17</v>
      </c>
    </row>
    <row r="1030" customFormat="false" ht="14.25" hidden="false" customHeight="false" outlineLevel="0" collapsed="false">
      <c r="A1030" s="1" t="n">
        <v>313</v>
      </c>
      <c r="B1030" s="1" t="s">
        <v>475</v>
      </c>
      <c r="C1030" s="143" t="s">
        <v>52</v>
      </c>
      <c r="D1030" s="143" t="s">
        <v>53</v>
      </c>
      <c r="E1030" s="143" t="s">
        <v>474</v>
      </c>
      <c r="F1030" s="144" t="n">
        <v>200025889367</v>
      </c>
      <c r="G1030" s="144" t="s">
        <v>323</v>
      </c>
      <c r="H1030" s="144" t="n">
        <v>26</v>
      </c>
      <c r="I1030" s="144" t="s">
        <v>152</v>
      </c>
      <c r="J1030" s="151" t="n">
        <v>45058.1216435185</v>
      </c>
      <c r="K1030" s="1" t="n">
        <v>1</v>
      </c>
      <c r="L1030" s="144" t="n">
        <v>26</v>
      </c>
      <c r="M1030" s="1" t="n">
        <v>22</v>
      </c>
      <c r="N1030" s="1" t="n">
        <v>22</v>
      </c>
      <c r="O1030" s="149" t="n">
        <v>18</v>
      </c>
    </row>
    <row r="1031" customFormat="false" ht="14.25" hidden="false" customHeight="false" outlineLevel="0" collapsed="false">
      <c r="A1031" s="1" t="n">
        <v>314</v>
      </c>
      <c r="B1031" s="1" t="s">
        <v>475</v>
      </c>
      <c r="C1031" s="143" t="s">
        <v>52</v>
      </c>
      <c r="D1031" s="143" t="s">
        <v>53</v>
      </c>
      <c r="E1031" s="143" t="s">
        <v>474</v>
      </c>
      <c r="F1031" s="144" t="s">
        <v>498</v>
      </c>
      <c r="G1031" s="144" t="s">
        <v>323</v>
      </c>
      <c r="H1031" s="144" t="n">
        <v>26</v>
      </c>
      <c r="I1031" s="144" t="s">
        <v>152</v>
      </c>
      <c r="J1031" s="151" t="n">
        <v>45058.1217476852</v>
      </c>
      <c r="K1031" s="1" t="n">
        <v>0</v>
      </c>
      <c r="L1031" s="144" t="n">
        <v>26</v>
      </c>
      <c r="M1031" s="1" t="n">
        <v>22</v>
      </c>
      <c r="N1031" s="1" t="n">
        <v>22</v>
      </c>
      <c r="O1031" s="149" t="n">
        <v>19</v>
      </c>
    </row>
    <row r="1032" customFormat="false" ht="14.25" hidden="false" customHeight="false" outlineLevel="0" collapsed="false">
      <c r="A1032" s="1" t="n">
        <v>315</v>
      </c>
      <c r="B1032" s="1" t="s">
        <v>475</v>
      </c>
      <c r="C1032" s="143" t="s">
        <v>52</v>
      </c>
      <c r="D1032" s="143" t="s">
        <v>53</v>
      </c>
      <c r="E1032" s="143" t="s">
        <v>474</v>
      </c>
      <c r="F1032" s="144" t="n">
        <v>200025889367</v>
      </c>
      <c r="G1032" s="144" t="s">
        <v>323</v>
      </c>
      <c r="H1032" s="144" t="n">
        <v>26</v>
      </c>
      <c r="I1032" s="144" t="s">
        <v>152</v>
      </c>
      <c r="J1032" s="151" t="n">
        <v>45058.121875</v>
      </c>
      <c r="K1032" s="1" t="n">
        <v>0</v>
      </c>
      <c r="L1032" s="144" t="n">
        <v>26</v>
      </c>
      <c r="M1032" s="1" t="n">
        <v>22</v>
      </c>
      <c r="N1032" s="1" t="n">
        <v>22</v>
      </c>
      <c r="O1032" s="149" t="n">
        <v>20</v>
      </c>
    </row>
    <row r="1033" customFormat="false" ht="14.25" hidden="false" customHeight="false" outlineLevel="0" collapsed="false">
      <c r="A1033" s="1" t="n">
        <v>316</v>
      </c>
      <c r="B1033" s="1" t="s">
        <v>475</v>
      </c>
      <c r="C1033" s="143" t="s">
        <v>52</v>
      </c>
      <c r="D1033" s="143" t="s">
        <v>53</v>
      </c>
      <c r="E1033" s="143" t="s">
        <v>474</v>
      </c>
      <c r="F1033" s="144" t="n">
        <v>200025889367</v>
      </c>
      <c r="G1033" s="144" t="s">
        <v>323</v>
      </c>
      <c r="H1033" s="144" t="n">
        <v>26</v>
      </c>
      <c r="I1033" s="144" t="s">
        <v>152</v>
      </c>
      <c r="J1033" s="151" t="n">
        <v>45058.1224537037</v>
      </c>
      <c r="K1033" s="1" t="n">
        <v>1</v>
      </c>
      <c r="L1033" s="144" t="n">
        <v>26</v>
      </c>
      <c r="M1033" s="1" t="n">
        <v>22</v>
      </c>
      <c r="N1033" s="1" t="n">
        <v>22</v>
      </c>
      <c r="O1033" s="149" t="n">
        <v>21</v>
      </c>
    </row>
    <row r="1034" customFormat="false" ht="14.25" hidden="false" customHeight="false" outlineLevel="0" collapsed="false">
      <c r="A1034" s="1" t="n">
        <v>8</v>
      </c>
      <c r="B1034" s="1" t="s">
        <v>499</v>
      </c>
      <c r="C1034" s="143" t="n">
        <v>11490</v>
      </c>
      <c r="D1034" s="143" t="s">
        <v>65</v>
      </c>
      <c r="E1034" s="143" t="s">
        <v>474</v>
      </c>
      <c r="F1034" s="144" t="n">
        <v>200025889367</v>
      </c>
      <c r="G1034" s="144" t="s">
        <v>323</v>
      </c>
      <c r="H1034" s="144" t="n">
        <v>26</v>
      </c>
      <c r="I1034" s="144" t="s">
        <v>152</v>
      </c>
      <c r="J1034" s="151" t="n">
        <v>45060.4338425926</v>
      </c>
      <c r="K1034" s="1" t="n">
        <v>4</v>
      </c>
      <c r="L1034" s="144" t="n">
        <v>26</v>
      </c>
      <c r="M1034" s="1" t="n">
        <v>22</v>
      </c>
      <c r="N1034" s="1" t="n">
        <v>22</v>
      </c>
      <c r="O1034" s="149" t="n">
        <v>22</v>
      </c>
    </row>
    <row r="1035" customFormat="false" ht="14.25" hidden="false" customHeight="false" outlineLevel="0" collapsed="false">
      <c r="A1035" s="1" t="n">
        <v>4</v>
      </c>
      <c r="B1035" s="1" t="s">
        <v>477</v>
      </c>
      <c r="C1035" s="143" t="s">
        <v>58</v>
      </c>
      <c r="D1035" s="143" t="s">
        <v>59</v>
      </c>
      <c r="E1035" s="143" t="s">
        <v>474</v>
      </c>
      <c r="F1035" s="144" t="n">
        <v>200025889367</v>
      </c>
      <c r="G1035" s="144" t="s">
        <v>323</v>
      </c>
      <c r="H1035" s="144" t="n">
        <v>26</v>
      </c>
      <c r="I1035" s="144" t="s">
        <v>152</v>
      </c>
      <c r="J1035" s="152" t="n">
        <v>45066.4254513889</v>
      </c>
      <c r="K1035" s="1" t="n">
        <v>1</v>
      </c>
      <c r="L1035" s="144" t="n">
        <v>26</v>
      </c>
      <c r="M1035" s="1" t="n">
        <v>22</v>
      </c>
      <c r="N1035" s="1" t="n">
        <v>22</v>
      </c>
      <c r="O1035" s="149" t="n">
        <v>23</v>
      </c>
    </row>
    <row r="1036" customFormat="false" ht="14.25" hidden="false" customHeight="false" outlineLevel="0" collapsed="false">
      <c r="A1036" s="1" t="n">
        <v>78</v>
      </c>
      <c r="B1036" s="1" t="s">
        <v>476</v>
      </c>
      <c r="C1036" s="143" t="n">
        <v>91601</v>
      </c>
      <c r="D1036" s="143" t="s">
        <v>65</v>
      </c>
      <c r="E1036" s="155" t="s">
        <v>474</v>
      </c>
      <c r="F1036" s="144" t="n">
        <v>200025889367</v>
      </c>
      <c r="G1036" s="144" t="s">
        <v>323</v>
      </c>
      <c r="H1036" s="144" t="n">
        <v>26</v>
      </c>
      <c r="I1036" s="144" t="s">
        <v>152</v>
      </c>
      <c r="J1036" s="151" t="n">
        <v>45072.4683217593</v>
      </c>
      <c r="K1036" s="1" t="n">
        <v>0</v>
      </c>
      <c r="L1036" s="144" t="n">
        <v>26</v>
      </c>
      <c r="M1036" s="1" t="n">
        <v>22</v>
      </c>
      <c r="N1036" s="1" t="n">
        <v>22</v>
      </c>
      <c r="O1036" s="149" t="n">
        <v>24</v>
      </c>
    </row>
    <row r="1037" customFormat="false" ht="14.25" hidden="false" customHeight="false" outlineLevel="0" collapsed="false">
      <c r="A1037" s="1" t="n">
        <v>110</v>
      </c>
      <c r="B1037" s="1" t="s">
        <v>476</v>
      </c>
      <c r="C1037" s="143" t="n">
        <v>91601</v>
      </c>
      <c r="D1037" s="143" t="s">
        <v>65</v>
      </c>
      <c r="E1037" s="155" t="s">
        <v>474</v>
      </c>
      <c r="F1037" s="144" t="n">
        <v>200025889367</v>
      </c>
      <c r="G1037" s="144" t="s">
        <v>323</v>
      </c>
      <c r="H1037" s="144" t="n">
        <v>26</v>
      </c>
      <c r="I1037" s="144" t="s">
        <v>152</v>
      </c>
      <c r="J1037" s="151" t="n">
        <v>45073.3200231481</v>
      </c>
      <c r="K1037" s="1" t="n">
        <v>4</v>
      </c>
      <c r="L1037" s="144" t="n">
        <v>26</v>
      </c>
      <c r="M1037" s="1" t="n">
        <v>22</v>
      </c>
      <c r="N1037" s="1" t="n">
        <v>22</v>
      </c>
      <c r="O1037" s="149" t="n">
        <v>25</v>
      </c>
    </row>
    <row r="1038" customFormat="false" ht="14.25" hidden="false" customHeight="false" outlineLevel="0" collapsed="false">
      <c r="A1038" s="1" t="n">
        <v>23</v>
      </c>
      <c r="B1038" s="1" t="s">
        <v>491</v>
      </c>
      <c r="C1038" s="143" t="s">
        <v>52</v>
      </c>
      <c r="D1038" s="143" t="s">
        <v>53</v>
      </c>
      <c r="E1038" s="155" t="s">
        <v>474</v>
      </c>
      <c r="F1038" s="144" t="n">
        <v>200025888276</v>
      </c>
      <c r="G1038" s="144" t="s">
        <v>323</v>
      </c>
      <c r="H1038" s="144" t="n">
        <v>26</v>
      </c>
      <c r="I1038" s="144" t="s">
        <v>152</v>
      </c>
      <c r="J1038" s="151" t="n">
        <v>45079.4310300926</v>
      </c>
      <c r="K1038" s="1" t="n">
        <v>2</v>
      </c>
      <c r="L1038" s="144" t="n">
        <v>26</v>
      </c>
      <c r="M1038" s="1" t="n">
        <v>22</v>
      </c>
      <c r="N1038" s="1" t="n">
        <v>22</v>
      </c>
      <c r="O1038" s="149" t="n">
        <v>26</v>
      </c>
    </row>
    <row r="1039" customFormat="false" ht="14.25" hidden="false" customHeight="false" outlineLevel="0" collapsed="false">
      <c r="A1039" s="1" t="n">
        <v>25</v>
      </c>
      <c r="B1039" s="1" t="s">
        <v>491</v>
      </c>
      <c r="C1039" s="143" t="s">
        <v>52</v>
      </c>
      <c r="D1039" s="143" t="s">
        <v>53</v>
      </c>
      <c r="E1039" s="155" t="s">
        <v>474</v>
      </c>
      <c r="F1039" s="144" t="n">
        <v>200025888276</v>
      </c>
      <c r="G1039" s="144" t="s">
        <v>323</v>
      </c>
      <c r="H1039" s="144" t="n">
        <v>26</v>
      </c>
      <c r="I1039" s="144" t="s">
        <v>152</v>
      </c>
      <c r="J1039" s="151" t="n">
        <v>45079.5082986111</v>
      </c>
      <c r="K1039" s="1" t="n">
        <v>5</v>
      </c>
      <c r="L1039" s="144" t="n">
        <v>26</v>
      </c>
      <c r="M1039" s="1" t="n">
        <v>22</v>
      </c>
      <c r="N1039" s="1" t="n">
        <v>22</v>
      </c>
      <c r="O1039" s="149" t="n">
        <v>27</v>
      </c>
    </row>
    <row r="1040" customFormat="false" ht="14.25" hidden="false" customHeight="false" outlineLevel="0" collapsed="false">
      <c r="A1040" s="1" t="n">
        <v>170</v>
      </c>
      <c r="B1040" s="1" t="s">
        <v>476</v>
      </c>
      <c r="C1040" s="143" t="s">
        <v>58</v>
      </c>
      <c r="D1040" s="143" t="s">
        <v>59</v>
      </c>
      <c r="E1040" s="143" t="s">
        <v>474</v>
      </c>
      <c r="F1040" s="144" t="n">
        <v>200025889389</v>
      </c>
      <c r="G1040" s="144" t="s">
        <v>457</v>
      </c>
      <c r="H1040" s="144" t="n">
        <v>90</v>
      </c>
      <c r="I1040" s="144" t="s">
        <v>152</v>
      </c>
      <c r="J1040" s="151" t="n">
        <v>45056.7631134259</v>
      </c>
      <c r="K1040" s="1" t="n">
        <v>42</v>
      </c>
      <c r="L1040" s="144" t="n">
        <v>90</v>
      </c>
      <c r="M1040" s="1" t="n">
        <v>23</v>
      </c>
      <c r="N1040" s="1" t="n">
        <v>23</v>
      </c>
      <c r="O1040" s="149" t="n">
        <v>1</v>
      </c>
    </row>
    <row r="1041" customFormat="false" ht="14.25" hidden="false" customHeight="false" outlineLevel="0" collapsed="false">
      <c r="A1041" s="1" t="n">
        <v>171</v>
      </c>
      <c r="B1041" s="1" t="s">
        <v>476</v>
      </c>
      <c r="C1041" s="143" t="s">
        <v>58</v>
      </c>
      <c r="D1041" s="143" t="s">
        <v>59</v>
      </c>
      <c r="E1041" s="143" t="s">
        <v>474</v>
      </c>
      <c r="F1041" s="144" t="n">
        <v>200025889389</v>
      </c>
      <c r="G1041" s="144" t="s">
        <v>457</v>
      </c>
      <c r="H1041" s="144" t="n">
        <v>90</v>
      </c>
      <c r="I1041" s="144" t="s">
        <v>152</v>
      </c>
      <c r="J1041" s="151" t="n">
        <v>45056.763125</v>
      </c>
      <c r="K1041" s="1" t="n">
        <v>2</v>
      </c>
      <c r="L1041" s="144" t="n">
        <v>90</v>
      </c>
      <c r="M1041" s="1" t="n">
        <v>23</v>
      </c>
      <c r="N1041" s="1" t="n">
        <v>23</v>
      </c>
      <c r="O1041" s="149" t="n">
        <v>2</v>
      </c>
    </row>
    <row r="1042" customFormat="false" ht="14.25" hidden="false" customHeight="false" outlineLevel="0" collapsed="false">
      <c r="A1042" s="1" t="n">
        <v>175</v>
      </c>
      <c r="B1042" s="1" t="s">
        <v>476</v>
      </c>
      <c r="C1042" s="143" t="s">
        <v>58</v>
      </c>
      <c r="D1042" s="143" t="s">
        <v>59</v>
      </c>
      <c r="E1042" s="143" t="s">
        <v>474</v>
      </c>
      <c r="F1042" s="144" t="n">
        <v>200025889389</v>
      </c>
      <c r="G1042" s="144" t="s">
        <v>457</v>
      </c>
      <c r="H1042" s="144" t="n">
        <v>90</v>
      </c>
      <c r="I1042" s="144" t="s">
        <v>152</v>
      </c>
      <c r="J1042" s="151" t="n">
        <v>45056.7672337963</v>
      </c>
      <c r="K1042" s="1" t="n">
        <v>2</v>
      </c>
      <c r="L1042" s="144" t="n">
        <v>90</v>
      </c>
      <c r="M1042" s="1" t="n">
        <v>23</v>
      </c>
      <c r="N1042" s="1" t="n">
        <v>23</v>
      </c>
      <c r="O1042" s="149" t="n">
        <v>3</v>
      </c>
    </row>
    <row r="1043" customFormat="false" ht="14.25" hidden="false" customHeight="false" outlineLevel="0" collapsed="false">
      <c r="A1043" s="1" t="n">
        <v>176</v>
      </c>
      <c r="B1043" s="1" t="s">
        <v>476</v>
      </c>
      <c r="C1043" s="143" t="s">
        <v>58</v>
      </c>
      <c r="D1043" s="143" t="s">
        <v>59</v>
      </c>
      <c r="E1043" s="143" t="s">
        <v>474</v>
      </c>
      <c r="F1043" s="144" t="n">
        <v>200025889389</v>
      </c>
      <c r="G1043" s="144" t="s">
        <v>457</v>
      </c>
      <c r="H1043" s="144" t="n">
        <v>90</v>
      </c>
      <c r="I1043" s="144" t="s">
        <v>152</v>
      </c>
      <c r="J1043" s="151" t="n">
        <v>45056.7675925926</v>
      </c>
      <c r="K1043" s="1" t="n">
        <v>2</v>
      </c>
      <c r="L1043" s="144" t="n">
        <v>90</v>
      </c>
      <c r="M1043" s="1" t="n">
        <v>23</v>
      </c>
      <c r="N1043" s="1" t="n">
        <v>23</v>
      </c>
      <c r="O1043" s="149" t="n">
        <v>4</v>
      </c>
    </row>
    <row r="1044" customFormat="false" ht="14.25" hidden="false" customHeight="false" outlineLevel="0" collapsed="false">
      <c r="A1044" s="1" t="n">
        <v>177</v>
      </c>
      <c r="B1044" s="1" t="s">
        <v>476</v>
      </c>
      <c r="C1044" s="143" t="s">
        <v>58</v>
      </c>
      <c r="D1044" s="143" t="s">
        <v>59</v>
      </c>
      <c r="E1044" s="143" t="s">
        <v>474</v>
      </c>
      <c r="F1044" s="144" t="n">
        <v>200025889389</v>
      </c>
      <c r="G1044" s="144" t="s">
        <v>457</v>
      </c>
      <c r="H1044" s="144" t="n">
        <v>90</v>
      </c>
      <c r="I1044" s="144" t="s">
        <v>152</v>
      </c>
      <c r="J1044" s="151" t="n">
        <v>45056.7687962963</v>
      </c>
      <c r="K1044" s="1" t="n">
        <v>1</v>
      </c>
      <c r="L1044" s="144" t="n">
        <v>90</v>
      </c>
      <c r="M1044" s="1" t="n">
        <v>23</v>
      </c>
      <c r="N1044" s="1" t="n">
        <v>23</v>
      </c>
      <c r="O1044" s="149" t="n">
        <v>5</v>
      </c>
    </row>
    <row r="1045" customFormat="false" ht="14.25" hidden="false" customHeight="false" outlineLevel="0" collapsed="false">
      <c r="A1045" s="1" t="n">
        <v>178</v>
      </c>
      <c r="B1045" s="1" t="s">
        <v>476</v>
      </c>
      <c r="C1045" s="143" t="s">
        <v>58</v>
      </c>
      <c r="D1045" s="143" t="s">
        <v>59</v>
      </c>
      <c r="E1045" s="143" t="s">
        <v>474</v>
      </c>
      <c r="F1045" s="144" t="n">
        <v>200025889389</v>
      </c>
      <c r="G1045" s="144" t="s">
        <v>457</v>
      </c>
      <c r="H1045" s="144" t="n">
        <v>90</v>
      </c>
      <c r="I1045" s="144" t="s">
        <v>152</v>
      </c>
      <c r="J1045" s="151" t="n">
        <v>45056.7709375</v>
      </c>
      <c r="K1045" s="1" t="n">
        <v>1</v>
      </c>
      <c r="L1045" s="144" t="n">
        <v>90</v>
      </c>
      <c r="M1045" s="1" t="n">
        <v>23</v>
      </c>
      <c r="N1045" s="1" t="n">
        <v>23</v>
      </c>
      <c r="O1045" s="149" t="n">
        <v>6</v>
      </c>
    </row>
    <row r="1046" customFormat="false" ht="14.25" hidden="false" customHeight="false" outlineLevel="0" collapsed="false">
      <c r="A1046" s="1" t="n">
        <v>180</v>
      </c>
      <c r="B1046" s="1" t="s">
        <v>476</v>
      </c>
      <c r="C1046" s="143" t="s">
        <v>58</v>
      </c>
      <c r="D1046" s="143" t="s">
        <v>59</v>
      </c>
      <c r="E1046" s="143" t="s">
        <v>474</v>
      </c>
      <c r="F1046" s="144" t="n">
        <v>200025889389</v>
      </c>
      <c r="G1046" s="144" t="s">
        <v>457</v>
      </c>
      <c r="H1046" s="144" t="n">
        <v>90</v>
      </c>
      <c r="I1046" s="144" t="s">
        <v>152</v>
      </c>
      <c r="J1046" s="151" t="n">
        <v>45056.7732175926</v>
      </c>
      <c r="K1046" s="1" t="n">
        <v>1</v>
      </c>
      <c r="L1046" s="144" t="n">
        <v>90</v>
      </c>
      <c r="M1046" s="1" t="n">
        <v>23</v>
      </c>
      <c r="N1046" s="1" t="n">
        <v>23</v>
      </c>
      <c r="O1046" s="149" t="n">
        <v>7</v>
      </c>
    </row>
    <row r="1047" customFormat="false" ht="14.25" hidden="false" customHeight="false" outlineLevel="0" collapsed="false">
      <c r="A1047" s="1" t="n">
        <v>213</v>
      </c>
      <c r="B1047" s="1" t="s">
        <v>476</v>
      </c>
      <c r="C1047" s="143" t="s">
        <v>58</v>
      </c>
      <c r="D1047" s="143" t="s">
        <v>59</v>
      </c>
      <c r="E1047" s="143" t="s">
        <v>474</v>
      </c>
      <c r="F1047" s="144" t="n">
        <v>200025889389</v>
      </c>
      <c r="G1047" s="144" t="s">
        <v>457</v>
      </c>
      <c r="H1047" s="144" t="n">
        <v>90</v>
      </c>
      <c r="I1047" s="144" t="s">
        <v>152</v>
      </c>
      <c r="J1047" s="6" t="n">
        <v>45056.9909722222</v>
      </c>
      <c r="K1047" s="1" t="n">
        <v>2</v>
      </c>
      <c r="L1047" s="144" t="n">
        <v>90</v>
      </c>
      <c r="M1047" s="1" t="n">
        <v>23</v>
      </c>
      <c r="N1047" s="1" t="n">
        <v>23</v>
      </c>
      <c r="O1047" s="149" t="n">
        <v>8</v>
      </c>
    </row>
    <row r="1048" customFormat="false" ht="14.25" hidden="false" customHeight="false" outlineLevel="0" collapsed="false">
      <c r="A1048" s="1" t="n">
        <v>219</v>
      </c>
      <c r="B1048" s="1" t="s">
        <v>476</v>
      </c>
      <c r="C1048" s="143" t="s">
        <v>58</v>
      </c>
      <c r="D1048" s="143" t="s">
        <v>59</v>
      </c>
      <c r="E1048" s="143" t="s">
        <v>474</v>
      </c>
      <c r="F1048" s="144" t="n">
        <v>200025889389</v>
      </c>
      <c r="G1048" s="144" t="s">
        <v>457</v>
      </c>
      <c r="H1048" s="144" t="n">
        <v>90</v>
      </c>
      <c r="I1048" s="144" t="s">
        <v>152</v>
      </c>
      <c r="J1048" s="6" t="n">
        <v>45057.0478935185</v>
      </c>
      <c r="K1048" s="1" t="n">
        <v>3</v>
      </c>
      <c r="L1048" s="144" t="n">
        <v>90</v>
      </c>
      <c r="M1048" s="1" t="n">
        <v>23</v>
      </c>
      <c r="N1048" s="1" t="n">
        <v>23</v>
      </c>
      <c r="O1048" s="149" t="n">
        <v>9</v>
      </c>
    </row>
    <row r="1049" customFormat="false" ht="14.25" hidden="false" customHeight="false" outlineLevel="0" collapsed="false">
      <c r="A1049" s="1" t="n">
        <v>220</v>
      </c>
      <c r="B1049" s="1" t="s">
        <v>476</v>
      </c>
      <c r="C1049" s="143" t="s">
        <v>58</v>
      </c>
      <c r="D1049" s="143" t="s">
        <v>59</v>
      </c>
      <c r="E1049" s="143" t="s">
        <v>474</v>
      </c>
      <c r="F1049" s="144" t="n">
        <v>200025889389</v>
      </c>
      <c r="G1049" s="144" t="s">
        <v>457</v>
      </c>
      <c r="H1049" s="144" t="n">
        <v>90</v>
      </c>
      <c r="I1049" s="144" t="s">
        <v>152</v>
      </c>
      <c r="J1049" s="6" t="n">
        <v>45057.0495138889</v>
      </c>
      <c r="K1049" s="1" t="n">
        <v>2</v>
      </c>
      <c r="L1049" s="144" t="n">
        <v>90</v>
      </c>
      <c r="M1049" s="1" t="n">
        <v>23</v>
      </c>
      <c r="N1049" s="1" t="n">
        <v>23</v>
      </c>
      <c r="O1049" s="149" t="n">
        <v>10</v>
      </c>
    </row>
    <row r="1050" customFormat="false" ht="14.25" hidden="false" customHeight="false" outlineLevel="0" collapsed="false">
      <c r="A1050" s="1" t="n">
        <v>221</v>
      </c>
      <c r="B1050" s="1" t="s">
        <v>476</v>
      </c>
      <c r="C1050" s="143" t="s">
        <v>58</v>
      </c>
      <c r="D1050" s="143" t="s">
        <v>59</v>
      </c>
      <c r="E1050" s="143" t="s">
        <v>474</v>
      </c>
      <c r="F1050" s="144" t="n">
        <v>200025889389</v>
      </c>
      <c r="G1050" s="144" t="s">
        <v>457</v>
      </c>
      <c r="H1050" s="144" t="n">
        <v>90</v>
      </c>
      <c r="I1050" s="144" t="s">
        <v>152</v>
      </c>
      <c r="J1050" s="6" t="n">
        <v>45057.0496875</v>
      </c>
      <c r="K1050" s="1" t="n">
        <v>0</v>
      </c>
      <c r="L1050" s="144" t="n">
        <v>90</v>
      </c>
      <c r="M1050" s="1" t="n">
        <v>23</v>
      </c>
      <c r="N1050" s="1" t="n">
        <v>23</v>
      </c>
      <c r="O1050" s="149" t="n">
        <v>11</v>
      </c>
    </row>
    <row r="1051" customFormat="false" ht="14.25" hidden="false" customHeight="false" outlineLevel="0" collapsed="false">
      <c r="A1051" s="1" t="n">
        <v>222</v>
      </c>
      <c r="B1051" s="1" t="s">
        <v>476</v>
      </c>
      <c r="C1051" s="143" t="s">
        <v>58</v>
      </c>
      <c r="D1051" s="143" t="s">
        <v>59</v>
      </c>
      <c r="E1051" s="143" t="s">
        <v>474</v>
      </c>
      <c r="F1051" s="144" t="n">
        <v>200025889389</v>
      </c>
      <c r="G1051" s="144" t="s">
        <v>457</v>
      </c>
      <c r="H1051" s="144" t="n">
        <v>90</v>
      </c>
      <c r="I1051" s="144" t="s">
        <v>152</v>
      </c>
      <c r="J1051" s="6" t="n">
        <v>45057.0510185185</v>
      </c>
      <c r="K1051" s="1" t="n">
        <v>1</v>
      </c>
      <c r="L1051" s="144" t="n">
        <v>90</v>
      </c>
      <c r="M1051" s="1" t="n">
        <v>23</v>
      </c>
      <c r="N1051" s="1" t="n">
        <v>23</v>
      </c>
      <c r="O1051" s="149" t="n">
        <v>12</v>
      </c>
    </row>
    <row r="1052" customFormat="false" ht="14.25" hidden="false" customHeight="false" outlineLevel="0" collapsed="false">
      <c r="A1052" s="1" t="n">
        <v>223</v>
      </c>
      <c r="B1052" s="1" t="s">
        <v>476</v>
      </c>
      <c r="C1052" s="143" t="s">
        <v>58</v>
      </c>
      <c r="D1052" s="143" t="s">
        <v>59</v>
      </c>
      <c r="E1052" s="143" t="s">
        <v>474</v>
      </c>
      <c r="F1052" s="144" t="n">
        <v>200025889389</v>
      </c>
      <c r="G1052" s="144" t="s">
        <v>457</v>
      </c>
      <c r="H1052" s="144" t="n">
        <v>90</v>
      </c>
      <c r="I1052" s="144" t="s">
        <v>152</v>
      </c>
      <c r="J1052" s="6" t="n">
        <v>45057.0522453704</v>
      </c>
      <c r="K1052" s="1" t="n">
        <v>1</v>
      </c>
      <c r="L1052" s="144" t="n">
        <v>90</v>
      </c>
      <c r="M1052" s="1" t="n">
        <v>23</v>
      </c>
      <c r="N1052" s="1" t="n">
        <v>23</v>
      </c>
      <c r="O1052" s="149" t="n">
        <v>13</v>
      </c>
    </row>
    <row r="1053" customFormat="false" ht="14.25" hidden="false" customHeight="false" outlineLevel="0" collapsed="false">
      <c r="A1053" s="1" t="n">
        <v>227</v>
      </c>
      <c r="B1053" s="1" t="s">
        <v>476</v>
      </c>
      <c r="C1053" s="143" t="s">
        <v>58</v>
      </c>
      <c r="D1053" s="143" t="s">
        <v>59</v>
      </c>
      <c r="E1053" s="143" t="s">
        <v>474</v>
      </c>
      <c r="F1053" s="144" t="n">
        <v>200025889389</v>
      </c>
      <c r="G1053" s="144" t="s">
        <v>457</v>
      </c>
      <c r="H1053" s="144" t="n">
        <v>90</v>
      </c>
      <c r="I1053" s="144" t="s">
        <v>152</v>
      </c>
      <c r="J1053" s="6" t="n">
        <v>45057.0614467593</v>
      </c>
      <c r="K1053" s="1" t="n">
        <v>2</v>
      </c>
      <c r="L1053" s="144" t="n">
        <v>90</v>
      </c>
      <c r="M1053" s="1" t="n">
        <v>23</v>
      </c>
      <c r="N1053" s="1" t="n">
        <v>23</v>
      </c>
      <c r="O1053" s="149" t="n">
        <v>14</v>
      </c>
    </row>
    <row r="1054" customFormat="false" ht="14.25" hidden="false" customHeight="false" outlineLevel="0" collapsed="false">
      <c r="A1054" s="1" t="n">
        <v>19</v>
      </c>
      <c r="B1054" s="1" t="s">
        <v>476</v>
      </c>
      <c r="C1054" s="143" t="n">
        <v>11490</v>
      </c>
      <c r="D1054" s="143" t="s">
        <v>65</v>
      </c>
      <c r="E1054" s="143" t="s">
        <v>474</v>
      </c>
      <c r="F1054" s="144" t="n">
        <v>200025889389</v>
      </c>
      <c r="G1054" s="144" t="s">
        <v>457</v>
      </c>
      <c r="H1054" s="144" t="n">
        <v>90</v>
      </c>
      <c r="I1054" s="144" t="s">
        <v>152</v>
      </c>
      <c r="J1054" s="6" t="n">
        <v>45064.6786689815</v>
      </c>
      <c r="K1054" s="1" t="n">
        <v>2</v>
      </c>
      <c r="L1054" s="144" t="n">
        <v>90</v>
      </c>
      <c r="M1054" s="1" t="n">
        <v>23</v>
      </c>
      <c r="N1054" s="1" t="n">
        <v>23</v>
      </c>
      <c r="O1054" s="149" t="n">
        <v>15</v>
      </c>
    </row>
    <row r="1055" customFormat="false" ht="14.25" hidden="false" customHeight="false" outlineLevel="0" collapsed="false">
      <c r="A1055" s="1" t="n">
        <v>20</v>
      </c>
      <c r="B1055" s="1" t="s">
        <v>476</v>
      </c>
      <c r="C1055" s="143" t="n">
        <v>11490</v>
      </c>
      <c r="D1055" s="143" t="s">
        <v>65</v>
      </c>
      <c r="E1055" s="143" t="s">
        <v>474</v>
      </c>
      <c r="F1055" s="144" t="n">
        <v>200025889389</v>
      </c>
      <c r="G1055" s="144" t="s">
        <v>457</v>
      </c>
      <c r="H1055" s="144" t="n">
        <v>90</v>
      </c>
      <c r="I1055" s="144" t="s">
        <v>152</v>
      </c>
      <c r="J1055" s="151" t="n">
        <v>45064.6788425926</v>
      </c>
      <c r="K1055" s="1" t="n">
        <v>1</v>
      </c>
      <c r="L1055" s="144" t="n">
        <v>90</v>
      </c>
      <c r="M1055" s="1" t="n">
        <v>23</v>
      </c>
      <c r="N1055" s="1" t="n">
        <v>23</v>
      </c>
      <c r="O1055" s="149" t="n">
        <v>16</v>
      </c>
    </row>
    <row r="1056" customFormat="false" ht="14.25" hidden="false" customHeight="false" outlineLevel="0" collapsed="false">
      <c r="A1056" s="1" t="n">
        <v>85</v>
      </c>
      <c r="B1056" s="1" t="s">
        <v>476</v>
      </c>
      <c r="C1056" s="143" t="n">
        <v>91601</v>
      </c>
      <c r="D1056" s="143" t="s">
        <v>65</v>
      </c>
      <c r="E1056" s="143" t="s">
        <v>474</v>
      </c>
      <c r="F1056" s="144" t="n">
        <v>200025889389</v>
      </c>
      <c r="G1056" s="144" t="s">
        <v>457</v>
      </c>
      <c r="H1056" s="144" t="n">
        <v>90</v>
      </c>
      <c r="I1056" s="144" t="s">
        <v>152</v>
      </c>
      <c r="J1056" s="151" t="n">
        <v>45072.6116203704</v>
      </c>
      <c r="K1056" s="1" t="n">
        <v>0</v>
      </c>
      <c r="L1056" s="144" t="n">
        <v>90</v>
      </c>
      <c r="M1056" s="1" t="n">
        <v>23</v>
      </c>
      <c r="N1056" s="1" t="n">
        <v>23</v>
      </c>
      <c r="O1056" s="149" t="n">
        <v>17</v>
      </c>
    </row>
    <row r="1057" customFormat="false" ht="14.25" hidden="false" customHeight="false" outlineLevel="0" collapsed="false">
      <c r="A1057" s="1" t="n">
        <v>86</v>
      </c>
      <c r="B1057" s="1" t="s">
        <v>476</v>
      </c>
      <c r="C1057" s="143" t="n">
        <v>91601</v>
      </c>
      <c r="D1057" s="143" t="s">
        <v>65</v>
      </c>
      <c r="E1057" s="143" t="s">
        <v>474</v>
      </c>
      <c r="F1057" s="144" t="n">
        <v>200025889389</v>
      </c>
      <c r="G1057" s="144" t="s">
        <v>457</v>
      </c>
      <c r="H1057" s="144" t="n">
        <v>90</v>
      </c>
      <c r="I1057" s="144" t="s">
        <v>152</v>
      </c>
      <c r="J1057" s="151" t="n">
        <v>45072.6117708333</v>
      </c>
      <c r="K1057" s="1" t="n">
        <v>1</v>
      </c>
      <c r="L1057" s="144" t="n">
        <v>90</v>
      </c>
      <c r="M1057" s="1" t="n">
        <v>23</v>
      </c>
      <c r="N1057" s="1" t="n">
        <v>23</v>
      </c>
      <c r="O1057" s="149" t="n">
        <v>18</v>
      </c>
    </row>
    <row r="1058" customFormat="false" ht="14.25" hidden="false" customHeight="false" outlineLevel="0" collapsed="false">
      <c r="A1058" s="1" t="n">
        <v>92</v>
      </c>
      <c r="B1058" s="1" t="s">
        <v>476</v>
      </c>
      <c r="C1058" s="143" t="n">
        <v>91601</v>
      </c>
      <c r="D1058" s="143" t="s">
        <v>65</v>
      </c>
      <c r="E1058" s="143" t="s">
        <v>474</v>
      </c>
      <c r="F1058" s="144" t="n">
        <v>200025889389</v>
      </c>
      <c r="G1058" s="144" t="s">
        <v>457</v>
      </c>
      <c r="H1058" s="144" t="n">
        <v>90</v>
      </c>
      <c r="I1058" s="144" t="s">
        <v>152</v>
      </c>
      <c r="J1058" s="151" t="n">
        <v>45072.7328703704</v>
      </c>
      <c r="K1058" s="1" t="n">
        <v>3</v>
      </c>
      <c r="L1058" s="144" t="n">
        <v>90</v>
      </c>
      <c r="M1058" s="1" t="n">
        <v>23</v>
      </c>
      <c r="N1058" s="1" t="n">
        <v>23</v>
      </c>
      <c r="O1058" s="149" t="n">
        <v>19</v>
      </c>
    </row>
    <row r="1059" customFormat="false" ht="14.25" hidden="false" customHeight="false" outlineLevel="0" collapsed="false">
      <c r="A1059" s="1" t="n">
        <v>93</v>
      </c>
      <c r="B1059" s="1" t="s">
        <v>476</v>
      </c>
      <c r="C1059" s="143" t="n">
        <v>91601</v>
      </c>
      <c r="D1059" s="143" t="s">
        <v>65</v>
      </c>
      <c r="E1059" s="143" t="s">
        <v>474</v>
      </c>
      <c r="F1059" s="144" t="n">
        <v>200025889389</v>
      </c>
      <c r="G1059" s="144" t="s">
        <v>457</v>
      </c>
      <c r="H1059" s="144" t="n">
        <v>90</v>
      </c>
      <c r="I1059" s="144" t="s">
        <v>152</v>
      </c>
      <c r="J1059" s="151" t="n">
        <v>45072.745</v>
      </c>
      <c r="K1059" s="1" t="n">
        <v>1</v>
      </c>
      <c r="L1059" s="144" t="n">
        <v>90</v>
      </c>
      <c r="M1059" s="1" t="n">
        <v>23</v>
      </c>
      <c r="N1059" s="1" t="n">
        <v>23</v>
      </c>
      <c r="O1059" s="149" t="n">
        <v>20</v>
      </c>
    </row>
    <row r="1060" customFormat="false" ht="14.25" hidden="false" customHeight="false" outlineLevel="0" collapsed="false">
      <c r="A1060" s="1" t="n">
        <v>94</v>
      </c>
      <c r="B1060" s="1" t="s">
        <v>476</v>
      </c>
      <c r="C1060" s="143" t="n">
        <v>91601</v>
      </c>
      <c r="D1060" s="143" t="s">
        <v>65</v>
      </c>
      <c r="E1060" s="143" t="s">
        <v>474</v>
      </c>
      <c r="F1060" s="144" t="n">
        <v>200025889389</v>
      </c>
      <c r="G1060" s="144" t="s">
        <v>457</v>
      </c>
      <c r="H1060" s="144" t="n">
        <v>90</v>
      </c>
      <c r="I1060" s="144" t="s">
        <v>152</v>
      </c>
      <c r="J1060" s="151" t="n">
        <v>45072.7557986111</v>
      </c>
      <c r="K1060" s="1" t="n">
        <v>2</v>
      </c>
      <c r="L1060" s="144" t="n">
        <v>90</v>
      </c>
      <c r="M1060" s="1" t="n">
        <v>23</v>
      </c>
      <c r="N1060" s="1" t="n">
        <v>23</v>
      </c>
      <c r="O1060" s="149" t="n">
        <v>21</v>
      </c>
    </row>
    <row r="1061" customFormat="false" ht="14.25" hidden="false" customHeight="false" outlineLevel="0" collapsed="false">
      <c r="A1061" s="1" t="n">
        <v>95</v>
      </c>
      <c r="B1061" s="1" t="s">
        <v>476</v>
      </c>
      <c r="C1061" s="143" t="n">
        <v>91601</v>
      </c>
      <c r="D1061" s="143" t="s">
        <v>65</v>
      </c>
      <c r="E1061" s="143" t="s">
        <v>474</v>
      </c>
      <c r="F1061" s="144" t="n">
        <v>200025889389</v>
      </c>
      <c r="G1061" s="144" t="s">
        <v>457</v>
      </c>
      <c r="H1061" s="144" t="n">
        <v>90</v>
      </c>
      <c r="I1061" s="144" t="s">
        <v>152</v>
      </c>
      <c r="J1061" s="151" t="n">
        <v>45072.7562731481</v>
      </c>
      <c r="K1061" s="1" t="n">
        <v>3</v>
      </c>
      <c r="L1061" s="144" t="n">
        <v>90</v>
      </c>
      <c r="M1061" s="1" t="n">
        <v>23</v>
      </c>
      <c r="N1061" s="1" t="n">
        <v>23</v>
      </c>
      <c r="O1061" s="149" t="n">
        <v>22</v>
      </c>
    </row>
    <row r="1062" customFormat="false" ht="14.25" hidden="false" customHeight="false" outlineLevel="0" collapsed="false">
      <c r="A1062" s="1" t="n">
        <v>96</v>
      </c>
      <c r="B1062" s="1" t="s">
        <v>476</v>
      </c>
      <c r="C1062" s="143" t="n">
        <v>91601</v>
      </c>
      <c r="D1062" s="143" t="s">
        <v>65</v>
      </c>
      <c r="E1062" s="143" t="s">
        <v>474</v>
      </c>
      <c r="F1062" s="144" t="n">
        <v>200025889389</v>
      </c>
      <c r="G1062" s="144" t="s">
        <v>457</v>
      </c>
      <c r="H1062" s="144" t="n">
        <v>90</v>
      </c>
      <c r="I1062" s="144" t="s">
        <v>152</v>
      </c>
      <c r="J1062" s="151" t="n">
        <v>45072.8038888889</v>
      </c>
      <c r="K1062" s="1" t="n">
        <v>1</v>
      </c>
      <c r="L1062" s="144" t="n">
        <v>90</v>
      </c>
      <c r="M1062" s="1" t="n">
        <v>23</v>
      </c>
      <c r="N1062" s="1" t="n">
        <v>23</v>
      </c>
      <c r="O1062" s="149" t="n">
        <v>23</v>
      </c>
    </row>
    <row r="1063" customFormat="false" ht="14.25" hidden="false" customHeight="false" outlineLevel="0" collapsed="false">
      <c r="A1063" s="1" t="n">
        <v>97</v>
      </c>
      <c r="B1063" s="1" t="s">
        <v>476</v>
      </c>
      <c r="C1063" s="143" t="n">
        <v>91601</v>
      </c>
      <c r="D1063" s="143" t="s">
        <v>65</v>
      </c>
      <c r="E1063" s="143" t="s">
        <v>474</v>
      </c>
      <c r="F1063" s="144" t="n">
        <v>200025889389</v>
      </c>
      <c r="G1063" s="144" t="s">
        <v>457</v>
      </c>
      <c r="H1063" s="144" t="n">
        <v>90</v>
      </c>
      <c r="I1063" s="144" t="s">
        <v>152</v>
      </c>
      <c r="J1063" s="151" t="n">
        <v>45072.803900463</v>
      </c>
      <c r="K1063" s="1" t="n">
        <v>3</v>
      </c>
      <c r="L1063" s="144" t="n">
        <v>90</v>
      </c>
      <c r="M1063" s="1" t="n">
        <v>23</v>
      </c>
      <c r="N1063" s="1" t="n">
        <v>23</v>
      </c>
      <c r="O1063" s="149" t="n">
        <v>24</v>
      </c>
    </row>
    <row r="1064" customFormat="false" ht="14.25" hidden="false" customHeight="false" outlineLevel="0" collapsed="false">
      <c r="A1064" s="1" t="n">
        <v>112</v>
      </c>
      <c r="B1064" s="1" t="s">
        <v>477</v>
      </c>
      <c r="C1064" s="143" t="s">
        <v>52</v>
      </c>
      <c r="D1064" s="143" t="s">
        <v>53</v>
      </c>
      <c r="E1064" s="143" t="s">
        <v>474</v>
      </c>
      <c r="F1064" s="144" t="n">
        <v>200025889389</v>
      </c>
      <c r="G1064" s="144" t="s">
        <v>457</v>
      </c>
      <c r="H1064" s="144" t="n">
        <v>90</v>
      </c>
      <c r="I1064" s="144" t="s">
        <v>152</v>
      </c>
      <c r="J1064" s="152" t="n">
        <v>45072.8700925926</v>
      </c>
      <c r="K1064" s="1" t="n">
        <v>4</v>
      </c>
      <c r="L1064" s="144" t="n">
        <v>90</v>
      </c>
      <c r="M1064" s="1" t="n">
        <v>23</v>
      </c>
      <c r="N1064" s="1" t="n">
        <v>23</v>
      </c>
      <c r="O1064" s="149" t="n">
        <v>25</v>
      </c>
    </row>
    <row r="1065" customFormat="false" ht="14.25" hidden="false" customHeight="false" outlineLevel="0" collapsed="false">
      <c r="A1065" s="1" t="n">
        <v>113</v>
      </c>
      <c r="B1065" s="1" t="s">
        <v>477</v>
      </c>
      <c r="C1065" s="143" t="s">
        <v>52</v>
      </c>
      <c r="D1065" s="143" t="s">
        <v>53</v>
      </c>
      <c r="E1065" s="143" t="s">
        <v>474</v>
      </c>
      <c r="F1065" s="144" t="n">
        <v>200025889389</v>
      </c>
      <c r="G1065" s="144" t="s">
        <v>457</v>
      </c>
      <c r="H1065" s="144" t="n">
        <v>90</v>
      </c>
      <c r="I1065" s="144" t="s">
        <v>152</v>
      </c>
      <c r="J1065" s="152" t="n">
        <v>45072.8718865741</v>
      </c>
      <c r="K1065" s="1" t="n">
        <v>1</v>
      </c>
      <c r="L1065" s="144" t="n">
        <v>90</v>
      </c>
      <c r="M1065" s="1" t="n">
        <v>23</v>
      </c>
      <c r="N1065" s="1" t="n">
        <v>23</v>
      </c>
      <c r="O1065" s="149" t="n">
        <v>26</v>
      </c>
    </row>
    <row r="1066" customFormat="false" ht="14.25" hidden="false" customHeight="false" outlineLevel="0" collapsed="false">
      <c r="A1066" s="1" t="n">
        <v>114</v>
      </c>
      <c r="B1066" s="1" t="s">
        <v>477</v>
      </c>
      <c r="C1066" s="143" t="s">
        <v>52</v>
      </c>
      <c r="D1066" s="143" t="s">
        <v>53</v>
      </c>
      <c r="E1066" s="143" t="s">
        <v>474</v>
      </c>
      <c r="F1066" s="144" t="n">
        <v>200025889389</v>
      </c>
      <c r="G1066" s="144" t="s">
        <v>457</v>
      </c>
      <c r="H1066" s="144" t="n">
        <v>90</v>
      </c>
      <c r="I1066" s="144" t="s">
        <v>152</v>
      </c>
      <c r="J1066" s="152" t="n">
        <v>45072.8722916667</v>
      </c>
      <c r="K1066" s="1" t="n">
        <v>0</v>
      </c>
      <c r="L1066" s="144" t="n">
        <v>90</v>
      </c>
      <c r="M1066" s="1" t="n">
        <v>23</v>
      </c>
      <c r="N1066" s="1" t="n">
        <v>23</v>
      </c>
      <c r="O1066" s="149" t="n">
        <v>27</v>
      </c>
    </row>
    <row r="1067" customFormat="false" ht="14.25" hidden="false" customHeight="false" outlineLevel="0" collapsed="false">
      <c r="A1067" s="1" t="n">
        <v>115</v>
      </c>
      <c r="B1067" s="1" t="s">
        <v>477</v>
      </c>
      <c r="C1067" s="143" t="s">
        <v>52</v>
      </c>
      <c r="D1067" s="143" t="s">
        <v>53</v>
      </c>
      <c r="E1067" s="143" t="s">
        <v>474</v>
      </c>
      <c r="F1067" s="144" t="n">
        <v>200025889389</v>
      </c>
      <c r="G1067" s="144" t="s">
        <v>457</v>
      </c>
      <c r="H1067" s="144" t="n">
        <v>90</v>
      </c>
      <c r="I1067" s="144" t="s">
        <v>152</v>
      </c>
      <c r="J1067" s="152" t="n">
        <v>45072.8724189815</v>
      </c>
      <c r="K1067" s="1" t="n">
        <v>1</v>
      </c>
      <c r="L1067" s="144" t="n">
        <v>90</v>
      </c>
      <c r="M1067" s="1" t="n">
        <v>23</v>
      </c>
      <c r="N1067" s="1" t="n">
        <v>23</v>
      </c>
      <c r="O1067" s="149" t="n">
        <v>28</v>
      </c>
    </row>
    <row r="1068" customFormat="false" ht="14.25" hidden="false" customHeight="false" outlineLevel="0" collapsed="false">
      <c r="A1068" s="1" t="n">
        <v>116</v>
      </c>
      <c r="B1068" s="1" t="s">
        <v>477</v>
      </c>
      <c r="C1068" s="143" t="s">
        <v>52</v>
      </c>
      <c r="D1068" s="143" t="s">
        <v>53</v>
      </c>
      <c r="E1068" s="143" t="s">
        <v>474</v>
      </c>
      <c r="F1068" s="144" t="n">
        <v>200025889389</v>
      </c>
      <c r="G1068" s="144" t="s">
        <v>457</v>
      </c>
      <c r="H1068" s="144" t="n">
        <v>90</v>
      </c>
      <c r="I1068" s="144" t="s">
        <v>152</v>
      </c>
      <c r="J1068" s="152" t="n">
        <v>45072.8735300926</v>
      </c>
      <c r="K1068" s="1" t="n">
        <v>0</v>
      </c>
      <c r="L1068" s="144" t="n">
        <v>90</v>
      </c>
      <c r="M1068" s="1" t="n">
        <v>23</v>
      </c>
      <c r="N1068" s="1" t="n">
        <v>23</v>
      </c>
      <c r="O1068" s="149" t="n">
        <v>29</v>
      </c>
    </row>
    <row r="1069" customFormat="false" ht="14.25" hidden="false" customHeight="false" outlineLevel="0" collapsed="false">
      <c r="A1069" s="1" t="n">
        <v>101</v>
      </c>
      <c r="B1069" s="1" t="s">
        <v>476</v>
      </c>
      <c r="C1069" s="143" t="n">
        <v>91601</v>
      </c>
      <c r="D1069" s="143" t="s">
        <v>65</v>
      </c>
      <c r="E1069" s="143" t="s">
        <v>474</v>
      </c>
      <c r="F1069" s="144" t="n">
        <v>200025889389</v>
      </c>
      <c r="G1069" s="144" t="s">
        <v>457</v>
      </c>
      <c r="H1069" s="144" t="n">
        <v>90</v>
      </c>
      <c r="I1069" s="144" t="s">
        <v>152</v>
      </c>
      <c r="J1069" s="151" t="n">
        <v>45072.8774537037</v>
      </c>
      <c r="K1069" s="1" t="n">
        <v>1</v>
      </c>
      <c r="L1069" s="144" t="n">
        <v>90</v>
      </c>
      <c r="M1069" s="1" t="n">
        <v>23</v>
      </c>
      <c r="N1069" s="1" t="n">
        <v>23</v>
      </c>
      <c r="O1069" s="149" t="n">
        <v>30</v>
      </c>
    </row>
    <row r="1070" customFormat="false" ht="14.25" hidden="false" customHeight="false" outlineLevel="0" collapsed="false">
      <c r="A1070" s="1" t="n">
        <v>117</v>
      </c>
      <c r="B1070" s="1" t="s">
        <v>477</v>
      </c>
      <c r="C1070" s="143" t="s">
        <v>52</v>
      </c>
      <c r="D1070" s="143" t="s">
        <v>53</v>
      </c>
      <c r="E1070" s="143" t="s">
        <v>474</v>
      </c>
      <c r="F1070" s="144" t="n">
        <v>200025889389</v>
      </c>
      <c r="G1070" s="144" t="s">
        <v>457</v>
      </c>
      <c r="H1070" s="144" t="n">
        <v>90</v>
      </c>
      <c r="I1070" s="144" t="s">
        <v>152</v>
      </c>
      <c r="J1070" s="152" t="n">
        <v>45072.8848263889</v>
      </c>
      <c r="K1070" s="156" t="n">
        <v>3106</v>
      </c>
      <c r="L1070" s="144" t="n">
        <v>90</v>
      </c>
      <c r="M1070" s="1" t="n">
        <v>23</v>
      </c>
      <c r="N1070" s="1" t="n">
        <v>23</v>
      </c>
      <c r="O1070" s="149" t="n">
        <v>31</v>
      </c>
    </row>
    <row r="1071" customFormat="false" ht="14.25" hidden="false" customHeight="false" outlineLevel="0" collapsed="false">
      <c r="A1071" s="1" t="n">
        <v>118</v>
      </c>
      <c r="B1071" s="1" t="s">
        <v>477</v>
      </c>
      <c r="C1071" s="143" t="s">
        <v>52</v>
      </c>
      <c r="D1071" s="143" t="s">
        <v>53</v>
      </c>
      <c r="E1071" s="143" t="s">
        <v>474</v>
      </c>
      <c r="F1071" s="144" t="n">
        <v>200025889389</v>
      </c>
      <c r="G1071" s="144" t="s">
        <v>457</v>
      </c>
      <c r="H1071" s="144" t="n">
        <v>90</v>
      </c>
      <c r="I1071" s="144" t="s">
        <v>152</v>
      </c>
      <c r="J1071" s="152" t="n">
        <v>45072.8994907407</v>
      </c>
      <c r="K1071" s="1" t="n">
        <v>5</v>
      </c>
      <c r="L1071" s="144" t="n">
        <v>90</v>
      </c>
      <c r="M1071" s="1" t="n">
        <v>23</v>
      </c>
      <c r="N1071" s="1" t="n">
        <v>23</v>
      </c>
      <c r="O1071" s="149" t="n">
        <v>32</v>
      </c>
    </row>
    <row r="1072" customFormat="false" ht="14.25" hidden="false" customHeight="false" outlineLevel="0" collapsed="false">
      <c r="A1072" s="1" t="n">
        <v>119</v>
      </c>
      <c r="B1072" s="1" t="s">
        <v>477</v>
      </c>
      <c r="C1072" s="143" t="s">
        <v>52</v>
      </c>
      <c r="D1072" s="143" t="s">
        <v>53</v>
      </c>
      <c r="E1072" s="143" t="s">
        <v>474</v>
      </c>
      <c r="F1072" s="144" t="n">
        <v>200025889389</v>
      </c>
      <c r="G1072" s="144" t="s">
        <v>457</v>
      </c>
      <c r="H1072" s="144" t="n">
        <v>90</v>
      </c>
      <c r="I1072" s="144" t="s">
        <v>152</v>
      </c>
      <c r="J1072" s="152" t="n">
        <v>45072.9</v>
      </c>
      <c r="K1072" s="1" t="n">
        <v>5</v>
      </c>
      <c r="L1072" s="144" t="n">
        <v>90</v>
      </c>
      <c r="M1072" s="1" t="n">
        <v>23</v>
      </c>
      <c r="N1072" s="1" t="n">
        <v>23</v>
      </c>
      <c r="O1072" s="149" t="n">
        <v>33</v>
      </c>
    </row>
    <row r="1073" customFormat="false" ht="14.25" hidden="false" customHeight="false" outlineLevel="0" collapsed="false">
      <c r="A1073" s="1" t="n">
        <v>120</v>
      </c>
      <c r="B1073" s="1" t="s">
        <v>477</v>
      </c>
      <c r="C1073" s="143" t="s">
        <v>52</v>
      </c>
      <c r="D1073" s="143" t="s">
        <v>53</v>
      </c>
      <c r="E1073" s="143" t="s">
        <v>474</v>
      </c>
      <c r="F1073" s="144" t="n">
        <v>200025889389</v>
      </c>
      <c r="G1073" s="144" t="s">
        <v>457</v>
      </c>
      <c r="H1073" s="144" t="n">
        <v>90</v>
      </c>
      <c r="I1073" s="144" t="s">
        <v>152</v>
      </c>
      <c r="J1073" s="152" t="n">
        <v>45072.9000231482</v>
      </c>
      <c r="K1073" s="1" t="n">
        <v>3</v>
      </c>
      <c r="L1073" s="144" t="n">
        <v>90</v>
      </c>
      <c r="M1073" s="1" t="n">
        <v>23</v>
      </c>
      <c r="N1073" s="1" t="n">
        <v>23</v>
      </c>
      <c r="O1073" s="149" t="n">
        <v>34</v>
      </c>
    </row>
    <row r="1074" customFormat="false" ht="14.25" hidden="false" customHeight="false" outlineLevel="0" collapsed="false">
      <c r="A1074" s="1" t="n">
        <v>121</v>
      </c>
      <c r="B1074" s="1" t="s">
        <v>477</v>
      </c>
      <c r="C1074" s="143" t="s">
        <v>52</v>
      </c>
      <c r="D1074" s="143" t="s">
        <v>53</v>
      </c>
      <c r="E1074" s="143" t="s">
        <v>474</v>
      </c>
      <c r="F1074" s="144" t="n">
        <v>200025889389</v>
      </c>
      <c r="G1074" s="144" t="s">
        <v>457</v>
      </c>
      <c r="H1074" s="144" t="n">
        <v>90</v>
      </c>
      <c r="I1074" s="144" t="s">
        <v>152</v>
      </c>
      <c r="J1074" s="152" t="n">
        <v>45072.90875</v>
      </c>
      <c r="K1074" s="1" t="n">
        <v>1</v>
      </c>
      <c r="L1074" s="144" t="n">
        <v>90</v>
      </c>
      <c r="M1074" s="1" t="n">
        <v>23</v>
      </c>
      <c r="N1074" s="1" t="n">
        <v>23</v>
      </c>
      <c r="O1074" s="149" t="n">
        <v>35</v>
      </c>
    </row>
    <row r="1075" customFormat="false" ht="14.25" hidden="false" customHeight="false" outlineLevel="0" collapsed="false">
      <c r="A1075" s="1" t="n">
        <v>122</v>
      </c>
      <c r="B1075" s="1" t="s">
        <v>477</v>
      </c>
      <c r="C1075" s="143" t="s">
        <v>52</v>
      </c>
      <c r="D1075" s="143" t="s">
        <v>53</v>
      </c>
      <c r="E1075" s="143" t="s">
        <v>474</v>
      </c>
      <c r="F1075" s="144" t="n">
        <v>200025889389</v>
      </c>
      <c r="G1075" s="144" t="s">
        <v>457</v>
      </c>
      <c r="H1075" s="144" t="n">
        <v>90</v>
      </c>
      <c r="I1075" s="144" t="s">
        <v>152</v>
      </c>
      <c r="J1075" s="152" t="n">
        <v>45072.9092013889</v>
      </c>
      <c r="K1075" s="1" t="n">
        <v>2</v>
      </c>
      <c r="L1075" s="144" t="n">
        <v>90</v>
      </c>
      <c r="M1075" s="1" t="n">
        <v>23</v>
      </c>
      <c r="N1075" s="1" t="n">
        <v>23</v>
      </c>
      <c r="O1075" s="149" t="n">
        <v>36</v>
      </c>
    </row>
    <row r="1076" customFormat="false" ht="14.25" hidden="false" customHeight="false" outlineLevel="0" collapsed="false">
      <c r="A1076" s="1" t="n">
        <v>123</v>
      </c>
      <c r="B1076" s="1" t="s">
        <v>477</v>
      </c>
      <c r="C1076" s="143" t="s">
        <v>52</v>
      </c>
      <c r="D1076" s="143" t="s">
        <v>53</v>
      </c>
      <c r="E1076" s="143" t="s">
        <v>474</v>
      </c>
      <c r="F1076" s="144" t="n">
        <v>200025889389</v>
      </c>
      <c r="G1076" s="144" t="s">
        <v>457</v>
      </c>
      <c r="H1076" s="144" t="n">
        <v>90</v>
      </c>
      <c r="I1076" s="144" t="s">
        <v>152</v>
      </c>
      <c r="J1076" s="152" t="n">
        <v>45073.1084375</v>
      </c>
      <c r="K1076" s="1" t="n">
        <v>1</v>
      </c>
      <c r="L1076" s="144" t="n">
        <v>90</v>
      </c>
      <c r="M1076" s="1" t="n">
        <v>23</v>
      </c>
      <c r="N1076" s="1" t="n">
        <v>23</v>
      </c>
      <c r="O1076" s="149" t="n">
        <v>37</v>
      </c>
    </row>
    <row r="1077" customFormat="false" ht="14.25" hidden="false" customHeight="false" outlineLevel="0" collapsed="false">
      <c r="A1077" s="1" t="n">
        <v>124</v>
      </c>
      <c r="B1077" s="1" t="s">
        <v>477</v>
      </c>
      <c r="C1077" s="143" t="s">
        <v>52</v>
      </c>
      <c r="D1077" s="143" t="s">
        <v>53</v>
      </c>
      <c r="E1077" s="143" t="s">
        <v>474</v>
      </c>
      <c r="F1077" s="144" t="n">
        <v>200025889389</v>
      </c>
      <c r="G1077" s="144" t="s">
        <v>457</v>
      </c>
      <c r="H1077" s="144" t="n">
        <v>90</v>
      </c>
      <c r="I1077" s="144" t="s">
        <v>152</v>
      </c>
      <c r="J1077" s="152" t="n">
        <v>45073.1084606481</v>
      </c>
      <c r="K1077" s="1" t="n">
        <v>1</v>
      </c>
      <c r="L1077" s="144" t="n">
        <v>90</v>
      </c>
      <c r="M1077" s="1" t="n">
        <v>23</v>
      </c>
      <c r="N1077" s="1" t="n">
        <v>23</v>
      </c>
      <c r="O1077" s="149" t="n">
        <v>38</v>
      </c>
    </row>
    <row r="1078" customFormat="false" ht="14.25" hidden="false" customHeight="false" outlineLevel="0" collapsed="false">
      <c r="A1078" s="1" t="n">
        <v>125</v>
      </c>
      <c r="B1078" s="1" t="s">
        <v>477</v>
      </c>
      <c r="C1078" s="143" t="s">
        <v>52</v>
      </c>
      <c r="D1078" s="143" t="s">
        <v>53</v>
      </c>
      <c r="E1078" s="143" t="s">
        <v>474</v>
      </c>
      <c r="F1078" s="144" t="n">
        <v>200025889389</v>
      </c>
      <c r="G1078" s="144" t="s">
        <v>457</v>
      </c>
      <c r="H1078" s="144" t="n">
        <v>90</v>
      </c>
      <c r="I1078" s="144" t="s">
        <v>152</v>
      </c>
      <c r="J1078" s="152" t="n">
        <v>45073.1583217593</v>
      </c>
      <c r="K1078" s="1" t="n">
        <v>0</v>
      </c>
      <c r="L1078" s="144" t="n">
        <v>90</v>
      </c>
      <c r="M1078" s="1" t="n">
        <v>23</v>
      </c>
      <c r="N1078" s="1" t="n">
        <v>23</v>
      </c>
      <c r="O1078" s="149" t="n">
        <v>39</v>
      </c>
    </row>
    <row r="1079" customFormat="false" ht="14.25" hidden="false" customHeight="false" outlineLevel="0" collapsed="false">
      <c r="A1079" s="1" t="n">
        <v>126</v>
      </c>
      <c r="B1079" s="1" t="s">
        <v>477</v>
      </c>
      <c r="C1079" s="143" t="s">
        <v>52</v>
      </c>
      <c r="D1079" s="143" t="s">
        <v>53</v>
      </c>
      <c r="E1079" s="143" t="s">
        <v>474</v>
      </c>
      <c r="F1079" s="144" t="n">
        <v>200025889389</v>
      </c>
      <c r="G1079" s="144" t="s">
        <v>457</v>
      </c>
      <c r="H1079" s="144" t="n">
        <v>90</v>
      </c>
      <c r="I1079" s="144" t="s">
        <v>152</v>
      </c>
      <c r="J1079" s="152" t="n">
        <v>45073.1589699074</v>
      </c>
      <c r="K1079" s="1" t="n">
        <v>0</v>
      </c>
      <c r="L1079" s="144" t="n">
        <v>90</v>
      </c>
      <c r="M1079" s="1" t="n">
        <v>23</v>
      </c>
      <c r="N1079" s="1" t="n">
        <v>23</v>
      </c>
      <c r="O1079" s="149" t="n">
        <v>40</v>
      </c>
    </row>
    <row r="1080" customFormat="false" ht="14.25" hidden="false" customHeight="false" outlineLevel="0" collapsed="false">
      <c r="A1080" s="1" t="n">
        <v>127</v>
      </c>
      <c r="B1080" s="1" t="s">
        <v>477</v>
      </c>
      <c r="C1080" s="143" t="s">
        <v>52</v>
      </c>
      <c r="D1080" s="143" t="s">
        <v>53</v>
      </c>
      <c r="E1080" s="143" t="s">
        <v>474</v>
      </c>
      <c r="F1080" s="144" t="n">
        <v>200025889389</v>
      </c>
      <c r="G1080" s="144" t="s">
        <v>457</v>
      </c>
      <c r="H1080" s="144" t="n">
        <v>90</v>
      </c>
      <c r="I1080" s="144" t="s">
        <v>152</v>
      </c>
      <c r="J1080" s="152" t="n">
        <v>45073.1590046296</v>
      </c>
      <c r="K1080" s="1" t="n">
        <v>1</v>
      </c>
      <c r="L1080" s="144" t="n">
        <v>90</v>
      </c>
      <c r="M1080" s="1" t="n">
        <v>23</v>
      </c>
      <c r="N1080" s="1" t="n">
        <v>23</v>
      </c>
      <c r="O1080" s="149" t="n">
        <v>41</v>
      </c>
    </row>
    <row r="1081" customFormat="false" ht="14.25" hidden="false" customHeight="false" outlineLevel="0" collapsed="false">
      <c r="A1081" s="1" t="n">
        <v>128</v>
      </c>
      <c r="B1081" s="1" t="s">
        <v>477</v>
      </c>
      <c r="C1081" s="143" t="s">
        <v>52</v>
      </c>
      <c r="D1081" s="143" t="s">
        <v>53</v>
      </c>
      <c r="E1081" s="143" t="s">
        <v>474</v>
      </c>
      <c r="F1081" s="144" t="n">
        <v>200025889389</v>
      </c>
      <c r="G1081" s="144" t="s">
        <v>457</v>
      </c>
      <c r="H1081" s="144" t="n">
        <v>90</v>
      </c>
      <c r="I1081" s="144" t="s">
        <v>152</v>
      </c>
      <c r="J1081" s="152" t="n">
        <v>45073.1661574074</v>
      </c>
      <c r="K1081" s="1" t="n">
        <v>1</v>
      </c>
      <c r="L1081" s="144" t="n">
        <v>90</v>
      </c>
      <c r="M1081" s="1" t="n">
        <v>23</v>
      </c>
      <c r="N1081" s="1" t="n">
        <v>23</v>
      </c>
      <c r="O1081" s="149" t="n">
        <v>42</v>
      </c>
    </row>
    <row r="1082" customFormat="false" ht="14.25" hidden="false" customHeight="false" outlineLevel="0" collapsed="false">
      <c r="A1082" s="1" t="n">
        <v>129</v>
      </c>
      <c r="B1082" s="1" t="s">
        <v>477</v>
      </c>
      <c r="C1082" s="143" t="s">
        <v>52</v>
      </c>
      <c r="D1082" s="143" t="s">
        <v>53</v>
      </c>
      <c r="E1082" s="143" t="s">
        <v>474</v>
      </c>
      <c r="F1082" s="144" t="n">
        <v>200025889389</v>
      </c>
      <c r="G1082" s="144" t="s">
        <v>457</v>
      </c>
      <c r="H1082" s="144" t="n">
        <v>90</v>
      </c>
      <c r="I1082" s="144" t="s">
        <v>152</v>
      </c>
      <c r="J1082" s="152" t="n">
        <v>45073.1664699074</v>
      </c>
      <c r="K1082" s="1" t="n">
        <v>1</v>
      </c>
      <c r="L1082" s="144" t="n">
        <v>90</v>
      </c>
      <c r="M1082" s="1" t="n">
        <v>23</v>
      </c>
      <c r="N1082" s="1" t="n">
        <v>23</v>
      </c>
      <c r="O1082" s="149" t="n">
        <v>43</v>
      </c>
    </row>
    <row r="1083" customFormat="false" ht="14.25" hidden="false" customHeight="false" outlineLevel="0" collapsed="false">
      <c r="A1083" s="1" t="n">
        <v>130</v>
      </c>
      <c r="B1083" s="1" t="s">
        <v>477</v>
      </c>
      <c r="C1083" s="143" t="s">
        <v>52</v>
      </c>
      <c r="D1083" s="143" t="s">
        <v>53</v>
      </c>
      <c r="E1083" s="143" t="s">
        <v>474</v>
      </c>
      <c r="F1083" s="144" t="n">
        <v>200025889389</v>
      </c>
      <c r="G1083" s="144" t="s">
        <v>457</v>
      </c>
      <c r="H1083" s="144" t="n">
        <v>90</v>
      </c>
      <c r="I1083" s="144" t="s">
        <v>152</v>
      </c>
      <c r="J1083" s="152" t="n">
        <v>45073.1667361111</v>
      </c>
      <c r="K1083" s="1" t="n">
        <v>1</v>
      </c>
      <c r="L1083" s="144" t="n">
        <v>90</v>
      </c>
      <c r="M1083" s="1" t="n">
        <v>23</v>
      </c>
      <c r="N1083" s="1" t="n">
        <v>23</v>
      </c>
      <c r="O1083" s="149" t="n">
        <v>44</v>
      </c>
    </row>
    <row r="1084" customFormat="false" ht="14.25" hidden="false" customHeight="false" outlineLevel="0" collapsed="false">
      <c r="A1084" s="1" t="n">
        <v>131</v>
      </c>
      <c r="B1084" s="1" t="s">
        <v>477</v>
      </c>
      <c r="C1084" s="143" t="s">
        <v>52</v>
      </c>
      <c r="D1084" s="143" t="s">
        <v>53</v>
      </c>
      <c r="E1084" s="143" t="s">
        <v>474</v>
      </c>
      <c r="F1084" s="144" t="n">
        <v>200025889389</v>
      </c>
      <c r="G1084" s="144" t="s">
        <v>457</v>
      </c>
      <c r="H1084" s="144" t="n">
        <v>90</v>
      </c>
      <c r="I1084" s="144" t="s">
        <v>152</v>
      </c>
      <c r="J1084" s="152" t="n">
        <v>45073.1669328704</v>
      </c>
      <c r="K1084" s="1" t="n">
        <v>2</v>
      </c>
      <c r="L1084" s="144" t="n">
        <v>90</v>
      </c>
      <c r="M1084" s="1" t="n">
        <v>23</v>
      </c>
      <c r="N1084" s="1" t="n">
        <v>23</v>
      </c>
      <c r="O1084" s="149" t="n">
        <v>45</v>
      </c>
    </row>
    <row r="1085" customFormat="false" ht="14.25" hidden="false" customHeight="false" outlineLevel="0" collapsed="false">
      <c r="A1085" s="1" t="n">
        <v>132</v>
      </c>
      <c r="B1085" s="1" t="s">
        <v>477</v>
      </c>
      <c r="C1085" s="143" t="s">
        <v>52</v>
      </c>
      <c r="D1085" s="143" t="s">
        <v>53</v>
      </c>
      <c r="E1085" s="143" t="s">
        <v>474</v>
      </c>
      <c r="F1085" s="144" t="n">
        <v>200025889389</v>
      </c>
      <c r="G1085" s="144" t="s">
        <v>457</v>
      </c>
      <c r="H1085" s="144" t="n">
        <v>90</v>
      </c>
      <c r="I1085" s="144" t="s">
        <v>152</v>
      </c>
      <c r="J1085" s="152" t="n">
        <v>45073.1670949074</v>
      </c>
      <c r="K1085" s="1" t="n">
        <v>1</v>
      </c>
      <c r="L1085" s="144" t="n">
        <v>90</v>
      </c>
      <c r="M1085" s="1" t="n">
        <v>23</v>
      </c>
      <c r="N1085" s="1" t="n">
        <v>23</v>
      </c>
      <c r="O1085" s="149" t="n">
        <v>46</v>
      </c>
    </row>
    <row r="1086" customFormat="false" ht="14.25" hidden="false" customHeight="false" outlineLevel="0" collapsed="false">
      <c r="A1086" s="1" t="n">
        <v>133</v>
      </c>
      <c r="B1086" s="1" t="s">
        <v>477</v>
      </c>
      <c r="C1086" s="143" t="s">
        <v>52</v>
      </c>
      <c r="D1086" s="143" t="s">
        <v>53</v>
      </c>
      <c r="E1086" s="143" t="s">
        <v>474</v>
      </c>
      <c r="F1086" s="144" t="n">
        <v>200025889389</v>
      </c>
      <c r="G1086" s="144" t="s">
        <v>457</v>
      </c>
      <c r="H1086" s="144" t="n">
        <v>90</v>
      </c>
      <c r="I1086" s="144" t="s">
        <v>152</v>
      </c>
      <c r="J1086" s="152" t="n">
        <v>45073.1752314815</v>
      </c>
      <c r="K1086" s="1" t="n">
        <v>4</v>
      </c>
      <c r="L1086" s="144" t="n">
        <v>90</v>
      </c>
      <c r="M1086" s="1" t="n">
        <v>23</v>
      </c>
      <c r="N1086" s="1" t="n">
        <v>23</v>
      </c>
      <c r="O1086" s="149" t="n">
        <v>47</v>
      </c>
    </row>
    <row r="1087" customFormat="false" ht="14.25" hidden="false" customHeight="false" outlineLevel="0" collapsed="false">
      <c r="A1087" s="1" t="n">
        <v>134</v>
      </c>
      <c r="B1087" s="1" t="s">
        <v>477</v>
      </c>
      <c r="C1087" s="143" t="s">
        <v>52</v>
      </c>
      <c r="D1087" s="143" t="s">
        <v>53</v>
      </c>
      <c r="E1087" s="143" t="s">
        <v>474</v>
      </c>
      <c r="F1087" s="144" t="n">
        <v>200025889389</v>
      </c>
      <c r="G1087" s="144" t="s">
        <v>457</v>
      </c>
      <c r="H1087" s="144" t="n">
        <v>90</v>
      </c>
      <c r="I1087" s="144" t="s">
        <v>152</v>
      </c>
      <c r="J1087" s="152" t="n">
        <v>45073.1754282407</v>
      </c>
      <c r="K1087" s="1" t="n">
        <v>2</v>
      </c>
      <c r="L1087" s="144" t="n">
        <v>90</v>
      </c>
      <c r="M1087" s="1" t="n">
        <v>23</v>
      </c>
      <c r="N1087" s="1" t="n">
        <v>23</v>
      </c>
      <c r="O1087" s="149" t="n">
        <v>48</v>
      </c>
    </row>
    <row r="1088" customFormat="false" ht="14.25" hidden="false" customHeight="false" outlineLevel="0" collapsed="false">
      <c r="A1088" s="1" t="n">
        <v>135</v>
      </c>
      <c r="B1088" s="1" t="s">
        <v>477</v>
      </c>
      <c r="C1088" s="143" t="s">
        <v>52</v>
      </c>
      <c r="D1088" s="143" t="s">
        <v>53</v>
      </c>
      <c r="E1088" s="143" t="s">
        <v>474</v>
      </c>
      <c r="F1088" s="144" t="n">
        <v>200025889389</v>
      </c>
      <c r="G1088" s="144" t="s">
        <v>457</v>
      </c>
      <c r="H1088" s="144" t="n">
        <v>90</v>
      </c>
      <c r="I1088" s="144" t="s">
        <v>152</v>
      </c>
      <c r="J1088" s="152" t="n">
        <v>45073.1909837963</v>
      </c>
      <c r="K1088" s="1" t="n">
        <v>1</v>
      </c>
      <c r="L1088" s="144" t="n">
        <v>90</v>
      </c>
      <c r="M1088" s="1" t="n">
        <v>23</v>
      </c>
      <c r="N1088" s="1" t="n">
        <v>23</v>
      </c>
      <c r="O1088" s="149" t="n">
        <v>49</v>
      </c>
    </row>
    <row r="1089" customFormat="false" ht="14.25" hidden="false" customHeight="false" outlineLevel="0" collapsed="false">
      <c r="A1089" s="1" t="n">
        <v>136</v>
      </c>
      <c r="B1089" s="1" t="s">
        <v>477</v>
      </c>
      <c r="C1089" s="143" t="s">
        <v>52</v>
      </c>
      <c r="D1089" s="143" t="s">
        <v>53</v>
      </c>
      <c r="E1089" s="143" t="s">
        <v>474</v>
      </c>
      <c r="F1089" s="144" t="n">
        <v>200025889389</v>
      </c>
      <c r="G1089" s="144" t="s">
        <v>457</v>
      </c>
      <c r="H1089" s="144" t="n">
        <v>90</v>
      </c>
      <c r="I1089" s="144" t="s">
        <v>152</v>
      </c>
      <c r="J1089" s="152" t="n">
        <v>45073.1912268519</v>
      </c>
      <c r="K1089" s="1" t="n">
        <v>1</v>
      </c>
      <c r="L1089" s="144" t="n">
        <v>90</v>
      </c>
      <c r="M1089" s="1" t="n">
        <v>23</v>
      </c>
      <c r="N1089" s="1" t="n">
        <v>23</v>
      </c>
      <c r="O1089" s="149" t="n">
        <v>50</v>
      </c>
    </row>
    <row r="1090" customFormat="false" ht="14.25" hidden="false" customHeight="false" outlineLevel="0" collapsed="false">
      <c r="A1090" s="1" t="n">
        <v>137</v>
      </c>
      <c r="B1090" s="1" t="s">
        <v>477</v>
      </c>
      <c r="C1090" s="143" t="s">
        <v>52</v>
      </c>
      <c r="D1090" s="143" t="s">
        <v>53</v>
      </c>
      <c r="E1090" s="143" t="s">
        <v>474</v>
      </c>
      <c r="F1090" s="144" t="n">
        <v>200025889389</v>
      </c>
      <c r="G1090" s="144" t="s">
        <v>457</v>
      </c>
      <c r="H1090" s="144" t="n">
        <v>90</v>
      </c>
      <c r="I1090" s="144" t="s">
        <v>152</v>
      </c>
      <c r="J1090" s="152" t="n">
        <v>45073.1913773148</v>
      </c>
      <c r="K1090" s="1" t="n">
        <v>1</v>
      </c>
      <c r="L1090" s="144" t="n">
        <v>90</v>
      </c>
      <c r="M1090" s="1" t="n">
        <v>23</v>
      </c>
      <c r="N1090" s="1" t="n">
        <v>23</v>
      </c>
      <c r="O1090" s="149" t="n">
        <v>51</v>
      </c>
    </row>
    <row r="1091" customFormat="false" ht="14.25" hidden="false" customHeight="false" outlineLevel="0" collapsed="false">
      <c r="A1091" s="1" t="n">
        <v>138</v>
      </c>
      <c r="B1091" s="1" t="s">
        <v>477</v>
      </c>
      <c r="C1091" s="143" t="s">
        <v>52</v>
      </c>
      <c r="D1091" s="143" t="s">
        <v>53</v>
      </c>
      <c r="E1091" s="143" t="s">
        <v>474</v>
      </c>
      <c r="F1091" s="144" t="n">
        <v>200025889389</v>
      </c>
      <c r="G1091" s="144" t="s">
        <v>457</v>
      </c>
      <c r="H1091" s="144" t="n">
        <v>90</v>
      </c>
      <c r="I1091" s="144" t="s">
        <v>152</v>
      </c>
      <c r="J1091" s="152" t="n">
        <v>45073.2395023148</v>
      </c>
      <c r="K1091" s="1" t="n">
        <v>2</v>
      </c>
      <c r="L1091" s="144" t="n">
        <v>90</v>
      </c>
      <c r="M1091" s="1" t="n">
        <v>23</v>
      </c>
      <c r="N1091" s="1" t="n">
        <v>23</v>
      </c>
      <c r="O1091" s="149" t="n">
        <v>52</v>
      </c>
    </row>
    <row r="1092" customFormat="false" ht="14.25" hidden="false" customHeight="false" outlineLevel="0" collapsed="false">
      <c r="A1092" s="1" t="n">
        <v>139</v>
      </c>
      <c r="B1092" s="1" t="s">
        <v>477</v>
      </c>
      <c r="C1092" s="143" t="s">
        <v>52</v>
      </c>
      <c r="D1092" s="143" t="s">
        <v>53</v>
      </c>
      <c r="E1092" s="143" t="s">
        <v>474</v>
      </c>
      <c r="F1092" s="144" t="n">
        <v>200025889389</v>
      </c>
      <c r="G1092" s="144" t="s">
        <v>457</v>
      </c>
      <c r="H1092" s="144" t="n">
        <v>90</v>
      </c>
      <c r="I1092" s="144" t="s">
        <v>152</v>
      </c>
      <c r="J1092" s="152" t="n">
        <v>45073.2396875</v>
      </c>
      <c r="K1092" s="1" t="n">
        <v>1</v>
      </c>
      <c r="L1092" s="144" t="n">
        <v>90</v>
      </c>
      <c r="M1092" s="1" t="n">
        <v>23</v>
      </c>
      <c r="N1092" s="1" t="n">
        <v>23</v>
      </c>
      <c r="O1092" s="149" t="n">
        <v>53</v>
      </c>
    </row>
    <row r="1093" customFormat="false" ht="14.25" hidden="false" customHeight="false" outlineLevel="0" collapsed="false">
      <c r="A1093" s="1" t="n">
        <v>141</v>
      </c>
      <c r="B1093" s="1" t="s">
        <v>477</v>
      </c>
      <c r="C1093" s="143" t="s">
        <v>52</v>
      </c>
      <c r="D1093" s="143" t="s">
        <v>53</v>
      </c>
      <c r="E1093" s="143" t="s">
        <v>474</v>
      </c>
      <c r="F1093" s="144" t="n">
        <v>200025889389</v>
      </c>
      <c r="G1093" s="144" t="s">
        <v>457</v>
      </c>
      <c r="H1093" s="144" t="n">
        <v>90</v>
      </c>
      <c r="I1093" s="144" t="s">
        <v>152</v>
      </c>
      <c r="J1093" s="152" t="n">
        <v>45073.3110648148</v>
      </c>
      <c r="K1093" s="1" t="n">
        <v>2</v>
      </c>
      <c r="L1093" s="144" t="n">
        <v>90</v>
      </c>
      <c r="M1093" s="1" t="n">
        <v>23</v>
      </c>
      <c r="N1093" s="1" t="n">
        <v>23</v>
      </c>
      <c r="O1093" s="149" t="n">
        <v>54</v>
      </c>
    </row>
    <row r="1094" customFormat="false" ht="14.25" hidden="false" customHeight="false" outlineLevel="0" collapsed="false">
      <c r="A1094" s="1" t="n">
        <v>111</v>
      </c>
      <c r="B1094" s="1" t="s">
        <v>476</v>
      </c>
      <c r="C1094" s="143" t="n">
        <v>91601</v>
      </c>
      <c r="D1094" s="143" t="s">
        <v>65</v>
      </c>
      <c r="E1094" s="143" t="s">
        <v>474</v>
      </c>
      <c r="F1094" s="144" t="n">
        <v>200025889389</v>
      </c>
      <c r="G1094" s="144" t="s">
        <v>457</v>
      </c>
      <c r="H1094" s="144" t="n">
        <v>90</v>
      </c>
      <c r="I1094" s="144" t="s">
        <v>152</v>
      </c>
      <c r="J1094" s="151" t="n">
        <v>45073.3399768519</v>
      </c>
      <c r="K1094" s="1" t="n">
        <v>2</v>
      </c>
      <c r="L1094" s="144" t="n">
        <v>90</v>
      </c>
      <c r="M1094" s="1" t="n">
        <v>23</v>
      </c>
      <c r="N1094" s="1" t="n">
        <v>23</v>
      </c>
      <c r="O1094" s="149" t="n">
        <v>55</v>
      </c>
    </row>
    <row r="1095" customFormat="false" ht="14.25" hidden="false" customHeight="false" outlineLevel="0" collapsed="false">
      <c r="A1095" s="1" t="n">
        <v>112</v>
      </c>
      <c r="B1095" s="1" t="s">
        <v>476</v>
      </c>
      <c r="C1095" s="143" t="n">
        <v>91601</v>
      </c>
      <c r="D1095" s="143" t="s">
        <v>65</v>
      </c>
      <c r="E1095" s="143" t="s">
        <v>474</v>
      </c>
      <c r="F1095" s="144" t="n">
        <v>200025889389</v>
      </c>
      <c r="G1095" s="144" t="s">
        <v>457</v>
      </c>
      <c r="H1095" s="144" t="n">
        <v>90</v>
      </c>
      <c r="I1095" s="144" t="s">
        <v>152</v>
      </c>
      <c r="J1095" s="151" t="n">
        <v>45073.3402199074</v>
      </c>
      <c r="K1095" s="1" t="n">
        <v>1</v>
      </c>
      <c r="L1095" s="144" t="n">
        <v>90</v>
      </c>
      <c r="M1095" s="1" t="n">
        <v>23</v>
      </c>
      <c r="N1095" s="1" t="n">
        <v>23</v>
      </c>
      <c r="O1095" s="149" t="n">
        <v>56</v>
      </c>
    </row>
    <row r="1096" customFormat="false" ht="14.25" hidden="false" customHeight="false" outlineLevel="0" collapsed="false">
      <c r="A1096" s="1" t="n">
        <v>113</v>
      </c>
      <c r="B1096" s="1" t="s">
        <v>476</v>
      </c>
      <c r="C1096" s="143" t="n">
        <v>91601</v>
      </c>
      <c r="D1096" s="143" t="s">
        <v>65</v>
      </c>
      <c r="E1096" s="143" t="s">
        <v>474</v>
      </c>
      <c r="F1096" s="144" t="n">
        <v>200025889389</v>
      </c>
      <c r="G1096" s="144" t="s">
        <v>457</v>
      </c>
      <c r="H1096" s="144" t="n">
        <v>90</v>
      </c>
      <c r="I1096" s="144" t="s">
        <v>152</v>
      </c>
      <c r="J1096" s="151" t="n">
        <v>45073.3404398148</v>
      </c>
      <c r="K1096" s="1" t="n">
        <v>1</v>
      </c>
      <c r="L1096" s="144" t="n">
        <v>90</v>
      </c>
      <c r="M1096" s="1" t="n">
        <v>23</v>
      </c>
      <c r="N1096" s="1" t="n">
        <v>23</v>
      </c>
      <c r="O1096" s="149" t="n">
        <v>57</v>
      </c>
    </row>
    <row r="1097" customFormat="false" ht="14.25" hidden="false" customHeight="false" outlineLevel="0" collapsed="false">
      <c r="A1097" s="1" t="n">
        <v>114</v>
      </c>
      <c r="B1097" s="1" t="s">
        <v>476</v>
      </c>
      <c r="C1097" s="143" t="n">
        <v>91601</v>
      </c>
      <c r="D1097" s="143" t="s">
        <v>65</v>
      </c>
      <c r="E1097" s="143" t="s">
        <v>474</v>
      </c>
      <c r="F1097" s="144" t="n">
        <v>200025889389</v>
      </c>
      <c r="G1097" s="144" t="s">
        <v>457</v>
      </c>
      <c r="H1097" s="144" t="n">
        <v>90</v>
      </c>
      <c r="I1097" s="144" t="s">
        <v>152</v>
      </c>
      <c r="J1097" s="151" t="n">
        <v>45073.340625</v>
      </c>
      <c r="K1097" s="1" t="n">
        <v>1</v>
      </c>
      <c r="L1097" s="144" t="n">
        <v>90</v>
      </c>
      <c r="M1097" s="1" t="n">
        <v>23</v>
      </c>
      <c r="N1097" s="1" t="n">
        <v>23</v>
      </c>
      <c r="O1097" s="149" t="n">
        <v>58</v>
      </c>
    </row>
    <row r="1098" customFormat="false" ht="14.25" hidden="false" customHeight="false" outlineLevel="0" collapsed="false">
      <c r="A1098" s="1" t="n">
        <v>115</v>
      </c>
      <c r="B1098" s="1" t="s">
        <v>476</v>
      </c>
      <c r="C1098" s="143" t="n">
        <v>91601</v>
      </c>
      <c r="D1098" s="143" t="s">
        <v>65</v>
      </c>
      <c r="E1098" s="143" t="s">
        <v>474</v>
      </c>
      <c r="F1098" s="144" t="n">
        <v>200025889389</v>
      </c>
      <c r="G1098" s="144" t="s">
        <v>457</v>
      </c>
      <c r="H1098" s="144" t="n">
        <v>90</v>
      </c>
      <c r="I1098" s="144" t="s">
        <v>152</v>
      </c>
      <c r="J1098" s="151" t="n">
        <v>45073.3497337963</v>
      </c>
      <c r="K1098" s="1" t="n">
        <v>1</v>
      </c>
      <c r="L1098" s="144" t="n">
        <v>90</v>
      </c>
      <c r="M1098" s="1" t="n">
        <v>23</v>
      </c>
      <c r="N1098" s="1" t="n">
        <v>23</v>
      </c>
      <c r="O1098" s="149" t="n">
        <v>59</v>
      </c>
    </row>
    <row r="1099" customFormat="false" ht="14.25" hidden="false" customHeight="false" outlineLevel="0" collapsed="false">
      <c r="A1099" s="1" t="n">
        <v>151</v>
      </c>
      <c r="B1099" s="1" t="s">
        <v>477</v>
      </c>
      <c r="C1099" s="143" t="s">
        <v>52</v>
      </c>
      <c r="D1099" s="143" t="s">
        <v>53</v>
      </c>
      <c r="E1099" s="143" t="s">
        <v>474</v>
      </c>
      <c r="F1099" s="144" t="n">
        <v>200025889389</v>
      </c>
      <c r="G1099" s="144" t="s">
        <v>457</v>
      </c>
      <c r="H1099" s="144" t="n">
        <v>90</v>
      </c>
      <c r="I1099" s="144" t="s">
        <v>152</v>
      </c>
      <c r="J1099" s="152" t="n">
        <v>45073.389212963</v>
      </c>
      <c r="K1099" s="1" t="n">
        <v>0</v>
      </c>
      <c r="L1099" s="144" t="n">
        <v>90</v>
      </c>
      <c r="M1099" s="1" t="n">
        <v>23</v>
      </c>
      <c r="N1099" s="1" t="n">
        <v>23</v>
      </c>
      <c r="O1099" s="149" t="n">
        <v>60</v>
      </c>
    </row>
    <row r="1100" customFormat="false" ht="14.25" hidden="false" customHeight="false" outlineLevel="0" collapsed="false">
      <c r="A1100" s="1" t="n">
        <v>152</v>
      </c>
      <c r="B1100" s="1" t="s">
        <v>477</v>
      </c>
      <c r="C1100" s="143" t="s">
        <v>52</v>
      </c>
      <c r="D1100" s="143" t="s">
        <v>53</v>
      </c>
      <c r="E1100" s="143" t="s">
        <v>474</v>
      </c>
      <c r="F1100" s="144" t="n">
        <v>200025889389</v>
      </c>
      <c r="G1100" s="144" t="s">
        <v>457</v>
      </c>
      <c r="H1100" s="144" t="n">
        <v>90</v>
      </c>
      <c r="I1100" s="144" t="s">
        <v>152</v>
      </c>
      <c r="J1100" s="152" t="n">
        <v>45073.3896412037</v>
      </c>
      <c r="K1100" s="1" t="n">
        <v>1</v>
      </c>
      <c r="L1100" s="144" t="n">
        <v>90</v>
      </c>
      <c r="M1100" s="1" t="n">
        <v>23</v>
      </c>
      <c r="N1100" s="1" t="n">
        <v>23</v>
      </c>
      <c r="O1100" s="149" t="n">
        <v>61</v>
      </c>
    </row>
    <row r="1101" customFormat="false" ht="14.25" hidden="false" customHeight="false" outlineLevel="0" collapsed="false">
      <c r="A1101" s="1" t="n">
        <v>121</v>
      </c>
      <c r="B1101" s="1" t="s">
        <v>476</v>
      </c>
      <c r="C1101" s="143" t="n">
        <v>91601</v>
      </c>
      <c r="D1101" s="143" t="s">
        <v>65</v>
      </c>
      <c r="E1101" s="143" t="s">
        <v>474</v>
      </c>
      <c r="F1101" s="144" t="n">
        <v>200025889389</v>
      </c>
      <c r="G1101" s="144" t="s">
        <v>457</v>
      </c>
      <c r="H1101" s="144" t="n">
        <v>90</v>
      </c>
      <c r="I1101" s="144" t="s">
        <v>152</v>
      </c>
      <c r="J1101" s="151" t="n">
        <v>45073.5016435185</v>
      </c>
      <c r="K1101" s="1" t="n">
        <v>3</v>
      </c>
      <c r="L1101" s="144" t="n">
        <v>90</v>
      </c>
      <c r="M1101" s="1" t="n">
        <v>23</v>
      </c>
      <c r="N1101" s="1" t="n">
        <v>23</v>
      </c>
      <c r="O1101" s="149" t="n">
        <v>62</v>
      </c>
    </row>
    <row r="1102" customFormat="false" ht="14.25" hidden="false" customHeight="false" outlineLevel="0" collapsed="false">
      <c r="A1102" s="1" t="n">
        <v>27</v>
      </c>
      <c r="B1102" s="1" t="s">
        <v>491</v>
      </c>
      <c r="C1102" s="143" t="n">
        <v>21265</v>
      </c>
      <c r="D1102" s="143" t="s">
        <v>76</v>
      </c>
      <c r="E1102" s="143" t="s">
        <v>474</v>
      </c>
      <c r="F1102" s="144" t="n">
        <v>200025889389</v>
      </c>
      <c r="G1102" s="144" t="s">
        <v>457</v>
      </c>
      <c r="H1102" s="144" t="n">
        <v>90</v>
      </c>
      <c r="I1102" s="144" t="s">
        <v>152</v>
      </c>
      <c r="J1102" s="6" t="n">
        <v>45084.3355787037</v>
      </c>
      <c r="K1102" s="1" t="n">
        <v>2</v>
      </c>
      <c r="L1102" s="144" t="n">
        <v>90</v>
      </c>
      <c r="M1102" s="1" t="n">
        <v>23</v>
      </c>
      <c r="N1102" s="1" t="n">
        <v>23</v>
      </c>
      <c r="O1102" s="149" t="n">
        <v>63</v>
      </c>
    </row>
    <row r="1103" customFormat="false" ht="14.25" hidden="false" customHeight="false" outlineLevel="0" collapsed="false">
      <c r="A1103" s="1" t="n">
        <v>135</v>
      </c>
      <c r="B1103" s="1" t="s">
        <v>477</v>
      </c>
      <c r="C1103" s="143" t="n">
        <v>91601</v>
      </c>
      <c r="D1103" s="143" t="s">
        <v>64</v>
      </c>
      <c r="E1103" s="143" t="s">
        <v>474</v>
      </c>
      <c r="F1103" s="144" t="n">
        <v>200025889072</v>
      </c>
      <c r="G1103" s="144" t="s">
        <v>222</v>
      </c>
      <c r="H1103" s="144" t="n">
        <v>11</v>
      </c>
      <c r="I1103" s="144" t="s">
        <v>152</v>
      </c>
      <c r="J1103" s="152" t="n">
        <v>45056.771724537</v>
      </c>
      <c r="K1103" s="1" t="n">
        <v>1</v>
      </c>
      <c r="L1103" s="144" t="n">
        <v>11</v>
      </c>
      <c r="M1103" s="1" t="n">
        <v>24</v>
      </c>
      <c r="N1103" s="1" t="n">
        <v>24</v>
      </c>
      <c r="O1103" s="149" t="n">
        <v>1</v>
      </c>
    </row>
    <row r="1104" customFormat="false" ht="14.25" hidden="false" customHeight="false" outlineLevel="0" collapsed="false">
      <c r="A1104" s="1" t="n">
        <v>136</v>
      </c>
      <c r="B1104" s="1" t="s">
        <v>477</v>
      </c>
      <c r="C1104" s="143" t="n">
        <v>91601</v>
      </c>
      <c r="D1104" s="143" t="s">
        <v>64</v>
      </c>
      <c r="E1104" s="143" t="s">
        <v>474</v>
      </c>
      <c r="F1104" s="144" t="n">
        <v>200025889072</v>
      </c>
      <c r="G1104" s="144" t="s">
        <v>222</v>
      </c>
      <c r="H1104" s="144" t="n">
        <v>11</v>
      </c>
      <c r="I1104" s="144" t="s">
        <v>152</v>
      </c>
      <c r="J1104" s="152" t="n">
        <v>45056.7719675926</v>
      </c>
      <c r="K1104" s="1" t="n">
        <v>0</v>
      </c>
      <c r="L1104" s="144" t="n">
        <v>11</v>
      </c>
      <c r="M1104" s="1" t="n">
        <v>24</v>
      </c>
      <c r="N1104" s="1" t="n">
        <v>24</v>
      </c>
      <c r="O1104" s="149" t="n">
        <v>2</v>
      </c>
    </row>
    <row r="1105" customFormat="false" ht="14.25" hidden="false" customHeight="false" outlineLevel="0" collapsed="false">
      <c r="A1105" s="1" t="n">
        <v>137</v>
      </c>
      <c r="B1105" s="1" t="s">
        <v>477</v>
      </c>
      <c r="C1105" s="143" t="n">
        <v>91601</v>
      </c>
      <c r="D1105" s="143" t="s">
        <v>64</v>
      </c>
      <c r="E1105" s="143" t="s">
        <v>474</v>
      </c>
      <c r="F1105" s="144" t="n">
        <v>200025889072</v>
      </c>
      <c r="G1105" s="144" t="s">
        <v>222</v>
      </c>
      <c r="H1105" s="144" t="n">
        <v>11</v>
      </c>
      <c r="I1105" s="144" t="s">
        <v>152</v>
      </c>
      <c r="J1105" s="152" t="n">
        <v>45056.7750578704</v>
      </c>
      <c r="K1105" s="1" t="n">
        <v>0</v>
      </c>
      <c r="L1105" s="144" t="n">
        <v>11</v>
      </c>
      <c r="M1105" s="1" t="n">
        <v>24</v>
      </c>
      <c r="N1105" s="1" t="n">
        <v>24</v>
      </c>
      <c r="O1105" s="149" t="n">
        <v>3</v>
      </c>
    </row>
    <row r="1106" customFormat="false" ht="14.25" hidden="false" customHeight="false" outlineLevel="0" collapsed="false">
      <c r="A1106" s="1" t="n">
        <v>138</v>
      </c>
      <c r="B1106" s="1" t="s">
        <v>477</v>
      </c>
      <c r="C1106" s="143" t="n">
        <v>91601</v>
      </c>
      <c r="D1106" s="143" t="s">
        <v>64</v>
      </c>
      <c r="E1106" s="143" t="s">
        <v>474</v>
      </c>
      <c r="F1106" s="144" t="n">
        <v>200025889072</v>
      </c>
      <c r="G1106" s="144" t="s">
        <v>222</v>
      </c>
      <c r="H1106" s="144" t="n">
        <v>11</v>
      </c>
      <c r="I1106" s="144" t="s">
        <v>152</v>
      </c>
      <c r="J1106" s="152" t="n">
        <v>45056.8074768519</v>
      </c>
      <c r="K1106" s="1" t="n">
        <v>1</v>
      </c>
      <c r="L1106" s="144" t="n">
        <v>11</v>
      </c>
      <c r="M1106" s="1" t="n">
        <v>24</v>
      </c>
      <c r="N1106" s="1" t="n">
        <v>24</v>
      </c>
      <c r="O1106" s="149" t="n">
        <v>4</v>
      </c>
    </row>
    <row r="1107" customFormat="false" ht="14.25" hidden="false" customHeight="false" outlineLevel="0" collapsed="false">
      <c r="A1107" s="1" t="n">
        <v>139</v>
      </c>
      <c r="B1107" s="1" t="s">
        <v>477</v>
      </c>
      <c r="C1107" s="143" t="n">
        <v>91601</v>
      </c>
      <c r="D1107" s="143" t="s">
        <v>64</v>
      </c>
      <c r="E1107" s="143" t="s">
        <v>474</v>
      </c>
      <c r="F1107" s="144" t="n">
        <v>200025889072</v>
      </c>
      <c r="G1107" s="144" t="s">
        <v>222</v>
      </c>
      <c r="H1107" s="144" t="n">
        <v>11</v>
      </c>
      <c r="I1107" s="144" t="s">
        <v>152</v>
      </c>
      <c r="J1107" s="152" t="n">
        <v>45056.8081134259</v>
      </c>
      <c r="K1107" s="1" t="n">
        <v>1</v>
      </c>
      <c r="L1107" s="144" t="n">
        <v>11</v>
      </c>
      <c r="M1107" s="1" t="n">
        <v>24</v>
      </c>
      <c r="N1107" s="1" t="n">
        <v>24</v>
      </c>
      <c r="O1107" s="149" t="n">
        <v>5</v>
      </c>
    </row>
    <row r="1108" customFormat="false" ht="14.25" hidden="false" customHeight="false" outlineLevel="0" collapsed="false">
      <c r="A1108" s="1" t="n">
        <v>142</v>
      </c>
      <c r="B1108" s="1" t="s">
        <v>477</v>
      </c>
      <c r="C1108" s="143" t="n">
        <v>91601</v>
      </c>
      <c r="D1108" s="143" t="s">
        <v>64</v>
      </c>
      <c r="E1108" s="143" t="s">
        <v>474</v>
      </c>
      <c r="F1108" s="144" t="n">
        <v>200025889072</v>
      </c>
      <c r="G1108" s="144" t="s">
        <v>222</v>
      </c>
      <c r="H1108" s="144" t="n">
        <v>11</v>
      </c>
      <c r="I1108" s="144" t="s">
        <v>152</v>
      </c>
      <c r="J1108" s="152" t="n">
        <v>45056.8725925926</v>
      </c>
      <c r="K1108" s="1" t="n">
        <v>3</v>
      </c>
      <c r="L1108" s="144" t="n">
        <v>11</v>
      </c>
      <c r="M1108" s="1" t="n">
        <v>24</v>
      </c>
      <c r="N1108" s="1" t="n">
        <v>24</v>
      </c>
      <c r="O1108" s="149" t="n">
        <v>6</v>
      </c>
    </row>
    <row r="1109" customFormat="false" ht="14.25" hidden="false" customHeight="false" outlineLevel="0" collapsed="false">
      <c r="A1109" s="1" t="n">
        <v>145</v>
      </c>
      <c r="B1109" s="1" t="s">
        <v>477</v>
      </c>
      <c r="C1109" s="143" t="n">
        <v>91601</v>
      </c>
      <c r="D1109" s="143" t="s">
        <v>64</v>
      </c>
      <c r="E1109" s="143" t="s">
        <v>474</v>
      </c>
      <c r="F1109" s="144" t="n">
        <v>200025889072</v>
      </c>
      <c r="G1109" s="144" t="s">
        <v>222</v>
      </c>
      <c r="H1109" s="144" t="n">
        <v>11</v>
      </c>
      <c r="I1109" s="144" t="s">
        <v>152</v>
      </c>
      <c r="J1109" s="152" t="n">
        <v>45056.8788194444</v>
      </c>
      <c r="K1109" s="1" t="n">
        <v>3</v>
      </c>
      <c r="L1109" s="144" t="n">
        <v>11</v>
      </c>
      <c r="M1109" s="1" t="n">
        <v>24</v>
      </c>
      <c r="N1109" s="1" t="n">
        <v>24</v>
      </c>
      <c r="O1109" s="149" t="n">
        <v>7</v>
      </c>
    </row>
    <row r="1110" customFormat="false" ht="14.25" hidden="false" customHeight="false" outlineLevel="0" collapsed="false">
      <c r="A1110" s="1" t="n">
        <v>146</v>
      </c>
      <c r="B1110" s="1" t="s">
        <v>477</v>
      </c>
      <c r="C1110" s="143" t="n">
        <v>91601</v>
      </c>
      <c r="D1110" s="143" t="s">
        <v>64</v>
      </c>
      <c r="E1110" s="143" t="s">
        <v>474</v>
      </c>
      <c r="F1110" s="144" t="n">
        <v>200025889072</v>
      </c>
      <c r="G1110" s="144" t="s">
        <v>222</v>
      </c>
      <c r="H1110" s="144" t="n">
        <v>11</v>
      </c>
      <c r="I1110" s="144" t="s">
        <v>152</v>
      </c>
      <c r="J1110" s="152" t="n">
        <v>45056.8791666667</v>
      </c>
      <c r="K1110" s="1" t="n">
        <v>1</v>
      </c>
      <c r="L1110" s="144" t="n">
        <v>11</v>
      </c>
      <c r="M1110" s="1" t="n">
        <v>24</v>
      </c>
      <c r="N1110" s="1" t="n">
        <v>24</v>
      </c>
      <c r="O1110" s="149" t="n">
        <v>8</v>
      </c>
    </row>
    <row r="1111" customFormat="false" ht="14.25" hidden="false" customHeight="false" outlineLevel="0" collapsed="false">
      <c r="A1111" s="1" t="n">
        <v>148</v>
      </c>
      <c r="B1111" s="1" t="s">
        <v>477</v>
      </c>
      <c r="C1111" s="143" t="n">
        <v>91601</v>
      </c>
      <c r="D1111" s="143" t="s">
        <v>64</v>
      </c>
      <c r="E1111" s="143" t="s">
        <v>474</v>
      </c>
      <c r="F1111" s="144" t="n">
        <v>200025889072</v>
      </c>
      <c r="G1111" s="144" t="s">
        <v>222</v>
      </c>
      <c r="H1111" s="144" t="n">
        <v>11</v>
      </c>
      <c r="I1111" s="144" t="s">
        <v>152</v>
      </c>
      <c r="J1111" s="152" t="n">
        <v>45056.8829861111</v>
      </c>
      <c r="K1111" s="1" t="n">
        <v>1</v>
      </c>
      <c r="L1111" s="144" t="n">
        <v>11</v>
      </c>
      <c r="M1111" s="1" t="n">
        <v>24</v>
      </c>
      <c r="N1111" s="1" t="n">
        <v>24</v>
      </c>
      <c r="O1111" s="149" t="n">
        <v>9</v>
      </c>
    </row>
    <row r="1112" customFormat="false" ht="14.25" hidden="false" customHeight="false" outlineLevel="0" collapsed="false">
      <c r="A1112" s="1" t="n">
        <v>149</v>
      </c>
      <c r="B1112" s="1" t="s">
        <v>477</v>
      </c>
      <c r="C1112" s="143" t="n">
        <v>91601</v>
      </c>
      <c r="D1112" s="143" t="s">
        <v>64</v>
      </c>
      <c r="E1112" s="143" t="s">
        <v>474</v>
      </c>
      <c r="F1112" s="144" t="n">
        <v>200025889072</v>
      </c>
      <c r="G1112" s="144" t="s">
        <v>222</v>
      </c>
      <c r="H1112" s="144" t="n">
        <v>11</v>
      </c>
      <c r="I1112" s="144" t="s">
        <v>152</v>
      </c>
      <c r="J1112" s="152" t="n">
        <v>45056.9419675926</v>
      </c>
      <c r="K1112" s="1" t="n">
        <v>2</v>
      </c>
      <c r="L1112" s="144" t="n">
        <v>11</v>
      </c>
      <c r="M1112" s="1" t="n">
        <v>24</v>
      </c>
      <c r="N1112" s="1" t="n">
        <v>24</v>
      </c>
      <c r="O1112" s="149" t="n">
        <v>10</v>
      </c>
    </row>
    <row r="1113" customFormat="false" ht="14.25" hidden="false" customHeight="false" outlineLevel="0" collapsed="false">
      <c r="A1113" s="1" t="n">
        <v>150</v>
      </c>
      <c r="B1113" s="1" t="s">
        <v>477</v>
      </c>
      <c r="C1113" s="143" t="n">
        <v>91601</v>
      </c>
      <c r="D1113" s="143" t="s">
        <v>64</v>
      </c>
      <c r="E1113" s="143" t="s">
        <v>474</v>
      </c>
      <c r="F1113" s="144" t="n">
        <v>200025889072</v>
      </c>
      <c r="G1113" s="144" t="s">
        <v>222</v>
      </c>
      <c r="H1113" s="144" t="n">
        <v>11</v>
      </c>
      <c r="I1113" s="144" t="s">
        <v>152</v>
      </c>
      <c r="J1113" s="152" t="n">
        <v>45056.9528819444</v>
      </c>
      <c r="K1113" s="1" t="n">
        <v>3</v>
      </c>
      <c r="L1113" s="144" t="n">
        <v>11</v>
      </c>
      <c r="M1113" s="1" t="n">
        <v>24</v>
      </c>
      <c r="N1113" s="1" t="n">
        <v>24</v>
      </c>
      <c r="O1113" s="149" t="n">
        <v>11</v>
      </c>
    </row>
    <row r="1114" customFormat="false" ht="14.25" hidden="false" customHeight="false" outlineLevel="0" collapsed="false">
      <c r="A1114" s="1" t="n">
        <v>151</v>
      </c>
      <c r="B1114" s="1" t="s">
        <v>477</v>
      </c>
      <c r="C1114" s="143" t="n">
        <v>91601</v>
      </c>
      <c r="D1114" s="143" t="s">
        <v>64</v>
      </c>
      <c r="E1114" s="143" t="s">
        <v>474</v>
      </c>
      <c r="F1114" s="144" t="n">
        <v>200025889072</v>
      </c>
      <c r="G1114" s="144" t="s">
        <v>222</v>
      </c>
      <c r="H1114" s="144" t="n">
        <v>11</v>
      </c>
      <c r="I1114" s="144" t="s">
        <v>152</v>
      </c>
      <c r="J1114" s="152" t="n">
        <v>45056.9532291667</v>
      </c>
      <c r="K1114" s="1" t="n">
        <v>0</v>
      </c>
      <c r="L1114" s="144" t="n">
        <v>11</v>
      </c>
      <c r="M1114" s="1" t="n">
        <v>24</v>
      </c>
      <c r="N1114" s="1" t="n">
        <v>24</v>
      </c>
      <c r="O1114" s="149" t="n">
        <v>12</v>
      </c>
    </row>
    <row r="1115" customFormat="false" ht="14.25" hidden="false" customHeight="false" outlineLevel="0" collapsed="false">
      <c r="A1115" s="1" t="n">
        <v>154</v>
      </c>
      <c r="B1115" s="1" t="s">
        <v>477</v>
      </c>
      <c r="C1115" s="143" t="n">
        <v>91601</v>
      </c>
      <c r="D1115" s="143" t="s">
        <v>64</v>
      </c>
      <c r="E1115" s="143" t="s">
        <v>474</v>
      </c>
      <c r="F1115" s="144" t="n">
        <v>200025889072</v>
      </c>
      <c r="G1115" s="144" t="s">
        <v>222</v>
      </c>
      <c r="H1115" s="144" t="n">
        <v>11</v>
      </c>
      <c r="I1115" s="144" t="s">
        <v>152</v>
      </c>
      <c r="J1115" s="152" t="n">
        <v>45056.9606828704</v>
      </c>
      <c r="K1115" s="1" t="n">
        <v>5</v>
      </c>
      <c r="L1115" s="144" t="n">
        <v>11</v>
      </c>
      <c r="M1115" s="1" t="n">
        <v>24</v>
      </c>
      <c r="N1115" s="1" t="n">
        <v>24</v>
      </c>
      <c r="O1115" s="149" t="n">
        <v>13</v>
      </c>
    </row>
    <row r="1116" customFormat="false" ht="14.25" hidden="false" customHeight="false" outlineLevel="0" collapsed="false">
      <c r="A1116" s="1" t="n">
        <v>155</v>
      </c>
      <c r="B1116" s="1" t="s">
        <v>477</v>
      </c>
      <c r="C1116" s="143" t="n">
        <v>91601</v>
      </c>
      <c r="D1116" s="143" t="s">
        <v>64</v>
      </c>
      <c r="E1116" s="143" t="s">
        <v>474</v>
      </c>
      <c r="F1116" s="144" t="n">
        <v>200025889072</v>
      </c>
      <c r="G1116" s="144" t="s">
        <v>222</v>
      </c>
      <c r="H1116" s="144" t="n">
        <v>11</v>
      </c>
      <c r="I1116" s="144" t="s">
        <v>152</v>
      </c>
      <c r="J1116" s="152" t="n">
        <v>45057.0774074074</v>
      </c>
      <c r="K1116" s="1" t="n">
        <v>0</v>
      </c>
      <c r="L1116" s="144" t="n">
        <v>11</v>
      </c>
      <c r="M1116" s="1" t="n">
        <v>24</v>
      </c>
      <c r="N1116" s="1" t="n">
        <v>24</v>
      </c>
      <c r="O1116" s="149" t="n">
        <v>14</v>
      </c>
    </row>
    <row r="1117" customFormat="false" ht="14.25" hidden="false" customHeight="false" outlineLevel="0" collapsed="false">
      <c r="A1117" s="1" t="n">
        <v>156</v>
      </c>
      <c r="B1117" s="1" t="s">
        <v>477</v>
      </c>
      <c r="C1117" s="143" t="n">
        <v>91601</v>
      </c>
      <c r="D1117" s="143" t="s">
        <v>64</v>
      </c>
      <c r="E1117" s="143" t="s">
        <v>474</v>
      </c>
      <c r="F1117" s="144" t="n">
        <v>200025889072</v>
      </c>
      <c r="G1117" s="144" t="s">
        <v>222</v>
      </c>
      <c r="H1117" s="144" t="n">
        <v>11</v>
      </c>
      <c r="I1117" s="144" t="s">
        <v>152</v>
      </c>
      <c r="J1117" s="152" t="n">
        <v>45057.0776851852</v>
      </c>
      <c r="K1117" s="1" t="n">
        <v>1</v>
      </c>
      <c r="L1117" s="144" t="n">
        <v>11</v>
      </c>
      <c r="M1117" s="1" t="n">
        <v>24</v>
      </c>
      <c r="N1117" s="1" t="n">
        <v>24</v>
      </c>
      <c r="O1117" s="149" t="n">
        <v>15</v>
      </c>
    </row>
    <row r="1118" customFormat="false" ht="14.25" hidden="false" customHeight="false" outlineLevel="0" collapsed="false">
      <c r="A1118" s="1" t="n">
        <v>157</v>
      </c>
      <c r="B1118" s="1" t="s">
        <v>477</v>
      </c>
      <c r="C1118" s="143" t="n">
        <v>91601</v>
      </c>
      <c r="D1118" s="143" t="s">
        <v>64</v>
      </c>
      <c r="E1118" s="143" t="s">
        <v>474</v>
      </c>
      <c r="F1118" s="144" t="n">
        <v>200025889072</v>
      </c>
      <c r="G1118" s="144" t="s">
        <v>222</v>
      </c>
      <c r="H1118" s="144" t="n">
        <v>11</v>
      </c>
      <c r="I1118" s="144" t="s">
        <v>152</v>
      </c>
      <c r="J1118" s="152" t="n">
        <v>45057.0781828704</v>
      </c>
      <c r="K1118" s="1" t="n">
        <v>1</v>
      </c>
      <c r="L1118" s="144" t="n">
        <v>11</v>
      </c>
      <c r="M1118" s="1" t="n">
        <v>24</v>
      </c>
      <c r="N1118" s="1" t="n">
        <v>24</v>
      </c>
      <c r="O1118" s="149" t="n">
        <v>16</v>
      </c>
    </row>
    <row r="1119" customFormat="false" ht="14.25" hidden="false" customHeight="false" outlineLevel="0" collapsed="false">
      <c r="A1119" s="1" t="n">
        <v>158</v>
      </c>
      <c r="B1119" s="1" t="s">
        <v>477</v>
      </c>
      <c r="C1119" s="143" t="n">
        <v>91601</v>
      </c>
      <c r="D1119" s="143" t="s">
        <v>64</v>
      </c>
      <c r="E1119" s="143" t="s">
        <v>474</v>
      </c>
      <c r="F1119" s="144" t="n">
        <v>200025889072</v>
      </c>
      <c r="G1119" s="144" t="s">
        <v>222</v>
      </c>
      <c r="H1119" s="144" t="n">
        <v>11</v>
      </c>
      <c r="I1119" s="144" t="s">
        <v>152</v>
      </c>
      <c r="J1119" s="152" t="n">
        <v>45057.1354166667</v>
      </c>
      <c r="K1119" s="1" t="n">
        <v>2</v>
      </c>
      <c r="L1119" s="144" t="n">
        <v>11</v>
      </c>
      <c r="M1119" s="1" t="n">
        <v>24</v>
      </c>
      <c r="N1119" s="1" t="n">
        <v>24</v>
      </c>
      <c r="O1119" s="149" t="n">
        <v>17</v>
      </c>
    </row>
    <row r="1120" customFormat="false" ht="14.25" hidden="false" customHeight="false" outlineLevel="0" collapsed="false">
      <c r="A1120" s="1" t="n">
        <v>159</v>
      </c>
      <c r="B1120" s="1" t="s">
        <v>477</v>
      </c>
      <c r="C1120" s="143" t="n">
        <v>91601</v>
      </c>
      <c r="D1120" s="143" t="s">
        <v>64</v>
      </c>
      <c r="E1120" s="143" t="s">
        <v>474</v>
      </c>
      <c r="F1120" s="144" t="n">
        <v>200025889072</v>
      </c>
      <c r="G1120" s="144" t="s">
        <v>222</v>
      </c>
      <c r="H1120" s="144" t="n">
        <v>11</v>
      </c>
      <c r="I1120" s="144" t="s">
        <v>152</v>
      </c>
      <c r="J1120" s="152" t="n">
        <v>45057.1359837963</v>
      </c>
      <c r="K1120" s="1" t="n">
        <v>2</v>
      </c>
      <c r="L1120" s="144" t="n">
        <v>11</v>
      </c>
      <c r="M1120" s="1" t="n">
        <v>24</v>
      </c>
      <c r="N1120" s="1" t="n">
        <v>24</v>
      </c>
      <c r="O1120" s="149" t="n">
        <v>18</v>
      </c>
    </row>
    <row r="1121" customFormat="false" ht="14.25" hidden="false" customHeight="false" outlineLevel="0" collapsed="false">
      <c r="A1121" s="1" t="n">
        <v>160</v>
      </c>
      <c r="B1121" s="1" t="s">
        <v>477</v>
      </c>
      <c r="C1121" s="143" t="n">
        <v>91601</v>
      </c>
      <c r="D1121" s="143" t="s">
        <v>64</v>
      </c>
      <c r="E1121" s="143" t="s">
        <v>474</v>
      </c>
      <c r="F1121" s="144" t="n">
        <v>200025889072</v>
      </c>
      <c r="G1121" s="144" t="s">
        <v>222</v>
      </c>
      <c r="H1121" s="144" t="n">
        <v>11</v>
      </c>
      <c r="I1121" s="144" t="s">
        <v>152</v>
      </c>
      <c r="J1121" s="152" t="n">
        <v>45057.1414814815</v>
      </c>
      <c r="K1121" s="1" t="n">
        <v>1</v>
      </c>
      <c r="L1121" s="144" t="n">
        <v>11</v>
      </c>
      <c r="M1121" s="1" t="n">
        <v>24</v>
      </c>
      <c r="N1121" s="1" t="n">
        <v>24</v>
      </c>
      <c r="O1121" s="149" t="n">
        <v>19</v>
      </c>
    </row>
    <row r="1122" customFormat="false" ht="14.25" hidden="false" customHeight="false" outlineLevel="0" collapsed="false">
      <c r="A1122" s="1" t="n">
        <v>161</v>
      </c>
      <c r="B1122" s="1" t="s">
        <v>477</v>
      </c>
      <c r="C1122" s="143" t="n">
        <v>91601</v>
      </c>
      <c r="D1122" s="143" t="s">
        <v>64</v>
      </c>
      <c r="E1122" s="143" t="s">
        <v>474</v>
      </c>
      <c r="F1122" s="144" t="n">
        <v>200025889072</v>
      </c>
      <c r="G1122" s="144" t="s">
        <v>222</v>
      </c>
      <c r="H1122" s="144" t="n">
        <v>11</v>
      </c>
      <c r="I1122" s="144" t="s">
        <v>152</v>
      </c>
      <c r="J1122" s="152" t="n">
        <v>45057.1419675926</v>
      </c>
      <c r="K1122" s="1" t="n">
        <v>1</v>
      </c>
      <c r="L1122" s="144" t="n">
        <v>11</v>
      </c>
      <c r="M1122" s="1" t="n">
        <v>24</v>
      </c>
      <c r="N1122" s="1" t="n">
        <v>24</v>
      </c>
      <c r="O1122" s="149" t="n">
        <v>20</v>
      </c>
    </row>
    <row r="1123" customFormat="false" ht="14.25" hidden="false" customHeight="false" outlineLevel="0" collapsed="false">
      <c r="A1123" s="1" t="n">
        <v>162</v>
      </c>
      <c r="B1123" s="1" t="s">
        <v>477</v>
      </c>
      <c r="C1123" s="143" t="n">
        <v>91601</v>
      </c>
      <c r="D1123" s="143" t="s">
        <v>64</v>
      </c>
      <c r="E1123" s="143" t="s">
        <v>474</v>
      </c>
      <c r="F1123" s="144" t="n">
        <v>200025889072</v>
      </c>
      <c r="G1123" s="144" t="s">
        <v>222</v>
      </c>
      <c r="H1123" s="144" t="n">
        <v>11</v>
      </c>
      <c r="I1123" s="144" t="s">
        <v>152</v>
      </c>
      <c r="J1123" s="152" t="n">
        <v>45057.1888888889</v>
      </c>
      <c r="K1123" s="1" t="n">
        <v>4</v>
      </c>
      <c r="L1123" s="144" t="n">
        <v>11</v>
      </c>
      <c r="M1123" s="1" t="n">
        <v>24</v>
      </c>
      <c r="N1123" s="1" t="n">
        <v>24</v>
      </c>
      <c r="O1123" s="149" t="n">
        <v>21</v>
      </c>
    </row>
    <row r="1124" customFormat="false" ht="14.25" hidden="false" customHeight="false" outlineLevel="0" collapsed="false">
      <c r="A1124" s="1" t="n">
        <v>163</v>
      </c>
      <c r="B1124" s="1" t="s">
        <v>477</v>
      </c>
      <c r="C1124" s="143" t="n">
        <v>91601</v>
      </c>
      <c r="D1124" s="143" t="s">
        <v>64</v>
      </c>
      <c r="E1124" s="143" t="s">
        <v>474</v>
      </c>
      <c r="F1124" s="144" t="n">
        <v>200025889072</v>
      </c>
      <c r="G1124" s="144" t="s">
        <v>222</v>
      </c>
      <c r="H1124" s="144" t="n">
        <v>11</v>
      </c>
      <c r="I1124" s="144" t="s">
        <v>152</v>
      </c>
      <c r="J1124" s="152" t="n">
        <v>45057.1924189815</v>
      </c>
      <c r="K1124" s="1" t="n">
        <v>2</v>
      </c>
      <c r="L1124" s="144" t="n">
        <v>11</v>
      </c>
      <c r="M1124" s="1" t="n">
        <v>24</v>
      </c>
      <c r="N1124" s="1" t="n">
        <v>24</v>
      </c>
      <c r="O1124" s="149" t="n">
        <v>22</v>
      </c>
    </row>
    <row r="1125" customFormat="false" ht="14.25" hidden="false" customHeight="false" outlineLevel="0" collapsed="false">
      <c r="A1125" s="1" t="n">
        <v>164</v>
      </c>
      <c r="B1125" s="1" t="s">
        <v>477</v>
      </c>
      <c r="C1125" s="143" t="n">
        <v>91601</v>
      </c>
      <c r="D1125" s="143" t="s">
        <v>64</v>
      </c>
      <c r="E1125" s="143" t="s">
        <v>474</v>
      </c>
      <c r="F1125" s="144" t="n">
        <v>200025889072</v>
      </c>
      <c r="G1125" s="144" t="s">
        <v>222</v>
      </c>
      <c r="H1125" s="144" t="n">
        <v>11</v>
      </c>
      <c r="I1125" s="144" t="s">
        <v>152</v>
      </c>
      <c r="J1125" s="152" t="n">
        <v>45057.1928356482</v>
      </c>
      <c r="K1125" s="1" t="n">
        <v>1</v>
      </c>
      <c r="L1125" s="144" t="n">
        <v>11</v>
      </c>
      <c r="M1125" s="1" t="n">
        <v>24</v>
      </c>
      <c r="N1125" s="1" t="n">
        <v>24</v>
      </c>
      <c r="O1125" s="149" t="n">
        <v>23</v>
      </c>
    </row>
    <row r="1126" customFormat="false" ht="14.25" hidden="false" customHeight="false" outlineLevel="0" collapsed="false">
      <c r="A1126" s="1" t="n">
        <v>165</v>
      </c>
      <c r="B1126" s="1" t="s">
        <v>477</v>
      </c>
      <c r="C1126" s="143" t="n">
        <v>91601</v>
      </c>
      <c r="D1126" s="143" t="s">
        <v>64</v>
      </c>
      <c r="E1126" s="143" t="s">
        <v>474</v>
      </c>
      <c r="F1126" s="144" t="n">
        <v>200025889072</v>
      </c>
      <c r="G1126" s="144" t="s">
        <v>222</v>
      </c>
      <c r="H1126" s="144" t="n">
        <v>11</v>
      </c>
      <c r="I1126" s="144" t="s">
        <v>152</v>
      </c>
      <c r="J1126" s="152" t="n">
        <v>45057.1930902778</v>
      </c>
      <c r="K1126" s="1" t="n">
        <v>1</v>
      </c>
      <c r="L1126" s="144" t="n">
        <v>11</v>
      </c>
      <c r="M1126" s="1" t="n">
        <v>24</v>
      </c>
      <c r="N1126" s="1" t="n">
        <v>24</v>
      </c>
      <c r="O1126" s="149" t="n">
        <v>24</v>
      </c>
    </row>
    <row r="1127" customFormat="false" ht="14.25" hidden="false" customHeight="false" outlineLevel="0" collapsed="false">
      <c r="A1127" s="1" t="n">
        <v>167</v>
      </c>
      <c r="B1127" s="1" t="s">
        <v>477</v>
      </c>
      <c r="C1127" s="143" t="n">
        <v>91601</v>
      </c>
      <c r="D1127" s="143" t="s">
        <v>64</v>
      </c>
      <c r="E1127" s="143" t="s">
        <v>474</v>
      </c>
      <c r="F1127" s="144" t="n">
        <v>200025889072</v>
      </c>
      <c r="G1127" s="144" t="s">
        <v>222</v>
      </c>
      <c r="H1127" s="144" t="n">
        <v>11</v>
      </c>
      <c r="I1127" s="144" t="s">
        <v>152</v>
      </c>
      <c r="J1127" s="152" t="n">
        <v>45057.1976967593</v>
      </c>
      <c r="K1127" s="1" t="n">
        <v>1</v>
      </c>
      <c r="L1127" s="144" t="n">
        <v>11</v>
      </c>
      <c r="M1127" s="1" t="n">
        <v>24</v>
      </c>
      <c r="N1127" s="1" t="n">
        <v>24</v>
      </c>
      <c r="O1127" s="149" t="n">
        <v>25</v>
      </c>
    </row>
    <row r="1128" customFormat="false" ht="14.25" hidden="false" customHeight="false" outlineLevel="0" collapsed="false">
      <c r="A1128" s="1" t="n">
        <v>168</v>
      </c>
      <c r="B1128" s="1" t="s">
        <v>477</v>
      </c>
      <c r="C1128" s="143" t="n">
        <v>91601</v>
      </c>
      <c r="D1128" s="143" t="s">
        <v>64</v>
      </c>
      <c r="E1128" s="143" t="s">
        <v>474</v>
      </c>
      <c r="F1128" s="144" t="n">
        <v>200025889072</v>
      </c>
      <c r="G1128" s="144" t="s">
        <v>222</v>
      </c>
      <c r="H1128" s="144" t="n">
        <v>11</v>
      </c>
      <c r="I1128" s="144" t="s">
        <v>152</v>
      </c>
      <c r="J1128" s="152" t="n">
        <v>45057.1979861111</v>
      </c>
      <c r="K1128" s="1" t="n">
        <v>2</v>
      </c>
      <c r="L1128" s="144" t="n">
        <v>11</v>
      </c>
      <c r="M1128" s="1" t="n">
        <v>24</v>
      </c>
      <c r="N1128" s="1" t="n">
        <v>24</v>
      </c>
      <c r="O1128" s="149" t="n">
        <v>26</v>
      </c>
    </row>
    <row r="1129" customFormat="false" ht="14.25" hidden="false" customHeight="false" outlineLevel="0" collapsed="false">
      <c r="A1129" s="1" t="n">
        <v>169</v>
      </c>
      <c r="B1129" s="1" t="s">
        <v>477</v>
      </c>
      <c r="C1129" s="143" t="n">
        <v>91601</v>
      </c>
      <c r="D1129" s="143" t="s">
        <v>64</v>
      </c>
      <c r="E1129" s="143" t="s">
        <v>474</v>
      </c>
      <c r="F1129" s="144" t="n">
        <v>200025889072</v>
      </c>
      <c r="G1129" s="144" t="s">
        <v>222</v>
      </c>
      <c r="H1129" s="144" t="n">
        <v>11</v>
      </c>
      <c r="I1129" s="144" t="s">
        <v>152</v>
      </c>
      <c r="J1129" s="152" t="n">
        <v>45057.1980208333</v>
      </c>
      <c r="K1129" s="1" t="n">
        <v>1</v>
      </c>
      <c r="L1129" s="144" t="n">
        <v>11</v>
      </c>
      <c r="M1129" s="1" t="n">
        <v>24</v>
      </c>
      <c r="N1129" s="1" t="n">
        <v>24</v>
      </c>
      <c r="O1129" s="149" t="n">
        <v>27</v>
      </c>
    </row>
    <row r="1130" customFormat="false" ht="14.25" hidden="false" customHeight="false" outlineLevel="0" collapsed="false">
      <c r="A1130" s="1" t="n">
        <v>200</v>
      </c>
      <c r="B1130" s="1" t="s">
        <v>475</v>
      </c>
      <c r="C1130" s="143" t="s">
        <v>52</v>
      </c>
      <c r="D1130" s="143" t="s">
        <v>53</v>
      </c>
      <c r="E1130" s="143" t="s">
        <v>474</v>
      </c>
      <c r="F1130" s="144" t="n">
        <v>200025889072</v>
      </c>
      <c r="G1130" s="144" t="s">
        <v>222</v>
      </c>
      <c r="H1130" s="144" t="n">
        <v>11</v>
      </c>
      <c r="I1130" s="144" t="s">
        <v>152</v>
      </c>
      <c r="J1130" s="151" t="n">
        <v>45057.4689814815</v>
      </c>
      <c r="K1130" s="1" t="n">
        <v>2</v>
      </c>
      <c r="L1130" s="144" t="n">
        <v>11</v>
      </c>
      <c r="M1130" s="1" t="n">
        <v>24</v>
      </c>
      <c r="N1130" s="1" t="n">
        <v>24</v>
      </c>
      <c r="O1130" s="149" t="n">
        <v>28</v>
      </c>
    </row>
    <row r="1131" customFormat="false" ht="14.25" hidden="false" customHeight="false" outlineLevel="0" collapsed="false">
      <c r="A1131" s="1" t="n">
        <v>201</v>
      </c>
      <c r="B1131" s="1" t="s">
        <v>475</v>
      </c>
      <c r="C1131" s="143" t="s">
        <v>52</v>
      </c>
      <c r="D1131" s="143" t="s">
        <v>53</v>
      </c>
      <c r="E1131" s="143" t="s">
        <v>474</v>
      </c>
      <c r="F1131" s="144" t="n">
        <v>200025889072</v>
      </c>
      <c r="G1131" s="144" t="s">
        <v>222</v>
      </c>
      <c r="H1131" s="144" t="n">
        <v>11</v>
      </c>
      <c r="I1131" s="144" t="s">
        <v>152</v>
      </c>
      <c r="J1131" s="151" t="n">
        <v>45057.469849537</v>
      </c>
      <c r="K1131" s="1" t="n">
        <v>3</v>
      </c>
      <c r="L1131" s="144" t="n">
        <v>11</v>
      </c>
      <c r="M1131" s="1" t="n">
        <v>24</v>
      </c>
      <c r="N1131" s="1" t="n">
        <v>24</v>
      </c>
      <c r="O1131" s="149" t="n">
        <v>29</v>
      </c>
    </row>
    <row r="1132" customFormat="false" ht="14.25" hidden="false" customHeight="false" outlineLevel="0" collapsed="false">
      <c r="A1132" s="1" t="n">
        <v>203</v>
      </c>
      <c r="B1132" s="1" t="s">
        <v>475</v>
      </c>
      <c r="C1132" s="143" t="s">
        <v>52</v>
      </c>
      <c r="D1132" s="143" t="s">
        <v>53</v>
      </c>
      <c r="E1132" s="143" t="s">
        <v>474</v>
      </c>
      <c r="F1132" s="144" t="n">
        <v>200025889072</v>
      </c>
      <c r="G1132" s="144" t="s">
        <v>222</v>
      </c>
      <c r="H1132" s="144" t="n">
        <v>11</v>
      </c>
      <c r="I1132" s="144" t="s">
        <v>152</v>
      </c>
      <c r="J1132" s="151" t="n">
        <v>45057.4796412037</v>
      </c>
      <c r="K1132" s="1" t="n">
        <v>2</v>
      </c>
      <c r="L1132" s="144" t="n">
        <v>11</v>
      </c>
      <c r="M1132" s="1" t="n">
        <v>24</v>
      </c>
      <c r="N1132" s="1" t="n">
        <v>24</v>
      </c>
      <c r="O1132" s="149" t="n">
        <v>30</v>
      </c>
    </row>
    <row r="1133" customFormat="false" ht="14.25" hidden="false" customHeight="false" outlineLevel="0" collapsed="false">
      <c r="A1133" s="1" t="n">
        <v>46</v>
      </c>
      <c r="B1133" s="1" t="s">
        <v>476</v>
      </c>
      <c r="C1133" s="143" t="n">
        <v>91601</v>
      </c>
      <c r="D1133" s="143" t="s">
        <v>65</v>
      </c>
      <c r="E1133" s="143" t="s">
        <v>474</v>
      </c>
      <c r="F1133" s="144" t="n">
        <v>200025889072</v>
      </c>
      <c r="G1133" s="144" t="s">
        <v>222</v>
      </c>
      <c r="H1133" s="144" t="n">
        <v>11</v>
      </c>
      <c r="I1133" s="144" t="s">
        <v>152</v>
      </c>
      <c r="J1133" s="151" t="n">
        <v>45070.5439351852</v>
      </c>
      <c r="K1133" s="1" t="n">
        <v>2</v>
      </c>
      <c r="L1133" s="144" t="n">
        <v>11</v>
      </c>
      <c r="M1133" s="1" t="n">
        <v>24</v>
      </c>
      <c r="N1133" s="1" t="n">
        <v>24</v>
      </c>
      <c r="O1133" s="149" t="n">
        <v>31</v>
      </c>
    </row>
    <row r="1134" customFormat="false" ht="14.25" hidden="false" customHeight="false" outlineLevel="0" collapsed="false">
      <c r="A1134" s="1" t="n">
        <v>140</v>
      </c>
      <c r="B1134" s="1" t="s">
        <v>477</v>
      </c>
      <c r="C1134" s="143" t="n">
        <v>91601</v>
      </c>
      <c r="D1134" s="143" t="s">
        <v>64</v>
      </c>
      <c r="E1134" s="143" t="s">
        <v>474</v>
      </c>
      <c r="F1134" s="144" t="n">
        <v>200025888888</v>
      </c>
      <c r="G1134" s="144" t="s">
        <v>423</v>
      </c>
      <c r="H1134" s="144" t="n">
        <v>65</v>
      </c>
      <c r="I1134" s="144" t="s">
        <v>152</v>
      </c>
      <c r="J1134" s="152" t="n">
        <v>45056.8087615741</v>
      </c>
      <c r="K1134" s="1" t="n">
        <v>2</v>
      </c>
      <c r="L1134" s="144" t="n">
        <v>65</v>
      </c>
      <c r="M1134" s="1" t="n">
        <v>25</v>
      </c>
      <c r="N1134" s="1" t="n">
        <v>25</v>
      </c>
      <c r="O1134" s="149" t="n">
        <v>1</v>
      </c>
    </row>
    <row r="1135" customFormat="false" ht="14.25" hidden="false" customHeight="false" outlineLevel="0" collapsed="false">
      <c r="A1135" s="1" t="n">
        <v>141</v>
      </c>
      <c r="B1135" s="1" t="s">
        <v>477</v>
      </c>
      <c r="C1135" s="143" t="n">
        <v>91601</v>
      </c>
      <c r="D1135" s="143" t="s">
        <v>64</v>
      </c>
      <c r="E1135" s="143" t="s">
        <v>474</v>
      </c>
      <c r="F1135" s="144" t="n">
        <v>200025888888</v>
      </c>
      <c r="G1135" s="144" t="s">
        <v>423</v>
      </c>
      <c r="H1135" s="144" t="n">
        <v>65</v>
      </c>
      <c r="I1135" s="144" t="s">
        <v>152</v>
      </c>
      <c r="J1135" s="152" t="n">
        <v>45056.8087962963</v>
      </c>
      <c r="K1135" s="1" t="n">
        <v>1</v>
      </c>
      <c r="L1135" s="144" t="n">
        <v>65</v>
      </c>
      <c r="M1135" s="1" t="n">
        <v>25</v>
      </c>
      <c r="N1135" s="1" t="n">
        <v>25</v>
      </c>
      <c r="O1135" s="149" t="n">
        <v>2</v>
      </c>
    </row>
    <row r="1136" customFormat="false" ht="14.25" hidden="false" customHeight="false" outlineLevel="0" collapsed="false">
      <c r="A1136" s="1" t="n">
        <v>147</v>
      </c>
      <c r="B1136" s="1" t="s">
        <v>477</v>
      </c>
      <c r="C1136" s="143" t="n">
        <v>91601</v>
      </c>
      <c r="D1136" s="143" t="s">
        <v>64</v>
      </c>
      <c r="E1136" s="143" t="s">
        <v>474</v>
      </c>
      <c r="F1136" s="144" t="n">
        <v>200025888888</v>
      </c>
      <c r="G1136" s="144" t="s">
        <v>423</v>
      </c>
      <c r="H1136" s="144" t="n">
        <v>65</v>
      </c>
      <c r="I1136" s="144" t="s">
        <v>152</v>
      </c>
      <c r="J1136" s="152" t="n">
        <v>45056.8798958333</v>
      </c>
      <c r="K1136" s="1" t="n">
        <v>0</v>
      </c>
      <c r="L1136" s="144" t="n">
        <v>65</v>
      </c>
      <c r="M1136" s="1" t="n">
        <v>25</v>
      </c>
      <c r="N1136" s="1" t="n">
        <v>25</v>
      </c>
      <c r="O1136" s="149" t="n">
        <v>3</v>
      </c>
    </row>
    <row r="1137" customFormat="false" ht="14.25" hidden="false" customHeight="false" outlineLevel="0" collapsed="false">
      <c r="A1137" s="1" t="n">
        <v>152</v>
      </c>
      <c r="B1137" s="1" t="s">
        <v>477</v>
      </c>
      <c r="C1137" s="143" t="n">
        <v>91601</v>
      </c>
      <c r="D1137" s="143" t="s">
        <v>64</v>
      </c>
      <c r="E1137" s="143" t="s">
        <v>474</v>
      </c>
      <c r="F1137" s="144" t="n">
        <v>200025888888</v>
      </c>
      <c r="G1137" s="144" t="s">
        <v>423</v>
      </c>
      <c r="H1137" s="144" t="n">
        <v>65</v>
      </c>
      <c r="I1137" s="144" t="s">
        <v>152</v>
      </c>
      <c r="J1137" s="152" t="n">
        <v>45056.9571527778</v>
      </c>
      <c r="K1137" s="1" t="n">
        <v>2</v>
      </c>
      <c r="L1137" s="144" t="n">
        <v>65</v>
      </c>
      <c r="M1137" s="1" t="n">
        <v>25</v>
      </c>
      <c r="N1137" s="1" t="n">
        <v>25</v>
      </c>
      <c r="O1137" s="149" t="n">
        <v>4</v>
      </c>
    </row>
    <row r="1138" customFormat="false" ht="14.25" hidden="false" customHeight="false" outlineLevel="0" collapsed="false">
      <c r="A1138" s="1" t="n">
        <v>153</v>
      </c>
      <c r="B1138" s="1" t="s">
        <v>477</v>
      </c>
      <c r="C1138" s="143" t="n">
        <v>91601</v>
      </c>
      <c r="D1138" s="143" t="s">
        <v>64</v>
      </c>
      <c r="E1138" s="143" t="s">
        <v>474</v>
      </c>
      <c r="F1138" s="144" t="n">
        <v>200025888888</v>
      </c>
      <c r="G1138" s="144" t="s">
        <v>423</v>
      </c>
      <c r="H1138" s="144" t="n">
        <v>65</v>
      </c>
      <c r="I1138" s="144" t="s">
        <v>152</v>
      </c>
      <c r="J1138" s="152" t="n">
        <v>45056.9594560185</v>
      </c>
      <c r="K1138" s="1" t="n">
        <v>4</v>
      </c>
      <c r="L1138" s="144" t="n">
        <v>65</v>
      </c>
      <c r="M1138" s="1" t="n">
        <v>25</v>
      </c>
      <c r="N1138" s="1" t="n">
        <v>25</v>
      </c>
      <c r="O1138" s="149" t="n">
        <v>5</v>
      </c>
    </row>
    <row r="1139" customFormat="false" ht="14.25" hidden="false" customHeight="false" outlineLevel="0" collapsed="false">
      <c r="A1139" s="1" t="n">
        <v>326</v>
      </c>
      <c r="B1139" s="1" t="s">
        <v>473</v>
      </c>
      <c r="C1139" s="143" t="n">
        <v>11490</v>
      </c>
      <c r="D1139" s="143" t="s">
        <v>65</v>
      </c>
      <c r="E1139" s="143" t="s">
        <v>474</v>
      </c>
      <c r="F1139" s="144" t="n">
        <v>200025888888</v>
      </c>
      <c r="G1139" s="144" t="s">
        <v>423</v>
      </c>
      <c r="H1139" s="144" t="n">
        <v>65</v>
      </c>
      <c r="I1139" s="144" t="s">
        <v>152</v>
      </c>
      <c r="J1139" s="6" t="n">
        <v>45057.4123148148</v>
      </c>
      <c r="K1139" s="1" t="n">
        <v>0</v>
      </c>
      <c r="L1139" s="144" t="n">
        <v>65</v>
      </c>
      <c r="M1139" s="1" t="n">
        <v>25</v>
      </c>
      <c r="N1139" s="1" t="n">
        <v>25</v>
      </c>
      <c r="O1139" s="149" t="n">
        <v>6</v>
      </c>
    </row>
    <row r="1140" customFormat="false" ht="14.25" hidden="false" customHeight="false" outlineLevel="0" collapsed="false">
      <c r="A1140" s="1" t="n">
        <v>327</v>
      </c>
      <c r="B1140" s="1" t="s">
        <v>473</v>
      </c>
      <c r="C1140" s="143" t="n">
        <v>11490</v>
      </c>
      <c r="D1140" s="143" t="s">
        <v>65</v>
      </c>
      <c r="E1140" s="143" t="s">
        <v>474</v>
      </c>
      <c r="F1140" s="144" t="n">
        <v>200025888888</v>
      </c>
      <c r="G1140" s="144" t="s">
        <v>423</v>
      </c>
      <c r="H1140" s="144" t="n">
        <v>65</v>
      </c>
      <c r="I1140" s="144" t="s">
        <v>152</v>
      </c>
      <c r="J1140" s="6" t="n">
        <v>45057.4125231481</v>
      </c>
      <c r="K1140" s="1" t="n">
        <v>0</v>
      </c>
      <c r="L1140" s="144" t="n">
        <v>65</v>
      </c>
      <c r="M1140" s="1" t="n">
        <v>25</v>
      </c>
      <c r="N1140" s="1" t="n">
        <v>25</v>
      </c>
      <c r="O1140" s="149" t="n">
        <v>7</v>
      </c>
    </row>
    <row r="1141" customFormat="false" ht="14.25" hidden="false" customHeight="false" outlineLevel="0" collapsed="false">
      <c r="A1141" s="1" t="n">
        <v>346</v>
      </c>
      <c r="B1141" s="1" t="s">
        <v>473</v>
      </c>
      <c r="C1141" s="143" t="n">
        <v>11490</v>
      </c>
      <c r="D1141" s="143" t="s">
        <v>65</v>
      </c>
      <c r="E1141" s="143" t="s">
        <v>474</v>
      </c>
      <c r="F1141" s="144" t="n">
        <v>200025888888</v>
      </c>
      <c r="G1141" s="144" t="s">
        <v>423</v>
      </c>
      <c r="H1141" s="144" t="n">
        <v>65</v>
      </c>
      <c r="I1141" s="144" t="s">
        <v>152</v>
      </c>
      <c r="J1141" s="6" t="n">
        <v>45057.5830902778</v>
      </c>
      <c r="K1141" s="1" t="n">
        <v>1</v>
      </c>
      <c r="L1141" s="144" t="n">
        <v>65</v>
      </c>
      <c r="M1141" s="1" t="n">
        <v>25</v>
      </c>
      <c r="N1141" s="1" t="n">
        <v>25</v>
      </c>
      <c r="O1141" s="149" t="n">
        <v>8</v>
      </c>
    </row>
    <row r="1142" customFormat="false" ht="14.25" hidden="false" customHeight="false" outlineLevel="0" collapsed="false">
      <c r="A1142" s="1" t="n">
        <v>21</v>
      </c>
      <c r="B1142" s="1" t="s">
        <v>476</v>
      </c>
      <c r="C1142" s="143" t="n">
        <v>11490</v>
      </c>
      <c r="D1142" s="143" t="s">
        <v>65</v>
      </c>
      <c r="E1142" s="143" t="s">
        <v>474</v>
      </c>
      <c r="F1142" s="144" t="n">
        <v>200025888888</v>
      </c>
      <c r="G1142" s="144" t="s">
        <v>423</v>
      </c>
      <c r="H1142" s="144" t="n">
        <v>65</v>
      </c>
      <c r="I1142" s="144" t="s">
        <v>152</v>
      </c>
      <c r="J1142" s="6" t="n">
        <v>45064.680775463</v>
      </c>
      <c r="K1142" s="1" t="n">
        <v>2</v>
      </c>
      <c r="L1142" s="144" t="n">
        <v>65</v>
      </c>
      <c r="M1142" s="1" t="n">
        <v>25</v>
      </c>
      <c r="N1142" s="1" t="n">
        <v>25</v>
      </c>
      <c r="O1142" s="149" t="n">
        <v>9</v>
      </c>
    </row>
    <row r="1143" customFormat="false" ht="14.25" hidden="false" customHeight="false" outlineLevel="0" collapsed="false">
      <c r="A1143" s="1" t="n">
        <v>22</v>
      </c>
      <c r="B1143" s="1" t="s">
        <v>476</v>
      </c>
      <c r="C1143" s="143" t="n">
        <v>11490</v>
      </c>
      <c r="D1143" s="143" t="s">
        <v>65</v>
      </c>
      <c r="E1143" s="143" t="s">
        <v>474</v>
      </c>
      <c r="F1143" s="144" t="n">
        <v>200025888888</v>
      </c>
      <c r="G1143" s="144" t="s">
        <v>423</v>
      </c>
      <c r="H1143" s="144" t="n">
        <v>65</v>
      </c>
      <c r="I1143" s="144" t="s">
        <v>152</v>
      </c>
      <c r="J1143" s="6" t="n">
        <v>45064.6808333333</v>
      </c>
      <c r="K1143" s="1" t="n">
        <v>2</v>
      </c>
      <c r="L1143" s="144" t="n">
        <v>65</v>
      </c>
      <c r="M1143" s="1" t="n">
        <v>25</v>
      </c>
      <c r="N1143" s="1" t="n">
        <v>25</v>
      </c>
      <c r="O1143" s="149" t="n">
        <v>10</v>
      </c>
    </row>
    <row r="1144" customFormat="false" ht="14.25" hidden="false" customHeight="false" outlineLevel="0" collapsed="false">
      <c r="A1144" s="1" t="n">
        <v>23</v>
      </c>
      <c r="B1144" s="1" t="s">
        <v>476</v>
      </c>
      <c r="C1144" s="143" t="n">
        <v>11490</v>
      </c>
      <c r="D1144" s="143" t="s">
        <v>65</v>
      </c>
      <c r="E1144" s="143" t="s">
        <v>474</v>
      </c>
      <c r="F1144" s="144" t="n">
        <v>200025888888</v>
      </c>
      <c r="G1144" s="144" t="s">
        <v>423</v>
      </c>
      <c r="H1144" s="144" t="n">
        <v>65</v>
      </c>
      <c r="I1144" s="144" t="s">
        <v>152</v>
      </c>
      <c r="J1144" s="6" t="n">
        <v>45064.6808680556</v>
      </c>
      <c r="K1144" s="1" t="n">
        <v>1</v>
      </c>
      <c r="L1144" s="144" t="n">
        <v>65</v>
      </c>
      <c r="M1144" s="1" t="n">
        <v>25</v>
      </c>
      <c r="N1144" s="1" t="n">
        <v>25</v>
      </c>
      <c r="O1144" s="149" t="n">
        <v>11</v>
      </c>
    </row>
    <row r="1145" customFormat="false" ht="14.25" hidden="false" customHeight="false" outlineLevel="0" collapsed="false">
      <c r="A1145" s="1" t="n">
        <v>24</v>
      </c>
      <c r="B1145" s="1" t="s">
        <v>476</v>
      </c>
      <c r="C1145" s="143" t="n">
        <v>11490</v>
      </c>
      <c r="D1145" s="143" t="s">
        <v>65</v>
      </c>
      <c r="E1145" s="143" t="s">
        <v>474</v>
      </c>
      <c r="F1145" s="144" t="n">
        <v>200025888888</v>
      </c>
      <c r="G1145" s="144" t="s">
        <v>423</v>
      </c>
      <c r="H1145" s="144" t="n">
        <v>65</v>
      </c>
      <c r="I1145" s="144" t="s">
        <v>152</v>
      </c>
      <c r="J1145" s="6" t="n">
        <v>45064.681099537</v>
      </c>
      <c r="K1145" s="1" t="n">
        <v>1</v>
      </c>
      <c r="L1145" s="144" t="n">
        <v>65</v>
      </c>
      <c r="M1145" s="1" t="n">
        <v>25</v>
      </c>
      <c r="N1145" s="1" t="n">
        <v>25</v>
      </c>
      <c r="O1145" s="149" t="n">
        <v>12</v>
      </c>
    </row>
    <row r="1146" customFormat="false" ht="14.25" hidden="false" customHeight="false" outlineLevel="0" collapsed="false">
      <c r="A1146" s="1" t="n">
        <v>25</v>
      </c>
      <c r="B1146" s="1" t="s">
        <v>476</v>
      </c>
      <c r="C1146" s="143" t="n">
        <v>11490</v>
      </c>
      <c r="D1146" s="143" t="s">
        <v>65</v>
      </c>
      <c r="E1146" s="143" t="s">
        <v>474</v>
      </c>
      <c r="F1146" s="144" t="n">
        <v>200025888888</v>
      </c>
      <c r="G1146" s="144" t="s">
        <v>423</v>
      </c>
      <c r="H1146" s="144" t="n">
        <v>65</v>
      </c>
      <c r="I1146" s="144" t="s">
        <v>152</v>
      </c>
      <c r="J1146" s="6" t="n">
        <v>45064.6811226852</v>
      </c>
      <c r="K1146" s="1" t="n">
        <v>1</v>
      </c>
      <c r="L1146" s="144" t="n">
        <v>65</v>
      </c>
      <c r="M1146" s="1" t="n">
        <v>25</v>
      </c>
      <c r="N1146" s="1" t="n">
        <v>25</v>
      </c>
      <c r="O1146" s="149" t="n">
        <v>13</v>
      </c>
    </row>
    <row r="1147" customFormat="false" ht="14.25" hidden="false" customHeight="false" outlineLevel="0" collapsed="false">
      <c r="A1147" s="1" t="n">
        <v>26</v>
      </c>
      <c r="B1147" s="1" t="s">
        <v>476</v>
      </c>
      <c r="C1147" s="143" t="n">
        <v>11490</v>
      </c>
      <c r="D1147" s="143" t="s">
        <v>65</v>
      </c>
      <c r="E1147" s="143" t="s">
        <v>474</v>
      </c>
      <c r="F1147" s="144" t="n">
        <v>200025888888</v>
      </c>
      <c r="G1147" s="144" t="s">
        <v>423</v>
      </c>
      <c r="H1147" s="144" t="n">
        <v>65</v>
      </c>
      <c r="I1147" s="144" t="s">
        <v>152</v>
      </c>
      <c r="J1147" s="151" t="n">
        <v>45064.6811458333</v>
      </c>
      <c r="K1147" s="1" t="n">
        <v>2</v>
      </c>
      <c r="L1147" s="144" t="n">
        <v>65</v>
      </c>
      <c r="M1147" s="1" t="n">
        <v>25</v>
      </c>
      <c r="N1147" s="1" t="n">
        <v>25</v>
      </c>
      <c r="O1147" s="149" t="n">
        <v>14</v>
      </c>
    </row>
    <row r="1148" customFormat="false" ht="14.25" hidden="false" customHeight="false" outlineLevel="0" collapsed="false">
      <c r="A1148" s="1" t="n">
        <v>161</v>
      </c>
      <c r="B1148" s="1" t="s">
        <v>477</v>
      </c>
      <c r="C1148" s="143" t="s">
        <v>52</v>
      </c>
      <c r="D1148" s="143" t="s">
        <v>53</v>
      </c>
      <c r="E1148" s="143" t="s">
        <v>474</v>
      </c>
      <c r="F1148" s="144" t="n">
        <v>200025888888</v>
      </c>
      <c r="G1148" s="144" t="s">
        <v>423</v>
      </c>
      <c r="H1148" s="144" t="n">
        <v>65</v>
      </c>
      <c r="I1148" s="144" t="s">
        <v>152</v>
      </c>
      <c r="J1148" s="152" t="n">
        <v>45074.3705092593</v>
      </c>
      <c r="K1148" s="1" t="n">
        <v>1</v>
      </c>
      <c r="L1148" s="144" t="n">
        <v>65</v>
      </c>
      <c r="M1148" s="1" t="n">
        <v>25</v>
      </c>
      <c r="N1148" s="1" t="n">
        <v>25</v>
      </c>
      <c r="O1148" s="149" t="n">
        <v>15</v>
      </c>
    </row>
    <row r="1149" customFormat="false" ht="14.25" hidden="false" customHeight="false" outlineLevel="0" collapsed="false">
      <c r="A1149" s="1" t="n">
        <v>190</v>
      </c>
      <c r="B1149" s="1" t="s">
        <v>476</v>
      </c>
      <c r="C1149" s="143" t="s">
        <v>58</v>
      </c>
      <c r="D1149" s="143" t="s">
        <v>59</v>
      </c>
      <c r="E1149" s="143" t="s">
        <v>474</v>
      </c>
      <c r="F1149" s="144" t="n">
        <v>200025888604</v>
      </c>
      <c r="G1149" s="144" t="n">
        <v>81420</v>
      </c>
      <c r="H1149" s="144" t="n">
        <v>71</v>
      </c>
      <c r="I1149" s="144" t="s">
        <v>152</v>
      </c>
      <c r="J1149" s="151" t="n">
        <v>45056.8312962963</v>
      </c>
      <c r="K1149" s="1" t="n">
        <v>2</v>
      </c>
      <c r="L1149" s="144" t="n">
        <v>71</v>
      </c>
      <c r="M1149" s="1" t="n">
        <v>26</v>
      </c>
      <c r="N1149" s="1" t="n">
        <v>26</v>
      </c>
      <c r="O1149" s="149" t="n">
        <v>1</v>
      </c>
    </row>
    <row r="1150" customFormat="false" ht="14.25" hidden="false" customHeight="false" outlineLevel="0" collapsed="false">
      <c r="A1150" s="1" t="n">
        <v>191</v>
      </c>
      <c r="B1150" s="1" t="s">
        <v>476</v>
      </c>
      <c r="C1150" s="143" t="s">
        <v>58</v>
      </c>
      <c r="D1150" s="143" t="s">
        <v>59</v>
      </c>
      <c r="E1150" s="143" t="s">
        <v>474</v>
      </c>
      <c r="F1150" s="144" t="n">
        <v>200025888604</v>
      </c>
      <c r="G1150" s="144" t="n">
        <v>81420</v>
      </c>
      <c r="H1150" s="144" t="n">
        <v>71</v>
      </c>
      <c r="I1150" s="144" t="s">
        <v>152</v>
      </c>
      <c r="J1150" s="151" t="n">
        <v>45056.8322453704</v>
      </c>
      <c r="K1150" s="1" t="n">
        <v>1</v>
      </c>
      <c r="L1150" s="144" t="n">
        <v>71</v>
      </c>
      <c r="M1150" s="1" t="n">
        <v>26</v>
      </c>
      <c r="N1150" s="1" t="n">
        <v>26</v>
      </c>
      <c r="O1150" s="149" t="n">
        <v>2</v>
      </c>
    </row>
    <row r="1151" customFormat="false" ht="14.25" hidden="false" customHeight="false" outlineLevel="0" collapsed="false">
      <c r="A1151" s="1" t="n">
        <v>192</v>
      </c>
      <c r="B1151" s="1" t="s">
        <v>476</v>
      </c>
      <c r="C1151" s="143" t="s">
        <v>58</v>
      </c>
      <c r="D1151" s="143" t="s">
        <v>59</v>
      </c>
      <c r="E1151" s="143" t="s">
        <v>474</v>
      </c>
      <c r="F1151" s="144" t="n">
        <v>200025888604</v>
      </c>
      <c r="G1151" s="144" t="n">
        <v>81420</v>
      </c>
      <c r="H1151" s="144" t="n">
        <v>71</v>
      </c>
      <c r="I1151" s="144" t="s">
        <v>152</v>
      </c>
      <c r="J1151" s="151" t="n">
        <v>45056.8327083333</v>
      </c>
      <c r="K1151" s="1" t="n">
        <v>2</v>
      </c>
      <c r="L1151" s="144" t="n">
        <v>71</v>
      </c>
      <c r="M1151" s="1" t="n">
        <v>26</v>
      </c>
      <c r="N1151" s="1" t="n">
        <v>26</v>
      </c>
      <c r="O1151" s="149" t="n">
        <v>3</v>
      </c>
    </row>
    <row r="1152" customFormat="false" ht="14.25" hidden="false" customHeight="false" outlineLevel="0" collapsed="false">
      <c r="A1152" s="1" t="n">
        <v>193</v>
      </c>
      <c r="B1152" s="1" t="s">
        <v>476</v>
      </c>
      <c r="C1152" s="143" t="s">
        <v>58</v>
      </c>
      <c r="D1152" s="143" t="s">
        <v>59</v>
      </c>
      <c r="E1152" s="143" t="s">
        <v>474</v>
      </c>
      <c r="F1152" s="144" t="n">
        <v>200025888604</v>
      </c>
      <c r="G1152" s="144" t="n">
        <v>81420</v>
      </c>
      <c r="H1152" s="144" t="n">
        <v>71</v>
      </c>
      <c r="I1152" s="144" t="s">
        <v>152</v>
      </c>
      <c r="J1152" s="151" t="n">
        <v>45056.8348263889</v>
      </c>
      <c r="K1152" s="1" t="n">
        <v>2</v>
      </c>
      <c r="L1152" s="144" t="n">
        <v>71</v>
      </c>
      <c r="M1152" s="1" t="n">
        <v>26</v>
      </c>
      <c r="N1152" s="1" t="n">
        <v>26</v>
      </c>
      <c r="O1152" s="149" t="n">
        <v>4</v>
      </c>
    </row>
    <row r="1153" customFormat="false" ht="14.25" hidden="false" customHeight="false" outlineLevel="0" collapsed="false">
      <c r="A1153" s="1" t="n">
        <v>194</v>
      </c>
      <c r="B1153" s="1" t="s">
        <v>476</v>
      </c>
      <c r="C1153" s="143" t="s">
        <v>58</v>
      </c>
      <c r="D1153" s="143" t="s">
        <v>59</v>
      </c>
      <c r="E1153" s="143" t="s">
        <v>474</v>
      </c>
      <c r="F1153" s="144" t="n">
        <v>200025888604</v>
      </c>
      <c r="G1153" s="144" t="n">
        <v>81420</v>
      </c>
      <c r="H1153" s="144" t="n">
        <v>71</v>
      </c>
      <c r="I1153" s="144" t="s">
        <v>152</v>
      </c>
      <c r="J1153" s="151" t="n">
        <v>45056.8515162037</v>
      </c>
      <c r="K1153" s="1" t="n">
        <v>3</v>
      </c>
      <c r="L1153" s="144" t="n">
        <v>71</v>
      </c>
      <c r="M1153" s="1" t="n">
        <v>26</v>
      </c>
      <c r="N1153" s="1" t="n">
        <v>26</v>
      </c>
      <c r="O1153" s="149" t="n">
        <v>5</v>
      </c>
    </row>
    <row r="1154" customFormat="false" ht="14.25" hidden="false" customHeight="false" outlineLevel="0" collapsed="false">
      <c r="A1154" s="1" t="n">
        <v>144</v>
      </c>
      <c r="B1154" s="1" t="s">
        <v>477</v>
      </c>
      <c r="C1154" s="143" t="n">
        <v>91601</v>
      </c>
      <c r="D1154" s="143" t="s">
        <v>64</v>
      </c>
      <c r="E1154" s="143" t="s">
        <v>474</v>
      </c>
      <c r="F1154" s="144" t="n">
        <v>200025888604</v>
      </c>
      <c r="G1154" s="144" t="n">
        <v>81420</v>
      </c>
      <c r="H1154" s="144" t="n">
        <v>71</v>
      </c>
      <c r="I1154" s="144" t="s">
        <v>152</v>
      </c>
      <c r="J1154" s="152" t="n">
        <v>45056.8777662037</v>
      </c>
      <c r="K1154" s="1" t="n">
        <v>0</v>
      </c>
      <c r="L1154" s="144" t="n">
        <v>71</v>
      </c>
      <c r="M1154" s="1" t="n">
        <v>26</v>
      </c>
      <c r="N1154" s="1" t="n">
        <v>26</v>
      </c>
      <c r="O1154" s="149" t="n">
        <v>6</v>
      </c>
    </row>
    <row r="1155" customFormat="false" ht="14.25" hidden="false" customHeight="false" outlineLevel="0" collapsed="false">
      <c r="A1155" s="1" t="n">
        <v>197</v>
      </c>
      <c r="B1155" s="1" t="s">
        <v>476</v>
      </c>
      <c r="C1155" s="143" t="s">
        <v>58</v>
      </c>
      <c r="D1155" s="143" t="s">
        <v>59</v>
      </c>
      <c r="E1155" s="143" t="s">
        <v>474</v>
      </c>
      <c r="F1155" s="144" t="n">
        <v>200025888604</v>
      </c>
      <c r="G1155" s="144" t="n">
        <v>81420</v>
      </c>
      <c r="H1155" s="144" t="n">
        <v>71</v>
      </c>
      <c r="I1155" s="144" t="s">
        <v>152</v>
      </c>
      <c r="J1155" s="151" t="n">
        <v>45056.9344791667</v>
      </c>
      <c r="K1155" s="1" t="n">
        <v>0</v>
      </c>
      <c r="L1155" s="144" t="n">
        <v>71</v>
      </c>
      <c r="M1155" s="1" t="n">
        <v>26</v>
      </c>
      <c r="N1155" s="1" t="n">
        <v>26</v>
      </c>
      <c r="O1155" s="149" t="n">
        <v>7</v>
      </c>
    </row>
    <row r="1156" customFormat="false" ht="14.25" hidden="false" customHeight="false" outlineLevel="0" collapsed="false">
      <c r="A1156" s="1" t="n">
        <v>198</v>
      </c>
      <c r="B1156" s="1" t="s">
        <v>476</v>
      </c>
      <c r="C1156" s="143" t="s">
        <v>58</v>
      </c>
      <c r="D1156" s="143" t="s">
        <v>59</v>
      </c>
      <c r="E1156" s="143" t="s">
        <v>474</v>
      </c>
      <c r="F1156" s="144" t="n">
        <v>200025888604</v>
      </c>
      <c r="G1156" s="144" t="n">
        <v>81420</v>
      </c>
      <c r="H1156" s="144" t="n">
        <v>71</v>
      </c>
      <c r="I1156" s="144" t="s">
        <v>152</v>
      </c>
      <c r="J1156" s="151" t="n">
        <v>45056.9413194444</v>
      </c>
      <c r="K1156" s="1" t="n">
        <v>1</v>
      </c>
      <c r="L1156" s="144" t="n">
        <v>71</v>
      </c>
      <c r="M1156" s="1" t="n">
        <v>26</v>
      </c>
      <c r="N1156" s="1" t="n">
        <v>26</v>
      </c>
      <c r="O1156" s="149" t="n">
        <v>8</v>
      </c>
    </row>
    <row r="1157" customFormat="false" ht="14.25" hidden="false" customHeight="false" outlineLevel="0" collapsed="false">
      <c r="A1157" s="1" t="n">
        <v>200</v>
      </c>
      <c r="B1157" s="1" t="s">
        <v>476</v>
      </c>
      <c r="C1157" s="143" t="s">
        <v>58</v>
      </c>
      <c r="D1157" s="143" t="s">
        <v>59</v>
      </c>
      <c r="E1157" s="143" t="s">
        <v>474</v>
      </c>
      <c r="F1157" s="144" t="n">
        <v>200025888604</v>
      </c>
      <c r="G1157" s="144" t="n">
        <v>81420</v>
      </c>
      <c r="H1157" s="144" t="n">
        <v>71</v>
      </c>
      <c r="I1157" s="144" t="s">
        <v>152</v>
      </c>
      <c r="J1157" s="151" t="n">
        <v>45056.94375</v>
      </c>
      <c r="K1157" s="1" t="n">
        <v>1</v>
      </c>
      <c r="L1157" s="144" t="n">
        <v>71</v>
      </c>
      <c r="M1157" s="1" t="n">
        <v>26</v>
      </c>
      <c r="N1157" s="1" t="n">
        <v>26</v>
      </c>
      <c r="O1157" s="149" t="n">
        <v>9</v>
      </c>
    </row>
    <row r="1158" customFormat="false" ht="14.25" hidden="false" customHeight="false" outlineLevel="0" collapsed="false">
      <c r="A1158" s="1" t="n">
        <v>204</v>
      </c>
      <c r="B1158" s="1" t="s">
        <v>476</v>
      </c>
      <c r="C1158" s="143" t="s">
        <v>58</v>
      </c>
      <c r="D1158" s="143" t="s">
        <v>59</v>
      </c>
      <c r="E1158" s="143" t="s">
        <v>474</v>
      </c>
      <c r="F1158" s="144" t="n">
        <v>200025888604</v>
      </c>
      <c r="G1158" s="144" t="n">
        <v>81420</v>
      </c>
      <c r="H1158" s="144" t="n">
        <v>71</v>
      </c>
      <c r="I1158" s="144" t="s">
        <v>152</v>
      </c>
      <c r="J1158" s="151" t="n">
        <v>45056.9562615741</v>
      </c>
      <c r="K1158" s="1" t="n">
        <v>1</v>
      </c>
      <c r="L1158" s="144" t="n">
        <v>71</v>
      </c>
      <c r="M1158" s="1" t="n">
        <v>26</v>
      </c>
      <c r="N1158" s="1" t="n">
        <v>26</v>
      </c>
      <c r="O1158" s="149" t="n">
        <v>10</v>
      </c>
    </row>
    <row r="1159" customFormat="false" ht="14.25" hidden="false" customHeight="false" outlineLevel="0" collapsed="false">
      <c r="A1159" s="1" t="n">
        <v>205</v>
      </c>
      <c r="B1159" s="1" t="s">
        <v>476</v>
      </c>
      <c r="C1159" s="143" t="s">
        <v>58</v>
      </c>
      <c r="D1159" s="143" t="s">
        <v>59</v>
      </c>
      <c r="E1159" s="143" t="s">
        <v>474</v>
      </c>
      <c r="F1159" s="144" t="n">
        <v>200025888604</v>
      </c>
      <c r="G1159" s="144" t="n">
        <v>81420</v>
      </c>
      <c r="H1159" s="144" t="n">
        <v>71</v>
      </c>
      <c r="I1159" s="144" t="s">
        <v>152</v>
      </c>
      <c r="J1159" s="151" t="n">
        <v>45056.9566435185</v>
      </c>
      <c r="K1159" s="1" t="n">
        <v>1</v>
      </c>
      <c r="L1159" s="144" t="n">
        <v>71</v>
      </c>
      <c r="M1159" s="1" t="n">
        <v>26</v>
      </c>
      <c r="N1159" s="1" t="n">
        <v>26</v>
      </c>
      <c r="O1159" s="149" t="n">
        <v>11</v>
      </c>
    </row>
    <row r="1160" customFormat="false" ht="14.25" hidden="false" customHeight="false" outlineLevel="0" collapsed="false">
      <c r="A1160" s="1" t="n">
        <v>206</v>
      </c>
      <c r="B1160" s="1" t="s">
        <v>476</v>
      </c>
      <c r="C1160" s="143" t="s">
        <v>58</v>
      </c>
      <c r="D1160" s="143" t="s">
        <v>59</v>
      </c>
      <c r="E1160" s="143" t="s">
        <v>474</v>
      </c>
      <c r="F1160" s="144" t="n">
        <v>200025888604</v>
      </c>
      <c r="G1160" s="144" t="n">
        <v>81420</v>
      </c>
      <c r="H1160" s="144" t="n">
        <v>71</v>
      </c>
      <c r="I1160" s="144" t="s">
        <v>152</v>
      </c>
      <c r="J1160" s="151" t="n">
        <v>45056.9625925926</v>
      </c>
      <c r="K1160" s="1" t="n">
        <v>2</v>
      </c>
      <c r="L1160" s="144" t="n">
        <v>71</v>
      </c>
      <c r="M1160" s="1" t="n">
        <v>26</v>
      </c>
      <c r="N1160" s="1" t="n">
        <v>26</v>
      </c>
      <c r="O1160" s="149" t="n">
        <v>12</v>
      </c>
    </row>
    <row r="1161" customFormat="false" ht="14.25" hidden="false" customHeight="false" outlineLevel="0" collapsed="false">
      <c r="A1161" s="1" t="n">
        <v>207</v>
      </c>
      <c r="B1161" s="1" t="s">
        <v>476</v>
      </c>
      <c r="C1161" s="143" t="s">
        <v>58</v>
      </c>
      <c r="D1161" s="143" t="s">
        <v>59</v>
      </c>
      <c r="E1161" s="143" t="s">
        <v>474</v>
      </c>
      <c r="F1161" s="144" t="n">
        <v>200025888604</v>
      </c>
      <c r="G1161" s="144" t="n">
        <v>81420</v>
      </c>
      <c r="H1161" s="144" t="n">
        <v>71</v>
      </c>
      <c r="I1161" s="144" t="s">
        <v>152</v>
      </c>
      <c r="J1161" s="151" t="n">
        <v>45056.9629861111</v>
      </c>
      <c r="K1161" s="1" t="n">
        <v>2</v>
      </c>
      <c r="L1161" s="144" t="n">
        <v>71</v>
      </c>
      <c r="M1161" s="1" t="n">
        <v>26</v>
      </c>
      <c r="N1161" s="1" t="n">
        <v>26</v>
      </c>
      <c r="O1161" s="149" t="n">
        <v>13</v>
      </c>
    </row>
    <row r="1162" customFormat="false" ht="14.25" hidden="false" customHeight="false" outlineLevel="0" collapsed="false">
      <c r="A1162" s="1" t="n">
        <v>208</v>
      </c>
      <c r="B1162" s="1" t="s">
        <v>476</v>
      </c>
      <c r="C1162" s="143" t="s">
        <v>58</v>
      </c>
      <c r="D1162" s="143" t="s">
        <v>59</v>
      </c>
      <c r="E1162" s="143" t="s">
        <v>474</v>
      </c>
      <c r="F1162" s="144" t="n">
        <v>200025888604</v>
      </c>
      <c r="G1162" s="144" t="n">
        <v>81420</v>
      </c>
      <c r="H1162" s="144" t="n">
        <v>71</v>
      </c>
      <c r="I1162" s="144" t="s">
        <v>152</v>
      </c>
      <c r="J1162" s="151" t="n">
        <v>45056.9641435185</v>
      </c>
      <c r="K1162" s="1" t="n">
        <v>1</v>
      </c>
      <c r="L1162" s="144" t="n">
        <v>71</v>
      </c>
      <c r="M1162" s="1" t="n">
        <v>26</v>
      </c>
      <c r="N1162" s="1" t="n">
        <v>26</v>
      </c>
      <c r="O1162" s="149" t="n">
        <v>14</v>
      </c>
    </row>
    <row r="1163" customFormat="false" ht="14.25" hidden="false" customHeight="false" outlineLevel="0" collapsed="false">
      <c r="A1163" s="1" t="n">
        <v>209</v>
      </c>
      <c r="B1163" s="1" t="s">
        <v>476</v>
      </c>
      <c r="C1163" s="143" t="s">
        <v>58</v>
      </c>
      <c r="D1163" s="143" t="s">
        <v>59</v>
      </c>
      <c r="E1163" s="143" t="s">
        <v>474</v>
      </c>
      <c r="F1163" s="144" t="n">
        <v>200025888604</v>
      </c>
      <c r="G1163" s="144" t="n">
        <v>81420</v>
      </c>
      <c r="H1163" s="144" t="n">
        <v>71</v>
      </c>
      <c r="I1163" s="144" t="s">
        <v>152</v>
      </c>
      <c r="J1163" s="151" t="n">
        <v>45056.9722337963</v>
      </c>
      <c r="K1163" s="1" t="n">
        <v>1</v>
      </c>
      <c r="L1163" s="144" t="n">
        <v>71</v>
      </c>
      <c r="M1163" s="1" t="n">
        <v>26</v>
      </c>
      <c r="N1163" s="1" t="n">
        <v>26</v>
      </c>
      <c r="O1163" s="149" t="n">
        <v>15</v>
      </c>
    </row>
    <row r="1164" customFormat="false" ht="14.25" hidden="false" customHeight="false" outlineLevel="0" collapsed="false">
      <c r="A1164" s="1" t="n">
        <v>170</v>
      </c>
      <c r="B1164" s="1" t="s">
        <v>477</v>
      </c>
      <c r="C1164" s="143" t="n">
        <v>91601</v>
      </c>
      <c r="D1164" s="143" t="s">
        <v>64</v>
      </c>
      <c r="E1164" s="143" t="s">
        <v>474</v>
      </c>
      <c r="F1164" s="144" t="n">
        <v>200025888604</v>
      </c>
      <c r="G1164" s="144" t="n">
        <v>81420</v>
      </c>
      <c r="H1164" s="144" t="n">
        <v>71</v>
      </c>
      <c r="I1164" s="144" t="s">
        <v>152</v>
      </c>
      <c r="J1164" s="152" t="n">
        <v>45057.1991550926</v>
      </c>
      <c r="K1164" s="1" t="n">
        <v>1</v>
      </c>
      <c r="L1164" s="144" t="n">
        <v>71</v>
      </c>
      <c r="M1164" s="1" t="n">
        <v>26</v>
      </c>
      <c r="N1164" s="1" t="n">
        <v>26</v>
      </c>
      <c r="O1164" s="149" t="n">
        <v>16</v>
      </c>
    </row>
    <row r="1165" customFormat="false" ht="14.25" hidden="false" customHeight="false" outlineLevel="0" collapsed="false">
      <c r="A1165" s="1" t="n">
        <v>171</v>
      </c>
      <c r="B1165" s="1" t="s">
        <v>477</v>
      </c>
      <c r="C1165" s="143" t="n">
        <v>91601</v>
      </c>
      <c r="D1165" s="143" t="s">
        <v>64</v>
      </c>
      <c r="E1165" s="143" t="s">
        <v>474</v>
      </c>
      <c r="F1165" s="144" t="n">
        <v>200025888604</v>
      </c>
      <c r="G1165" s="144" t="n">
        <v>81420</v>
      </c>
      <c r="H1165" s="144" t="n">
        <v>71</v>
      </c>
      <c r="I1165" s="144" t="s">
        <v>152</v>
      </c>
      <c r="J1165" s="152" t="n">
        <v>45057.1993171296</v>
      </c>
      <c r="K1165" s="1" t="n">
        <v>1</v>
      </c>
      <c r="L1165" s="144" t="n">
        <v>71</v>
      </c>
      <c r="M1165" s="1" t="n">
        <v>26</v>
      </c>
      <c r="N1165" s="1" t="n">
        <v>26</v>
      </c>
      <c r="O1165" s="149" t="n">
        <v>17</v>
      </c>
    </row>
    <row r="1166" customFormat="false" ht="14.25" hidden="false" customHeight="false" outlineLevel="0" collapsed="false">
      <c r="A1166" s="1" t="n">
        <v>172</v>
      </c>
      <c r="B1166" s="1" t="s">
        <v>477</v>
      </c>
      <c r="C1166" s="143" t="n">
        <v>91601</v>
      </c>
      <c r="D1166" s="143" t="s">
        <v>64</v>
      </c>
      <c r="E1166" s="143" t="s">
        <v>474</v>
      </c>
      <c r="F1166" s="144" t="n">
        <v>200025888604</v>
      </c>
      <c r="G1166" s="144" t="n">
        <v>81420</v>
      </c>
      <c r="H1166" s="144" t="n">
        <v>71</v>
      </c>
      <c r="I1166" s="144" t="s">
        <v>152</v>
      </c>
      <c r="J1166" s="152" t="n">
        <v>45057.199837963</v>
      </c>
      <c r="K1166" s="1" t="n">
        <v>1</v>
      </c>
      <c r="L1166" s="144" t="n">
        <v>71</v>
      </c>
      <c r="M1166" s="1" t="n">
        <v>26</v>
      </c>
      <c r="N1166" s="1" t="n">
        <v>26</v>
      </c>
      <c r="O1166" s="149" t="n">
        <v>18</v>
      </c>
    </row>
    <row r="1167" customFormat="false" ht="14.25" hidden="false" customHeight="false" outlineLevel="0" collapsed="false">
      <c r="A1167" s="1" t="n">
        <v>173</v>
      </c>
      <c r="B1167" s="1" t="s">
        <v>477</v>
      </c>
      <c r="C1167" s="143" t="n">
        <v>91601</v>
      </c>
      <c r="D1167" s="143" t="s">
        <v>64</v>
      </c>
      <c r="E1167" s="143" t="s">
        <v>474</v>
      </c>
      <c r="F1167" s="144" t="n">
        <v>200025888604</v>
      </c>
      <c r="G1167" s="144" t="n">
        <v>81420</v>
      </c>
      <c r="H1167" s="144" t="n">
        <v>71</v>
      </c>
      <c r="I1167" s="144" t="s">
        <v>152</v>
      </c>
      <c r="J1167" s="152" t="n">
        <v>45057.2001967593</v>
      </c>
      <c r="K1167" s="1" t="n">
        <v>2</v>
      </c>
      <c r="L1167" s="144" t="n">
        <v>71</v>
      </c>
      <c r="M1167" s="1" t="n">
        <v>26</v>
      </c>
      <c r="N1167" s="1" t="n">
        <v>26</v>
      </c>
      <c r="O1167" s="149" t="n">
        <v>19</v>
      </c>
    </row>
    <row r="1168" customFormat="false" ht="14.25" hidden="false" customHeight="false" outlineLevel="0" collapsed="false">
      <c r="A1168" s="1" t="n">
        <v>174</v>
      </c>
      <c r="B1168" s="1" t="s">
        <v>477</v>
      </c>
      <c r="C1168" s="143" t="n">
        <v>91601</v>
      </c>
      <c r="D1168" s="143" t="s">
        <v>64</v>
      </c>
      <c r="E1168" s="143" t="s">
        <v>474</v>
      </c>
      <c r="F1168" s="144" t="n">
        <v>200025888604</v>
      </c>
      <c r="G1168" s="144" t="n">
        <v>81420</v>
      </c>
      <c r="H1168" s="144" t="n">
        <v>71</v>
      </c>
      <c r="I1168" s="144" t="s">
        <v>152</v>
      </c>
      <c r="J1168" s="152" t="n">
        <v>45057.2009375</v>
      </c>
      <c r="K1168" s="1" t="n">
        <v>1</v>
      </c>
      <c r="L1168" s="144" t="n">
        <v>71</v>
      </c>
      <c r="M1168" s="1" t="n">
        <v>26</v>
      </c>
      <c r="N1168" s="1" t="n">
        <v>26</v>
      </c>
      <c r="O1168" s="149" t="n">
        <v>20</v>
      </c>
    </row>
    <row r="1169" customFormat="false" ht="14.25" hidden="false" customHeight="false" outlineLevel="0" collapsed="false">
      <c r="A1169" s="1" t="n">
        <v>175</v>
      </c>
      <c r="B1169" s="1" t="s">
        <v>477</v>
      </c>
      <c r="C1169" s="143" t="n">
        <v>91601</v>
      </c>
      <c r="D1169" s="143" t="s">
        <v>64</v>
      </c>
      <c r="E1169" s="143" t="s">
        <v>474</v>
      </c>
      <c r="F1169" s="144" t="n">
        <v>200025888604</v>
      </c>
      <c r="G1169" s="144" t="n">
        <v>81420</v>
      </c>
      <c r="H1169" s="144" t="n">
        <v>71</v>
      </c>
      <c r="I1169" s="144" t="s">
        <v>152</v>
      </c>
      <c r="J1169" s="152" t="n">
        <v>45057.2015625</v>
      </c>
      <c r="K1169" s="1" t="n">
        <v>3</v>
      </c>
      <c r="L1169" s="144" t="n">
        <v>71</v>
      </c>
      <c r="M1169" s="1" t="n">
        <v>26</v>
      </c>
      <c r="N1169" s="1" t="n">
        <v>26</v>
      </c>
      <c r="O1169" s="149" t="n">
        <v>21</v>
      </c>
    </row>
    <row r="1170" customFormat="false" ht="14.25" hidden="false" customHeight="false" outlineLevel="0" collapsed="false">
      <c r="A1170" s="1" t="n">
        <v>176</v>
      </c>
      <c r="B1170" s="1" t="s">
        <v>477</v>
      </c>
      <c r="C1170" s="143" t="n">
        <v>91601</v>
      </c>
      <c r="D1170" s="143" t="s">
        <v>64</v>
      </c>
      <c r="E1170" s="143" t="s">
        <v>474</v>
      </c>
      <c r="F1170" s="144" t="n">
        <v>200025888604</v>
      </c>
      <c r="G1170" s="144" t="n">
        <v>81420</v>
      </c>
      <c r="H1170" s="144" t="n">
        <v>71</v>
      </c>
      <c r="I1170" s="144" t="s">
        <v>152</v>
      </c>
      <c r="J1170" s="152" t="n">
        <v>45057.2022222222</v>
      </c>
      <c r="K1170" s="1" t="n">
        <v>3</v>
      </c>
      <c r="L1170" s="144" t="n">
        <v>71</v>
      </c>
      <c r="M1170" s="1" t="n">
        <v>26</v>
      </c>
      <c r="N1170" s="1" t="n">
        <v>26</v>
      </c>
      <c r="O1170" s="149" t="n">
        <v>22</v>
      </c>
    </row>
    <row r="1171" customFormat="false" ht="14.25" hidden="false" customHeight="false" outlineLevel="0" collapsed="false">
      <c r="A1171" s="1" t="n">
        <v>177</v>
      </c>
      <c r="B1171" s="1" t="s">
        <v>477</v>
      </c>
      <c r="C1171" s="143" t="n">
        <v>91601</v>
      </c>
      <c r="D1171" s="143" t="s">
        <v>64</v>
      </c>
      <c r="E1171" s="143" t="s">
        <v>474</v>
      </c>
      <c r="F1171" s="144" t="n">
        <v>200025888604</v>
      </c>
      <c r="G1171" s="144" t="n">
        <v>81420</v>
      </c>
      <c r="H1171" s="144" t="n">
        <v>71</v>
      </c>
      <c r="I1171" s="144" t="s">
        <v>152</v>
      </c>
      <c r="J1171" s="152" t="n">
        <v>45057.2026273148</v>
      </c>
      <c r="K1171" s="1" t="n">
        <v>16</v>
      </c>
      <c r="L1171" s="144" t="n">
        <v>71</v>
      </c>
      <c r="M1171" s="1" t="n">
        <v>26</v>
      </c>
      <c r="N1171" s="1" t="n">
        <v>26</v>
      </c>
      <c r="O1171" s="149" t="n">
        <v>23</v>
      </c>
    </row>
    <row r="1172" customFormat="false" ht="14.25" hidden="false" customHeight="false" outlineLevel="0" collapsed="false">
      <c r="A1172" s="1" t="n">
        <v>178</v>
      </c>
      <c r="B1172" s="1" t="s">
        <v>477</v>
      </c>
      <c r="C1172" s="143" t="n">
        <v>91601</v>
      </c>
      <c r="D1172" s="143" t="s">
        <v>64</v>
      </c>
      <c r="E1172" s="143" t="s">
        <v>474</v>
      </c>
      <c r="F1172" s="144" t="n">
        <v>200025888604</v>
      </c>
      <c r="G1172" s="144" t="n">
        <v>81420</v>
      </c>
      <c r="H1172" s="144" t="n">
        <v>71</v>
      </c>
      <c r="I1172" s="144" t="s">
        <v>152</v>
      </c>
      <c r="J1172" s="152" t="n">
        <v>45057.2028125</v>
      </c>
      <c r="K1172" s="1" t="n">
        <v>1</v>
      </c>
      <c r="L1172" s="144" t="n">
        <v>71</v>
      </c>
      <c r="M1172" s="1" t="n">
        <v>26</v>
      </c>
      <c r="N1172" s="1" t="n">
        <v>26</v>
      </c>
      <c r="O1172" s="149" t="n">
        <v>24</v>
      </c>
    </row>
    <row r="1173" customFormat="false" ht="14.25" hidden="false" customHeight="false" outlineLevel="0" collapsed="false">
      <c r="A1173" s="1" t="n">
        <v>179</v>
      </c>
      <c r="B1173" s="1" t="s">
        <v>477</v>
      </c>
      <c r="C1173" s="143" t="n">
        <v>91601</v>
      </c>
      <c r="D1173" s="143" t="s">
        <v>64</v>
      </c>
      <c r="E1173" s="143" t="s">
        <v>474</v>
      </c>
      <c r="F1173" s="144" t="n">
        <v>200025888604</v>
      </c>
      <c r="G1173" s="144" t="n">
        <v>81420</v>
      </c>
      <c r="H1173" s="144" t="n">
        <v>71</v>
      </c>
      <c r="I1173" s="144" t="s">
        <v>152</v>
      </c>
      <c r="J1173" s="152" t="n">
        <v>45057.2032638889</v>
      </c>
      <c r="K1173" s="1" t="n">
        <v>2</v>
      </c>
      <c r="L1173" s="144" t="n">
        <v>71</v>
      </c>
      <c r="M1173" s="1" t="n">
        <v>26</v>
      </c>
      <c r="N1173" s="1" t="n">
        <v>26</v>
      </c>
      <c r="O1173" s="149" t="n">
        <v>25</v>
      </c>
    </row>
    <row r="1174" customFormat="false" ht="14.25" hidden="false" customHeight="false" outlineLevel="0" collapsed="false">
      <c r="A1174" s="1" t="n">
        <v>180</v>
      </c>
      <c r="B1174" s="1" t="s">
        <v>477</v>
      </c>
      <c r="C1174" s="143" t="n">
        <v>91601</v>
      </c>
      <c r="D1174" s="143" t="s">
        <v>64</v>
      </c>
      <c r="E1174" s="143" t="s">
        <v>474</v>
      </c>
      <c r="F1174" s="144" t="n">
        <v>200025888604</v>
      </c>
      <c r="G1174" s="144" t="n">
        <v>81420</v>
      </c>
      <c r="H1174" s="144" t="n">
        <v>71</v>
      </c>
      <c r="I1174" s="144" t="s">
        <v>152</v>
      </c>
      <c r="J1174" s="152" t="n">
        <v>45057.2034259259</v>
      </c>
      <c r="K1174" s="1" t="n">
        <v>2</v>
      </c>
      <c r="L1174" s="144" t="n">
        <v>71</v>
      </c>
      <c r="M1174" s="1" t="n">
        <v>26</v>
      </c>
      <c r="N1174" s="1" t="n">
        <v>26</v>
      </c>
      <c r="O1174" s="149" t="n">
        <v>26</v>
      </c>
    </row>
    <row r="1175" customFormat="false" ht="14.25" hidden="false" customHeight="false" outlineLevel="0" collapsed="false">
      <c r="A1175" s="1" t="n">
        <v>181</v>
      </c>
      <c r="B1175" s="1" t="s">
        <v>477</v>
      </c>
      <c r="C1175" s="143" t="n">
        <v>91601</v>
      </c>
      <c r="D1175" s="143" t="s">
        <v>64</v>
      </c>
      <c r="E1175" s="143" t="s">
        <v>474</v>
      </c>
      <c r="F1175" s="144" t="n">
        <v>200025888604</v>
      </c>
      <c r="G1175" s="144" t="n">
        <v>81420</v>
      </c>
      <c r="H1175" s="144" t="n">
        <v>71</v>
      </c>
      <c r="I1175" s="144" t="s">
        <v>152</v>
      </c>
      <c r="J1175" s="152" t="n">
        <v>45057.2040509259</v>
      </c>
      <c r="K1175" s="1" t="n">
        <v>1</v>
      </c>
      <c r="L1175" s="144" t="n">
        <v>71</v>
      </c>
      <c r="M1175" s="1" t="n">
        <v>26</v>
      </c>
      <c r="N1175" s="1" t="n">
        <v>26</v>
      </c>
      <c r="O1175" s="149" t="n">
        <v>27</v>
      </c>
    </row>
    <row r="1176" customFormat="false" ht="14.25" hidden="false" customHeight="false" outlineLevel="0" collapsed="false">
      <c r="A1176" s="1" t="n">
        <v>182</v>
      </c>
      <c r="B1176" s="1" t="s">
        <v>477</v>
      </c>
      <c r="C1176" s="143" t="n">
        <v>91601</v>
      </c>
      <c r="D1176" s="143" t="s">
        <v>64</v>
      </c>
      <c r="E1176" s="143" t="s">
        <v>474</v>
      </c>
      <c r="F1176" s="144" t="n">
        <v>200025888604</v>
      </c>
      <c r="G1176" s="144" t="n">
        <v>81420</v>
      </c>
      <c r="H1176" s="144" t="n">
        <v>71</v>
      </c>
      <c r="I1176" s="144" t="s">
        <v>152</v>
      </c>
      <c r="J1176" s="152" t="n">
        <v>45057.2045717593</v>
      </c>
      <c r="K1176" s="1" t="n">
        <v>1</v>
      </c>
      <c r="L1176" s="144" t="n">
        <v>71</v>
      </c>
      <c r="M1176" s="1" t="n">
        <v>26</v>
      </c>
      <c r="N1176" s="1" t="n">
        <v>26</v>
      </c>
      <c r="O1176" s="149" t="n">
        <v>28</v>
      </c>
    </row>
    <row r="1177" customFormat="false" ht="14.25" hidden="false" customHeight="false" outlineLevel="0" collapsed="false">
      <c r="A1177" s="1" t="n">
        <v>183</v>
      </c>
      <c r="B1177" s="1" t="s">
        <v>477</v>
      </c>
      <c r="C1177" s="143" t="n">
        <v>91601</v>
      </c>
      <c r="D1177" s="143" t="s">
        <v>64</v>
      </c>
      <c r="E1177" s="143" t="s">
        <v>474</v>
      </c>
      <c r="F1177" s="144" t="n">
        <v>200025888604</v>
      </c>
      <c r="G1177" s="144" t="n">
        <v>81420</v>
      </c>
      <c r="H1177" s="144" t="n">
        <v>71</v>
      </c>
      <c r="I1177" s="144" t="s">
        <v>152</v>
      </c>
      <c r="J1177" s="152" t="n">
        <v>45057.210162037</v>
      </c>
      <c r="K1177" s="1" t="n">
        <v>3</v>
      </c>
      <c r="L1177" s="144" t="n">
        <v>71</v>
      </c>
      <c r="M1177" s="1" t="n">
        <v>26</v>
      </c>
      <c r="N1177" s="1" t="n">
        <v>26</v>
      </c>
      <c r="O1177" s="149" t="n">
        <v>29</v>
      </c>
    </row>
    <row r="1178" customFormat="false" ht="14.25" hidden="false" customHeight="false" outlineLevel="0" collapsed="false">
      <c r="A1178" s="1" t="n">
        <v>184</v>
      </c>
      <c r="B1178" s="1" t="s">
        <v>477</v>
      </c>
      <c r="C1178" s="143" t="n">
        <v>91601</v>
      </c>
      <c r="D1178" s="143" t="s">
        <v>64</v>
      </c>
      <c r="E1178" s="143" t="s">
        <v>474</v>
      </c>
      <c r="F1178" s="144" t="n">
        <v>200025888604</v>
      </c>
      <c r="G1178" s="144" t="n">
        <v>81420</v>
      </c>
      <c r="H1178" s="144" t="n">
        <v>71</v>
      </c>
      <c r="I1178" s="144" t="s">
        <v>152</v>
      </c>
      <c r="J1178" s="152" t="n">
        <v>45057.2101851852</v>
      </c>
      <c r="K1178" s="1" t="n">
        <v>1</v>
      </c>
      <c r="L1178" s="144" t="n">
        <v>71</v>
      </c>
      <c r="M1178" s="1" t="n">
        <v>26</v>
      </c>
      <c r="N1178" s="1" t="n">
        <v>26</v>
      </c>
      <c r="O1178" s="149" t="n">
        <v>30</v>
      </c>
    </row>
    <row r="1179" customFormat="false" ht="14.25" hidden="false" customHeight="false" outlineLevel="0" collapsed="false">
      <c r="A1179" s="1" t="n">
        <v>185</v>
      </c>
      <c r="B1179" s="1" t="s">
        <v>477</v>
      </c>
      <c r="C1179" s="143" t="n">
        <v>91601</v>
      </c>
      <c r="D1179" s="143" t="s">
        <v>64</v>
      </c>
      <c r="E1179" s="143" t="s">
        <v>474</v>
      </c>
      <c r="F1179" s="144" t="n">
        <v>200025888604</v>
      </c>
      <c r="G1179" s="144" t="n">
        <v>81420</v>
      </c>
      <c r="H1179" s="144" t="n">
        <v>71</v>
      </c>
      <c r="I1179" s="144" t="s">
        <v>152</v>
      </c>
      <c r="J1179" s="152" t="n">
        <v>45057.2157638889</v>
      </c>
      <c r="K1179" s="1" t="n">
        <v>1</v>
      </c>
      <c r="L1179" s="144" t="n">
        <v>71</v>
      </c>
      <c r="M1179" s="1" t="n">
        <v>26</v>
      </c>
      <c r="N1179" s="1" t="n">
        <v>26</v>
      </c>
      <c r="O1179" s="149" t="n">
        <v>31</v>
      </c>
    </row>
    <row r="1180" customFormat="false" ht="14.25" hidden="false" customHeight="false" outlineLevel="0" collapsed="false">
      <c r="A1180" s="1" t="n">
        <v>186</v>
      </c>
      <c r="B1180" s="1" t="s">
        <v>477</v>
      </c>
      <c r="C1180" s="143" t="n">
        <v>91601</v>
      </c>
      <c r="D1180" s="143" t="s">
        <v>64</v>
      </c>
      <c r="E1180" s="143" t="s">
        <v>474</v>
      </c>
      <c r="F1180" s="144" t="n">
        <v>200025888604</v>
      </c>
      <c r="G1180" s="144" t="n">
        <v>81420</v>
      </c>
      <c r="H1180" s="144" t="n">
        <v>71</v>
      </c>
      <c r="I1180" s="144" t="s">
        <v>152</v>
      </c>
      <c r="J1180" s="152" t="n">
        <v>45057.2161226852</v>
      </c>
      <c r="K1180" s="1" t="n">
        <v>3</v>
      </c>
      <c r="L1180" s="144" t="n">
        <v>71</v>
      </c>
      <c r="M1180" s="1" t="n">
        <v>26</v>
      </c>
      <c r="N1180" s="1" t="n">
        <v>26</v>
      </c>
      <c r="O1180" s="149" t="n">
        <v>32</v>
      </c>
    </row>
    <row r="1181" customFormat="false" ht="14.25" hidden="false" customHeight="false" outlineLevel="0" collapsed="false">
      <c r="A1181" s="1" t="n">
        <v>187</v>
      </c>
      <c r="B1181" s="1" t="s">
        <v>477</v>
      </c>
      <c r="C1181" s="143" t="n">
        <v>91601</v>
      </c>
      <c r="D1181" s="143" t="s">
        <v>64</v>
      </c>
      <c r="E1181" s="143" t="s">
        <v>474</v>
      </c>
      <c r="F1181" s="144" t="n">
        <v>200025888604</v>
      </c>
      <c r="G1181" s="144" t="n">
        <v>81420</v>
      </c>
      <c r="H1181" s="144" t="n">
        <v>71</v>
      </c>
      <c r="I1181" s="144" t="s">
        <v>152</v>
      </c>
      <c r="J1181" s="152" t="n">
        <v>45057.2161574074</v>
      </c>
      <c r="K1181" s="1" t="n">
        <v>3</v>
      </c>
      <c r="L1181" s="144" t="n">
        <v>71</v>
      </c>
      <c r="M1181" s="1" t="n">
        <v>26</v>
      </c>
      <c r="N1181" s="1" t="n">
        <v>26</v>
      </c>
      <c r="O1181" s="149" t="n">
        <v>33</v>
      </c>
    </row>
    <row r="1182" customFormat="false" ht="14.25" hidden="false" customHeight="false" outlineLevel="0" collapsed="false">
      <c r="A1182" s="1" t="n">
        <v>143</v>
      </c>
      <c r="B1182" s="1" t="s">
        <v>477</v>
      </c>
      <c r="C1182" s="143" t="n">
        <v>91601</v>
      </c>
      <c r="D1182" s="143" t="s">
        <v>64</v>
      </c>
      <c r="E1182" s="143" t="s">
        <v>474</v>
      </c>
      <c r="F1182" s="144" t="n">
        <v>200025888264</v>
      </c>
      <c r="G1182" s="144" t="s">
        <v>209</v>
      </c>
      <c r="H1182" s="144" t="n">
        <v>53</v>
      </c>
      <c r="I1182" s="144" t="s">
        <v>152</v>
      </c>
      <c r="J1182" s="152" t="n">
        <v>45056.8732175926</v>
      </c>
      <c r="K1182" s="1" t="n">
        <v>3</v>
      </c>
      <c r="L1182" s="144" t="n">
        <v>53</v>
      </c>
      <c r="M1182" s="1" t="n">
        <v>27</v>
      </c>
      <c r="N1182" s="1" t="n">
        <v>27</v>
      </c>
      <c r="O1182" s="149" t="n">
        <v>1</v>
      </c>
    </row>
    <row r="1183" customFormat="false" ht="14.25" hidden="false" customHeight="false" outlineLevel="0" collapsed="false">
      <c r="A1183" s="1" t="n">
        <v>212</v>
      </c>
      <c r="B1183" s="1" t="s">
        <v>477</v>
      </c>
      <c r="C1183" s="143" t="n">
        <v>91601</v>
      </c>
      <c r="D1183" s="143" t="s">
        <v>64</v>
      </c>
      <c r="E1183" s="143" t="s">
        <v>474</v>
      </c>
      <c r="F1183" s="144" t="n">
        <v>200025888264</v>
      </c>
      <c r="G1183" s="144" t="s">
        <v>209</v>
      </c>
      <c r="H1183" s="144" t="n">
        <v>53</v>
      </c>
      <c r="I1183" s="144" t="s">
        <v>152</v>
      </c>
      <c r="J1183" s="152" t="n">
        <v>45057.6084953704</v>
      </c>
      <c r="K1183" s="1" t="n">
        <v>1</v>
      </c>
      <c r="L1183" s="144" t="n">
        <v>53</v>
      </c>
      <c r="M1183" s="1" t="n">
        <v>27</v>
      </c>
      <c r="N1183" s="1" t="n">
        <v>27</v>
      </c>
      <c r="O1183" s="149" t="n">
        <v>2</v>
      </c>
    </row>
    <row r="1184" customFormat="false" ht="14.25" hidden="false" customHeight="false" outlineLevel="0" collapsed="false">
      <c r="A1184" s="1" t="n">
        <v>20</v>
      </c>
      <c r="B1184" s="1" t="s">
        <v>490</v>
      </c>
      <c r="C1184" s="143" t="n">
        <v>11171</v>
      </c>
      <c r="D1184" s="143" t="s">
        <v>74</v>
      </c>
      <c r="E1184" s="143" t="s">
        <v>474</v>
      </c>
      <c r="F1184" s="144" t="n">
        <v>200025888264</v>
      </c>
      <c r="G1184" s="144" t="s">
        <v>209</v>
      </c>
      <c r="H1184" s="144" t="n">
        <v>53</v>
      </c>
      <c r="I1184" s="144" t="s">
        <v>152</v>
      </c>
      <c r="J1184" s="151" t="n">
        <v>45069.4529050926</v>
      </c>
      <c r="K1184" s="1" t="n">
        <v>0</v>
      </c>
      <c r="L1184" s="144" t="n">
        <v>53</v>
      </c>
      <c r="M1184" s="1" t="n">
        <v>27</v>
      </c>
      <c r="N1184" s="1" t="n">
        <v>27</v>
      </c>
      <c r="O1184" s="149" t="n">
        <v>3</v>
      </c>
    </row>
    <row r="1185" customFormat="false" ht="14.25" hidden="false" customHeight="false" outlineLevel="0" collapsed="false">
      <c r="A1185" s="1" t="n">
        <v>47</v>
      </c>
      <c r="B1185" s="1" t="s">
        <v>476</v>
      </c>
      <c r="C1185" s="143" t="n">
        <v>91601</v>
      </c>
      <c r="D1185" s="143" t="s">
        <v>65</v>
      </c>
      <c r="E1185" s="143" t="s">
        <v>474</v>
      </c>
      <c r="F1185" s="144" t="n">
        <v>200025888264</v>
      </c>
      <c r="G1185" s="144" t="s">
        <v>209</v>
      </c>
      <c r="H1185" s="144" t="n">
        <v>53</v>
      </c>
      <c r="I1185" s="144" t="s">
        <v>152</v>
      </c>
      <c r="J1185" s="151" t="n">
        <v>45070.5446180556</v>
      </c>
      <c r="K1185" s="1" t="n">
        <v>1</v>
      </c>
      <c r="L1185" s="144" t="n">
        <v>53</v>
      </c>
      <c r="M1185" s="1" t="n">
        <v>27</v>
      </c>
      <c r="N1185" s="1" t="n">
        <v>27</v>
      </c>
      <c r="O1185" s="149" t="n">
        <v>4</v>
      </c>
    </row>
    <row r="1186" customFormat="false" ht="14.25" hidden="false" customHeight="false" outlineLevel="0" collapsed="false">
      <c r="A1186" s="1" t="n">
        <v>321</v>
      </c>
      <c r="B1186" s="1" t="s">
        <v>478</v>
      </c>
      <c r="C1186" s="143" t="n">
        <v>91601</v>
      </c>
      <c r="D1186" s="143" t="s">
        <v>65</v>
      </c>
      <c r="E1186" s="143" t="s">
        <v>474</v>
      </c>
      <c r="F1186" s="144" t="n">
        <v>200025888264</v>
      </c>
      <c r="G1186" s="144" t="s">
        <v>209</v>
      </c>
      <c r="H1186" s="144" t="n">
        <v>53</v>
      </c>
      <c r="I1186" s="144" t="s">
        <v>152</v>
      </c>
      <c r="J1186" s="151" t="n">
        <v>45077.4548726852</v>
      </c>
      <c r="K1186" s="1" t="n">
        <v>1</v>
      </c>
      <c r="L1186" s="144" t="n">
        <v>53</v>
      </c>
      <c r="M1186" s="1" t="n">
        <v>27</v>
      </c>
      <c r="N1186" s="1" t="n">
        <v>27</v>
      </c>
      <c r="O1186" s="149" t="n">
        <v>5</v>
      </c>
    </row>
    <row r="1187" customFormat="false" ht="14.25" hidden="false" customHeight="false" outlineLevel="0" collapsed="false">
      <c r="A1187" s="1" t="n">
        <v>322</v>
      </c>
      <c r="B1187" s="1" t="s">
        <v>478</v>
      </c>
      <c r="C1187" s="143" t="n">
        <v>91601</v>
      </c>
      <c r="D1187" s="143" t="s">
        <v>65</v>
      </c>
      <c r="E1187" s="143" t="s">
        <v>474</v>
      </c>
      <c r="F1187" s="144" t="n">
        <v>200025888264</v>
      </c>
      <c r="G1187" s="144" t="s">
        <v>209</v>
      </c>
      <c r="H1187" s="144" t="n">
        <v>53</v>
      </c>
      <c r="I1187" s="144" t="s">
        <v>152</v>
      </c>
      <c r="J1187" s="151" t="n">
        <v>45077.4555439815</v>
      </c>
      <c r="K1187" s="1" t="n">
        <v>2</v>
      </c>
      <c r="L1187" s="144" t="n">
        <v>53</v>
      </c>
      <c r="M1187" s="1" t="n">
        <v>27</v>
      </c>
      <c r="N1187" s="1" t="n">
        <v>27</v>
      </c>
      <c r="O1187" s="149" t="n">
        <v>6</v>
      </c>
    </row>
    <row r="1188" customFormat="false" ht="14.25" hidden="false" customHeight="false" outlineLevel="0" collapsed="false">
      <c r="A1188" s="1" t="n">
        <v>323</v>
      </c>
      <c r="B1188" s="1" t="s">
        <v>478</v>
      </c>
      <c r="C1188" s="143" t="n">
        <v>91601</v>
      </c>
      <c r="D1188" s="143" t="s">
        <v>65</v>
      </c>
      <c r="E1188" s="143" t="s">
        <v>474</v>
      </c>
      <c r="F1188" s="144" t="n">
        <v>200025888264</v>
      </c>
      <c r="G1188" s="144" t="s">
        <v>209</v>
      </c>
      <c r="H1188" s="144" t="n">
        <v>53</v>
      </c>
      <c r="I1188" s="144" t="s">
        <v>152</v>
      </c>
      <c r="J1188" s="151" t="n">
        <v>45077.455775463</v>
      </c>
      <c r="K1188" s="1" t="n">
        <v>1</v>
      </c>
      <c r="L1188" s="144" t="n">
        <v>53</v>
      </c>
      <c r="M1188" s="1" t="n">
        <v>27</v>
      </c>
      <c r="N1188" s="1" t="n">
        <v>27</v>
      </c>
      <c r="O1188" s="149" t="n">
        <v>7</v>
      </c>
    </row>
    <row r="1189" customFormat="false" ht="14.25" hidden="false" customHeight="false" outlineLevel="0" collapsed="false">
      <c r="A1189" s="1" t="n">
        <v>324</v>
      </c>
      <c r="B1189" s="1" t="s">
        <v>478</v>
      </c>
      <c r="C1189" s="143" t="n">
        <v>91601</v>
      </c>
      <c r="D1189" s="143" t="s">
        <v>65</v>
      </c>
      <c r="E1189" s="143" t="s">
        <v>474</v>
      </c>
      <c r="F1189" s="144" t="n">
        <v>200025888264</v>
      </c>
      <c r="G1189" s="144" t="s">
        <v>209</v>
      </c>
      <c r="H1189" s="144" t="n">
        <v>53</v>
      </c>
      <c r="I1189" s="144" t="s">
        <v>152</v>
      </c>
      <c r="J1189" s="151" t="n">
        <v>45077.4557986111</v>
      </c>
      <c r="K1189" s="1" t="n">
        <v>1</v>
      </c>
      <c r="L1189" s="144" t="n">
        <v>53</v>
      </c>
      <c r="M1189" s="1" t="n">
        <v>27</v>
      </c>
      <c r="N1189" s="1" t="n">
        <v>27</v>
      </c>
      <c r="O1189" s="149" t="n">
        <v>8</v>
      </c>
    </row>
    <row r="1190" customFormat="false" ht="14.25" hidden="false" customHeight="false" outlineLevel="0" collapsed="false">
      <c r="A1190" s="1" t="n">
        <v>210</v>
      </c>
      <c r="B1190" s="1" t="s">
        <v>476</v>
      </c>
      <c r="C1190" s="143" t="s">
        <v>58</v>
      </c>
      <c r="D1190" s="143" t="s">
        <v>59</v>
      </c>
      <c r="E1190" s="143" t="s">
        <v>474</v>
      </c>
      <c r="F1190" s="144" t="n">
        <v>200025888615</v>
      </c>
      <c r="G1190" s="144" t="s">
        <v>354</v>
      </c>
      <c r="H1190" s="144" t="n">
        <v>68</v>
      </c>
      <c r="I1190" s="144" t="s">
        <v>152</v>
      </c>
      <c r="J1190" s="151" t="n">
        <v>45056.9733564815</v>
      </c>
      <c r="K1190" s="1" t="n">
        <v>1</v>
      </c>
      <c r="L1190" s="144" t="n">
        <v>68</v>
      </c>
      <c r="M1190" s="1" t="n">
        <v>28</v>
      </c>
      <c r="N1190" s="1" t="n">
        <v>28</v>
      </c>
      <c r="O1190" s="149" t="n">
        <v>1</v>
      </c>
    </row>
    <row r="1191" customFormat="false" ht="14.25" hidden="false" customHeight="false" outlineLevel="0" collapsed="false">
      <c r="A1191" s="1" t="n">
        <v>212</v>
      </c>
      <c r="B1191" s="1" t="s">
        <v>476</v>
      </c>
      <c r="C1191" s="143" t="s">
        <v>58</v>
      </c>
      <c r="D1191" s="143" t="s">
        <v>59</v>
      </c>
      <c r="E1191" s="143" t="s">
        <v>474</v>
      </c>
      <c r="F1191" s="144" t="n">
        <v>200025888615</v>
      </c>
      <c r="G1191" s="144" t="s">
        <v>354</v>
      </c>
      <c r="H1191" s="144" t="n">
        <v>68</v>
      </c>
      <c r="I1191" s="144" t="s">
        <v>152</v>
      </c>
      <c r="J1191" s="151" t="n">
        <v>45056.9770601852</v>
      </c>
      <c r="K1191" s="1" t="n">
        <v>1</v>
      </c>
      <c r="L1191" s="144" t="n">
        <v>68</v>
      </c>
      <c r="M1191" s="1" t="n">
        <v>28</v>
      </c>
      <c r="N1191" s="1" t="n">
        <v>28</v>
      </c>
      <c r="O1191" s="149" t="n">
        <v>2</v>
      </c>
    </row>
    <row r="1192" customFormat="false" ht="14.25" hidden="false" customHeight="false" outlineLevel="0" collapsed="false">
      <c r="A1192" s="1" t="n">
        <v>236</v>
      </c>
      <c r="B1192" s="1" t="s">
        <v>476</v>
      </c>
      <c r="C1192" s="143" t="s">
        <v>58</v>
      </c>
      <c r="D1192" s="143" t="s">
        <v>59</v>
      </c>
      <c r="E1192" s="143" t="s">
        <v>474</v>
      </c>
      <c r="F1192" s="144" t="n">
        <v>200025888615</v>
      </c>
      <c r="G1192" s="144" t="s">
        <v>354</v>
      </c>
      <c r="H1192" s="144" t="n">
        <v>68</v>
      </c>
      <c r="I1192" s="144" t="s">
        <v>152</v>
      </c>
      <c r="J1192" s="151" t="n">
        <v>45057.3178587963</v>
      </c>
      <c r="K1192" s="1" t="n">
        <v>3</v>
      </c>
      <c r="L1192" s="144" t="n">
        <v>68</v>
      </c>
      <c r="M1192" s="1" t="n">
        <v>28</v>
      </c>
      <c r="N1192" s="1" t="n">
        <v>28</v>
      </c>
      <c r="O1192" s="149" t="n">
        <v>3</v>
      </c>
    </row>
    <row r="1193" customFormat="false" ht="14.25" hidden="false" customHeight="false" outlineLevel="0" collapsed="false">
      <c r="A1193" s="1" t="n">
        <v>237</v>
      </c>
      <c r="B1193" s="1" t="s">
        <v>476</v>
      </c>
      <c r="C1193" s="143" t="s">
        <v>58</v>
      </c>
      <c r="D1193" s="143" t="s">
        <v>59</v>
      </c>
      <c r="E1193" s="143" t="s">
        <v>474</v>
      </c>
      <c r="F1193" s="144" t="n">
        <v>200025888615</v>
      </c>
      <c r="G1193" s="144" t="s">
        <v>354</v>
      </c>
      <c r="H1193" s="144" t="n">
        <v>68</v>
      </c>
      <c r="I1193" s="144" t="s">
        <v>152</v>
      </c>
      <c r="J1193" s="151" t="n">
        <v>45057.3205555556</v>
      </c>
      <c r="K1193" s="1" t="n">
        <v>0</v>
      </c>
      <c r="L1193" s="144" t="n">
        <v>68</v>
      </c>
      <c r="M1193" s="1" t="n">
        <v>28</v>
      </c>
      <c r="N1193" s="1" t="n">
        <v>28</v>
      </c>
      <c r="O1193" s="149" t="n">
        <v>4</v>
      </c>
    </row>
    <row r="1194" customFormat="false" ht="14.25" hidden="false" customHeight="false" outlineLevel="0" collapsed="false">
      <c r="A1194" s="1" t="n">
        <v>243</v>
      </c>
      <c r="B1194" s="1" t="s">
        <v>476</v>
      </c>
      <c r="C1194" s="143" t="s">
        <v>58</v>
      </c>
      <c r="D1194" s="143" t="s">
        <v>59</v>
      </c>
      <c r="E1194" s="143" t="s">
        <v>474</v>
      </c>
      <c r="F1194" s="144" t="n">
        <v>200025888615</v>
      </c>
      <c r="G1194" s="144" t="s">
        <v>354</v>
      </c>
      <c r="H1194" s="144" t="n">
        <v>68</v>
      </c>
      <c r="I1194" s="144" t="s">
        <v>152</v>
      </c>
      <c r="J1194" s="151" t="n">
        <v>45057.3417592593</v>
      </c>
      <c r="K1194" s="1" t="n">
        <v>1</v>
      </c>
      <c r="L1194" s="144" t="n">
        <v>68</v>
      </c>
      <c r="M1194" s="1" t="n">
        <v>28</v>
      </c>
      <c r="N1194" s="1" t="n">
        <v>28</v>
      </c>
      <c r="O1194" s="149" t="n">
        <v>5</v>
      </c>
    </row>
    <row r="1195" customFormat="false" ht="14.25" hidden="false" customHeight="false" outlineLevel="0" collapsed="false">
      <c r="A1195" s="1" t="n">
        <v>244</v>
      </c>
      <c r="B1195" s="1" t="s">
        <v>476</v>
      </c>
      <c r="C1195" s="143" t="s">
        <v>58</v>
      </c>
      <c r="D1195" s="143" t="s">
        <v>59</v>
      </c>
      <c r="E1195" s="143" t="s">
        <v>474</v>
      </c>
      <c r="F1195" s="144" t="n">
        <v>200025888615</v>
      </c>
      <c r="G1195" s="144" t="s">
        <v>354</v>
      </c>
      <c r="H1195" s="144" t="n">
        <v>68</v>
      </c>
      <c r="I1195" s="144" t="s">
        <v>152</v>
      </c>
      <c r="J1195" s="151" t="n">
        <v>45057.3417824074</v>
      </c>
      <c r="K1195" s="1" t="n">
        <v>3</v>
      </c>
      <c r="L1195" s="144" t="n">
        <v>68</v>
      </c>
      <c r="M1195" s="1" t="n">
        <v>28</v>
      </c>
      <c r="N1195" s="1" t="n">
        <v>28</v>
      </c>
      <c r="O1195" s="149" t="n">
        <v>6</v>
      </c>
    </row>
    <row r="1196" customFormat="false" ht="14.25" hidden="false" customHeight="false" outlineLevel="0" collapsed="false">
      <c r="A1196" s="1" t="n">
        <v>245</v>
      </c>
      <c r="B1196" s="1" t="s">
        <v>476</v>
      </c>
      <c r="C1196" s="143" t="s">
        <v>58</v>
      </c>
      <c r="D1196" s="143" t="s">
        <v>59</v>
      </c>
      <c r="E1196" s="143" t="s">
        <v>474</v>
      </c>
      <c r="F1196" s="144" t="n">
        <v>200025888615</v>
      </c>
      <c r="G1196" s="144" t="s">
        <v>354</v>
      </c>
      <c r="H1196" s="144" t="n">
        <v>68</v>
      </c>
      <c r="I1196" s="144" t="s">
        <v>152</v>
      </c>
      <c r="J1196" s="151" t="n">
        <v>45057.3445023148</v>
      </c>
      <c r="K1196" s="1" t="n">
        <v>3</v>
      </c>
      <c r="L1196" s="144" t="n">
        <v>68</v>
      </c>
      <c r="M1196" s="1" t="n">
        <v>28</v>
      </c>
      <c r="N1196" s="1" t="n">
        <v>28</v>
      </c>
      <c r="O1196" s="149" t="n">
        <v>7</v>
      </c>
    </row>
    <row r="1197" customFormat="false" ht="14.25" hidden="false" customHeight="false" outlineLevel="0" collapsed="false">
      <c r="A1197" s="1" t="n">
        <v>247</v>
      </c>
      <c r="B1197" s="1" t="s">
        <v>476</v>
      </c>
      <c r="C1197" s="143" t="s">
        <v>58</v>
      </c>
      <c r="D1197" s="143" t="s">
        <v>59</v>
      </c>
      <c r="E1197" s="143" t="s">
        <v>474</v>
      </c>
      <c r="F1197" s="144" t="n">
        <v>200025888615</v>
      </c>
      <c r="G1197" s="144" t="s">
        <v>354</v>
      </c>
      <c r="H1197" s="144" t="n">
        <v>68</v>
      </c>
      <c r="I1197" s="144" t="s">
        <v>152</v>
      </c>
      <c r="J1197" s="151" t="n">
        <v>45057.3487962963</v>
      </c>
      <c r="K1197" s="1" t="n">
        <v>3</v>
      </c>
      <c r="L1197" s="144" t="n">
        <v>68</v>
      </c>
      <c r="M1197" s="1" t="n">
        <v>28</v>
      </c>
      <c r="N1197" s="1" t="n">
        <v>28</v>
      </c>
      <c r="O1197" s="149" t="n">
        <v>8</v>
      </c>
    </row>
    <row r="1198" customFormat="false" ht="14.25" hidden="false" customHeight="false" outlineLevel="0" collapsed="false">
      <c r="A1198" s="1" t="n">
        <v>248</v>
      </c>
      <c r="B1198" s="1" t="s">
        <v>476</v>
      </c>
      <c r="C1198" s="143" t="s">
        <v>58</v>
      </c>
      <c r="D1198" s="143" t="s">
        <v>59</v>
      </c>
      <c r="E1198" s="143" t="s">
        <v>474</v>
      </c>
      <c r="F1198" s="144" t="n">
        <v>200025888615</v>
      </c>
      <c r="G1198" s="144" t="s">
        <v>354</v>
      </c>
      <c r="H1198" s="144" t="n">
        <v>68</v>
      </c>
      <c r="I1198" s="144" t="s">
        <v>152</v>
      </c>
      <c r="J1198" s="151" t="n">
        <v>45057.3491782407</v>
      </c>
      <c r="K1198" s="1" t="n">
        <v>1</v>
      </c>
      <c r="L1198" s="144" t="n">
        <v>68</v>
      </c>
      <c r="M1198" s="1" t="n">
        <v>28</v>
      </c>
      <c r="N1198" s="1" t="n">
        <v>28</v>
      </c>
      <c r="O1198" s="149" t="n">
        <v>9</v>
      </c>
    </row>
    <row r="1199" customFormat="false" ht="14.25" hidden="false" customHeight="false" outlineLevel="0" collapsed="false">
      <c r="A1199" s="1" t="n">
        <v>348</v>
      </c>
      <c r="B1199" s="1" t="s">
        <v>476</v>
      </c>
      <c r="C1199" s="143" t="s">
        <v>58</v>
      </c>
      <c r="D1199" s="143" t="s">
        <v>59</v>
      </c>
      <c r="E1199" s="143" t="s">
        <v>474</v>
      </c>
      <c r="F1199" s="144" t="n">
        <v>200025888615</v>
      </c>
      <c r="G1199" s="144" t="s">
        <v>354</v>
      </c>
      <c r="H1199" s="144" t="n">
        <v>68</v>
      </c>
      <c r="I1199" s="144" t="s">
        <v>152</v>
      </c>
      <c r="J1199" s="151" t="n">
        <v>45061.8837384259</v>
      </c>
      <c r="K1199" s="1" t="n">
        <v>0</v>
      </c>
      <c r="L1199" s="144" t="n">
        <v>68</v>
      </c>
      <c r="M1199" s="1" t="n">
        <v>28</v>
      </c>
      <c r="N1199" s="1" t="n">
        <v>28</v>
      </c>
      <c r="O1199" s="149" t="n">
        <v>10</v>
      </c>
    </row>
    <row r="1200" customFormat="false" ht="14.25" hidden="false" customHeight="false" outlineLevel="0" collapsed="false">
      <c r="A1200" s="1" t="n">
        <v>349</v>
      </c>
      <c r="B1200" s="1" t="s">
        <v>476</v>
      </c>
      <c r="C1200" s="143" t="s">
        <v>58</v>
      </c>
      <c r="D1200" s="143" t="s">
        <v>59</v>
      </c>
      <c r="E1200" s="143" t="s">
        <v>474</v>
      </c>
      <c r="F1200" s="144" t="n">
        <v>200025888615</v>
      </c>
      <c r="G1200" s="144" t="s">
        <v>354</v>
      </c>
      <c r="H1200" s="144" t="n">
        <v>68</v>
      </c>
      <c r="I1200" s="144" t="s">
        <v>152</v>
      </c>
      <c r="J1200" s="151" t="n">
        <v>45061.8845486111</v>
      </c>
      <c r="K1200" s="1" t="n">
        <v>1</v>
      </c>
      <c r="L1200" s="144" t="n">
        <v>68</v>
      </c>
      <c r="M1200" s="1" t="n">
        <v>28</v>
      </c>
      <c r="N1200" s="1" t="n">
        <v>28</v>
      </c>
      <c r="O1200" s="149" t="n">
        <v>11</v>
      </c>
    </row>
    <row r="1201" customFormat="false" ht="14.25" hidden="false" customHeight="false" outlineLevel="0" collapsed="false">
      <c r="A1201" s="1" t="n">
        <v>350</v>
      </c>
      <c r="B1201" s="1" t="s">
        <v>476</v>
      </c>
      <c r="C1201" s="143" t="s">
        <v>58</v>
      </c>
      <c r="D1201" s="143" t="s">
        <v>59</v>
      </c>
      <c r="E1201" s="143" t="s">
        <v>474</v>
      </c>
      <c r="F1201" s="144" t="n">
        <v>200025888615</v>
      </c>
      <c r="G1201" s="144" t="s">
        <v>354</v>
      </c>
      <c r="H1201" s="144" t="n">
        <v>68</v>
      </c>
      <c r="I1201" s="144" t="s">
        <v>152</v>
      </c>
      <c r="J1201" s="151" t="n">
        <v>45061.8847685185</v>
      </c>
      <c r="K1201" s="1" t="n">
        <v>1</v>
      </c>
      <c r="L1201" s="144" t="n">
        <v>68</v>
      </c>
      <c r="M1201" s="1" t="n">
        <v>28</v>
      </c>
      <c r="N1201" s="1" t="n">
        <v>28</v>
      </c>
      <c r="O1201" s="149" t="n">
        <v>12</v>
      </c>
    </row>
    <row r="1202" customFormat="false" ht="14.25" hidden="false" customHeight="false" outlineLevel="0" collapsed="false">
      <c r="A1202" s="1" t="n">
        <v>351</v>
      </c>
      <c r="B1202" s="1" t="s">
        <v>476</v>
      </c>
      <c r="C1202" s="143" t="s">
        <v>58</v>
      </c>
      <c r="D1202" s="143" t="s">
        <v>59</v>
      </c>
      <c r="E1202" s="143" t="s">
        <v>474</v>
      </c>
      <c r="F1202" s="144" t="n">
        <v>200025888615</v>
      </c>
      <c r="G1202" s="144" t="s">
        <v>354</v>
      </c>
      <c r="H1202" s="144" t="n">
        <v>68</v>
      </c>
      <c r="I1202" s="144" t="s">
        <v>152</v>
      </c>
      <c r="J1202" s="151" t="n">
        <v>45061.8863657407</v>
      </c>
      <c r="K1202" s="1" t="n">
        <v>1</v>
      </c>
      <c r="L1202" s="144" t="n">
        <v>68</v>
      </c>
      <c r="M1202" s="1" t="n">
        <v>28</v>
      </c>
      <c r="N1202" s="1" t="n">
        <v>28</v>
      </c>
      <c r="O1202" s="149" t="n">
        <v>13</v>
      </c>
    </row>
    <row r="1203" customFormat="false" ht="14.25" hidden="false" customHeight="false" outlineLevel="0" collapsed="false">
      <c r="A1203" s="1" t="n">
        <v>352</v>
      </c>
      <c r="B1203" s="1" t="s">
        <v>476</v>
      </c>
      <c r="C1203" s="143" t="s">
        <v>58</v>
      </c>
      <c r="D1203" s="143" t="s">
        <v>59</v>
      </c>
      <c r="E1203" s="143" t="s">
        <v>474</v>
      </c>
      <c r="F1203" s="144" t="n">
        <v>200025888615</v>
      </c>
      <c r="G1203" s="144" t="s">
        <v>354</v>
      </c>
      <c r="H1203" s="144" t="n">
        <v>68</v>
      </c>
      <c r="I1203" s="144" t="s">
        <v>152</v>
      </c>
      <c r="J1203" s="151" t="n">
        <v>45061.8865162037</v>
      </c>
      <c r="K1203" s="1" t="n">
        <v>0</v>
      </c>
      <c r="L1203" s="144" t="n">
        <v>68</v>
      </c>
      <c r="M1203" s="1" t="n">
        <v>28</v>
      </c>
      <c r="N1203" s="1" t="n">
        <v>28</v>
      </c>
      <c r="O1203" s="149" t="n">
        <v>14</v>
      </c>
    </row>
    <row r="1204" customFormat="false" ht="14.25" hidden="false" customHeight="false" outlineLevel="0" collapsed="false">
      <c r="A1204" s="1" t="n">
        <v>353</v>
      </c>
      <c r="B1204" s="1" t="s">
        <v>476</v>
      </c>
      <c r="C1204" s="143" t="s">
        <v>58</v>
      </c>
      <c r="D1204" s="143" t="s">
        <v>59</v>
      </c>
      <c r="E1204" s="143" t="s">
        <v>474</v>
      </c>
      <c r="F1204" s="144" t="n">
        <v>200025888615</v>
      </c>
      <c r="G1204" s="144" t="s">
        <v>354</v>
      </c>
      <c r="H1204" s="144" t="n">
        <v>68</v>
      </c>
      <c r="I1204" s="144" t="s">
        <v>152</v>
      </c>
      <c r="J1204" s="151" t="n">
        <v>45061.8925578704</v>
      </c>
      <c r="K1204" s="1" t="n">
        <v>2</v>
      </c>
      <c r="L1204" s="144" t="n">
        <v>68</v>
      </c>
      <c r="M1204" s="1" t="n">
        <v>28</v>
      </c>
      <c r="N1204" s="1" t="n">
        <v>28</v>
      </c>
      <c r="O1204" s="149" t="n">
        <v>15</v>
      </c>
    </row>
    <row r="1205" customFormat="false" ht="14.25" hidden="false" customHeight="false" outlineLevel="0" collapsed="false">
      <c r="A1205" s="1" t="n">
        <v>354</v>
      </c>
      <c r="B1205" s="1" t="s">
        <v>476</v>
      </c>
      <c r="C1205" s="143" t="s">
        <v>58</v>
      </c>
      <c r="D1205" s="143" t="s">
        <v>59</v>
      </c>
      <c r="E1205" s="143" t="s">
        <v>474</v>
      </c>
      <c r="F1205" s="144" t="n">
        <v>200025888615</v>
      </c>
      <c r="G1205" s="144" t="s">
        <v>354</v>
      </c>
      <c r="H1205" s="144" t="n">
        <v>68</v>
      </c>
      <c r="I1205" s="144" t="s">
        <v>152</v>
      </c>
      <c r="J1205" s="151" t="n">
        <v>45061.8934143519</v>
      </c>
      <c r="K1205" s="1" t="n">
        <v>1</v>
      </c>
      <c r="L1205" s="144" t="n">
        <v>68</v>
      </c>
      <c r="M1205" s="1" t="n">
        <v>28</v>
      </c>
      <c r="N1205" s="1" t="n">
        <v>28</v>
      </c>
      <c r="O1205" s="149" t="n">
        <v>16</v>
      </c>
    </row>
    <row r="1206" customFormat="false" ht="14.25" hidden="false" customHeight="false" outlineLevel="0" collapsed="false">
      <c r="A1206" s="1" t="n">
        <v>355</v>
      </c>
      <c r="B1206" s="1" t="s">
        <v>476</v>
      </c>
      <c r="C1206" s="143" t="s">
        <v>58</v>
      </c>
      <c r="D1206" s="143" t="s">
        <v>59</v>
      </c>
      <c r="E1206" s="143" t="s">
        <v>474</v>
      </c>
      <c r="F1206" s="144" t="n">
        <v>200025888615</v>
      </c>
      <c r="G1206" s="144" t="s">
        <v>354</v>
      </c>
      <c r="H1206" s="144" t="n">
        <v>68</v>
      </c>
      <c r="I1206" s="144" t="s">
        <v>152</v>
      </c>
      <c r="J1206" s="151" t="n">
        <v>45061.8940277778</v>
      </c>
      <c r="K1206" s="1" t="n">
        <v>1</v>
      </c>
      <c r="L1206" s="144" t="n">
        <v>68</v>
      </c>
      <c r="M1206" s="1" t="n">
        <v>28</v>
      </c>
      <c r="N1206" s="1" t="n">
        <v>28</v>
      </c>
      <c r="O1206" s="149" t="n">
        <v>17</v>
      </c>
    </row>
    <row r="1207" customFormat="false" ht="14.25" hidden="false" customHeight="false" outlineLevel="0" collapsed="false">
      <c r="A1207" s="1" t="n">
        <v>356</v>
      </c>
      <c r="B1207" s="1" t="s">
        <v>476</v>
      </c>
      <c r="C1207" s="143" t="s">
        <v>58</v>
      </c>
      <c r="D1207" s="143" t="s">
        <v>59</v>
      </c>
      <c r="E1207" s="143" t="s">
        <v>474</v>
      </c>
      <c r="F1207" s="144" t="n">
        <v>200025888615</v>
      </c>
      <c r="G1207" s="144" t="s">
        <v>354</v>
      </c>
      <c r="H1207" s="144" t="n">
        <v>68</v>
      </c>
      <c r="I1207" s="144" t="s">
        <v>152</v>
      </c>
      <c r="J1207" s="151" t="n">
        <v>45061.8952893519</v>
      </c>
      <c r="K1207" s="1" t="n">
        <v>1</v>
      </c>
      <c r="L1207" s="144" t="n">
        <v>68</v>
      </c>
      <c r="M1207" s="1" t="n">
        <v>28</v>
      </c>
      <c r="N1207" s="1" t="n">
        <v>28</v>
      </c>
      <c r="O1207" s="149" t="n">
        <v>18</v>
      </c>
    </row>
    <row r="1208" customFormat="false" ht="14.25" hidden="false" customHeight="false" outlineLevel="0" collapsed="false">
      <c r="A1208" s="1" t="n">
        <v>357</v>
      </c>
      <c r="B1208" s="1" t="s">
        <v>476</v>
      </c>
      <c r="C1208" s="143" t="s">
        <v>58</v>
      </c>
      <c r="D1208" s="143" t="s">
        <v>59</v>
      </c>
      <c r="E1208" s="143" t="s">
        <v>474</v>
      </c>
      <c r="F1208" s="144" t="n">
        <v>200025888615</v>
      </c>
      <c r="G1208" s="144" t="s">
        <v>354</v>
      </c>
      <c r="H1208" s="144" t="n">
        <v>68</v>
      </c>
      <c r="I1208" s="144" t="s">
        <v>152</v>
      </c>
      <c r="J1208" s="151" t="n">
        <v>45061.9159027778</v>
      </c>
      <c r="K1208" s="1" t="n">
        <v>0</v>
      </c>
      <c r="L1208" s="144" t="n">
        <v>68</v>
      </c>
      <c r="M1208" s="1" t="n">
        <v>28</v>
      </c>
      <c r="N1208" s="1" t="n">
        <v>28</v>
      </c>
      <c r="O1208" s="149" t="n">
        <v>19</v>
      </c>
    </row>
    <row r="1209" customFormat="false" ht="14.25" hidden="false" customHeight="false" outlineLevel="0" collapsed="false">
      <c r="A1209" s="1" t="n">
        <v>4</v>
      </c>
      <c r="B1209" s="1" t="s">
        <v>476</v>
      </c>
      <c r="C1209" s="143" t="n">
        <v>11490</v>
      </c>
      <c r="D1209" s="143" t="s">
        <v>65</v>
      </c>
      <c r="E1209" s="143" t="s">
        <v>474</v>
      </c>
      <c r="F1209" s="144" t="n">
        <v>200025888615</v>
      </c>
      <c r="G1209" s="144" t="s">
        <v>354</v>
      </c>
      <c r="H1209" s="144" t="n">
        <v>68</v>
      </c>
      <c r="I1209" s="144" t="s">
        <v>152</v>
      </c>
      <c r="J1209" s="151" t="n">
        <v>45062.758287037</v>
      </c>
      <c r="K1209" s="1" t="n">
        <v>0</v>
      </c>
      <c r="L1209" s="144" t="n">
        <v>68</v>
      </c>
      <c r="M1209" s="1" t="n">
        <v>28</v>
      </c>
      <c r="N1209" s="1" t="n">
        <v>28</v>
      </c>
      <c r="O1209" s="149" t="n">
        <v>20</v>
      </c>
    </row>
    <row r="1210" customFormat="false" ht="14.25" hidden="false" customHeight="false" outlineLevel="0" collapsed="false">
      <c r="A1210" s="1" t="n">
        <v>5</v>
      </c>
      <c r="B1210" s="1" t="s">
        <v>476</v>
      </c>
      <c r="C1210" s="143" t="n">
        <v>11490</v>
      </c>
      <c r="D1210" s="143" t="s">
        <v>65</v>
      </c>
      <c r="E1210" s="143" t="s">
        <v>474</v>
      </c>
      <c r="F1210" s="144" t="n">
        <v>200025888615</v>
      </c>
      <c r="G1210" s="144" t="s">
        <v>354</v>
      </c>
      <c r="H1210" s="144" t="n">
        <v>68</v>
      </c>
      <c r="I1210" s="144" t="s">
        <v>152</v>
      </c>
      <c r="J1210" s="151" t="n">
        <v>45062.7589930556</v>
      </c>
      <c r="K1210" s="1" t="n">
        <v>1</v>
      </c>
      <c r="L1210" s="144" t="n">
        <v>68</v>
      </c>
      <c r="M1210" s="1" t="n">
        <v>28</v>
      </c>
      <c r="N1210" s="1" t="n">
        <v>28</v>
      </c>
      <c r="O1210" s="149" t="n">
        <v>21</v>
      </c>
    </row>
    <row r="1211" customFormat="false" ht="14.25" hidden="false" customHeight="false" outlineLevel="0" collapsed="false">
      <c r="A1211" s="1" t="n">
        <v>6</v>
      </c>
      <c r="B1211" s="1" t="s">
        <v>476</v>
      </c>
      <c r="C1211" s="143" t="n">
        <v>11490</v>
      </c>
      <c r="D1211" s="143" t="s">
        <v>65</v>
      </c>
      <c r="E1211" s="143" t="s">
        <v>474</v>
      </c>
      <c r="F1211" s="144" t="n">
        <v>200025888615</v>
      </c>
      <c r="G1211" s="144" t="s">
        <v>354</v>
      </c>
      <c r="H1211" s="144" t="n">
        <v>68</v>
      </c>
      <c r="I1211" s="144" t="s">
        <v>152</v>
      </c>
      <c r="J1211" s="151" t="n">
        <v>45062.759537037</v>
      </c>
      <c r="K1211" s="1" t="n">
        <v>0</v>
      </c>
      <c r="L1211" s="144" t="n">
        <v>68</v>
      </c>
      <c r="M1211" s="1" t="n">
        <v>28</v>
      </c>
      <c r="N1211" s="1" t="n">
        <v>28</v>
      </c>
      <c r="O1211" s="149" t="n">
        <v>22</v>
      </c>
    </row>
    <row r="1212" customFormat="false" ht="14.25" hidden="false" customHeight="false" outlineLevel="0" collapsed="false">
      <c r="A1212" s="1" t="n">
        <v>7</v>
      </c>
      <c r="B1212" s="1" t="s">
        <v>476</v>
      </c>
      <c r="C1212" s="143" t="n">
        <v>11490</v>
      </c>
      <c r="D1212" s="143" t="s">
        <v>65</v>
      </c>
      <c r="E1212" s="143" t="s">
        <v>474</v>
      </c>
      <c r="F1212" s="144" t="n">
        <v>200025888615</v>
      </c>
      <c r="G1212" s="144" t="s">
        <v>354</v>
      </c>
      <c r="H1212" s="144" t="n">
        <v>68</v>
      </c>
      <c r="I1212" s="144" t="s">
        <v>152</v>
      </c>
      <c r="J1212" s="151" t="n">
        <v>45062.7595601852</v>
      </c>
      <c r="K1212" s="1" t="n">
        <v>0</v>
      </c>
      <c r="L1212" s="144" t="n">
        <v>68</v>
      </c>
      <c r="M1212" s="1" t="n">
        <v>28</v>
      </c>
      <c r="N1212" s="1" t="n">
        <v>28</v>
      </c>
      <c r="O1212" s="149" t="n">
        <v>23</v>
      </c>
    </row>
    <row r="1213" customFormat="false" ht="14.25" hidden="false" customHeight="false" outlineLevel="0" collapsed="false">
      <c r="A1213" s="1" t="n">
        <v>8</v>
      </c>
      <c r="B1213" s="1" t="s">
        <v>476</v>
      </c>
      <c r="C1213" s="143" t="n">
        <v>11490</v>
      </c>
      <c r="D1213" s="143" t="s">
        <v>65</v>
      </c>
      <c r="E1213" s="143" t="s">
        <v>474</v>
      </c>
      <c r="F1213" s="144" t="n">
        <v>200025888615</v>
      </c>
      <c r="G1213" s="144" t="s">
        <v>354</v>
      </c>
      <c r="H1213" s="144" t="n">
        <v>68</v>
      </c>
      <c r="I1213" s="144" t="s">
        <v>152</v>
      </c>
      <c r="J1213" s="151" t="n">
        <v>45062.7595833333</v>
      </c>
      <c r="K1213" s="1" t="n">
        <v>0</v>
      </c>
      <c r="L1213" s="144" t="n">
        <v>68</v>
      </c>
      <c r="M1213" s="1" t="n">
        <v>28</v>
      </c>
      <c r="N1213" s="1" t="n">
        <v>28</v>
      </c>
      <c r="O1213" s="149" t="n">
        <v>24</v>
      </c>
    </row>
    <row r="1214" customFormat="false" ht="14.25" hidden="false" customHeight="false" outlineLevel="0" collapsed="false">
      <c r="A1214" s="1" t="n">
        <v>9</v>
      </c>
      <c r="B1214" s="1" t="s">
        <v>476</v>
      </c>
      <c r="C1214" s="143" t="n">
        <v>11490</v>
      </c>
      <c r="D1214" s="143" t="s">
        <v>65</v>
      </c>
      <c r="E1214" s="143" t="s">
        <v>474</v>
      </c>
      <c r="F1214" s="144" t="n">
        <v>200025888615</v>
      </c>
      <c r="G1214" s="144" t="s">
        <v>354</v>
      </c>
      <c r="H1214" s="144" t="n">
        <v>68</v>
      </c>
      <c r="I1214" s="144" t="s">
        <v>152</v>
      </c>
      <c r="J1214" s="151" t="n">
        <v>45062.7596296296</v>
      </c>
      <c r="K1214" s="1" t="n">
        <v>1</v>
      </c>
      <c r="L1214" s="144" t="n">
        <v>68</v>
      </c>
      <c r="M1214" s="1" t="n">
        <v>28</v>
      </c>
      <c r="N1214" s="1" t="n">
        <v>28</v>
      </c>
      <c r="O1214" s="149" t="n">
        <v>25</v>
      </c>
    </row>
    <row r="1215" customFormat="false" ht="14.25" hidden="false" customHeight="false" outlineLevel="0" collapsed="false">
      <c r="A1215" s="1" t="n">
        <v>10</v>
      </c>
      <c r="B1215" s="1" t="s">
        <v>476</v>
      </c>
      <c r="C1215" s="143" t="n">
        <v>11490</v>
      </c>
      <c r="D1215" s="143" t="s">
        <v>65</v>
      </c>
      <c r="E1215" s="143" t="s">
        <v>474</v>
      </c>
      <c r="F1215" s="144" t="n">
        <v>200025888615</v>
      </c>
      <c r="G1215" s="144" t="s">
        <v>354</v>
      </c>
      <c r="H1215" s="144" t="n">
        <v>68</v>
      </c>
      <c r="I1215" s="144" t="s">
        <v>152</v>
      </c>
      <c r="J1215" s="151" t="n">
        <v>45062.7608449074</v>
      </c>
      <c r="K1215" s="1" t="n">
        <v>1</v>
      </c>
      <c r="L1215" s="144" t="n">
        <v>68</v>
      </c>
      <c r="M1215" s="1" t="n">
        <v>28</v>
      </c>
      <c r="N1215" s="1" t="n">
        <v>28</v>
      </c>
      <c r="O1215" s="149" t="n">
        <v>26</v>
      </c>
    </row>
    <row r="1216" customFormat="false" ht="14.25" hidden="false" customHeight="false" outlineLevel="0" collapsed="false">
      <c r="A1216" s="1" t="n">
        <v>11</v>
      </c>
      <c r="B1216" s="1" t="s">
        <v>476</v>
      </c>
      <c r="C1216" s="143" t="n">
        <v>11490</v>
      </c>
      <c r="D1216" s="143" t="s">
        <v>65</v>
      </c>
      <c r="E1216" s="143" t="s">
        <v>474</v>
      </c>
      <c r="F1216" s="144" t="n">
        <v>200025888615</v>
      </c>
      <c r="G1216" s="144" t="s">
        <v>354</v>
      </c>
      <c r="H1216" s="144" t="n">
        <v>68</v>
      </c>
      <c r="I1216" s="144" t="s">
        <v>152</v>
      </c>
      <c r="J1216" s="151" t="n">
        <v>45062.7802430556</v>
      </c>
      <c r="K1216" s="1" t="n">
        <v>1</v>
      </c>
      <c r="L1216" s="144" t="n">
        <v>68</v>
      </c>
      <c r="M1216" s="1" t="n">
        <v>28</v>
      </c>
      <c r="N1216" s="1" t="n">
        <v>28</v>
      </c>
      <c r="O1216" s="149" t="n">
        <v>27</v>
      </c>
    </row>
    <row r="1217" customFormat="false" ht="14.25" hidden="false" customHeight="false" outlineLevel="0" collapsed="false">
      <c r="A1217" s="1" t="n">
        <v>325</v>
      </c>
      <c r="B1217" s="1" t="s">
        <v>478</v>
      </c>
      <c r="C1217" s="143" t="n">
        <v>91601</v>
      </c>
      <c r="D1217" s="143" t="s">
        <v>65</v>
      </c>
      <c r="E1217" s="143" t="s">
        <v>474</v>
      </c>
      <c r="F1217" s="144" t="n">
        <v>200025888615</v>
      </c>
      <c r="G1217" s="144" t="s">
        <v>354</v>
      </c>
      <c r="H1217" s="144" t="n">
        <v>68</v>
      </c>
      <c r="I1217" s="144" t="s">
        <v>152</v>
      </c>
      <c r="J1217" s="6" t="n">
        <v>45079.1453587963</v>
      </c>
      <c r="K1217" s="1" t="n">
        <v>2</v>
      </c>
      <c r="L1217" s="144" t="n">
        <v>68</v>
      </c>
      <c r="M1217" s="1" t="n">
        <v>28</v>
      </c>
      <c r="N1217" s="1" t="n">
        <v>28</v>
      </c>
      <c r="O1217" s="149" t="n">
        <v>28</v>
      </c>
    </row>
    <row r="1218" customFormat="false" ht="14.25" hidden="false" customHeight="false" outlineLevel="0" collapsed="false">
      <c r="A1218" s="1" t="n">
        <v>12</v>
      </c>
      <c r="B1218" s="1" t="s">
        <v>491</v>
      </c>
      <c r="C1218" s="143" t="s">
        <v>52</v>
      </c>
      <c r="D1218" s="143" t="s">
        <v>53</v>
      </c>
      <c r="E1218" s="143" t="s">
        <v>474</v>
      </c>
      <c r="F1218" s="144" t="n">
        <v>200025888615</v>
      </c>
      <c r="G1218" s="144" t="s">
        <v>354</v>
      </c>
      <c r="H1218" s="144" t="n">
        <v>68</v>
      </c>
      <c r="I1218" s="144" t="s">
        <v>152</v>
      </c>
      <c r="J1218" s="6" t="n">
        <v>45079.1459143519</v>
      </c>
      <c r="K1218" s="1" t="n">
        <v>1</v>
      </c>
      <c r="L1218" s="144" t="n">
        <v>68</v>
      </c>
      <c r="M1218" s="1" t="n">
        <v>28</v>
      </c>
      <c r="N1218" s="1" t="n">
        <v>28</v>
      </c>
      <c r="O1218" s="149" t="n">
        <v>29</v>
      </c>
    </row>
    <row r="1219" customFormat="false" ht="14.25" hidden="false" customHeight="false" outlineLevel="0" collapsed="false">
      <c r="A1219" s="1" t="n">
        <v>13</v>
      </c>
      <c r="B1219" s="1" t="s">
        <v>491</v>
      </c>
      <c r="C1219" s="143" t="s">
        <v>52</v>
      </c>
      <c r="D1219" s="143" t="s">
        <v>53</v>
      </c>
      <c r="E1219" s="143" t="s">
        <v>474</v>
      </c>
      <c r="F1219" s="144" t="n">
        <v>200025888615</v>
      </c>
      <c r="G1219" s="144" t="s">
        <v>354</v>
      </c>
      <c r="H1219" s="144" t="n">
        <v>68</v>
      </c>
      <c r="I1219" s="144" t="s">
        <v>152</v>
      </c>
      <c r="J1219" s="6" t="n">
        <v>45079.1459490741</v>
      </c>
      <c r="K1219" s="1" t="n">
        <v>1</v>
      </c>
      <c r="L1219" s="144" t="n">
        <v>68</v>
      </c>
      <c r="M1219" s="1" t="n">
        <v>28</v>
      </c>
      <c r="N1219" s="1" t="n">
        <v>28</v>
      </c>
      <c r="O1219" s="149" t="n">
        <v>30</v>
      </c>
    </row>
    <row r="1220" customFormat="false" ht="14.25" hidden="false" customHeight="false" outlineLevel="0" collapsed="false">
      <c r="A1220" s="1" t="n">
        <v>14</v>
      </c>
      <c r="B1220" s="1" t="s">
        <v>491</v>
      </c>
      <c r="C1220" s="143" t="s">
        <v>52</v>
      </c>
      <c r="D1220" s="143" t="s">
        <v>53</v>
      </c>
      <c r="E1220" s="143" t="s">
        <v>474</v>
      </c>
      <c r="F1220" s="144" t="n">
        <v>200025888615</v>
      </c>
      <c r="G1220" s="144" t="s">
        <v>354</v>
      </c>
      <c r="H1220" s="144" t="n">
        <v>68</v>
      </c>
      <c r="I1220" s="144" t="s">
        <v>152</v>
      </c>
      <c r="J1220" s="6" t="n">
        <v>45079.1461458333</v>
      </c>
      <c r="K1220" s="1" t="n">
        <v>2</v>
      </c>
      <c r="L1220" s="144" t="n">
        <v>68</v>
      </c>
      <c r="M1220" s="1" t="n">
        <v>28</v>
      </c>
      <c r="N1220" s="1" t="n">
        <v>28</v>
      </c>
      <c r="O1220" s="149" t="n">
        <v>31</v>
      </c>
    </row>
    <row r="1221" customFormat="false" ht="14.25" hidden="false" customHeight="false" outlineLevel="0" collapsed="false">
      <c r="A1221" s="1" t="n">
        <v>15</v>
      </c>
      <c r="B1221" s="1" t="s">
        <v>491</v>
      </c>
      <c r="C1221" s="143" t="s">
        <v>52</v>
      </c>
      <c r="D1221" s="143" t="s">
        <v>53</v>
      </c>
      <c r="E1221" s="143" t="s">
        <v>474</v>
      </c>
      <c r="F1221" s="144" t="n">
        <v>200025888615</v>
      </c>
      <c r="G1221" s="144" t="s">
        <v>354</v>
      </c>
      <c r="H1221" s="144" t="n">
        <v>68</v>
      </c>
      <c r="I1221" s="144" t="s">
        <v>152</v>
      </c>
      <c r="J1221" s="6" t="n">
        <v>45079.1461805556</v>
      </c>
      <c r="K1221" s="1" t="n">
        <v>1</v>
      </c>
      <c r="L1221" s="144" t="n">
        <v>68</v>
      </c>
      <c r="M1221" s="1" t="n">
        <v>28</v>
      </c>
      <c r="N1221" s="1" t="n">
        <v>28</v>
      </c>
      <c r="O1221" s="149" t="n">
        <v>32</v>
      </c>
    </row>
    <row r="1222" customFormat="false" ht="14.25" hidden="false" customHeight="false" outlineLevel="0" collapsed="false">
      <c r="A1222" s="1" t="n">
        <v>16</v>
      </c>
      <c r="B1222" s="1" t="s">
        <v>491</v>
      </c>
      <c r="C1222" s="143" t="s">
        <v>52</v>
      </c>
      <c r="D1222" s="143" t="s">
        <v>53</v>
      </c>
      <c r="E1222" s="143" t="s">
        <v>474</v>
      </c>
      <c r="F1222" s="144" t="n">
        <v>200025888615</v>
      </c>
      <c r="G1222" s="144" t="s">
        <v>354</v>
      </c>
      <c r="H1222" s="144" t="n">
        <v>68</v>
      </c>
      <c r="I1222" s="144" t="s">
        <v>152</v>
      </c>
      <c r="J1222" s="6" t="n">
        <v>45079.1462731482</v>
      </c>
      <c r="K1222" s="1" t="n">
        <v>1</v>
      </c>
      <c r="L1222" s="144" t="n">
        <v>68</v>
      </c>
      <c r="M1222" s="1" t="n">
        <v>28</v>
      </c>
      <c r="N1222" s="1" t="n">
        <v>28</v>
      </c>
      <c r="O1222" s="149" t="n">
        <v>33</v>
      </c>
    </row>
    <row r="1223" customFormat="false" ht="14.25" hidden="false" customHeight="false" outlineLevel="0" collapsed="false">
      <c r="A1223" s="1" t="n">
        <v>17</v>
      </c>
      <c r="B1223" s="1" t="s">
        <v>491</v>
      </c>
      <c r="C1223" s="143" t="s">
        <v>52</v>
      </c>
      <c r="D1223" s="143" t="s">
        <v>53</v>
      </c>
      <c r="E1223" s="143" t="s">
        <v>474</v>
      </c>
      <c r="F1223" s="144" t="n">
        <v>200025888615</v>
      </c>
      <c r="G1223" s="144" t="s">
        <v>354</v>
      </c>
      <c r="H1223" s="144" t="n">
        <v>68</v>
      </c>
      <c r="I1223" s="144" t="s">
        <v>152</v>
      </c>
      <c r="J1223" s="6" t="n">
        <v>45079.1463657407</v>
      </c>
      <c r="K1223" s="1" t="n">
        <v>2</v>
      </c>
      <c r="L1223" s="144" t="n">
        <v>68</v>
      </c>
      <c r="M1223" s="1" t="n">
        <v>28</v>
      </c>
      <c r="N1223" s="1" t="n">
        <v>28</v>
      </c>
      <c r="O1223" s="149" t="n">
        <v>34</v>
      </c>
    </row>
    <row r="1224" customFormat="false" ht="14.25" hidden="false" customHeight="false" outlineLevel="0" collapsed="false">
      <c r="A1224" s="1" t="n">
        <v>18</v>
      </c>
      <c r="B1224" s="1" t="s">
        <v>491</v>
      </c>
      <c r="C1224" s="143" t="s">
        <v>52</v>
      </c>
      <c r="D1224" s="143" t="s">
        <v>53</v>
      </c>
      <c r="E1224" s="143" t="s">
        <v>474</v>
      </c>
      <c r="F1224" s="144" t="n">
        <v>200025888615</v>
      </c>
      <c r="G1224" s="144" t="s">
        <v>354</v>
      </c>
      <c r="H1224" s="144" t="n">
        <v>68</v>
      </c>
      <c r="I1224" s="144" t="s">
        <v>152</v>
      </c>
      <c r="J1224" s="6" t="n">
        <v>45079.1464583333</v>
      </c>
      <c r="K1224" s="1" t="n">
        <v>1</v>
      </c>
      <c r="L1224" s="144" t="n">
        <v>68</v>
      </c>
      <c r="M1224" s="1" t="n">
        <v>28</v>
      </c>
      <c r="N1224" s="1" t="n">
        <v>28</v>
      </c>
      <c r="O1224" s="149" t="n">
        <v>35</v>
      </c>
    </row>
    <row r="1225" customFormat="false" ht="14.25" hidden="false" customHeight="false" outlineLevel="0" collapsed="false">
      <c r="A1225" s="1" t="n">
        <v>19</v>
      </c>
      <c r="B1225" s="1" t="s">
        <v>491</v>
      </c>
      <c r="C1225" s="143" t="s">
        <v>52</v>
      </c>
      <c r="D1225" s="143" t="s">
        <v>53</v>
      </c>
      <c r="E1225" s="143" t="s">
        <v>474</v>
      </c>
      <c r="F1225" s="144" t="n">
        <v>200025888615</v>
      </c>
      <c r="G1225" s="144" t="s">
        <v>354</v>
      </c>
      <c r="H1225" s="144" t="n">
        <v>68</v>
      </c>
      <c r="I1225" s="144" t="s">
        <v>152</v>
      </c>
      <c r="J1225" s="6" t="n">
        <v>45079.1472222222</v>
      </c>
      <c r="K1225" s="1" t="n">
        <v>2</v>
      </c>
      <c r="L1225" s="144" t="n">
        <v>68</v>
      </c>
      <c r="M1225" s="1" t="n">
        <v>28</v>
      </c>
      <c r="N1225" s="1" t="n">
        <v>28</v>
      </c>
      <c r="O1225" s="149" t="n">
        <v>36</v>
      </c>
    </row>
    <row r="1226" customFormat="false" ht="14.25" hidden="false" customHeight="false" outlineLevel="0" collapsed="false">
      <c r="A1226" s="1" t="n">
        <v>20</v>
      </c>
      <c r="B1226" s="1" t="s">
        <v>491</v>
      </c>
      <c r="C1226" s="143" t="s">
        <v>52</v>
      </c>
      <c r="D1226" s="143" t="s">
        <v>53</v>
      </c>
      <c r="E1226" s="143" t="s">
        <v>474</v>
      </c>
      <c r="F1226" s="144" t="n">
        <v>200025888615</v>
      </c>
      <c r="G1226" s="144" t="s">
        <v>354</v>
      </c>
      <c r="H1226" s="144" t="n">
        <v>68</v>
      </c>
      <c r="I1226" s="144" t="s">
        <v>152</v>
      </c>
      <c r="J1226" s="6" t="n">
        <v>45079.1472337963</v>
      </c>
      <c r="K1226" s="1" t="n">
        <v>1</v>
      </c>
      <c r="L1226" s="144" t="n">
        <v>68</v>
      </c>
      <c r="M1226" s="1" t="n">
        <v>28</v>
      </c>
      <c r="N1226" s="1" t="n">
        <v>28</v>
      </c>
      <c r="O1226" s="149" t="n">
        <v>37</v>
      </c>
    </row>
    <row r="1227" customFormat="false" ht="14.25" hidden="false" customHeight="false" outlineLevel="0" collapsed="false">
      <c r="A1227" s="1" t="n">
        <v>326</v>
      </c>
      <c r="B1227" s="1" t="s">
        <v>478</v>
      </c>
      <c r="C1227" s="143" t="n">
        <v>91601</v>
      </c>
      <c r="D1227" s="143" t="s">
        <v>65</v>
      </c>
      <c r="E1227" s="143" t="s">
        <v>474</v>
      </c>
      <c r="F1227" s="144" t="n">
        <v>200025888615</v>
      </c>
      <c r="G1227" s="144" t="s">
        <v>354</v>
      </c>
      <c r="H1227" s="144" t="n">
        <v>68</v>
      </c>
      <c r="I1227" s="144" t="s">
        <v>152</v>
      </c>
      <c r="J1227" s="6" t="n">
        <v>45079.1474652778</v>
      </c>
      <c r="K1227" s="1" t="n">
        <v>1</v>
      </c>
      <c r="L1227" s="144" t="n">
        <v>68</v>
      </c>
      <c r="M1227" s="1" t="n">
        <v>28</v>
      </c>
      <c r="N1227" s="1" t="n">
        <v>28</v>
      </c>
      <c r="O1227" s="149" t="n">
        <v>38</v>
      </c>
    </row>
    <row r="1228" customFormat="false" ht="14.25" hidden="false" customHeight="false" outlineLevel="0" collapsed="false">
      <c r="A1228" s="1" t="n">
        <v>327</v>
      </c>
      <c r="B1228" s="1" t="s">
        <v>478</v>
      </c>
      <c r="C1228" s="143" t="n">
        <v>91601</v>
      </c>
      <c r="D1228" s="143" t="s">
        <v>65</v>
      </c>
      <c r="E1228" s="143" t="s">
        <v>474</v>
      </c>
      <c r="F1228" s="144" t="n">
        <v>200025888615</v>
      </c>
      <c r="G1228" s="144" t="s">
        <v>354</v>
      </c>
      <c r="H1228" s="144" t="n">
        <v>68</v>
      </c>
      <c r="I1228" s="144" t="s">
        <v>152</v>
      </c>
      <c r="J1228" s="6" t="n">
        <v>45079.1474884259</v>
      </c>
      <c r="K1228" s="1" t="n">
        <v>1</v>
      </c>
      <c r="L1228" s="144" t="n">
        <v>68</v>
      </c>
      <c r="M1228" s="1" t="n">
        <v>28</v>
      </c>
      <c r="N1228" s="1" t="n">
        <v>28</v>
      </c>
      <c r="O1228" s="149" t="n">
        <v>39</v>
      </c>
    </row>
    <row r="1229" customFormat="false" ht="14.25" hidden="false" customHeight="false" outlineLevel="0" collapsed="false">
      <c r="A1229" s="1" t="n">
        <v>328</v>
      </c>
      <c r="B1229" s="1" t="s">
        <v>478</v>
      </c>
      <c r="C1229" s="143" t="n">
        <v>91601</v>
      </c>
      <c r="D1229" s="143" t="s">
        <v>65</v>
      </c>
      <c r="E1229" s="143" t="s">
        <v>474</v>
      </c>
      <c r="F1229" s="144" t="n">
        <v>200025888615</v>
      </c>
      <c r="G1229" s="144" t="s">
        <v>354</v>
      </c>
      <c r="H1229" s="144" t="n">
        <v>68</v>
      </c>
      <c r="I1229" s="144" t="s">
        <v>152</v>
      </c>
      <c r="J1229" s="6" t="n">
        <v>45079.1489930556</v>
      </c>
      <c r="K1229" s="1" t="n">
        <v>2</v>
      </c>
      <c r="L1229" s="144" t="n">
        <v>68</v>
      </c>
      <c r="M1229" s="1" t="n">
        <v>28</v>
      </c>
      <c r="N1229" s="1" t="n">
        <v>28</v>
      </c>
      <c r="O1229" s="149" t="n">
        <v>40</v>
      </c>
    </row>
    <row r="1230" customFormat="false" ht="14.25" hidden="false" customHeight="false" outlineLevel="0" collapsed="false">
      <c r="A1230" s="1" t="n">
        <v>329</v>
      </c>
      <c r="B1230" s="1" t="s">
        <v>478</v>
      </c>
      <c r="C1230" s="143" t="n">
        <v>91601</v>
      </c>
      <c r="D1230" s="143" t="s">
        <v>65</v>
      </c>
      <c r="E1230" s="143" t="s">
        <v>474</v>
      </c>
      <c r="F1230" s="144" t="n">
        <v>200025888615</v>
      </c>
      <c r="G1230" s="144" t="s">
        <v>354</v>
      </c>
      <c r="H1230" s="144" t="n">
        <v>68</v>
      </c>
      <c r="I1230" s="144" t="s">
        <v>152</v>
      </c>
      <c r="J1230" s="6" t="n">
        <v>45079.1490162037</v>
      </c>
      <c r="K1230" s="1" t="n">
        <v>1</v>
      </c>
      <c r="L1230" s="144" t="n">
        <v>68</v>
      </c>
      <c r="M1230" s="1" t="n">
        <v>28</v>
      </c>
      <c r="N1230" s="1" t="n">
        <v>28</v>
      </c>
      <c r="O1230" s="149" t="n">
        <v>41</v>
      </c>
    </row>
    <row r="1231" customFormat="false" ht="14.25" hidden="false" customHeight="false" outlineLevel="0" collapsed="false">
      <c r="A1231" s="1" t="n">
        <v>21</v>
      </c>
      <c r="B1231" s="1" t="s">
        <v>491</v>
      </c>
      <c r="C1231" s="143" t="s">
        <v>52</v>
      </c>
      <c r="D1231" s="143" t="s">
        <v>53</v>
      </c>
      <c r="E1231" s="143" t="s">
        <v>474</v>
      </c>
      <c r="F1231" s="144" t="n">
        <v>200025888615</v>
      </c>
      <c r="G1231" s="144" t="s">
        <v>354</v>
      </c>
      <c r="H1231" s="144" t="n">
        <v>68</v>
      </c>
      <c r="I1231" s="144" t="s">
        <v>152</v>
      </c>
      <c r="J1231" s="6" t="n">
        <v>45079.1505671296</v>
      </c>
      <c r="K1231" s="1" t="n">
        <v>2</v>
      </c>
      <c r="L1231" s="144" t="n">
        <v>68</v>
      </c>
      <c r="M1231" s="1" t="n">
        <v>28</v>
      </c>
      <c r="N1231" s="1" t="n">
        <v>28</v>
      </c>
      <c r="O1231" s="149" t="n">
        <v>42</v>
      </c>
    </row>
    <row r="1232" customFormat="false" ht="14.25" hidden="false" customHeight="false" outlineLevel="0" collapsed="false">
      <c r="A1232" s="1" t="n">
        <v>228</v>
      </c>
      <c r="B1232" s="1" t="s">
        <v>476</v>
      </c>
      <c r="C1232" s="143" t="s">
        <v>58</v>
      </c>
      <c r="D1232" s="143" t="s">
        <v>59</v>
      </c>
      <c r="E1232" s="143" t="s">
        <v>474</v>
      </c>
      <c r="F1232" s="144" t="n">
        <v>200025888513</v>
      </c>
      <c r="G1232" s="144" t="s">
        <v>280</v>
      </c>
      <c r="H1232" s="144" t="n">
        <v>72</v>
      </c>
      <c r="I1232" s="144" t="s">
        <v>152</v>
      </c>
      <c r="J1232" s="151" t="n">
        <v>45057.062974537</v>
      </c>
      <c r="K1232" s="1" t="n">
        <v>1</v>
      </c>
      <c r="L1232" s="144" t="n">
        <v>72</v>
      </c>
      <c r="M1232" s="1" t="n">
        <v>29</v>
      </c>
      <c r="N1232" s="1" t="n">
        <v>29</v>
      </c>
      <c r="O1232" s="149" t="n">
        <v>1</v>
      </c>
    </row>
    <row r="1233" customFormat="false" ht="14.25" hidden="false" customHeight="false" outlineLevel="0" collapsed="false">
      <c r="A1233" s="1" t="n">
        <v>231</v>
      </c>
      <c r="B1233" s="1" t="s">
        <v>476</v>
      </c>
      <c r="C1233" s="143" t="s">
        <v>58</v>
      </c>
      <c r="D1233" s="143" t="s">
        <v>59</v>
      </c>
      <c r="E1233" s="143" t="s">
        <v>474</v>
      </c>
      <c r="F1233" s="144" t="n">
        <v>200025888513</v>
      </c>
      <c r="G1233" s="144" t="s">
        <v>280</v>
      </c>
      <c r="H1233" s="144" t="n">
        <v>72</v>
      </c>
      <c r="I1233" s="144" t="s">
        <v>152</v>
      </c>
      <c r="J1233" s="151" t="n">
        <v>45057.0784606482</v>
      </c>
      <c r="K1233" s="1" t="n">
        <v>1</v>
      </c>
      <c r="L1233" s="144" t="n">
        <v>72</v>
      </c>
      <c r="M1233" s="1" t="n">
        <v>29</v>
      </c>
      <c r="N1233" s="1" t="n">
        <v>29</v>
      </c>
      <c r="O1233" s="149" t="n">
        <v>2</v>
      </c>
    </row>
    <row r="1234" customFormat="false" ht="14.25" hidden="false" customHeight="false" outlineLevel="0" collapsed="false">
      <c r="A1234" s="1" t="n">
        <v>235</v>
      </c>
      <c r="B1234" s="1" t="s">
        <v>476</v>
      </c>
      <c r="C1234" s="143" t="s">
        <v>58</v>
      </c>
      <c r="D1234" s="143" t="s">
        <v>59</v>
      </c>
      <c r="E1234" s="143" t="s">
        <v>474</v>
      </c>
      <c r="F1234" s="144" t="n">
        <v>200025888513</v>
      </c>
      <c r="G1234" s="144" t="s">
        <v>280</v>
      </c>
      <c r="H1234" s="144" t="n">
        <v>72</v>
      </c>
      <c r="I1234" s="144" t="s">
        <v>152</v>
      </c>
      <c r="J1234" s="151" t="n">
        <v>45057.2423263889</v>
      </c>
      <c r="K1234" s="1" t="n">
        <v>2</v>
      </c>
      <c r="L1234" s="144" t="n">
        <v>72</v>
      </c>
      <c r="M1234" s="1" t="n">
        <v>29</v>
      </c>
      <c r="N1234" s="1" t="n">
        <v>29</v>
      </c>
      <c r="O1234" s="149" t="n">
        <v>3</v>
      </c>
    </row>
    <row r="1235" customFormat="false" ht="14.25" hidden="false" customHeight="false" outlineLevel="0" collapsed="false">
      <c r="A1235" s="1" t="n">
        <v>188</v>
      </c>
      <c r="B1235" s="1" t="s">
        <v>477</v>
      </c>
      <c r="C1235" s="143" t="n">
        <v>91601</v>
      </c>
      <c r="D1235" s="143" t="s">
        <v>64</v>
      </c>
      <c r="E1235" s="143" t="s">
        <v>474</v>
      </c>
      <c r="F1235" s="144" t="n">
        <v>200025888513</v>
      </c>
      <c r="G1235" s="144" t="s">
        <v>280</v>
      </c>
      <c r="H1235" s="144" t="n">
        <v>72</v>
      </c>
      <c r="I1235" s="144" t="s">
        <v>152</v>
      </c>
      <c r="J1235" s="152" t="n">
        <v>45057.3018518519</v>
      </c>
      <c r="K1235" s="1" t="n">
        <v>1</v>
      </c>
      <c r="L1235" s="144" t="n">
        <v>72</v>
      </c>
      <c r="M1235" s="1" t="n">
        <v>29</v>
      </c>
      <c r="N1235" s="1" t="n">
        <v>29</v>
      </c>
      <c r="O1235" s="149" t="n">
        <v>4</v>
      </c>
    </row>
    <row r="1236" customFormat="false" ht="14.25" hidden="false" customHeight="false" outlineLevel="0" collapsed="false">
      <c r="A1236" s="1" t="n">
        <v>189</v>
      </c>
      <c r="B1236" s="1" t="s">
        <v>477</v>
      </c>
      <c r="C1236" s="143" t="n">
        <v>91601</v>
      </c>
      <c r="D1236" s="143" t="s">
        <v>64</v>
      </c>
      <c r="E1236" s="143" t="s">
        <v>474</v>
      </c>
      <c r="F1236" s="144" t="n">
        <v>200025888513</v>
      </c>
      <c r="G1236" s="144" t="s">
        <v>280</v>
      </c>
      <c r="H1236" s="144" t="n">
        <v>72</v>
      </c>
      <c r="I1236" s="144" t="s">
        <v>152</v>
      </c>
      <c r="J1236" s="152" t="n">
        <v>45057.302650463</v>
      </c>
      <c r="K1236" s="1" t="n">
        <v>6</v>
      </c>
      <c r="L1236" s="144" t="n">
        <v>72</v>
      </c>
      <c r="M1236" s="1" t="n">
        <v>29</v>
      </c>
      <c r="N1236" s="1" t="n">
        <v>29</v>
      </c>
      <c r="O1236" s="149" t="n">
        <v>5</v>
      </c>
    </row>
    <row r="1237" customFormat="false" ht="14.25" hidden="false" customHeight="false" outlineLevel="0" collapsed="false">
      <c r="A1237" s="1" t="n">
        <v>190</v>
      </c>
      <c r="B1237" s="1" t="s">
        <v>477</v>
      </c>
      <c r="C1237" s="143" t="n">
        <v>91601</v>
      </c>
      <c r="D1237" s="143" t="s">
        <v>64</v>
      </c>
      <c r="E1237" s="143" t="s">
        <v>474</v>
      </c>
      <c r="F1237" s="144" t="n">
        <v>200025888513</v>
      </c>
      <c r="G1237" s="144" t="s">
        <v>280</v>
      </c>
      <c r="H1237" s="144" t="n">
        <v>72</v>
      </c>
      <c r="I1237" s="144" t="s">
        <v>152</v>
      </c>
      <c r="J1237" s="152" t="n">
        <v>45057.3033449074</v>
      </c>
      <c r="K1237" s="1" t="n">
        <v>3</v>
      </c>
      <c r="L1237" s="144" t="n">
        <v>72</v>
      </c>
      <c r="M1237" s="1" t="n">
        <v>29</v>
      </c>
      <c r="N1237" s="1" t="n">
        <v>29</v>
      </c>
      <c r="O1237" s="149" t="n">
        <v>6</v>
      </c>
    </row>
    <row r="1238" customFormat="false" ht="14.25" hidden="false" customHeight="false" outlineLevel="0" collapsed="false">
      <c r="A1238" s="1" t="n">
        <v>191</v>
      </c>
      <c r="B1238" s="1" t="s">
        <v>477</v>
      </c>
      <c r="C1238" s="143" t="n">
        <v>91601</v>
      </c>
      <c r="D1238" s="143" t="s">
        <v>64</v>
      </c>
      <c r="E1238" s="143" t="s">
        <v>474</v>
      </c>
      <c r="F1238" s="144" t="n">
        <v>200025888513</v>
      </c>
      <c r="G1238" s="144" t="s">
        <v>280</v>
      </c>
      <c r="H1238" s="144" t="n">
        <v>72</v>
      </c>
      <c r="I1238" s="144" t="s">
        <v>152</v>
      </c>
      <c r="J1238" s="152" t="n">
        <v>45057.3037731481</v>
      </c>
      <c r="K1238" s="1" t="n">
        <v>1</v>
      </c>
      <c r="L1238" s="144" t="n">
        <v>72</v>
      </c>
      <c r="M1238" s="1" t="n">
        <v>29</v>
      </c>
      <c r="N1238" s="1" t="n">
        <v>29</v>
      </c>
      <c r="O1238" s="149" t="n">
        <v>7</v>
      </c>
    </row>
    <row r="1239" customFormat="false" ht="14.25" hidden="false" customHeight="false" outlineLevel="0" collapsed="false">
      <c r="A1239" s="1" t="n">
        <v>192</v>
      </c>
      <c r="B1239" s="1" t="s">
        <v>477</v>
      </c>
      <c r="C1239" s="143" t="n">
        <v>91601</v>
      </c>
      <c r="D1239" s="143" t="s">
        <v>64</v>
      </c>
      <c r="E1239" s="143" t="s">
        <v>474</v>
      </c>
      <c r="F1239" s="144" t="n">
        <v>200025888513</v>
      </c>
      <c r="G1239" s="144" t="s">
        <v>280</v>
      </c>
      <c r="H1239" s="144" t="n">
        <v>72</v>
      </c>
      <c r="I1239" s="144" t="s">
        <v>152</v>
      </c>
      <c r="J1239" s="152" t="n">
        <v>45057.3049537037</v>
      </c>
      <c r="K1239" s="1" t="n">
        <v>1</v>
      </c>
      <c r="L1239" s="144" t="n">
        <v>72</v>
      </c>
      <c r="M1239" s="1" t="n">
        <v>29</v>
      </c>
      <c r="N1239" s="1" t="n">
        <v>29</v>
      </c>
      <c r="O1239" s="149" t="n">
        <v>8</v>
      </c>
    </row>
    <row r="1240" customFormat="false" ht="14.25" hidden="false" customHeight="false" outlineLevel="0" collapsed="false">
      <c r="A1240" s="1" t="n">
        <v>193</v>
      </c>
      <c r="B1240" s="1" t="s">
        <v>477</v>
      </c>
      <c r="C1240" s="143" t="n">
        <v>91601</v>
      </c>
      <c r="D1240" s="143" t="s">
        <v>64</v>
      </c>
      <c r="E1240" s="143" t="s">
        <v>474</v>
      </c>
      <c r="F1240" s="144" t="n">
        <v>200025888513</v>
      </c>
      <c r="G1240" s="144" t="s">
        <v>280</v>
      </c>
      <c r="H1240" s="144" t="n">
        <v>72</v>
      </c>
      <c r="I1240" s="144" t="s">
        <v>152</v>
      </c>
      <c r="J1240" s="152" t="n">
        <v>45057.3056481482</v>
      </c>
      <c r="K1240" s="1" t="n">
        <v>2</v>
      </c>
      <c r="L1240" s="144" t="n">
        <v>72</v>
      </c>
      <c r="M1240" s="1" t="n">
        <v>29</v>
      </c>
      <c r="N1240" s="1" t="n">
        <v>29</v>
      </c>
      <c r="O1240" s="149" t="n">
        <v>9</v>
      </c>
    </row>
    <row r="1241" customFormat="false" ht="14.25" hidden="false" customHeight="false" outlineLevel="0" collapsed="false">
      <c r="A1241" s="1" t="n">
        <v>194</v>
      </c>
      <c r="B1241" s="1" t="s">
        <v>477</v>
      </c>
      <c r="C1241" s="143" t="n">
        <v>91601</v>
      </c>
      <c r="D1241" s="143" t="s">
        <v>64</v>
      </c>
      <c r="E1241" s="143" t="s">
        <v>474</v>
      </c>
      <c r="F1241" s="144" t="n">
        <v>200025888513</v>
      </c>
      <c r="G1241" s="144" t="s">
        <v>280</v>
      </c>
      <c r="H1241" s="144" t="n">
        <v>72</v>
      </c>
      <c r="I1241" s="144" t="s">
        <v>152</v>
      </c>
      <c r="J1241" s="152" t="n">
        <v>45057.3060763889</v>
      </c>
      <c r="K1241" s="1" t="n">
        <v>1</v>
      </c>
      <c r="L1241" s="144" t="n">
        <v>72</v>
      </c>
      <c r="M1241" s="1" t="n">
        <v>29</v>
      </c>
      <c r="N1241" s="1" t="n">
        <v>29</v>
      </c>
      <c r="O1241" s="149" t="n">
        <v>10</v>
      </c>
    </row>
    <row r="1242" customFormat="false" ht="14.25" hidden="false" customHeight="false" outlineLevel="0" collapsed="false">
      <c r="A1242" s="1" t="n">
        <v>195</v>
      </c>
      <c r="B1242" s="1" t="s">
        <v>477</v>
      </c>
      <c r="C1242" s="143" t="n">
        <v>91601</v>
      </c>
      <c r="D1242" s="143" t="s">
        <v>64</v>
      </c>
      <c r="E1242" s="143" t="s">
        <v>474</v>
      </c>
      <c r="F1242" s="144" t="n">
        <v>200025888513</v>
      </c>
      <c r="G1242" s="144" t="s">
        <v>280</v>
      </c>
      <c r="H1242" s="144" t="n">
        <v>72</v>
      </c>
      <c r="I1242" s="144" t="s">
        <v>152</v>
      </c>
      <c r="J1242" s="152" t="n">
        <v>45057.3085532407</v>
      </c>
      <c r="K1242" s="1" t="n">
        <v>1</v>
      </c>
      <c r="L1242" s="144" t="n">
        <v>72</v>
      </c>
      <c r="M1242" s="1" t="n">
        <v>29</v>
      </c>
      <c r="N1242" s="1" t="n">
        <v>29</v>
      </c>
      <c r="O1242" s="149" t="n">
        <v>11</v>
      </c>
    </row>
    <row r="1243" customFormat="false" ht="14.25" hidden="false" customHeight="false" outlineLevel="0" collapsed="false">
      <c r="A1243" s="1" t="n">
        <v>196</v>
      </c>
      <c r="B1243" s="1" t="s">
        <v>477</v>
      </c>
      <c r="C1243" s="143" t="n">
        <v>91601</v>
      </c>
      <c r="D1243" s="143" t="s">
        <v>64</v>
      </c>
      <c r="E1243" s="143" t="s">
        <v>474</v>
      </c>
      <c r="F1243" s="144" t="n">
        <v>200025888513</v>
      </c>
      <c r="G1243" s="144" t="s">
        <v>280</v>
      </c>
      <c r="H1243" s="144" t="n">
        <v>72</v>
      </c>
      <c r="I1243" s="144" t="s">
        <v>152</v>
      </c>
      <c r="J1243" s="152" t="n">
        <v>45057.3101967593</v>
      </c>
      <c r="K1243" s="1" t="n">
        <v>0</v>
      </c>
      <c r="L1243" s="144" t="n">
        <v>72</v>
      </c>
      <c r="M1243" s="1" t="n">
        <v>29</v>
      </c>
      <c r="N1243" s="1" t="n">
        <v>29</v>
      </c>
      <c r="O1243" s="149" t="n">
        <v>12</v>
      </c>
    </row>
    <row r="1244" customFormat="false" ht="14.25" hidden="false" customHeight="false" outlineLevel="0" collapsed="false">
      <c r="A1244" s="1" t="n">
        <v>197</v>
      </c>
      <c r="B1244" s="1" t="s">
        <v>477</v>
      </c>
      <c r="C1244" s="143" t="n">
        <v>91601</v>
      </c>
      <c r="D1244" s="143" t="s">
        <v>64</v>
      </c>
      <c r="E1244" s="143" t="s">
        <v>474</v>
      </c>
      <c r="F1244" s="144" t="n">
        <v>200025888513</v>
      </c>
      <c r="G1244" s="144" t="s">
        <v>280</v>
      </c>
      <c r="H1244" s="144" t="n">
        <v>72</v>
      </c>
      <c r="I1244" s="144" t="s">
        <v>152</v>
      </c>
      <c r="J1244" s="152" t="n">
        <v>45057.3145138889</v>
      </c>
      <c r="K1244" s="1" t="n">
        <v>3</v>
      </c>
      <c r="L1244" s="144" t="n">
        <v>72</v>
      </c>
      <c r="M1244" s="1" t="n">
        <v>29</v>
      </c>
      <c r="N1244" s="1" t="n">
        <v>29</v>
      </c>
      <c r="O1244" s="149" t="n">
        <v>13</v>
      </c>
    </row>
    <row r="1245" customFormat="false" ht="14.25" hidden="false" customHeight="false" outlineLevel="0" collapsed="false">
      <c r="A1245" s="1" t="n">
        <v>323</v>
      </c>
      <c r="B1245" s="1" t="s">
        <v>473</v>
      </c>
      <c r="C1245" s="143" t="n">
        <v>11490</v>
      </c>
      <c r="D1245" s="143" t="s">
        <v>65</v>
      </c>
      <c r="E1245" s="143" t="s">
        <v>474</v>
      </c>
      <c r="F1245" s="144" t="n">
        <v>200025888513</v>
      </c>
      <c r="G1245" s="144" t="s">
        <v>280</v>
      </c>
      <c r="H1245" s="144" t="n">
        <v>72</v>
      </c>
      <c r="I1245" s="144" t="s">
        <v>152</v>
      </c>
      <c r="J1245" s="151" t="n">
        <v>45057.3964583333</v>
      </c>
      <c r="K1245" s="1" t="n">
        <v>1</v>
      </c>
      <c r="L1245" s="144" t="n">
        <v>72</v>
      </c>
      <c r="M1245" s="1" t="n">
        <v>29</v>
      </c>
      <c r="N1245" s="1" t="n">
        <v>29</v>
      </c>
      <c r="O1245" s="149" t="n">
        <v>14</v>
      </c>
    </row>
    <row r="1246" customFormat="false" ht="14.25" hidden="false" customHeight="false" outlineLevel="0" collapsed="false">
      <c r="A1246" s="1" t="n">
        <v>250</v>
      </c>
      <c r="B1246" s="1" t="s">
        <v>476</v>
      </c>
      <c r="C1246" s="143" t="s">
        <v>58</v>
      </c>
      <c r="D1246" s="143" t="s">
        <v>59</v>
      </c>
      <c r="E1246" s="143" t="s">
        <v>474</v>
      </c>
      <c r="F1246" s="144" t="n">
        <v>200025888513</v>
      </c>
      <c r="G1246" s="144" t="s">
        <v>280</v>
      </c>
      <c r="H1246" s="144" t="n">
        <v>72</v>
      </c>
      <c r="I1246" s="144" t="s">
        <v>152</v>
      </c>
      <c r="J1246" s="151" t="n">
        <v>45057.4065277778</v>
      </c>
      <c r="K1246" s="1" t="n">
        <v>1</v>
      </c>
      <c r="L1246" s="144" t="n">
        <v>72</v>
      </c>
      <c r="M1246" s="1" t="n">
        <v>29</v>
      </c>
      <c r="N1246" s="1" t="n">
        <v>29</v>
      </c>
      <c r="O1246" s="149" t="n">
        <v>15</v>
      </c>
    </row>
    <row r="1247" customFormat="false" ht="14.25" hidden="false" customHeight="false" outlineLevel="0" collapsed="false">
      <c r="A1247" s="1" t="n">
        <v>251</v>
      </c>
      <c r="B1247" s="1" t="s">
        <v>476</v>
      </c>
      <c r="C1247" s="143" t="s">
        <v>58</v>
      </c>
      <c r="D1247" s="143" t="s">
        <v>59</v>
      </c>
      <c r="E1247" s="143" t="s">
        <v>474</v>
      </c>
      <c r="F1247" s="144" t="n">
        <v>200025888513</v>
      </c>
      <c r="G1247" s="144" t="s">
        <v>280</v>
      </c>
      <c r="H1247" s="144" t="n">
        <v>72</v>
      </c>
      <c r="I1247" s="144" t="s">
        <v>152</v>
      </c>
      <c r="J1247" s="151" t="n">
        <v>45057.4069560185</v>
      </c>
      <c r="K1247" s="1" t="n">
        <v>1</v>
      </c>
      <c r="L1247" s="144" t="n">
        <v>72</v>
      </c>
      <c r="M1247" s="1" t="n">
        <v>29</v>
      </c>
      <c r="N1247" s="1" t="n">
        <v>29</v>
      </c>
      <c r="O1247" s="149" t="n">
        <v>16</v>
      </c>
    </row>
    <row r="1248" customFormat="false" ht="14.25" hidden="false" customHeight="false" outlineLevel="0" collapsed="false">
      <c r="A1248" s="1" t="n">
        <v>252</v>
      </c>
      <c r="B1248" s="1" t="s">
        <v>476</v>
      </c>
      <c r="C1248" s="143" t="s">
        <v>58</v>
      </c>
      <c r="D1248" s="143" t="s">
        <v>59</v>
      </c>
      <c r="E1248" s="143" t="s">
        <v>474</v>
      </c>
      <c r="F1248" s="144" t="n">
        <v>200025888513</v>
      </c>
      <c r="G1248" s="144" t="s">
        <v>280</v>
      </c>
      <c r="H1248" s="144" t="n">
        <v>72</v>
      </c>
      <c r="I1248" s="144" t="s">
        <v>152</v>
      </c>
      <c r="J1248" s="151" t="n">
        <v>45057.4075231482</v>
      </c>
      <c r="K1248" s="1" t="n">
        <v>2</v>
      </c>
      <c r="L1248" s="144" t="n">
        <v>72</v>
      </c>
      <c r="M1248" s="1" t="n">
        <v>29</v>
      </c>
      <c r="N1248" s="1" t="n">
        <v>29</v>
      </c>
      <c r="O1248" s="149" t="n">
        <v>17</v>
      </c>
    </row>
    <row r="1249" customFormat="false" ht="14.25" hidden="false" customHeight="false" outlineLevel="0" collapsed="false">
      <c r="A1249" s="1" t="n">
        <v>253</v>
      </c>
      <c r="B1249" s="1" t="s">
        <v>476</v>
      </c>
      <c r="C1249" s="143" t="s">
        <v>58</v>
      </c>
      <c r="D1249" s="143" t="s">
        <v>59</v>
      </c>
      <c r="E1249" s="143" t="s">
        <v>474</v>
      </c>
      <c r="F1249" s="144" t="n">
        <v>200025888513</v>
      </c>
      <c r="G1249" s="144" t="s">
        <v>280</v>
      </c>
      <c r="H1249" s="144" t="n">
        <v>72</v>
      </c>
      <c r="I1249" s="144" t="s">
        <v>152</v>
      </c>
      <c r="J1249" s="151" t="n">
        <v>45057.41375</v>
      </c>
      <c r="K1249" s="1" t="n">
        <v>1</v>
      </c>
      <c r="L1249" s="144" t="n">
        <v>72</v>
      </c>
      <c r="M1249" s="1" t="n">
        <v>29</v>
      </c>
      <c r="N1249" s="1" t="n">
        <v>29</v>
      </c>
      <c r="O1249" s="149" t="n">
        <v>18</v>
      </c>
    </row>
    <row r="1250" customFormat="false" ht="14.25" hidden="false" customHeight="false" outlineLevel="0" collapsed="false">
      <c r="A1250" s="1" t="n">
        <v>254</v>
      </c>
      <c r="B1250" s="1" t="s">
        <v>476</v>
      </c>
      <c r="C1250" s="143" t="s">
        <v>58</v>
      </c>
      <c r="D1250" s="143" t="s">
        <v>59</v>
      </c>
      <c r="E1250" s="143" t="s">
        <v>474</v>
      </c>
      <c r="F1250" s="144" t="n">
        <v>200025888513</v>
      </c>
      <c r="G1250" s="144" t="s">
        <v>280</v>
      </c>
      <c r="H1250" s="144" t="n">
        <v>72</v>
      </c>
      <c r="I1250" s="144" t="s">
        <v>152</v>
      </c>
      <c r="J1250" s="151" t="n">
        <v>45057.4139583333</v>
      </c>
      <c r="K1250" s="1" t="n">
        <v>4</v>
      </c>
      <c r="L1250" s="144" t="n">
        <v>72</v>
      </c>
      <c r="M1250" s="1" t="n">
        <v>29</v>
      </c>
      <c r="N1250" s="1" t="n">
        <v>29</v>
      </c>
      <c r="O1250" s="149" t="n">
        <v>19</v>
      </c>
    </row>
    <row r="1251" customFormat="false" ht="14.25" hidden="false" customHeight="false" outlineLevel="0" collapsed="false">
      <c r="A1251" s="1" t="n">
        <v>255</v>
      </c>
      <c r="B1251" s="1" t="s">
        <v>476</v>
      </c>
      <c r="C1251" s="143" t="s">
        <v>58</v>
      </c>
      <c r="D1251" s="143" t="s">
        <v>59</v>
      </c>
      <c r="E1251" s="143" t="s">
        <v>474</v>
      </c>
      <c r="F1251" s="144" t="n">
        <v>200025888513</v>
      </c>
      <c r="G1251" s="144" t="s">
        <v>280</v>
      </c>
      <c r="H1251" s="144" t="n">
        <v>72</v>
      </c>
      <c r="I1251" s="144" t="s">
        <v>152</v>
      </c>
      <c r="J1251" s="151" t="n">
        <v>45057.418587963</v>
      </c>
      <c r="K1251" s="1" t="n">
        <v>3</v>
      </c>
      <c r="L1251" s="144" t="n">
        <v>72</v>
      </c>
      <c r="M1251" s="1" t="n">
        <v>29</v>
      </c>
      <c r="N1251" s="1" t="n">
        <v>29</v>
      </c>
      <c r="O1251" s="149" t="n">
        <v>20</v>
      </c>
    </row>
    <row r="1252" customFormat="false" ht="14.25" hidden="false" customHeight="false" outlineLevel="0" collapsed="false">
      <c r="A1252" s="1" t="n">
        <v>328</v>
      </c>
      <c r="B1252" s="1" t="s">
        <v>473</v>
      </c>
      <c r="C1252" s="143" t="n">
        <v>11490</v>
      </c>
      <c r="D1252" s="143" t="s">
        <v>65</v>
      </c>
      <c r="E1252" s="143" t="s">
        <v>474</v>
      </c>
      <c r="F1252" s="144" t="n">
        <v>200025888513</v>
      </c>
      <c r="G1252" s="144" t="s">
        <v>280</v>
      </c>
      <c r="H1252" s="144" t="n">
        <v>72</v>
      </c>
      <c r="I1252" s="144" t="s">
        <v>152</v>
      </c>
      <c r="J1252" s="151" t="n">
        <v>45057.4207638889</v>
      </c>
      <c r="K1252" s="1" t="n">
        <v>2</v>
      </c>
      <c r="L1252" s="144" t="n">
        <v>72</v>
      </c>
      <c r="M1252" s="1" t="n">
        <v>29</v>
      </c>
      <c r="N1252" s="1" t="n">
        <v>29</v>
      </c>
      <c r="O1252" s="149" t="n">
        <v>21</v>
      </c>
    </row>
    <row r="1253" customFormat="false" ht="14.25" hidden="false" customHeight="false" outlineLevel="0" collapsed="false">
      <c r="A1253" s="1" t="n">
        <v>329</v>
      </c>
      <c r="B1253" s="1" t="s">
        <v>473</v>
      </c>
      <c r="C1253" s="143" t="n">
        <v>11490</v>
      </c>
      <c r="D1253" s="143" t="s">
        <v>65</v>
      </c>
      <c r="E1253" s="143" t="s">
        <v>474</v>
      </c>
      <c r="F1253" s="144" t="n">
        <v>200025888513</v>
      </c>
      <c r="G1253" s="144" t="s">
        <v>280</v>
      </c>
      <c r="H1253" s="144" t="n">
        <v>72</v>
      </c>
      <c r="I1253" s="144" t="s">
        <v>152</v>
      </c>
      <c r="J1253" s="151" t="n">
        <v>45057.4208796296</v>
      </c>
      <c r="K1253" s="1" t="n">
        <v>0</v>
      </c>
      <c r="L1253" s="144" t="n">
        <v>72</v>
      </c>
      <c r="M1253" s="1" t="n">
        <v>29</v>
      </c>
      <c r="N1253" s="1" t="n">
        <v>29</v>
      </c>
      <c r="O1253" s="149" t="n">
        <v>22</v>
      </c>
    </row>
    <row r="1254" customFormat="false" ht="14.25" hidden="false" customHeight="false" outlineLevel="0" collapsed="false">
      <c r="A1254" s="1" t="n">
        <v>330</v>
      </c>
      <c r="B1254" s="1" t="s">
        <v>473</v>
      </c>
      <c r="C1254" s="143" t="n">
        <v>11490</v>
      </c>
      <c r="D1254" s="143" t="s">
        <v>65</v>
      </c>
      <c r="E1254" s="143" t="s">
        <v>474</v>
      </c>
      <c r="F1254" s="144" t="n">
        <v>200025888513</v>
      </c>
      <c r="G1254" s="144" t="s">
        <v>280</v>
      </c>
      <c r="H1254" s="144" t="n">
        <v>72</v>
      </c>
      <c r="I1254" s="144" t="s">
        <v>152</v>
      </c>
      <c r="J1254" s="151" t="n">
        <v>45057.4210300926</v>
      </c>
      <c r="K1254" s="1" t="n">
        <v>2</v>
      </c>
      <c r="L1254" s="144" t="n">
        <v>72</v>
      </c>
      <c r="M1254" s="1" t="n">
        <v>29</v>
      </c>
      <c r="N1254" s="1" t="n">
        <v>29</v>
      </c>
      <c r="O1254" s="149" t="n">
        <v>23</v>
      </c>
    </row>
    <row r="1255" customFormat="false" ht="14.25" hidden="false" customHeight="false" outlineLevel="0" collapsed="false">
      <c r="A1255" s="1" t="n">
        <v>331</v>
      </c>
      <c r="B1255" s="1" t="s">
        <v>473</v>
      </c>
      <c r="C1255" s="143" t="n">
        <v>11490</v>
      </c>
      <c r="D1255" s="143" t="s">
        <v>65</v>
      </c>
      <c r="E1255" s="143" t="s">
        <v>474</v>
      </c>
      <c r="F1255" s="144" t="n">
        <v>200025888513</v>
      </c>
      <c r="G1255" s="144" t="s">
        <v>280</v>
      </c>
      <c r="H1255" s="144" t="n">
        <v>72</v>
      </c>
      <c r="I1255" s="144" t="s">
        <v>152</v>
      </c>
      <c r="J1255" s="151" t="n">
        <v>45057.4777546296</v>
      </c>
      <c r="K1255" s="1" t="n">
        <v>2</v>
      </c>
      <c r="L1255" s="144" t="n">
        <v>72</v>
      </c>
      <c r="M1255" s="1" t="n">
        <v>29</v>
      </c>
      <c r="N1255" s="1" t="n">
        <v>29</v>
      </c>
      <c r="O1255" s="149" t="n">
        <v>24</v>
      </c>
    </row>
    <row r="1256" customFormat="false" ht="14.25" hidden="false" customHeight="false" outlineLevel="0" collapsed="false">
      <c r="A1256" s="1" t="n">
        <v>204</v>
      </c>
      <c r="B1256" s="1" t="s">
        <v>475</v>
      </c>
      <c r="C1256" s="143" t="s">
        <v>52</v>
      </c>
      <c r="D1256" s="143" t="s">
        <v>53</v>
      </c>
      <c r="E1256" s="143" t="s">
        <v>474</v>
      </c>
      <c r="F1256" s="144" t="n">
        <v>200025888513</v>
      </c>
      <c r="G1256" s="144" t="s">
        <v>280</v>
      </c>
      <c r="H1256" s="144" t="n">
        <v>72</v>
      </c>
      <c r="I1256" s="144" t="s">
        <v>152</v>
      </c>
      <c r="J1256" s="151" t="n">
        <v>45057.5136921296</v>
      </c>
      <c r="K1256" s="1" t="n">
        <v>1</v>
      </c>
      <c r="L1256" s="144" t="n">
        <v>72</v>
      </c>
      <c r="M1256" s="1" t="n">
        <v>29</v>
      </c>
      <c r="N1256" s="1" t="n">
        <v>29</v>
      </c>
      <c r="O1256" s="149" t="n">
        <v>25</v>
      </c>
    </row>
    <row r="1257" customFormat="false" ht="14.25" hidden="false" customHeight="false" outlineLevel="0" collapsed="false">
      <c r="A1257" s="1" t="n">
        <v>205</v>
      </c>
      <c r="B1257" s="1" t="s">
        <v>475</v>
      </c>
      <c r="C1257" s="143" t="s">
        <v>52</v>
      </c>
      <c r="D1257" s="143" t="s">
        <v>53</v>
      </c>
      <c r="E1257" s="143" t="s">
        <v>474</v>
      </c>
      <c r="F1257" s="144" t="n">
        <v>200025888513</v>
      </c>
      <c r="G1257" s="144" t="s">
        <v>280</v>
      </c>
      <c r="H1257" s="144" t="n">
        <v>72</v>
      </c>
      <c r="I1257" s="144" t="s">
        <v>152</v>
      </c>
      <c r="J1257" s="151" t="n">
        <v>45057.5144328704</v>
      </c>
      <c r="K1257" s="1" t="n">
        <v>1</v>
      </c>
      <c r="L1257" s="144" t="n">
        <v>72</v>
      </c>
      <c r="M1257" s="1" t="n">
        <v>29</v>
      </c>
      <c r="N1257" s="1" t="n">
        <v>29</v>
      </c>
      <c r="O1257" s="149" t="n">
        <v>26</v>
      </c>
    </row>
    <row r="1258" customFormat="false" ht="14.25" hidden="false" customHeight="false" outlineLevel="0" collapsed="false">
      <c r="A1258" s="1" t="n">
        <v>211</v>
      </c>
      <c r="B1258" s="1" t="s">
        <v>477</v>
      </c>
      <c r="C1258" s="143" t="n">
        <v>91601</v>
      </c>
      <c r="D1258" s="143" t="s">
        <v>64</v>
      </c>
      <c r="E1258" s="143" t="s">
        <v>474</v>
      </c>
      <c r="F1258" s="144" t="n">
        <v>200025888513</v>
      </c>
      <c r="G1258" s="144" t="s">
        <v>280</v>
      </c>
      <c r="H1258" s="144" t="n">
        <v>72</v>
      </c>
      <c r="I1258" s="144" t="s">
        <v>152</v>
      </c>
      <c r="J1258" s="152" t="n">
        <v>45057.5761226852</v>
      </c>
      <c r="K1258" s="1" t="n">
        <v>1</v>
      </c>
      <c r="L1258" s="144" t="n">
        <v>72</v>
      </c>
      <c r="M1258" s="1" t="n">
        <v>29</v>
      </c>
      <c r="N1258" s="1" t="n">
        <v>29</v>
      </c>
      <c r="O1258" s="149" t="n">
        <v>27</v>
      </c>
    </row>
    <row r="1259" customFormat="false" ht="14.25" hidden="false" customHeight="false" outlineLevel="0" collapsed="false">
      <c r="A1259" s="1" t="n">
        <v>359</v>
      </c>
      <c r="B1259" s="1" t="s">
        <v>473</v>
      </c>
      <c r="C1259" s="143" t="n">
        <v>11490</v>
      </c>
      <c r="D1259" s="143" t="s">
        <v>65</v>
      </c>
      <c r="E1259" s="143" t="s">
        <v>474</v>
      </c>
      <c r="F1259" s="144" t="n">
        <v>200025888513</v>
      </c>
      <c r="G1259" s="144" t="s">
        <v>280</v>
      </c>
      <c r="H1259" s="144" t="n">
        <v>72</v>
      </c>
      <c r="I1259" s="144" t="s">
        <v>152</v>
      </c>
      <c r="J1259" s="151" t="n">
        <v>45057.6343865741</v>
      </c>
      <c r="K1259" s="1" t="n">
        <v>1</v>
      </c>
      <c r="L1259" s="144" t="n">
        <v>72</v>
      </c>
      <c r="M1259" s="1" t="n">
        <v>29</v>
      </c>
      <c r="N1259" s="1" t="n">
        <v>29</v>
      </c>
      <c r="O1259" s="149" t="n">
        <v>28</v>
      </c>
    </row>
    <row r="1260" customFormat="false" ht="14.25" hidden="false" customHeight="false" outlineLevel="0" collapsed="false">
      <c r="A1260" s="1" t="n">
        <v>265</v>
      </c>
      <c r="B1260" s="1" t="s">
        <v>476</v>
      </c>
      <c r="C1260" s="143" t="s">
        <v>58</v>
      </c>
      <c r="D1260" s="143" t="s">
        <v>59</v>
      </c>
      <c r="E1260" s="143" t="s">
        <v>474</v>
      </c>
      <c r="F1260" s="144" t="n">
        <v>200025888513</v>
      </c>
      <c r="G1260" s="144" t="s">
        <v>280</v>
      </c>
      <c r="H1260" s="144" t="n">
        <v>72</v>
      </c>
      <c r="I1260" s="144" t="s">
        <v>152</v>
      </c>
      <c r="J1260" s="151" t="n">
        <v>45057.7046412037</v>
      </c>
      <c r="K1260" s="1" t="n">
        <v>2</v>
      </c>
      <c r="L1260" s="144" t="n">
        <v>72</v>
      </c>
      <c r="M1260" s="1" t="n">
        <v>29</v>
      </c>
      <c r="N1260" s="1" t="n">
        <v>29</v>
      </c>
      <c r="O1260" s="149" t="n">
        <v>29</v>
      </c>
    </row>
    <row r="1261" customFormat="false" ht="14.25" hidden="false" customHeight="false" outlineLevel="0" collapsed="false">
      <c r="A1261" s="1" t="n">
        <v>266</v>
      </c>
      <c r="B1261" s="1" t="s">
        <v>476</v>
      </c>
      <c r="C1261" s="143" t="s">
        <v>58</v>
      </c>
      <c r="D1261" s="143" t="s">
        <v>59</v>
      </c>
      <c r="E1261" s="143" t="s">
        <v>474</v>
      </c>
      <c r="F1261" s="144" t="n">
        <v>200025888513</v>
      </c>
      <c r="G1261" s="144" t="s">
        <v>280</v>
      </c>
      <c r="H1261" s="144" t="n">
        <v>72</v>
      </c>
      <c r="I1261" s="144" t="s">
        <v>152</v>
      </c>
      <c r="J1261" s="151" t="n">
        <v>45057.7122453704</v>
      </c>
      <c r="K1261" s="1" t="n">
        <v>2</v>
      </c>
      <c r="L1261" s="144" t="n">
        <v>72</v>
      </c>
      <c r="M1261" s="1" t="n">
        <v>29</v>
      </c>
      <c r="N1261" s="1" t="n">
        <v>29</v>
      </c>
      <c r="O1261" s="149" t="n">
        <v>30</v>
      </c>
    </row>
    <row r="1262" customFormat="false" ht="14.25" hidden="false" customHeight="false" outlineLevel="0" collapsed="false">
      <c r="A1262" s="1" t="n">
        <v>267</v>
      </c>
      <c r="B1262" s="1" t="s">
        <v>476</v>
      </c>
      <c r="C1262" s="143" t="s">
        <v>58</v>
      </c>
      <c r="D1262" s="143" t="s">
        <v>59</v>
      </c>
      <c r="E1262" s="143" t="s">
        <v>474</v>
      </c>
      <c r="F1262" s="144" t="n">
        <v>200025888513</v>
      </c>
      <c r="G1262" s="144" t="s">
        <v>280</v>
      </c>
      <c r="H1262" s="144" t="n">
        <v>72</v>
      </c>
      <c r="I1262" s="144" t="s">
        <v>152</v>
      </c>
      <c r="J1262" s="151" t="n">
        <v>45057.7128356482</v>
      </c>
      <c r="K1262" s="1" t="n">
        <v>0</v>
      </c>
      <c r="L1262" s="144" t="n">
        <v>72</v>
      </c>
      <c r="M1262" s="1" t="n">
        <v>29</v>
      </c>
      <c r="N1262" s="1" t="n">
        <v>29</v>
      </c>
      <c r="O1262" s="149" t="n">
        <v>31</v>
      </c>
    </row>
    <row r="1263" customFormat="false" ht="14.25" hidden="false" customHeight="false" outlineLevel="0" collapsed="false">
      <c r="A1263" s="1" t="n">
        <v>268</v>
      </c>
      <c r="B1263" s="1" t="s">
        <v>476</v>
      </c>
      <c r="C1263" s="143" t="s">
        <v>58</v>
      </c>
      <c r="D1263" s="143" t="s">
        <v>59</v>
      </c>
      <c r="E1263" s="143" t="s">
        <v>474</v>
      </c>
      <c r="F1263" s="144" t="n">
        <v>200025888513</v>
      </c>
      <c r="G1263" s="144" t="s">
        <v>280</v>
      </c>
      <c r="H1263" s="144" t="n">
        <v>72</v>
      </c>
      <c r="I1263" s="144" t="s">
        <v>152</v>
      </c>
      <c r="J1263" s="151" t="n">
        <v>45057.713287037</v>
      </c>
      <c r="K1263" s="1" t="n">
        <v>3</v>
      </c>
      <c r="L1263" s="144" t="n">
        <v>72</v>
      </c>
      <c r="M1263" s="1" t="n">
        <v>29</v>
      </c>
      <c r="N1263" s="1" t="n">
        <v>29</v>
      </c>
      <c r="O1263" s="149" t="n">
        <v>32</v>
      </c>
    </row>
    <row r="1264" customFormat="false" ht="14.25" hidden="false" customHeight="false" outlineLevel="0" collapsed="false">
      <c r="A1264" s="1" t="n">
        <v>383</v>
      </c>
      <c r="B1264" s="1" t="s">
        <v>473</v>
      </c>
      <c r="C1264" s="143" t="n">
        <v>11490</v>
      </c>
      <c r="D1264" s="143" t="s">
        <v>65</v>
      </c>
      <c r="E1264" s="143" t="s">
        <v>474</v>
      </c>
      <c r="F1264" s="144" t="n">
        <v>200025888513</v>
      </c>
      <c r="G1264" s="144" t="s">
        <v>280</v>
      </c>
      <c r="H1264" s="144" t="n">
        <v>72</v>
      </c>
      <c r="I1264" s="144" t="s">
        <v>152</v>
      </c>
      <c r="J1264" s="151" t="n">
        <v>45057.7288888889</v>
      </c>
      <c r="K1264" s="1" t="n">
        <v>1</v>
      </c>
      <c r="L1264" s="144" t="n">
        <v>72</v>
      </c>
      <c r="M1264" s="1" t="n">
        <v>29</v>
      </c>
      <c r="N1264" s="1" t="n">
        <v>29</v>
      </c>
      <c r="O1264" s="149" t="n">
        <v>33</v>
      </c>
    </row>
    <row r="1265" customFormat="false" ht="14.25" hidden="false" customHeight="false" outlineLevel="0" collapsed="false">
      <c r="A1265" s="1" t="n">
        <v>229</v>
      </c>
      <c r="B1265" s="1" t="s">
        <v>475</v>
      </c>
      <c r="C1265" s="143" t="s">
        <v>52</v>
      </c>
      <c r="D1265" s="143" t="s">
        <v>53</v>
      </c>
      <c r="E1265" s="143" t="s">
        <v>474</v>
      </c>
      <c r="F1265" s="144" t="n">
        <v>200025888513</v>
      </c>
      <c r="G1265" s="144" t="s">
        <v>280</v>
      </c>
      <c r="H1265" s="144" t="n">
        <v>72</v>
      </c>
      <c r="I1265" s="144" t="s">
        <v>152</v>
      </c>
      <c r="J1265" s="151" t="n">
        <v>45057.750625</v>
      </c>
      <c r="K1265" s="1" t="n">
        <v>2</v>
      </c>
      <c r="L1265" s="144" t="n">
        <v>72</v>
      </c>
      <c r="M1265" s="1" t="n">
        <v>29</v>
      </c>
      <c r="N1265" s="1" t="n">
        <v>29</v>
      </c>
      <c r="O1265" s="149" t="n">
        <v>34</v>
      </c>
    </row>
    <row r="1266" customFormat="false" ht="14.25" hidden="false" customHeight="false" outlineLevel="0" collapsed="false">
      <c r="A1266" s="1" t="n">
        <v>18</v>
      </c>
      <c r="B1266" s="1" t="s">
        <v>476</v>
      </c>
      <c r="C1266" s="143" t="n">
        <v>11490</v>
      </c>
      <c r="D1266" s="143" t="s">
        <v>65</v>
      </c>
      <c r="E1266" s="143" t="s">
        <v>474</v>
      </c>
      <c r="F1266" s="144" t="n">
        <v>200025888513</v>
      </c>
      <c r="G1266" s="144" t="s">
        <v>280</v>
      </c>
      <c r="H1266" s="144" t="n">
        <v>72</v>
      </c>
      <c r="I1266" s="144" t="s">
        <v>152</v>
      </c>
      <c r="J1266" s="151" t="n">
        <v>45064.6685532407</v>
      </c>
      <c r="K1266" s="1" t="n">
        <v>3</v>
      </c>
      <c r="L1266" s="144" t="n">
        <v>72</v>
      </c>
      <c r="M1266" s="1" t="n">
        <v>29</v>
      </c>
      <c r="N1266" s="1" t="n">
        <v>29</v>
      </c>
      <c r="O1266" s="149" t="n">
        <v>35</v>
      </c>
    </row>
    <row r="1267" customFormat="false" ht="14.25" hidden="false" customHeight="false" outlineLevel="0" collapsed="false">
      <c r="A1267" s="1" t="n">
        <v>34</v>
      </c>
      <c r="B1267" s="1" t="s">
        <v>476</v>
      </c>
      <c r="C1267" s="143" t="n">
        <v>11490</v>
      </c>
      <c r="D1267" s="143" t="s">
        <v>65</v>
      </c>
      <c r="E1267" s="143" t="s">
        <v>474</v>
      </c>
      <c r="F1267" s="144" t="n">
        <v>200025888513</v>
      </c>
      <c r="G1267" s="144" t="s">
        <v>280</v>
      </c>
      <c r="H1267" s="144" t="n">
        <v>72</v>
      </c>
      <c r="I1267" s="144" t="s">
        <v>152</v>
      </c>
      <c r="J1267" s="151" t="n">
        <v>45067.4853125</v>
      </c>
      <c r="K1267" s="1" t="n">
        <v>1</v>
      </c>
      <c r="L1267" s="144" t="n">
        <v>72</v>
      </c>
      <c r="M1267" s="1" t="n">
        <v>29</v>
      </c>
      <c r="N1267" s="1" t="n">
        <v>29</v>
      </c>
      <c r="O1267" s="149" t="n">
        <v>36</v>
      </c>
    </row>
    <row r="1268" customFormat="false" ht="14.25" hidden="false" customHeight="false" outlineLevel="0" collapsed="false">
      <c r="A1268" s="1" t="n">
        <v>140</v>
      </c>
      <c r="B1268" s="1" t="s">
        <v>477</v>
      </c>
      <c r="C1268" s="143" t="s">
        <v>52</v>
      </c>
      <c r="D1268" s="143" t="s">
        <v>53</v>
      </c>
      <c r="E1268" s="143" t="s">
        <v>474</v>
      </c>
      <c r="F1268" s="144" t="n">
        <v>200025888513</v>
      </c>
      <c r="G1268" s="144" t="s">
        <v>280</v>
      </c>
      <c r="H1268" s="144" t="n">
        <v>72</v>
      </c>
      <c r="I1268" s="144" t="s">
        <v>152</v>
      </c>
      <c r="J1268" s="152" t="n">
        <v>45073.2625462963</v>
      </c>
      <c r="K1268" s="1" t="n">
        <v>1</v>
      </c>
      <c r="L1268" s="144" t="n">
        <v>72</v>
      </c>
      <c r="M1268" s="1" t="n">
        <v>29</v>
      </c>
      <c r="N1268" s="1" t="n">
        <v>29</v>
      </c>
      <c r="O1268" s="149" t="n">
        <v>37</v>
      </c>
    </row>
    <row r="1269" customFormat="false" ht="14.25" hidden="false" customHeight="false" outlineLevel="0" collapsed="false">
      <c r="A1269" s="1" t="n">
        <v>203</v>
      </c>
      <c r="B1269" s="1" t="s">
        <v>476</v>
      </c>
      <c r="C1269" s="143" t="n">
        <v>91601</v>
      </c>
      <c r="D1269" s="143" t="s">
        <v>65</v>
      </c>
      <c r="E1269" s="143" t="s">
        <v>474</v>
      </c>
      <c r="F1269" s="144" t="n">
        <v>200025888513</v>
      </c>
      <c r="G1269" s="144" t="s">
        <v>280</v>
      </c>
      <c r="H1269" s="144" t="n">
        <v>72</v>
      </c>
      <c r="I1269" s="144" t="s">
        <v>152</v>
      </c>
      <c r="J1269" s="151" t="n">
        <v>45077.2307175926</v>
      </c>
      <c r="K1269" s="1" t="n">
        <v>2</v>
      </c>
      <c r="L1269" s="144" t="n">
        <v>72</v>
      </c>
      <c r="M1269" s="1" t="n">
        <v>29</v>
      </c>
      <c r="N1269" s="1" t="n">
        <v>29</v>
      </c>
      <c r="O1269" s="149" t="n">
        <v>38</v>
      </c>
    </row>
    <row r="1270" customFormat="false" ht="14.25" hidden="false" customHeight="false" outlineLevel="0" collapsed="false">
      <c r="A1270" s="1" t="n">
        <v>204</v>
      </c>
      <c r="B1270" s="1" t="s">
        <v>476</v>
      </c>
      <c r="C1270" s="143" t="n">
        <v>91601</v>
      </c>
      <c r="D1270" s="143" t="s">
        <v>65</v>
      </c>
      <c r="E1270" s="143" t="s">
        <v>474</v>
      </c>
      <c r="F1270" s="144" t="n">
        <v>200025888513</v>
      </c>
      <c r="G1270" s="144" t="s">
        <v>280</v>
      </c>
      <c r="H1270" s="144" t="n">
        <v>72</v>
      </c>
      <c r="I1270" s="144" t="s">
        <v>152</v>
      </c>
      <c r="J1270" s="151" t="n">
        <v>45077.2418865741</v>
      </c>
      <c r="K1270" s="1" t="n">
        <v>2</v>
      </c>
      <c r="L1270" s="144" t="n">
        <v>72</v>
      </c>
      <c r="M1270" s="1" t="n">
        <v>29</v>
      </c>
      <c r="N1270" s="1" t="n">
        <v>29</v>
      </c>
      <c r="O1270" s="149" t="n">
        <v>39</v>
      </c>
    </row>
    <row r="1271" customFormat="false" ht="14.25" hidden="false" customHeight="false" outlineLevel="0" collapsed="false">
      <c r="A1271" s="1" t="n">
        <v>24</v>
      </c>
      <c r="B1271" s="1" t="s">
        <v>478</v>
      </c>
      <c r="C1271" s="143" t="n">
        <v>11171</v>
      </c>
      <c r="D1271" s="143" t="s">
        <v>74</v>
      </c>
      <c r="E1271" s="143" t="s">
        <v>474</v>
      </c>
      <c r="F1271" s="144" t="n">
        <v>200025888991</v>
      </c>
      <c r="G1271" s="144" t="s">
        <v>435</v>
      </c>
      <c r="H1271" s="144" t="n">
        <v>89</v>
      </c>
      <c r="I1271" s="144" t="s">
        <v>152</v>
      </c>
      <c r="J1271" s="6" t="n">
        <v>45057.0868287037</v>
      </c>
      <c r="K1271" s="1" t="n">
        <v>1</v>
      </c>
      <c r="L1271" s="144" t="n">
        <v>89</v>
      </c>
      <c r="M1271" s="1" t="n">
        <v>30</v>
      </c>
      <c r="N1271" s="1" t="n">
        <v>30</v>
      </c>
      <c r="O1271" s="149" t="n">
        <v>1</v>
      </c>
    </row>
    <row r="1272" customFormat="false" ht="14.25" hidden="false" customHeight="false" outlineLevel="0" collapsed="false">
      <c r="A1272" s="1" t="n">
        <v>25</v>
      </c>
      <c r="B1272" s="1" t="s">
        <v>478</v>
      </c>
      <c r="C1272" s="143" t="n">
        <v>11171</v>
      </c>
      <c r="D1272" s="143" t="s">
        <v>74</v>
      </c>
      <c r="E1272" s="143" t="s">
        <v>474</v>
      </c>
      <c r="F1272" s="144" t="n">
        <v>200025888991</v>
      </c>
      <c r="G1272" s="144" t="s">
        <v>435</v>
      </c>
      <c r="H1272" s="144" t="n">
        <v>89</v>
      </c>
      <c r="I1272" s="144" t="s">
        <v>152</v>
      </c>
      <c r="J1272" s="6" t="n">
        <v>45057.0881481482</v>
      </c>
      <c r="K1272" s="1" t="n">
        <v>2</v>
      </c>
      <c r="L1272" s="144" t="n">
        <v>89</v>
      </c>
      <c r="M1272" s="1" t="n">
        <v>30</v>
      </c>
      <c r="N1272" s="1" t="n">
        <v>30</v>
      </c>
      <c r="O1272" s="149" t="n">
        <v>2</v>
      </c>
    </row>
    <row r="1273" customFormat="false" ht="14.25" hidden="false" customHeight="false" outlineLevel="0" collapsed="false">
      <c r="A1273" s="1" t="n">
        <v>27</v>
      </c>
      <c r="B1273" s="1" t="s">
        <v>478</v>
      </c>
      <c r="C1273" s="143" t="n">
        <v>11171</v>
      </c>
      <c r="D1273" s="143" t="s">
        <v>74</v>
      </c>
      <c r="E1273" s="143" t="s">
        <v>474</v>
      </c>
      <c r="F1273" s="144" t="n">
        <v>200025888991</v>
      </c>
      <c r="G1273" s="144" t="s">
        <v>435</v>
      </c>
      <c r="H1273" s="144" t="n">
        <v>89</v>
      </c>
      <c r="I1273" s="144" t="s">
        <v>152</v>
      </c>
      <c r="J1273" s="6" t="n">
        <v>45057.1116550926</v>
      </c>
      <c r="K1273" s="1" t="n">
        <v>1</v>
      </c>
      <c r="L1273" s="144" t="n">
        <v>89</v>
      </c>
      <c r="M1273" s="1" t="n">
        <v>30</v>
      </c>
      <c r="N1273" s="1" t="n">
        <v>30</v>
      </c>
      <c r="O1273" s="149" t="n">
        <v>3</v>
      </c>
    </row>
    <row r="1274" customFormat="false" ht="14.25" hidden="false" customHeight="false" outlineLevel="0" collapsed="false">
      <c r="A1274" s="1" t="n">
        <v>28</v>
      </c>
      <c r="B1274" s="1" t="s">
        <v>478</v>
      </c>
      <c r="C1274" s="143" t="n">
        <v>11171</v>
      </c>
      <c r="D1274" s="143" t="s">
        <v>74</v>
      </c>
      <c r="E1274" s="143" t="s">
        <v>474</v>
      </c>
      <c r="F1274" s="144" t="n">
        <v>200025888991</v>
      </c>
      <c r="G1274" s="144" t="s">
        <v>435</v>
      </c>
      <c r="H1274" s="144" t="n">
        <v>89</v>
      </c>
      <c r="I1274" s="144" t="s">
        <v>152</v>
      </c>
      <c r="J1274" s="6" t="n">
        <v>45057.1116782407</v>
      </c>
      <c r="K1274" s="1" t="n">
        <v>0</v>
      </c>
      <c r="L1274" s="144" t="n">
        <v>89</v>
      </c>
      <c r="M1274" s="1" t="n">
        <v>30</v>
      </c>
      <c r="N1274" s="1" t="n">
        <v>30</v>
      </c>
      <c r="O1274" s="149" t="n">
        <v>4</v>
      </c>
    </row>
    <row r="1275" customFormat="false" ht="14.25" hidden="false" customHeight="false" outlineLevel="0" collapsed="false">
      <c r="A1275" s="1" t="n">
        <v>33</v>
      </c>
      <c r="B1275" s="1" t="s">
        <v>478</v>
      </c>
      <c r="C1275" s="143" t="n">
        <v>11171</v>
      </c>
      <c r="D1275" s="143" t="s">
        <v>74</v>
      </c>
      <c r="E1275" s="143" t="s">
        <v>474</v>
      </c>
      <c r="F1275" s="144" t="n">
        <v>200025888991</v>
      </c>
      <c r="G1275" s="144" t="s">
        <v>435</v>
      </c>
      <c r="H1275" s="144" t="n">
        <v>89</v>
      </c>
      <c r="I1275" s="144" t="s">
        <v>152</v>
      </c>
      <c r="J1275" s="6" t="n">
        <v>45057.2952083333</v>
      </c>
      <c r="K1275" s="1" t="n">
        <v>1</v>
      </c>
      <c r="L1275" s="144" t="n">
        <v>89</v>
      </c>
      <c r="M1275" s="1" t="n">
        <v>30</v>
      </c>
      <c r="N1275" s="1" t="n">
        <v>30</v>
      </c>
      <c r="O1275" s="149" t="n">
        <v>5</v>
      </c>
    </row>
    <row r="1276" customFormat="false" ht="14.25" hidden="false" customHeight="false" outlineLevel="0" collapsed="false">
      <c r="A1276" s="1" t="n">
        <v>34</v>
      </c>
      <c r="B1276" s="1" t="s">
        <v>478</v>
      </c>
      <c r="C1276" s="143" t="n">
        <v>11171</v>
      </c>
      <c r="D1276" s="143" t="s">
        <v>74</v>
      </c>
      <c r="E1276" s="143" t="s">
        <v>474</v>
      </c>
      <c r="F1276" s="144" t="n">
        <v>200025888991</v>
      </c>
      <c r="G1276" s="144" t="s">
        <v>435</v>
      </c>
      <c r="H1276" s="144" t="n">
        <v>89</v>
      </c>
      <c r="I1276" s="144" t="s">
        <v>152</v>
      </c>
      <c r="J1276" s="6" t="n">
        <v>45057.2992013889</v>
      </c>
      <c r="K1276" s="1" t="n">
        <v>4</v>
      </c>
      <c r="L1276" s="144" t="n">
        <v>89</v>
      </c>
      <c r="M1276" s="1" t="n">
        <v>30</v>
      </c>
      <c r="N1276" s="1" t="n">
        <v>30</v>
      </c>
      <c r="O1276" s="149" t="n">
        <v>6</v>
      </c>
    </row>
    <row r="1277" customFormat="false" ht="14.25" hidden="false" customHeight="false" outlineLevel="0" collapsed="false">
      <c r="A1277" s="1" t="n">
        <v>201</v>
      </c>
      <c r="B1277" s="1" t="s">
        <v>477</v>
      </c>
      <c r="C1277" s="143" t="n">
        <v>91601</v>
      </c>
      <c r="D1277" s="143" t="s">
        <v>64</v>
      </c>
      <c r="E1277" s="143" t="s">
        <v>474</v>
      </c>
      <c r="F1277" s="144" t="n">
        <v>200025888991</v>
      </c>
      <c r="G1277" s="144" t="s">
        <v>435</v>
      </c>
      <c r="H1277" s="144" t="n">
        <v>89</v>
      </c>
      <c r="I1277" s="144" t="s">
        <v>152</v>
      </c>
      <c r="J1277" s="152" t="n">
        <v>45057.3858796296</v>
      </c>
      <c r="K1277" s="1" t="n">
        <v>1</v>
      </c>
      <c r="L1277" s="144" t="n">
        <v>89</v>
      </c>
      <c r="M1277" s="1" t="n">
        <v>30</v>
      </c>
      <c r="N1277" s="1" t="n">
        <v>30</v>
      </c>
      <c r="O1277" s="149" t="n">
        <v>7</v>
      </c>
    </row>
    <row r="1278" customFormat="false" ht="14.25" hidden="false" customHeight="false" outlineLevel="0" collapsed="false">
      <c r="A1278" s="1" t="n">
        <v>202</v>
      </c>
      <c r="B1278" s="1" t="s">
        <v>477</v>
      </c>
      <c r="C1278" s="143" t="n">
        <v>91601</v>
      </c>
      <c r="D1278" s="143" t="s">
        <v>64</v>
      </c>
      <c r="E1278" s="143" t="s">
        <v>474</v>
      </c>
      <c r="F1278" s="144" t="n">
        <v>200025888991</v>
      </c>
      <c r="G1278" s="144" t="s">
        <v>435</v>
      </c>
      <c r="H1278" s="144" t="n">
        <v>89</v>
      </c>
      <c r="I1278" s="144" t="s">
        <v>152</v>
      </c>
      <c r="J1278" s="152" t="n">
        <v>45057.3865046296</v>
      </c>
      <c r="K1278" s="1" t="n">
        <v>1</v>
      </c>
      <c r="L1278" s="144" t="n">
        <v>89</v>
      </c>
      <c r="M1278" s="1" t="n">
        <v>30</v>
      </c>
      <c r="N1278" s="1" t="n">
        <v>30</v>
      </c>
      <c r="O1278" s="149" t="n">
        <v>8</v>
      </c>
    </row>
    <row r="1279" customFormat="false" ht="14.25" hidden="false" customHeight="false" outlineLevel="0" collapsed="false">
      <c r="A1279" s="1" t="n">
        <v>203</v>
      </c>
      <c r="B1279" s="1" t="s">
        <v>477</v>
      </c>
      <c r="C1279" s="143" t="n">
        <v>91601</v>
      </c>
      <c r="D1279" s="143" t="s">
        <v>64</v>
      </c>
      <c r="E1279" s="143" t="s">
        <v>474</v>
      </c>
      <c r="F1279" s="144" t="n">
        <v>200025888991</v>
      </c>
      <c r="G1279" s="144" t="s">
        <v>435</v>
      </c>
      <c r="H1279" s="144" t="n">
        <v>89</v>
      </c>
      <c r="I1279" s="144" t="s">
        <v>152</v>
      </c>
      <c r="J1279" s="152" t="n">
        <v>45057.387650463</v>
      </c>
      <c r="K1279" s="1" t="n">
        <v>1</v>
      </c>
      <c r="L1279" s="144" t="n">
        <v>89</v>
      </c>
      <c r="M1279" s="1" t="n">
        <v>30</v>
      </c>
      <c r="N1279" s="1" t="n">
        <v>30</v>
      </c>
      <c r="O1279" s="149" t="n">
        <v>9</v>
      </c>
    </row>
    <row r="1280" customFormat="false" ht="14.25" hidden="false" customHeight="false" outlineLevel="0" collapsed="false">
      <c r="A1280" s="1" t="n">
        <v>204</v>
      </c>
      <c r="B1280" s="1" t="s">
        <v>477</v>
      </c>
      <c r="C1280" s="143" t="n">
        <v>91601</v>
      </c>
      <c r="D1280" s="143" t="s">
        <v>64</v>
      </c>
      <c r="E1280" s="143" t="s">
        <v>474</v>
      </c>
      <c r="F1280" s="144" t="n">
        <v>200025888991</v>
      </c>
      <c r="G1280" s="144" t="s">
        <v>435</v>
      </c>
      <c r="H1280" s="144" t="n">
        <v>89</v>
      </c>
      <c r="I1280" s="144" t="s">
        <v>152</v>
      </c>
      <c r="J1280" s="152" t="n">
        <v>45057.3880555556</v>
      </c>
      <c r="K1280" s="1" t="n">
        <v>0</v>
      </c>
      <c r="L1280" s="144" t="n">
        <v>89</v>
      </c>
      <c r="M1280" s="1" t="n">
        <v>30</v>
      </c>
      <c r="N1280" s="1" t="n">
        <v>30</v>
      </c>
      <c r="O1280" s="149" t="n">
        <v>10</v>
      </c>
    </row>
    <row r="1281" customFormat="false" ht="14.25" hidden="false" customHeight="false" outlineLevel="0" collapsed="false">
      <c r="A1281" s="1" t="n">
        <v>205</v>
      </c>
      <c r="B1281" s="1" t="s">
        <v>477</v>
      </c>
      <c r="C1281" s="143" t="n">
        <v>91601</v>
      </c>
      <c r="D1281" s="143" t="s">
        <v>64</v>
      </c>
      <c r="E1281" s="143" t="s">
        <v>474</v>
      </c>
      <c r="F1281" s="144" t="n">
        <v>200025888991</v>
      </c>
      <c r="G1281" s="144" t="s">
        <v>435</v>
      </c>
      <c r="H1281" s="144" t="n">
        <v>89</v>
      </c>
      <c r="I1281" s="144" t="s">
        <v>152</v>
      </c>
      <c r="J1281" s="152" t="n">
        <v>45057.3883217593</v>
      </c>
      <c r="K1281" s="1" t="n">
        <v>3</v>
      </c>
      <c r="L1281" s="144" t="n">
        <v>89</v>
      </c>
      <c r="M1281" s="1" t="n">
        <v>30</v>
      </c>
      <c r="N1281" s="1" t="n">
        <v>30</v>
      </c>
      <c r="O1281" s="149" t="n">
        <v>11</v>
      </c>
    </row>
    <row r="1282" customFormat="false" ht="14.25" hidden="false" customHeight="false" outlineLevel="0" collapsed="false">
      <c r="A1282" s="1" t="n">
        <v>206</v>
      </c>
      <c r="B1282" s="1" t="s">
        <v>477</v>
      </c>
      <c r="C1282" s="143" t="n">
        <v>91601</v>
      </c>
      <c r="D1282" s="143" t="s">
        <v>64</v>
      </c>
      <c r="E1282" s="143" t="s">
        <v>474</v>
      </c>
      <c r="F1282" s="144" t="n">
        <v>200025888991</v>
      </c>
      <c r="G1282" s="144" t="s">
        <v>435</v>
      </c>
      <c r="H1282" s="144" t="n">
        <v>89</v>
      </c>
      <c r="I1282" s="144" t="s">
        <v>152</v>
      </c>
      <c r="J1282" s="152" t="n">
        <v>45057.3891666667</v>
      </c>
      <c r="K1282" s="1" t="n">
        <v>3</v>
      </c>
      <c r="L1282" s="144" t="n">
        <v>89</v>
      </c>
      <c r="M1282" s="1" t="n">
        <v>30</v>
      </c>
      <c r="N1282" s="1" t="n">
        <v>30</v>
      </c>
      <c r="O1282" s="149" t="n">
        <v>12</v>
      </c>
    </row>
    <row r="1283" customFormat="false" ht="14.25" hidden="false" customHeight="false" outlineLevel="0" collapsed="false">
      <c r="A1283" s="1" t="n">
        <v>207</v>
      </c>
      <c r="B1283" s="1" t="s">
        <v>477</v>
      </c>
      <c r="C1283" s="143" t="n">
        <v>91601</v>
      </c>
      <c r="D1283" s="143" t="s">
        <v>64</v>
      </c>
      <c r="E1283" s="143" t="s">
        <v>474</v>
      </c>
      <c r="F1283" s="144" t="n">
        <v>200025888991</v>
      </c>
      <c r="G1283" s="144" t="s">
        <v>435</v>
      </c>
      <c r="H1283" s="144" t="n">
        <v>89</v>
      </c>
      <c r="I1283" s="144" t="s">
        <v>152</v>
      </c>
      <c r="J1283" s="152" t="n">
        <v>45057.3894444444</v>
      </c>
      <c r="K1283" s="1" t="n">
        <v>4</v>
      </c>
      <c r="L1283" s="144" t="n">
        <v>89</v>
      </c>
      <c r="M1283" s="1" t="n">
        <v>30</v>
      </c>
      <c r="N1283" s="1" t="n">
        <v>30</v>
      </c>
      <c r="O1283" s="149" t="n">
        <v>13</v>
      </c>
    </row>
    <row r="1284" customFormat="false" ht="14.25" hidden="false" customHeight="false" outlineLevel="0" collapsed="false">
      <c r="A1284" s="1" t="n">
        <v>208</v>
      </c>
      <c r="B1284" s="1" t="s">
        <v>477</v>
      </c>
      <c r="C1284" s="143" t="n">
        <v>91601</v>
      </c>
      <c r="D1284" s="143" t="s">
        <v>64</v>
      </c>
      <c r="E1284" s="143" t="s">
        <v>474</v>
      </c>
      <c r="F1284" s="144" t="n">
        <v>200025888991</v>
      </c>
      <c r="G1284" s="144" t="s">
        <v>435</v>
      </c>
      <c r="H1284" s="144" t="n">
        <v>89</v>
      </c>
      <c r="I1284" s="144" t="s">
        <v>152</v>
      </c>
      <c r="J1284" s="152" t="n">
        <v>45057.3923726852</v>
      </c>
      <c r="K1284" s="1" t="n">
        <v>4</v>
      </c>
      <c r="L1284" s="144" t="n">
        <v>89</v>
      </c>
      <c r="M1284" s="1" t="n">
        <v>30</v>
      </c>
      <c r="N1284" s="1" t="n">
        <v>30</v>
      </c>
      <c r="O1284" s="149" t="n">
        <v>14</v>
      </c>
    </row>
    <row r="1285" customFormat="false" ht="14.25" hidden="false" customHeight="false" outlineLevel="0" collapsed="false">
      <c r="A1285" s="1" t="n">
        <v>209</v>
      </c>
      <c r="B1285" s="1" t="s">
        <v>477</v>
      </c>
      <c r="C1285" s="143" t="n">
        <v>91601</v>
      </c>
      <c r="D1285" s="143" t="s">
        <v>64</v>
      </c>
      <c r="E1285" s="143" t="s">
        <v>474</v>
      </c>
      <c r="F1285" s="144" t="n">
        <v>200025888991</v>
      </c>
      <c r="G1285" s="144" t="s">
        <v>435</v>
      </c>
      <c r="H1285" s="144" t="n">
        <v>89</v>
      </c>
      <c r="I1285" s="144" t="s">
        <v>152</v>
      </c>
      <c r="J1285" s="152" t="n">
        <v>45057.3926273148</v>
      </c>
      <c r="K1285" s="1" t="n">
        <v>3</v>
      </c>
      <c r="L1285" s="144" t="n">
        <v>89</v>
      </c>
      <c r="M1285" s="1" t="n">
        <v>30</v>
      </c>
      <c r="N1285" s="1" t="n">
        <v>30</v>
      </c>
      <c r="O1285" s="149" t="n">
        <v>15</v>
      </c>
    </row>
    <row r="1286" customFormat="false" ht="14.25" hidden="false" customHeight="false" outlineLevel="0" collapsed="false">
      <c r="A1286" s="1" t="n">
        <v>210</v>
      </c>
      <c r="B1286" s="1" t="s">
        <v>477</v>
      </c>
      <c r="C1286" s="143" t="n">
        <v>91601</v>
      </c>
      <c r="D1286" s="143" t="s">
        <v>64</v>
      </c>
      <c r="E1286" s="143" t="s">
        <v>474</v>
      </c>
      <c r="F1286" s="144" t="n">
        <v>200025888991</v>
      </c>
      <c r="G1286" s="144" t="s">
        <v>435</v>
      </c>
      <c r="H1286" s="144" t="n">
        <v>89</v>
      </c>
      <c r="I1286" s="144" t="s">
        <v>152</v>
      </c>
      <c r="J1286" s="152" t="n">
        <v>45057.3934259259</v>
      </c>
      <c r="K1286" s="1" t="n">
        <v>1</v>
      </c>
      <c r="L1286" s="144" t="n">
        <v>89</v>
      </c>
      <c r="M1286" s="1" t="n">
        <v>30</v>
      </c>
      <c r="N1286" s="1" t="n">
        <v>30</v>
      </c>
      <c r="O1286" s="149" t="n">
        <v>16</v>
      </c>
    </row>
    <row r="1287" customFormat="false" ht="14.25" hidden="false" customHeight="false" outlineLevel="0" collapsed="false">
      <c r="A1287" s="1" t="n">
        <v>202</v>
      </c>
      <c r="B1287" s="1" t="s">
        <v>475</v>
      </c>
      <c r="C1287" s="143" t="s">
        <v>52</v>
      </c>
      <c r="D1287" s="143" t="s">
        <v>53</v>
      </c>
      <c r="E1287" s="143" t="s">
        <v>474</v>
      </c>
      <c r="F1287" s="144" t="n">
        <v>200025888991</v>
      </c>
      <c r="G1287" s="144" t="s">
        <v>435</v>
      </c>
      <c r="H1287" s="144" t="n">
        <v>89</v>
      </c>
      <c r="I1287" s="144" t="s">
        <v>152</v>
      </c>
      <c r="J1287" s="151" t="n">
        <v>45057.4786921296</v>
      </c>
      <c r="K1287" s="1" t="n">
        <v>0</v>
      </c>
      <c r="L1287" s="144" t="n">
        <v>89</v>
      </c>
      <c r="M1287" s="1" t="n">
        <v>30</v>
      </c>
      <c r="N1287" s="1" t="n">
        <v>30</v>
      </c>
      <c r="O1287" s="149" t="n">
        <v>17</v>
      </c>
    </row>
    <row r="1288" customFormat="false" ht="14.25" hidden="false" customHeight="false" outlineLevel="0" collapsed="false">
      <c r="A1288" s="1" t="n">
        <v>207</v>
      </c>
      <c r="B1288" s="1" t="s">
        <v>475</v>
      </c>
      <c r="C1288" s="143" t="s">
        <v>52</v>
      </c>
      <c r="D1288" s="143" t="s">
        <v>53</v>
      </c>
      <c r="E1288" s="143" t="s">
        <v>474</v>
      </c>
      <c r="F1288" s="144" t="n">
        <v>200025888991</v>
      </c>
      <c r="G1288" s="144" t="s">
        <v>435</v>
      </c>
      <c r="H1288" s="144" t="n">
        <v>89</v>
      </c>
      <c r="I1288" s="144" t="s">
        <v>152</v>
      </c>
      <c r="J1288" s="151" t="n">
        <v>45057.5306018519</v>
      </c>
      <c r="K1288" s="1" t="n">
        <v>4</v>
      </c>
      <c r="L1288" s="144" t="n">
        <v>89</v>
      </c>
      <c r="M1288" s="1" t="n">
        <v>30</v>
      </c>
      <c r="N1288" s="1" t="n">
        <v>30</v>
      </c>
      <c r="O1288" s="149" t="n">
        <v>18</v>
      </c>
    </row>
    <row r="1289" customFormat="false" ht="14.25" hidden="false" customHeight="false" outlineLevel="0" collapsed="false">
      <c r="A1289" s="1" t="n">
        <v>345</v>
      </c>
      <c r="B1289" s="1" t="s">
        <v>473</v>
      </c>
      <c r="C1289" s="143" t="n">
        <v>11490</v>
      </c>
      <c r="D1289" s="143" t="s">
        <v>65</v>
      </c>
      <c r="E1289" s="143" t="s">
        <v>474</v>
      </c>
      <c r="F1289" s="144" t="n">
        <v>200025888991</v>
      </c>
      <c r="G1289" s="144" t="s">
        <v>435</v>
      </c>
      <c r="H1289" s="144" t="n">
        <v>89</v>
      </c>
      <c r="I1289" s="144" t="s">
        <v>152</v>
      </c>
      <c r="J1289" s="6" t="n">
        <v>45057.5813888889</v>
      </c>
      <c r="K1289" s="1" t="n">
        <v>1</v>
      </c>
      <c r="L1289" s="144" t="n">
        <v>89</v>
      </c>
      <c r="M1289" s="1" t="n">
        <v>30</v>
      </c>
      <c r="N1289" s="1" t="n">
        <v>30</v>
      </c>
      <c r="O1289" s="149" t="n">
        <v>19</v>
      </c>
    </row>
    <row r="1290" customFormat="false" ht="14.25" hidden="false" customHeight="false" outlineLevel="0" collapsed="false">
      <c r="A1290" s="1" t="n">
        <v>208</v>
      </c>
      <c r="B1290" s="1" t="s">
        <v>475</v>
      </c>
      <c r="C1290" s="143" t="s">
        <v>52</v>
      </c>
      <c r="D1290" s="143" t="s">
        <v>53</v>
      </c>
      <c r="E1290" s="143" t="s">
        <v>474</v>
      </c>
      <c r="F1290" s="144" t="n">
        <v>200025888991</v>
      </c>
      <c r="G1290" s="144" t="s">
        <v>435</v>
      </c>
      <c r="H1290" s="144" t="n">
        <v>89</v>
      </c>
      <c r="I1290" s="144" t="s">
        <v>152</v>
      </c>
      <c r="J1290" s="151" t="n">
        <v>45057.5833101852</v>
      </c>
      <c r="K1290" s="1" t="n">
        <v>1</v>
      </c>
      <c r="L1290" s="144" t="n">
        <v>89</v>
      </c>
      <c r="M1290" s="1" t="n">
        <v>30</v>
      </c>
      <c r="N1290" s="1" t="n">
        <v>30</v>
      </c>
      <c r="O1290" s="149" t="n">
        <v>20</v>
      </c>
    </row>
    <row r="1291" customFormat="false" ht="14.25" hidden="false" customHeight="false" outlineLevel="0" collapsed="false">
      <c r="A1291" s="1" t="n">
        <v>209</v>
      </c>
      <c r="B1291" s="1" t="s">
        <v>475</v>
      </c>
      <c r="C1291" s="143" t="s">
        <v>52</v>
      </c>
      <c r="D1291" s="143" t="s">
        <v>53</v>
      </c>
      <c r="E1291" s="143" t="s">
        <v>474</v>
      </c>
      <c r="F1291" s="144" t="n">
        <v>200025888991</v>
      </c>
      <c r="G1291" s="144" t="s">
        <v>435</v>
      </c>
      <c r="H1291" s="144" t="n">
        <v>89</v>
      </c>
      <c r="I1291" s="144" t="s">
        <v>152</v>
      </c>
      <c r="J1291" s="151" t="n">
        <v>45057.5840740741</v>
      </c>
      <c r="K1291" s="1" t="n">
        <v>2</v>
      </c>
      <c r="L1291" s="144" t="n">
        <v>89</v>
      </c>
      <c r="M1291" s="1" t="n">
        <v>30</v>
      </c>
      <c r="N1291" s="1" t="n">
        <v>30</v>
      </c>
      <c r="O1291" s="149" t="n">
        <v>21</v>
      </c>
    </row>
    <row r="1292" customFormat="false" ht="14.25" hidden="false" customHeight="false" outlineLevel="0" collapsed="false">
      <c r="A1292" s="1" t="n">
        <v>352</v>
      </c>
      <c r="B1292" s="1" t="s">
        <v>473</v>
      </c>
      <c r="C1292" s="143" t="n">
        <v>11490</v>
      </c>
      <c r="D1292" s="143" t="s">
        <v>65</v>
      </c>
      <c r="E1292" s="143" t="s">
        <v>474</v>
      </c>
      <c r="F1292" s="144" t="n">
        <v>200025888991</v>
      </c>
      <c r="G1292" s="144" t="s">
        <v>435</v>
      </c>
      <c r="H1292" s="144" t="n">
        <v>89</v>
      </c>
      <c r="I1292" s="144" t="s">
        <v>152</v>
      </c>
      <c r="J1292" s="6" t="n">
        <v>45057.6222337963</v>
      </c>
      <c r="K1292" s="1" t="n">
        <v>2</v>
      </c>
      <c r="L1292" s="144" t="n">
        <v>89</v>
      </c>
      <c r="M1292" s="1" t="n">
        <v>30</v>
      </c>
      <c r="N1292" s="1" t="n">
        <v>30</v>
      </c>
      <c r="O1292" s="149" t="n">
        <v>22</v>
      </c>
    </row>
    <row r="1293" customFormat="false" ht="14.25" hidden="false" customHeight="false" outlineLevel="0" collapsed="false">
      <c r="A1293" s="1" t="n">
        <v>353</v>
      </c>
      <c r="B1293" s="1" t="s">
        <v>473</v>
      </c>
      <c r="C1293" s="143" t="n">
        <v>11490</v>
      </c>
      <c r="D1293" s="143" t="s">
        <v>65</v>
      </c>
      <c r="E1293" s="143" t="s">
        <v>474</v>
      </c>
      <c r="F1293" s="144" t="n">
        <v>200025888991</v>
      </c>
      <c r="G1293" s="144" t="s">
        <v>435</v>
      </c>
      <c r="H1293" s="144" t="n">
        <v>89</v>
      </c>
      <c r="I1293" s="144" t="s">
        <v>152</v>
      </c>
      <c r="J1293" s="6" t="n">
        <v>45057.622650463</v>
      </c>
      <c r="K1293" s="1" t="n">
        <v>2</v>
      </c>
      <c r="L1293" s="144" t="n">
        <v>89</v>
      </c>
      <c r="M1293" s="1" t="n">
        <v>30</v>
      </c>
      <c r="N1293" s="1" t="n">
        <v>30</v>
      </c>
      <c r="O1293" s="149" t="n">
        <v>23</v>
      </c>
    </row>
    <row r="1294" customFormat="false" ht="14.25" hidden="false" customHeight="false" outlineLevel="0" collapsed="false">
      <c r="A1294" s="1" t="n">
        <v>354</v>
      </c>
      <c r="B1294" s="1" t="s">
        <v>473</v>
      </c>
      <c r="C1294" s="143" t="n">
        <v>11490</v>
      </c>
      <c r="D1294" s="143" t="s">
        <v>65</v>
      </c>
      <c r="E1294" s="143" t="s">
        <v>474</v>
      </c>
      <c r="F1294" s="144" t="n">
        <v>200025888991</v>
      </c>
      <c r="G1294" s="144" t="s">
        <v>435</v>
      </c>
      <c r="H1294" s="144" t="n">
        <v>89</v>
      </c>
      <c r="I1294" s="144" t="s">
        <v>152</v>
      </c>
      <c r="J1294" s="6" t="n">
        <v>45057.6228009259</v>
      </c>
      <c r="K1294" s="1" t="n">
        <v>1</v>
      </c>
      <c r="L1294" s="144" t="n">
        <v>89</v>
      </c>
      <c r="M1294" s="1" t="n">
        <v>30</v>
      </c>
      <c r="N1294" s="1" t="n">
        <v>30</v>
      </c>
      <c r="O1294" s="149" t="n">
        <v>24</v>
      </c>
    </row>
    <row r="1295" customFormat="false" ht="14.25" hidden="false" customHeight="false" outlineLevel="0" collapsed="false">
      <c r="A1295" s="1" t="n">
        <v>355</v>
      </c>
      <c r="B1295" s="1" t="s">
        <v>473</v>
      </c>
      <c r="C1295" s="143" t="n">
        <v>11490</v>
      </c>
      <c r="D1295" s="143" t="s">
        <v>65</v>
      </c>
      <c r="E1295" s="143" t="s">
        <v>474</v>
      </c>
      <c r="F1295" s="144" t="n">
        <v>200025888991</v>
      </c>
      <c r="G1295" s="144" t="s">
        <v>435</v>
      </c>
      <c r="H1295" s="144" t="n">
        <v>89</v>
      </c>
      <c r="I1295" s="144" t="s">
        <v>152</v>
      </c>
      <c r="J1295" s="6" t="n">
        <v>45057.6229398148</v>
      </c>
      <c r="K1295" s="1" t="n">
        <v>0</v>
      </c>
      <c r="L1295" s="144" t="n">
        <v>89</v>
      </c>
      <c r="M1295" s="1" t="n">
        <v>30</v>
      </c>
      <c r="N1295" s="1" t="n">
        <v>30</v>
      </c>
      <c r="O1295" s="149" t="n">
        <v>25</v>
      </c>
    </row>
    <row r="1296" customFormat="false" ht="14.25" hidden="false" customHeight="false" outlineLevel="0" collapsed="false">
      <c r="A1296" s="1" t="n">
        <v>356</v>
      </c>
      <c r="B1296" s="1" t="s">
        <v>473</v>
      </c>
      <c r="C1296" s="143" t="n">
        <v>11490</v>
      </c>
      <c r="D1296" s="143" t="s">
        <v>65</v>
      </c>
      <c r="E1296" s="143" t="s">
        <v>474</v>
      </c>
      <c r="F1296" s="144" t="n">
        <v>200025888991</v>
      </c>
      <c r="G1296" s="144" t="s">
        <v>435</v>
      </c>
      <c r="H1296" s="144" t="n">
        <v>89</v>
      </c>
      <c r="I1296" s="144" t="s">
        <v>152</v>
      </c>
      <c r="J1296" s="6" t="n">
        <v>45057.6230787037</v>
      </c>
      <c r="K1296" s="1" t="n">
        <v>2</v>
      </c>
      <c r="L1296" s="144" t="n">
        <v>89</v>
      </c>
      <c r="M1296" s="1" t="n">
        <v>30</v>
      </c>
      <c r="N1296" s="1" t="n">
        <v>30</v>
      </c>
      <c r="O1296" s="149" t="n">
        <v>26</v>
      </c>
    </row>
    <row r="1297" customFormat="false" ht="14.25" hidden="false" customHeight="false" outlineLevel="0" collapsed="false">
      <c r="A1297" s="1" t="n">
        <v>357</v>
      </c>
      <c r="B1297" s="1" t="s">
        <v>473</v>
      </c>
      <c r="C1297" s="143" t="n">
        <v>11490</v>
      </c>
      <c r="D1297" s="143" t="s">
        <v>65</v>
      </c>
      <c r="E1297" s="143" t="s">
        <v>474</v>
      </c>
      <c r="F1297" s="144" t="n">
        <v>200025888991</v>
      </c>
      <c r="G1297" s="144" t="s">
        <v>435</v>
      </c>
      <c r="H1297" s="144" t="n">
        <v>89</v>
      </c>
      <c r="I1297" s="144" t="s">
        <v>152</v>
      </c>
      <c r="J1297" s="6" t="n">
        <v>45057.6232060185</v>
      </c>
      <c r="K1297" s="1" t="n">
        <v>0</v>
      </c>
      <c r="L1297" s="144" t="n">
        <v>89</v>
      </c>
      <c r="M1297" s="1" t="n">
        <v>30</v>
      </c>
      <c r="N1297" s="1" t="n">
        <v>30</v>
      </c>
      <c r="O1297" s="149" t="n">
        <v>27</v>
      </c>
    </row>
    <row r="1298" customFormat="false" ht="14.25" hidden="false" customHeight="false" outlineLevel="0" collapsed="false">
      <c r="A1298" s="1" t="n">
        <v>358</v>
      </c>
      <c r="B1298" s="1" t="s">
        <v>473</v>
      </c>
      <c r="C1298" s="143" t="n">
        <v>11490</v>
      </c>
      <c r="D1298" s="143" t="s">
        <v>65</v>
      </c>
      <c r="E1298" s="143" t="s">
        <v>474</v>
      </c>
      <c r="F1298" s="144" t="n">
        <v>200025888991</v>
      </c>
      <c r="G1298" s="144" t="s">
        <v>435</v>
      </c>
      <c r="H1298" s="144" t="n">
        <v>89</v>
      </c>
      <c r="I1298" s="144" t="s">
        <v>152</v>
      </c>
      <c r="J1298" s="6" t="n">
        <v>45057.6233680556</v>
      </c>
      <c r="K1298" s="1" t="n">
        <v>1</v>
      </c>
      <c r="L1298" s="144" t="n">
        <v>89</v>
      </c>
      <c r="M1298" s="1" t="n">
        <v>30</v>
      </c>
      <c r="N1298" s="1" t="n">
        <v>30</v>
      </c>
      <c r="O1298" s="149" t="n">
        <v>28</v>
      </c>
    </row>
    <row r="1299" customFormat="false" ht="14.25" hidden="false" customHeight="false" outlineLevel="0" collapsed="false">
      <c r="A1299" s="1" t="n">
        <v>217</v>
      </c>
      <c r="B1299" s="1" t="s">
        <v>475</v>
      </c>
      <c r="C1299" s="143" t="s">
        <v>52</v>
      </c>
      <c r="D1299" s="143" t="s">
        <v>53</v>
      </c>
      <c r="E1299" s="143" t="s">
        <v>474</v>
      </c>
      <c r="F1299" s="144" t="n">
        <v>200025888991</v>
      </c>
      <c r="G1299" s="144" t="s">
        <v>435</v>
      </c>
      <c r="H1299" s="144" t="n">
        <v>89</v>
      </c>
      <c r="I1299" s="144" t="s">
        <v>152</v>
      </c>
      <c r="J1299" s="151" t="n">
        <v>45057.7045138889</v>
      </c>
      <c r="K1299" s="1" t="n">
        <v>1</v>
      </c>
      <c r="L1299" s="144" t="n">
        <v>89</v>
      </c>
      <c r="M1299" s="1" t="n">
        <v>30</v>
      </c>
      <c r="N1299" s="1" t="n">
        <v>30</v>
      </c>
      <c r="O1299" s="149" t="n">
        <v>29</v>
      </c>
    </row>
    <row r="1300" customFormat="false" ht="14.25" hidden="false" customHeight="false" outlineLevel="0" collapsed="false">
      <c r="A1300" s="1" t="n">
        <v>218</v>
      </c>
      <c r="B1300" s="1" t="s">
        <v>475</v>
      </c>
      <c r="C1300" s="143" t="s">
        <v>52</v>
      </c>
      <c r="D1300" s="143" t="s">
        <v>53</v>
      </c>
      <c r="E1300" s="143" t="s">
        <v>474</v>
      </c>
      <c r="F1300" s="144" t="n">
        <v>200025888991</v>
      </c>
      <c r="G1300" s="144" t="s">
        <v>435</v>
      </c>
      <c r="H1300" s="144" t="n">
        <v>89</v>
      </c>
      <c r="I1300" s="144" t="s">
        <v>152</v>
      </c>
      <c r="J1300" s="151" t="n">
        <v>45057.7046064815</v>
      </c>
      <c r="K1300" s="1" t="n">
        <v>0</v>
      </c>
      <c r="L1300" s="144" t="n">
        <v>89</v>
      </c>
      <c r="M1300" s="1" t="n">
        <v>30</v>
      </c>
      <c r="N1300" s="1" t="n">
        <v>30</v>
      </c>
      <c r="O1300" s="149" t="n">
        <v>30</v>
      </c>
    </row>
    <row r="1301" customFormat="false" ht="14.25" hidden="false" customHeight="false" outlineLevel="0" collapsed="false">
      <c r="A1301" s="1" t="n">
        <v>438</v>
      </c>
      <c r="B1301" s="1" t="s">
        <v>473</v>
      </c>
      <c r="C1301" s="143" t="n">
        <v>11490</v>
      </c>
      <c r="D1301" s="143" t="s">
        <v>65</v>
      </c>
      <c r="E1301" s="143" t="s">
        <v>474</v>
      </c>
      <c r="F1301" s="144" t="n">
        <v>200025888991</v>
      </c>
      <c r="G1301" s="144" t="s">
        <v>435</v>
      </c>
      <c r="H1301" s="144" t="n">
        <v>89</v>
      </c>
      <c r="I1301" s="144" t="s">
        <v>152</v>
      </c>
      <c r="J1301" s="6" t="n">
        <v>45057.8525462963</v>
      </c>
      <c r="K1301" s="1" t="n">
        <v>2</v>
      </c>
      <c r="L1301" s="144" t="n">
        <v>89</v>
      </c>
      <c r="M1301" s="1" t="n">
        <v>30</v>
      </c>
      <c r="N1301" s="1" t="n">
        <v>30</v>
      </c>
      <c r="O1301" s="149" t="n">
        <v>31</v>
      </c>
    </row>
    <row r="1302" customFormat="false" ht="14.25" hidden="false" customHeight="false" outlineLevel="0" collapsed="false">
      <c r="A1302" s="1" t="n">
        <v>79</v>
      </c>
      <c r="B1302" s="1" t="s">
        <v>476</v>
      </c>
      <c r="C1302" s="143" t="n">
        <v>91601</v>
      </c>
      <c r="D1302" s="143" t="s">
        <v>65</v>
      </c>
      <c r="E1302" s="143" t="s">
        <v>474</v>
      </c>
      <c r="F1302" s="144" t="n">
        <v>200025888991</v>
      </c>
      <c r="G1302" s="144" t="s">
        <v>435</v>
      </c>
      <c r="H1302" s="144" t="n">
        <v>89</v>
      </c>
      <c r="I1302" s="144" t="s">
        <v>152</v>
      </c>
      <c r="J1302" s="151" t="n">
        <v>45072.4728125</v>
      </c>
      <c r="K1302" s="1" t="n">
        <v>1</v>
      </c>
      <c r="L1302" s="144" t="n">
        <v>89</v>
      </c>
      <c r="M1302" s="1" t="n">
        <v>30</v>
      </c>
      <c r="N1302" s="1" t="n">
        <v>30</v>
      </c>
      <c r="O1302" s="149" t="n">
        <v>32</v>
      </c>
    </row>
    <row r="1303" customFormat="false" ht="14.25" hidden="false" customHeight="false" outlineLevel="0" collapsed="false">
      <c r="A1303" s="1" t="n">
        <v>80</v>
      </c>
      <c r="B1303" s="1" t="s">
        <v>476</v>
      </c>
      <c r="C1303" s="143" t="n">
        <v>91601</v>
      </c>
      <c r="D1303" s="143" t="s">
        <v>65</v>
      </c>
      <c r="E1303" s="143" t="s">
        <v>474</v>
      </c>
      <c r="F1303" s="144" t="n">
        <v>200025888991</v>
      </c>
      <c r="G1303" s="144" t="s">
        <v>435</v>
      </c>
      <c r="H1303" s="144" t="n">
        <v>89</v>
      </c>
      <c r="I1303" s="144" t="s">
        <v>152</v>
      </c>
      <c r="J1303" s="151" t="n">
        <v>45072.5069907407</v>
      </c>
      <c r="K1303" s="1" t="n">
        <v>8</v>
      </c>
      <c r="L1303" s="144" t="n">
        <v>89</v>
      </c>
      <c r="M1303" s="1" t="n">
        <v>30</v>
      </c>
      <c r="N1303" s="1" t="n">
        <v>30</v>
      </c>
      <c r="O1303" s="149" t="n">
        <v>33</v>
      </c>
    </row>
    <row r="1304" customFormat="false" ht="14.25" hidden="false" customHeight="false" outlineLevel="0" collapsed="false">
      <c r="A1304" s="1" t="n">
        <v>166</v>
      </c>
      <c r="B1304" s="1" t="s">
        <v>477</v>
      </c>
      <c r="C1304" s="143" t="n">
        <v>91601</v>
      </c>
      <c r="D1304" s="143" t="s">
        <v>64</v>
      </c>
      <c r="E1304" s="143" t="s">
        <v>474</v>
      </c>
      <c r="F1304" s="144" t="n">
        <v>200025889350</v>
      </c>
      <c r="G1304" s="144" t="s">
        <v>454</v>
      </c>
      <c r="H1304" s="144" t="n">
        <v>88</v>
      </c>
      <c r="I1304" s="144" t="s">
        <v>152</v>
      </c>
      <c r="J1304" s="152" t="n">
        <v>45057.1940046296</v>
      </c>
      <c r="K1304" s="1" t="n">
        <v>1</v>
      </c>
      <c r="L1304" s="144" t="n">
        <v>88</v>
      </c>
      <c r="M1304" s="1" t="n">
        <v>31</v>
      </c>
      <c r="N1304" s="1" t="n">
        <v>31</v>
      </c>
      <c r="O1304" s="149" t="n">
        <v>1</v>
      </c>
    </row>
    <row r="1305" customFormat="false" ht="14.25" hidden="false" customHeight="false" outlineLevel="0" collapsed="false">
      <c r="A1305" s="1" t="n">
        <v>187</v>
      </c>
      <c r="B1305" s="1" t="s">
        <v>476</v>
      </c>
      <c r="C1305" s="143" t="n">
        <v>91601</v>
      </c>
      <c r="D1305" s="143" t="s">
        <v>65</v>
      </c>
      <c r="E1305" s="143" t="s">
        <v>474</v>
      </c>
      <c r="F1305" s="144" t="n">
        <v>200025889350</v>
      </c>
      <c r="G1305" s="144" t="s">
        <v>454</v>
      </c>
      <c r="H1305" s="144" t="n">
        <v>88</v>
      </c>
      <c r="I1305" s="144" t="s">
        <v>152</v>
      </c>
      <c r="J1305" s="6" t="n">
        <v>45076.016087963</v>
      </c>
      <c r="K1305" s="1" t="n">
        <v>3</v>
      </c>
      <c r="L1305" s="144" t="n">
        <v>88</v>
      </c>
      <c r="M1305" s="1" t="n">
        <v>31</v>
      </c>
      <c r="N1305" s="1" t="n">
        <v>31</v>
      </c>
      <c r="O1305" s="149" t="n">
        <v>2</v>
      </c>
    </row>
    <row r="1306" customFormat="false" ht="14.25" hidden="false" customHeight="false" outlineLevel="0" collapsed="false">
      <c r="A1306" s="1" t="n">
        <v>188</v>
      </c>
      <c r="B1306" s="1" t="s">
        <v>476</v>
      </c>
      <c r="C1306" s="143" t="n">
        <v>91601</v>
      </c>
      <c r="D1306" s="143" t="s">
        <v>65</v>
      </c>
      <c r="E1306" s="143" t="s">
        <v>474</v>
      </c>
      <c r="F1306" s="144" t="n">
        <v>200025889350</v>
      </c>
      <c r="G1306" s="144" t="s">
        <v>454</v>
      </c>
      <c r="H1306" s="144" t="n">
        <v>88</v>
      </c>
      <c r="I1306" s="144" t="s">
        <v>152</v>
      </c>
      <c r="J1306" s="6" t="n">
        <v>45076.0363657407</v>
      </c>
      <c r="K1306" s="1" t="n">
        <v>2</v>
      </c>
      <c r="L1306" s="144" t="n">
        <v>88</v>
      </c>
      <c r="M1306" s="1" t="n">
        <v>31</v>
      </c>
      <c r="N1306" s="1" t="n">
        <v>31</v>
      </c>
      <c r="O1306" s="149" t="n">
        <v>3</v>
      </c>
    </row>
    <row r="1307" customFormat="false" ht="14.25" hidden="false" customHeight="false" outlineLevel="0" collapsed="false">
      <c r="A1307" s="1" t="n">
        <v>189</v>
      </c>
      <c r="B1307" s="1" t="s">
        <v>476</v>
      </c>
      <c r="C1307" s="143" t="n">
        <v>91601</v>
      </c>
      <c r="D1307" s="143" t="s">
        <v>65</v>
      </c>
      <c r="E1307" s="143" t="s">
        <v>474</v>
      </c>
      <c r="F1307" s="144" t="n">
        <v>200025889350</v>
      </c>
      <c r="G1307" s="144" t="s">
        <v>454</v>
      </c>
      <c r="H1307" s="144" t="n">
        <v>88</v>
      </c>
      <c r="I1307" s="144" t="s">
        <v>152</v>
      </c>
      <c r="J1307" s="6" t="n">
        <v>45076.0974189815</v>
      </c>
      <c r="K1307" s="1" t="n">
        <v>1</v>
      </c>
      <c r="L1307" s="144" t="n">
        <v>88</v>
      </c>
      <c r="M1307" s="1" t="n">
        <v>31</v>
      </c>
      <c r="N1307" s="1" t="n">
        <v>31</v>
      </c>
      <c r="O1307" s="149" t="n">
        <v>4</v>
      </c>
    </row>
    <row r="1308" customFormat="false" ht="14.25" hidden="false" customHeight="false" outlineLevel="0" collapsed="false">
      <c r="A1308" s="1" t="n">
        <v>190</v>
      </c>
      <c r="B1308" s="1" t="s">
        <v>476</v>
      </c>
      <c r="C1308" s="143" t="n">
        <v>91601</v>
      </c>
      <c r="D1308" s="143" t="s">
        <v>65</v>
      </c>
      <c r="E1308" s="143" t="s">
        <v>474</v>
      </c>
      <c r="F1308" s="144" t="n">
        <v>200025889350</v>
      </c>
      <c r="G1308" s="144" t="s">
        <v>454</v>
      </c>
      <c r="H1308" s="144" t="n">
        <v>88</v>
      </c>
      <c r="I1308" s="144" t="s">
        <v>152</v>
      </c>
      <c r="J1308" s="6" t="n">
        <v>45076.2183333333</v>
      </c>
      <c r="K1308" s="1" t="n">
        <v>0</v>
      </c>
      <c r="L1308" s="144" t="n">
        <v>88</v>
      </c>
      <c r="M1308" s="1" t="n">
        <v>31</v>
      </c>
      <c r="N1308" s="1" t="n">
        <v>31</v>
      </c>
      <c r="O1308" s="149" t="n">
        <v>5</v>
      </c>
    </row>
    <row r="1309" customFormat="false" ht="14.25" hidden="false" customHeight="false" outlineLevel="0" collapsed="false">
      <c r="A1309" s="1" t="n">
        <v>191</v>
      </c>
      <c r="B1309" s="1" t="s">
        <v>476</v>
      </c>
      <c r="C1309" s="143" t="n">
        <v>91601</v>
      </c>
      <c r="D1309" s="143" t="s">
        <v>65</v>
      </c>
      <c r="E1309" s="143" t="s">
        <v>474</v>
      </c>
      <c r="F1309" s="144" t="n">
        <v>200025889350</v>
      </c>
      <c r="G1309" s="144" t="s">
        <v>454</v>
      </c>
      <c r="H1309" s="144" t="n">
        <v>88</v>
      </c>
      <c r="I1309" s="144" t="s">
        <v>152</v>
      </c>
      <c r="J1309" s="6" t="n">
        <v>45076.2205208333</v>
      </c>
      <c r="K1309" s="1" t="n">
        <v>1</v>
      </c>
      <c r="L1309" s="144" t="n">
        <v>88</v>
      </c>
      <c r="M1309" s="1" t="n">
        <v>31</v>
      </c>
      <c r="N1309" s="1" t="n">
        <v>31</v>
      </c>
      <c r="O1309" s="149" t="n">
        <v>6</v>
      </c>
    </row>
    <row r="1310" customFormat="false" ht="14.25" hidden="false" customHeight="false" outlineLevel="0" collapsed="false">
      <c r="A1310" s="1" t="n">
        <v>193</v>
      </c>
      <c r="B1310" s="1" t="s">
        <v>476</v>
      </c>
      <c r="C1310" s="143" t="n">
        <v>91601</v>
      </c>
      <c r="D1310" s="143" t="s">
        <v>65</v>
      </c>
      <c r="E1310" s="143" t="s">
        <v>474</v>
      </c>
      <c r="F1310" s="144" t="n">
        <v>200025889350</v>
      </c>
      <c r="G1310" s="144" t="s">
        <v>454</v>
      </c>
      <c r="H1310" s="144" t="n">
        <v>88</v>
      </c>
      <c r="I1310" s="144" t="s">
        <v>152</v>
      </c>
      <c r="J1310" s="6" t="n">
        <v>45076.2355439815</v>
      </c>
      <c r="K1310" s="1" t="n">
        <v>1</v>
      </c>
      <c r="L1310" s="144" t="n">
        <v>88</v>
      </c>
      <c r="M1310" s="1" t="n">
        <v>31</v>
      </c>
      <c r="N1310" s="1" t="n">
        <v>31</v>
      </c>
      <c r="O1310" s="149" t="n">
        <v>7</v>
      </c>
    </row>
    <row r="1311" customFormat="false" ht="14.25" hidden="false" customHeight="false" outlineLevel="0" collapsed="false">
      <c r="A1311" s="1" t="n">
        <v>194</v>
      </c>
      <c r="B1311" s="1" t="s">
        <v>476</v>
      </c>
      <c r="C1311" s="143" t="n">
        <v>91601</v>
      </c>
      <c r="D1311" s="143" t="s">
        <v>65</v>
      </c>
      <c r="E1311" s="143" t="s">
        <v>474</v>
      </c>
      <c r="F1311" s="144" t="n">
        <v>200025889350</v>
      </c>
      <c r="G1311" s="144" t="s">
        <v>454</v>
      </c>
      <c r="H1311" s="144" t="n">
        <v>88</v>
      </c>
      <c r="I1311" s="144" t="s">
        <v>152</v>
      </c>
      <c r="J1311" s="6" t="n">
        <v>45076.3511921296</v>
      </c>
      <c r="K1311" s="1" t="n">
        <v>2</v>
      </c>
      <c r="L1311" s="144" t="n">
        <v>88</v>
      </c>
      <c r="M1311" s="1" t="n">
        <v>31</v>
      </c>
      <c r="N1311" s="1" t="n">
        <v>31</v>
      </c>
      <c r="O1311" s="149" t="n">
        <v>8</v>
      </c>
    </row>
    <row r="1312" customFormat="false" ht="14.25" hidden="false" customHeight="false" outlineLevel="0" collapsed="false">
      <c r="A1312" s="1" t="n">
        <v>195</v>
      </c>
      <c r="B1312" s="1" t="s">
        <v>476</v>
      </c>
      <c r="C1312" s="143" t="n">
        <v>91601</v>
      </c>
      <c r="D1312" s="143" t="s">
        <v>65</v>
      </c>
      <c r="E1312" s="143" t="s">
        <v>474</v>
      </c>
      <c r="F1312" s="144" t="n">
        <v>200025889350</v>
      </c>
      <c r="G1312" s="144" t="s">
        <v>454</v>
      </c>
      <c r="H1312" s="144" t="n">
        <v>88</v>
      </c>
      <c r="I1312" s="144" t="s">
        <v>152</v>
      </c>
      <c r="J1312" s="6" t="n">
        <v>45076.3513425926</v>
      </c>
      <c r="K1312" s="1" t="n">
        <v>2</v>
      </c>
      <c r="L1312" s="144" t="n">
        <v>88</v>
      </c>
      <c r="M1312" s="1" t="n">
        <v>31</v>
      </c>
      <c r="N1312" s="1" t="n">
        <v>31</v>
      </c>
      <c r="O1312" s="149" t="n">
        <v>9</v>
      </c>
    </row>
    <row r="1313" customFormat="false" ht="14.25" hidden="false" customHeight="false" outlineLevel="0" collapsed="false">
      <c r="A1313" s="1" t="n">
        <v>196</v>
      </c>
      <c r="B1313" s="1" t="s">
        <v>476</v>
      </c>
      <c r="C1313" s="143" t="n">
        <v>91601</v>
      </c>
      <c r="D1313" s="143" t="s">
        <v>65</v>
      </c>
      <c r="E1313" s="143" t="s">
        <v>474</v>
      </c>
      <c r="F1313" s="144" t="n">
        <v>200025889350</v>
      </c>
      <c r="G1313" s="144" t="s">
        <v>454</v>
      </c>
      <c r="H1313" s="144" t="n">
        <v>88</v>
      </c>
      <c r="I1313" s="144" t="s">
        <v>152</v>
      </c>
      <c r="J1313" s="6" t="n">
        <v>45076.3513657407</v>
      </c>
      <c r="K1313" s="1" t="n">
        <v>1</v>
      </c>
      <c r="L1313" s="144" t="n">
        <v>88</v>
      </c>
      <c r="M1313" s="1" t="n">
        <v>31</v>
      </c>
      <c r="N1313" s="1" t="n">
        <v>31</v>
      </c>
      <c r="O1313" s="149" t="n">
        <v>10</v>
      </c>
    </row>
    <row r="1314" customFormat="false" ht="14.25" hidden="false" customHeight="false" outlineLevel="0" collapsed="false">
      <c r="A1314" s="1" t="n">
        <v>197</v>
      </c>
      <c r="B1314" s="1" t="s">
        <v>476</v>
      </c>
      <c r="C1314" s="143" t="n">
        <v>91601</v>
      </c>
      <c r="D1314" s="143" t="s">
        <v>65</v>
      </c>
      <c r="E1314" s="143" t="s">
        <v>474</v>
      </c>
      <c r="F1314" s="144" t="n">
        <v>200025889350</v>
      </c>
      <c r="G1314" s="144" t="s">
        <v>454</v>
      </c>
      <c r="H1314" s="144" t="n">
        <v>88</v>
      </c>
      <c r="I1314" s="144" t="s">
        <v>152</v>
      </c>
      <c r="J1314" s="6" t="n">
        <v>45076.3515509259</v>
      </c>
      <c r="K1314" s="1" t="n">
        <v>2</v>
      </c>
      <c r="L1314" s="144" t="n">
        <v>88</v>
      </c>
      <c r="M1314" s="1" t="n">
        <v>31</v>
      </c>
      <c r="N1314" s="1" t="n">
        <v>31</v>
      </c>
      <c r="O1314" s="149" t="n">
        <v>11</v>
      </c>
    </row>
    <row r="1315" customFormat="false" ht="14.25" hidden="false" customHeight="false" outlineLevel="0" collapsed="false">
      <c r="A1315" s="1" t="n">
        <v>198</v>
      </c>
      <c r="B1315" s="1" t="s">
        <v>476</v>
      </c>
      <c r="C1315" s="143" t="n">
        <v>91601</v>
      </c>
      <c r="D1315" s="143" t="s">
        <v>65</v>
      </c>
      <c r="E1315" s="143" t="s">
        <v>474</v>
      </c>
      <c r="F1315" s="144" t="n">
        <v>200025889350</v>
      </c>
      <c r="G1315" s="144" t="s">
        <v>454</v>
      </c>
      <c r="H1315" s="144" t="n">
        <v>88</v>
      </c>
      <c r="I1315" s="144" t="s">
        <v>152</v>
      </c>
      <c r="J1315" s="6" t="n">
        <v>45076.3517476852</v>
      </c>
      <c r="K1315" s="1" t="n">
        <v>1</v>
      </c>
      <c r="L1315" s="144" t="n">
        <v>88</v>
      </c>
      <c r="M1315" s="1" t="n">
        <v>31</v>
      </c>
      <c r="N1315" s="1" t="n">
        <v>31</v>
      </c>
      <c r="O1315" s="149" t="n">
        <v>12</v>
      </c>
    </row>
    <row r="1316" customFormat="false" ht="14.25" hidden="false" customHeight="false" outlineLevel="0" collapsed="false">
      <c r="A1316" s="1" t="n">
        <v>199</v>
      </c>
      <c r="B1316" s="1" t="s">
        <v>476</v>
      </c>
      <c r="C1316" s="143" t="n">
        <v>91601</v>
      </c>
      <c r="D1316" s="143" t="s">
        <v>65</v>
      </c>
      <c r="E1316" s="143" t="s">
        <v>474</v>
      </c>
      <c r="F1316" s="144" t="n">
        <v>200025889350</v>
      </c>
      <c r="G1316" s="144" t="s">
        <v>454</v>
      </c>
      <c r="H1316" s="144" t="n">
        <v>88</v>
      </c>
      <c r="I1316" s="144" t="s">
        <v>152</v>
      </c>
      <c r="J1316" s="6" t="n">
        <v>45076.3517708333</v>
      </c>
      <c r="K1316" s="1" t="n">
        <v>1</v>
      </c>
      <c r="L1316" s="144" t="n">
        <v>88</v>
      </c>
      <c r="M1316" s="1" t="n">
        <v>31</v>
      </c>
      <c r="N1316" s="1" t="n">
        <v>31</v>
      </c>
      <c r="O1316" s="149" t="n">
        <v>13</v>
      </c>
    </row>
    <row r="1317" customFormat="false" ht="14.25" hidden="false" customHeight="false" outlineLevel="0" collapsed="false">
      <c r="A1317" s="1" t="n">
        <v>200</v>
      </c>
      <c r="B1317" s="1" t="s">
        <v>476</v>
      </c>
      <c r="C1317" s="143" t="n">
        <v>91601</v>
      </c>
      <c r="D1317" s="143" t="s">
        <v>65</v>
      </c>
      <c r="E1317" s="143" t="s">
        <v>474</v>
      </c>
      <c r="F1317" s="144" t="n">
        <v>200025889350</v>
      </c>
      <c r="G1317" s="144" t="s">
        <v>454</v>
      </c>
      <c r="H1317" s="144" t="n">
        <v>88</v>
      </c>
      <c r="I1317" s="144" t="s">
        <v>152</v>
      </c>
      <c r="J1317" s="6" t="n">
        <v>45076.6516203704</v>
      </c>
      <c r="K1317" s="1" t="n">
        <v>0</v>
      </c>
      <c r="L1317" s="144" t="n">
        <v>88</v>
      </c>
      <c r="M1317" s="1" t="n">
        <v>31</v>
      </c>
      <c r="N1317" s="1" t="n">
        <v>31</v>
      </c>
      <c r="O1317" s="149" t="n">
        <v>14</v>
      </c>
    </row>
    <row r="1318" customFormat="false" ht="14.25" hidden="false" customHeight="false" outlineLevel="0" collapsed="false">
      <c r="A1318" s="1" t="n">
        <v>201</v>
      </c>
      <c r="B1318" s="1" t="s">
        <v>476</v>
      </c>
      <c r="C1318" s="143" t="n">
        <v>91601</v>
      </c>
      <c r="D1318" s="143" t="s">
        <v>65</v>
      </c>
      <c r="E1318" s="143" t="s">
        <v>474</v>
      </c>
      <c r="F1318" s="144" t="n">
        <v>200025889350</v>
      </c>
      <c r="G1318" s="144" t="s">
        <v>454</v>
      </c>
      <c r="H1318" s="144" t="n">
        <v>88</v>
      </c>
      <c r="I1318" s="144" t="s">
        <v>152</v>
      </c>
      <c r="J1318" s="6" t="n">
        <v>45076.6550231481</v>
      </c>
      <c r="K1318" s="156" t="n">
        <v>42156</v>
      </c>
      <c r="L1318" s="144" t="n">
        <v>88</v>
      </c>
      <c r="M1318" s="1" t="n">
        <v>31</v>
      </c>
      <c r="N1318" s="1" t="n">
        <v>31</v>
      </c>
      <c r="O1318" s="149" t="n">
        <v>15</v>
      </c>
    </row>
    <row r="1319" customFormat="false" ht="14.25" hidden="false" customHeight="false" outlineLevel="0" collapsed="false">
      <c r="A1319" s="1" t="n">
        <v>10</v>
      </c>
      <c r="B1319" s="1" t="s">
        <v>491</v>
      </c>
      <c r="C1319" s="143" t="s">
        <v>52</v>
      </c>
      <c r="D1319" s="143" t="s">
        <v>53</v>
      </c>
      <c r="E1319" s="143" t="s">
        <v>474</v>
      </c>
      <c r="F1319" s="144" t="n">
        <v>200025889350</v>
      </c>
      <c r="G1319" s="144" t="s">
        <v>454</v>
      </c>
      <c r="H1319" s="144" t="n">
        <v>88</v>
      </c>
      <c r="I1319" s="144" t="s">
        <v>152</v>
      </c>
      <c r="J1319" s="6" t="n">
        <v>45076.7886574074</v>
      </c>
      <c r="K1319" s="1" t="n">
        <v>1</v>
      </c>
      <c r="L1319" s="144" t="n">
        <v>88</v>
      </c>
      <c r="M1319" s="1" t="n">
        <v>31</v>
      </c>
      <c r="N1319" s="1" t="n">
        <v>31</v>
      </c>
      <c r="O1319" s="149" t="n">
        <v>16</v>
      </c>
    </row>
    <row r="1320" customFormat="false" ht="14.25" hidden="false" customHeight="false" outlineLevel="0" collapsed="false">
      <c r="A1320" s="1" t="n">
        <v>202</v>
      </c>
      <c r="B1320" s="1" t="s">
        <v>476</v>
      </c>
      <c r="C1320" s="143" t="n">
        <v>91601</v>
      </c>
      <c r="D1320" s="143" t="s">
        <v>65</v>
      </c>
      <c r="E1320" s="143" t="s">
        <v>474</v>
      </c>
      <c r="F1320" s="144" t="n">
        <v>200025889350</v>
      </c>
      <c r="G1320" s="144" t="s">
        <v>454</v>
      </c>
      <c r="H1320" s="144" t="n">
        <v>88</v>
      </c>
      <c r="I1320" s="144" t="s">
        <v>152</v>
      </c>
      <c r="J1320" s="6" t="n">
        <v>45077.0161921296</v>
      </c>
      <c r="K1320" s="1" t="n">
        <v>0</v>
      </c>
      <c r="L1320" s="144" t="n">
        <v>88</v>
      </c>
      <c r="M1320" s="1" t="n">
        <v>31</v>
      </c>
      <c r="N1320" s="1" t="n">
        <v>31</v>
      </c>
      <c r="O1320" s="149" t="n">
        <v>17</v>
      </c>
    </row>
    <row r="1321" customFormat="false" ht="14.25" hidden="false" customHeight="false" outlineLevel="0" collapsed="false">
      <c r="A1321" s="1" t="n">
        <v>10</v>
      </c>
      <c r="B1321" s="1" t="s">
        <v>473</v>
      </c>
      <c r="C1321" s="143" t="n">
        <v>11358</v>
      </c>
      <c r="D1321" s="143" t="s">
        <v>49</v>
      </c>
      <c r="E1321" s="143" t="s">
        <v>474</v>
      </c>
      <c r="F1321" s="144" t="n">
        <v>200025889350</v>
      </c>
      <c r="G1321" s="144" t="s">
        <v>454</v>
      </c>
      <c r="H1321" s="144" t="n">
        <v>88</v>
      </c>
      <c r="I1321" s="144" t="s">
        <v>152</v>
      </c>
      <c r="J1321" s="6" t="n">
        <v>45077.3506828704</v>
      </c>
      <c r="K1321" s="1" t="n">
        <v>1</v>
      </c>
      <c r="L1321" s="144" t="n">
        <v>88</v>
      </c>
      <c r="M1321" s="1" t="n">
        <v>31</v>
      </c>
      <c r="N1321" s="1" t="n">
        <v>31</v>
      </c>
      <c r="O1321" s="149" t="n">
        <v>18</v>
      </c>
    </row>
    <row r="1322" customFormat="false" ht="14.25" hidden="false" customHeight="false" outlineLevel="0" collapsed="false">
      <c r="A1322" s="1" t="n">
        <v>233</v>
      </c>
      <c r="B1322" s="1" t="s">
        <v>477</v>
      </c>
      <c r="C1322" s="143" t="n">
        <v>11171</v>
      </c>
      <c r="D1322" s="143" t="s">
        <v>74</v>
      </c>
      <c r="E1322" s="143" t="s">
        <v>474</v>
      </c>
      <c r="F1322" s="144" t="n">
        <v>200025889350</v>
      </c>
      <c r="G1322" s="144" t="s">
        <v>454</v>
      </c>
      <c r="H1322" s="144" t="n">
        <v>88</v>
      </c>
      <c r="I1322" s="144" t="s">
        <v>152</v>
      </c>
      <c r="J1322" s="152" t="n">
        <v>45077.5013425926</v>
      </c>
      <c r="K1322" s="1" t="n">
        <v>1</v>
      </c>
      <c r="L1322" s="144" t="n">
        <v>88</v>
      </c>
      <c r="M1322" s="1" t="n">
        <v>31</v>
      </c>
      <c r="N1322" s="1" t="n">
        <v>31</v>
      </c>
      <c r="O1322" s="149" t="n">
        <v>19</v>
      </c>
    </row>
    <row r="1323" customFormat="false" ht="14.25" hidden="false" customHeight="false" outlineLevel="0" collapsed="false">
      <c r="A1323" s="1" t="n">
        <v>234</v>
      </c>
      <c r="B1323" s="1" t="s">
        <v>477</v>
      </c>
      <c r="C1323" s="143" t="n">
        <v>11171</v>
      </c>
      <c r="D1323" s="143" t="s">
        <v>74</v>
      </c>
      <c r="E1323" s="143" t="s">
        <v>474</v>
      </c>
      <c r="F1323" s="144" t="n">
        <v>200025889350</v>
      </c>
      <c r="G1323" s="144" t="s">
        <v>454</v>
      </c>
      <c r="H1323" s="144" t="n">
        <v>88</v>
      </c>
      <c r="I1323" s="144" t="s">
        <v>152</v>
      </c>
      <c r="J1323" s="152" t="n">
        <v>45077.5014814815</v>
      </c>
      <c r="K1323" s="1" t="n">
        <v>0</v>
      </c>
      <c r="L1323" s="144" t="n">
        <v>88</v>
      </c>
      <c r="M1323" s="1" t="n">
        <v>31</v>
      </c>
      <c r="N1323" s="1" t="n">
        <v>31</v>
      </c>
      <c r="O1323" s="149" t="n">
        <v>20</v>
      </c>
    </row>
    <row r="1324" customFormat="false" ht="14.25" hidden="false" customHeight="false" outlineLevel="0" collapsed="false">
      <c r="A1324" s="1" t="n">
        <v>235</v>
      </c>
      <c r="B1324" s="1" t="s">
        <v>477</v>
      </c>
      <c r="C1324" s="143" t="n">
        <v>11171</v>
      </c>
      <c r="D1324" s="143" t="s">
        <v>74</v>
      </c>
      <c r="E1324" s="143" t="s">
        <v>474</v>
      </c>
      <c r="F1324" s="144" t="n">
        <v>200025889350</v>
      </c>
      <c r="G1324" s="144" t="s">
        <v>454</v>
      </c>
      <c r="H1324" s="144" t="n">
        <v>88</v>
      </c>
      <c r="I1324" s="144" t="s">
        <v>152</v>
      </c>
      <c r="J1324" s="152" t="n">
        <v>45077.501712963</v>
      </c>
      <c r="K1324" s="1" t="n">
        <v>2</v>
      </c>
      <c r="L1324" s="144" t="n">
        <v>88</v>
      </c>
      <c r="M1324" s="1" t="n">
        <v>31</v>
      </c>
      <c r="N1324" s="1" t="n">
        <v>31</v>
      </c>
      <c r="O1324" s="149" t="n">
        <v>21</v>
      </c>
    </row>
    <row r="1325" customFormat="false" ht="14.25" hidden="false" customHeight="false" outlineLevel="0" collapsed="false">
      <c r="A1325" s="1" t="n">
        <v>236</v>
      </c>
      <c r="B1325" s="1" t="s">
        <v>477</v>
      </c>
      <c r="C1325" s="143" t="n">
        <v>11171</v>
      </c>
      <c r="D1325" s="143" t="s">
        <v>74</v>
      </c>
      <c r="E1325" s="143" t="s">
        <v>474</v>
      </c>
      <c r="F1325" s="144" t="n">
        <v>200025889350</v>
      </c>
      <c r="G1325" s="144" t="s">
        <v>454</v>
      </c>
      <c r="H1325" s="144" t="n">
        <v>88</v>
      </c>
      <c r="I1325" s="144" t="s">
        <v>152</v>
      </c>
      <c r="J1325" s="152" t="n">
        <v>45077.6317824074</v>
      </c>
      <c r="K1325" s="1" t="n">
        <v>1</v>
      </c>
      <c r="L1325" s="144" t="n">
        <v>88</v>
      </c>
      <c r="M1325" s="1" t="n">
        <v>31</v>
      </c>
      <c r="N1325" s="1" t="n">
        <v>31</v>
      </c>
      <c r="O1325" s="149" t="n">
        <v>22</v>
      </c>
    </row>
    <row r="1326" customFormat="false" ht="14.25" hidden="false" customHeight="false" outlineLevel="0" collapsed="false">
      <c r="A1326" s="1" t="n">
        <v>11</v>
      </c>
      <c r="B1326" s="1" t="s">
        <v>473</v>
      </c>
      <c r="C1326" s="143" t="n">
        <v>11358</v>
      </c>
      <c r="D1326" s="143" t="s">
        <v>49</v>
      </c>
      <c r="E1326" s="143" t="s">
        <v>474</v>
      </c>
      <c r="F1326" s="144" t="n">
        <v>200025889350</v>
      </c>
      <c r="G1326" s="144" t="s">
        <v>454</v>
      </c>
      <c r="H1326" s="144" t="n">
        <v>88</v>
      </c>
      <c r="I1326" s="144" t="s">
        <v>152</v>
      </c>
      <c r="J1326" s="6" t="n">
        <v>45077.6330902778</v>
      </c>
      <c r="K1326" s="1" t="n">
        <v>1</v>
      </c>
      <c r="L1326" s="144" t="n">
        <v>88</v>
      </c>
      <c r="M1326" s="1" t="n">
        <v>31</v>
      </c>
      <c r="N1326" s="1" t="n">
        <v>31</v>
      </c>
      <c r="O1326" s="149" t="n">
        <v>23</v>
      </c>
    </row>
    <row r="1327" customFormat="false" ht="14.25" hidden="false" customHeight="false" outlineLevel="0" collapsed="false">
      <c r="A1327" s="1" t="n">
        <v>12</v>
      </c>
      <c r="B1327" s="1" t="s">
        <v>473</v>
      </c>
      <c r="C1327" s="143" t="n">
        <v>11358</v>
      </c>
      <c r="D1327" s="143" t="s">
        <v>49</v>
      </c>
      <c r="E1327" s="143" t="s">
        <v>474</v>
      </c>
      <c r="F1327" s="144" t="n">
        <v>200025889350</v>
      </c>
      <c r="G1327" s="144" t="s">
        <v>454</v>
      </c>
      <c r="H1327" s="144" t="n">
        <v>88</v>
      </c>
      <c r="I1327" s="144" t="s">
        <v>152</v>
      </c>
      <c r="J1327" s="6" t="n">
        <v>45077.6332175926</v>
      </c>
      <c r="K1327" s="1" t="n">
        <v>2</v>
      </c>
      <c r="L1327" s="144" t="n">
        <v>88</v>
      </c>
      <c r="M1327" s="1" t="n">
        <v>31</v>
      </c>
      <c r="N1327" s="1" t="n">
        <v>31</v>
      </c>
      <c r="O1327" s="149" t="n">
        <v>24</v>
      </c>
    </row>
    <row r="1328" customFormat="false" ht="14.25" hidden="false" customHeight="false" outlineLevel="0" collapsed="false">
      <c r="A1328" s="1" t="n">
        <v>13</v>
      </c>
      <c r="B1328" s="1" t="s">
        <v>473</v>
      </c>
      <c r="C1328" s="143" t="n">
        <v>11358</v>
      </c>
      <c r="D1328" s="143" t="s">
        <v>49</v>
      </c>
      <c r="E1328" s="143" t="s">
        <v>474</v>
      </c>
      <c r="F1328" s="144" t="n">
        <v>200025889350</v>
      </c>
      <c r="G1328" s="144" t="s">
        <v>454</v>
      </c>
      <c r="H1328" s="144" t="n">
        <v>88</v>
      </c>
      <c r="I1328" s="144" t="s">
        <v>152</v>
      </c>
      <c r="J1328" s="6" t="n">
        <v>45077.6360069444</v>
      </c>
      <c r="K1328" s="1" t="n">
        <v>3</v>
      </c>
      <c r="L1328" s="144" t="n">
        <v>88</v>
      </c>
      <c r="M1328" s="1" t="n">
        <v>31</v>
      </c>
      <c r="N1328" s="1" t="n">
        <v>31</v>
      </c>
      <c r="O1328" s="149" t="n">
        <v>25</v>
      </c>
    </row>
    <row r="1329" customFormat="false" ht="14.25" hidden="false" customHeight="false" outlineLevel="0" collapsed="false">
      <c r="A1329" s="1" t="n">
        <v>19</v>
      </c>
      <c r="B1329" s="1" t="s">
        <v>475</v>
      </c>
      <c r="C1329" s="143" t="n">
        <v>21265</v>
      </c>
      <c r="D1329" s="143" t="s">
        <v>76</v>
      </c>
      <c r="E1329" s="143" t="s">
        <v>474</v>
      </c>
      <c r="F1329" s="144" t="n">
        <v>200025889350</v>
      </c>
      <c r="G1329" s="144" t="s">
        <v>454</v>
      </c>
      <c r="H1329" s="144" t="n">
        <v>88</v>
      </c>
      <c r="I1329" s="144" t="s">
        <v>152</v>
      </c>
      <c r="J1329" s="6" t="n">
        <v>45078.6543402778</v>
      </c>
      <c r="K1329" s="1" t="n">
        <v>2</v>
      </c>
      <c r="L1329" s="144" t="n">
        <v>88</v>
      </c>
      <c r="M1329" s="1" t="n">
        <v>31</v>
      </c>
      <c r="N1329" s="1" t="n">
        <v>31</v>
      </c>
      <c r="O1329" s="149" t="n">
        <v>26</v>
      </c>
    </row>
    <row r="1330" customFormat="false" ht="14.25" hidden="false" customHeight="false" outlineLevel="0" collapsed="false">
      <c r="A1330" s="1" t="n">
        <v>249</v>
      </c>
      <c r="B1330" s="1" t="s">
        <v>477</v>
      </c>
      <c r="C1330" s="143" t="n">
        <v>11171</v>
      </c>
      <c r="D1330" s="143" t="s">
        <v>74</v>
      </c>
      <c r="E1330" s="143" t="s">
        <v>474</v>
      </c>
      <c r="F1330" s="144" t="n">
        <v>200025889350</v>
      </c>
      <c r="G1330" s="144" t="s">
        <v>454</v>
      </c>
      <c r="H1330" s="144" t="n">
        <v>88</v>
      </c>
      <c r="I1330" s="144" t="s">
        <v>152</v>
      </c>
      <c r="J1330" s="152" t="n">
        <v>45084.6571875</v>
      </c>
      <c r="K1330" s="1" t="n">
        <v>0</v>
      </c>
      <c r="L1330" s="144" t="n">
        <v>88</v>
      </c>
      <c r="M1330" s="1" t="n">
        <v>31</v>
      </c>
      <c r="N1330" s="1" t="n">
        <v>31</v>
      </c>
      <c r="O1330" s="149" t="n">
        <v>27</v>
      </c>
    </row>
    <row r="1331" customFormat="false" ht="14.25" hidden="false" customHeight="false" outlineLevel="0" collapsed="false">
      <c r="A1331" s="1" t="n">
        <v>198</v>
      </c>
      <c r="B1331" s="1" t="s">
        <v>475</v>
      </c>
      <c r="C1331" s="143" t="s">
        <v>52</v>
      </c>
      <c r="D1331" s="143" t="s">
        <v>53</v>
      </c>
      <c r="E1331" s="143" t="s">
        <v>474</v>
      </c>
      <c r="F1331" s="144" t="n">
        <v>200025888567</v>
      </c>
      <c r="G1331" s="144" t="s">
        <v>317</v>
      </c>
      <c r="H1331" s="144" t="n">
        <v>64</v>
      </c>
      <c r="I1331" s="144" t="s">
        <v>152</v>
      </c>
      <c r="J1331" s="151" t="n">
        <v>45057.4550347222</v>
      </c>
      <c r="K1331" s="1" t="n">
        <v>2</v>
      </c>
      <c r="L1331" s="144" t="n">
        <v>64</v>
      </c>
      <c r="M1331" s="1" t="n">
        <v>32</v>
      </c>
      <c r="N1331" s="1" t="n">
        <v>32</v>
      </c>
      <c r="O1331" s="149" t="n">
        <v>1</v>
      </c>
    </row>
    <row r="1332" customFormat="false" ht="14.25" hidden="false" customHeight="false" outlineLevel="0" collapsed="false">
      <c r="A1332" s="1" t="n">
        <v>334</v>
      </c>
      <c r="B1332" s="1" t="s">
        <v>473</v>
      </c>
      <c r="C1332" s="143" t="n">
        <v>11490</v>
      </c>
      <c r="D1332" s="143" t="s">
        <v>65</v>
      </c>
      <c r="E1332" s="143" t="s">
        <v>474</v>
      </c>
      <c r="F1332" s="144" t="n">
        <v>200025888567</v>
      </c>
      <c r="G1332" s="144" t="s">
        <v>317</v>
      </c>
      <c r="H1332" s="144" t="n">
        <v>64</v>
      </c>
      <c r="I1332" s="144" t="s">
        <v>152</v>
      </c>
      <c r="J1332" s="151" t="n">
        <v>45057.4915277778</v>
      </c>
      <c r="K1332" s="1" t="n">
        <v>1</v>
      </c>
      <c r="L1332" s="144" t="n">
        <v>64</v>
      </c>
      <c r="M1332" s="1" t="n">
        <v>32</v>
      </c>
      <c r="N1332" s="1" t="n">
        <v>32</v>
      </c>
      <c r="O1332" s="149" t="n">
        <v>2</v>
      </c>
    </row>
    <row r="1333" customFormat="false" ht="14.25" hidden="false" customHeight="false" outlineLevel="0" collapsed="false">
      <c r="A1333" s="1" t="n">
        <v>335</v>
      </c>
      <c r="B1333" s="1" t="s">
        <v>473</v>
      </c>
      <c r="C1333" s="143" t="n">
        <v>11490</v>
      </c>
      <c r="D1333" s="143" t="s">
        <v>65</v>
      </c>
      <c r="E1333" s="143" t="s">
        <v>474</v>
      </c>
      <c r="F1333" s="144" t="n">
        <v>200025888567</v>
      </c>
      <c r="G1333" s="144" t="s">
        <v>317</v>
      </c>
      <c r="H1333" s="144" t="n">
        <v>64</v>
      </c>
      <c r="I1333" s="144" t="s">
        <v>152</v>
      </c>
      <c r="J1333" s="151" t="n">
        <v>45057.4915625</v>
      </c>
      <c r="K1333" s="1" t="n">
        <v>1</v>
      </c>
      <c r="L1333" s="144" t="n">
        <v>64</v>
      </c>
      <c r="M1333" s="1" t="n">
        <v>32</v>
      </c>
      <c r="N1333" s="1" t="n">
        <v>32</v>
      </c>
      <c r="O1333" s="149" t="n">
        <v>3</v>
      </c>
    </row>
    <row r="1334" customFormat="false" ht="14.25" hidden="false" customHeight="false" outlineLevel="0" collapsed="false">
      <c r="A1334" s="1" t="n">
        <v>210</v>
      </c>
      <c r="B1334" s="1" t="s">
        <v>475</v>
      </c>
      <c r="C1334" s="143" t="s">
        <v>52</v>
      </c>
      <c r="D1334" s="143" t="s">
        <v>53</v>
      </c>
      <c r="E1334" s="143" t="s">
        <v>474</v>
      </c>
      <c r="F1334" s="144" t="n">
        <v>200025888567</v>
      </c>
      <c r="G1334" s="144" t="s">
        <v>317</v>
      </c>
      <c r="H1334" s="144" t="n">
        <v>64</v>
      </c>
      <c r="I1334" s="144" t="s">
        <v>152</v>
      </c>
      <c r="J1334" s="151" t="n">
        <v>45057.6079513889</v>
      </c>
      <c r="K1334" s="1" t="n">
        <v>1</v>
      </c>
      <c r="L1334" s="144" t="n">
        <v>64</v>
      </c>
      <c r="M1334" s="1" t="n">
        <v>32</v>
      </c>
      <c r="N1334" s="1" t="n">
        <v>32</v>
      </c>
      <c r="O1334" s="149" t="n">
        <v>4</v>
      </c>
    </row>
    <row r="1335" customFormat="false" ht="14.25" hidden="false" customHeight="false" outlineLevel="0" collapsed="false">
      <c r="A1335" s="1" t="n">
        <v>361</v>
      </c>
      <c r="B1335" s="1" t="s">
        <v>473</v>
      </c>
      <c r="C1335" s="143" t="n">
        <v>11490</v>
      </c>
      <c r="D1335" s="143" t="s">
        <v>65</v>
      </c>
      <c r="E1335" s="143" t="s">
        <v>474</v>
      </c>
      <c r="F1335" s="144" t="n">
        <v>200025888567</v>
      </c>
      <c r="G1335" s="144" t="s">
        <v>317</v>
      </c>
      <c r="H1335" s="144" t="n">
        <v>64</v>
      </c>
      <c r="I1335" s="144" t="s">
        <v>152</v>
      </c>
      <c r="J1335" s="151" t="n">
        <v>45057.6909606482</v>
      </c>
      <c r="K1335" s="1" t="n">
        <v>2</v>
      </c>
      <c r="L1335" s="144" t="n">
        <v>64</v>
      </c>
      <c r="M1335" s="1" t="n">
        <v>32</v>
      </c>
      <c r="N1335" s="1" t="n">
        <v>32</v>
      </c>
      <c r="O1335" s="149" t="n">
        <v>5</v>
      </c>
    </row>
    <row r="1336" customFormat="false" ht="14.25" hidden="false" customHeight="false" outlineLevel="0" collapsed="false">
      <c r="A1336" s="1" t="n">
        <v>362</v>
      </c>
      <c r="B1336" s="1" t="s">
        <v>473</v>
      </c>
      <c r="C1336" s="143" t="n">
        <v>11490</v>
      </c>
      <c r="D1336" s="143" t="s">
        <v>65</v>
      </c>
      <c r="E1336" s="143" t="s">
        <v>474</v>
      </c>
      <c r="F1336" s="144" t="n">
        <v>200025888567</v>
      </c>
      <c r="G1336" s="144" t="s">
        <v>317</v>
      </c>
      <c r="H1336" s="144" t="n">
        <v>64</v>
      </c>
      <c r="I1336" s="144" t="s">
        <v>152</v>
      </c>
      <c r="J1336" s="151" t="n">
        <v>45057.6910416667</v>
      </c>
      <c r="K1336" s="1" t="n">
        <v>2</v>
      </c>
      <c r="L1336" s="144" t="n">
        <v>64</v>
      </c>
      <c r="M1336" s="1" t="n">
        <v>32</v>
      </c>
      <c r="N1336" s="1" t="n">
        <v>32</v>
      </c>
      <c r="O1336" s="149" t="n">
        <v>6</v>
      </c>
    </row>
    <row r="1337" customFormat="false" ht="14.25" hidden="false" customHeight="false" outlineLevel="0" collapsed="false">
      <c r="A1337" s="1" t="n">
        <v>363</v>
      </c>
      <c r="B1337" s="1" t="s">
        <v>473</v>
      </c>
      <c r="C1337" s="143" t="n">
        <v>11490</v>
      </c>
      <c r="D1337" s="143" t="s">
        <v>65</v>
      </c>
      <c r="E1337" s="143" t="s">
        <v>474</v>
      </c>
      <c r="F1337" s="144" t="n">
        <v>200025888567</v>
      </c>
      <c r="G1337" s="144" t="s">
        <v>317</v>
      </c>
      <c r="H1337" s="144" t="n">
        <v>64</v>
      </c>
      <c r="I1337" s="144" t="s">
        <v>152</v>
      </c>
      <c r="J1337" s="151" t="n">
        <v>45057.6911226852</v>
      </c>
      <c r="K1337" s="1" t="n">
        <v>1</v>
      </c>
      <c r="L1337" s="144" t="n">
        <v>64</v>
      </c>
      <c r="M1337" s="1" t="n">
        <v>32</v>
      </c>
      <c r="N1337" s="1" t="n">
        <v>32</v>
      </c>
      <c r="O1337" s="149" t="n">
        <v>7</v>
      </c>
    </row>
    <row r="1338" customFormat="false" ht="14.25" hidden="false" customHeight="false" outlineLevel="0" collapsed="false">
      <c r="A1338" s="1" t="n">
        <v>364</v>
      </c>
      <c r="B1338" s="1" t="s">
        <v>473</v>
      </c>
      <c r="C1338" s="143" t="n">
        <v>11490</v>
      </c>
      <c r="D1338" s="143" t="s">
        <v>65</v>
      </c>
      <c r="E1338" s="143" t="s">
        <v>474</v>
      </c>
      <c r="F1338" s="144" t="n">
        <v>200025888567</v>
      </c>
      <c r="G1338" s="144" t="s">
        <v>317</v>
      </c>
      <c r="H1338" s="144" t="n">
        <v>64</v>
      </c>
      <c r="I1338" s="144" t="s">
        <v>152</v>
      </c>
      <c r="J1338" s="151" t="n">
        <v>45057.6912037037</v>
      </c>
      <c r="K1338" s="1" t="n">
        <v>1</v>
      </c>
      <c r="L1338" s="144" t="n">
        <v>64</v>
      </c>
      <c r="M1338" s="1" t="n">
        <v>32</v>
      </c>
      <c r="N1338" s="1" t="n">
        <v>32</v>
      </c>
      <c r="O1338" s="149" t="n">
        <v>8</v>
      </c>
    </row>
    <row r="1339" customFormat="false" ht="14.25" hidden="false" customHeight="false" outlineLevel="0" collapsed="false">
      <c r="A1339" s="1" t="n">
        <v>215</v>
      </c>
      <c r="B1339" s="1" t="s">
        <v>475</v>
      </c>
      <c r="C1339" s="143" t="s">
        <v>52</v>
      </c>
      <c r="D1339" s="143" t="s">
        <v>53</v>
      </c>
      <c r="E1339" s="143" t="s">
        <v>474</v>
      </c>
      <c r="F1339" s="144" t="n">
        <v>200025888567</v>
      </c>
      <c r="G1339" s="144" t="s">
        <v>317</v>
      </c>
      <c r="H1339" s="144" t="n">
        <v>64</v>
      </c>
      <c r="I1339" s="144" t="s">
        <v>152</v>
      </c>
      <c r="J1339" s="151" t="n">
        <v>45057.6992361111</v>
      </c>
      <c r="K1339" s="1" t="n">
        <v>1</v>
      </c>
      <c r="L1339" s="144" t="n">
        <v>64</v>
      </c>
      <c r="M1339" s="1" t="n">
        <v>32</v>
      </c>
      <c r="N1339" s="1" t="n">
        <v>32</v>
      </c>
      <c r="O1339" s="149" t="n">
        <v>9</v>
      </c>
    </row>
    <row r="1340" customFormat="false" ht="14.25" hidden="false" customHeight="false" outlineLevel="0" collapsed="false">
      <c r="A1340" s="1" t="n">
        <v>220</v>
      </c>
      <c r="B1340" s="1" t="s">
        <v>475</v>
      </c>
      <c r="C1340" s="143" t="s">
        <v>52</v>
      </c>
      <c r="D1340" s="143" t="s">
        <v>53</v>
      </c>
      <c r="E1340" s="143" t="s">
        <v>474</v>
      </c>
      <c r="F1340" s="144" t="n">
        <v>200025888567</v>
      </c>
      <c r="G1340" s="144" t="s">
        <v>317</v>
      </c>
      <c r="H1340" s="144" t="n">
        <v>64</v>
      </c>
      <c r="I1340" s="144" t="s">
        <v>152</v>
      </c>
      <c r="J1340" s="151" t="n">
        <v>45057.7142361111</v>
      </c>
      <c r="K1340" s="1" t="n">
        <v>2</v>
      </c>
      <c r="L1340" s="144" t="n">
        <v>64</v>
      </c>
      <c r="M1340" s="1" t="n">
        <v>32</v>
      </c>
      <c r="N1340" s="1" t="n">
        <v>32</v>
      </c>
      <c r="O1340" s="149" t="n">
        <v>10</v>
      </c>
    </row>
    <row r="1341" customFormat="false" ht="14.25" hidden="false" customHeight="false" outlineLevel="0" collapsed="false">
      <c r="A1341" s="1" t="n">
        <v>221</v>
      </c>
      <c r="B1341" s="1" t="s">
        <v>475</v>
      </c>
      <c r="C1341" s="143" t="s">
        <v>52</v>
      </c>
      <c r="D1341" s="143" t="s">
        <v>53</v>
      </c>
      <c r="E1341" s="143" t="s">
        <v>474</v>
      </c>
      <c r="F1341" s="144" t="n">
        <v>200025888567</v>
      </c>
      <c r="G1341" s="144" t="s">
        <v>317</v>
      </c>
      <c r="H1341" s="144" t="n">
        <v>64</v>
      </c>
      <c r="I1341" s="144" t="s">
        <v>152</v>
      </c>
      <c r="J1341" s="151" t="n">
        <v>45057.7145717593</v>
      </c>
      <c r="K1341" s="1" t="n">
        <v>2</v>
      </c>
      <c r="L1341" s="144" t="n">
        <v>64</v>
      </c>
      <c r="M1341" s="1" t="n">
        <v>32</v>
      </c>
      <c r="N1341" s="1" t="n">
        <v>32</v>
      </c>
      <c r="O1341" s="149" t="n">
        <v>11</v>
      </c>
    </row>
    <row r="1342" customFormat="false" ht="14.25" hidden="false" customHeight="false" outlineLevel="0" collapsed="false">
      <c r="A1342" s="1" t="n">
        <v>226</v>
      </c>
      <c r="B1342" s="1" t="s">
        <v>475</v>
      </c>
      <c r="C1342" s="143" t="s">
        <v>52</v>
      </c>
      <c r="D1342" s="143" t="s">
        <v>53</v>
      </c>
      <c r="E1342" s="143" t="s">
        <v>474</v>
      </c>
      <c r="F1342" s="144" t="n">
        <v>200025888567</v>
      </c>
      <c r="G1342" s="144" t="s">
        <v>317</v>
      </c>
      <c r="H1342" s="144" t="n">
        <v>64</v>
      </c>
      <c r="I1342" s="144" t="s">
        <v>152</v>
      </c>
      <c r="J1342" s="151" t="n">
        <v>45057.7261921296</v>
      </c>
      <c r="K1342" s="1" t="n">
        <v>1</v>
      </c>
      <c r="L1342" s="144" t="n">
        <v>64</v>
      </c>
      <c r="M1342" s="1" t="n">
        <v>32</v>
      </c>
      <c r="N1342" s="1" t="n">
        <v>32</v>
      </c>
      <c r="O1342" s="149" t="n">
        <v>12</v>
      </c>
    </row>
    <row r="1343" customFormat="false" ht="14.25" hidden="false" customHeight="false" outlineLevel="0" collapsed="false">
      <c r="A1343" s="1" t="n">
        <v>389</v>
      </c>
      <c r="B1343" s="1" t="s">
        <v>473</v>
      </c>
      <c r="C1343" s="143" t="n">
        <v>11490</v>
      </c>
      <c r="D1343" s="143" t="s">
        <v>65</v>
      </c>
      <c r="E1343" s="143" t="s">
        <v>474</v>
      </c>
      <c r="F1343" s="144" t="n">
        <v>200025888567</v>
      </c>
      <c r="G1343" s="144" t="s">
        <v>317</v>
      </c>
      <c r="H1343" s="144" t="n">
        <v>64</v>
      </c>
      <c r="I1343" s="144" t="s">
        <v>152</v>
      </c>
      <c r="J1343" s="151" t="n">
        <v>45057.7670833333</v>
      </c>
      <c r="K1343" s="1" t="n">
        <v>1</v>
      </c>
      <c r="L1343" s="144" t="n">
        <v>64</v>
      </c>
      <c r="M1343" s="1" t="n">
        <v>32</v>
      </c>
      <c r="N1343" s="1" t="n">
        <v>32</v>
      </c>
      <c r="O1343" s="149" t="n">
        <v>13</v>
      </c>
    </row>
    <row r="1344" customFormat="false" ht="14.25" hidden="false" customHeight="false" outlineLevel="0" collapsed="false">
      <c r="A1344" s="1" t="n">
        <v>390</v>
      </c>
      <c r="B1344" s="1" t="s">
        <v>473</v>
      </c>
      <c r="C1344" s="143" t="n">
        <v>11490</v>
      </c>
      <c r="D1344" s="143" t="s">
        <v>65</v>
      </c>
      <c r="E1344" s="143" t="s">
        <v>474</v>
      </c>
      <c r="F1344" s="144" t="n">
        <v>200025888567</v>
      </c>
      <c r="G1344" s="144" t="s">
        <v>317</v>
      </c>
      <c r="H1344" s="144" t="n">
        <v>64</v>
      </c>
      <c r="I1344" s="144" t="s">
        <v>152</v>
      </c>
      <c r="J1344" s="151" t="n">
        <v>45057.7675231482</v>
      </c>
      <c r="K1344" s="1" t="n">
        <v>0</v>
      </c>
      <c r="L1344" s="144" t="n">
        <v>64</v>
      </c>
      <c r="M1344" s="1" t="n">
        <v>32</v>
      </c>
      <c r="N1344" s="1" t="n">
        <v>32</v>
      </c>
      <c r="O1344" s="149" t="n">
        <v>14</v>
      </c>
    </row>
    <row r="1345" customFormat="false" ht="14.25" hidden="false" customHeight="false" outlineLevel="0" collapsed="false">
      <c r="A1345" s="1" t="n">
        <v>391</v>
      </c>
      <c r="B1345" s="1" t="s">
        <v>473</v>
      </c>
      <c r="C1345" s="143" t="n">
        <v>11490</v>
      </c>
      <c r="D1345" s="143" t="s">
        <v>65</v>
      </c>
      <c r="E1345" s="143" t="s">
        <v>474</v>
      </c>
      <c r="F1345" s="144" t="n">
        <v>200025888567</v>
      </c>
      <c r="G1345" s="144" t="s">
        <v>317</v>
      </c>
      <c r="H1345" s="144" t="n">
        <v>64</v>
      </c>
      <c r="I1345" s="144" t="s">
        <v>152</v>
      </c>
      <c r="J1345" s="151" t="n">
        <v>45057.7675810185</v>
      </c>
      <c r="K1345" s="1" t="n">
        <v>1</v>
      </c>
      <c r="L1345" s="144" t="n">
        <v>64</v>
      </c>
      <c r="M1345" s="1" t="n">
        <v>32</v>
      </c>
      <c r="N1345" s="1" t="n">
        <v>32</v>
      </c>
      <c r="O1345" s="149" t="n">
        <v>15</v>
      </c>
    </row>
    <row r="1346" customFormat="false" ht="14.25" hidden="false" customHeight="false" outlineLevel="0" collapsed="false">
      <c r="A1346" s="1" t="n">
        <v>392</v>
      </c>
      <c r="B1346" s="1" t="s">
        <v>473</v>
      </c>
      <c r="C1346" s="143" t="n">
        <v>11490</v>
      </c>
      <c r="D1346" s="143" t="s">
        <v>65</v>
      </c>
      <c r="E1346" s="143" t="s">
        <v>474</v>
      </c>
      <c r="F1346" s="144" t="n">
        <v>200025888567</v>
      </c>
      <c r="G1346" s="144" t="s">
        <v>317</v>
      </c>
      <c r="H1346" s="144" t="n">
        <v>64</v>
      </c>
      <c r="I1346" s="144" t="s">
        <v>152</v>
      </c>
      <c r="J1346" s="151" t="n">
        <v>45057.7676273148</v>
      </c>
      <c r="K1346" s="1" t="n">
        <v>1</v>
      </c>
      <c r="L1346" s="144" t="n">
        <v>64</v>
      </c>
      <c r="M1346" s="1" t="n">
        <v>32</v>
      </c>
      <c r="N1346" s="1" t="n">
        <v>32</v>
      </c>
      <c r="O1346" s="149" t="n">
        <v>16</v>
      </c>
    </row>
    <row r="1347" customFormat="false" ht="14.25" hidden="false" customHeight="false" outlineLevel="0" collapsed="false">
      <c r="A1347" s="1" t="n">
        <v>242</v>
      </c>
      <c r="B1347" s="1" t="s">
        <v>475</v>
      </c>
      <c r="C1347" s="143" t="s">
        <v>52</v>
      </c>
      <c r="D1347" s="143" t="s">
        <v>53</v>
      </c>
      <c r="E1347" s="143" t="s">
        <v>474</v>
      </c>
      <c r="F1347" s="144" t="n">
        <v>200025888567</v>
      </c>
      <c r="G1347" s="144" t="s">
        <v>317</v>
      </c>
      <c r="H1347" s="144" t="n">
        <v>64</v>
      </c>
      <c r="I1347" s="144" t="s">
        <v>152</v>
      </c>
      <c r="J1347" s="151" t="n">
        <v>45057.779224537</v>
      </c>
      <c r="K1347" s="1" t="n">
        <v>0</v>
      </c>
      <c r="L1347" s="144" t="n">
        <v>64</v>
      </c>
      <c r="M1347" s="1" t="n">
        <v>32</v>
      </c>
      <c r="N1347" s="1" t="n">
        <v>32</v>
      </c>
      <c r="O1347" s="149" t="n">
        <v>17</v>
      </c>
    </row>
    <row r="1348" customFormat="false" ht="14.25" hidden="false" customHeight="false" outlineLevel="0" collapsed="false">
      <c r="A1348" s="1" t="n">
        <v>243</v>
      </c>
      <c r="B1348" s="1" t="s">
        <v>475</v>
      </c>
      <c r="C1348" s="143" t="s">
        <v>52</v>
      </c>
      <c r="D1348" s="143" t="s">
        <v>53</v>
      </c>
      <c r="E1348" s="143" t="s">
        <v>474</v>
      </c>
      <c r="F1348" s="144" t="n">
        <v>200025888567</v>
      </c>
      <c r="G1348" s="144" t="s">
        <v>317</v>
      </c>
      <c r="H1348" s="144" t="n">
        <v>64</v>
      </c>
      <c r="I1348" s="144" t="s">
        <v>152</v>
      </c>
      <c r="J1348" s="151" t="n">
        <v>45057.7792708333</v>
      </c>
      <c r="K1348" s="1" t="n">
        <v>1</v>
      </c>
      <c r="L1348" s="144" t="n">
        <v>64</v>
      </c>
      <c r="M1348" s="1" t="n">
        <v>32</v>
      </c>
      <c r="N1348" s="1" t="n">
        <v>32</v>
      </c>
      <c r="O1348" s="149" t="n">
        <v>18</v>
      </c>
    </row>
    <row r="1349" customFormat="false" ht="14.25" hidden="false" customHeight="false" outlineLevel="0" collapsed="false">
      <c r="A1349" s="1" t="n">
        <v>252</v>
      </c>
      <c r="B1349" s="1" t="s">
        <v>475</v>
      </c>
      <c r="C1349" s="143" t="s">
        <v>52</v>
      </c>
      <c r="D1349" s="143" t="s">
        <v>53</v>
      </c>
      <c r="E1349" s="143" t="s">
        <v>474</v>
      </c>
      <c r="F1349" s="144" t="n">
        <v>200025888567</v>
      </c>
      <c r="G1349" s="144" t="s">
        <v>317</v>
      </c>
      <c r="H1349" s="144" t="n">
        <v>64</v>
      </c>
      <c r="I1349" s="144" t="s">
        <v>152</v>
      </c>
      <c r="J1349" s="151" t="n">
        <v>45057.7857407407</v>
      </c>
      <c r="K1349" s="1" t="n">
        <v>3</v>
      </c>
      <c r="L1349" s="144" t="n">
        <v>64</v>
      </c>
      <c r="M1349" s="1" t="n">
        <v>32</v>
      </c>
      <c r="N1349" s="1" t="n">
        <v>32</v>
      </c>
      <c r="O1349" s="149" t="n">
        <v>19</v>
      </c>
    </row>
    <row r="1350" customFormat="false" ht="14.25" hidden="false" customHeight="false" outlineLevel="0" collapsed="false">
      <c r="A1350" s="1" t="n">
        <v>298</v>
      </c>
      <c r="B1350" s="1" t="s">
        <v>475</v>
      </c>
      <c r="C1350" s="143" t="s">
        <v>52</v>
      </c>
      <c r="D1350" s="143" t="s">
        <v>53</v>
      </c>
      <c r="E1350" s="143" t="s">
        <v>474</v>
      </c>
      <c r="F1350" s="144" t="n">
        <v>200025888567</v>
      </c>
      <c r="G1350" s="144" t="s">
        <v>317</v>
      </c>
      <c r="H1350" s="144" t="n">
        <v>64</v>
      </c>
      <c r="I1350" s="144" t="s">
        <v>152</v>
      </c>
      <c r="J1350" s="151" t="n">
        <v>45057.9849189815</v>
      </c>
      <c r="K1350" s="1" t="n">
        <v>1</v>
      </c>
      <c r="L1350" s="144" t="n">
        <v>64</v>
      </c>
      <c r="M1350" s="1" t="n">
        <v>32</v>
      </c>
      <c r="N1350" s="1" t="n">
        <v>32</v>
      </c>
      <c r="O1350" s="149" t="n">
        <v>20</v>
      </c>
    </row>
    <row r="1351" customFormat="false" ht="14.25" hidden="false" customHeight="false" outlineLevel="0" collapsed="false">
      <c r="A1351" s="1" t="n">
        <v>484</v>
      </c>
      <c r="B1351" s="1" t="s">
        <v>473</v>
      </c>
      <c r="C1351" s="143" t="n">
        <v>11490</v>
      </c>
      <c r="D1351" s="143" t="s">
        <v>65</v>
      </c>
      <c r="E1351" s="143" t="s">
        <v>474</v>
      </c>
      <c r="F1351" s="144" t="n">
        <v>200025888567</v>
      </c>
      <c r="G1351" s="144" t="s">
        <v>317</v>
      </c>
      <c r="H1351" s="144" t="n">
        <v>64</v>
      </c>
      <c r="I1351" s="144" t="s">
        <v>152</v>
      </c>
      <c r="J1351" s="151" t="n">
        <v>45058.0333564815</v>
      </c>
      <c r="K1351" s="1" t="n">
        <v>0</v>
      </c>
      <c r="L1351" s="144" t="n">
        <v>64</v>
      </c>
      <c r="M1351" s="1" t="n">
        <v>32</v>
      </c>
      <c r="N1351" s="1" t="n">
        <v>32</v>
      </c>
      <c r="O1351" s="149" t="n">
        <v>21</v>
      </c>
    </row>
    <row r="1352" customFormat="false" ht="14.25" hidden="false" customHeight="false" outlineLevel="0" collapsed="false">
      <c r="A1352" s="1" t="n">
        <v>485</v>
      </c>
      <c r="B1352" s="1" t="s">
        <v>473</v>
      </c>
      <c r="C1352" s="143" t="n">
        <v>11490</v>
      </c>
      <c r="D1352" s="143" t="s">
        <v>65</v>
      </c>
      <c r="E1352" s="143" t="s">
        <v>474</v>
      </c>
      <c r="F1352" s="144" t="n">
        <v>200025888567</v>
      </c>
      <c r="G1352" s="144" t="s">
        <v>317</v>
      </c>
      <c r="H1352" s="144" t="n">
        <v>64</v>
      </c>
      <c r="I1352" s="144" t="s">
        <v>152</v>
      </c>
      <c r="J1352" s="151" t="n">
        <v>45058.0333796296</v>
      </c>
      <c r="K1352" s="1" t="n">
        <v>2</v>
      </c>
      <c r="L1352" s="144" t="n">
        <v>64</v>
      </c>
      <c r="M1352" s="1" t="n">
        <v>32</v>
      </c>
      <c r="N1352" s="1" t="n">
        <v>32</v>
      </c>
      <c r="O1352" s="149" t="n">
        <v>22</v>
      </c>
    </row>
    <row r="1353" customFormat="false" ht="14.25" hidden="false" customHeight="false" outlineLevel="0" collapsed="false">
      <c r="A1353" s="1" t="n">
        <v>169</v>
      </c>
      <c r="B1353" s="1" t="s">
        <v>477</v>
      </c>
      <c r="C1353" s="143" t="s">
        <v>52</v>
      </c>
      <c r="D1353" s="143" t="s">
        <v>53</v>
      </c>
      <c r="E1353" s="143" t="s">
        <v>474</v>
      </c>
      <c r="F1353" s="144" t="n">
        <v>200025888567</v>
      </c>
      <c r="G1353" s="144" t="s">
        <v>317</v>
      </c>
      <c r="H1353" s="144" t="n">
        <v>64</v>
      </c>
      <c r="I1353" s="144" t="s">
        <v>152</v>
      </c>
      <c r="J1353" s="152" t="n">
        <v>45074.5176736111</v>
      </c>
      <c r="K1353" s="1" t="n">
        <v>3</v>
      </c>
      <c r="L1353" s="144" t="n">
        <v>64</v>
      </c>
      <c r="M1353" s="1" t="n">
        <v>32</v>
      </c>
      <c r="N1353" s="1" t="n">
        <v>32</v>
      </c>
      <c r="O1353" s="149" t="n">
        <v>23</v>
      </c>
    </row>
    <row r="1354" customFormat="false" ht="14.25" hidden="false" customHeight="false" outlineLevel="0" collapsed="false">
      <c r="A1354" s="1" t="n">
        <v>170</v>
      </c>
      <c r="B1354" s="1" t="s">
        <v>477</v>
      </c>
      <c r="C1354" s="143" t="s">
        <v>52</v>
      </c>
      <c r="D1354" s="143" t="s">
        <v>53</v>
      </c>
      <c r="E1354" s="143" t="s">
        <v>474</v>
      </c>
      <c r="F1354" s="144" t="n">
        <v>200025888567</v>
      </c>
      <c r="G1354" s="144" t="s">
        <v>317</v>
      </c>
      <c r="H1354" s="144" t="n">
        <v>64</v>
      </c>
      <c r="I1354" s="144" t="s">
        <v>152</v>
      </c>
      <c r="J1354" s="152" t="n">
        <v>45074.5184837963</v>
      </c>
      <c r="K1354" s="1" t="n">
        <v>11</v>
      </c>
      <c r="L1354" s="144" t="n">
        <v>64</v>
      </c>
      <c r="M1354" s="1" t="n">
        <v>32</v>
      </c>
      <c r="N1354" s="1" t="n">
        <v>32</v>
      </c>
      <c r="O1354" s="149" t="n">
        <v>24</v>
      </c>
    </row>
    <row r="1355" customFormat="false" ht="14.25" hidden="false" customHeight="false" outlineLevel="0" collapsed="false">
      <c r="A1355" s="1" t="n">
        <v>171</v>
      </c>
      <c r="B1355" s="1" t="s">
        <v>477</v>
      </c>
      <c r="C1355" s="143" t="s">
        <v>52</v>
      </c>
      <c r="D1355" s="143" t="s">
        <v>53</v>
      </c>
      <c r="E1355" s="143" t="s">
        <v>474</v>
      </c>
      <c r="F1355" s="144" t="n">
        <v>200025888567</v>
      </c>
      <c r="G1355" s="144" t="s">
        <v>317</v>
      </c>
      <c r="H1355" s="144" t="n">
        <v>64</v>
      </c>
      <c r="I1355" s="144" t="s">
        <v>152</v>
      </c>
      <c r="J1355" s="152" t="n">
        <v>45074.5189236111</v>
      </c>
      <c r="K1355" s="1" t="n">
        <v>1</v>
      </c>
      <c r="L1355" s="144" t="n">
        <v>64</v>
      </c>
      <c r="M1355" s="1" t="n">
        <v>32</v>
      </c>
      <c r="N1355" s="1" t="n">
        <v>32</v>
      </c>
      <c r="O1355" s="149" t="n">
        <v>25</v>
      </c>
    </row>
    <row r="1356" customFormat="false" ht="14.25" hidden="false" customHeight="false" outlineLevel="0" collapsed="false">
      <c r="A1356" s="1" t="n">
        <v>172</v>
      </c>
      <c r="B1356" s="1" t="s">
        <v>477</v>
      </c>
      <c r="C1356" s="143" t="s">
        <v>52</v>
      </c>
      <c r="D1356" s="143" t="s">
        <v>53</v>
      </c>
      <c r="E1356" s="143" t="s">
        <v>474</v>
      </c>
      <c r="F1356" s="144" t="n">
        <v>200025888567</v>
      </c>
      <c r="G1356" s="144" t="s">
        <v>317</v>
      </c>
      <c r="H1356" s="144" t="n">
        <v>64</v>
      </c>
      <c r="I1356" s="144" t="s">
        <v>152</v>
      </c>
      <c r="J1356" s="152" t="n">
        <v>45074.5198148148</v>
      </c>
      <c r="K1356" s="1" t="n">
        <v>1</v>
      </c>
      <c r="L1356" s="144" t="n">
        <v>64</v>
      </c>
      <c r="M1356" s="1" t="n">
        <v>32</v>
      </c>
      <c r="N1356" s="1" t="n">
        <v>32</v>
      </c>
      <c r="O1356" s="149" t="n">
        <v>26</v>
      </c>
    </row>
    <row r="1357" customFormat="false" ht="14.25" hidden="false" customHeight="false" outlineLevel="0" collapsed="false">
      <c r="A1357" s="1" t="n">
        <v>173</v>
      </c>
      <c r="B1357" s="1" t="s">
        <v>477</v>
      </c>
      <c r="C1357" s="143" t="s">
        <v>52</v>
      </c>
      <c r="D1357" s="143" t="s">
        <v>53</v>
      </c>
      <c r="E1357" s="143" t="s">
        <v>474</v>
      </c>
      <c r="F1357" s="144" t="n">
        <v>200025888567</v>
      </c>
      <c r="G1357" s="144" t="s">
        <v>317</v>
      </c>
      <c r="H1357" s="144" t="n">
        <v>64</v>
      </c>
      <c r="I1357" s="144" t="s">
        <v>152</v>
      </c>
      <c r="J1357" s="152" t="n">
        <v>45074.5236458333</v>
      </c>
      <c r="K1357" s="1" t="n">
        <v>1</v>
      </c>
      <c r="L1357" s="144" t="n">
        <v>64</v>
      </c>
      <c r="M1357" s="1" t="n">
        <v>32</v>
      </c>
      <c r="N1357" s="1" t="n">
        <v>32</v>
      </c>
      <c r="O1357" s="149" t="n">
        <v>27</v>
      </c>
    </row>
    <row r="1358" customFormat="false" ht="14.25" hidden="false" customHeight="false" outlineLevel="0" collapsed="false">
      <c r="A1358" s="1" t="n">
        <v>174</v>
      </c>
      <c r="B1358" s="1" t="s">
        <v>477</v>
      </c>
      <c r="C1358" s="143" t="s">
        <v>52</v>
      </c>
      <c r="D1358" s="143" t="s">
        <v>53</v>
      </c>
      <c r="E1358" s="143" t="s">
        <v>474</v>
      </c>
      <c r="F1358" s="144" t="n">
        <v>200025888567</v>
      </c>
      <c r="G1358" s="144" t="s">
        <v>317</v>
      </c>
      <c r="H1358" s="144" t="n">
        <v>64</v>
      </c>
      <c r="I1358" s="144" t="s">
        <v>152</v>
      </c>
      <c r="J1358" s="152" t="n">
        <v>45074.5236689815</v>
      </c>
      <c r="K1358" s="1" t="n">
        <v>7</v>
      </c>
      <c r="L1358" s="144" t="n">
        <v>64</v>
      </c>
      <c r="M1358" s="1" t="n">
        <v>32</v>
      </c>
      <c r="N1358" s="1" t="n">
        <v>32</v>
      </c>
      <c r="O1358" s="149" t="n">
        <v>28</v>
      </c>
    </row>
    <row r="1359" customFormat="false" ht="14.25" hidden="false" customHeight="false" outlineLevel="0" collapsed="false">
      <c r="A1359" s="1" t="n">
        <v>175</v>
      </c>
      <c r="B1359" s="1" t="s">
        <v>477</v>
      </c>
      <c r="C1359" s="143" t="s">
        <v>52</v>
      </c>
      <c r="D1359" s="143" t="s">
        <v>53</v>
      </c>
      <c r="E1359" s="143" t="s">
        <v>474</v>
      </c>
      <c r="F1359" s="144" t="n">
        <v>200025888567</v>
      </c>
      <c r="G1359" s="144" t="s">
        <v>317</v>
      </c>
      <c r="H1359" s="144" t="n">
        <v>64</v>
      </c>
      <c r="I1359" s="144" t="s">
        <v>152</v>
      </c>
      <c r="J1359" s="152" t="n">
        <v>45074.5950347222</v>
      </c>
      <c r="K1359" s="1" t="n">
        <v>4</v>
      </c>
      <c r="L1359" s="144" t="n">
        <v>64</v>
      </c>
      <c r="M1359" s="1" t="n">
        <v>32</v>
      </c>
      <c r="N1359" s="1" t="n">
        <v>32</v>
      </c>
      <c r="O1359" s="149" t="n">
        <v>29</v>
      </c>
    </row>
    <row r="1360" customFormat="false" ht="14.25" hidden="false" customHeight="false" outlineLevel="0" collapsed="false">
      <c r="A1360" s="1" t="n">
        <v>336</v>
      </c>
      <c r="B1360" s="1" t="s">
        <v>473</v>
      </c>
      <c r="C1360" s="143" t="n">
        <v>11490</v>
      </c>
      <c r="D1360" s="143" t="s">
        <v>65</v>
      </c>
      <c r="E1360" s="143" t="s">
        <v>474</v>
      </c>
      <c r="F1360" s="144" t="n">
        <v>200025888897</v>
      </c>
      <c r="G1360" s="144" t="s">
        <v>308</v>
      </c>
      <c r="H1360" s="144" t="n">
        <v>24</v>
      </c>
      <c r="I1360" s="144" t="s">
        <v>152</v>
      </c>
      <c r="J1360" s="151" t="n">
        <v>45057.4997685185</v>
      </c>
      <c r="K1360" s="1" t="n">
        <v>1</v>
      </c>
      <c r="L1360" s="144" t="n">
        <v>24</v>
      </c>
      <c r="M1360" s="1" t="n">
        <v>33</v>
      </c>
      <c r="N1360" s="1" t="n">
        <v>33</v>
      </c>
      <c r="O1360" s="149" t="n">
        <v>1</v>
      </c>
    </row>
    <row r="1361" customFormat="false" ht="14.25" hidden="false" customHeight="false" outlineLevel="0" collapsed="false">
      <c r="A1361" s="1" t="n">
        <v>347</v>
      </c>
      <c r="B1361" s="1" t="s">
        <v>473</v>
      </c>
      <c r="C1361" s="143" t="n">
        <v>11490</v>
      </c>
      <c r="D1361" s="143" t="s">
        <v>65</v>
      </c>
      <c r="E1361" s="143" t="s">
        <v>474</v>
      </c>
      <c r="F1361" s="144" t="n">
        <v>200025888290</v>
      </c>
      <c r="G1361" s="144" t="s">
        <v>225</v>
      </c>
      <c r="H1361" s="144" t="n">
        <v>92</v>
      </c>
      <c r="I1361" s="144" t="s">
        <v>152</v>
      </c>
      <c r="J1361" s="151" t="n">
        <v>45057.6082175926</v>
      </c>
      <c r="K1361" s="1" t="n">
        <v>1</v>
      </c>
      <c r="L1361" s="144" t="n">
        <v>92</v>
      </c>
      <c r="M1361" s="1" t="n">
        <v>34</v>
      </c>
      <c r="N1361" s="1" t="n">
        <v>34</v>
      </c>
      <c r="O1361" s="149" t="n">
        <v>1</v>
      </c>
    </row>
    <row r="1362" customFormat="false" ht="14.25" hidden="false" customHeight="false" outlineLevel="0" collapsed="false">
      <c r="A1362" s="1" t="n">
        <v>348</v>
      </c>
      <c r="B1362" s="1" t="s">
        <v>473</v>
      </c>
      <c r="C1362" s="143" t="n">
        <v>11490</v>
      </c>
      <c r="D1362" s="143" t="s">
        <v>65</v>
      </c>
      <c r="E1362" s="143" t="s">
        <v>474</v>
      </c>
      <c r="F1362" s="144" t="n">
        <v>200025888290</v>
      </c>
      <c r="G1362" s="144" t="s">
        <v>225</v>
      </c>
      <c r="H1362" s="144" t="n">
        <v>92</v>
      </c>
      <c r="I1362" s="144" t="s">
        <v>152</v>
      </c>
      <c r="J1362" s="151" t="n">
        <v>45057.6082523148</v>
      </c>
      <c r="K1362" s="1" t="n">
        <v>1</v>
      </c>
      <c r="L1362" s="144" t="n">
        <v>92</v>
      </c>
      <c r="M1362" s="1" t="n">
        <v>34</v>
      </c>
      <c r="N1362" s="1" t="n">
        <v>34</v>
      </c>
      <c r="O1362" s="149" t="n">
        <v>2</v>
      </c>
    </row>
    <row r="1363" customFormat="false" ht="14.25" hidden="false" customHeight="false" outlineLevel="0" collapsed="false">
      <c r="A1363" s="1" t="n">
        <v>349</v>
      </c>
      <c r="B1363" s="1" t="s">
        <v>473</v>
      </c>
      <c r="C1363" s="143" t="n">
        <v>11490</v>
      </c>
      <c r="D1363" s="143" t="s">
        <v>65</v>
      </c>
      <c r="E1363" s="143" t="s">
        <v>474</v>
      </c>
      <c r="F1363" s="144" t="n">
        <v>200025888290</v>
      </c>
      <c r="G1363" s="144" t="s">
        <v>225</v>
      </c>
      <c r="H1363" s="144" t="n">
        <v>92</v>
      </c>
      <c r="I1363" s="144" t="s">
        <v>152</v>
      </c>
      <c r="J1363" s="151" t="n">
        <v>45057.6084259259</v>
      </c>
      <c r="K1363" s="1" t="n">
        <v>1</v>
      </c>
      <c r="L1363" s="144" t="n">
        <v>92</v>
      </c>
      <c r="M1363" s="1" t="n">
        <v>34</v>
      </c>
      <c r="N1363" s="1" t="n">
        <v>34</v>
      </c>
      <c r="O1363" s="149" t="n">
        <v>3</v>
      </c>
    </row>
    <row r="1364" customFormat="false" ht="14.25" hidden="false" customHeight="false" outlineLevel="0" collapsed="false">
      <c r="A1364" s="1" t="n">
        <v>350</v>
      </c>
      <c r="B1364" s="1" t="s">
        <v>473</v>
      </c>
      <c r="C1364" s="143" t="n">
        <v>11490</v>
      </c>
      <c r="D1364" s="143" t="s">
        <v>65</v>
      </c>
      <c r="E1364" s="143" t="s">
        <v>474</v>
      </c>
      <c r="F1364" s="144" t="n">
        <v>200025888290</v>
      </c>
      <c r="G1364" s="144" t="s">
        <v>225</v>
      </c>
      <c r="H1364" s="144" t="n">
        <v>92</v>
      </c>
      <c r="I1364" s="144" t="s">
        <v>152</v>
      </c>
      <c r="J1364" s="151" t="n">
        <v>45057.6084722222</v>
      </c>
      <c r="K1364" s="1" t="n">
        <v>1</v>
      </c>
      <c r="L1364" s="144" t="n">
        <v>92</v>
      </c>
      <c r="M1364" s="1" t="n">
        <v>34</v>
      </c>
      <c r="N1364" s="1" t="n">
        <v>34</v>
      </c>
      <c r="O1364" s="149" t="n">
        <v>4</v>
      </c>
    </row>
    <row r="1365" customFormat="false" ht="14.25" hidden="false" customHeight="false" outlineLevel="0" collapsed="false">
      <c r="A1365" s="1" t="n">
        <v>351</v>
      </c>
      <c r="B1365" s="1" t="s">
        <v>473</v>
      </c>
      <c r="C1365" s="143" t="n">
        <v>11490</v>
      </c>
      <c r="D1365" s="143" t="s">
        <v>65</v>
      </c>
      <c r="E1365" s="143" t="s">
        <v>474</v>
      </c>
      <c r="F1365" s="144" t="n">
        <v>200025888290</v>
      </c>
      <c r="G1365" s="144" t="s">
        <v>225</v>
      </c>
      <c r="H1365" s="144" t="n">
        <v>92</v>
      </c>
      <c r="I1365" s="144" t="s">
        <v>152</v>
      </c>
      <c r="J1365" s="151" t="n">
        <v>45057.6088425926</v>
      </c>
      <c r="K1365" s="1" t="n">
        <v>1</v>
      </c>
      <c r="L1365" s="144" t="n">
        <v>92</v>
      </c>
      <c r="M1365" s="1" t="n">
        <v>34</v>
      </c>
      <c r="N1365" s="1" t="n">
        <v>34</v>
      </c>
      <c r="O1365" s="149" t="n">
        <v>5</v>
      </c>
    </row>
    <row r="1366" customFormat="false" ht="14.25" hidden="false" customHeight="false" outlineLevel="0" collapsed="false">
      <c r="A1366" s="1" t="n">
        <v>376</v>
      </c>
      <c r="B1366" s="1" t="s">
        <v>473</v>
      </c>
      <c r="C1366" s="143" t="n">
        <v>11490</v>
      </c>
      <c r="D1366" s="143" t="s">
        <v>65</v>
      </c>
      <c r="E1366" s="143" t="s">
        <v>474</v>
      </c>
      <c r="F1366" s="144" t="n">
        <v>200025888290</v>
      </c>
      <c r="G1366" s="144" t="s">
        <v>225</v>
      </c>
      <c r="H1366" s="144" t="n">
        <v>92</v>
      </c>
      <c r="I1366" s="144" t="s">
        <v>152</v>
      </c>
      <c r="J1366" s="151" t="n">
        <v>45057.7045949074</v>
      </c>
      <c r="K1366" s="1" t="n">
        <v>1</v>
      </c>
      <c r="L1366" s="144" t="n">
        <v>92</v>
      </c>
      <c r="M1366" s="1" t="n">
        <v>34</v>
      </c>
      <c r="N1366" s="1" t="n">
        <v>34</v>
      </c>
      <c r="O1366" s="149" t="n">
        <v>6</v>
      </c>
    </row>
    <row r="1367" customFormat="false" ht="14.25" hidden="false" customHeight="false" outlineLevel="0" collapsed="false">
      <c r="A1367" s="1" t="n">
        <v>377</v>
      </c>
      <c r="B1367" s="1" t="s">
        <v>473</v>
      </c>
      <c r="C1367" s="143" t="n">
        <v>11490</v>
      </c>
      <c r="D1367" s="143" t="s">
        <v>65</v>
      </c>
      <c r="E1367" s="143" t="s">
        <v>474</v>
      </c>
      <c r="F1367" s="144" t="n">
        <v>200025888290</v>
      </c>
      <c r="G1367" s="144" t="s">
        <v>225</v>
      </c>
      <c r="H1367" s="144" t="n">
        <v>92</v>
      </c>
      <c r="I1367" s="144" t="s">
        <v>152</v>
      </c>
      <c r="J1367" s="151" t="n">
        <v>45057.7046180556</v>
      </c>
      <c r="K1367" s="1" t="n">
        <v>1</v>
      </c>
      <c r="L1367" s="144" t="n">
        <v>92</v>
      </c>
      <c r="M1367" s="1" t="n">
        <v>34</v>
      </c>
      <c r="N1367" s="1" t="n">
        <v>34</v>
      </c>
      <c r="O1367" s="149" t="n">
        <v>7</v>
      </c>
    </row>
    <row r="1368" customFormat="false" ht="14.25" hidden="false" customHeight="false" outlineLevel="0" collapsed="false">
      <c r="A1368" s="1" t="n">
        <v>220</v>
      </c>
      <c r="B1368" s="1" t="s">
        <v>477</v>
      </c>
      <c r="C1368" s="143" t="n">
        <v>91601</v>
      </c>
      <c r="D1368" s="143" t="s">
        <v>64</v>
      </c>
      <c r="E1368" s="143" t="s">
        <v>474</v>
      </c>
      <c r="F1368" s="144" t="n">
        <v>200025888290</v>
      </c>
      <c r="G1368" s="144" t="s">
        <v>225</v>
      </c>
      <c r="H1368" s="144" t="n">
        <v>92</v>
      </c>
      <c r="I1368" s="144" t="s">
        <v>152</v>
      </c>
      <c r="J1368" s="152" t="n">
        <v>45057.7050694445</v>
      </c>
      <c r="K1368" s="1" t="n">
        <v>1</v>
      </c>
      <c r="L1368" s="144" t="n">
        <v>92</v>
      </c>
      <c r="M1368" s="1" t="n">
        <v>34</v>
      </c>
      <c r="N1368" s="1" t="n">
        <v>34</v>
      </c>
      <c r="O1368" s="149" t="n">
        <v>8</v>
      </c>
    </row>
    <row r="1369" customFormat="false" ht="14.25" hidden="false" customHeight="false" outlineLevel="0" collapsed="false">
      <c r="A1369" s="1" t="n">
        <v>221</v>
      </c>
      <c r="B1369" s="1" t="s">
        <v>477</v>
      </c>
      <c r="C1369" s="143" t="n">
        <v>91601</v>
      </c>
      <c r="D1369" s="143" t="s">
        <v>64</v>
      </c>
      <c r="E1369" s="143" t="s">
        <v>474</v>
      </c>
      <c r="F1369" s="144" t="n">
        <v>200025888290</v>
      </c>
      <c r="G1369" s="144" t="s">
        <v>225</v>
      </c>
      <c r="H1369" s="144" t="n">
        <v>92</v>
      </c>
      <c r="I1369" s="144" t="s">
        <v>152</v>
      </c>
      <c r="J1369" s="152" t="n">
        <v>45057.7052083333</v>
      </c>
      <c r="K1369" s="1" t="n">
        <v>2</v>
      </c>
      <c r="L1369" s="144" t="n">
        <v>92</v>
      </c>
      <c r="M1369" s="1" t="n">
        <v>34</v>
      </c>
      <c r="N1369" s="1" t="n">
        <v>34</v>
      </c>
      <c r="O1369" s="149" t="n">
        <v>9</v>
      </c>
    </row>
    <row r="1370" customFormat="false" ht="14.25" hidden="false" customHeight="false" outlineLevel="0" collapsed="false">
      <c r="A1370" s="1" t="n">
        <v>222</v>
      </c>
      <c r="B1370" s="1" t="s">
        <v>477</v>
      </c>
      <c r="C1370" s="143" t="n">
        <v>91601</v>
      </c>
      <c r="D1370" s="143" t="s">
        <v>64</v>
      </c>
      <c r="E1370" s="143" t="s">
        <v>474</v>
      </c>
      <c r="F1370" s="144" t="n">
        <v>200025888290</v>
      </c>
      <c r="G1370" s="144" t="s">
        <v>225</v>
      </c>
      <c r="H1370" s="144" t="n">
        <v>92</v>
      </c>
      <c r="I1370" s="144" t="s">
        <v>152</v>
      </c>
      <c r="J1370" s="152" t="n">
        <v>45057.7054166667</v>
      </c>
      <c r="K1370" s="1" t="n">
        <v>3</v>
      </c>
      <c r="L1370" s="144" t="n">
        <v>92</v>
      </c>
      <c r="M1370" s="1" t="n">
        <v>34</v>
      </c>
      <c r="N1370" s="1" t="n">
        <v>34</v>
      </c>
      <c r="O1370" s="149" t="n">
        <v>10</v>
      </c>
    </row>
    <row r="1371" customFormat="false" ht="14.25" hidden="false" customHeight="false" outlineLevel="0" collapsed="false">
      <c r="A1371" s="1" t="n">
        <v>223</v>
      </c>
      <c r="B1371" s="1" t="s">
        <v>477</v>
      </c>
      <c r="C1371" s="143" t="n">
        <v>91601</v>
      </c>
      <c r="D1371" s="143" t="s">
        <v>64</v>
      </c>
      <c r="E1371" s="143" t="s">
        <v>474</v>
      </c>
      <c r="F1371" s="144" t="n">
        <v>200025888290</v>
      </c>
      <c r="G1371" s="144" t="s">
        <v>225</v>
      </c>
      <c r="H1371" s="144" t="n">
        <v>92</v>
      </c>
      <c r="I1371" s="144" t="s">
        <v>152</v>
      </c>
      <c r="J1371" s="152" t="n">
        <v>45057.7060763889</v>
      </c>
      <c r="K1371" s="1" t="n">
        <v>2</v>
      </c>
      <c r="L1371" s="144" t="n">
        <v>92</v>
      </c>
      <c r="M1371" s="1" t="n">
        <v>34</v>
      </c>
      <c r="N1371" s="1" t="n">
        <v>34</v>
      </c>
      <c r="O1371" s="149" t="n">
        <v>11</v>
      </c>
    </row>
    <row r="1372" customFormat="false" ht="14.25" hidden="false" customHeight="false" outlineLevel="0" collapsed="false">
      <c r="A1372" s="1" t="n">
        <v>228</v>
      </c>
      <c r="B1372" s="1" t="s">
        <v>477</v>
      </c>
      <c r="C1372" s="143" t="n">
        <v>91601</v>
      </c>
      <c r="D1372" s="143" t="s">
        <v>64</v>
      </c>
      <c r="E1372" s="143" t="s">
        <v>474</v>
      </c>
      <c r="F1372" s="144" t="n">
        <v>200025888290</v>
      </c>
      <c r="G1372" s="144" t="s">
        <v>225</v>
      </c>
      <c r="H1372" s="144" t="n">
        <v>92</v>
      </c>
      <c r="I1372" s="144" t="s">
        <v>152</v>
      </c>
      <c r="J1372" s="152" t="n">
        <v>45057.7095023148</v>
      </c>
      <c r="K1372" s="1" t="n">
        <v>1</v>
      </c>
      <c r="L1372" s="144" t="n">
        <v>92</v>
      </c>
      <c r="M1372" s="1" t="n">
        <v>34</v>
      </c>
      <c r="N1372" s="1" t="n">
        <v>34</v>
      </c>
      <c r="O1372" s="149" t="n">
        <v>12</v>
      </c>
    </row>
    <row r="1373" customFormat="false" ht="14.25" hidden="false" customHeight="false" outlineLevel="0" collapsed="false">
      <c r="A1373" s="1" t="n">
        <v>229</v>
      </c>
      <c r="B1373" s="1" t="s">
        <v>477</v>
      </c>
      <c r="C1373" s="143" t="n">
        <v>91601</v>
      </c>
      <c r="D1373" s="143" t="s">
        <v>64</v>
      </c>
      <c r="E1373" s="143" t="s">
        <v>474</v>
      </c>
      <c r="F1373" s="144" t="n">
        <v>200025888290</v>
      </c>
      <c r="G1373" s="144" t="s">
        <v>225</v>
      </c>
      <c r="H1373" s="144" t="n">
        <v>92</v>
      </c>
      <c r="I1373" s="144" t="s">
        <v>152</v>
      </c>
      <c r="J1373" s="152" t="n">
        <v>45057.7100231481</v>
      </c>
      <c r="K1373" s="1" t="n">
        <v>1</v>
      </c>
      <c r="L1373" s="144" t="n">
        <v>92</v>
      </c>
      <c r="M1373" s="1" t="n">
        <v>34</v>
      </c>
      <c r="N1373" s="1" t="n">
        <v>34</v>
      </c>
      <c r="O1373" s="149" t="n">
        <v>13</v>
      </c>
    </row>
    <row r="1374" customFormat="false" ht="14.25" hidden="false" customHeight="false" outlineLevel="0" collapsed="false">
      <c r="A1374" s="1" t="n">
        <v>222</v>
      </c>
      <c r="B1374" s="1" t="s">
        <v>475</v>
      </c>
      <c r="C1374" s="143" t="s">
        <v>52</v>
      </c>
      <c r="D1374" s="143" t="s">
        <v>53</v>
      </c>
      <c r="E1374" s="143" t="s">
        <v>474</v>
      </c>
      <c r="F1374" s="144" t="n">
        <v>200025888290</v>
      </c>
      <c r="G1374" s="144" t="s">
        <v>225</v>
      </c>
      <c r="H1374" s="144" t="n">
        <v>92</v>
      </c>
      <c r="I1374" s="144" t="s">
        <v>152</v>
      </c>
      <c r="J1374" s="151" t="n">
        <v>45057.7154050926</v>
      </c>
      <c r="K1374" s="1" t="n">
        <v>2</v>
      </c>
      <c r="L1374" s="144" t="n">
        <v>92</v>
      </c>
      <c r="M1374" s="1" t="n">
        <v>34</v>
      </c>
      <c r="N1374" s="1" t="n">
        <v>34</v>
      </c>
      <c r="O1374" s="149" t="n">
        <v>14</v>
      </c>
    </row>
    <row r="1375" customFormat="false" ht="14.25" hidden="false" customHeight="false" outlineLevel="0" collapsed="false">
      <c r="A1375" s="1" t="n">
        <v>223</v>
      </c>
      <c r="B1375" s="1" t="s">
        <v>475</v>
      </c>
      <c r="C1375" s="143" t="s">
        <v>52</v>
      </c>
      <c r="D1375" s="143" t="s">
        <v>53</v>
      </c>
      <c r="E1375" s="143" t="s">
        <v>474</v>
      </c>
      <c r="F1375" s="144" t="n">
        <v>200025888290</v>
      </c>
      <c r="G1375" s="144" t="s">
        <v>225</v>
      </c>
      <c r="H1375" s="144" t="n">
        <v>92</v>
      </c>
      <c r="I1375" s="144" t="s">
        <v>152</v>
      </c>
      <c r="J1375" s="151" t="n">
        <v>45057.7160416667</v>
      </c>
      <c r="K1375" s="1" t="n">
        <v>1</v>
      </c>
      <c r="L1375" s="144" t="n">
        <v>92</v>
      </c>
      <c r="M1375" s="1" t="n">
        <v>34</v>
      </c>
      <c r="N1375" s="1" t="n">
        <v>34</v>
      </c>
      <c r="O1375" s="149" t="n">
        <v>15</v>
      </c>
    </row>
    <row r="1376" customFormat="false" ht="14.25" hidden="false" customHeight="false" outlineLevel="0" collapsed="false">
      <c r="A1376" s="1" t="n">
        <v>224</v>
      </c>
      <c r="B1376" s="1" t="s">
        <v>475</v>
      </c>
      <c r="C1376" s="143" t="s">
        <v>52</v>
      </c>
      <c r="D1376" s="143" t="s">
        <v>53</v>
      </c>
      <c r="E1376" s="143" t="s">
        <v>474</v>
      </c>
      <c r="F1376" s="144" t="n">
        <v>200025888290</v>
      </c>
      <c r="G1376" s="144" t="s">
        <v>225</v>
      </c>
      <c r="H1376" s="144" t="n">
        <v>92</v>
      </c>
      <c r="I1376" s="144" t="s">
        <v>152</v>
      </c>
      <c r="J1376" s="151" t="n">
        <v>45057.725775463</v>
      </c>
      <c r="K1376" s="1" t="n">
        <v>2</v>
      </c>
      <c r="L1376" s="144" t="n">
        <v>92</v>
      </c>
      <c r="M1376" s="1" t="n">
        <v>34</v>
      </c>
      <c r="N1376" s="1" t="n">
        <v>34</v>
      </c>
      <c r="O1376" s="149" t="n">
        <v>16</v>
      </c>
    </row>
    <row r="1377" customFormat="false" ht="14.25" hidden="false" customHeight="false" outlineLevel="0" collapsed="false">
      <c r="A1377" s="1" t="n">
        <v>225</v>
      </c>
      <c r="B1377" s="1" t="s">
        <v>475</v>
      </c>
      <c r="C1377" s="143" t="s">
        <v>52</v>
      </c>
      <c r="D1377" s="143" t="s">
        <v>53</v>
      </c>
      <c r="E1377" s="143" t="s">
        <v>474</v>
      </c>
      <c r="F1377" s="144" t="n">
        <v>200025888290</v>
      </c>
      <c r="G1377" s="144" t="s">
        <v>225</v>
      </c>
      <c r="H1377" s="144" t="n">
        <v>92</v>
      </c>
      <c r="I1377" s="144" t="s">
        <v>152</v>
      </c>
      <c r="J1377" s="151" t="n">
        <v>45057.7259953704</v>
      </c>
      <c r="K1377" s="1" t="n">
        <v>1</v>
      </c>
      <c r="L1377" s="144" t="n">
        <v>92</v>
      </c>
      <c r="M1377" s="1" t="n">
        <v>34</v>
      </c>
      <c r="N1377" s="1" t="n">
        <v>34</v>
      </c>
      <c r="O1377" s="149" t="n">
        <v>17</v>
      </c>
    </row>
    <row r="1378" customFormat="false" ht="14.25" hidden="false" customHeight="false" outlineLevel="0" collapsed="false">
      <c r="A1378" s="1" t="n">
        <v>230</v>
      </c>
      <c r="B1378" s="1" t="s">
        <v>475</v>
      </c>
      <c r="C1378" s="143" t="s">
        <v>52</v>
      </c>
      <c r="D1378" s="143" t="s">
        <v>53</v>
      </c>
      <c r="E1378" s="143" t="s">
        <v>474</v>
      </c>
      <c r="F1378" s="144" t="n">
        <v>200025888290</v>
      </c>
      <c r="G1378" s="144" t="s">
        <v>225</v>
      </c>
      <c r="H1378" s="144" t="n">
        <v>92</v>
      </c>
      <c r="I1378" s="144" t="s">
        <v>152</v>
      </c>
      <c r="J1378" s="151" t="n">
        <v>45057.7672685185</v>
      </c>
      <c r="K1378" s="1" t="n">
        <v>2</v>
      </c>
      <c r="L1378" s="144" t="n">
        <v>92</v>
      </c>
      <c r="M1378" s="1" t="n">
        <v>34</v>
      </c>
      <c r="N1378" s="1" t="n">
        <v>34</v>
      </c>
      <c r="O1378" s="149" t="n">
        <v>18</v>
      </c>
    </row>
    <row r="1379" customFormat="false" ht="14.25" hidden="false" customHeight="false" outlineLevel="0" collapsed="false">
      <c r="A1379" s="1" t="n">
        <v>231</v>
      </c>
      <c r="B1379" s="1" t="s">
        <v>475</v>
      </c>
      <c r="C1379" s="143" t="s">
        <v>52</v>
      </c>
      <c r="D1379" s="143" t="s">
        <v>53</v>
      </c>
      <c r="E1379" s="143" t="s">
        <v>474</v>
      </c>
      <c r="F1379" s="144" t="n">
        <v>200025888290</v>
      </c>
      <c r="G1379" s="144" t="s">
        <v>225</v>
      </c>
      <c r="H1379" s="144" t="n">
        <v>92</v>
      </c>
      <c r="I1379" s="144" t="s">
        <v>152</v>
      </c>
      <c r="J1379" s="151" t="n">
        <v>45057.7684837963</v>
      </c>
      <c r="K1379" s="1" t="n">
        <v>1</v>
      </c>
      <c r="L1379" s="144" t="n">
        <v>92</v>
      </c>
      <c r="M1379" s="1" t="n">
        <v>34</v>
      </c>
      <c r="N1379" s="1" t="n">
        <v>34</v>
      </c>
      <c r="O1379" s="149" t="n">
        <v>19</v>
      </c>
    </row>
    <row r="1380" customFormat="false" ht="14.25" hidden="false" customHeight="false" outlineLevel="0" collapsed="false">
      <c r="A1380" s="1" t="n">
        <v>232</v>
      </c>
      <c r="B1380" s="1" t="s">
        <v>475</v>
      </c>
      <c r="C1380" s="143" t="s">
        <v>52</v>
      </c>
      <c r="D1380" s="143" t="s">
        <v>53</v>
      </c>
      <c r="E1380" s="143" t="s">
        <v>474</v>
      </c>
      <c r="F1380" s="144" t="n">
        <v>200025888290</v>
      </c>
      <c r="G1380" s="144" t="s">
        <v>225</v>
      </c>
      <c r="H1380" s="144" t="n">
        <v>92</v>
      </c>
      <c r="I1380" s="144" t="s">
        <v>152</v>
      </c>
      <c r="J1380" s="151" t="n">
        <v>45057.7704976852</v>
      </c>
      <c r="K1380" s="1" t="n">
        <v>2</v>
      </c>
      <c r="L1380" s="144" t="n">
        <v>92</v>
      </c>
      <c r="M1380" s="1" t="n">
        <v>34</v>
      </c>
      <c r="N1380" s="1" t="n">
        <v>34</v>
      </c>
      <c r="O1380" s="149" t="n">
        <v>20</v>
      </c>
    </row>
    <row r="1381" customFormat="false" ht="14.25" hidden="false" customHeight="false" outlineLevel="0" collapsed="false">
      <c r="A1381" s="1" t="n">
        <v>233</v>
      </c>
      <c r="B1381" s="1" t="s">
        <v>475</v>
      </c>
      <c r="C1381" s="143" t="s">
        <v>52</v>
      </c>
      <c r="D1381" s="143" t="s">
        <v>53</v>
      </c>
      <c r="E1381" s="143" t="s">
        <v>474</v>
      </c>
      <c r="F1381" s="144" t="n">
        <v>200025888290</v>
      </c>
      <c r="G1381" s="144" t="s">
        <v>225</v>
      </c>
      <c r="H1381" s="144" t="n">
        <v>92</v>
      </c>
      <c r="I1381" s="144" t="s">
        <v>152</v>
      </c>
      <c r="J1381" s="151" t="n">
        <v>45057.7709953704</v>
      </c>
      <c r="K1381" s="1" t="n">
        <v>2</v>
      </c>
      <c r="L1381" s="144" t="n">
        <v>92</v>
      </c>
      <c r="M1381" s="1" t="n">
        <v>34</v>
      </c>
      <c r="N1381" s="1" t="n">
        <v>34</v>
      </c>
      <c r="O1381" s="149" t="n">
        <v>21</v>
      </c>
    </row>
    <row r="1382" customFormat="false" ht="14.25" hidden="false" customHeight="false" outlineLevel="0" collapsed="false">
      <c r="A1382" s="1" t="n">
        <v>234</v>
      </c>
      <c r="B1382" s="1" t="s">
        <v>475</v>
      </c>
      <c r="C1382" s="143" t="s">
        <v>52</v>
      </c>
      <c r="D1382" s="143" t="s">
        <v>53</v>
      </c>
      <c r="E1382" s="143" t="s">
        <v>474</v>
      </c>
      <c r="F1382" s="144" t="n">
        <v>200025888290</v>
      </c>
      <c r="G1382" s="144" t="s">
        <v>225</v>
      </c>
      <c r="H1382" s="144" t="n">
        <v>92</v>
      </c>
      <c r="I1382" s="144" t="s">
        <v>152</v>
      </c>
      <c r="J1382" s="151" t="n">
        <v>45057.7712731482</v>
      </c>
      <c r="K1382" s="1" t="n">
        <v>1</v>
      </c>
      <c r="L1382" s="144" t="n">
        <v>92</v>
      </c>
      <c r="M1382" s="1" t="n">
        <v>34</v>
      </c>
      <c r="N1382" s="1" t="n">
        <v>34</v>
      </c>
      <c r="O1382" s="149" t="n">
        <v>22</v>
      </c>
    </row>
    <row r="1383" customFormat="false" ht="14.25" hidden="false" customHeight="false" outlineLevel="0" collapsed="false">
      <c r="A1383" s="1" t="n">
        <v>235</v>
      </c>
      <c r="B1383" s="1" t="s">
        <v>475</v>
      </c>
      <c r="C1383" s="143" t="s">
        <v>52</v>
      </c>
      <c r="D1383" s="143" t="s">
        <v>53</v>
      </c>
      <c r="E1383" s="143" t="s">
        <v>474</v>
      </c>
      <c r="F1383" s="144" t="n">
        <v>200025888290</v>
      </c>
      <c r="G1383" s="144" t="s">
        <v>225</v>
      </c>
      <c r="H1383" s="144" t="n">
        <v>92</v>
      </c>
      <c r="I1383" s="144" t="s">
        <v>152</v>
      </c>
      <c r="J1383" s="151" t="n">
        <v>45057.7717708333</v>
      </c>
      <c r="K1383" s="1" t="n">
        <v>1</v>
      </c>
      <c r="L1383" s="144" t="n">
        <v>92</v>
      </c>
      <c r="M1383" s="1" t="n">
        <v>34</v>
      </c>
      <c r="N1383" s="1" t="n">
        <v>34</v>
      </c>
      <c r="O1383" s="149" t="n">
        <v>23</v>
      </c>
    </row>
    <row r="1384" customFormat="false" ht="14.25" hidden="false" customHeight="false" outlineLevel="0" collapsed="false">
      <c r="A1384" s="1" t="n">
        <v>236</v>
      </c>
      <c r="B1384" s="1" t="s">
        <v>475</v>
      </c>
      <c r="C1384" s="143" t="s">
        <v>52</v>
      </c>
      <c r="D1384" s="143" t="s">
        <v>53</v>
      </c>
      <c r="E1384" s="143" t="s">
        <v>474</v>
      </c>
      <c r="F1384" s="144" t="n">
        <v>200025888290</v>
      </c>
      <c r="G1384" s="144" t="s">
        <v>225</v>
      </c>
      <c r="H1384" s="144" t="n">
        <v>92</v>
      </c>
      <c r="I1384" s="144" t="s">
        <v>152</v>
      </c>
      <c r="J1384" s="151" t="n">
        <v>45057.772650463</v>
      </c>
      <c r="K1384" s="1" t="n">
        <v>3</v>
      </c>
      <c r="L1384" s="144" t="n">
        <v>92</v>
      </c>
      <c r="M1384" s="1" t="n">
        <v>34</v>
      </c>
      <c r="N1384" s="1" t="n">
        <v>34</v>
      </c>
      <c r="O1384" s="149" t="n">
        <v>24</v>
      </c>
    </row>
    <row r="1385" customFormat="false" ht="14.25" hidden="false" customHeight="false" outlineLevel="0" collapsed="false">
      <c r="A1385" s="1" t="n">
        <v>237</v>
      </c>
      <c r="B1385" s="1" t="s">
        <v>475</v>
      </c>
      <c r="C1385" s="143" t="s">
        <v>52</v>
      </c>
      <c r="D1385" s="143" t="s">
        <v>53</v>
      </c>
      <c r="E1385" s="143" t="s">
        <v>474</v>
      </c>
      <c r="F1385" s="144" t="n">
        <v>200025888290</v>
      </c>
      <c r="G1385" s="144" t="s">
        <v>225</v>
      </c>
      <c r="H1385" s="144" t="n">
        <v>92</v>
      </c>
      <c r="I1385" s="144" t="s">
        <v>152</v>
      </c>
      <c r="J1385" s="151" t="n">
        <v>45057.7727662037</v>
      </c>
      <c r="K1385" s="1" t="n">
        <v>1</v>
      </c>
      <c r="L1385" s="144" t="n">
        <v>92</v>
      </c>
      <c r="M1385" s="1" t="n">
        <v>34</v>
      </c>
      <c r="N1385" s="1" t="n">
        <v>34</v>
      </c>
      <c r="O1385" s="149" t="n">
        <v>25</v>
      </c>
    </row>
    <row r="1386" customFormat="false" ht="14.25" hidden="false" customHeight="false" outlineLevel="0" collapsed="false">
      <c r="A1386" s="1" t="n">
        <v>238</v>
      </c>
      <c r="B1386" s="1" t="s">
        <v>475</v>
      </c>
      <c r="C1386" s="143" t="s">
        <v>52</v>
      </c>
      <c r="D1386" s="143" t="s">
        <v>53</v>
      </c>
      <c r="E1386" s="143" t="s">
        <v>474</v>
      </c>
      <c r="F1386" s="144" t="n">
        <v>200025888290</v>
      </c>
      <c r="G1386" s="144" t="s">
        <v>225</v>
      </c>
      <c r="H1386" s="144" t="n">
        <v>92</v>
      </c>
      <c r="I1386" s="144" t="s">
        <v>152</v>
      </c>
      <c r="J1386" s="151" t="n">
        <v>45057.7730324074</v>
      </c>
      <c r="K1386" s="1" t="n">
        <v>4</v>
      </c>
      <c r="L1386" s="144" t="n">
        <v>92</v>
      </c>
      <c r="M1386" s="1" t="n">
        <v>34</v>
      </c>
      <c r="N1386" s="1" t="n">
        <v>34</v>
      </c>
      <c r="O1386" s="149" t="n">
        <v>26</v>
      </c>
    </row>
    <row r="1387" customFormat="false" ht="14.25" hidden="false" customHeight="false" outlineLevel="0" collapsed="false">
      <c r="A1387" s="1" t="n">
        <v>239</v>
      </c>
      <c r="B1387" s="1" t="s">
        <v>475</v>
      </c>
      <c r="C1387" s="143" t="s">
        <v>52</v>
      </c>
      <c r="D1387" s="143" t="s">
        <v>53</v>
      </c>
      <c r="E1387" s="143" t="s">
        <v>474</v>
      </c>
      <c r="F1387" s="144" t="n">
        <v>200025888290</v>
      </c>
      <c r="G1387" s="144" t="s">
        <v>225</v>
      </c>
      <c r="H1387" s="144" t="n">
        <v>92</v>
      </c>
      <c r="I1387" s="144" t="s">
        <v>152</v>
      </c>
      <c r="J1387" s="151" t="n">
        <v>45057.7732523148</v>
      </c>
      <c r="K1387" s="1" t="n">
        <v>2</v>
      </c>
      <c r="L1387" s="144" t="n">
        <v>92</v>
      </c>
      <c r="M1387" s="1" t="n">
        <v>34</v>
      </c>
      <c r="N1387" s="1" t="n">
        <v>34</v>
      </c>
      <c r="O1387" s="149" t="n">
        <v>27</v>
      </c>
    </row>
    <row r="1388" customFormat="false" ht="14.25" hidden="false" customHeight="false" outlineLevel="0" collapsed="false">
      <c r="A1388" s="1" t="n">
        <v>240</v>
      </c>
      <c r="B1388" s="1" t="s">
        <v>475</v>
      </c>
      <c r="C1388" s="143" t="s">
        <v>52</v>
      </c>
      <c r="D1388" s="143" t="s">
        <v>53</v>
      </c>
      <c r="E1388" s="143" t="s">
        <v>474</v>
      </c>
      <c r="F1388" s="144" t="n">
        <v>200025888290</v>
      </c>
      <c r="G1388" s="144" t="s">
        <v>225</v>
      </c>
      <c r="H1388" s="144" t="n">
        <v>92</v>
      </c>
      <c r="I1388" s="144" t="s">
        <v>152</v>
      </c>
      <c r="J1388" s="151" t="n">
        <v>45057.7738194445</v>
      </c>
      <c r="K1388" s="1" t="n">
        <v>1</v>
      </c>
      <c r="L1388" s="144" t="n">
        <v>92</v>
      </c>
      <c r="M1388" s="1" t="n">
        <v>34</v>
      </c>
      <c r="N1388" s="1" t="n">
        <v>34</v>
      </c>
      <c r="O1388" s="149" t="n">
        <v>28</v>
      </c>
    </row>
    <row r="1389" customFormat="false" ht="14.25" hidden="false" customHeight="false" outlineLevel="0" collapsed="false">
      <c r="A1389" s="1" t="n">
        <v>241</v>
      </c>
      <c r="B1389" s="1" t="s">
        <v>475</v>
      </c>
      <c r="C1389" s="143" t="s">
        <v>52</v>
      </c>
      <c r="D1389" s="143" t="s">
        <v>53</v>
      </c>
      <c r="E1389" s="143" t="s">
        <v>474</v>
      </c>
      <c r="F1389" s="144" t="n">
        <v>200025888290</v>
      </c>
      <c r="G1389" s="144" t="s">
        <v>225</v>
      </c>
      <c r="H1389" s="144" t="n">
        <v>92</v>
      </c>
      <c r="I1389" s="144" t="s">
        <v>152</v>
      </c>
      <c r="J1389" s="151" t="n">
        <v>45057.7742939815</v>
      </c>
      <c r="K1389" s="1" t="n">
        <v>2</v>
      </c>
      <c r="L1389" s="144" t="n">
        <v>92</v>
      </c>
      <c r="M1389" s="1" t="n">
        <v>34</v>
      </c>
      <c r="N1389" s="1" t="n">
        <v>34</v>
      </c>
      <c r="O1389" s="149" t="n">
        <v>29</v>
      </c>
    </row>
    <row r="1390" customFormat="false" ht="14.25" hidden="false" customHeight="false" outlineLevel="0" collapsed="false">
      <c r="A1390" s="1" t="n">
        <v>244</v>
      </c>
      <c r="B1390" s="1" t="s">
        <v>475</v>
      </c>
      <c r="C1390" s="143" t="s">
        <v>52</v>
      </c>
      <c r="D1390" s="143" t="s">
        <v>53</v>
      </c>
      <c r="E1390" s="143" t="s">
        <v>474</v>
      </c>
      <c r="F1390" s="144" t="n">
        <v>200025888290</v>
      </c>
      <c r="G1390" s="144" t="s">
        <v>225</v>
      </c>
      <c r="H1390" s="144" t="n">
        <v>92</v>
      </c>
      <c r="I1390" s="144" t="s">
        <v>152</v>
      </c>
      <c r="J1390" s="151" t="n">
        <v>45057.7822337963</v>
      </c>
      <c r="K1390" s="1" t="n">
        <v>0</v>
      </c>
      <c r="L1390" s="144" t="n">
        <v>92</v>
      </c>
      <c r="M1390" s="1" t="n">
        <v>34</v>
      </c>
      <c r="N1390" s="1" t="n">
        <v>34</v>
      </c>
      <c r="O1390" s="149" t="n">
        <v>30</v>
      </c>
    </row>
    <row r="1391" customFormat="false" ht="14.25" hidden="false" customHeight="false" outlineLevel="0" collapsed="false">
      <c r="A1391" s="1" t="n">
        <v>245</v>
      </c>
      <c r="B1391" s="1" t="s">
        <v>475</v>
      </c>
      <c r="C1391" s="143" t="s">
        <v>52</v>
      </c>
      <c r="D1391" s="143" t="s">
        <v>53</v>
      </c>
      <c r="E1391" s="143" t="s">
        <v>474</v>
      </c>
      <c r="F1391" s="144" t="n">
        <v>200025888290</v>
      </c>
      <c r="G1391" s="144" t="s">
        <v>225</v>
      </c>
      <c r="H1391" s="144" t="n">
        <v>92</v>
      </c>
      <c r="I1391" s="144" t="s">
        <v>152</v>
      </c>
      <c r="J1391" s="151" t="n">
        <v>45057.782337963</v>
      </c>
      <c r="K1391" s="1" t="n">
        <v>0</v>
      </c>
      <c r="L1391" s="144" t="n">
        <v>92</v>
      </c>
      <c r="M1391" s="1" t="n">
        <v>34</v>
      </c>
      <c r="N1391" s="1" t="n">
        <v>34</v>
      </c>
      <c r="O1391" s="149" t="n">
        <v>31</v>
      </c>
    </row>
    <row r="1392" customFormat="false" ht="14.25" hidden="false" customHeight="false" outlineLevel="0" collapsed="false">
      <c r="A1392" s="1" t="n">
        <v>246</v>
      </c>
      <c r="B1392" s="1" t="s">
        <v>475</v>
      </c>
      <c r="C1392" s="143" t="s">
        <v>52</v>
      </c>
      <c r="D1392" s="143" t="s">
        <v>53</v>
      </c>
      <c r="E1392" s="143" t="s">
        <v>474</v>
      </c>
      <c r="F1392" s="144" t="n">
        <v>200025888290</v>
      </c>
      <c r="G1392" s="144" t="s">
        <v>225</v>
      </c>
      <c r="H1392" s="144" t="n">
        <v>92</v>
      </c>
      <c r="I1392" s="144" t="s">
        <v>152</v>
      </c>
      <c r="J1392" s="151" t="n">
        <v>45057.782650463</v>
      </c>
      <c r="K1392" s="1" t="n">
        <v>1</v>
      </c>
      <c r="L1392" s="144" t="n">
        <v>92</v>
      </c>
      <c r="M1392" s="1" t="n">
        <v>34</v>
      </c>
      <c r="N1392" s="1" t="n">
        <v>34</v>
      </c>
      <c r="O1392" s="149" t="n">
        <v>32</v>
      </c>
    </row>
    <row r="1393" customFormat="false" ht="14.25" hidden="false" customHeight="false" outlineLevel="0" collapsed="false">
      <c r="A1393" s="1" t="n">
        <v>247</v>
      </c>
      <c r="B1393" s="1" t="s">
        <v>475</v>
      </c>
      <c r="C1393" s="143" t="s">
        <v>52</v>
      </c>
      <c r="D1393" s="143" t="s">
        <v>53</v>
      </c>
      <c r="E1393" s="143" t="s">
        <v>474</v>
      </c>
      <c r="F1393" s="144" t="n">
        <v>200025888290</v>
      </c>
      <c r="G1393" s="144" t="s">
        <v>225</v>
      </c>
      <c r="H1393" s="144" t="n">
        <v>92</v>
      </c>
      <c r="I1393" s="144" t="s">
        <v>152</v>
      </c>
      <c r="J1393" s="151" t="n">
        <v>45057.7831712963</v>
      </c>
      <c r="K1393" s="1" t="n">
        <v>0</v>
      </c>
      <c r="L1393" s="144" t="n">
        <v>92</v>
      </c>
      <c r="M1393" s="1" t="n">
        <v>34</v>
      </c>
      <c r="N1393" s="1" t="n">
        <v>34</v>
      </c>
      <c r="O1393" s="149" t="n">
        <v>33</v>
      </c>
    </row>
    <row r="1394" customFormat="false" ht="14.25" hidden="false" customHeight="false" outlineLevel="0" collapsed="false">
      <c r="A1394" s="1" t="n">
        <v>445</v>
      </c>
      <c r="B1394" s="1" t="s">
        <v>473</v>
      </c>
      <c r="C1394" s="143" t="n">
        <v>11490</v>
      </c>
      <c r="D1394" s="143" t="s">
        <v>65</v>
      </c>
      <c r="E1394" s="143" t="s">
        <v>474</v>
      </c>
      <c r="F1394" s="144" t="n">
        <v>200025888290</v>
      </c>
      <c r="G1394" s="144" t="s">
        <v>225</v>
      </c>
      <c r="H1394" s="144" t="n">
        <v>92</v>
      </c>
      <c r="I1394" s="144" t="s">
        <v>152</v>
      </c>
      <c r="J1394" s="151" t="n">
        <v>45057.8826157407</v>
      </c>
      <c r="K1394" s="1" t="n">
        <v>3</v>
      </c>
      <c r="L1394" s="144" t="n">
        <v>92</v>
      </c>
      <c r="M1394" s="1" t="n">
        <v>34</v>
      </c>
      <c r="N1394" s="1" t="n">
        <v>34</v>
      </c>
      <c r="O1394" s="149" t="n">
        <v>34</v>
      </c>
    </row>
    <row r="1395" customFormat="false" ht="14.25" hidden="false" customHeight="false" outlineLevel="0" collapsed="false">
      <c r="A1395" s="1" t="n">
        <v>446</v>
      </c>
      <c r="B1395" s="1" t="s">
        <v>473</v>
      </c>
      <c r="C1395" s="143" t="n">
        <v>11490</v>
      </c>
      <c r="D1395" s="143" t="s">
        <v>65</v>
      </c>
      <c r="E1395" s="143" t="s">
        <v>474</v>
      </c>
      <c r="F1395" s="144" t="n">
        <v>200025888290</v>
      </c>
      <c r="G1395" s="144" t="s">
        <v>225</v>
      </c>
      <c r="H1395" s="144" t="n">
        <v>92</v>
      </c>
      <c r="I1395" s="144" t="s">
        <v>152</v>
      </c>
      <c r="J1395" s="151" t="n">
        <v>45057.8828240741</v>
      </c>
      <c r="K1395" s="1" t="n">
        <v>4</v>
      </c>
      <c r="L1395" s="144" t="n">
        <v>92</v>
      </c>
      <c r="M1395" s="1" t="n">
        <v>34</v>
      </c>
      <c r="N1395" s="1" t="n">
        <v>34</v>
      </c>
      <c r="O1395" s="149" t="n">
        <v>35</v>
      </c>
    </row>
    <row r="1396" customFormat="false" ht="14.25" hidden="false" customHeight="false" outlineLevel="0" collapsed="false">
      <c r="A1396" s="1" t="n">
        <v>447</v>
      </c>
      <c r="B1396" s="1" t="s">
        <v>473</v>
      </c>
      <c r="C1396" s="143" t="n">
        <v>11490</v>
      </c>
      <c r="D1396" s="143" t="s">
        <v>65</v>
      </c>
      <c r="E1396" s="143" t="s">
        <v>474</v>
      </c>
      <c r="F1396" s="144" t="n">
        <v>200025888290</v>
      </c>
      <c r="G1396" s="144" t="s">
        <v>225</v>
      </c>
      <c r="H1396" s="144" t="n">
        <v>92</v>
      </c>
      <c r="I1396" s="144" t="s">
        <v>152</v>
      </c>
      <c r="J1396" s="151" t="n">
        <v>45057.8832291667</v>
      </c>
      <c r="K1396" s="1" t="n">
        <v>4</v>
      </c>
      <c r="L1396" s="144" t="n">
        <v>92</v>
      </c>
      <c r="M1396" s="1" t="n">
        <v>34</v>
      </c>
      <c r="N1396" s="1" t="n">
        <v>34</v>
      </c>
      <c r="O1396" s="149" t="n">
        <v>36</v>
      </c>
    </row>
    <row r="1397" customFormat="false" ht="14.25" hidden="false" customHeight="false" outlineLevel="0" collapsed="false">
      <c r="A1397" s="1" t="n">
        <v>365</v>
      </c>
      <c r="B1397" s="1" t="s">
        <v>473</v>
      </c>
      <c r="C1397" s="143" t="n">
        <v>11490</v>
      </c>
      <c r="D1397" s="143" t="s">
        <v>65</v>
      </c>
      <c r="E1397" s="143" t="s">
        <v>474</v>
      </c>
      <c r="F1397" s="144" t="n">
        <v>200025889124</v>
      </c>
      <c r="G1397" s="144" t="s">
        <v>333</v>
      </c>
      <c r="H1397" s="144" t="n">
        <v>28</v>
      </c>
      <c r="I1397" s="144" t="s">
        <v>152</v>
      </c>
      <c r="J1397" s="151" t="n">
        <v>45057.6956134259</v>
      </c>
      <c r="K1397" s="1" t="n">
        <v>0</v>
      </c>
      <c r="L1397" s="144" t="n">
        <v>28</v>
      </c>
      <c r="M1397" s="1" t="n">
        <v>35</v>
      </c>
      <c r="N1397" s="1" t="n">
        <v>35</v>
      </c>
      <c r="O1397" s="149" t="n">
        <v>1</v>
      </c>
    </row>
    <row r="1398" customFormat="false" ht="14.25" hidden="false" customHeight="false" outlineLevel="0" collapsed="false">
      <c r="A1398" s="1" t="n">
        <v>366</v>
      </c>
      <c r="B1398" s="1" t="s">
        <v>473</v>
      </c>
      <c r="C1398" s="143" t="n">
        <v>11490</v>
      </c>
      <c r="D1398" s="143" t="s">
        <v>65</v>
      </c>
      <c r="E1398" s="143" t="s">
        <v>474</v>
      </c>
      <c r="F1398" s="144" t="n">
        <v>200025889124</v>
      </c>
      <c r="G1398" s="144" t="s">
        <v>333</v>
      </c>
      <c r="H1398" s="144" t="n">
        <v>28</v>
      </c>
      <c r="I1398" s="144" t="s">
        <v>152</v>
      </c>
      <c r="J1398" s="151" t="n">
        <v>45057.6956481482</v>
      </c>
      <c r="K1398" s="1" t="n">
        <v>1</v>
      </c>
      <c r="L1398" s="144" t="n">
        <v>28</v>
      </c>
      <c r="M1398" s="1" t="n">
        <v>35</v>
      </c>
      <c r="N1398" s="1" t="n">
        <v>35</v>
      </c>
      <c r="O1398" s="149" t="n">
        <v>2</v>
      </c>
    </row>
    <row r="1399" customFormat="false" ht="14.25" hidden="false" customHeight="false" outlineLevel="0" collapsed="false">
      <c r="A1399" s="1" t="n">
        <v>367</v>
      </c>
      <c r="B1399" s="1" t="s">
        <v>473</v>
      </c>
      <c r="C1399" s="143" t="n">
        <v>11490</v>
      </c>
      <c r="D1399" s="143" t="s">
        <v>65</v>
      </c>
      <c r="E1399" s="143" t="s">
        <v>474</v>
      </c>
      <c r="F1399" s="144" t="n">
        <v>200025889124</v>
      </c>
      <c r="G1399" s="144" t="s">
        <v>333</v>
      </c>
      <c r="H1399" s="144" t="n">
        <v>28</v>
      </c>
      <c r="I1399" s="144" t="s">
        <v>152</v>
      </c>
      <c r="J1399" s="151" t="n">
        <v>45057.6963310185</v>
      </c>
      <c r="K1399" s="1" t="n">
        <v>1</v>
      </c>
      <c r="L1399" s="144" t="n">
        <v>28</v>
      </c>
      <c r="M1399" s="1" t="n">
        <v>35</v>
      </c>
      <c r="N1399" s="1" t="n">
        <v>35</v>
      </c>
      <c r="O1399" s="149" t="n">
        <v>3</v>
      </c>
    </row>
    <row r="1400" customFormat="false" ht="14.25" hidden="false" customHeight="false" outlineLevel="0" collapsed="false">
      <c r="A1400" s="1" t="n">
        <v>369</v>
      </c>
      <c r="B1400" s="1" t="s">
        <v>473</v>
      </c>
      <c r="C1400" s="143" t="n">
        <v>11490</v>
      </c>
      <c r="D1400" s="143" t="s">
        <v>65</v>
      </c>
      <c r="E1400" s="143" t="s">
        <v>474</v>
      </c>
      <c r="F1400" s="144" t="n">
        <v>200025889124</v>
      </c>
      <c r="G1400" s="144" t="s">
        <v>333</v>
      </c>
      <c r="H1400" s="144" t="n">
        <v>28</v>
      </c>
      <c r="I1400" s="144" t="s">
        <v>152</v>
      </c>
      <c r="J1400" s="151" t="n">
        <v>45057.6964467593</v>
      </c>
      <c r="K1400" s="1" t="n">
        <v>1</v>
      </c>
      <c r="L1400" s="144" t="n">
        <v>28</v>
      </c>
      <c r="M1400" s="1" t="n">
        <v>35</v>
      </c>
      <c r="N1400" s="1" t="n">
        <v>35</v>
      </c>
      <c r="O1400" s="149" t="n">
        <v>4</v>
      </c>
    </row>
    <row r="1401" customFormat="false" ht="14.25" hidden="false" customHeight="false" outlineLevel="0" collapsed="false">
      <c r="A1401" s="1" t="n">
        <v>370</v>
      </c>
      <c r="B1401" s="1" t="s">
        <v>473</v>
      </c>
      <c r="C1401" s="143" t="n">
        <v>11490</v>
      </c>
      <c r="D1401" s="143" t="s">
        <v>65</v>
      </c>
      <c r="E1401" s="143" t="s">
        <v>474</v>
      </c>
      <c r="F1401" s="144" t="n">
        <v>200025889124</v>
      </c>
      <c r="G1401" s="144" t="s">
        <v>333</v>
      </c>
      <c r="H1401" s="144" t="n">
        <v>28</v>
      </c>
      <c r="I1401" s="144" t="s">
        <v>152</v>
      </c>
      <c r="J1401" s="151" t="n">
        <v>45057.6968402778</v>
      </c>
      <c r="K1401" s="1" t="n">
        <v>0</v>
      </c>
      <c r="L1401" s="144" t="n">
        <v>28</v>
      </c>
      <c r="M1401" s="1" t="n">
        <v>35</v>
      </c>
      <c r="N1401" s="1" t="n">
        <v>35</v>
      </c>
      <c r="O1401" s="149" t="n">
        <v>5</v>
      </c>
    </row>
    <row r="1402" customFormat="false" ht="14.25" hidden="false" customHeight="false" outlineLevel="0" collapsed="false">
      <c r="A1402" s="1" t="n">
        <v>371</v>
      </c>
      <c r="B1402" s="1" t="s">
        <v>473</v>
      </c>
      <c r="C1402" s="143" t="n">
        <v>11490</v>
      </c>
      <c r="D1402" s="143" t="s">
        <v>65</v>
      </c>
      <c r="E1402" s="143" t="s">
        <v>474</v>
      </c>
      <c r="F1402" s="144" t="n">
        <v>200025889124</v>
      </c>
      <c r="G1402" s="144" t="s">
        <v>333</v>
      </c>
      <c r="H1402" s="144" t="n">
        <v>28</v>
      </c>
      <c r="I1402" s="144" t="s">
        <v>152</v>
      </c>
      <c r="J1402" s="151" t="n">
        <v>45057.6969097222</v>
      </c>
      <c r="K1402" s="1" t="n">
        <v>3</v>
      </c>
      <c r="L1402" s="144" t="n">
        <v>28</v>
      </c>
      <c r="M1402" s="1" t="n">
        <v>35</v>
      </c>
      <c r="N1402" s="1" t="n">
        <v>35</v>
      </c>
      <c r="O1402" s="149" t="n">
        <v>6</v>
      </c>
    </row>
    <row r="1403" customFormat="false" ht="14.25" hidden="false" customHeight="false" outlineLevel="0" collapsed="false">
      <c r="A1403" s="1" t="n">
        <v>372</v>
      </c>
      <c r="B1403" s="1" t="s">
        <v>473</v>
      </c>
      <c r="C1403" s="143" t="n">
        <v>11490</v>
      </c>
      <c r="D1403" s="143" t="s">
        <v>65</v>
      </c>
      <c r="E1403" s="143" t="s">
        <v>474</v>
      </c>
      <c r="F1403" s="144" t="n">
        <v>200025889124</v>
      </c>
      <c r="G1403" s="144" t="s">
        <v>333</v>
      </c>
      <c r="H1403" s="144" t="n">
        <v>28</v>
      </c>
      <c r="I1403" s="144" t="s">
        <v>152</v>
      </c>
      <c r="J1403" s="151" t="n">
        <v>45057.6971296296</v>
      </c>
      <c r="K1403" s="1" t="n">
        <v>4</v>
      </c>
      <c r="L1403" s="144" t="n">
        <v>28</v>
      </c>
      <c r="M1403" s="1" t="n">
        <v>35</v>
      </c>
      <c r="N1403" s="1" t="n">
        <v>35</v>
      </c>
      <c r="O1403" s="149" t="n">
        <v>7</v>
      </c>
    </row>
    <row r="1404" customFormat="false" ht="14.25" hidden="false" customHeight="false" outlineLevel="0" collapsed="false">
      <c r="A1404" s="1" t="n">
        <v>373</v>
      </c>
      <c r="B1404" s="1" t="s">
        <v>473</v>
      </c>
      <c r="C1404" s="143" t="n">
        <v>11490</v>
      </c>
      <c r="D1404" s="143" t="s">
        <v>65</v>
      </c>
      <c r="E1404" s="143" t="s">
        <v>474</v>
      </c>
      <c r="F1404" s="144" t="n">
        <v>200025889124</v>
      </c>
      <c r="G1404" s="144" t="s">
        <v>333</v>
      </c>
      <c r="H1404" s="144" t="n">
        <v>28</v>
      </c>
      <c r="I1404" s="144" t="s">
        <v>152</v>
      </c>
      <c r="J1404" s="151" t="n">
        <v>45057.6971875</v>
      </c>
      <c r="K1404" s="1" t="n">
        <v>1</v>
      </c>
      <c r="L1404" s="144" t="n">
        <v>28</v>
      </c>
      <c r="M1404" s="1" t="n">
        <v>35</v>
      </c>
      <c r="N1404" s="1" t="n">
        <v>35</v>
      </c>
      <c r="O1404" s="149" t="n">
        <v>8</v>
      </c>
    </row>
    <row r="1405" customFormat="false" ht="14.25" hidden="false" customHeight="false" outlineLevel="0" collapsed="false">
      <c r="A1405" s="1" t="n">
        <v>375</v>
      </c>
      <c r="B1405" s="1" t="s">
        <v>473</v>
      </c>
      <c r="C1405" s="143" t="n">
        <v>11490</v>
      </c>
      <c r="D1405" s="143" t="s">
        <v>65</v>
      </c>
      <c r="E1405" s="143" t="s">
        <v>474</v>
      </c>
      <c r="F1405" s="144" t="n">
        <v>200025889124</v>
      </c>
      <c r="G1405" s="144" t="s">
        <v>333</v>
      </c>
      <c r="H1405" s="144" t="n">
        <v>28</v>
      </c>
      <c r="I1405" s="144" t="s">
        <v>152</v>
      </c>
      <c r="J1405" s="151" t="n">
        <v>45057.7038310185</v>
      </c>
      <c r="K1405" s="1" t="n">
        <v>3</v>
      </c>
      <c r="L1405" s="144" t="n">
        <v>28</v>
      </c>
      <c r="M1405" s="1" t="n">
        <v>35</v>
      </c>
      <c r="N1405" s="1" t="n">
        <v>35</v>
      </c>
      <c r="O1405" s="149" t="n">
        <v>9</v>
      </c>
    </row>
    <row r="1406" customFormat="false" ht="14.25" hidden="false" customHeight="false" outlineLevel="0" collapsed="false">
      <c r="A1406" s="1" t="n">
        <v>228</v>
      </c>
      <c r="B1406" s="1" t="s">
        <v>475</v>
      </c>
      <c r="C1406" s="143" t="s">
        <v>52</v>
      </c>
      <c r="D1406" s="143" t="s">
        <v>53</v>
      </c>
      <c r="E1406" s="143" t="s">
        <v>474</v>
      </c>
      <c r="F1406" s="144" t="n">
        <v>200025889124</v>
      </c>
      <c r="G1406" s="144" t="s">
        <v>333</v>
      </c>
      <c r="H1406" s="144" t="n">
        <v>28</v>
      </c>
      <c r="I1406" s="144" t="s">
        <v>152</v>
      </c>
      <c r="J1406" s="151" t="n">
        <v>45057.7482407407</v>
      </c>
      <c r="K1406" s="1" t="n">
        <v>2</v>
      </c>
      <c r="L1406" s="144" t="n">
        <v>28</v>
      </c>
      <c r="M1406" s="1" t="n">
        <v>35</v>
      </c>
      <c r="N1406" s="1" t="n">
        <v>35</v>
      </c>
      <c r="O1406" s="149" t="n">
        <v>10</v>
      </c>
    </row>
    <row r="1407" customFormat="false" ht="14.25" hidden="false" customHeight="false" outlineLevel="0" collapsed="false">
      <c r="A1407" s="1" t="n">
        <v>248</v>
      </c>
      <c r="B1407" s="1" t="s">
        <v>475</v>
      </c>
      <c r="C1407" s="143" t="s">
        <v>52</v>
      </c>
      <c r="D1407" s="143" t="s">
        <v>53</v>
      </c>
      <c r="E1407" s="143" t="s">
        <v>474</v>
      </c>
      <c r="F1407" s="144" t="n">
        <v>200025889124</v>
      </c>
      <c r="G1407" s="144" t="s">
        <v>333</v>
      </c>
      <c r="H1407" s="144" t="n">
        <v>28</v>
      </c>
      <c r="I1407" s="144" t="s">
        <v>152</v>
      </c>
      <c r="J1407" s="151" t="n">
        <v>45057.7834375</v>
      </c>
      <c r="K1407" s="1" t="n">
        <v>1</v>
      </c>
      <c r="L1407" s="144" t="n">
        <v>28</v>
      </c>
      <c r="M1407" s="1" t="n">
        <v>35</v>
      </c>
      <c r="N1407" s="1" t="n">
        <v>35</v>
      </c>
      <c r="O1407" s="149" t="n">
        <v>11</v>
      </c>
    </row>
    <row r="1408" customFormat="false" ht="14.25" hidden="false" customHeight="false" outlineLevel="0" collapsed="false">
      <c r="A1408" s="1" t="n">
        <v>413</v>
      </c>
      <c r="B1408" s="1" t="s">
        <v>473</v>
      </c>
      <c r="C1408" s="143" t="n">
        <v>11490</v>
      </c>
      <c r="D1408" s="143" t="s">
        <v>65</v>
      </c>
      <c r="E1408" s="143" t="s">
        <v>474</v>
      </c>
      <c r="F1408" s="144" t="n">
        <v>200025889124</v>
      </c>
      <c r="G1408" s="144" t="s">
        <v>333</v>
      </c>
      <c r="H1408" s="144" t="n">
        <v>28</v>
      </c>
      <c r="I1408" s="144" t="s">
        <v>152</v>
      </c>
      <c r="J1408" s="151" t="n">
        <v>45057.8044907407</v>
      </c>
      <c r="K1408" s="1" t="n">
        <v>1</v>
      </c>
      <c r="L1408" s="144" t="n">
        <v>28</v>
      </c>
      <c r="M1408" s="1" t="n">
        <v>35</v>
      </c>
      <c r="N1408" s="1" t="n">
        <v>35</v>
      </c>
      <c r="O1408" s="149" t="n">
        <v>12</v>
      </c>
    </row>
    <row r="1409" customFormat="false" ht="14.25" hidden="false" customHeight="false" outlineLevel="0" collapsed="false">
      <c r="A1409" s="1" t="n">
        <v>414</v>
      </c>
      <c r="B1409" s="1" t="s">
        <v>473</v>
      </c>
      <c r="C1409" s="143" t="n">
        <v>11490</v>
      </c>
      <c r="D1409" s="143" t="s">
        <v>65</v>
      </c>
      <c r="E1409" s="143" t="s">
        <v>474</v>
      </c>
      <c r="F1409" s="144" t="n">
        <v>200025889124</v>
      </c>
      <c r="G1409" s="144" t="s">
        <v>333</v>
      </c>
      <c r="H1409" s="144" t="n">
        <v>28</v>
      </c>
      <c r="I1409" s="144" t="s">
        <v>152</v>
      </c>
      <c r="J1409" s="151" t="n">
        <v>45057.8048032407</v>
      </c>
      <c r="K1409" s="1" t="n">
        <v>2</v>
      </c>
      <c r="L1409" s="144" t="n">
        <v>28</v>
      </c>
      <c r="M1409" s="1" t="n">
        <v>35</v>
      </c>
      <c r="N1409" s="1" t="n">
        <v>35</v>
      </c>
      <c r="O1409" s="149" t="n">
        <v>13</v>
      </c>
    </row>
    <row r="1410" customFormat="false" ht="14.25" hidden="false" customHeight="false" outlineLevel="0" collapsed="false">
      <c r="A1410" s="1" t="n">
        <v>415</v>
      </c>
      <c r="B1410" s="1" t="s">
        <v>473</v>
      </c>
      <c r="C1410" s="143" t="n">
        <v>11490</v>
      </c>
      <c r="D1410" s="143" t="s">
        <v>65</v>
      </c>
      <c r="E1410" s="143" t="s">
        <v>474</v>
      </c>
      <c r="F1410" s="144" t="n">
        <v>200025889124</v>
      </c>
      <c r="G1410" s="144" t="s">
        <v>333</v>
      </c>
      <c r="H1410" s="144" t="n">
        <v>28</v>
      </c>
      <c r="I1410" s="144" t="s">
        <v>152</v>
      </c>
      <c r="J1410" s="151" t="n">
        <v>45057.8049074074</v>
      </c>
      <c r="K1410" s="1" t="n">
        <v>2</v>
      </c>
      <c r="L1410" s="144" t="n">
        <v>28</v>
      </c>
      <c r="M1410" s="1" t="n">
        <v>35</v>
      </c>
      <c r="N1410" s="1" t="n">
        <v>35</v>
      </c>
      <c r="O1410" s="149" t="n">
        <v>14</v>
      </c>
    </row>
    <row r="1411" customFormat="false" ht="14.25" hidden="false" customHeight="false" outlineLevel="0" collapsed="false">
      <c r="A1411" s="1" t="n">
        <v>416</v>
      </c>
      <c r="B1411" s="1" t="s">
        <v>473</v>
      </c>
      <c r="C1411" s="143" t="n">
        <v>11490</v>
      </c>
      <c r="D1411" s="143" t="s">
        <v>65</v>
      </c>
      <c r="E1411" s="143" t="s">
        <v>474</v>
      </c>
      <c r="F1411" s="144" t="n">
        <v>200025889124</v>
      </c>
      <c r="G1411" s="144" t="s">
        <v>333</v>
      </c>
      <c r="H1411" s="144" t="n">
        <v>28</v>
      </c>
      <c r="I1411" s="144" t="s">
        <v>152</v>
      </c>
      <c r="J1411" s="151" t="n">
        <v>45057.8049421296</v>
      </c>
      <c r="K1411" s="1" t="n">
        <v>3</v>
      </c>
      <c r="L1411" s="144" t="n">
        <v>28</v>
      </c>
      <c r="M1411" s="1" t="n">
        <v>35</v>
      </c>
      <c r="N1411" s="1" t="n">
        <v>35</v>
      </c>
      <c r="O1411" s="149" t="n">
        <v>15</v>
      </c>
    </row>
    <row r="1412" customFormat="false" ht="14.25" hidden="false" customHeight="false" outlineLevel="0" collapsed="false">
      <c r="A1412" s="1" t="n">
        <v>417</v>
      </c>
      <c r="B1412" s="1" t="s">
        <v>473</v>
      </c>
      <c r="C1412" s="143" t="n">
        <v>11490</v>
      </c>
      <c r="D1412" s="143" t="s">
        <v>65</v>
      </c>
      <c r="E1412" s="143" t="s">
        <v>474</v>
      </c>
      <c r="F1412" s="144" t="n">
        <v>200025889124</v>
      </c>
      <c r="G1412" s="144" t="s">
        <v>333</v>
      </c>
      <c r="H1412" s="144" t="n">
        <v>28</v>
      </c>
      <c r="I1412" s="144" t="s">
        <v>152</v>
      </c>
      <c r="J1412" s="151" t="n">
        <v>45057.8050810185</v>
      </c>
      <c r="K1412" s="1" t="n">
        <v>2</v>
      </c>
      <c r="L1412" s="144" t="n">
        <v>28</v>
      </c>
      <c r="M1412" s="1" t="n">
        <v>35</v>
      </c>
      <c r="N1412" s="1" t="n">
        <v>35</v>
      </c>
      <c r="O1412" s="149" t="n">
        <v>16</v>
      </c>
    </row>
    <row r="1413" customFormat="false" ht="14.25" hidden="false" customHeight="false" outlineLevel="0" collapsed="false">
      <c r="A1413" s="1" t="n">
        <v>418</v>
      </c>
      <c r="B1413" s="1" t="s">
        <v>473</v>
      </c>
      <c r="C1413" s="143" t="n">
        <v>11490</v>
      </c>
      <c r="D1413" s="143" t="s">
        <v>65</v>
      </c>
      <c r="E1413" s="143" t="s">
        <v>474</v>
      </c>
      <c r="F1413" s="144" t="n">
        <v>200025889124</v>
      </c>
      <c r="G1413" s="144" t="s">
        <v>333</v>
      </c>
      <c r="H1413" s="144" t="n">
        <v>28</v>
      </c>
      <c r="I1413" s="144" t="s">
        <v>152</v>
      </c>
      <c r="J1413" s="151" t="n">
        <v>45057.8051157407</v>
      </c>
      <c r="K1413" s="1" t="n">
        <v>1</v>
      </c>
      <c r="L1413" s="144" t="n">
        <v>28</v>
      </c>
      <c r="M1413" s="1" t="n">
        <v>35</v>
      </c>
      <c r="N1413" s="1" t="n">
        <v>35</v>
      </c>
      <c r="O1413" s="149" t="n">
        <v>17</v>
      </c>
    </row>
    <row r="1414" customFormat="false" ht="14.25" hidden="false" customHeight="false" outlineLevel="0" collapsed="false">
      <c r="A1414" s="1" t="n">
        <v>419</v>
      </c>
      <c r="B1414" s="1" t="s">
        <v>473</v>
      </c>
      <c r="C1414" s="143" t="n">
        <v>11490</v>
      </c>
      <c r="D1414" s="143" t="s">
        <v>65</v>
      </c>
      <c r="E1414" s="143" t="s">
        <v>474</v>
      </c>
      <c r="F1414" s="144" t="n">
        <v>200025889124</v>
      </c>
      <c r="G1414" s="144" t="s">
        <v>333</v>
      </c>
      <c r="H1414" s="144" t="n">
        <v>28</v>
      </c>
      <c r="I1414" s="144" t="s">
        <v>152</v>
      </c>
      <c r="J1414" s="151" t="n">
        <v>45057.8051388889</v>
      </c>
      <c r="K1414" s="1" t="n">
        <v>1</v>
      </c>
      <c r="L1414" s="144" t="n">
        <v>28</v>
      </c>
      <c r="M1414" s="1" t="n">
        <v>35</v>
      </c>
      <c r="N1414" s="1" t="n">
        <v>35</v>
      </c>
      <c r="O1414" s="149" t="n">
        <v>18</v>
      </c>
    </row>
    <row r="1415" customFormat="false" ht="14.25" hidden="false" customHeight="false" outlineLevel="0" collapsed="false">
      <c r="A1415" s="1" t="n">
        <v>420</v>
      </c>
      <c r="B1415" s="1" t="s">
        <v>473</v>
      </c>
      <c r="C1415" s="143" t="n">
        <v>11490</v>
      </c>
      <c r="D1415" s="143" t="s">
        <v>65</v>
      </c>
      <c r="E1415" s="143" t="s">
        <v>474</v>
      </c>
      <c r="F1415" s="144" t="n">
        <v>200025889124</v>
      </c>
      <c r="G1415" s="144" t="s">
        <v>333</v>
      </c>
      <c r="H1415" s="144" t="n">
        <v>28</v>
      </c>
      <c r="I1415" s="144" t="s">
        <v>152</v>
      </c>
      <c r="J1415" s="151" t="n">
        <v>45057.8054282407</v>
      </c>
      <c r="K1415" s="1" t="n">
        <v>0</v>
      </c>
      <c r="L1415" s="144" t="n">
        <v>28</v>
      </c>
      <c r="M1415" s="1" t="n">
        <v>35</v>
      </c>
      <c r="N1415" s="1" t="n">
        <v>35</v>
      </c>
      <c r="O1415" s="149" t="n">
        <v>19</v>
      </c>
    </row>
    <row r="1416" customFormat="false" ht="14.25" hidden="false" customHeight="false" outlineLevel="0" collapsed="false">
      <c r="A1416" s="1" t="n">
        <v>421</v>
      </c>
      <c r="B1416" s="1" t="s">
        <v>473</v>
      </c>
      <c r="C1416" s="143" t="n">
        <v>11490</v>
      </c>
      <c r="D1416" s="143" t="s">
        <v>65</v>
      </c>
      <c r="E1416" s="143" t="s">
        <v>474</v>
      </c>
      <c r="F1416" s="144" t="n">
        <v>200025889124</v>
      </c>
      <c r="G1416" s="144" t="s">
        <v>333</v>
      </c>
      <c r="H1416" s="144" t="n">
        <v>28</v>
      </c>
      <c r="I1416" s="144" t="s">
        <v>152</v>
      </c>
      <c r="J1416" s="151" t="n">
        <v>45057.8061226852</v>
      </c>
      <c r="K1416" s="1" t="n">
        <v>1</v>
      </c>
      <c r="L1416" s="144" t="n">
        <v>28</v>
      </c>
      <c r="M1416" s="1" t="n">
        <v>35</v>
      </c>
      <c r="N1416" s="1" t="n">
        <v>35</v>
      </c>
      <c r="O1416" s="149" t="n">
        <v>20</v>
      </c>
    </row>
    <row r="1417" customFormat="false" ht="14.25" hidden="false" customHeight="false" outlineLevel="0" collapsed="false">
      <c r="A1417" s="1" t="n">
        <v>422</v>
      </c>
      <c r="B1417" s="1" t="s">
        <v>473</v>
      </c>
      <c r="C1417" s="143" t="n">
        <v>11490</v>
      </c>
      <c r="D1417" s="143" t="s">
        <v>65</v>
      </c>
      <c r="E1417" s="143" t="s">
        <v>474</v>
      </c>
      <c r="F1417" s="144" t="n">
        <v>200025889124</v>
      </c>
      <c r="G1417" s="144" t="s">
        <v>333</v>
      </c>
      <c r="H1417" s="144" t="n">
        <v>28</v>
      </c>
      <c r="I1417" s="144" t="s">
        <v>152</v>
      </c>
      <c r="J1417" s="151" t="n">
        <v>45057.8061458333</v>
      </c>
      <c r="K1417" s="1" t="n">
        <v>2</v>
      </c>
      <c r="L1417" s="144" t="n">
        <v>28</v>
      </c>
      <c r="M1417" s="1" t="n">
        <v>35</v>
      </c>
      <c r="N1417" s="1" t="n">
        <v>35</v>
      </c>
      <c r="O1417" s="149" t="n">
        <v>21</v>
      </c>
    </row>
    <row r="1418" customFormat="false" ht="14.25" hidden="false" customHeight="false" outlineLevel="0" collapsed="false">
      <c r="A1418" s="1" t="n">
        <v>256</v>
      </c>
      <c r="B1418" s="1" t="s">
        <v>475</v>
      </c>
      <c r="C1418" s="143" t="s">
        <v>52</v>
      </c>
      <c r="D1418" s="143" t="s">
        <v>53</v>
      </c>
      <c r="E1418" s="143" t="s">
        <v>474</v>
      </c>
      <c r="F1418" s="144" t="n">
        <v>200025889124</v>
      </c>
      <c r="G1418" s="144" t="s">
        <v>333</v>
      </c>
      <c r="H1418" s="144" t="n">
        <v>28</v>
      </c>
      <c r="I1418" s="144" t="s">
        <v>152</v>
      </c>
      <c r="J1418" s="151" t="n">
        <v>45057.8362037037</v>
      </c>
      <c r="K1418" s="1" t="n">
        <v>1</v>
      </c>
      <c r="L1418" s="144" t="n">
        <v>28</v>
      </c>
      <c r="M1418" s="1" t="n">
        <v>35</v>
      </c>
      <c r="N1418" s="1" t="n">
        <v>35</v>
      </c>
      <c r="O1418" s="149" t="n">
        <v>22</v>
      </c>
    </row>
    <row r="1419" customFormat="false" ht="14.25" hidden="false" customHeight="false" outlineLevel="0" collapsed="false">
      <c r="A1419" s="1" t="n">
        <v>265</v>
      </c>
      <c r="B1419" s="1" t="s">
        <v>475</v>
      </c>
      <c r="C1419" s="143" t="s">
        <v>52</v>
      </c>
      <c r="D1419" s="143" t="s">
        <v>53</v>
      </c>
      <c r="E1419" s="143" t="s">
        <v>474</v>
      </c>
      <c r="F1419" s="144" t="n">
        <v>200025889124</v>
      </c>
      <c r="G1419" s="144" t="s">
        <v>333</v>
      </c>
      <c r="H1419" s="144" t="n">
        <v>28</v>
      </c>
      <c r="I1419" s="144" t="s">
        <v>152</v>
      </c>
      <c r="J1419" s="151" t="n">
        <v>45057.8555092593</v>
      </c>
      <c r="K1419" s="1" t="n">
        <v>1</v>
      </c>
      <c r="L1419" s="144" t="n">
        <v>28</v>
      </c>
      <c r="M1419" s="1" t="n">
        <v>35</v>
      </c>
      <c r="N1419" s="1" t="n">
        <v>35</v>
      </c>
      <c r="O1419" s="149" t="n">
        <v>23</v>
      </c>
    </row>
    <row r="1420" customFormat="false" ht="14.25" hidden="false" customHeight="false" outlineLevel="0" collapsed="false">
      <c r="A1420" s="1" t="n">
        <v>234</v>
      </c>
      <c r="B1420" s="1" t="s">
        <v>477</v>
      </c>
      <c r="C1420" s="143" t="n">
        <v>91601</v>
      </c>
      <c r="D1420" s="143" t="s">
        <v>64</v>
      </c>
      <c r="E1420" s="143" t="s">
        <v>474</v>
      </c>
      <c r="F1420" s="144" t="n">
        <v>200025889124</v>
      </c>
      <c r="G1420" s="144" t="s">
        <v>333</v>
      </c>
      <c r="H1420" s="144" t="n">
        <v>28</v>
      </c>
      <c r="I1420" s="144" t="s">
        <v>152</v>
      </c>
      <c r="J1420" s="152" t="n">
        <v>45057.9005208333</v>
      </c>
      <c r="K1420" s="1" t="n">
        <v>2</v>
      </c>
      <c r="L1420" s="144" t="n">
        <v>28</v>
      </c>
      <c r="M1420" s="1" t="n">
        <v>35</v>
      </c>
      <c r="N1420" s="1" t="n">
        <v>35</v>
      </c>
      <c r="O1420" s="149" t="n">
        <v>24</v>
      </c>
    </row>
    <row r="1421" customFormat="false" ht="14.25" hidden="false" customHeight="false" outlineLevel="0" collapsed="false">
      <c r="A1421" s="1" t="n">
        <v>281</v>
      </c>
      <c r="B1421" s="1" t="s">
        <v>475</v>
      </c>
      <c r="C1421" s="143" t="s">
        <v>52</v>
      </c>
      <c r="D1421" s="143" t="s">
        <v>53</v>
      </c>
      <c r="E1421" s="143" t="s">
        <v>474</v>
      </c>
      <c r="F1421" s="144" t="n">
        <v>200025889124</v>
      </c>
      <c r="G1421" s="144" t="s">
        <v>333</v>
      </c>
      <c r="H1421" s="144" t="n">
        <v>28</v>
      </c>
      <c r="I1421" s="144" t="s">
        <v>152</v>
      </c>
      <c r="J1421" s="151" t="n">
        <v>45057.9657175926</v>
      </c>
      <c r="K1421" s="1" t="n">
        <v>2</v>
      </c>
      <c r="L1421" s="144" t="n">
        <v>28</v>
      </c>
      <c r="M1421" s="1" t="n">
        <v>35</v>
      </c>
      <c r="N1421" s="1" t="n">
        <v>35</v>
      </c>
      <c r="O1421" s="149" t="n">
        <v>25</v>
      </c>
    </row>
    <row r="1422" customFormat="false" ht="14.25" hidden="false" customHeight="false" outlineLevel="0" collapsed="false">
      <c r="A1422" s="1" t="n">
        <v>284</v>
      </c>
      <c r="B1422" s="1" t="s">
        <v>475</v>
      </c>
      <c r="C1422" s="143" t="s">
        <v>52</v>
      </c>
      <c r="D1422" s="143" t="s">
        <v>53</v>
      </c>
      <c r="E1422" s="143" t="s">
        <v>474</v>
      </c>
      <c r="F1422" s="144" t="n">
        <v>200025889124</v>
      </c>
      <c r="G1422" s="144" t="s">
        <v>333</v>
      </c>
      <c r="H1422" s="144" t="n">
        <v>28</v>
      </c>
      <c r="I1422" s="144" t="s">
        <v>152</v>
      </c>
      <c r="J1422" s="151" t="n">
        <v>45057.967337963</v>
      </c>
      <c r="K1422" s="1" t="n">
        <v>1</v>
      </c>
      <c r="L1422" s="144" t="n">
        <v>28</v>
      </c>
      <c r="M1422" s="1" t="n">
        <v>35</v>
      </c>
      <c r="N1422" s="1" t="n">
        <v>35</v>
      </c>
      <c r="O1422" s="149" t="n">
        <v>26</v>
      </c>
    </row>
    <row r="1423" customFormat="false" ht="14.25" hidden="false" customHeight="false" outlineLevel="0" collapsed="false">
      <c r="A1423" s="1" t="n">
        <v>295</v>
      </c>
      <c r="B1423" s="1" t="s">
        <v>475</v>
      </c>
      <c r="C1423" s="143" t="s">
        <v>52</v>
      </c>
      <c r="D1423" s="143" t="s">
        <v>53</v>
      </c>
      <c r="E1423" s="143" t="s">
        <v>474</v>
      </c>
      <c r="F1423" s="144" t="n">
        <v>200025889124</v>
      </c>
      <c r="G1423" s="144" t="s">
        <v>333</v>
      </c>
      <c r="H1423" s="144" t="n">
        <v>28</v>
      </c>
      <c r="I1423" s="144" t="s">
        <v>152</v>
      </c>
      <c r="J1423" s="151" t="n">
        <v>45057.9833217593</v>
      </c>
      <c r="K1423" s="1" t="n">
        <v>1</v>
      </c>
      <c r="L1423" s="144" t="n">
        <v>28</v>
      </c>
      <c r="M1423" s="1" t="n">
        <v>35</v>
      </c>
      <c r="N1423" s="1" t="n">
        <v>35</v>
      </c>
      <c r="O1423" s="149" t="n">
        <v>27</v>
      </c>
    </row>
    <row r="1424" customFormat="false" ht="14.25" hidden="false" customHeight="false" outlineLevel="0" collapsed="false">
      <c r="A1424" s="1" t="n">
        <v>296</v>
      </c>
      <c r="B1424" s="1" t="s">
        <v>475</v>
      </c>
      <c r="C1424" s="143" t="s">
        <v>52</v>
      </c>
      <c r="D1424" s="143" t="s">
        <v>53</v>
      </c>
      <c r="E1424" s="143" t="s">
        <v>474</v>
      </c>
      <c r="F1424" s="144" t="n">
        <v>200025889124</v>
      </c>
      <c r="G1424" s="144" t="s">
        <v>333</v>
      </c>
      <c r="H1424" s="144" t="n">
        <v>28</v>
      </c>
      <c r="I1424" s="144" t="s">
        <v>152</v>
      </c>
      <c r="J1424" s="151" t="n">
        <v>45057.9833912037</v>
      </c>
      <c r="K1424" s="1" t="n">
        <v>3</v>
      </c>
      <c r="L1424" s="144" t="n">
        <v>28</v>
      </c>
      <c r="M1424" s="1" t="n">
        <v>35</v>
      </c>
      <c r="N1424" s="1" t="n">
        <v>35</v>
      </c>
      <c r="O1424" s="149" t="n">
        <v>28</v>
      </c>
    </row>
    <row r="1425" customFormat="false" ht="14.25" hidden="false" customHeight="false" outlineLevel="0" collapsed="false">
      <c r="A1425" s="1" t="n">
        <v>239</v>
      </c>
      <c r="B1425" s="1" t="s">
        <v>477</v>
      </c>
      <c r="C1425" s="143" t="n">
        <v>91601</v>
      </c>
      <c r="D1425" s="143" t="s">
        <v>64</v>
      </c>
      <c r="E1425" s="143" t="s">
        <v>474</v>
      </c>
      <c r="F1425" s="144" t="n">
        <v>200025889124</v>
      </c>
      <c r="G1425" s="144" t="s">
        <v>333</v>
      </c>
      <c r="H1425" s="144" t="n">
        <v>28</v>
      </c>
      <c r="I1425" s="144" t="s">
        <v>152</v>
      </c>
      <c r="J1425" s="152" t="n">
        <v>45058.0491666667</v>
      </c>
      <c r="K1425" s="1" t="n">
        <v>3</v>
      </c>
      <c r="L1425" s="144" t="n">
        <v>28</v>
      </c>
      <c r="M1425" s="1" t="n">
        <v>35</v>
      </c>
      <c r="N1425" s="1" t="n">
        <v>35</v>
      </c>
      <c r="O1425" s="149" t="n">
        <v>29</v>
      </c>
    </row>
    <row r="1426" customFormat="false" ht="14.25" hidden="false" customHeight="false" outlineLevel="0" collapsed="false">
      <c r="A1426" s="1" t="n">
        <v>240</v>
      </c>
      <c r="B1426" s="1" t="s">
        <v>477</v>
      </c>
      <c r="C1426" s="143" t="n">
        <v>91601</v>
      </c>
      <c r="D1426" s="143" t="s">
        <v>64</v>
      </c>
      <c r="E1426" s="143" t="s">
        <v>474</v>
      </c>
      <c r="F1426" s="144" t="n">
        <v>200025889124</v>
      </c>
      <c r="G1426" s="144" t="s">
        <v>333</v>
      </c>
      <c r="H1426" s="144" t="n">
        <v>28</v>
      </c>
      <c r="I1426" s="144" t="s">
        <v>152</v>
      </c>
      <c r="J1426" s="152" t="n">
        <v>45058.0501273148</v>
      </c>
      <c r="K1426" s="1" t="n">
        <v>1</v>
      </c>
      <c r="L1426" s="144" t="n">
        <v>28</v>
      </c>
      <c r="M1426" s="1" t="n">
        <v>35</v>
      </c>
      <c r="N1426" s="1" t="n">
        <v>35</v>
      </c>
      <c r="O1426" s="149" t="n">
        <v>30</v>
      </c>
    </row>
    <row r="1427" customFormat="false" ht="14.25" hidden="false" customHeight="false" outlineLevel="0" collapsed="false">
      <c r="A1427" s="1" t="n">
        <v>241</v>
      </c>
      <c r="B1427" s="1" t="s">
        <v>477</v>
      </c>
      <c r="C1427" s="143" t="n">
        <v>91601</v>
      </c>
      <c r="D1427" s="143" t="s">
        <v>64</v>
      </c>
      <c r="E1427" s="143" t="s">
        <v>474</v>
      </c>
      <c r="F1427" s="144" t="n">
        <v>200025889124</v>
      </c>
      <c r="G1427" s="144" t="s">
        <v>333</v>
      </c>
      <c r="H1427" s="144" t="n">
        <v>28</v>
      </c>
      <c r="I1427" s="144" t="s">
        <v>152</v>
      </c>
      <c r="J1427" s="152" t="n">
        <v>45058.050150463</v>
      </c>
      <c r="K1427" s="1" t="n">
        <v>1</v>
      </c>
      <c r="L1427" s="144" t="n">
        <v>28</v>
      </c>
      <c r="M1427" s="1" t="n">
        <v>35</v>
      </c>
      <c r="N1427" s="1" t="n">
        <v>35</v>
      </c>
      <c r="O1427" s="149" t="n">
        <v>31</v>
      </c>
    </row>
    <row r="1428" customFormat="false" ht="14.25" hidden="false" customHeight="false" outlineLevel="0" collapsed="false">
      <c r="A1428" s="1" t="n">
        <v>242</v>
      </c>
      <c r="B1428" s="1" t="s">
        <v>477</v>
      </c>
      <c r="C1428" s="143" t="n">
        <v>91601</v>
      </c>
      <c r="D1428" s="143" t="s">
        <v>64</v>
      </c>
      <c r="E1428" s="143" t="s">
        <v>474</v>
      </c>
      <c r="F1428" s="144" t="n">
        <v>200025889124</v>
      </c>
      <c r="G1428" s="144" t="s">
        <v>333</v>
      </c>
      <c r="H1428" s="144" t="n">
        <v>28</v>
      </c>
      <c r="I1428" s="144" t="s">
        <v>152</v>
      </c>
      <c r="J1428" s="152" t="n">
        <v>45058.0664583333</v>
      </c>
      <c r="K1428" s="1" t="n">
        <v>1</v>
      </c>
      <c r="L1428" s="144" t="n">
        <v>28</v>
      </c>
      <c r="M1428" s="1" t="n">
        <v>35</v>
      </c>
      <c r="N1428" s="1" t="n">
        <v>35</v>
      </c>
      <c r="O1428" s="149" t="n">
        <v>32</v>
      </c>
    </row>
    <row r="1429" customFormat="false" ht="14.25" hidden="false" customHeight="false" outlineLevel="0" collapsed="false">
      <c r="A1429" s="1" t="n">
        <v>243</v>
      </c>
      <c r="B1429" s="1" t="s">
        <v>477</v>
      </c>
      <c r="C1429" s="143" t="n">
        <v>91601</v>
      </c>
      <c r="D1429" s="143" t="s">
        <v>64</v>
      </c>
      <c r="E1429" s="143" t="s">
        <v>474</v>
      </c>
      <c r="F1429" s="144" t="n">
        <v>200025889124</v>
      </c>
      <c r="G1429" s="144" t="s">
        <v>333</v>
      </c>
      <c r="H1429" s="144" t="n">
        <v>28</v>
      </c>
      <c r="I1429" s="144" t="s">
        <v>152</v>
      </c>
      <c r="J1429" s="152" t="n">
        <v>45058.0754976852</v>
      </c>
      <c r="K1429" s="1" t="n">
        <v>1</v>
      </c>
      <c r="L1429" s="144" t="n">
        <v>28</v>
      </c>
      <c r="M1429" s="1" t="n">
        <v>35</v>
      </c>
      <c r="N1429" s="1" t="n">
        <v>35</v>
      </c>
      <c r="O1429" s="149" t="n">
        <v>33</v>
      </c>
    </row>
    <row r="1430" customFormat="false" ht="14.25" hidden="false" customHeight="false" outlineLevel="0" collapsed="false">
      <c r="A1430" s="1" t="n">
        <v>244</v>
      </c>
      <c r="B1430" s="1" t="s">
        <v>477</v>
      </c>
      <c r="C1430" s="143" t="n">
        <v>91601</v>
      </c>
      <c r="D1430" s="143" t="s">
        <v>64</v>
      </c>
      <c r="E1430" s="143" t="s">
        <v>474</v>
      </c>
      <c r="F1430" s="144" t="n">
        <v>200025889124</v>
      </c>
      <c r="G1430" s="144" t="s">
        <v>333</v>
      </c>
      <c r="H1430" s="144" t="n">
        <v>28</v>
      </c>
      <c r="I1430" s="144" t="s">
        <v>152</v>
      </c>
      <c r="J1430" s="152" t="n">
        <v>45058.0761805556</v>
      </c>
      <c r="K1430" s="1" t="n">
        <v>2</v>
      </c>
      <c r="L1430" s="144" t="n">
        <v>28</v>
      </c>
      <c r="M1430" s="1" t="n">
        <v>35</v>
      </c>
      <c r="N1430" s="1" t="n">
        <v>35</v>
      </c>
      <c r="O1430" s="149" t="n">
        <v>34</v>
      </c>
    </row>
    <row r="1431" customFormat="false" ht="14.25" hidden="false" customHeight="false" outlineLevel="0" collapsed="false">
      <c r="A1431" s="1" t="n">
        <v>300</v>
      </c>
      <c r="B1431" s="1" t="s">
        <v>475</v>
      </c>
      <c r="C1431" s="143" t="s">
        <v>52</v>
      </c>
      <c r="D1431" s="143" t="s">
        <v>53</v>
      </c>
      <c r="E1431" s="143" t="s">
        <v>474</v>
      </c>
      <c r="F1431" s="144" t="n">
        <v>200025889124</v>
      </c>
      <c r="G1431" s="144" t="s">
        <v>333</v>
      </c>
      <c r="H1431" s="144" t="n">
        <v>28</v>
      </c>
      <c r="I1431" s="144" t="s">
        <v>152</v>
      </c>
      <c r="J1431" s="151" t="n">
        <v>45058.1078935185</v>
      </c>
      <c r="K1431" s="1" t="n">
        <v>2</v>
      </c>
      <c r="L1431" s="144" t="n">
        <v>28</v>
      </c>
      <c r="M1431" s="1" t="n">
        <v>35</v>
      </c>
      <c r="N1431" s="1" t="n">
        <v>35</v>
      </c>
      <c r="O1431" s="149" t="n">
        <v>35</v>
      </c>
    </row>
    <row r="1432" customFormat="false" ht="14.25" hidden="false" customHeight="false" outlineLevel="0" collapsed="false">
      <c r="A1432" s="1" t="n">
        <v>301</v>
      </c>
      <c r="B1432" s="1" t="s">
        <v>475</v>
      </c>
      <c r="C1432" s="143" t="s">
        <v>52</v>
      </c>
      <c r="D1432" s="143" t="s">
        <v>53</v>
      </c>
      <c r="E1432" s="143" t="s">
        <v>474</v>
      </c>
      <c r="F1432" s="144" t="n">
        <v>200025889124</v>
      </c>
      <c r="G1432" s="144" t="s">
        <v>333</v>
      </c>
      <c r="H1432" s="144" t="n">
        <v>28</v>
      </c>
      <c r="I1432" s="144" t="s">
        <v>152</v>
      </c>
      <c r="J1432" s="151" t="n">
        <v>45058.1079861111</v>
      </c>
      <c r="K1432" s="1" t="n">
        <v>1</v>
      </c>
      <c r="L1432" s="144" t="n">
        <v>28</v>
      </c>
      <c r="M1432" s="1" t="n">
        <v>35</v>
      </c>
      <c r="N1432" s="1" t="n">
        <v>35</v>
      </c>
      <c r="O1432" s="149" t="n">
        <v>36</v>
      </c>
    </row>
    <row r="1433" customFormat="false" ht="14.25" hidden="false" customHeight="false" outlineLevel="0" collapsed="false">
      <c r="A1433" s="1" t="n">
        <v>302</v>
      </c>
      <c r="B1433" s="1" t="s">
        <v>475</v>
      </c>
      <c r="C1433" s="143" t="s">
        <v>52</v>
      </c>
      <c r="D1433" s="143" t="s">
        <v>53</v>
      </c>
      <c r="E1433" s="143" t="s">
        <v>474</v>
      </c>
      <c r="F1433" s="144" t="n">
        <v>200025889124</v>
      </c>
      <c r="G1433" s="144" t="s">
        <v>333</v>
      </c>
      <c r="H1433" s="144" t="n">
        <v>28</v>
      </c>
      <c r="I1433" s="144" t="s">
        <v>152</v>
      </c>
      <c r="J1433" s="151" t="n">
        <v>45058.1083333333</v>
      </c>
      <c r="K1433" s="1" t="n">
        <v>1</v>
      </c>
      <c r="L1433" s="144" t="n">
        <v>28</v>
      </c>
      <c r="M1433" s="1" t="n">
        <v>35</v>
      </c>
      <c r="N1433" s="1" t="n">
        <v>35</v>
      </c>
      <c r="O1433" s="149" t="n">
        <v>37</v>
      </c>
    </row>
    <row r="1434" customFormat="false" ht="14.25" hidden="false" customHeight="false" outlineLevel="0" collapsed="false">
      <c r="A1434" s="1" t="n">
        <v>303</v>
      </c>
      <c r="B1434" s="1" t="s">
        <v>475</v>
      </c>
      <c r="C1434" s="143" t="s">
        <v>52</v>
      </c>
      <c r="D1434" s="143" t="s">
        <v>53</v>
      </c>
      <c r="E1434" s="143" t="s">
        <v>474</v>
      </c>
      <c r="F1434" s="144" t="n">
        <v>200025889124</v>
      </c>
      <c r="G1434" s="144" t="s">
        <v>333</v>
      </c>
      <c r="H1434" s="144" t="n">
        <v>28</v>
      </c>
      <c r="I1434" s="144" t="s">
        <v>152</v>
      </c>
      <c r="J1434" s="151" t="n">
        <v>45058.1084143519</v>
      </c>
      <c r="K1434" s="1" t="n">
        <v>2</v>
      </c>
      <c r="L1434" s="144" t="n">
        <v>28</v>
      </c>
      <c r="M1434" s="1" t="n">
        <v>35</v>
      </c>
      <c r="N1434" s="1" t="n">
        <v>35</v>
      </c>
      <c r="O1434" s="149" t="n">
        <v>38</v>
      </c>
    </row>
    <row r="1435" customFormat="false" ht="14.25" hidden="false" customHeight="false" outlineLevel="0" collapsed="false">
      <c r="A1435" s="1" t="n">
        <v>304</v>
      </c>
      <c r="B1435" s="1" t="s">
        <v>475</v>
      </c>
      <c r="C1435" s="143" t="s">
        <v>52</v>
      </c>
      <c r="D1435" s="143" t="s">
        <v>53</v>
      </c>
      <c r="E1435" s="143" t="s">
        <v>474</v>
      </c>
      <c r="F1435" s="144" t="n">
        <v>200025889124</v>
      </c>
      <c r="G1435" s="144" t="s">
        <v>333</v>
      </c>
      <c r="H1435" s="144" t="n">
        <v>28</v>
      </c>
      <c r="I1435" s="144" t="s">
        <v>152</v>
      </c>
      <c r="J1435" s="151" t="n">
        <v>45058.1087962963</v>
      </c>
      <c r="K1435" s="1" t="n">
        <v>0</v>
      </c>
      <c r="L1435" s="144" t="n">
        <v>28</v>
      </c>
      <c r="M1435" s="1" t="n">
        <v>35</v>
      </c>
      <c r="N1435" s="1" t="n">
        <v>35</v>
      </c>
      <c r="O1435" s="149" t="n">
        <v>39</v>
      </c>
    </row>
    <row r="1436" customFormat="false" ht="14.25" hidden="false" customHeight="false" outlineLevel="0" collapsed="false">
      <c r="A1436" s="1" t="n">
        <v>305</v>
      </c>
      <c r="B1436" s="1" t="s">
        <v>475</v>
      </c>
      <c r="C1436" s="143" t="s">
        <v>52</v>
      </c>
      <c r="D1436" s="143" t="s">
        <v>53</v>
      </c>
      <c r="E1436" s="143" t="s">
        <v>474</v>
      </c>
      <c r="F1436" s="144" t="n">
        <v>200025889124</v>
      </c>
      <c r="G1436" s="144" t="s">
        <v>333</v>
      </c>
      <c r="H1436" s="144" t="n">
        <v>28</v>
      </c>
      <c r="I1436" s="144" t="s">
        <v>152</v>
      </c>
      <c r="J1436" s="151" t="n">
        <v>45058.1090625</v>
      </c>
      <c r="K1436" s="1" t="n">
        <v>3</v>
      </c>
      <c r="L1436" s="144" t="n">
        <v>28</v>
      </c>
      <c r="M1436" s="1" t="n">
        <v>35</v>
      </c>
      <c r="N1436" s="1" t="n">
        <v>35</v>
      </c>
      <c r="O1436" s="149" t="n">
        <v>40</v>
      </c>
    </row>
    <row r="1437" customFormat="false" ht="14.25" hidden="false" customHeight="false" outlineLevel="0" collapsed="false">
      <c r="A1437" s="1" t="n">
        <v>306</v>
      </c>
      <c r="B1437" s="1" t="s">
        <v>475</v>
      </c>
      <c r="C1437" s="143" t="s">
        <v>52</v>
      </c>
      <c r="D1437" s="143" t="s">
        <v>53</v>
      </c>
      <c r="E1437" s="143" t="s">
        <v>474</v>
      </c>
      <c r="F1437" s="144" t="n">
        <v>200025889124</v>
      </c>
      <c r="G1437" s="144" t="s">
        <v>333</v>
      </c>
      <c r="H1437" s="144" t="n">
        <v>28</v>
      </c>
      <c r="I1437" s="144" t="s">
        <v>152</v>
      </c>
      <c r="J1437" s="151" t="n">
        <v>45058.1125810185</v>
      </c>
      <c r="K1437" s="1" t="n">
        <v>2</v>
      </c>
      <c r="L1437" s="144" t="n">
        <v>28</v>
      </c>
      <c r="M1437" s="1" t="n">
        <v>35</v>
      </c>
      <c r="N1437" s="1" t="n">
        <v>35</v>
      </c>
      <c r="O1437" s="149" t="n">
        <v>41</v>
      </c>
    </row>
    <row r="1438" customFormat="false" ht="14.25" hidden="false" customHeight="false" outlineLevel="0" collapsed="false">
      <c r="A1438" s="1" t="n">
        <v>307</v>
      </c>
      <c r="B1438" s="1" t="s">
        <v>475</v>
      </c>
      <c r="C1438" s="143" t="s">
        <v>52</v>
      </c>
      <c r="D1438" s="143" t="s">
        <v>53</v>
      </c>
      <c r="E1438" s="143" t="s">
        <v>474</v>
      </c>
      <c r="F1438" s="144" t="n">
        <v>200025889124</v>
      </c>
      <c r="G1438" s="144" t="s">
        <v>333</v>
      </c>
      <c r="H1438" s="144" t="n">
        <v>28</v>
      </c>
      <c r="I1438" s="144" t="s">
        <v>152</v>
      </c>
      <c r="J1438" s="151" t="n">
        <v>45058.1127777778</v>
      </c>
      <c r="K1438" s="1" t="n">
        <v>2</v>
      </c>
      <c r="L1438" s="144" t="n">
        <v>28</v>
      </c>
      <c r="M1438" s="1" t="n">
        <v>35</v>
      </c>
      <c r="N1438" s="1" t="n">
        <v>35</v>
      </c>
      <c r="O1438" s="149" t="n">
        <v>42</v>
      </c>
    </row>
    <row r="1439" customFormat="false" ht="14.25" hidden="false" customHeight="false" outlineLevel="0" collapsed="false">
      <c r="A1439" s="1" t="n">
        <v>308</v>
      </c>
      <c r="B1439" s="1" t="s">
        <v>475</v>
      </c>
      <c r="C1439" s="143" t="s">
        <v>52</v>
      </c>
      <c r="D1439" s="143" t="s">
        <v>53</v>
      </c>
      <c r="E1439" s="143" t="s">
        <v>474</v>
      </c>
      <c r="F1439" s="144" t="n">
        <v>200025889124</v>
      </c>
      <c r="G1439" s="144" t="s">
        <v>333</v>
      </c>
      <c r="H1439" s="144" t="n">
        <v>28</v>
      </c>
      <c r="I1439" s="144" t="s">
        <v>152</v>
      </c>
      <c r="J1439" s="151" t="n">
        <v>45058.1129398148</v>
      </c>
      <c r="K1439" s="1" t="n">
        <v>0</v>
      </c>
      <c r="L1439" s="144" t="n">
        <v>28</v>
      </c>
      <c r="M1439" s="1" t="n">
        <v>35</v>
      </c>
      <c r="N1439" s="1" t="n">
        <v>35</v>
      </c>
      <c r="O1439" s="149" t="n">
        <v>43</v>
      </c>
    </row>
    <row r="1440" customFormat="false" ht="14.25" hidden="false" customHeight="false" outlineLevel="0" collapsed="false">
      <c r="A1440" s="1" t="n">
        <v>309</v>
      </c>
      <c r="B1440" s="1" t="s">
        <v>475</v>
      </c>
      <c r="C1440" s="143" t="s">
        <v>52</v>
      </c>
      <c r="D1440" s="143" t="s">
        <v>53</v>
      </c>
      <c r="E1440" s="143" t="s">
        <v>474</v>
      </c>
      <c r="F1440" s="144" t="n">
        <v>200025889124</v>
      </c>
      <c r="G1440" s="144" t="s">
        <v>333</v>
      </c>
      <c r="H1440" s="144" t="n">
        <v>28</v>
      </c>
      <c r="I1440" s="144" t="s">
        <v>152</v>
      </c>
      <c r="J1440" s="151" t="n">
        <v>45058.1143402778</v>
      </c>
      <c r="K1440" s="1" t="n">
        <v>1</v>
      </c>
      <c r="L1440" s="144" t="n">
        <v>28</v>
      </c>
      <c r="M1440" s="1" t="n">
        <v>35</v>
      </c>
      <c r="N1440" s="1" t="n">
        <v>35</v>
      </c>
      <c r="O1440" s="149" t="n">
        <v>44</v>
      </c>
    </row>
    <row r="1441" customFormat="false" ht="14.25" hidden="false" customHeight="false" outlineLevel="0" collapsed="false">
      <c r="A1441" s="1" t="n">
        <v>310</v>
      </c>
      <c r="B1441" s="1" t="s">
        <v>475</v>
      </c>
      <c r="C1441" s="143" t="s">
        <v>52</v>
      </c>
      <c r="D1441" s="143" t="s">
        <v>53</v>
      </c>
      <c r="E1441" s="143" t="s">
        <v>474</v>
      </c>
      <c r="F1441" s="144" t="n">
        <v>200025889124</v>
      </c>
      <c r="G1441" s="144" t="s">
        <v>333</v>
      </c>
      <c r="H1441" s="144" t="n">
        <v>28</v>
      </c>
      <c r="I1441" s="144" t="s">
        <v>152</v>
      </c>
      <c r="J1441" s="151" t="n">
        <v>45058.1143518519</v>
      </c>
      <c r="K1441" s="1" t="n">
        <v>2</v>
      </c>
      <c r="L1441" s="144" t="n">
        <v>28</v>
      </c>
      <c r="M1441" s="1" t="n">
        <v>35</v>
      </c>
      <c r="N1441" s="1" t="n">
        <v>35</v>
      </c>
      <c r="O1441" s="149" t="n">
        <v>45</v>
      </c>
    </row>
    <row r="1442" customFormat="false" ht="14.25" hidden="false" customHeight="false" outlineLevel="0" collapsed="false">
      <c r="A1442" s="1" t="n">
        <v>311</v>
      </c>
      <c r="B1442" s="1" t="s">
        <v>475</v>
      </c>
      <c r="C1442" s="143" t="s">
        <v>52</v>
      </c>
      <c r="D1442" s="143" t="s">
        <v>53</v>
      </c>
      <c r="E1442" s="143" t="s">
        <v>474</v>
      </c>
      <c r="F1442" s="144" t="n">
        <v>200025889124</v>
      </c>
      <c r="G1442" s="144" t="s">
        <v>333</v>
      </c>
      <c r="H1442" s="144" t="n">
        <v>28</v>
      </c>
      <c r="I1442" s="144" t="s">
        <v>152</v>
      </c>
      <c r="J1442" s="151" t="n">
        <v>45058.1178125</v>
      </c>
      <c r="K1442" s="1" t="n">
        <v>1</v>
      </c>
      <c r="L1442" s="144" t="n">
        <v>28</v>
      </c>
      <c r="M1442" s="1" t="n">
        <v>35</v>
      </c>
      <c r="N1442" s="1" t="n">
        <v>35</v>
      </c>
      <c r="O1442" s="149" t="n">
        <v>46</v>
      </c>
    </row>
    <row r="1443" customFormat="false" ht="14.25" hidden="false" customHeight="false" outlineLevel="0" collapsed="false">
      <c r="A1443" s="1" t="n">
        <v>312</v>
      </c>
      <c r="B1443" s="1" t="s">
        <v>475</v>
      </c>
      <c r="C1443" s="143" t="s">
        <v>52</v>
      </c>
      <c r="D1443" s="143" t="s">
        <v>53</v>
      </c>
      <c r="E1443" s="143" t="s">
        <v>474</v>
      </c>
      <c r="F1443" s="144" t="n">
        <v>200025889124</v>
      </c>
      <c r="G1443" s="144" t="s">
        <v>333</v>
      </c>
      <c r="H1443" s="144" t="n">
        <v>28</v>
      </c>
      <c r="I1443" s="144" t="s">
        <v>152</v>
      </c>
      <c r="J1443" s="151" t="n">
        <v>45058.1178472222</v>
      </c>
      <c r="K1443" s="1" t="n">
        <v>4</v>
      </c>
      <c r="L1443" s="144" t="n">
        <v>28</v>
      </c>
      <c r="M1443" s="1" t="n">
        <v>35</v>
      </c>
      <c r="N1443" s="1" t="n">
        <v>35</v>
      </c>
      <c r="O1443" s="149" t="n">
        <v>47</v>
      </c>
    </row>
    <row r="1444" customFormat="false" ht="14.25" hidden="false" customHeight="false" outlineLevel="0" collapsed="false">
      <c r="A1444" s="1" t="n">
        <v>317</v>
      </c>
      <c r="B1444" s="1" t="s">
        <v>475</v>
      </c>
      <c r="C1444" s="143" t="s">
        <v>52</v>
      </c>
      <c r="D1444" s="143" t="s">
        <v>53</v>
      </c>
      <c r="E1444" s="143" t="s">
        <v>474</v>
      </c>
      <c r="F1444" s="144" t="n">
        <v>200025889124</v>
      </c>
      <c r="G1444" s="144" t="s">
        <v>333</v>
      </c>
      <c r="H1444" s="144" t="n">
        <v>28</v>
      </c>
      <c r="I1444" s="144" t="s">
        <v>152</v>
      </c>
      <c r="J1444" s="151" t="n">
        <v>45058.1243865741</v>
      </c>
      <c r="K1444" s="1" t="n">
        <v>1</v>
      </c>
      <c r="L1444" s="144" t="n">
        <v>28</v>
      </c>
      <c r="M1444" s="1" t="n">
        <v>35</v>
      </c>
      <c r="N1444" s="1" t="n">
        <v>35</v>
      </c>
      <c r="O1444" s="149" t="n">
        <v>48</v>
      </c>
    </row>
    <row r="1445" customFormat="false" ht="14.25" hidden="false" customHeight="false" outlineLevel="0" collapsed="false">
      <c r="A1445" s="1" t="n">
        <v>318</v>
      </c>
      <c r="B1445" s="1" t="s">
        <v>475</v>
      </c>
      <c r="C1445" s="143" t="s">
        <v>52</v>
      </c>
      <c r="D1445" s="143" t="s">
        <v>53</v>
      </c>
      <c r="E1445" s="143" t="s">
        <v>474</v>
      </c>
      <c r="F1445" s="144" t="n">
        <v>200025889124</v>
      </c>
      <c r="G1445" s="144" t="s">
        <v>333</v>
      </c>
      <c r="H1445" s="144" t="n">
        <v>28</v>
      </c>
      <c r="I1445" s="144" t="s">
        <v>152</v>
      </c>
      <c r="J1445" s="151" t="n">
        <v>45058.2456597222</v>
      </c>
      <c r="K1445" s="1" t="n">
        <v>2</v>
      </c>
      <c r="L1445" s="144" t="n">
        <v>28</v>
      </c>
      <c r="M1445" s="1" t="n">
        <v>35</v>
      </c>
      <c r="N1445" s="1" t="n">
        <v>35</v>
      </c>
      <c r="O1445" s="149" t="n">
        <v>49</v>
      </c>
    </row>
    <row r="1446" customFormat="false" ht="14.25" hidden="false" customHeight="false" outlineLevel="0" collapsed="false">
      <c r="A1446" s="1" t="n">
        <v>319</v>
      </c>
      <c r="B1446" s="1" t="s">
        <v>475</v>
      </c>
      <c r="C1446" s="143" t="s">
        <v>52</v>
      </c>
      <c r="D1446" s="143" t="s">
        <v>53</v>
      </c>
      <c r="E1446" s="143" t="s">
        <v>474</v>
      </c>
      <c r="F1446" s="144" t="n">
        <v>200025889124</v>
      </c>
      <c r="G1446" s="144" t="s">
        <v>333</v>
      </c>
      <c r="H1446" s="144" t="n">
        <v>28</v>
      </c>
      <c r="I1446" s="144" t="s">
        <v>152</v>
      </c>
      <c r="J1446" s="151" t="n">
        <v>45058.2917013889</v>
      </c>
      <c r="K1446" s="1" t="n">
        <v>2</v>
      </c>
      <c r="L1446" s="144" t="n">
        <v>28</v>
      </c>
      <c r="M1446" s="1" t="n">
        <v>35</v>
      </c>
      <c r="N1446" s="1" t="n">
        <v>35</v>
      </c>
      <c r="O1446" s="149" t="n">
        <v>50</v>
      </c>
    </row>
    <row r="1447" customFormat="false" ht="14.25" hidden="false" customHeight="false" outlineLevel="0" collapsed="false">
      <c r="A1447" s="1" t="n">
        <v>320</v>
      </c>
      <c r="B1447" s="1" t="s">
        <v>475</v>
      </c>
      <c r="C1447" s="143" t="s">
        <v>52</v>
      </c>
      <c r="D1447" s="143" t="s">
        <v>53</v>
      </c>
      <c r="E1447" s="143" t="s">
        <v>474</v>
      </c>
      <c r="F1447" s="144" t="n">
        <v>200025889124</v>
      </c>
      <c r="G1447" s="144" t="s">
        <v>333</v>
      </c>
      <c r="H1447" s="144" t="n">
        <v>28</v>
      </c>
      <c r="I1447" s="144" t="s">
        <v>152</v>
      </c>
      <c r="J1447" s="151" t="n">
        <v>45058.2921527778</v>
      </c>
      <c r="K1447" s="1" t="n">
        <v>1</v>
      </c>
      <c r="L1447" s="144" t="n">
        <v>28</v>
      </c>
      <c r="M1447" s="1" t="n">
        <v>35</v>
      </c>
      <c r="N1447" s="1" t="n">
        <v>35</v>
      </c>
      <c r="O1447" s="149" t="n">
        <v>51</v>
      </c>
    </row>
    <row r="1448" customFormat="false" ht="14.25" hidden="false" customHeight="false" outlineLevel="0" collapsed="false">
      <c r="A1448" s="1" t="n">
        <v>321</v>
      </c>
      <c r="B1448" s="1" t="s">
        <v>475</v>
      </c>
      <c r="C1448" s="143" t="s">
        <v>52</v>
      </c>
      <c r="D1448" s="143" t="s">
        <v>53</v>
      </c>
      <c r="E1448" s="143" t="s">
        <v>474</v>
      </c>
      <c r="F1448" s="144" t="n">
        <v>200025889124</v>
      </c>
      <c r="G1448" s="144" t="s">
        <v>333</v>
      </c>
      <c r="H1448" s="144" t="n">
        <v>28</v>
      </c>
      <c r="I1448" s="144" t="s">
        <v>152</v>
      </c>
      <c r="J1448" s="151" t="n">
        <v>45058.2924189815</v>
      </c>
      <c r="K1448" s="1" t="n">
        <v>2</v>
      </c>
      <c r="L1448" s="144" t="n">
        <v>28</v>
      </c>
      <c r="M1448" s="1" t="n">
        <v>35</v>
      </c>
      <c r="N1448" s="1" t="n">
        <v>35</v>
      </c>
      <c r="O1448" s="149" t="n">
        <v>52</v>
      </c>
    </row>
    <row r="1449" customFormat="false" ht="14.25" hidden="false" customHeight="false" outlineLevel="0" collapsed="false">
      <c r="A1449" s="1" t="n">
        <v>322</v>
      </c>
      <c r="B1449" s="1" t="s">
        <v>475</v>
      </c>
      <c r="C1449" s="143" t="s">
        <v>52</v>
      </c>
      <c r="D1449" s="143" t="s">
        <v>53</v>
      </c>
      <c r="E1449" s="143" t="s">
        <v>474</v>
      </c>
      <c r="F1449" s="144" t="n">
        <v>200025889124</v>
      </c>
      <c r="G1449" s="144" t="s">
        <v>333</v>
      </c>
      <c r="H1449" s="144" t="n">
        <v>28</v>
      </c>
      <c r="I1449" s="144" t="s">
        <v>152</v>
      </c>
      <c r="J1449" s="151" t="n">
        <v>45058.2927777778</v>
      </c>
      <c r="K1449" s="1" t="n">
        <v>1</v>
      </c>
      <c r="L1449" s="144" t="n">
        <v>28</v>
      </c>
      <c r="M1449" s="1" t="n">
        <v>35</v>
      </c>
      <c r="N1449" s="1" t="n">
        <v>35</v>
      </c>
      <c r="O1449" s="149" t="n">
        <v>53</v>
      </c>
    </row>
    <row r="1450" customFormat="false" ht="14.25" hidden="false" customHeight="false" outlineLevel="0" collapsed="false">
      <c r="A1450" s="1" t="n">
        <v>323</v>
      </c>
      <c r="B1450" s="1" t="s">
        <v>475</v>
      </c>
      <c r="C1450" s="143" t="s">
        <v>52</v>
      </c>
      <c r="D1450" s="143" t="s">
        <v>53</v>
      </c>
      <c r="E1450" s="143" t="s">
        <v>474</v>
      </c>
      <c r="F1450" s="144" t="n">
        <v>200025889124</v>
      </c>
      <c r="G1450" s="144" t="s">
        <v>333</v>
      </c>
      <c r="H1450" s="144" t="n">
        <v>28</v>
      </c>
      <c r="I1450" s="144" t="s">
        <v>152</v>
      </c>
      <c r="J1450" s="151" t="n">
        <v>45058.2959259259</v>
      </c>
      <c r="K1450" s="1" t="n">
        <v>1</v>
      </c>
      <c r="L1450" s="144" t="n">
        <v>28</v>
      </c>
      <c r="M1450" s="1" t="n">
        <v>35</v>
      </c>
      <c r="N1450" s="1" t="n">
        <v>35</v>
      </c>
      <c r="O1450" s="149" t="n">
        <v>54</v>
      </c>
    </row>
    <row r="1451" customFormat="false" ht="14.25" hidden="false" customHeight="false" outlineLevel="0" collapsed="false">
      <c r="A1451" s="1" t="n">
        <v>224</v>
      </c>
      <c r="B1451" s="1" t="s">
        <v>477</v>
      </c>
      <c r="C1451" s="143" t="n">
        <v>91601</v>
      </c>
      <c r="D1451" s="143" t="s">
        <v>64</v>
      </c>
      <c r="E1451" s="143" t="s">
        <v>474</v>
      </c>
      <c r="F1451" s="144" t="n">
        <v>200025888228</v>
      </c>
      <c r="G1451" s="144" t="s">
        <v>187</v>
      </c>
      <c r="H1451" s="144" t="n">
        <v>77</v>
      </c>
      <c r="I1451" s="144" t="s">
        <v>152</v>
      </c>
      <c r="J1451" s="152" t="n">
        <v>45057.7067361111</v>
      </c>
      <c r="K1451" s="1" t="n">
        <v>2</v>
      </c>
      <c r="L1451" s="144" t="n">
        <v>77</v>
      </c>
      <c r="M1451" s="1" t="n">
        <v>36</v>
      </c>
      <c r="N1451" s="1" t="n">
        <v>36</v>
      </c>
      <c r="O1451" s="149" t="n">
        <v>1</v>
      </c>
    </row>
    <row r="1452" customFormat="false" ht="14.25" hidden="false" customHeight="false" outlineLevel="0" collapsed="false">
      <c r="A1452" s="1" t="n">
        <v>225</v>
      </c>
      <c r="B1452" s="1" t="s">
        <v>477</v>
      </c>
      <c r="C1452" s="143" t="n">
        <v>91601</v>
      </c>
      <c r="D1452" s="143" t="s">
        <v>64</v>
      </c>
      <c r="E1452" s="143" t="s">
        <v>474</v>
      </c>
      <c r="F1452" s="144" t="n">
        <v>200025888228</v>
      </c>
      <c r="G1452" s="144" t="s">
        <v>187</v>
      </c>
      <c r="H1452" s="144" t="n">
        <v>77</v>
      </c>
      <c r="I1452" s="144" t="s">
        <v>152</v>
      </c>
      <c r="J1452" s="152" t="n">
        <v>45057.7069560185</v>
      </c>
      <c r="K1452" s="1" t="n">
        <v>1</v>
      </c>
      <c r="L1452" s="144" t="n">
        <v>77</v>
      </c>
      <c r="M1452" s="1" t="n">
        <v>36</v>
      </c>
      <c r="N1452" s="1" t="n">
        <v>36</v>
      </c>
      <c r="O1452" s="149" t="n">
        <v>2</v>
      </c>
    </row>
    <row r="1453" customFormat="false" ht="14.25" hidden="false" customHeight="false" outlineLevel="0" collapsed="false">
      <c r="A1453" s="1" t="n">
        <v>226</v>
      </c>
      <c r="B1453" s="1" t="s">
        <v>477</v>
      </c>
      <c r="C1453" s="143" t="n">
        <v>91601</v>
      </c>
      <c r="D1453" s="143" t="s">
        <v>64</v>
      </c>
      <c r="E1453" s="143" t="s">
        <v>474</v>
      </c>
      <c r="F1453" s="144" t="n">
        <v>200025888228</v>
      </c>
      <c r="G1453" s="144" t="s">
        <v>187</v>
      </c>
      <c r="H1453" s="144" t="n">
        <v>77</v>
      </c>
      <c r="I1453" s="144" t="s">
        <v>152</v>
      </c>
      <c r="J1453" s="152" t="n">
        <v>45057.7074768519</v>
      </c>
      <c r="K1453" s="1" t="n">
        <v>2</v>
      </c>
      <c r="L1453" s="144" t="n">
        <v>77</v>
      </c>
      <c r="M1453" s="1" t="n">
        <v>36</v>
      </c>
      <c r="N1453" s="1" t="n">
        <v>36</v>
      </c>
      <c r="O1453" s="149" t="n">
        <v>3</v>
      </c>
    </row>
    <row r="1454" customFormat="false" ht="14.25" hidden="false" customHeight="false" outlineLevel="0" collapsed="false">
      <c r="A1454" s="1" t="n">
        <v>227</v>
      </c>
      <c r="B1454" s="1" t="s">
        <v>477</v>
      </c>
      <c r="C1454" s="143" t="n">
        <v>91601</v>
      </c>
      <c r="D1454" s="143" t="s">
        <v>64</v>
      </c>
      <c r="E1454" s="143" t="s">
        <v>474</v>
      </c>
      <c r="F1454" s="144" t="n">
        <v>200025888228</v>
      </c>
      <c r="G1454" s="144" t="s">
        <v>187</v>
      </c>
      <c r="H1454" s="144" t="n">
        <v>77</v>
      </c>
      <c r="I1454" s="144" t="s">
        <v>152</v>
      </c>
      <c r="J1454" s="152" t="n">
        <v>45057.7075</v>
      </c>
      <c r="K1454" s="1" t="n">
        <v>1</v>
      </c>
      <c r="L1454" s="144" t="n">
        <v>77</v>
      </c>
      <c r="M1454" s="1" t="n">
        <v>36</v>
      </c>
      <c r="N1454" s="1" t="n">
        <v>36</v>
      </c>
      <c r="O1454" s="149" t="n">
        <v>4</v>
      </c>
    </row>
    <row r="1455" customFormat="false" ht="14.25" hidden="false" customHeight="false" outlineLevel="0" collapsed="false">
      <c r="A1455" s="1" t="n">
        <v>230</v>
      </c>
      <c r="B1455" s="1" t="s">
        <v>477</v>
      </c>
      <c r="C1455" s="143" t="n">
        <v>91601</v>
      </c>
      <c r="D1455" s="143" t="s">
        <v>64</v>
      </c>
      <c r="E1455" s="143" t="s">
        <v>474</v>
      </c>
      <c r="F1455" s="144" t="n">
        <v>200025888228</v>
      </c>
      <c r="G1455" s="144" t="s">
        <v>187</v>
      </c>
      <c r="H1455" s="144" t="n">
        <v>77</v>
      </c>
      <c r="I1455" s="144" t="s">
        <v>152</v>
      </c>
      <c r="J1455" s="152" t="n">
        <v>45057.7152662037</v>
      </c>
      <c r="K1455" s="1" t="n">
        <v>2</v>
      </c>
      <c r="L1455" s="144" t="n">
        <v>77</v>
      </c>
      <c r="M1455" s="1" t="n">
        <v>36</v>
      </c>
      <c r="N1455" s="1" t="n">
        <v>36</v>
      </c>
      <c r="O1455" s="149" t="n">
        <v>5</v>
      </c>
    </row>
    <row r="1456" customFormat="false" ht="14.25" hidden="false" customHeight="false" outlineLevel="0" collapsed="false">
      <c r="A1456" s="1" t="n">
        <v>232</v>
      </c>
      <c r="B1456" s="1" t="s">
        <v>477</v>
      </c>
      <c r="C1456" s="143" t="n">
        <v>91601</v>
      </c>
      <c r="D1456" s="143" t="s">
        <v>64</v>
      </c>
      <c r="E1456" s="143" t="s">
        <v>474</v>
      </c>
      <c r="F1456" s="144" t="n">
        <v>200025888228</v>
      </c>
      <c r="G1456" s="144" t="s">
        <v>187</v>
      </c>
      <c r="H1456" s="144" t="n">
        <v>77</v>
      </c>
      <c r="I1456" s="144" t="s">
        <v>152</v>
      </c>
      <c r="J1456" s="152" t="n">
        <v>45057.7325115741</v>
      </c>
      <c r="K1456" s="1" t="n">
        <v>2</v>
      </c>
      <c r="L1456" s="144" t="n">
        <v>77</v>
      </c>
      <c r="M1456" s="1" t="n">
        <v>36</v>
      </c>
      <c r="N1456" s="1" t="n">
        <v>36</v>
      </c>
      <c r="O1456" s="149" t="n">
        <v>6</v>
      </c>
    </row>
    <row r="1457" customFormat="false" ht="14.25" hidden="false" customHeight="false" outlineLevel="0" collapsed="false">
      <c r="A1457" s="1" t="n">
        <v>233</v>
      </c>
      <c r="B1457" s="1" t="s">
        <v>477</v>
      </c>
      <c r="C1457" s="143" t="n">
        <v>91601</v>
      </c>
      <c r="D1457" s="143" t="s">
        <v>64</v>
      </c>
      <c r="E1457" s="143" t="s">
        <v>474</v>
      </c>
      <c r="F1457" s="144" t="n">
        <v>200025888228</v>
      </c>
      <c r="G1457" s="144" t="s">
        <v>187</v>
      </c>
      <c r="H1457" s="144" t="n">
        <v>77</v>
      </c>
      <c r="I1457" s="144" t="s">
        <v>152</v>
      </c>
      <c r="J1457" s="152" t="n">
        <v>45057.9001273148</v>
      </c>
      <c r="K1457" s="1" t="n">
        <v>3</v>
      </c>
      <c r="L1457" s="144" t="n">
        <v>77</v>
      </c>
      <c r="M1457" s="1" t="n">
        <v>36</v>
      </c>
      <c r="N1457" s="1" t="n">
        <v>36</v>
      </c>
      <c r="O1457" s="149" t="n">
        <v>7</v>
      </c>
    </row>
    <row r="1458" customFormat="false" ht="14.25" hidden="false" customHeight="false" outlineLevel="0" collapsed="false">
      <c r="A1458" s="1" t="n">
        <v>236</v>
      </c>
      <c r="B1458" s="1" t="s">
        <v>477</v>
      </c>
      <c r="C1458" s="143" t="n">
        <v>91601</v>
      </c>
      <c r="D1458" s="143" t="s">
        <v>64</v>
      </c>
      <c r="E1458" s="143" t="s">
        <v>474</v>
      </c>
      <c r="F1458" s="144" t="n">
        <v>200025888228</v>
      </c>
      <c r="G1458" s="144" t="s">
        <v>187</v>
      </c>
      <c r="H1458" s="144" t="n">
        <v>77</v>
      </c>
      <c r="I1458" s="144" t="s">
        <v>152</v>
      </c>
      <c r="J1458" s="152" t="n">
        <v>45058.0324884259</v>
      </c>
      <c r="K1458" s="1" t="n">
        <v>1</v>
      </c>
      <c r="L1458" s="144" t="n">
        <v>77</v>
      </c>
      <c r="M1458" s="1" t="n">
        <v>36</v>
      </c>
      <c r="N1458" s="1" t="n">
        <v>36</v>
      </c>
      <c r="O1458" s="149" t="n">
        <v>8</v>
      </c>
    </row>
    <row r="1459" customFormat="false" ht="14.25" hidden="false" customHeight="false" outlineLevel="0" collapsed="false">
      <c r="A1459" s="1" t="n">
        <v>237</v>
      </c>
      <c r="B1459" s="1" t="s">
        <v>477</v>
      </c>
      <c r="C1459" s="143" t="n">
        <v>91601</v>
      </c>
      <c r="D1459" s="143" t="s">
        <v>64</v>
      </c>
      <c r="E1459" s="143" t="s">
        <v>474</v>
      </c>
      <c r="F1459" s="144" t="n">
        <v>200025888228</v>
      </c>
      <c r="G1459" s="144" t="s">
        <v>187</v>
      </c>
      <c r="H1459" s="144" t="n">
        <v>77</v>
      </c>
      <c r="I1459" s="144" t="s">
        <v>152</v>
      </c>
      <c r="J1459" s="152" t="n">
        <v>45058.0325231482</v>
      </c>
      <c r="K1459" s="1" t="n">
        <v>1</v>
      </c>
      <c r="L1459" s="144" t="n">
        <v>77</v>
      </c>
      <c r="M1459" s="1" t="n">
        <v>36</v>
      </c>
      <c r="N1459" s="1" t="n">
        <v>36</v>
      </c>
      <c r="O1459" s="149" t="n">
        <v>9</v>
      </c>
    </row>
    <row r="1460" customFormat="false" ht="14.25" hidden="false" customHeight="false" outlineLevel="0" collapsed="false">
      <c r="A1460" s="1" t="n">
        <v>238</v>
      </c>
      <c r="B1460" s="1" t="s">
        <v>477</v>
      </c>
      <c r="C1460" s="143" t="n">
        <v>91601</v>
      </c>
      <c r="D1460" s="143" t="s">
        <v>64</v>
      </c>
      <c r="E1460" s="143" t="s">
        <v>474</v>
      </c>
      <c r="F1460" s="144" t="n">
        <v>200025888228</v>
      </c>
      <c r="G1460" s="144" t="s">
        <v>187</v>
      </c>
      <c r="H1460" s="144" t="n">
        <v>77</v>
      </c>
      <c r="I1460" s="144" t="s">
        <v>152</v>
      </c>
      <c r="J1460" s="152" t="n">
        <v>45058.0326736111</v>
      </c>
      <c r="K1460" s="1" t="n">
        <v>1</v>
      </c>
      <c r="L1460" s="144" t="n">
        <v>77</v>
      </c>
      <c r="M1460" s="1" t="n">
        <v>36</v>
      </c>
      <c r="N1460" s="1" t="n">
        <v>36</v>
      </c>
      <c r="O1460" s="149" t="n">
        <v>10</v>
      </c>
    </row>
    <row r="1461" customFormat="false" ht="14.25" hidden="false" customHeight="false" outlineLevel="0" collapsed="false">
      <c r="A1461" s="1" t="n">
        <v>333</v>
      </c>
      <c r="B1461" s="1" t="s">
        <v>475</v>
      </c>
      <c r="C1461" s="143" t="s">
        <v>52</v>
      </c>
      <c r="D1461" s="143" t="s">
        <v>53</v>
      </c>
      <c r="E1461" s="143" t="s">
        <v>474</v>
      </c>
      <c r="F1461" s="144" t="n">
        <v>200025888228</v>
      </c>
      <c r="G1461" s="144" t="s">
        <v>187</v>
      </c>
      <c r="H1461" s="144" t="n">
        <v>77</v>
      </c>
      <c r="I1461" s="144" t="s">
        <v>152</v>
      </c>
      <c r="J1461" s="151" t="n">
        <v>45058.7282291667</v>
      </c>
      <c r="K1461" s="1" t="n">
        <v>2</v>
      </c>
      <c r="L1461" s="144" t="n">
        <v>77</v>
      </c>
      <c r="M1461" s="1" t="n">
        <v>36</v>
      </c>
      <c r="N1461" s="1" t="n">
        <v>36</v>
      </c>
      <c r="O1461" s="149" t="n">
        <v>11</v>
      </c>
    </row>
    <row r="1462" customFormat="false" ht="14.25" hidden="false" customHeight="false" outlineLevel="0" collapsed="false">
      <c r="A1462" s="1" t="n">
        <v>334</v>
      </c>
      <c r="B1462" s="1" t="s">
        <v>475</v>
      </c>
      <c r="C1462" s="143" t="s">
        <v>52</v>
      </c>
      <c r="D1462" s="143" t="s">
        <v>53</v>
      </c>
      <c r="E1462" s="143" t="s">
        <v>474</v>
      </c>
      <c r="F1462" s="144" t="n">
        <v>200025888228</v>
      </c>
      <c r="G1462" s="144" t="s">
        <v>187</v>
      </c>
      <c r="H1462" s="144" t="n">
        <v>77</v>
      </c>
      <c r="I1462" s="144" t="s">
        <v>152</v>
      </c>
      <c r="J1462" s="151" t="n">
        <v>45058.7284490741</v>
      </c>
      <c r="K1462" s="1" t="n">
        <v>1</v>
      </c>
      <c r="L1462" s="144" t="n">
        <v>77</v>
      </c>
      <c r="M1462" s="1" t="n">
        <v>36</v>
      </c>
      <c r="N1462" s="1" t="n">
        <v>36</v>
      </c>
      <c r="O1462" s="149" t="n">
        <v>12</v>
      </c>
    </row>
    <row r="1463" customFormat="false" ht="14.25" hidden="false" customHeight="false" outlineLevel="0" collapsed="false">
      <c r="A1463" s="1" t="n">
        <v>44</v>
      </c>
      <c r="B1463" s="1" t="s">
        <v>476</v>
      </c>
      <c r="C1463" s="143" t="n">
        <v>91601</v>
      </c>
      <c r="D1463" s="143" t="s">
        <v>65</v>
      </c>
      <c r="E1463" s="143" t="s">
        <v>474</v>
      </c>
      <c r="F1463" s="144" t="n">
        <v>200025888228</v>
      </c>
      <c r="G1463" s="144" t="s">
        <v>187</v>
      </c>
      <c r="H1463" s="144" t="n">
        <v>77</v>
      </c>
      <c r="I1463" s="144" t="s">
        <v>152</v>
      </c>
      <c r="J1463" s="151" t="n">
        <v>45070.5413078704</v>
      </c>
      <c r="K1463" s="1" t="n">
        <v>1</v>
      </c>
      <c r="L1463" s="144" t="n">
        <v>77</v>
      </c>
      <c r="M1463" s="1" t="n">
        <v>36</v>
      </c>
      <c r="N1463" s="1" t="n">
        <v>36</v>
      </c>
      <c r="O1463" s="149" t="n">
        <v>13</v>
      </c>
    </row>
    <row r="1464" customFormat="false" ht="14.25" hidden="false" customHeight="false" outlineLevel="0" collapsed="false">
      <c r="A1464" s="1" t="n">
        <v>167</v>
      </c>
      <c r="B1464" s="1" t="s">
        <v>477</v>
      </c>
      <c r="C1464" s="143" t="s">
        <v>52</v>
      </c>
      <c r="D1464" s="143" t="s">
        <v>53</v>
      </c>
      <c r="E1464" s="143" t="s">
        <v>474</v>
      </c>
      <c r="F1464" s="144" t="n">
        <v>200025888228</v>
      </c>
      <c r="G1464" s="144" t="s">
        <v>187</v>
      </c>
      <c r="H1464" s="144" t="n">
        <v>77</v>
      </c>
      <c r="I1464" s="144" t="s">
        <v>152</v>
      </c>
      <c r="J1464" s="152" t="n">
        <v>45074.4695833333</v>
      </c>
      <c r="K1464" s="1" t="n">
        <v>1</v>
      </c>
      <c r="L1464" s="144" t="n">
        <v>77</v>
      </c>
      <c r="M1464" s="1" t="n">
        <v>36</v>
      </c>
      <c r="N1464" s="1" t="n">
        <v>36</v>
      </c>
      <c r="O1464" s="149" t="n">
        <v>14</v>
      </c>
    </row>
    <row r="1465" customFormat="false" ht="14.25" hidden="false" customHeight="false" outlineLevel="0" collapsed="false">
      <c r="A1465" s="1" t="n">
        <v>170</v>
      </c>
      <c r="B1465" s="1" t="s">
        <v>476</v>
      </c>
      <c r="C1465" s="143" t="n">
        <v>91601</v>
      </c>
      <c r="D1465" s="143" t="s">
        <v>65</v>
      </c>
      <c r="E1465" s="143" t="s">
        <v>474</v>
      </c>
      <c r="F1465" s="144" t="s">
        <v>500</v>
      </c>
      <c r="G1465" s="144" t="s">
        <v>187</v>
      </c>
      <c r="H1465" s="144" t="n">
        <v>77</v>
      </c>
      <c r="I1465" s="144" t="s">
        <v>152</v>
      </c>
      <c r="J1465" s="151" t="n">
        <v>45074.7482986111</v>
      </c>
      <c r="K1465" s="1" t="n">
        <v>1</v>
      </c>
      <c r="L1465" s="144" t="n">
        <v>77</v>
      </c>
      <c r="M1465" s="1" t="n">
        <v>36</v>
      </c>
      <c r="N1465" s="1" t="n">
        <v>36</v>
      </c>
      <c r="O1465" s="149" t="n">
        <v>15</v>
      </c>
    </row>
    <row r="1466" customFormat="false" ht="14.25" hidden="false" customHeight="false" outlineLevel="0" collapsed="false">
      <c r="A1466" s="1" t="n">
        <v>283</v>
      </c>
      <c r="B1466" s="1" t="s">
        <v>477</v>
      </c>
      <c r="C1466" s="143" t="n">
        <v>11171</v>
      </c>
      <c r="D1466" s="143" t="s">
        <v>74</v>
      </c>
      <c r="E1466" s="143" t="s">
        <v>474</v>
      </c>
      <c r="F1466" s="144" t="n">
        <v>200025888228</v>
      </c>
      <c r="G1466" s="144" t="s">
        <v>187</v>
      </c>
      <c r="H1466" s="144" t="n">
        <v>77</v>
      </c>
      <c r="I1466" s="144" t="s">
        <v>152</v>
      </c>
      <c r="J1466" s="152" t="n">
        <v>45089.3280324074</v>
      </c>
      <c r="K1466" s="1" t="n">
        <v>2</v>
      </c>
      <c r="L1466" s="144" t="n">
        <v>77</v>
      </c>
      <c r="M1466" s="1" t="n">
        <v>36</v>
      </c>
      <c r="N1466" s="1" t="n">
        <v>36</v>
      </c>
      <c r="O1466" s="149" t="n">
        <v>16</v>
      </c>
    </row>
    <row r="1467" customFormat="false" ht="14.25" hidden="false" customHeight="false" outlineLevel="0" collapsed="false">
      <c r="A1467" s="1" t="n">
        <v>249</v>
      </c>
      <c r="B1467" s="1" t="s">
        <v>475</v>
      </c>
      <c r="C1467" s="143" t="s">
        <v>52</v>
      </c>
      <c r="D1467" s="143" t="s">
        <v>53</v>
      </c>
      <c r="E1467" s="143" t="s">
        <v>474</v>
      </c>
      <c r="F1467" s="144" t="n">
        <v>200025888497</v>
      </c>
      <c r="G1467" s="144" t="s">
        <v>267</v>
      </c>
      <c r="H1467" s="144" t="n">
        <v>36</v>
      </c>
      <c r="I1467" s="144" t="s">
        <v>152</v>
      </c>
      <c r="J1467" s="151" t="n">
        <v>45057.7840625</v>
      </c>
      <c r="K1467" s="1" t="n">
        <v>3</v>
      </c>
      <c r="L1467" s="144" t="n">
        <v>36</v>
      </c>
      <c r="M1467" s="1" t="n">
        <v>37</v>
      </c>
      <c r="N1467" s="1" t="n">
        <v>37</v>
      </c>
      <c r="O1467" s="149" t="n">
        <v>1</v>
      </c>
    </row>
    <row r="1468" customFormat="false" ht="14.25" hidden="false" customHeight="false" outlineLevel="0" collapsed="false">
      <c r="A1468" s="1" t="n">
        <v>250</v>
      </c>
      <c r="B1468" s="1" t="s">
        <v>475</v>
      </c>
      <c r="C1468" s="143" t="s">
        <v>52</v>
      </c>
      <c r="D1468" s="143" t="s">
        <v>53</v>
      </c>
      <c r="E1468" s="143" t="s">
        <v>474</v>
      </c>
      <c r="F1468" s="144" t="n">
        <v>200025888497</v>
      </c>
      <c r="G1468" s="144" t="s">
        <v>267</v>
      </c>
      <c r="H1468" s="144" t="n">
        <v>36</v>
      </c>
      <c r="I1468" s="144" t="s">
        <v>152</v>
      </c>
      <c r="J1468" s="151" t="n">
        <v>45057.7845023148</v>
      </c>
      <c r="K1468" s="1" t="n">
        <v>1</v>
      </c>
      <c r="L1468" s="144" t="n">
        <v>36</v>
      </c>
      <c r="M1468" s="1" t="n">
        <v>37</v>
      </c>
      <c r="N1468" s="1" t="n">
        <v>37</v>
      </c>
      <c r="O1468" s="149" t="n">
        <v>2</v>
      </c>
    </row>
    <row r="1469" customFormat="false" ht="14.25" hidden="false" customHeight="false" outlineLevel="0" collapsed="false">
      <c r="A1469" s="1" t="n">
        <v>444</v>
      </c>
      <c r="B1469" s="1" t="s">
        <v>473</v>
      </c>
      <c r="C1469" s="143" t="n">
        <v>11490</v>
      </c>
      <c r="D1469" s="143" t="s">
        <v>65</v>
      </c>
      <c r="E1469" s="143" t="s">
        <v>474</v>
      </c>
      <c r="F1469" s="144" t="n">
        <v>200025888497</v>
      </c>
      <c r="G1469" s="144" t="s">
        <v>267</v>
      </c>
      <c r="H1469" s="144" t="n">
        <v>36</v>
      </c>
      <c r="I1469" s="144" t="s">
        <v>152</v>
      </c>
      <c r="J1469" s="151" t="n">
        <v>45057.8691435185</v>
      </c>
      <c r="K1469" s="1" t="n">
        <v>2</v>
      </c>
      <c r="L1469" s="144" t="n">
        <v>36</v>
      </c>
      <c r="M1469" s="1" t="n">
        <v>37</v>
      </c>
      <c r="N1469" s="1" t="n">
        <v>37</v>
      </c>
      <c r="O1469" s="149" t="n">
        <v>3</v>
      </c>
    </row>
    <row r="1470" customFormat="false" ht="14.25" hidden="false" customHeight="false" outlineLevel="0" collapsed="false">
      <c r="A1470" s="1" t="n">
        <v>41</v>
      </c>
      <c r="B1470" s="1" t="s">
        <v>476</v>
      </c>
      <c r="C1470" s="143" t="n">
        <v>91601</v>
      </c>
      <c r="D1470" s="143" t="s">
        <v>65</v>
      </c>
      <c r="E1470" s="143" t="s">
        <v>474</v>
      </c>
      <c r="F1470" s="144" t="n">
        <v>200025888497</v>
      </c>
      <c r="G1470" s="144" t="s">
        <v>267</v>
      </c>
      <c r="H1470" s="144" t="n">
        <v>36</v>
      </c>
      <c r="I1470" s="144" t="s">
        <v>152</v>
      </c>
      <c r="J1470" s="151" t="n">
        <v>45070.4903356481</v>
      </c>
      <c r="K1470" s="1" t="n">
        <v>1</v>
      </c>
      <c r="L1470" s="144" t="n">
        <v>36</v>
      </c>
      <c r="M1470" s="1" t="n">
        <v>37</v>
      </c>
      <c r="N1470" s="1" t="n">
        <v>37</v>
      </c>
      <c r="O1470" s="149" t="n">
        <v>4</v>
      </c>
    </row>
    <row r="1471" customFormat="false" ht="14.25" hidden="false" customHeight="false" outlineLevel="0" collapsed="false">
      <c r="A1471" s="1" t="n">
        <v>25</v>
      </c>
      <c r="B1471" s="1" t="s">
        <v>490</v>
      </c>
      <c r="C1471" s="143" t="n">
        <v>11171</v>
      </c>
      <c r="D1471" s="143" t="s">
        <v>74</v>
      </c>
      <c r="E1471" s="143" t="s">
        <v>474</v>
      </c>
      <c r="F1471" s="144" t="n">
        <v>200025888497</v>
      </c>
      <c r="G1471" s="144" t="s">
        <v>267</v>
      </c>
      <c r="H1471" s="144" t="n">
        <v>36</v>
      </c>
      <c r="I1471" s="144" t="s">
        <v>152</v>
      </c>
      <c r="J1471" s="151" t="n">
        <v>45070.5410300926</v>
      </c>
      <c r="K1471" s="1" t="n">
        <v>1</v>
      </c>
      <c r="L1471" s="144" t="n">
        <v>36</v>
      </c>
      <c r="M1471" s="1" t="n">
        <v>37</v>
      </c>
      <c r="N1471" s="1" t="n">
        <v>37</v>
      </c>
      <c r="O1471" s="149" t="n">
        <v>5</v>
      </c>
    </row>
    <row r="1472" customFormat="false" ht="14.25" hidden="false" customHeight="false" outlineLevel="0" collapsed="false">
      <c r="A1472" s="1" t="n">
        <v>28</v>
      </c>
      <c r="B1472" s="1" t="s">
        <v>490</v>
      </c>
      <c r="C1472" s="143" t="n">
        <v>11171</v>
      </c>
      <c r="D1472" s="143" t="s">
        <v>74</v>
      </c>
      <c r="E1472" s="143" t="s">
        <v>474</v>
      </c>
      <c r="F1472" s="144" t="n">
        <v>200025888497</v>
      </c>
      <c r="G1472" s="144" t="s">
        <v>267</v>
      </c>
      <c r="H1472" s="144" t="n">
        <v>36</v>
      </c>
      <c r="I1472" s="144" t="s">
        <v>152</v>
      </c>
      <c r="J1472" s="151" t="n">
        <v>45070.6546412037</v>
      </c>
      <c r="K1472" s="1" t="n">
        <v>2</v>
      </c>
      <c r="L1472" s="144" t="n">
        <v>36</v>
      </c>
      <c r="M1472" s="1" t="n">
        <v>37</v>
      </c>
      <c r="N1472" s="1" t="n">
        <v>37</v>
      </c>
      <c r="O1472" s="149" t="n">
        <v>6</v>
      </c>
    </row>
    <row r="1473" customFormat="false" ht="14.25" hidden="false" customHeight="false" outlineLevel="0" collapsed="false">
      <c r="A1473" s="1" t="n">
        <v>29</v>
      </c>
      <c r="B1473" s="1" t="s">
        <v>490</v>
      </c>
      <c r="C1473" s="143" t="n">
        <v>11171</v>
      </c>
      <c r="D1473" s="143" t="s">
        <v>74</v>
      </c>
      <c r="E1473" s="143" t="s">
        <v>474</v>
      </c>
      <c r="F1473" s="144" t="n">
        <v>200025888497</v>
      </c>
      <c r="G1473" s="144" t="s">
        <v>267</v>
      </c>
      <c r="H1473" s="144" t="n">
        <v>36</v>
      </c>
      <c r="I1473" s="144" t="s">
        <v>152</v>
      </c>
      <c r="J1473" s="151" t="n">
        <v>45070.6553009259</v>
      </c>
      <c r="K1473" s="1" t="n">
        <v>3</v>
      </c>
      <c r="L1473" s="144" t="n">
        <v>36</v>
      </c>
      <c r="M1473" s="1" t="n">
        <v>37</v>
      </c>
      <c r="N1473" s="1" t="n">
        <v>37</v>
      </c>
      <c r="O1473" s="149" t="n">
        <v>7</v>
      </c>
    </row>
    <row r="1474" customFormat="false" ht="14.25" hidden="false" customHeight="false" outlineLevel="0" collapsed="false">
      <c r="A1474" s="1" t="n">
        <v>30</v>
      </c>
      <c r="B1474" s="1" t="s">
        <v>490</v>
      </c>
      <c r="C1474" s="143" t="n">
        <v>11171</v>
      </c>
      <c r="D1474" s="143" t="s">
        <v>74</v>
      </c>
      <c r="E1474" s="143" t="s">
        <v>474</v>
      </c>
      <c r="F1474" s="144" t="n">
        <v>200025888497</v>
      </c>
      <c r="G1474" s="144" t="s">
        <v>267</v>
      </c>
      <c r="H1474" s="144" t="n">
        <v>36</v>
      </c>
      <c r="I1474" s="144" t="s">
        <v>152</v>
      </c>
      <c r="J1474" s="151" t="n">
        <v>45070.6553240741</v>
      </c>
      <c r="K1474" s="1" t="n">
        <v>1</v>
      </c>
      <c r="L1474" s="144" t="n">
        <v>36</v>
      </c>
      <c r="M1474" s="1" t="n">
        <v>37</v>
      </c>
      <c r="N1474" s="1" t="n">
        <v>37</v>
      </c>
      <c r="O1474" s="149" t="n">
        <v>8</v>
      </c>
    </row>
    <row r="1475" customFormat="false" ht="14.25" hidden="false" customHeight="false" outlineLevel="0" collapsed="false">
      <c r="A1475" s="1" t="n">
        <v>31</v>
      </c>
      <c r="B1475" s="1" t="s">
        <v>490</v>
      </c>
      <c r="C1475" s="143" t="n">
        <v>11171</v>
      </c>
      <c r="D1475" s="143" t="s">
        <v>74</v>
      </c>
      <c r="E1475" s="143" t="s">
        <v>474</v>
      </c>
      <c r="F1475" s="144" t="n">
        <v>200025888497</v>
      </c>
      <c r="G1475" s="144" t="s">
        <v>267</v>
      </c>
      <c r="H1475" s="144" t="n">
        <v>36</v>
      </c>
      <c r="I1475" s="144" t="s">
        <v>152</v>
      </c>
      <c r="J1475" s="151" t="n">
        <v>45070.6580787037</v>
      </c>
      <c r="K1475" s="1" t="n">
        <v>2</v>
      </c>
      <c r="L1475" s="144" t="n">
        <v>36</v>
      </c>
      <c r="M1475" s="1" t="n">
        <v>37</v>
      </c>
      <c r="N1475" s="1" t="n">
        <v>37</v>
      </c>
      <c r="O1475" s="149" t="n">
        <v>9</v>
      </c>
    </row>
    <row r="1476" customFormat="false" ht="14.25" hidden="false" customHeight="false" outlineLevel="0" collapsed="false">
      <c r="A1476" s="1" t="n">
        <v>50</v>
      </c>
      <c r="B1476" s="1" t="s">
        <v>476</v>
      </c>
      <c r="C1476" s="143" t="n">
        <v>91601</v>
      </c>
      <c r="D1476" s="143" t="s">
        <v>65</v>
      </c>
      <c r="E1476" s="143" t="s">
        <v>474</v>
      </c>
      <c r="F1476" s="144" t="n">
        <v>200025888497</v>
      </c>
      <c r="G1476" s="144" t="s">
        <v>267</v>
      </c>
      <c r="H1476" s="144" t="n">
        <v>36</v>
      </c>
      <c r="I1476" s="144" t="s">
        <v>152</v>
      </c>
      <c r="J1476" s="151" t="n">
        <v>45070.6671296296</v>
      </c>
      <c r="K1476" s="1" t="n">
        <v>0</v>
      </c>
      <c r="L1476" s="144" t="n">
        <v>36</v>
      </c>
      <c r="M1476" s="1" t="n">
        <v>37</v>
      </c>
      <c r="N1476" s="1" t="n">
        <v>37</v>
      </c>
      <c r="O1476" s="149" t="n">
        <v>10</v>
      </c>
    </row>
    <row r="1477" customFormat="false" ht="14.25" hidden="false" customHeight="false" outlineLevel="0" collapsed="false">
      <c r="A1477" s="1" t="n">
        <v>55</v>
      </c>
      <c r="B1477" s="1" t="s">
        <v>476</v>
      </c>
      <c r="C1477" s="143" t="n">
        <v>91601</v>
      </c>
      <c r="D1477" s="143" t="s">
        <v>65</v>
      </c>
      <c r="E1477" s="143" t="s">
        <v>474</v>
      </c>
      <c r="F1477" s="144" t="n">
        <v>200025888497</v>
      </c>
      <c r="G1477" s="144" t="s">
        <v>267</v>
      </c>
      <c r="H1477" s="144" t="n">
        <v>36</v>
      </c>
      <c r="I1477" s="144" t="s">
        <v>152</v>
      </c>
      <c r="J1477" s="151" t="n">
        <v>45070.7440625</v>
      </c>
      <c r="K1477" s="1" t="n">
        <v>1</v>
      </c>
      <c r="L1477" s="144" t="n">
        <v>36</v>
      </c>
      <c r="M1477" s="1" t="n">
        <v>37</v>
      </c>
      <c r="N1477" s="1" t="n">
        <v>37</v>
      </c>
      <c r="O1477" s="149" t="n">
        <v>11</v>
      </c>
    </row>
    <row r="1478" customFormat="false" ht="14.25" hidden="false" customHeight="false" outlineLevel="0" collapsed="false">
      <c r="A1478" s="1" t="n">
        <v>5</v>
      </c>
      <c r="B1478" s="1" t="s">
        <v>477</v>
      </c>
      <c r="C1478" s="143" t="s">
        <v>52</v>
      </c>
      <c r="D1478" s="143" t="s">
        <v>53</v>
      </c>
      <c r="E1478" s="143" t="s">
        <v>474</v>
      </c>
      <c r="F1478" s="144" t="n">
        <v>200025888497</v>
      </c>
      <c r="G1478" s="144" t="s">
        <v>267</v>
      </c>
      <c r="H1478" s="144" t="n">
        <v>36</v>
      </c>
      <c r="I1478" s="144" t="s">
        <v>152</v>
      </c>
      <c r="J1478" s="152" t="n">
        <v>45071.4920833333</v>
      </c>
      <c r="K1478" s="1" t="n">
        <v>1</v>
      </c>
      <c r="L1478" s="144" t="n">
        <v>36</v>
      </c>
      <c r="M1478" s="1" t="n">
        <v>37</v>
      </c>
      <c r="N1478" s="1" t="n">
        <v>37</v>
      </c>
      <c r="O1478" s="149" t="n">
        <v>12</v>
      </c>
    </row>
    <row r="1479" customFormat="false" ht="14.25" hidden="false" customHeight="false" outlineLevel="0" collapsed="false">
      <c r="A1479" s="1" t="n">
        <v>6</v>
      </c>
      <c r="B1479" s="1" t="s">
        <v>477</v>
      </c>
      <c r="C1479" s="143" t="s">
        <v>52</v>
      </c>
      <c r="D1479" s="143" t="s">
        <v>53</v>
      </c>
      <c r="E1479" s="143" t="s">
        <v>474</v>
      </c>
      <c r="F1479" s="144" t="n">
        <v>200025888497</v>
      </c>
      <c r="G1479" s="144" t="s">
        <v>267</v>
      </c>
      <c r="H1479" s="144" t="n">
        <v>36</v>
      </c>
      <c r="I1479" s="144" t="s">
        <v>152</v>
      </c>
      <c r="J1479" s="152" t="n">
        <v>45071.4921180556</v>
      </c>
      <c r="K1479" s="1" t="n">
        <v>2</v>
      </c>
      <c r="L1479" s="144" t="n">
        <v>36</v>
      </c>
      <c r="M1479" s="1" t="n">
        <v>37</v>
      </c>
      <c r="N1479" s="1" t="n">
        <v>37</v>
      </c>
      <c r="O1479" s="149" t="n">
        <v>13</v>
      </c>
    </row>
    <row r="1480" customFormat="false" ht="14.25" hidden="false" customHeight="false" outlineLevel="0" collapsed="false">
      <c r="A1480" s="1" t="n">
        <v>64</v>
      </c>
      <c r="B1480" s="1" t="s">
        <v>476</v>
      </c>
      <c r="C1480" s="143" t="n">
        <v>91601</v>
      </c>
      <c r="D1480" s="143" t="s">
        <v>65</v>
      </c>
      <c r="E1480" s="143" t="s">
        <v>474</v>
      </c>
      <c r="F1480" s="144" t="n">
        <v>200025888497</v>
      </c>
      <c r="G1480" s="144" t="s">
        <v>267</v>
      </c>
      <c r="H1480" s="144" t="n">
        <v>36</v>
      </c>
      <c r="I1480" s="144" t="s">
        <v>152</v>
      </c>
      <c r="J1480" s="151" t="n">
        <v>45071.4942013889</v>
      </c>
      <c r="K1480" s="1" t="n">
        <v>1</v>
      </c>
      <c r="L1480" s="144" t="n">
        <v>36</v>
      </c>
      <c r="M1480" s="1" t="n">
        <v>37</v>
      </c>
      <c r="N1480" s="1" t="n">
        <v>37</v>
      </c>
      <c r="O1480" s="149" t="n">
        <v>14</v>
      </c>
    </row>
    <row r="1481" customFormat="false" ht="14.25" hidden="false" customHeight="false" outlineLevel="0" collapsed="false">
      <c r="A1481" s="1" t="n">
        <v>7</v>
      </c>
      <c r="B1481" s="1" t="s">
        <v>477</v>
      </c>
      <c r="C1481" s="143" t="s">
        <v>52</v>
      </c>
      <c r="D1481" s="143" t="s">
        <v>53</v>
      </c>
      <c r="E1481" s="143" t="s">
        <v>474</v>
      </c>
      <c r="F1481" s="144" t="n">
        <v>200025888497</v>
      </c>
      <c r="G1481" s="144" t="s">
        <v>267</v>
      </c>
      <c r="H1481" s="144" t="n">
        <v>36</v>
      </c>
      <c r="I1481" s="144" t="s">
        <v>152</v>
      </c>
      <c r="J1481" s="152" t="n">
        <v>45071.4966087963</v>
      </c>
      <c r="K1481" s="1" t="n">
        <v>0</v>
      </c>
      <c r="L1481" s="144" t="n">
        <v>36</v>
      </c>
      <c r="M1481" s="1" t="n">
        <v>37</v>
      </c>
      <c r="N1481" s="1" t="n">
        <v>37</v>
      </c>
      <c r="O1481" s="149" t="n">
        <v>15</v>
      </c>
    </row>
    <row r="1482" customFormat="false" ht="14.25" hidden="false" customHeight="false" outlineLevel="0" collapsed="false">
      <c r="A1482" s="1" t="n">
        <v>66</v>
      </c>
      <c r="B1482" s="1" t="s">
        <v>476</v>
      </c>
      <c r="C1482" s="143" t="n">
        <v>91601</v>
      </c>
      <c r="D1482" s="143" t="s">
        <v>65</v>
      </c>
      <c r="E1482" s="143" t="s">
        <v>474</v>
      </c>
      <c r="F1482" s="144" t="n">
        <v>200025888497</v>
      </c>
      <c r="G1482" s="144" t="s">
        <v>267</v>
      </c>
      <c r="H1482" s="144" t="n">
        <v>36</v>
      </c>
      <c r="I1482" s="144" t="s">
        <v>152</v>
      </c>
      <c r="J1482" s="151" t="n">
        <v>45071.5035300926</v>
      </c>
      <c r="K1482" s="1" t="n">
        <v>1</v>
      </c>
      <c r="L1482" s="144" t="n">
        <v>36</v>
      </c>
      <c r="M1482" s="1" t="n">
        <v>37</v>
      </c>
      <c r="N1482" s="1" t="n">
        <v>37</v>
      </c>
      <c r="O1482" s="149" t="n">
        <v>16</v>
      </c>
    </row>
    <row r="1483" customFormat="false" ht="14.25" hidden="false" customHeight="false" outlineLevel="0" collapsed="false">
      <c r="A1483" s="1" t="n">
        <v>39</v>
      </c>
      <c r="B1483" s="1" t="s">
        <v>490</v>
      </c>
      <c r="C1483" s="143" t="n">
        <v>11171</v>
      </c>
      <c r="D1483" s="143" t="s">
        <v>74</v>
      </c>
      <c r="E1483" s="143" t="s">
        <v>474</v>
      </c>
      <c r="F1483" s="144" t="n">
        <v>200025888497</v>
      </c>
      <c r="G1483" s="144" t="s">
        <v>267</v>
      </c>
      <c r="H1483" s="144" t="n">
        <v>36</v>
      </c>
      <c r="I1483" s="144" t="s">
        <v>152</v>
      </c>
      <c r="J1483" s="151" t="n">
        <v>45071.5081018519</v>
      </c>
      <c r="K1483" s="1" t="n">
        <v>3</v>
      </c>
      <c r="L1483" s="144" t="n">
        <v>36</v>
      </c>
      <c r="M1483" s="1" t="n">
        <v>37</v>
      </c>
      <c r="N1483" s="1" t="n">
        <v>37</v>
      </c>
      <c r="O1483" s="149" t="n">
        <v>17</v>
      </c>
    </row>
    <row r="1484" customFormat="false" ht="14.25" hidden="false" customHeight="false" outlineLevel="0" collapsed="false">
      <c r="A1484" s="1" t="n">
        <v>81</v>
      </c>
      <c r="B1484" s="1" t="s">
        <v>476</v>
      </c>
      <c r="C1484" s="143" t="n">
        <v>91601</v>
      </c>
      <c r="D1484" s="143" t="s">
        <v>65</v>
      </c>
      <c r="E1484" s="143" t="s">
        <v>474</v>
      </c>
      <c r="F1484" s="144" t="n">
        <v>200025888497</v>
      </c>
      <c r="G1484" s="144" t="s">
        <v>267</v>
      </c>
      <c r="H1484" s="144" t="n">
        <v>36</v>
      </c>
      <c r="I1484" s="144" t="s">
        <v>152</v>
      </c>
      <c r="J1484" s="151" t="n">
        <v>45072.552962963</v>
      </c>
      <c r="K1484" s="1" t="n">
        <v>3</v>
      </c>
      <c r="L1484" s="144" t="n">
        <v>36</v>
      </c>
      <c r="M1484" s="1" t="n">
        <v>37</v>
      </c>
      <c r="N1484" s="1" t="n">
        <v>37</v>
      </c>
      <c r="O1484" s="149" t="n">
        <v>18</v>
      </c>
    </row>
    <row r="1485" customFormat="false" ht="14.25" hidden="false" customHeight="false" outlineLevel="0" collapsed="false">
      <c r="A1485" s="1" t="n">
        <v>82</v>
      </c>
      <c r="B1485" s="1" t="s">
        <v>476</v>
      </c>
      <c r="C1485" s="143" t="n">
        <v>91601</v>
      </c>
      <c r="D1485" s="143" t="s">
        <v>65</v>
      </c>
      <c r="E1485" s="143" t="s">
        <v>474</v>
      </c>
      <c r="F1485" s="144" t="n">
        <v>200025888497</v>
      </c>
      <c r="G1485" s="144" t="s">
        <v>267</v>
      </c>
      <c r="H1485" s="144" t="n">
        <v>36</v>
      </c>
      <c r="I1485" s="144" t="s">
        <v>152</v>
      </c>
      <c r="J1485" s="151" t="n">
        <v>45072.553287037</v>
      </c>
      <c r="K1485" s="1" t="n">
        <v>1</v>
      </c>
      <c r="L1485" s="144" t="n">
        <v>36</v>
      </c>
      <c r="M1485" s="1" t="n">
        <v>37</v>
      </c>
      <c r="N1485" s="1" t="n">
        <v>37</v>
      </c>
      <c r="O1485" s="149" t="n">
        <v>19</v>
      </c>
    </row>
    <row r="1486" customFormat="false" ht="14.25" hidden="false" customHeight="false" outlineLevel="0" collapsed="false">
      <c r="A1486" s="1" t="n">
        <v>83</v>
      </c>
      <c r="B1486" s="1" t="s">
        <v>476</v>
      </c>
      <c r="C1486" s="143" t="n">
        <v>91601</v>
      </c>
      <c r="D1486" s="143" t="s">
        <v>65</v>
      </c>
      <c r="E1486" s="143" t="s">
        <v>474</v>
      </c>
      <c r="F1486" s="144" t="n">
        <v>200025888497</v>
      </c>
      <c r="G1486" s="144" t="s">
        <v>267</v>
      </c>
      <c r="H1486" s="144" t="n">
        <v>36</v>
      </c>
      <c r="I1486" s="144" t="s">
        <v>152</v>
      </c>
      <c r="J1486" s="151" t="n">
        <v>45072.5619675926</v>
      </c>
      <c r="K1486" s="1" t="n">
        <v>0</v>
      </c>
      <c r="L1486" s="144" t="n">
        <v>36</v>
      </c>
      <c r="M1486" s="1" t="n">
        <v>37</v>
      </c>
      <c r="N1486" s="1" t="n">
        <v>37</v>
      </c>
      <c r="O1486" s="149" t="n">
        <v>20</v>
      </c>
    </row>
    <row r="1487" customFormat="false" ht="14.25" hidden="false" customHeight="false" outlineLevel="0" collapsed="false">
      <c r="A1487" s="1" t="n">
        <v>84</v>
      </c>
      <c r="B1487" s="1" t="s">
        <v>476</v>
      </c>
      <c r="C1487" s="143" t="n">
        <v>91601</v>
      </c>
      <c r="D1487" s="143" t="s">
        <v>65</v>
      </c>
      <c r="E1487" s="143" t="s">
        <v>474</v>
      </c>
      <c r="F1487" s="144" t="n">
        <v>200025888497</v>
      </c>
      <c r="G1487" s="144" t="s">
        <v>267</v>
      </c>
      <c r="H1487" s="144" t="n">
        <v>36</v>
      </c>
      <c r="I1487" s="144" t="s">
        <v>152</v>
      </c>
      <c r="J1487" s="151" t="n">
        <v>45072.5687615741</v>
      </c>
      <c r="K1487" s="1" t="n">
        <v>2</v>
      </c>
      <c r="L1487" s="144" t="n">
        <v>36</v>
      </c>
      <c r="M1487" s="1" t="n">
        <v>37</v>
      </c>
      <c r="N1487" s="1" t="n">
        <v>37</v>
      </c>
      <c r="O1487" s="149" t="n">
        <v>21</v>
      </c>
    </row>
    <row r="1488" customFormat="false" ht="14.25" hidden="false" customHeight="false" outlineLevel="0" collapsed="false">
      <c r="A1488" s="1" t="n">
        <v>88</v>
      </c>
      <c r="B1488" s="1" t="s">
        <v>476</v>
      </c>
      <c r="C1488" s="143" t="n">
        <v>91601</v>
      </c>
      <c r="D1488" s="143" t="s">
        <v>65</v>
      </c>
      <c r="E1488" s="143" t="s">
        <v>474</v>
      </c>
      <c r="F1488" s="144" t="n">
        <v>200025888497</v>
      </c>
      <c r="G1488" s="144" t="s">
        <v>267</v>
      </c>
      <c r="H1488" s="144" t="n">
        <v>36</v>
      </c>
      <c r="I1488" s="144" t="s">
        <v>152</v>
      </c>
      <c r="J1488" s="151" t="n">
        <v>45072.676712963</v>
      </c>
      <c r="K1488" s="1" t="n">
        <v>2</v>
      </c>
      <c r="L1488" s="144" t="n">
        <v>36</v>
      </c>
      <c r="M1488" s="1" t="n">
        <v>37</v>
      </c>
      <c r="N1488" s="1" t="n">
        <v>37</v>
      </c>
      <c r="O1488" s="149" t="n">
        <v>22</v>
      </c>
    </row>
    <row r="1489" customFormat="false" ht="14.25" hidden="false" customHeight="false" outlineLevel="0" collapsed="false">
      <c r="A1489" s="1" t="n">
        <v>89</v>
      </c>
      <c r="B1489" s="1" t="s">
        <v>476</v>
      </c>
      <c r="C1489" s="143" t="n">
        <v>91601</v>
      </c>
      <c r="D1489" s="143" t="s">
        <v>65</v>
      </c>
      <c r="E1489" s="143" t="s">
        <v>474</v>
      </c>
      <c r="F1489" s="144" t="n">
        <v>200025888497</v>
      </c>
      <c r="G1489" s="144" t="s">
        <v>267</v>
      </c>
      <c r="H1489" s="144" t="n">
        <v>36</v>
      </c>
      <c r="I1489" s="144" t="s">
        <v>152</v>
      </c>
      <c r="J1489" s="151" t="n">
        <v>45072.6769212963</v>
      </c>
      <c r="K1489" s="1" t="n">
        <v>3</v>
      </c>
      <c r="L1489" s="144" t="n">
        <v>36</v>
      </c>
      <c r="M1489" s="1" t="n">
        <v>37</v>
      </c>
      <c r="N1489" s="1" t="n">
        <v>37</v>
      </c>
      <c r="O1489" s="149" t="n">
        <v>23</v>
      </c>
    </row>
    <row r="1490" customFormat="false" ht="14.25" hidden="false" customHeight="false" outlineLevel="0" collapsed="false">
      <c r="A1490" s="1" t="n">
        <v>90</v>
      </c>
      <c r="B1490" s="1" t="s">
        <v>476</v>
      </c>
      <c r="C1490" s="143" t="n">
        <v>91601</v>
      </c>
      <c r="D1490" s="143" t="s">
        <v>65</v>
      </c>
      <c r="E1490" s="143" t="s">
        <v>474</v>
      </c>
      <c r="F1490" s="144" t="n">
        <v>200025888497</v>
      </c>
      <c r="G1490" s="144" t="s">
        <v>267</v>
      </c>
      <c r="H1490" s="144" t="n">
        <v>36</v>
      </c>
      <c r="I1490" s="144" t="s">
        <v>152</v>
      </c>
      <c r="J1490" s="151" t="n">
        <v>45072.7209375</v>
      </c>
      <c r="K1490" s="1" t="n">
        <v>3</v>
      </c>
      <c r="L1490" s="144" t="n">
        <v>36</v>
      </c>
      <c r="M1490" s="1" t="n">
        <v>37</v>
      </c>
      <c r="N1490" s="1" t="n">
        <v>37</v>
      </c>
      <c r="O1490" s="149" t="n">
        <v>24</v>
      </c>
    </row>
    <row r="1491" customFormat="false" ht="14.25" hidden="false" customHeight="false" outlineLevel="0" collapsed="false">
      <c r="A1491" s="1" t="n">
        <v>91</v>
      </c>
      <c r="B1491" s="1" t="s">
        <v>476</v>
      </c>
      <c r="C1491" s="143" t="n">
        <v>91601</v>
      </c>
      <c r="D1491" s="143" t="s">
        <v>65</v>
      </c>
      <c r="E1491" s="143" t="s">
        <v>474</v>
      </c>
      <c r="F1491" s="144" t="n">
        <v>200025888497</v>
      </c>
      <c r="G1491" s="144" t="s">
        <v>267</v>
      </c>
      <c r="H1491" s="144" t="n">
        <v>36</v>
      </c>
      <c r="I1491" s="144" t="s">
        <v>152</v>
      </c>
      <c r="J1491" s="151" t="n">
        <v>45072.7212615741</v>
      </c>
      <c r="K1491" s="1" t="n">
        <v>3</v>
      </c>
      <c r="L1491" s="144" t="n">
        <v>36</v>
      </c>
      <c r="M1491" s="1" t="n">
        <v>37</v>
      </c>
      <c r="N1491" s="1" t="n">
        <v>37</v>
      </c>
      <c r="O1491" s="149" t="n">
        <v>25</v>
      </c>
    </row>
    <row r="1492" customFormat="false" ht="14.25" hidden="false" customHeight="false" outlineLevel="0" collapsed="false">
      <c r="A1492" s="1" t="n">
        <v>99</v>
      </c>
      <c r="B1492" s="1" t="s">
        <v>476</v>
      </c>
      <c r="C1492" s="143" t="n">
        <v>91601</v>
      </c>
      <c r="D1492" s="143" t="s">
        <v>65</v>
      </c>
      <c r="E1492" s="143" t="s">
        <v>474</v>
      </c>
      <c r="F1492" s="144" t="n">
        <v>200025888497</v>
      </c>
      <c r="G1492" s="144" t="s">
        <v>267</v>
      </c>
      <c r="H1492" s="144" t="n">
        <v>36</v>
      </c>
      <c r="I1492" s="144" t="s">
        <v>152</v>
      </c>
      <c r="J1492" s="151" t="n">
        <v>45072.8277083333</v>
      </c>
      <c r="K1492" s="1" t="n">
        <v>1</v>
      </c>
      <c r="L1492" s="144" t="n">
        <v>36</v>
      </c>
      <c r="M1492" s="1" t="n">
        <v>37</v>
      </c>
      <c r="N1492" s="1" t="n">
        <v>37</v>
      </c>
      <c r="O1492" s="149" t="n">
        <v>26</v>
      </c>
    </row>
    <row r="1493" customFormat="false" ht="14.25" hidden="false" customHeight="false" outlineLevel="0" collapsed="false">
      <c r="A1493" s="1" t="n">
        <v>100</v>
      </c>
      <c r="B1493" s="1" t="s">
        <v>476</v>
      </c>
      <c r="C1493" s="143" t="n">
        <v>91601</v>
      </c>
      <c r="D1493" s="143" t="s">
        <v>65</v>
      </c>
      <c r="E1493" s="143" t="s">
        <v>474</v>
      </c>
      <c r="F1493" s="144" t="n">
        <v>200025888497</v>
      </c>
      <c r="G1493" s="144" t="s">
        <v>267</v>
      </c>
      <c r="H1493" s="144" t="n">
        <v>36</v>
      </c>
      <c r="I1493" s="144" t="s">
        <v>152</v>
      </c>
      <c r="J1493" s="151" t="n">
        <v>45072.8280671296</v>
      </c>
      <c r="K1493" s="1" t="n">
        <v>2</v>
      </c>
      <c r="L1493" s="144" t="n">
        <v>36</v>
      </c>
      <c r="M1493" s="1" t="n">
        <v>37</v>
      </c>
      <c r="N1493" s="1" t="n">
        <v>37</v>
      </c>
      <c r="O1493" s="149" t="n">
        <v>27</v>
      </c>
    </row>
    <row r="1494" customFormat="false" ht="14.25" hidden="false" customHeight="false" outlineLevel="0" collapsed="false">
      <c r="A1494" s="1" t="n">
        <v>102</v>
      </c>
      <c r="B1494" s="1" t="s">
        <v>476</v>
      </c>
      <c r="C1494" s="143" t="n">
        <v>91601</v>
      </c>
      <c r="D1494" s="143" t="s">
        <v>65</v>
      </c>
      <c r="E1494" s="143" t="s">
        <v>474</v>
      </c>
      <c r="F1494" s="144" t="n">
        <v>200025888497</v>
      </c>
      <c r="G1494" s="144" t="s">
        <v>267</v>
      </c>
      <c r="H1494" s="144" t="n">
        <v>36</v>
      </c>
      <c r="I1494" s="144" t="s">
        <v>152</v>
      </c>
      <c r="J1494" s="151" t="n">
        <v>45072.8829861111</v>
      </c>
      <c r="K1494" s="1" t="n">
        <v>3</v>
      </c>
      <c r="L1494" s="144" t="n">
        <v>36</v>
      </c>
      <c r="M1494" s="1" t="n">
        <v>37</v>
      </c>
      <c r="N1494" s="1" t="n">
        <v>37</v>
      </c>
      <c r="O1494" s="149" t="n">
        <v>28</v>
      </c>
    </row>
    <row r="1495" customFormat="false" ht="14.25" hidden="false" customHeight="false" outlineLevel="0" collapsed="false">
      <c r="A1495" s="1" t="n">
        <v>103</v>
      </c>
      <c r="B1495" s="1" t="s">
        <v>476</v>
      </c>
      <c r="C1495" s="143" t="n">
        <v>91601</v>
      </c>
      <c r="D1495" s="143" t="s">
        <v>65</v>
      </c>
      <c r="E1495" s="143" t="s">
        <v>474</v>
      </c>
      <c r="F1495" s="144" t="n">
        <v>200025888497</v>
      </c>
      <c r="G1495" s="144" t="s">
        <v>267</v>
      </c>
      <c r="H1495" s="144" t="n">
        <v>36</v>
      </c>
      <c r="I1495" s="144" t="s">
        <v>152</v>
      </c>
      <c r="J1495" s="151" t="n">
        <v>45072.8830092593</v>
      </c>
      <c r="K1495" s="1" t="n">
        <v>4</v>
      </c>
      <c r="L1495" s="144" t="n">
        <v>36</v>
      </c>
      <c r="M1495" s="1" t="n">
        <v>37</v>
      </c>
      <c r="N1495" s="1" t="n">
        <v>37</v>
      </c>
      <c r="O1495" s="149" t="n">
        <v>29</v>
      </c>
    </row>
    <row r="1496" customFormat="false" ht="14.25" hidden="false" customHeight="false" outlineLevel="0" collapsed="false">
      <c r="A1496" s="1" t="n">
        <v>104</v>
      </c>
      <c r="B1496" s="1" t="s">
        <v>476</v>
      </c>
      <c r="C1496" s="143" t="n">
        <v>91601</v>
      </c>
      <c r="D1496" s="143" t="s">
        <v>65</v>
      </c>
      <c r="E1496" s="143" t="s">
        <v>474</v>
      </c>
      <c r="F1496" s="144" t="n">
        <v>200025888497</v>
      </c>
      <c r="G1496" s="144" t="s">
        <v>267</v>
      </c>
      <c r="H1496" s="144" t="n">
        <v>36</v>
      </c>
      <c r="I1496" s="144" t="s">
        <v>152</v>
      </c>
      <c r="J1496" s="151" t="n">
        <v>45072.8860185185</v>
      </c>
      <c r="K1496" s="1" t="n">
        <v>1</v>
      </c>
      <c r="L1496" s="144" t="n">
        <v>36</v>
      </c>
      <c r="M1496" s="1" t="n">
        <v>37</v>
      </c>
      <c r="N1496" s="1" t="n">
        <v>37</v>
      </c>
      <c r="O1496" s="149" t="n">
        <v>30</v>
      </c>
    </row>
    <row r="1497" customFormat="false" ht="14.25" hidden="false" customHeight="false" outlineLevel="0" collapsed="false">
      <c r="A1497" s="1" t="n">
        <v>105</v>
      </c>
      <c r="B1497" s="1" t="s">
        <v>476</v>
      </c>
      <c r="C1497" s="143" t="n">
        <v>91601</v>
      </c>
      <c r="D1497" s="143" t="s">
        <v>65</v>
      </c>
      <c r="E1497" s="143" t="s">
        <v>474</v>
      </c>
      <c r="F1497" s="144" t="n">
        <v>200025888497</v>
      </c>
      <c r="G1497" s="144" t="s">
        <v>267</v>
      </c>
      <c r="H1497" s="144" t="n">
        <v>36</v>
      </c>
      <c r="I1497" s="144" t="s">
        <v>152</v>
      </c>
      <c r="J1497" s="151" t="n">
        <v>45072.886412037</v>
      </c>
      <c r="K1497" s="1" t="n">
        <v>2</v>
      </c>
      <c r="L1497" s="144" t="n">
        <v>36</v>
      </c>
      <c r="M1497" s="1" t="n">
        <v>37</v>
      </c>
      <c r="N1497" s="1" t="n">
        <v>37</v>
      </c>
      <c r="O1497" s="149" t="n">
        <v>31</v>
      </c>
    </row>
    <row r="1498" customFormat="false" ht="14.25" hidden="false" customHeight="false" outlineLevel="0" collapsed="false">
      <c r="A1498" s="1" t="n">
        <v>106</v>
      </c>
      <c r="B1498" s="1" t="s">
        <v>476</v>
      </c>
      <c r="C1498" s="143" t="n">
        <v>91601</v>
      </c>
      <c r="D1498" s="143" t="s">
        <v>65</v>
      </c>
      <c r="E1498" s="143" t="s">
        <v>474</v>
      </c>
      <c r="F1498" s="144" t="n">
        <v>200025888497</v>
      </c>
      <c r="G1498" s="144" t="s">
        <v>267</v>
      </c>
      <c r="H1498" s="144" t="n">
        <v>36</v>
      </c>
      <c r="I1498" s="144" t="s">
        <v>152</v>
      </c>
      <c r="J1498" s="151" t="n">
        <v>45073.1299074074</v>
      </c>
      <c r="K1498" s="1" t="n">
        <v>1</v>
      </c>
      <c r="L1498" s="144" t="n">
        <v>36</v>
      </c>
      <c r="M1498" s="1" t="n">
        <v>37</v>
      </c>
      <c r="N1498" s="1" t="n">
        <v>37</v>
      </c>
      <c r="O1498" s="149" t="n">
        <v>32</v>
      </c>
    </row>
    <row r="1499" customFormat="false" ht="14.25" hidden="false" customHeight="false" outlineLevel="0" collapsed="false">
      <c r="A1499" s="1" t="n">
        <v>107</v>
      </c>
      <c r="B1499" s="1" t="s">
        <v>476</v>
      </c>
      <c r="C1499" s="143" t="n">
        <v>91601</v>
      </c>
      <c r="D1499" s="143" t="s">
        <v>65</v>
      </c>
      <c r="E1499" s="143" t="s">
        <v>474</v>
      </c>
      <c r="F1499" s="144" t="n">
        <v>200025888497</v>
      </c>
      <c r="G1499" s="144" t="s">
        <v>267</v>
      </c>
      <c r="H1499" s="144" t="n">
        <v>36</v>
      </c>
      <c r="I1499" s="144" t="s">
        <v>152</v>
      </c>
      <c r="J1499" s="151" t="n">
        <v>45073.1742476852</v>
      </c>
      <c r="K1499" s="1" t="n">
        <v>2</v>
      </c>
      <c r="L1499" s="144" t="n">
        <v>36</v>
      </c>
      <c r="M1499" s="1" t="n">
        <v>37</v>
      </c>
      <c r="N1499" s="1" t="n">
        <v>37</v>
      </c>
      <c r="O1499" s="149" t="n">
        <v>33</v>
      </c>
    </row>
    <row r="1500" customFormat="false" ht="14.25" hidden="false" customHeight="false" outlineLevel="0" collapsed="false">
      <c r="A1500" s="1" t="n">
        <v>120</v>
      </c>
      <c r="B1500" s="1" t="s">
        <v>476</v>
      </c>
      <c r="C1500" s="143" t="n">
        <v>91601</v>
      </c>
      <c r="D1500" s="143" t="s">
        <v>65</v>
      </c>
      <c r="E1500" s="143" t="s">
        <v>474</v>
      </c>
      <c r="F1500" s="144" t="n">
        <v>200025888497</v>
      </c>
      <c r="G1500" s="144" t="s">
        <v>267</v>
      </c>
      <c r="H1500" s="144" t="n">
        <v>36</v>
      </c>
      <c r="I1500" s="144" t="s">
        <v>152</v>
      </c>
      <c r="J1500" s="151" t="n">
        <v>45073.4997916667</v>
      </c>
      <c r="K1500" s="1" t="n">
        <v>1</v>
      </c>
      <c r="L1500" s="144" t="n">
        <v>36</v>
      </c>
      <c r="M1500" s="1" t="n">
        <v>37</v>
      </c>
      <c r="N1500" s="1" t="n">
        <v>37</v>
      </c>
      <c r="O1500" s="149" t="n">
        <v>34</v>
      </c>
    </row>
    <row r="1501" customFormat="false" ht="14.25" hidden="false" customHeight="false" outlineLevel="0" collapsed="false">
      <c r="A1501" s="1" t="n">
        <v>122</v>
      </c>
      <c r="B1501" s="1" t="s">
        <v>476</v>
      </c>
      <c r="C1501" s="143" t="n">
        <v>91601</v>
      </c>
      <c r="D1501" s="143" t="s">
        <v>65</v>
      </c>
      <c r="E1501" s="143" t="s">
        <v>474</v>
      </c>
      <c r="F1501" s="144" t="n">
        <v>200025888497</v>
      </c>
      <c r="G1501" s="144" t="s">
        <v>267</v>
      </c>
      <c r="H1501" s="144" t="n">
        <v>36</v>
      </c>
      <c r="I1501" s="144" t="s">
        <v>152</v>
      </c>
      <c r="J1501" s="151" t="n">
        <v>45073.5156828704</v>
      </c>
      <c r="K1501" s="1" t="n">
        <v>3</v>
      </c>
      <c r="L1501" s="144" t="n">
        <v>36</v>
      </c>
      <c r="M1501" s="1" t="n">
        <v>37</v>
      </c>
      <c r="N1501" s="1" t="n">
        <v>37</v>
      </c>
      <c r="O1501" s="149" t="n">
        <v>35</v>
      </c>
    </row>
    <row r="1502" customFormat="false" ht="14.25" hidden="false" customHeight="false" outlineLevel="0" collapsed="false">
      <c r="A1502" s="1" t="n">
        <v>123</v>
      </c>
      <c r="B1502" s="1" t="s">
        <v>476</v>
      </c>
      <c r="C1502" s="143" t="n">
        <v>91601</v>
      </c>
      <c r="D1502" s="143" t="s">
        <v>65</v>
      </c>
      <c r="E1502" s="143" t="s">
        <v>474</v>
      </c>
      <c r="F1502" s="144" t="n">
        <v>200025888497</v>
      </c>
      <c r="G1502" s="144" t="s">
        <v>267</v>
      </c>
      <c r="H1502" s="144" t="n">
        <v>36</v>
      </c>
      <c r="I1502" s="144" t="s">
        <v>152</v>
      </c>
      <c r="J1502" s="151" t="n">
        <v>45073.5255555556</v>
      </c>
      <c r="K1502" s="1" t="n">
        <v>1</v>
      </c>
      <c r="L1502" s="144" t="n">
        <v>36</v>
      </c>
      <c r="M1502" s="1" t="n">
        <v>37</v>
      </c>
      <c r="N1502" s="1" t="n">
        <v>37</v>
      </c>
      <c r="O1502" s="149" t="n">
        <v>36</v>
      </c>
    </row>
    <row r="1503" customFormat="false" ht="14.25" hidden="false" customHeight="false" outlineLevel="0" collapsed="false">
      <c r="A1503" s="1" t="n">
        <v>124</v>
      </c>
      <c r="B1503" s="1" t="s">
        <v>476</v>
      </c>
      <c r="C1503" s="143" t="n">
        <v>91601</v>
      </c>
      <c r="D1503" s="143" t="s">
        <v>65</v>
      </c>
      <c r="E1503" s="143" t="s">
        <v>474</v>
      </c>
      <c r="F1503" s="144" t="n">
        <v>200025888497</v>
      </c>
      <c r="G1503" s="144" t="s">
        <v>267</v>
      </c>
      <c r="H1503" s="144" t="n">
        <v>36</v>
      </c>
      <c r="I1503" s="144" t="s">
        <v>152</v>
      </c>
      <c r="J1503" s="151" t="n">
        <v>45073.6084837963</v>
      </c>
      <c r="K1503" s="1" t="n">
        <v>1</v>
      </c>
      <c r="L1503" s="144" t="n">
        <v>36</v>
      </c>
      <c r="M1503" s="1" t="n">
        <v>37</v>
      </c>
      <c r="N1503" s="1" t="n">
        <v>37</v>
      </c>
      <c r="O1503" s="149" t="n">
        <v>37</v>
      </c>
    </row>
    <row r="1504" customFormat="false" ht="14.25" hidden="false" customHeight="false" outlineLevel="0" collapsed="false">
      <c r="A1504" s="1" t="n">
        <v>125</v>
      </c>
      <c r="B1504" s="1" t="s">
        <v>476</v>
      </c>
      <c r="C1504" s="143" t="n">
        <v>91601</v>
      </c>
      <c r="D1504" s="143" t="s">
        <v>65</v>
      </c>
      <c r="E1504" s="143" t="s">
        <v>474</v>
      </c>
      <c r="F1504" s="144" t="n">
        <v>200025888497</v>
      </c>
      <c r="G1504" s="144" t="s">
        <v>267</v>
      </c>
      <c r="H1504" s="144" t="n">
        <v>36</v>
      </c>
      <c r="I1504" s="144" t="s">
        <v>152</v>
      </c>
      <c r="J1504" s="151" t="n">
        <v>45073.6496296296</v>
      </c>
      <c r="K1504" s="1" t="n">
        <v>3</v>
      </c>
      <c r="L1504" s="144" t="n">
        <v>36</v>
      </c>
      <c r="M1504" s="1" t="n">
        <v>37</v>
      </c>
      <c r="N1504" s="1" t="n">
        <v>37</v>
      </c>
      <c r="O1504" s="149" t="n">
        <v>38</v>
      </c>
    </row>
    <row r="1505" customFormat="false" ht="14.25" hidden="false" customHeight="false" outlineLevel="0" collapsed="false">
      <c r="A1505" s="1" t="n">
        <v>126</v>
      </c>
      <c r="B1505" s="1" t="s">
        <v>476</v>
      </c>
      <c r="C1505" s="143" t="n">
        <v>91601</v>
      </c>
      <c r="D1505" s="143" t="s">
        <v>65</v>
      </c>
      <c r="E1505" s="143" t="s">
        <v>474</v>
      </c>
      <c r="F1505" s="144" t="n">
        <v>200025888497</v>
      </c>
      <c r="G1505" s="144" t="s">
        <v>267</v>
      </c>
      <c r="H1505" s="144" t="n">
        <v>36</v>
      </c>
      <c r="I1505" s="144" t="s">
        <v>152</v>
      </c>
      <c r="J1505" s="151" t="n">
        <v>45073.6524305556</v>
      </c>
      <c r="K1505" s="1" t="n">
        <v>1</v>
      </c>
      <c r="L1505" s="144" t="n">
        <v>36</v>
      </c>
      <c r="M1505" s="1" t="n">
        <v>37</v>
      </c>
      <c r="N1505" s="1" t="n">
        <v>37</v>
      </c>
      <c r="O1505" s="149" t="n">
        <v>39</v>
      </c>
    </row>
    <row r="1506" customFormat="false" ht="14.25" hidden="false" customHeight="false" outlineLevel="0" collapsed="false">
      <c r="A1506" s="1" t="n">
        <v>127</v>
      </c>
      <c r="B1506" s="1" t="s">
        <v>476</v>
      </c>
      <c r="C1506" s="143" t="n">
        <v>91601</v>
      </c>
      <c r="D1506" s="143" t="s">
        <v>65</v>
      </c>
      <c r="E1506" s="143" t="s">
        <v>474</v>
      </c>
      <c r="F1506" s="144" t="n">
        <v>200025888497</v>
      </c>
      <c r="G1506" s="144" t="s">
        <v>267</v>
      </c>
      <c r="H1506" s="144" t="n">
        <v>36</v>
      </c>
      <c r="I1506" s="144" t="s">
        <v>152</v>
      </c>
      <c r="J1506" s="151" t="n">
        <v>45073.7149074074</v>
      </c>
      <c r="K1506" s="1" t="n">
        <v>2</v>
      </c>
      <c r="L1506" s="144" t="n">
        <v>36</v>
      </c>
      <c r="M1506" s="1" t="n">
        <v>37</v>
      </c>
      <c r="N1506" s="1" t="n">
        <v>37</v>
      </c>
      <c r="O1506" s="149" t="n">
        <v>40</v>
      </c>
    </row>
    <row r="1507" customFormat="false" ht="14.25" hidden="false" customHeight="false" outlineLevel="0" collapsed="false">
      <c r="A1507" s="1" t="n">
        <v>128</v>
      </c>
      <c r="B1507" s="1" t="s">
        <v>476</v>
      </c>
      <c r="C1507" s="143" t="n">
        <v>91601</v>
      </c>
      <c r="D1507" s="143" t="s">
        <v>65</v>
      </c>
      <c r="E1507" s="143" t="s">
        <v>474</v>
      </c>
      <c r="F1507" s="144" t="n">
        <v>200025888497</v>
      </c>
      <c r="G1507" s="144" t="s">
        <v>267</v>
      </c>
      <c r="H1507" s="144" t="n">
        <v>36</v>
      </c>
      <c r="I1507" s="144" t="s">
        <v>152</v>
      </c>
      <c r="J1507" s="151" t="n">
        <v>45073.7179976852</v>
      </c>
      <c r="K1507" s="1" t="n">
        <v>1</v>
      </c>
      <c r="L1507" s="144" t="n">
        <v>36</v>
      </c>
      <c r="M1507" s="1" t="n">
        <v>37</v>
      </c>
      <c r="N1507" s="1" t="n">
        <v>37</v>
      </c>
      <c r="O1507" s="149" t="n">
        <v>41</v>
      </c>
    </row>
    <row r="1508" customFormat="false" ht="14.25" hidden="false" customHeight="false" outlineLevel="0" collapsed="false">
      <c r="A1508" s="1" t="n">
        <v>129</v>
      </c>
      <c r="B1508" s="1" t="s">
        <v>476</v>
      </c>
      <c r="C1508" s="143" t="n">
        <v>91601</v>
      </c>
      <c r="D1508" s="143" t="s">
        <v>65</v>
      </c>
      <c r="E1508" s="143" t="s">
        <v>474</v>
      </c>
      <c r="F1508" s="144" t="n">
        <v>200025888497</v>
      </c>
      <c r="G1508" s="144" t="s">
        <v>267</v>
      </c>
      <c r="H1508" s="144" t="n">
        <v>36</v>
      </c>
      <c r="I1508" s="144" t="s">
        <v>152</v>
      </c>
      <c r="J1508" s="151" t="n">
        <v>45073.7187962963</v>
      </c>
      <c r="K1508" s="1" t="n">
        <v>1</v>
      </c>
      <c r="L1508" s="144" t="n">
        <v>36</v>
      </c>
      <c r="M1508" s="1" t="n">
        <v>37</v>
      </c>
      <c r="N1508" s="1" t="n">
        <v>37</v>
      </c>
      <c r="O1508" s="149" t="n">
        <v>42</v>
      </c>
    </row>
    <row r="1509" customFormat="false" ht="14.25" hidden="false" customHeight="false" outlineLevel="0" collapsed="false">
      <c r="A1509" s="1" t="n">
        <v>153</v>
      </c>
      <c r="B1509" s="1" t="s">
        <v>477</v>
      </c>
      <c r="C1509" s="143" t="s">
        <v>52</v>
      </c>
      <c r="D1509" s="143" t="s">
        <v>53</v>
      </c>
      <c r="E1509" s="143" t="s">
        <v>474</v>
      </c>
      <c r="F1509" s="144" t="n">
        <v>200025888497</v>
      </c>
      <c r="G1509" s="144" t="s">
        <v>267</v>
      </c>
      <c r="H1509" s="144" t="n">
        <v>36</v>
      </c>
      <c r="I1509" s="144" t="s">
        <v>152</v>
      </c>
      <c r="J1509" s="152" t="n">
        <v>45073.7482986111</v>
      </c>
      <c r="K1509" s="1" t="n">
        <v>4</v>
      </c>
      <c r="L1509" s="144" t="n">
        <v>36</v>
      </c>
      <c r="M1509" s="1" t="n">
        <v>37</v>
      </c>
      <c r="N1509" s="1" t="n">
        <v>37</v>
      </c>
      <c r="O1509" s="149" t="n">
        <v>43</v>
      </c>
    </row>
    <row r="1510" customFormat="false" ht="14.25" hidden="false" customHeight="false" outlineLevel="0" collapsed="false">
      <c r="A1510" s="1" t="n">
        <v>154</v>
      </c>
      <c r="B1510" s="1" t="s">
        <v>477</v>
      </c>
      <c r="C1510" s="143" t="s">
        <v>52</v>
      </c>
      <c r="D1510" s="143" t="s">
        <v>53</v>
      </c>
      <c r="E1510" s="143" t="s">
        <v>474</v>
      </c>
      <c r="F1510" s="144" t="n">
        <v>200025888497</v>
      </c>
      <c r="G1510" s="144" t="s">
        <v>267</v>
      </c>
      <c r="H1510" s="144" t="n">
        <v>36</v>
      </c>
      <c r="I1510" s="144" t="s">
        <v>152</v>
      </c>
      <c r="J1510" s="152" t="n">
        <v>45073.7484027778</v>
      </c>
      <c r="K1510" s="1" t="n">
        <v>0</v>
      </c>
      <c r="L1510" s="144" t="n">
        <v>36</v>
      </c>
      <c r="M1510" s="1" t="n">
        <v>37</v>
      </c>
      <c r="N1510" s="1" t="n">
        <v>37</v>
      </c>
      <c r="O1510" s="149" t="n">
        <v>44</v>
      </c>
    </row>
    <row r="1511" customFormat="false" ht="14.25" hidden="false" customHeight="false" outlineLevel="0" collapsed="false">
      <c r="A1511" s="1" t="n">
        <v>155</v>
      </c>
      <c r="B1511" s="1" t="s">
        <v>477</v>
      </c>
      <c r="C1511" s="143" t="s">
        <v>52</v>
      </c>
      <c r="D1511" s="143" t="s">
        <v>53</v>
      </c>
      <c r="E1511" s="143" t="s">
        <v>474</v>
      </c>
      <c r="F1511" s="144" t="n">
        <v>200025888497</v>
      </c>
      <c r="G1511" s="144" t="s">
        <v>267</v>
      </c>
      <c r="H1511" s="144" t="n">
        <v>36</v>
      </c>
      <c r="I1511" s="144" t="s">
        <v>152</v>
      </c>
      <c r="J1511" s="152" t="n">
        <v>45073.7518865741</v>
      </c>
      <c r="K1511" s="1" t="n">
        <v>2</v>
      </c>
      <c r="L1511" s="144" t="n">
        <v>36</v>
      </c>
      <c r="M1511" s="1" t="n">
        <v>37</v>
      </c>
      <c r="N1511" s="1" t="n">
        <v>37</v>
      </c>
      <c r="O1511" s="149" t="n">
        <v>45</v>
      </c>
    </row>
    <row r="1512" customFormat="false" ht="14.25" hidden="false" customHeight="false" outlineLevel="0" collapsed="false">
      <c r="A1512" s="1" t="n">
        <v>156</v>
      </c>
      <c r="B1512" s="1" t="s">
        <v>477</v>
      </c>
      <c r="C1512" s="143" t="s">
        <v>52</v>
      </c>
      <c r="D1512" s="143" t="s">
        <v>53</v>
      </c>
      <c r="E1512" s="143" t="s">
        <v>474</v>
      </c>
      <c r="F1512" s="144" t="n">
        <v>200025888497</v>
      </c>
      <c r="G1512" s="144" t="s">
        <v>267</v>
      </c>
      <c r="H1512" s="144" t="n">
        <v>36</v>
      </c>
      <c r="I1512" s="144" t="s">
        <v>152</v>
      </c>
      <c r="J1512" s="152" t="n">
        <v>45073.8409606482</v>
      </c>
      <c r="K1512" s="1" t="n">
        <v>0</v>
      </c>
      <c r="L1512" s="144" t="n">
        <v>36</v>
      </c>
      <c r="M1512" s="1" t="n">
        <v>37</v>
      </c>
      <c r="N1512" s="1" t="n">
        <v>37</v>
      </c>
      <c r="O1512" s="149" t="n">
        <v>46</v>
      </c>
    </row>
    <row r="1513" customFormat="false" ht="14.25" hidden="false" customHeight="false" outlineLevel="0" collapsed="false">
      <c r="A1513" s="1" t="n">
        <v>162</v>
      </c>
      <c r="B1513" s="1" t="s">
        <v>476</v>
      </c>
      <c r="C1513" s="143" t="n">
        <v>91601</v>
      </c>
      <c r="D1513" s="143" t="s">
        <v>65</v>
      </c>
      <c r="E1513" s="143" t="s">
        <v>474</v>
      </c>
      <c r="F1513" s="144" t="n">
        <v>200025888497</v>
      </c>
      <c r="G1513" s="144" t="s">
        <v>267</v>
      </c>
      <c r="H1513" s="144" t="n">
        <v>36</v>
      </c>
      <c r="I1513" s="144" t="s">
        <v>152</v>
      </c>
      <c r="J1513" s="151" t="n">
        <v>45074.0304282407</v>
      </c>
      <c r="K1513" s="1" t="n">
        <v>1</v>
      </c>
      <c r="L1513" s="144" t="n">
        <v>36</v>
      </c>
      <c r="M1513" s="1" t="n">
        <v>37</v>
      </c>
      <c r="N1513" s="1" t="n">
        <v>37</v>
      </c>
      <c r="O1513" s="149" t="n">
        <v>47</v>
      </c>
    </row>
    <row r="1514" customFormat="false" ht="14.25" hidden="false" customHeight="false" outlineLevel="0" collapsed="false">
      <c r="A1514" s="1" t="n">
        <v>330</v>
      </c>
      <c r="B1514" s="1" t="s">
        <v>478</v>
      </c>
      <c r="C1514" s="143" t="n">
        <v>91601</v>
      </c>
      <c r="D1514" s="143" t="s">
        <v>65</v>
      </c>
      <c r="E1514" s="143" t="s">
        <v>474</v>
      </c>
      <c r="F1514" s="144" t="n">
        <v>200025888497</v>
      </c>
      <c r="G1514" s="144" t="s">
        <v>267</v>
      </c>
      <c r="H1514" s="144" t="n">
        <v>36</v>
      </c>
      <c r="I1514" s="144" t="s">
        <v>152</v>
      </c>
      <c r="J1514" s="151" t="n">
        <v>45079.1616898148</v>
      </c>
      <c r="K1514" s="1" t="n">
        <v>2</v>
      </c>
      <c r="L1514" s="144" t="n">
        <v>36</v>
      </c>
      <c r="M1514" s="1" t="n">
        <v>37</v>
      </c>
      <c r="N1514" s="1" t="n">
        <v>37</v>
      </c>
      <c r="O1514" s="149" t="n">
        <v>48</v>
      </c>
    </row>
    <row r="1515" customFormat="false" ht="14.25" hidden="false" customHeight="false" outlineLevel="0" collapsed="false">
      <c r="A1515" s="1" t="n">
        <v>331</v>
      </c>
      <c r="B1515" s="1" t="s">
        <v>478</v>
      </c>
      <c r="C1515" s="143" t="n">
        <v>91601</v>
      </c>
      <c r="D1515" s="143" t="s">
        <v>65</v>
      </c>
      <c r="E1515" s="143" t="s">
        <v>474</v>
      </c>
      <c r="F1515" s="144" t="n">
        <v>200025888497</v>
      </c>
      <c r="G1515" s="144" t="s">
        <v>267</v>
      </c>
      <c r="H1515" s="144" t="n">
        <v>36</v>
      </c>
      <c r="I1515" s="144" t="s">
        <v>152</v>
      </c>
      <c r="J1515" s="151" t="n">
        <v>45079.161712963</v>
      </c>
      <c r="K1515" s="1" t="n">
        <v>1</v>
      </c>
      <c r="L1515" s="144" t="n">
        <v>36</v>
      </c>
      <c r="M1515" s="1" t="n">
        <v>37</v>
      </c>
      <c r="N1515" s="1" t="n">
        <v>37</v>
      </c>
      <c r="O1515" s="149" t="n">
        <v>49</v>
      </c>
    </row>
    <row r="1516" customFormat="false" ht="14.25" hidden="false" customHeight="false" outlineLevel="0" collapsed="false">
      <c r="A1516" s="1" t="n">
        <v>332</v>
      </c>
      <c r="B1516" s="1" t="s">
        <v>478</v>
      </c>
      <c r="C1516" s="143" t="n">
        <v>91601</v>
      </c>
      <c r="D1516" s="143" t="s">
        <v>65</v>
      </c>
      <c r="E1516" s="143" t="s">
        <v>474</v>
      </c>
      <c r="F1516" s="144" t="n">
        <v>200025888497</v>
      </c>
      <c r="G1516" s="144" t="s">
        <v>267</v>
      </c>
      <c r="H1516" s="144" t="n">
        <v>36</v>
      </c>
      <c r="I1516" s="144" t="s">
        <v>152</v>
      </c>
      <c r="J1516" s="151" t="n">
        <v>45079.1619097222</v>
      </c>
      <c r="K1516" s="1" t="n">
        <v>0</v>
      </c>
      <c r="L1516" s="144" t="n">
        <v>36</v>
      </c>
      <c r="M1516" s="1" t="n">
        <v>37</v>
      </c>
      <c r="N1516" s="1" t="n">
        <v>37</v>
      </c>
      <c r="O1516" s="149" t="n">
        <v>50</v>
      </c>
    </row>
    <row r="1517" customFormat="false" ht="14.25" hidden="false" customHeight="false" outlineLevel="0" collapsed="false">
      <c r="A1517" s="1" t="n">
        <v>333</v>
      </c>
      <c r="B1517" s="1" t="s">
        <v>478</v>
      </c>
      <c r="C1517" s="143" t="n">
        <v>91601</v>
      </c>
      <c r="D1517" s="143" t="s">
        <v>65</v>
      </c>
      <c r="E1517" s="143" t="s">
        <v>474</v>
      </c>
      <c r="F1517" s="144" t="n">
        <v>200025888497</v>
      </c>
      <c r="G1517" s="144" t="s">
        <v>267</v>
      </c>
      <c r="H1517" s="144" t="n">
        <v>36</v>
      </c>
      <c r="I1517" s="144" t="s">
        <v>152</v>
      </c>
      <c r="J1517" s="151" t="n">
        <v>45079.1781365741</v>
      </c>
      <c r="K1517" s="1" t="n">
        <v>1</v>
      </c>
      <c r="L1517" s="144" t="n">
        <v>36</v>
      </c>
      <c r="M1517" s="1" t="n">
        <v>37</v>
      </c>
      <c r="N1517" s="1" t="n">
        <v>37</v>
      </c>
      <c r="O1517" s="149" t="n">
        <v>51</v>
      </c>
    </row>
    <row r="1518" customFormat="false" ht="14.25" hidden="false" customHeight="false" outlineLevel="0" collapsed="false">
      <c r="A1518" s="1" t="n">
        <v>334</v>
      </c>
      <c r="B1518" s="1" t="s">
        <v>478</v>
      </c>
      <c r="C1518" s="143" t="n">
        <v>91601</v>
      </c>
      <c r="D1518" s="143" t="s">
        <v>65</v>
      </c>
      <c r="E1518" s="143" t="s">
        <v>474</v>
      </c>
      <c r="F1518" s="144" t="n">
        <v>200025888497</v>
      </c>
      <c r="G1518" s="144" t="s">
        <v>267</v>
      </c>
      <c r="H1518" s="144" t="n">
        <v>36</v>
      </c>
      <c r="I1518" s="144" t="s">
        <v>152</v>
      </c>
      <c r="J1518" s="151" t="n">
        <v>45079.1785069444</v>
      </c>
      <c r="K1518" s="1" t="n">
        <v>3</v>
      </c>
      <c r="L1518" s="144" t="n">
        <v>36</v>
      </c>
      <c r="M1518" s="1" t="n">
        <v>37</v>
      </c>
      <c r="N1518" s="1" t="n">
        <v>37</v>
      </c>
      <c r="O1518" s="149" t="n">
        <v>52</v>
      </c>
    </row>
    <row r="1519" customFormat="false" ht="14.25" hidden="false" customHeight="false" outlineLevel="0" collapsed="false">
      <c r="A1519" s="1" t="n">
        <v>335</v>
      </c>
      <c r="B1519" s="1" t="s">
        <v>478</v>
      </c>
      <c r="C1519" s="143" t="n">
        <v>91601</v>
      </c>
      <c r="D1519" s="143" t="s">
        <v>65</v>
      </c>
      <c r="E1519" s="143" t="s">
        <v>474</v>
      </c>
      <c r="F1519" s="144" t="n">
        <v>200025888497</v>
      </c>
      <c r="G1519" s="144" t="s">
        <v>267</v>
      </c>
      <c r="H1519" s="144" t="n">
        <v>36</v>
      </c>
      <c r="I1519" s="144" t="s">
        <v>152</v>
      </c>
      <c r="J1519" s="151" t="n">
        <v>45079.1877430556</v>
      </c>
      <c r="K1519" s="1" t="n">
        <v>1</v>
      </c>
      <c r="L1519" s="144" t="n">
        <v>36</v>
      </c>
      <c r="M1519" s="1" t="n">
        <v>37</v>
      </c>
      <c r="N1519" s="1" t="n">
        <v>37</v>
      </c>
      <c r="O1519" s="149" t="n">
        <v>53</v>
      </c>
    </row>
    <row r="1520" customFormat="false" ht="14.25" hidden="false" customHeight="false" outlineLevel="0" collapsed="false">
      <c r="A1520" s="1" t="n">
        <v>336</v>
      </c>
      <c r="B1520" s="1" t="s">
        <v>478</v>
      </c>
      <c r="C1520" s="143" t="n">
        <v>91601</v>
      </c>
      <c r="D1520" s="143" t="s">
        <v>65</v>
      </c>
      <c r="E1520" s="143" t="s">
        <v>474</v>
      </c>
      <c r="F1520" s="144" t="n">
        <v>200025888497</v>
      </c>
      <c r="G1520" s="144" t="s">
        <v>267</v>
      </c>
      <c r="H1520" s="144" t="n">
        <v>36</v>
      </c>
      <c r="I1520" s="144" t="s">
        <v>152</v>
      </c>
      <c r="J1520" s="151" t="n">
        <v>45079.187962963</v>
      </c>
      <c r="K1520" s="1" t="n">
        <v>1</v>
      </c>
      <c r="L1520" s="144" t="n">
        <v>36</v>
      </c>
      <c r="M1520" s="1" t="n">
        <v>37</v>
      </c>
      <c r="N1520" s="1" t="n">
        <v>37</v>
      </c>
      <c r="O1520" s="149" t="n">
        <v>54</v>
      </c>
    </row>
    <row r="1521" customFormat="false" ht="14.25" hidden="false" customHeight="false" outlineLevel="0" collapsed="false">
      <c r="A1521" s="1" t="n">
        <v>337</v>
      </c>
      <c r="B1521" s="1" t="s">
        <v>478</v>
      </c>
      <c r="C1521" s="143" t="n">
        <v>91601</v>
      </c>
      <c r="D1521" s="143" t="s">
        <v>65</v>
      </c>
      <c r="E1521" s="143" t="s">
        <v>474</v>
      </c>
      <c r="F1521" s="144" t="n">
        <v>200025888497</v>
      </c>
      <c r="G1521" s="144" t="s">
        <v>267</v>
      </c>
      <c r="H1521" s="144" t="n">
        <v>36</v>
      </c>
      <c r="I1521" s="144" t="s">
        <v>152</v>
      </c>
      <c r="J1521" s="151" t="n">
        <v>45079.1879861111</v>
      </c>
      <c r="K1521" s="1" t="n">
        <v>2</v>
      </c>
      <c r="L1521" s="144" t="n">
        <v>36</v>
      </c>
      <c r="M1521" s="1" t="n">
        <v>37</v>
      </c>
      <c r="N1521" s="1" t="n">
        <v>37</v>
      </c>
      <c r="O1521" s="149" t="n">
        <v>55</v>
      </c>
    </row>
    <row r="1522" customFormat="false" ht="14.25" hidden="false" customHeight="false" outlineLevel="0" collapsed="false">
      <c r="A1522" s="1" t="n">
        <v>20</v>
      </c>
      <c r="B1522" s="1" t="s">
        <v>475</v>
      </c>
      <c r="C1522" s="143" t="n">
        <v>21265</v>
      </c>
      <c r="D1522" s="143" t="s">
        <v>76</v>
      </c>
      <c r="E1522" s="143" t="s">
        <v>479</v>
      </c>
      <c r="F1522" s="144" t="n">
        <v>200025888497</v>
      </c>
      <c r="G1522" s="144" t="s">
        <v>267</v>
      </c>
      <c r="H1522" s="144" t="n">
        <v>36</v>
      </c>
      <c r="I1522" s="144" t="s">
        <v>152</v>
      </c>
      <c r="J1522" s="151" t="n">
        <v>45079.2964236111</v>
      </c>
      <c r="K1522" s="1" t="n">
        <v>2</v>
      </c>
      <c r="L1522" s="144" t="n">
        <v>36</v>
      </c>
      <c r="M1522" s="1" t="n">
        <v>37</v>
      </c>
      <c r="N1522" s="1" t="n">
        <v>37</v>
      </c>
      <c r="O1522" s="149" t="n">
        <v>56</v>
      </c>
    </row>
    <row r="1523" customFormat="false" ht="14.25" hidden="false" customHeight="false" outlineLevel="0" collapsed="false">
      <c r="A1523" s="1" t="n">
        <v>21</v>
      </c>
      <c r="B1523" s="1" t="s">
        <v>475</v>
      </c>
      <c r="C1523" s="143" t="n">
        <v>21265</v>
      </c>
      <c r="D1523" s="143" t="s">
        <v>76</v>
      </c>
      <c r="E1523" s="143" t="s">
        <v>479</v>
      </c>
      <c r="F1523" s="144" t="n">
        <v>200025888497</v>
      </c>
      <c r="G1523" s="144" t="s">
        <v>267</v>
      </c>
      <c r="H1523" s="144" t="n">
        <v>36</v>
      </c>
      <c r="I1523" s="144" t="s">
        <v>152</v>
      </c>
      <c r="J1523" s="151" t="n">
        <v>45079.2968981481</v>
      </c>
      <c r="K1523" s="1" t="n">
        <v>2</v>
      </c>
      <c r="L1523" s="144" t="n">
        <v>36</v>
      </c>
      <c r="M1523" s="1" t="n">
        <v>37</v>
      </c>
      <c r="N1523" s="1" t="n">
        <v>37</v>
      </c>
      <c r="O1523" s="149" t="n">
        <v>57</v>
      </c>
    </row>
    <row r="1524" customFormat="false" ht="14.25" hidden="false" customHeight="false" outlineLevel="0" collapsed="false">
      <c r="A1524" s="1" t="n">
        <v>23</v>
      </c>
      <c r="B1524" s="1" t="s">
        <v>475</v>
      </c>
      <c r="C1524" s="143" t="n">
        <v>21265</v>
      </c>
      <c r="D1524" s="143" t="s">
        <v>76</v>
      </c>
      <c r="E1524" s="143" t="s">
        <v>479</v>
      </c>
      <c r="F1524" s="144" t="n">
        <v>200025888497</v>
      </c>
      <c r="G1524" s="144" t="s">
        <v>267</v>
      </c>
      <c r="H1524" s="144" t="n">
        <v>36</v>
      </c>
      <c r="I1524" s="144" t="s">
        <v>152</v>
      </c>
      <c r="J1524" s="151" t="n">
        <v>45079.5774421296</v>
      </c>
      <c r="K1524" s="1" t="n">
        <v>2</v>
      </c>
      <c r="L1524" s="144" t="n">
        <v>36</v>
      </c>
      <c r="M1524" s="1" t="n">
        <v>37</v>
      </c>
      <c r="N1524" s="1" t="n">
        <v>37</v>
      </c>
      <c r="O1524" s="149" t="n">
        <v>58</v>
      </c>
    </row>
    <row r="1525" customFormat="false" ht="14.25" hidden="false" customHeight="false" outlineLevel="0" collapsed="false">
      <c r="A1525" s="1" t="n">
        <v>24</v>
      </c>
      <c r="B1525" s="1" t="s">
        <v>475</v>
      </c>
      <c r="C1525" s="143" t="n">
        <v>21265</v>
      </c>
      <c r="D1525" s="143" t="s">
        <v>76</v>
      </c>
      <c r="E1525" s="143" t="s">
        <v>479</v>
      </c>
      <c r="F1525" s="144" t="n">
        <v>200025888497</v>
      </c>
      <c r="G1525" s="144" t="s">
        <v>267</v>
      </c>
      <c r="H1525" s="144" t="n">
        <v>36</v>
      </c>
      <c r="I1525" s="144" t="s">
        <v>152</v>
      </c>
      <c r="J1525" s="151" t="n">
        <v>45079.5775347222</v>
      </c>
      <c r="K1525" s="1" t="n">
        <v>2</v>
      </c>
      <c r="L1525" s="144" t="n">
        <v>36</v>
      </c>
      <c r="M1525" s="1" t="n">
        <v>37</v>
      </c>
      <c r="N1525" s="1" t="n">
        <v>37</v>
      </c>
      <c r="O1525" s="149" t="n">
        <v>59</v>
      </c>
    </row>
    <row r="1526" customFormat="false" ht="14.25" hidden="false" customHeight="false" outlineLevel="0" collapsed="false">
      <c r="A1526" s="1" t="n">
        <v>25</v>
      </c>
      <c r="B1526" s="1" t="s">
        <v>475</v>
      </c>
      <c r="C1526" s="143" t="n">
        <v>21265</v>
      </c>
      <c r="D1526" s="143" t="s">
        <v>76</v>
      </c>
      <c r="E1526" s="143" t="s">
        <v>479</v>
      </c>
      <c r="F1526" s="144" t="n">
        <v>200025888497</v>
      </c>
      <c r="G1526" s="144" t="s">
        <v>267</v>
      </c>
      <c r="H1526" s="144" t="n">
        <v>36</v>
      </c>
      <c r="I1526" s="144" t="s">
        <v>152</v>
      </c>
      <c r="J1526" s="151" t="n">
        <v>45079.5799305556</v>
      </c>
      <c r="K1526" s="1" t="n">
        <v>3</v>
      </c>
      <c r="L1526" s="144" t="n">
        <v>36</v>
      </c>
      <c r="M1526" s="1" t="n">
        <v>37</v>
      </c>
      <c r="N1526" s="1" t="n">
        <v>37</v>
      </c>
      <c r="O1526" s="149" t="n">
        <v>60</v>
      </c>
    </row>
    <row r="1527" customFormat="false" ht="14.25" hidden="false" customHeight="false" outlineLevel="0" collapsed="false">
      <c r="A1527" s="1" t="n">
        <v>26</v>
      </c>
      <c r="B1527" s="1" t="s">
        <v>491</v>
      </c>
      <c r="C1527" s="143" t="s">
        <v>52</v>
      </c>
      <c r="D1527" s="143" t="s">
        <v>53</v>
      </c>
      <c r="E1527" s="143" t="s">
        <v>474</v>
      </c>
      <c r="F1527" s="144" t="n">
        <v>200025888497</v>
      </c>
      <c r="G1527" s="144" t="s">
        <v>267</v>
      </c>
      <c r="H1527" s="144" t="n">
        <v>36</v>
      </c>
      <c r="I1527" s="144" t="s">
        <v>152</v>
      </c>
      <c r="J1527" s="151" t="n">
        <v>45079.6005324074</v>
      </c>
      <c r="K1527" s="1" t="n">
        <v>4</v>
      </c>
      <c r="L1527" s="144" t="n">
        <v>36</v>
      </c>
      <c r="M1527" s="1" t="n">
        <v>37</v>
      </c>
      <c r="N1527" s="1" t="n">
        <v>37</v>
      </c>
      <c r="O1527" s="149" t="n">
        <v>61</v>
      </c>
    </row>
    <row r="1528" customFormat="false" ht="14.25" hidden="false" customHeight="false" outlineLevel="0" collapsed="false">
      <c r="A1528" s="1" t="n">
        <v>410</v>
      </c>
      <c r="B1528" s="1" t="s">
        <v>473</v>
      </c>
      <c r="C1528" s="143" t="n">
        <v>11490</v>
      </c>
      <c r="D1528" s="143" t="s">
        <v>65</v>
      </c>
      <c r="E1528" s="143" t="s">
        <v>474</v>
      </c>
      <c r="F1528" s="144" t="n">
        <v>200025889375</v>
      </c>
      <c r="G1528" s="144" t="n">
        <v>21373</v>
      </c>
      <c r="H1528" s="144" t="n">
        <v>50</v>
      </c>
      <c r="I1528" s="144" t="s">
        <v>152</v>
      </c>
      <c r="J1528" s="6" t="n">
        <v>45057.7929513889</v>
      </c>
      <c r="K1528" s="1" t="n">
        <v>0</v>
      </c>
      <c r="L1528" s="144" t="n">
        <v>50</v>
      </c>
      <c r="M1528" s="1" t="n">
        <v>38</v>
      </c>
      <c r="N1528" s="1" t="n">
        <v>38</v>
      </c>
      <c r="O1528" s="149" t="n">
        <v>1</v>
      </c>
    </row>
    <row r="1529" customFormat="false" ht="14.25" hidden="false" customHeight="false" outlineLevel="0" collapsed="false">
      <c r="A1529" s="1" t="n">
        <v>337</v>
      </c>
      <c r="B1529" s="1" t="s">
        <v>475</v>
      </c>
      <c r="C1529" s="143" t="s">
        <v>52</v>
      </c>
      <c r="D1529" s="143" t="s">
        <v>53</v>
      </c>
      <c r="E1529" s="143" t="s">
        <v>474</v>
      </c>
      <c r="F1529" s="144" t="n">
        <v>200025889375</v>
      </c>
      <c r="G1529" s="144" t="n">
        <v>21373</v>
      </c>
      <c r="H1529" s="144" t="n">
        <v>50</v>
      </c>
      <c r="I1529" s="144" t="s">
        <v>152</v>
      </c>
      <c r="J1529" s="151" t="n">
        <v>45058.8059375</v>
      </c>
      <c r="K1529" s="1" t="n">
        <v>3</v>
      </c>
      <c r="L1529" s="144" t="n">
        <v>50</v>
      </c>
      <c r="M1529" s="1" t="n">
        <v>38</v>
      </c>
      <c r="N1529" s="1" t="n">
        <v>38</v>
      </c>
      <c r="O1529" s="149" t="n">
        <v>2</v>
      </c>
    </row>
    <row r="1530" customFormat="false" ht="14.25" hidden="false" customHeight="false" outlineLevel="0" collapsed="false">
      <c r="A1530" s="1" t="n">
        <v>337</v>
      </c>
      <c r="B1530" s="1" t="s">
        <v>476</v>
      </c>
      <c r="C1530" s="143" t="s">
        <v>58</v>
      </c>
      <c r="D1530" s="143" t="s">
        <v>59</v>
      </c>
      <c r="E1530" s="143" t="s">
        <v>474</v>
      </c>
      <c r="F1530" s="144" t="n">
        <v>200025889375</v>
      </c>
      <c r="G1530" s="144" t="n">
        <v>21373</v>
      </c>
      <c r="H1530" s="144" t="n">
        <v>50</v>
      </c>
      <c r="I1530" s="144" t="s">
        <v>152</v>
      </c>
      <c r="J1530" s="6" t="n">
        <v>45058.9022569444</v>
      </c>
      <c r="K1530" s="1" t="n">
        <v>3</v>
      </c>
      <c r="L1530" s="144" t="n">
        <v>50</v>
      </c>
      <c r="M1530" s="1" t="n">
        <v>38</v>
      </c>
      <c r="N1530" s="1" t="n">
        <v>38</v>
      </c>
      <c r="O1530" s="149" t="n">
        <v>3</v>
      </c>
    </row>
    <row r="1531" customFormat="false" ht="14.25" hidden="false" customHeight="false" outlineLevel="0" collapsed="false">
      <c r="A1531" s="1" t="n">
        <v>338</v>
      </c>
      <c r="B1531" s="1" t="s">
        <v>476</v>
      </c>
      <c r="C1531" s="143" t="s">
        <v>58</v>
      </c>
      <c r="D1531" s="143" t="s">
        <v>59</v>
      </c>
      <c r="E1531" s="143" t="s">
        <v>474</v>
      </c>
      <c r="F1531" s="144" t="n">
        <v>200025889375</v>
      </c>
      <c r="G1531" s="144" t="n">
        <v>21373</v>
      </c>
      <c r="H1531" s="144" t="n">
        <v>50</v>
      </c>
      <c r="I1531" s="144" t="s">
        <v>152</v>
      </c>
      <c r="J1531" s="6" t="n">
        <v>45058.9027777778</v>
      </c>
      <c r="K1531" s="1" t="n">
        <v>2</v>
      </c>
      <c r="L1531" s="144" t="n">
        <v>50</v>
      </c>
      <c r="M1531" s="1" t="n">
        <v>38</v>
      </c>
      <c r="N1531" s="1" t="n">
        <v>38</v>
      </c>
      <c r="O1531" s="149" t="n">
        <v>4</v>
      </c>
    </row>
    <row r="1532" customFormat="false" ht="14.25" hidden="false" customHeight="false" outlineLevel="0" collapsed="false">
      <c r="A1532" s="1" t="n">
        <v>339</v>
      </c>
      <c r="B1532" s="1" t="s">
        <v>476</v>
      </c>
      <c r="C1532" s="143" t="s">
        <v>58</v>
      </c>
      <c r="D1532" s="143" t="s">
        <v>59</v>
      </c>
      <c r="E1532" s="143" t="s">
        <v>474</v>
      </c>
      <c r="F1532" s="144" t="n">
        <v>200025889375</v>
      </c>
      <c r="G1532" s="144" t="n">
        <v>21373</v>
      </c>
      <c r="H1532" s="144" t="n">
        <v>50</v>
      </c>
      <c r="I1532" s="144" t="s">
        <v>152</v>
      </c>
      <c r="J1532" s="6" t="n">
        <v>45058.9050810185</v>
      </c>
      <c r="K1532" s="1" t="n">
        <v>4</v>
      </c>
      <c r="L1532" s="144" t="n">
        <v>50</v>
      </c>
      <c r="M1532" s="1" t="n">
        <v>38</v>
      </c>
      <c r="N1532" s="1" t="n">
        <v>38</v>
      </c>
      <c r="O1532" s="149" t="n">
        <v>5</v>
      </c>
    </row>
    <row r="1533" customFormat="false" ht="14.25" hidden="false" customHeight="false" outlineLevel="0" collapsed="false">
      <c r="A1533" s="1" t="n">
        <v>340</v>
      </c>
      <c r="B1533" s="1" t="s">
        <v>476</v>
      </c>
      <c r="C1533" s="143" t="s">
        <v>58</v>
      </c>
      <c r="D1533" s="143" t="s">
        <v>59</v>
      </c>
      <c r="E1533" s="143" t="s">
        <v>474</v>
      </c>
      <c r="F1533" s="144" t="n">
        <v>200025889375</v>
      </c>
      <c r="G1533" s="144" t="n">
        <v>21373</v>
      </c>
      <c r="H1533" s="144" t="n">
        <v>50</v>
      </c>
      <c r="I1533" s="144" t="s">
        <v>152</v>
      </c>
      <c r="J1533" s="6" t="n">
        <v>45058.9056134259</v>
      </c>
      <c r="K1533" s="1" t="n">
        <v>1</v>
      </c>
      <c r="L1533" s="144" t="n">
        <v>50</v>
      </c>
      <c r="M1533" s="1" t="n">
        <v>38</v>
      </c>
      <c r="N1533" s="1" t="n">
        <v>38</v>
      </c>
      <c r="O1533" s="149" t="n">
        <v>6</v>
      </c>
    </row>
    <row r="1534" customFormat="false" ht="14.25" hidden="false" customHeight="false" outlineLevel="0" collapsed="false">
      <c r="A1534" s="1" t="n">
        <v>341</v>
      </c>
      <c r="B1534" s="1" t="s">
        <v>476</v>
      </c>
      <c r="C1534" s="143" t="s">
        <v>58</v>
      </c>
      <c r="D1534" s="143" t="s">
        <v>59</v>
      </c>
      <c r="E1534" s="143" t="s">
        <v>474</v>
      </c>
      <c r="F1534" s="144" t="n">
        <v>200025889375</v>
      </c>
      <c r="G1534" s="144" t="n">
        <v>21373</v>
      </c>
      <c r="H1534" s="144" t="n">
        <v>50</v>
      </c>
      <c r="I1534" s="144" t="s">
        <v>152</v>
      </c>
      <c r="J1534" s="6" t="n">
        <v>45058.9071412037</v>
      </c>
      <c r="K1534" s="1" t="n">
        <v>2</v>
      </c>
      <c r="L1534" s="144" t="n">
        <v>50</v>
      </c>
      <c r="M1534" s="1" t="n">
        <v>38</v>
      </c>
      <c r="N1534" s="1" t="n">
        <v>38</v>
      </c>
      <c r="O1534" s="149" t="n">
        <v>7</v>
      </c>
    </row>
    <row r="1535" customFormat="false" ht="14.25" hidden="false" customHeight="false" outlineLevel="0" collapsed="false">
      <c r="A1535" s="1" t="n">
        <v>342</v>
      </c>
      <c r="B1535" s="1" t="s">
        <v>476</v>
      </c>
      <c r="C1535" s="143" t="s">
        <v>58</v>
      </c>
      <c r="D1535" s="143" t="s">
        <v>59</v>
      </c>
      <c r="E1535" s="143" t="s">
        <v>474</v>
      </c>
      <c r="F1535" s="144" t="n">
        <v>200025889375</v>
      </c>
      <c r="G1535" s="144" t="n">
        <v>21373</v>
      </c>
      <c r="H1535" s="144" t="n">
        <v>50</v>
      </c>
      <c r="I1535" s="144" t="s">
        <v>152</v>
      </c>
      <c r="J1535" s="6" t="n">
        <v>45058.907974537</v>
      </c>
      <c r="K1535" s="1" t="n">
        <v>0</v>
      </c>
      <c r="L1535" s="144" t="n">
        <v>50</v>
      </c>
      <c r="M1535" s="1" t="n">
        <v>38</v>
      </c>
      <c r="N1535" s="1" t="n">
        <v>38</v>
      </c>
      <c r="O1535" s="149" t="n">
        <v>8</v>
      </c>
    </row>
    <row r="1536" customFormat="false" ht="14.25" hidden="false" customHeight="false" outlineLevel="0" collapsed="false">
      <c r="A1536" s="1" t="n">
        <v>343</v>
      </c>
      <c r="B1536" s="1" t="s">
        <v>476</v>
      </c>
      <c r="C1536" s="143" t="s">
        <v>58</v>
      </c>
      <c r="D1536" s="143" t="s">
        <v>59</v>
      </c>
      <c r="E1536" s="143" t="s">
        <v>474</v>
      </c>
      <c r="F1536" s="144" t="n">
        <v>200025889375</v>
      </c>
      <c r="G1536" s="144" t="n">
        <v>21373</v>
      </c>
      <c r="H1536" s="144" t="n">
        <v>50</v>
      </c>
      <c r="I1536" s="144" t="s">
        <v>152</v>
      </c>
      <c r="J1536" s="6" t="n">
        <v>45058.9107175926</v>
      </c>
      <c r="K1536" s="1" t="n">
        <v>1</v>
      </c>
      <c r="L1536" s="144" t="n">
        <v>50</v>
      </c>
      <c r="M1536" s="1" t="n">
        <v>38</v>
      </c>
      <c r="N1536" s="1" t="n">
        <v>38</v>
      </c>
      <c r="O1536" s="149" t="n">
        <v>9</v>
      </c>
    </row>
    <row r="1537" customFormat="false" ht="14.25" hidden="false" customHeight="false" outlineLevel="0" collapsed="false">
      <c r="A1537" s="1" t="n">
        <v>344</v>
      </c>
      <c r="B1537" s="1" t="s">
        <v>476</v>
      </c>
      <c r="C1537" s="143" t="s">
        <v>58</v>
      </c>
      <c r="D1537" s="143" t="s">
        <v>59</v>
      </c>
      <c r="E1537" s="143" t="s">
        <v>474</v>
      </c>
      <c r="F1537" s="144" t="n">
        <v>200025889375</v>
      </c>
      <c r="G1537" s="144" t="n">
        <v>21373</v>
      </c>
      <c r="H1537" s="144" t="n">
        <v>50</v>
      </c>
      <c r="I1537" s="144" t="s">
        <v>152</v>
      </c>
      <c r="J1537" s="6" t="n">
        <v>45058.9109837963</v>
      </c>
      <c r="K1537" s="1" t="n">
        <v>3</v>
      </c>
      <c r="L1537" s="144" t="n">
        <v>50</v>
      </c>
      <c r="M1537" s="1" t="n">
        <v>38</v>
      </c>
      <c r="N1537" s="1" t="n">
        <v>38</v>
      </c>
      <c r="O1537" s="149" t="n">
        <v>10</v>
      </c>
    </row>
    <row r="1538" customFormat="false" ht="14.25" hidden="false" customHeight="false" outlineLevel="0" collapsed="false">
      <c r="A1538" s="1" t="n">
        <v>345</v>
      </c>
      <c r="B1538" s="1" t="s">
        <v>476</v>
      </c>
      <c r="C1538" s="143" t="s">
        <v>58</v>
      </c>
      <c r="D1538" s="143" t="s">
        <v>59</v>
      </c>
      <c r="E1538" s="143" t="s">
        <v>474</v>
      </c>
      <c r="F1538" s="144" t="n">
        <v>200025889375</v>
      </c>
      <c r="G1538" s="144" t="n">
        <v>21373</v>
      </c>
      <c r="H1538" s="144" t="n">
        <v>50</v>
      </c>
      <c r="I1538" s="144" t="s">
        <v>152</v>
      </c>
      <c r="J1538" s="6" t="n">
        <v>45058.9125462963</v>
      </c>
      <c r="K1538" s="1" t="n">
        <v>1</v>
      </c>
      <c r="L1538" s="144" t="n">
        <v>50</v>
      </c>
      <c r="M1538" s="1" t="n">
        <v>38</v>
      </c>
      <c r="N1538" s="1" t="n">
        <v>38</v>
      </c>
      <c r="O1538" s="149" t="n">
        <v>11</v>
      </c>
    </row>
    <row r="1539" customFormat="false" ht="14.25" hidden="false" customHeight="false" outlineLevel="0" collapsed="false">
      <c r="A1539" s="1" t="n">
        <v>346</v>
      </c>
      <c r="B1539" s="1" t="s">
        <v>476</v>
      </c>
      <c r="C1539" s="143" t="s">
        <v>58</v>
      </c>
      <c r="D1539" s="143" t="s">
        <v>59</v>
      </c>
      <c r="E1539" s="143" t="s">
        <v>474</v>
      </c>
      <c r="F1539" s="144" t="n">
        <v>200025889375</v>
      </c>
      <c r="G1539" s="144" t="n">
        <v>21373</v>
      </c>
      <c r="H1539" s="144" t="n">
        <v>50</v>
      </c>
      <c r="I1539" s="144" t="s">
        <v>152</v>
      </c>
      <c r="J1539" s="6" t="n">
        <v>45058.9137268519</v>
      </c>
      <c r="K1539" s="1" t="n">
        <v>1</v>
      </c>
      <c r="L1539" s="144" t="n">
        <v>50</v>
      </c>
      <c r="M1539" s="1" t="n">
        <v>38</v>
      </c>
      <c r="N1539" s="1" t="n">
        <v>38</v>
      </c>
      <c r="O1539" s="149" t="n">
        <v>12</v>
      </c>
    </row>
    <row r="1540" customFormat="false" ht="14.25" hidden="false" customHeight="false" outlineLevel="0" collapsed="false">
      <c r="A1540" s="1" t="n">
        <v>347</v>
      </c>
      <c r="B1540" s="1" t="s">
        <v>476</v>
      </c>
      <c r="C1540" s="143" t="s">
        <v>58</v>
      </c>
      <c r="D1540" s="143" t="s">
        <v>59</v>
      </c>
      <c r="E1540" s="143" t="s">
        <v>474</v>
      </c>
      <c r="F1540" s="144" t="n">
        <v>200025889375</v>
      </c>
      <c r="G1540" s="144" t="n">
        <v>21373</v>
      </c>
      <c r="H1540" s="144" t="n">
        <v>50</v>
      </c>
      <c r="I1540" s="144" t="s">
        <v>152</v>
      </c>
      <c r="J1540" s="6" t="n">
        <v>45058.9264699074</v>
      </c>
      <c r="K1540" s="1" t="n">
        <v>1</v>
      </c>
      <c r="L1540" s="144" t="n">
        <v>50</v>
      </c>
      <c r="M1540" s="1" t="n">
        <v>38</v>
      </c>
      <c r="N1540" s="1" t="n">
        <v>38</v>
      </c>
      <c r="O1540" s="149" t="n">
        <v>13</v>
      </c>
    </row>
    <row r="1541" customFormat="false" ht="14.25" hidden="false" customHeight="false" outlineLevel="0" collapsed="false">
      <c r="A1541" s="1" t="n">
        <v>338</v>
      </c>
      <c r="B1541" s="1" t="s">
        <v>475</v>
      </c>
      <c r="C1541" s="143" t="s">
        <v>52</v>
      </c>
      <c r="D1541" s="143" t="s">
        <v>53</v>
      </c>
      <c r="E1541" s="143" t="s">
        <v>474</v>
      </c>
      <c r="F1541" s="144" t="n">
        <v>200025889375</v>
      </c>
      <c r="G1541" s="144" t="n">
        <v>21373</v>
      </c>
      <c r="H1541" s="144" t="n">
        <v>50</v>
      </c>
      <c r="I1541" s="144" t="s">
        <v>152</v>
      </c>
      <c r="J1541" s="151" t="n">
        <v>45059.0421180556</v>
      </c>
      <c r="K1541" s="1" t="n">
        <v>1</v>
      </c>
      <c r="L1541" s="144" t="n">
        <v>50</v>
      </c>
      <c r="M1541" s="1" t="n">
        <v>38</v>
      </c>
      <c r="N1541" s="1" t="n">
        <v>38</v>
      </c>
      <c r="O1541" s="149" t="n">
        <v>14</v>
      </c>
    </row>
    <row r="1542" customFormat="false" ht="14.25" hidden="false" customHeight="false" outlineLevel="0" collapsed="false">
      <c r="A1542" s="1" t="n">
        <v>339</v>
      </c>
      <c r="B1542" s="1" t="s">
        <v>475</v>
      </c>
      <c r="C1542" s="143" t="s">
        <v>52</v>
      </c>
      <c r="D1542" s="143" t="s">
        <v>53</v>
      </c>
      <c r="E1542" s="143" t="s">
        <v>474</v>
      </c>
      <c r="F1542" s="144" t="s">
        <v>501</v>
      </c>
      <c r="G1542" s="144" t="n">
        <v>21373</v>
      </c>
      <c r="H1542" s="144" t="n">
        <v>50</v>
      </c>
      <c r="I1542" s="144" t="s">
        <v>152</v>
      </c>
      <c r="J1542" s="151" t="n">
        <v>45059.0431481482</v>
      </c>
      <c r="K1542" s="1" t="n">
        <v>1</v>
      </c>
      <c r="L1542" s="144" t="n">
        <v>50</v>
      </c>
      <c r="M1542" s="1" t="n">
        <v>38</v>
      </c>
      <c r="N1542" s="1" t="n">
        <v>38</v>
      </c>
      <c r="O1542" s="149" t="n">
        <v>15</v>
      </c>
    </row>
    <row r="1543" customFormat="false" ht="14.25" hidden="false" customHeight="false" outlineLevel="0" collapsed="false">
      <c r="A1543" s="1" t="n">
        <v>13</v>
      </c>
      <c r="B1543" s="1" t="s">
        <v>476</v>
      </c>
      <c r="C1543" s="143" t="n">
        <v>11490</v>
      </c>
      <c r="D1543" s="143" t="s">
        <v>65</v>
      </c>
      <c r="E1543" s="143" t="s">
        <v>474</v>
      </c>
      <c r="F1543" s="144" t="n">
        <v>200025889375</v>
      </c>
      <c r="G1543" s="144" t="n">
        <v>21373</v>
      </c>
      <c r="H1543" s="144" t="n">
        <v>50</v>
      </c>
      <c r="I1543" s="144" t="s">
        <v>152</v>
      </c>
      <c r="J1543" s="6" t="n">
        <v>45063.4201388889</v>
      </c>
      <c r="K1543" s="1" t="n">
        <v>1</v>
      </c>
      <c r="L1543" s="144" t="n">
        <v>50</v>
      </c>
      <c r="M1543" s="1" t="n">
        <v>38</v>
      </c>
      <c r="N1543" s="1" t="n">
        <v>38</v>
      </c>
      <c r="O1543" s="149" t="n">
        <v>16</v>
      </c>
    </row>
    <row r="1544" customFormat="false" ht="14.25" hidden="false" customHeight="false" outlineLevel="0" collapsed="false">
      <c r="A1544" s="1" t="n">
        <v>14</v>
      </c>
      <c r="B1544" s="1" t="s">
        <v>476</v>
      </c>
      <c r="C1544" s="143" t="n">
        <v>11490</v>
      </c>
      <c r="D1544" s="143" t="s">
        <v>65</v>
      </c>
      <c r="E1544" s="143" t="s">
        <v>474</v>
      </c>
      <c r="F1544" s="144" t="n">
        <v>200025889375</v>
      </c>
      <c r="G1544" s="144" t="n">
        <v>21373</v>
      </c>
      <c r="H1544" s="144" t="n">
        <v>50</v>
      </c>
      <c r="I1544" s="144" t="s">
        <v>152</v>
      </c>
      <c r="J1544" s="6" t="n">
        <v>45063.4203356481</v>
      </c>
      <c r="K1544" s="1" t="n">
        <v>1</v>
      </c>
      <c r="L1544" s="144" t="n">
        <v>50</v>
      </c>
      <c r="M1544" s="1" t="n">
        <v>38</v>
      </c>
      <c r="N1544" s="1" t="n">
        <v>38</v>
      </c>
      <c r="O1544" s="149" t="n">
        <v>17</v>
      </c>
    </row>
    <row r="1545" customFormat="false" ht="14.25" hidden="false" customHeight="false" outlineLevel="0" collapsed="false">
      <c r="A1545" s="1" t="n">
        <v>29</v>
      </c>
      <c r="B1545" s="1" t="s">
        <v>476</v>
      </c>
      <c r="C1545" s="143" t="n">
        <v>11490</v>
      </c>
      <c r="D1545" s="143" t="s">
        <v>65</v>
      </c>
      <c r="E1545" s="143" t="s">
        <v>474</v>
      </c>
      <c r="F1545" s="144" t="n">
        <v>200025889375</v>
      </c>
      <c r="G1545" s="144" t="n">
        <v>21373</v>
      </c>
      <c r="H1545" s="144" t="n">
        <v>50</v>
      </c>
      <c r="I1545" s="144" t="s">
        <v>152</v>
      </c>
      <c r="J1545" s="151" t="n">
        <v>45066.4847337963</v>
      </c>
      <c r="K1545" s="1" t="n">
        <v>1</v>
      </c>
      <c r="L1545" s="144" t="n">
        <v>50</v>
      </c>
      <c r="M1545" s="1" t="n">
        <v>38</v>
      </c>
      <c r="N1545" s="1" t="n">
        <v>38</v>
      </c>
      <c r="O1545" s="149" t="n">
        <v>18</v>
      </c>
    </row>
    <row r="1546" customFormat="false" ht="14.25" hidden="false" customHeight="false" outlineLevel="0" collapsed="false">
      <c r="A1546" s="1" t="n">
        <v>38</v>
      </c>
      <c r="B1546" s="1" t="s">
        <v>476</v>
      </c>
      <c r="C1546" s="143" t="n">
        <v>11490</v>
      </c>
      <c r="D1546" s="143" t="s">
        <v>65</v>
      </c>
      <c r="E1546" s="143" t="s">
        <v>474</v>
      </c>
      <c r="F1546" s="144" t="n">
        <v>200025889375</v>
      </c>
      <c r="G1546" s="144" t="n">
        <v>21373</v>
      </c>
      <c r="H1546" s="144" t="n">
        <v>50</v>
      </c>
      <c r="I1546" s="144" t="s">
        <v>152</v>
      </c>
      <c r="J1546" s="151" t="n">
        <v>45068.592662037</v>
      </c>
      <c r="K1546" s="1" t="n">
        <v>2</v>
      </c>
      <c r="L1546" s="144" t="n">
        <v>50</v>
      </c>
      <c r="M1546" s="1" t="n">
        <v>38</v>
      </c>
      <c r="N1546" s="1" t="n">
        <v>38</v>
      </c>
      <c r="O1546" s="149" t="n">
        <v>19</v>
      </c>
    </row>
    <row r="1547" customFormat="false" ht="14.25" hidden="false" customHeight="false" outlineLevel="0" collapsed="false">
      <c r="A1547" s="1" t="n">
        <v>57</v>
      </c>
      <c r="B1547" s="1" t="s">
        <v>478</v>
      </c>
      <c r="C1547" s="143" t="n">
        <v>21265</v>
      </c>
      <c r="D1547" s="143" t="s">
        <v>76</v>
      </c>
      <c r="E1547" s="143" t="s">
        <v>474</v>
      </c>
      <c r="F1547" s="144" t="n">
        <v>200025889375</v>
      </c>
      <c r="G1547" s="144" t="n">
        <v>21373</v>
      </c>
      <c r="H1547" s="144" t="n">
        <v>50</v>
      </c>
      <c r="I1547" s="144" t="s">
        <v>152</v>
      </c>
      <c r="J1547" s="6" t="n">
        <v>45068.6099305556</v>
      </c>
      <c r="K1547" s="1" t="n">
        <v>0</v>
      </c>
      <c r="L1547" s="144" t="n">
        <v>50</v>
      </c>
      <c r="M1547" s="1" t="n">
        <v>38</v>
      </c>
      <c r="N1547" s="1" t="n">
        <v>38</v>
      </c>
      <c r="O1547" s="149" t="n">
        <v>20</v>
      </c>
    </row>
    <row r="1548" customFormat="false" ht="14.25" hidden="false" customHeight="false" outlineLevel="0" collapsed="false">
      <c r="A1548" s="1" t="n">
        <v>192</v>
      </c>
      <c r="B1548" s="1" t="s">
        <v>477</v>
      </c>
      <c r="C1548" s="143" t="s">
        <v>52</v>
      </c>
      <c r="D1548" s="143" t="s">
        <v>53</v>
      </c>
      <c r="E1548" s="143" t="s">
        <v>474</v>
      </c>
      <c r="F1548" s="144" t="n">
        <v>200025889375</v>
      </c>
      <c r="G1548" s="144" t="n">
        <v>21373</v>
      </c>
      <c r="H1548" s="144" t="n">
        <v>50</v>
      </c>
      <c r="I1548" s="144" t="s">
        <v>152</v>
      </c>
      <c r="J1548" s="152" t="n">
        <v>45074.9243402778</v>
      </c>
      <c r="K1548" s="1" t="n">
        <v>1</v>
      </c>
      <c r="L1548" s="144" t="n">
        <v>50</v>
      </c>
      <c r="M1548" s="1" t="n">
        <v>38</v>
      </c>
      <c r="N1548" s="1" t="n">
        <v>38</v>
      </c>
      <c r="O1548" s="149" t="n">
        <v>21</v>
      </c>
    </row>
    <row r="1549" customFormat="false" ht="14.25" hidden="false" customHeight="false" outlineLevel="0" collapsed="false">
      <c r="A1549" s="1" t="n">
        <v>193</v>
      </c>
      <c r="B1549" s="1" t="s">
        <v>477</v>
      </c>
      <c r="C1549" s="143" t="s">
        <v>52</v>
      </c>
      <c r="D1549" s="143" t="s">
        <v>53</v>
      </c>
      <c r="E1549" s="143" t="s">
        <v>474</v>
      </c>
      <c r="F1549" s="144" t="n">
        <v>200025889375</v>
      </c>
      <c r="G1549" s="144" t="n">
        <v>21373</v>
      </c>
      <c r="H1549" s="144" t="n">
        <v>50</v>
      </c>
      <c r="I1549" s="144" t="s">
        <v>152</v>
      </c>
      <c r="J1549" s="152" t="n">
        <v>45074.967962963</v>
      </c>
      <c r="K1549" s="1" t="n">
        <v>4</v>
      </c>
      <c r="L1549" s="144" t="n">
        <v>50</v>
      </c>
      <c r="M1549" s="1" t="n">
        <v>38</v>
      </c>
      <c r="N1549" s="1" t="n">
        <v>38</v>
      </c>
      <c r="O1549" s="149" t="n">
        <v>22</v>
      </c>
    </row>
    <row r="1550" customFormat="false" ht="14.25" hidden="false" customHeight="false" outlineLevel="0" collapsed="false">
      <c r="A1550" s="1" t="n">
        <v>185</v>
      </c>
      <c r="B1550" s="1" t="s">
        <v>476</v>
      </c>
      <c r="C1550" s="143" t="n">
        <v>91601</v>
      </c>
      <c r="D1550" s="143" t="s">
        <v>65</v>
      </c>
      <c r="E1550" s="155" t="s">
        <v>474</v>
      </c>
      <c r="F1550" s="144" t="n">
        <v>200025889375</v>
      </c>
      <c r="G1550" s="144" t="n">
        <v>21373</v>
      </c>
      <c r="H1550" s="144" t="n">
        <v>50</v>
      </c>
      <c r="I1550" s="144" t="s">
        <v>152</v>
      </c>
      <c r="J1550" s="6" t="n">
        <v>45075.5668518519</v>
      </c>
      <c r="K1550" s="1" t="n">
        <v>2</v>
      </c>
      <c r="L1550" s="144" t="n">
        <v>50</v>
      </c>
      <c r="M1550" s="1" t="n">
        <v>38</v>
      </c>
      <c r="N1550" s="1" t="n">
        <v>38</v>
      </c>
      <c r="O1550" s="149" t="n">
        <v>23</v>
      </c>
    </row>
    <row r="1551" customFormat="false" ht="14.25" hidden="false" customHeight="false" outlineLevel="0" collapsed="false">
      <c r="A1551" s="1" t="n">
        <v>423</v>
      </c>
      <c r="B1551" s="1" t="s">
        <v>473</v>
      </c>
      <c r="C1551" s="143" t="n">
        <v>11490</v>
      </c>
      <c r="D1551" s="143" t="s">
        <v>65</v>
      </c>
      <c r="E1551" s="143" t="s">
        <v>474</v>
      </c>
      <c r="F1551" s="144" t="n">
        <v>200025889427</v>
      </c>
      <c r="G1551" s="144" t="s">
        <v>215</v>
      </c>
      <c r="H1551" s="144" t="n">
        <v>10</v>
      </c>
      <c r="I1551" s="144" t="s">
        <v>152</v>
      </c>
      <c r="J1551" s="151" t="n">
        <v>45057.8102199074</v>
      </c>
      <c r="K1551" s="1" t="n">
        <v>1</v>
      </c>
      <c r="L1551" s="144" t="n">
        <v>10</v>
      </c>
      <c r="M1551" s="1" t="n">
        <v>39</v>
      </c>
      <c r="N1551" s="1" t="n">
        <v>39</v>
      </c>
      <c r="O1551" s="149" t="n">
        <v>1</v>
      </c>
    </row>
    <row r="1552" customFormat="false" ht="14.25" hidden="false" customHeight="false" outlineLevel="0" collapsed="false">
      <c r="A1552" s="1" t="n">
        <v>424</v>
      </c>
      <c r="B1552" s="1" t="s">
        <v>473</v>
      </c>
      <c r="C1552" s="143" t="n">
        <v>11490</v>
      </c>
      <c r="D1552" s="143" t="s">
        <v>65</v>
      </c>
      <c r="E1552" s="143" t="s">
        <v>474</v>
      </c>
      <c r="F1552" s="144" t="n">
        <v>200025889427</v>
      </c>
      <c r="G1552" s="144" t="s">
        <v>215</v>
      </c>
      <c r="H1552" s="144" t="n">
        <v>10</v>
      </c>
      <c r="I1552" s="144" t="s">
        <v>152</v>
      </c>
      <c r="J1552" s="151" t="n">
        <v>45057.8105324074</v>
      </c>
      <c r="K1552" s="1" t="n">
        <v>1</v>
      </c>
      <c r="L1552" s="144" t="n">
        <v>10</v>
      </c>
      <c r="M1552" s="1" t="n">
        <v>39</v>
      </c>
      <c r="N1552" s="1" t="n">
        <v>39</v>
      </c>
      <c r="O1552" s="149" t="n">
        <v>2</v>
      </c>
    </row>
    <row r="1553" customFormat="false" ht="14.25" hidden="false" customHeight="false" outlineLevel="0" collapsed="false">
      <c r="A1553" s="1" t="n">
        <v>425</v>
      </c>
      <c r="B1553" s="1" t="s">
        <v>473</v>
      </c>
      <c r="C1553" s="143" t="n">
        <v>11490</v>
      </c>
      <c r="D1553" s="143" t="s">
        <v>65</v>
      </c>
      <c r="E1553" s="143" t="s">
        <v>474</v>
      </c>
      <c r="F1553" s="144" t="n">
        <v>200025889427</v>
      </c>
      <c r="G1553" s="144" t="s">
        <v>215</v>
      </c>
      <c r="H1553" s="144" t="n">
        <v>10</v>
      </c>
      <c r="I1553" s="144" t="s">
        <v>152</v>
      </c>
      <c r="J1553" s="151" t="n">
        <v>45057.8109837963</v>
      </c>
      <c r="K1553" s="1" t="n">
        <v>1</v>
      </c>
      <c r="L1553" s="144" t="n">
        <v>10</v>
      </c>
      <c r="M1553" s="1" t="n">
        <v>39</v>
      </c>
      <c r="N1553" s="1" t="n">
        <v>39</v>
      </c>
      <c r="O1553" s="149" t="n">
        <v>3</v>
      </c>
    </row>
    <row r="1554" customFormat="false" ht="14.25" hidden="false" customHeight="false" outlineLevel="0" collapsed="false">
      <c r="A1554" s="1" t="n">
        <v>426</v>
      </c>
      <c r="B1554" s="1" t="s">
        <v>473</v>
      </c>
      <c r="C1554" s="143" t="n">
        <v>11490</v>
      </c>
      <c r="D1554" s="143" t="s">
        <v>65</v>
      </c>
      <c r="E1554" s="143" t="s">
        <v>474</v>
      </c>
      <c r="F1554" s="144" t="n">
        <v>200025889427</v>
      </c>
      <c r="G1554" s="144" t="s">
        <v>215</v>
      </c>
      <c r="H1554" s="144" t="n">
        <v>10</v>
      </c>
      <c r="I1554" s="144" t="s">
        <v>152</v>
      </c>
      <c r="J1554" s="151" t="n">
        <v>45057.8111458333</v>
      </c>
      <c r="K1554" s="1" t="n">
        <v>0</v>
      </c>
      <c r="L1554" s="144" t="n">
        <v>10</v>
      </c>
      <c r="M1554" s="1" t="n">
        <v>39</v>
      </c>
      <c r="N1554" s="1" t="n">
        <v>39</v>
      </c>
      <c r="O1554" s="149" t="n">
        <v>4</v>
      </c>
    </row>
    <row r="1555" customFormat="false" ht="14.25" hidden="false" customHeight="false" outlineLevel="0" collapsed="false">
      <c r="A1555" s="1" t="n">
        <v>427</v>
      </c>
      <c r="B1555" s="1" t="s">
        <v>473</v>
      </c>
      <c r="C1555" s="143" t="n">
        <v>11490</v>
      </c>
      <c r="D1555" s="143" t="s">
        <v>65</v>
      </c>
      <c r="E1555" s="143" t="s">
        <v>474</v>
      </c>
      <c r="F1555" s="144" t="n">
        <v>200025889427</v>
      </c>
      <c r="G1555" s="144" t="s">
        <v>215</v>
      </c>
      <c r="H1555" s="144" t="n">
        <v>10</v>
      </c>
      <c r="I1555" s="144" t="s">
        <v>152</v>
      </c>
      <c r="J1555" s="151" t="n">
        <v>45057.8116550926</v>
      </c>
      <c r="K1555" s="1" t="n">
        <v>4</v>
      </c>
      <c r="L1555" s="144" t="n">
        <v>10</v>
      </c>
      <c r="M1555" s="1" t="n">
        <v>39</v>
      </c>
      <c r="N1555" s="1" t="n">
        <v>39</v>
      </c>
      <c r="O1555" s="149" t="n">
        <v>5</v>
      </c>
    </row>
    <row r="1556" customFormat="false" ht="14.25" hidden="false" customHeight="false" outlineLevel="0" collapsed="false">
      <c r="A1556" s="1" t="n">
        <v>428</v>
      </c>
      <c r="B1556" s="1" t="s">
        <v>473</v>
      </c>
      <c r="C1556" s="143" t="n">
        <v>11490</v>
      </c>
      <c r="D1556" s="143" t="s">
        <v>65</v>
      </c>
      <c r="E1556" s="143" t="s">
        <v>474</v>
      </c>
      <c r="F1556" s="144" t="n">
        <v>200025889427</v>
      </c>
      <c r="G1556" s="144" t="s">
        <v>215</v>
      </c>
      <c r="H1556" s="144" t="n">
        <v>10</v>
      </c>
      <c r="I1556" s="144" t="s">
        <v>152</v>
      </c>
      <c r="J1556" s="151" t="n">
        <v>45057.8119097222</v>
      </c>
      <c r="K1556" s="1" t="n">
        <v>2</v>
      </c>
      <c r="L1556" s="144" t="n">
        <v>10</v>
      </c>
      <c r="M1556" s="1" t="n">
        <v>39</v>
      </c>
      <c r="N1556" s="1" t="n">
        <v>39</v>
      </c>
      <c r="O1556" s="149" t="n">
        <v>6</v>
      </c>
    </row>
    <row r="1557" customFormat="false" ht="14.25" hidden="false" customHeight="false" outlineLevel="0" collapsed="false">
      <c r="A1557" s="1" t="n">
        <v>429</v>
      </c>
      <c r="B1557" s="1" t="s">
        <v>473</v>
      </c>
      <c r="C1557" s="143" t="n">
        <v>11490</v>
      </c>
      <c r="D1557" s="143" t="s">
        <v>65</v>
      </c>
      <c r="E1557" s="143" t="s">
        <v>474</v>
      </c>
      <c r="F1557" s="144" t="n">
        <v>200025889427</v>
      </c>
      <c r="G1557" s="144" t="s">
        <v>215</v>
      </c>
      <c r="H1557" s="144" t="n">
        <v>10</v>
      </c>
      <c r="I1557" s="144" t="s">
        <v>152</v>
      </c>
      <c r="J1557" s="151" t="n">
        <v>45057.8119560185</v>
      </c>
      <c r="K1557" s="1" t="n">
        <v>2</v>
      </c>
      <c r="L1557" s="144" t="n">
        <v>10</v>
      </c>
      <c r="M1557" s="1" t="n">
        <v>39</v>
      </c>
      <c r="N1557" s="1" t="n">
        <v>39</v>
      </c>
      <c r="O1557" s="149" t="n">
        <v>7</v>
      </c>
    </row>
    <row r="1558" customFormat="false" ht="14.25" hidden="false" customHeight="false" outlineLevel="0" collapsed="false">
      <c r="A1558" s="1" t="n">
        <v>430</v>
      </c>
      <c r="B1558" s="1" t="s">
        <v>473</v>
      </c>
      <c r="C1558" s="143" t="n">
        <v>11490</v>
      </c>
      <c r="D1558" s="143" t="s">
        <v>65</v>
      </c>
      <c r="E1558" s="143" t="s">
        <v>474</v>
      </c>
      <c r="F1558" s="144" t="n">
        <v>200025889427</v>
      </c>
      <c r="G1558" s="144" t="s">
        <v>215</v>
      </c>
      <c r="H1558" s="144" t="n">
        <v>10</v>
      </c>
      <c r="I1558" s="144" t="s">
        <v>152</v>
      </c>
      <c r="J1558" s="151" t="n">
        <v>45057.8125578704</v>
      </c>
      <c r="K1558" s="1" t="n">
        <v>1</v>
      </c>
      <c r="L1558" s="144" t="n">
        <v>10</v>
      </c>
      <c r="M1558" s="1" t="n">
        <v>39</v>
      </c>
      <c r="N1558" s="1" t="n">
        <v>39</v>
      </c>
      <c r="O1558" s="149" t="n">
        <v>8</v>
      </c>
    </row>
    <row r="1559" customFormat="false" ht="14.25" hidden="false" customHeight="false" outlineLevel="0" collapsed="false">
      <c r="A1559" s="1" t="n">
        <v>431</v>
      </c>
      <c r="B1559" s="1" t="s">
        <v>473</v>
      </c>
      <c r="C1559" s="143" t="n">
        <v>11490</v>
      </c>
      <c r="D1559" s="143" t="s">
        <v>65</v>
      </c>
      <c r="E1559" s="143" t="s">
        <v>474</v>
      </c>
      <c r="F1559" s="144" t="n">
        <v>200025889427</v>
      </c>
      <c r="G1559" s="144" t="s">
        <v>215</v>
      </c>
      <c r="H1559" s="144" t="n">
        <v>10</v>
      </c>
      <c r="I1559" s="144" t="s">
        <v>152</v>
      </c>
      <c r="J1559" s="151" t="n">
        <v>45057.8126041667</v>
      </c>
      <c r="K1559" s="1" t="n">
        <v>1</v>
      </c>
      <c r="L1559" s="144" t="n">
        <v>10</v>
      </c>
      <c r="M1559" s="1" t="n">
        <v>39</v>
      </c>
      <c r="N1559" s="1" t="n">
        <v>39</v>
      </c>
      <c r="O1559" s="149" t="n">
        <v>9</v>
      </c>
    </row>
    <row r="1560" customFormat="false" ht="14.25" hidden="false" customHeight="false" outlineLevel="0" collapsed="false">
      <c r="A1560" s="1" t="n">
        <v>432</v>
      </c>
      <c r="B1560" s="1" t="s">
        <v>473</v>
      </c>
      <c r="C1560" s="143" t="n">
        <v>11490</v>
      </c>
      <c r="D1560" s="143" t="s">
        <v>65</v>
      </c>
      <c r="E1560" s="143" t="s">
        <v>474</v>
      </c>
      <c r="F1560" s="144" t="n">
        <v>200025889427</v>
      </c>
      <c r="G1560" s="144" t="s">
        <v>215</v>
      </c>
      <c r="H1560" s="144" t="n">
        <v>10</v>
      </c>
      <c r="I1560" s="144" t="s">
        <v>152</v>
      </c>
      <c r="J1560" s="151" t="n">
        <v>45057.8126736111</v>
      </c>
      <c r="K1560" s="1" t="n">
        <v>3</v>
      </c>
      <c r="L1560" s="144" t="n">
        <v>10</v>
      </c>
      <c r="M1560" s="1" t="n">
        <v>39</v>
      </c>
      <c r="N1560" s="1" t="n">
        <v>39</v>
      </c>
      <c r="O1560" s="149" t="n">
        <v>10</v>
      </c>
    </row>
    <row r="1561" customFormat="false" ht="14.25" hidden="false" customHeight="false" outlineLevel="0" collapsed="false">
      <c r="A1561" s="1" t="n">
        <v>270</v>
      </c>
      <c r="B1561" s="1" t="s">
        <v>475</v>
      </c>
      <c r="C1561" s="143" t="s">
        <v>52</v>
      </c>
      <c r="D1561" s="143" t="s">
        <v>53</v>
      </c>
      <c r="E1561" s="143" t="s">
        <v>474</v>
      </c>
      <c r="F1561" s="144" t="n">
        <v>200025889427</v>
      </c>
      <c r="G1561" s="144" t="s">
        <v>215</v>
      </c>
      <c r="H1561" s="144" t="n">
        <v>10</v>
      </c>
      <c r="I1561" s="144" t="s">
        <v>152</v>
      </c>
      <c r="J1561" s="151" t="n">
        <v>45057.8916087963</v>
      </c>
      <c r="K1561" s="1" t="n">
        <v>1</v>
      </c>
      <c r="L1561" s="144" t="n">
        <v>10</v>
      </c>
      <c r="M1561" s="1" t="n">
        <v>39</v>
      </c>
      <c r="N1561" s="1" t="n">
        <v>39</v>
      </c>
      <c r="O1561" s="149" t="n">
        <v>11</v>
      </c>
    </row>
    <row r="1562" customFormat="false" ht="14.25" hidden="false" customHeight="false" outlineLevel="0" collapsed="false">
      <c r="A1562" s="1" t="n">
        <v>271</v>
      </c>
      <c r="B1562" s="1" t="s">
        <v>475</v>
      </c>
      <c r="C1562" s="143" t="s">
        <v>52</v>
      </c>
      <c r="D1562" s="143" t="s">
        <v>53</v>
      </c>
      <c r="E1562" s="143" t="s">
        <v>474</v>
      </c>
      <c r="F1562" s="144" t="n">
        <v>200025889427</v>
      </c>
      <c r="G1562" s="144" t="s">
        <v>215</v>
      </c>
      <c r="H1562" s="144" t="n">
        <v>10</v>
      </c>
      <c r="I1562" s="144" t="s">
        <v>152</v>
      </c>
      <c r="J1562" s="151" t="n">
        <v>45057.892349537</v>
      </c>
      <c r="K1562" s="1" t="n">
        <v>3</v>
      </c>
      <c r="L1562" s="144" t="n">
        <v>10</v>
      </c>
      <c r="M1562" s="1" t="n">
        <v>39</v>
      </c>
      <c r="N1562" s="1" t="n">
        <v>39</v>
      </c>
      <c r="O1562" s="149" t="n">
        <v>12</v>
      </c>
    </row>
    <row r="1563" customFormat="false" ht="14.25" hidden="false" customHeight="false" outlineLevel="0" collapsed="false">
      <c r="A1563" s="1" t="n">
        <v>450</v>
      </c>
      <c r="B1563" s="1" t="s">
        <v>473</v>
      </c>
      <c r="C1563" s="143" t="n">
        <v>11490</v>
      </c>
      <c r="D1563" s="143" t="s">
        <v>65</v>
      </c>
      <c r="E1563" s="143" t="s">
        <v>474</v>
      </c>
      <c r="F1563" s="144" t="n">
        <v>200025889427</v>
      </c>
      <c r="G1563" s="144" t="s">
        <v>215</v>
      </c>
      <c r="H1563" s="144" t="n">
        <v>10</v>
      </c>
      <c r="I1563" s="144" t="s">
        <v>152</v>
      </c>
      <c r="J1563" s="151" t="n">
        <v>45057.9285532407</v>
      </c>
      <c r="K1563" s="1" t="n">
        <v>2</v>
      </c>
      <c r="L1563" s="144" t="n">
        <v>10</v>
      </c>
      <c r="M1563" s="1" t="n">
        <v>39</v>
      </c>
      <c r="N1563" s="1" t="n">
        <v>39</v>
      </c>
      <c r="O1563" s="149" t="n">
        <v>13</v>
      </c>
    </row>
    <row r="1564" customFormat="false" ht="14.25" hidden="false" customHeight="false" outlineLevel="0" collapsed="false">
      <c r="A1564" s="1" t="n">
        <v>451</v>
      </c>
      <c r="B1564" s="1" t="s">
        <v>473</v>
      </c>
      <c r="C1564" s="143" t="n">
        <v>11490</v>
      </c>
      <c r="D1564" s="143" t="s">
        <v>65</v>
      </c>
      <c r="E1564" s="143" t="s">
        <v>474</v>
      </c>
      <c r="F1564" s="144" t="n">
        <v>200025889427</v>
      </c>
      <c r="G1564" s="144" t="s">
        <v>215</v>
      </c>
      <c r="H1564" s="144" t="n">
        <v>10</v>
      </c>
      <c r="I1564" s="144" t="s">
        <v>152</v>
      </c>
      <c r="J1564" s="151" t="n">
        <v>45057.9290277778</v>
      </c>
      <c r="K1564" s="1" t="n">
        <v>2</v>
      </c>
      <c r="L1564" s="144" t="n">
        <v>10</v>
      </c>
      <c r="M1564" s="1" t="n">
        <v>39</v>
      </c>
      <c r="N1564" s="1" t="n">
        <v>39</v>
      </c>
      <c r="O1564" s="149" t="n">
        <v>14</v>
      </c>
    </row>
    <row r="1565" customFormat="false" ht="14.25" hidden="false" customHeight="false" outlineLevel="0" collapsed="false">
      <c r="A1565" s="1" t="n">
        <v>452</v>
      </c>
      <c r="B1565" s="1" t="s">
        <v>473</v>
      </c>
      <c r="C1565" s="143" t="n">
        <v>11490</v>
      </c>
      <c r="D1565" s="143" t="s">
        <v>65</v>
      </c>
      <c r="E1565" s="143" t="s">
        <v>474</v>
      </c>
      <c r="F1565" s="144" t="n">
        <v>200025889427</v>
      </c>
      <c r="G1565" s="144" t="s">
        <v>215</v>
      </c>
      <c r="H1565" s="144" t="n">
        <v>10</v>
      </c>
      <c r="I1565" s="144" t="s">
        <v>152</v>
      </c>
      <c r="J1565" s="151" t="n">
        <v>45057.9298148148</v>
      </c>
      <c r="K1565" s="1" t="n">
        <v>1</v>
      </c>
      <c r="L1565" s="144" t="n">
        <v>10</v>
      </c>
      <c r="M1565" s="1" t="n">
        <v>39</v>
      </c>
      <c r="N1565" s="1" t="n">
        <v>39</v>
      </c>
      <c r="O1565" s="149" t="n">
        <v>15</v>
      </c>
    </row>
    <row r="1566" customFormat="false" ht="14.25" hidden="false" customHeight="false" outlineLevel="0" collapsed="false">
      <c r="A1566" s="1" t="n">
        <v>453</v>
      </c>
      <c r="B1566" s="1" t="s">
        <v>473</v>
      </c>
      <c r="C1566" s="143" t="n">
        <v>11490</v>
      </c>
      <c r="D1566" s="143" t="s">
        <v>65</v>
      </c>
      <c r="E1566" s="143" t="s">
        <v>474</v>
      </c>
      <c r="F1566" s="144" t="n">
        <v>200025889427</v>
      </c>
      <c r="G1566" s="144" t="s">
        <v>215</v>
      </c>
      <c r="H1566" s="144" t="n">
        <v>10</v>
      </c>
      <c r="I1566" s="144" t="s">
        <v>152</v>
      </c>
      <c r="J1566" s="151" t="n">
        <v>45057.9298726852</v>
      </c>
      <c r="K1566" s="1" t="n">
        <v>1</v>
      </c>
      <c r="L1566" s="144" t="n">
        <v>10</v>
      </c>
      <c r="M1566" s="1" t="n">
        <v>39</v>
      </c>
      <c r="N1566" s="1" t="n">
        <v>39</v>
      </c>
      <c r="O1566" s="149" t="n">
        <v>16</v>
      </c>
    </row>
    <row r="1567" customFormat="false" ht="14.25" hidden="false" customHeight="false" outlineLevel="0" collapsed="false">
      <c r="A1567" s="1" t="n">
        <v>454</v>
      </c>
      <c r="B1567" s="1" t="s">
        <v>473</v>
      </c>
      <c r="C1567" s="143" t="n">
        <v>11490</v>
      </c>
      <c r="D1567" s="143" t="s">
        <v>65</v>
      </c>
      <c r="E1567" s="143" t="s">
        <v>474</v>
      </c>
      <c r="F1567" s="144" t="n">
        <v>200025889427</v>
      </c>
      <c r="G1567" s="144" t="s">
        <v>215</v>
      </c>
      <c r="H1567" s="144" t="n">
        <v>10</v>
      </c>
      <c r="I1567" s="144" t="s">
        <v>152</v>
      </c>
      <c r="J1567" s="151" t="n">
        <v>45057.9299768519</v>
      </c>
      <c r="K1567" s="1" t="n">
        <v>2</v>
      </c>
      <c r="L1567" s="144" t="n">
        <v>10</v>
      </c>
      <c r="M1567" s="1" t="n">
        <v>39</v>
      </c>
      <c r="N1567" s="1" t="n">
        <v>39</v>
      </c>
      <c r="O1567" s="149" t="n">
        <v>17</v>
      </c>
    </row>
    <row r="1568" customFormat="false" ht="14.25" hidden="false" customHeight="false" outlineLevel="0" collapsed="false">
      <c r="A1568" s="1" t="n">
        <v>455</v>
      </c>
      <c r="B1568" s="1" t="s">
        <v>473</v>
      </c>
      <c r="C1568" s="143" t="n">
        <v>11490</v>
      </c>
      <c r="D1568" s="143" t="s">
        <v>65</v>
      </c>
      <c r="E1568" s="143" t="s">
        <v>474</v>
      </c>
      <c r="F1568" s="144" t="n">
        <v>200025889427</v>
      </c>
      <c r="G1568" s="144" t="s">
        <v>215</v>
      </c>
      <c r="H1568" s="144" t="n">
        <v>10</v>
      </c>
      <c r="I1568" s="144" t="s">
        <v>152</v>
      </c>
      <c r="J1568" s="151" t="n">
        <v>45057.9300347222</v>
      </c>
      <c r="K1568" s="1" t="n">
        <v>2</v>
      </c>
      <c r="L1568" s="144" t="n">
        <v>10</v>
      </c>
      <c r="M1568" s="1" t="n">
        <v>39</v>
      </c>
      <c r="N1568" s="1" t="n">
        <v>39</v>
      </c>
      <c r="O1568" s="149" t="n">
        <v>18</v>
      </c>
    </row>
    <row r="1569" customFormat="false" ht="14.25" hidden="false" customHeight="false" outlineLevel="0" collapsed="false">
      <c r="A1569" s="1" t="n">
        <v>456</v>
      </c>
      <c r="B1569" s="1" t="s">
        <v>473</v>
      </c>
      <c r="C1569" s="143" t="n">
        <v>11490</v>
      </c>
      <c r="D1569" s="143" t="s">
        <v>65</v>
      </c>
      <c r="E1569" s="143" t="s">
        <v>474</v>
      </c>
      <c r="F1569" s="144" t="n">
        <v>200025889427</v>
      </c>
      <c r="G1569" s="144" t="s">
        <v>215</v>
      </c>
      <c r="H1569" s="144" t="n">
        <v>10</v>
      </c>
      <c r="I1569" s="144" t="s">
        <v>152</v>
      </c>
      <c r="J1569" s="151" t="n">
        <v>45057.9307175926</v>
      </c>
      <c r="K1569" s="1" t="n">
        <v>1</v>
      </c>
      <c r="L1569" s="144" t="n">
        <v>10</v>
      </c>
      <c r="M1569" s="1" t="n">
        <v>39</v>
      </c>
      <c r="N1569" s="1" t="n">
        <v>39</v>
      </c>
      <c r="O1569" s="149" t="n">
        <v>19</v>
      </c>
    </row>
    <row r="1570" customFormat="false" ht="14.25" hidden="false" customHeight="false" outlineLevel="0" collapsed="false">
      <c r="A1570" s="1" t="n">
        <v>457</v>
      </c>
      <c r="B1570" s="1" t="s">
        <v>473</v>
      </c>
      <c r="C1570" s="143" t="n">
        <v>11490</v>
      </c>
      <c r="D1570" s="143" t="s">
        <v>65</v>
      </c>
      <c r="E1570" s="143" t="s">
        <v>474</v>
      </c>
      <c r="F1570" s="144" t="n">
        <v>200025889427</v>
      </c>
      <c r="G1570" s="144" t="s">
        <v>215</v>
      </c>
      <c r="H1570" s="144" t="n">
        <v>10</v>
      </c>
      <c r="I1570" s="144" t="s">
        <v>152</v>
      </c>
      <c r="J1570" s="151" t="n">
        <v>45057.9307638889</v>
      </c>
      <c r="K1570" s="1" t="n">
        <v>1</v>
      </c>
      <c r="L1570" s="144" t="n">
        <v>10</v>
      </c>
      <c r="M1570" s="1" t="n">
        <v>39</v>
      </c>
      <c r="N1570" s="1" t="n">
        <v>39</v>
      </c>
      <c r="O1570" s="149" t="n">
        <v>20</v>
      </c>
    </row>
    <row r="1571" customFormat="false" ht="14.25" hidden="false" customHeight="false" outlineLevel="0" collapsed="false">
      <c r="A1571" s="1" t="n">
        <v>272</v>
      </c>
      <c r="B1571" s="1" t="s">
        <v>475</v>
      </c>
      <c r="C1571" s="143" t="s">
        <v>52</v>
      </c>
      <c r="D1571" s="143" t="s">
        <v>53</v>
      </c>
      <c r="E1571" s="143" t="s">
        <v>474</v>
      </c>
      <c r="F1571" s="144" t="n">
        <v>200025889427</v>
      </c>
      <c r="G1571" s="144" t="s">
        <v>215</v>
      </c>
      <c r="H1571" s="144" t="n">
        <v>10</v>
      </c>
      <c r="I1571" s="144" t="s">
        <v>152</v>
      </c>
      <c r="J1571" s="151" t="n">
        <v>45057.9406944444</v>
      </c>
      <c r="K1571" s="1" t="n">
        <v>3</v>
      </c>
      <c r="L1571" s="144" t="n">
        <v>10</v>
      </c>
      <c r="M1571" s="1" t="n">
        <v>39</v>
      </c>
      <c r="N1571" s="1" t="n">
        <v>39</v>
      </c>
      <c r="O1571" s="149" t="n">
        <v>21</v>
      </c>
    </row>
    <row r="1572" customFormat="false" ht="14.25" hidden="false" customHeight="false" outlineLevel="0" collapsed="false">
      <c r="A1572" s="1" t="n">
        <v>273</v>
      </c>
      <c r="B1572" s="1" t="s">
        <v>475</v>
      </c>
      <c r="C1572" s="143" t="s">
        <v>52</v>
      </c>
      <c r="D1572" s="143" t="s">
        <v>53</v>
      </c>
      <c r="E1572" s="143" t="s">
        <v>474</v>
      </c>
      <c r="F1572" s="144" t="n">
        <v>200025889427</v>
      </c>
      <c r="G1572" s="144" t="s">
        <v>215</v>
      </c>
      <c r="H1572" s="144" t="n">
        <v>10</v>
      </c>
      <c r="I1572" s="144" t="s">
        <v>152</v>
      </c>
      <c r="J1572" s="151" t="n">
        <v>45057.9432523148</v>
      </c>
      <c r="K1572" s="1" t="n">
        <v>2</v>
      </c>
      <c r="L1572" s="144" t="n">
        <v>10</v>
      </c>
      <c r="M1572" s="1" t="n">
        <v>39</v>
      </c>
      <c r="N1572" s="1" t="n">
        <v>39</v>
      </c>
      <c r="O1572" s="149" t="n">
        <v>22</v>
      </c>
    </row>
    <row r="1573" customFormat="false" ht="14.25" hidden="false" customHeight="false" outlineLevel="0" collapsed="false">
      <c r="A1573" s="1" t="n">
        <v>274</v>
      </c>
      <c r="B1573" s="1" t="s">
        <v>475</v>
      </c>
      <c r="C1573" s="143" t="s">
        <v>52</v>
      </c>
      <c r="D1573" s="143" t="s">
        <v>53</v>
      </c>
      <c r="E1573" s="143" t="s">
        <v>474</v>
      </c>
      <c r="F1573" s="144" t="n">
        <v>200025889427</v>
      </c>
      <c r="G1573" s="144" t="s">
        <v>215</v>
      </c>
      <c r="H1573" s="144" t="n">
        <v>10</v>
      </c>
      <c r="I1573" s="144" t="s">
        <v>152</v>
      </c>
      <c r="J1573" s="151" t="n">
        <v>45057.9435532407</v>
      </c>
      <c r="K1573" s="1" t="n">
        <v>2</v>
      </c>
      <c r="L1573" s="144" t="n">
        <v>10</v>
      </c>
      <c r="M1573" s="1" t="n">
        <v>39</v>
      </c>
      <c r="N1573" s="1" t="n">
        <v>39</v>
      </c>
      <c r="O1573" s="149" t="n">
        <v>23</v>
      </c>
    </row>
    <row r="1574" customFormat="false" ht="14.25" hidden="false" customHeight="false" outlineLevel="0" collapsed="false">
      <c r="A1574" s="1" t="n">
        <v>275</v>
      </c>
      <c r="B1574" s="1" t="s">
        <v>475</v>
      </c>
      <c r="C1574" s="143" t="s">
        <v>52</v>
      </c>
      <c r="D1574" s="143" t="s">
        <v>53</v>
      </c>
      <c r="E1574" s="143" t="s">
        <v>474</v>
      </c>
      <c r="F1574" s="144" t="n">
        <v>200025889427</v>
      </c>
      <c r="G1574" s="144" t="s">
        <v>215</v>
      </c>
      <c r="H1574" s="144" t="n">
        <v>10</v>
      </c>
      <c r="I1574" s="144" t="s">
        <v>152</v>
      </c>
      <c r="J1574" s="151" t="n">
        <v>45057.9497685185</v>
      </c>
      <c r="K1574" s="1" t="n">
        <v>1</v>
      </c>
      <c r="L1574" s="144" t="n">
        <v>10</v>
      </c>
      <c r="M1574" s="1" t="n">
        <v>39</v>
      </c>
      <c r="N1574" s="1" t="n">
        <v>39</v>
      </c>
      <c r="O1574" s="149" t="n">
        <v>24</v>
      </c>
    </row>
    <row r="1575" customFormat="false" ht="14.25" hidden="false" customHeight="false" outlineLevel="0" collapsed="false">
      <c r="A1575" s="1" t="n">
        <v>276</v>
      </c>
      <c r="B1575" s="1" t="s">
        <v>475</v>
      </c>
      <c r="C1575" s="143" t="s">
        <v>52</v>
      </c>
      <c r="D1575" s="143" t="s">
        <v>53</v>
      </c>
      <c r="E1575" s="143" t="s">
        <v>474</v>
      </c>
      <c r="F1575" s="144" t="n">
        <v>200025889427</v>
      </c>
      <c r="G1575" s="144" t="s">
        <v>215</v>
      </c>
      <c r="H1575" s="144" t="n">
        <v>10</v>
      </c>
      <c r="I1575" s="144" t="s">
        <v>152</v>
      </c>
      <c r="J1575" s="151" t="n">
        <v>45057.9628472222</v>
      </c>
      <c r="K1575" s="1" t="n">
        <v>1</v>
      </c>
      <c r="L1575" s="144" t="n">
        <v>10</v>
      </c>
      <c r="M1575" s="1" t="n">
        <v>39</v>
      </c>
      <c r="N1575" s="1" t="n">
        <v>39</v>
      </c>
      <c r="O1575" s="149" t="n">
        <v>25</v>
      </c>
    </row>
    <row r="1576" customFormat="false" ht="14.25" hidden="false" customHeight="false" outlineLevel="0" collapsed="false">
      <c r="A1576" s="1" t="n">
        <v>277</v>
      </c>
      <c r="B1576" s="1" t="s">
        <v>475</v>
      </c>
      <c r="C1576" s="143" t="s">
        <v>52</v>
      </c>
      <c r="D1576" s="143" t="s">
        <v>53</v>
      </c>
      <c r="E1576" s="143" t="s">
        <v>474</v>
      </c>
      <c r="F1576" s="144" t="n">
        <v>200025889427</v>
      </c>
      <c r="G1576" s="144" t="s">
        <v>215</v>
      </c>
      <c r="H1576" s="144" t="n">
        <v>10</v>
      </c>
      <c r="I1576" s="144" t="s">
        <v>152</v>
      </c>
      <c r="J1576" s="151" t="n">
        <v>45057.9631018519</v>
      </c>
      <c r="K1576" s="1" t="n">
        <v>4</v>
      </c>
      <c r="L1576" s="144" t="n">
        <v>10</v>
      </c>
      <c r="M1576" s="1" t="n">
        <v>39</v>
      </c>
      <c r="N1576" s="1" t="n">
        <v>39</v>
      </c>
      <c r="O1576" s="149" t="n">
        <v>26</v>
      </c>
    </row>
    <row r="1577" customFormat="false" ht="14.25" hidden="false" customHeight="false" outlineLevel="0" collapsed="false">
      <c r="A1577" s="1" t="n">
        <v>279</v>
      </c>
      <c r="B1577" s="1" t="s">
        <v>475</v>
      </c>
      <c r="C1577" s="143" t="s">
        <v>52</v>
      </c>
      <c r="D1577" s="143" t="s">
        <v>53</v>
      </c>
      <c r="E1577" s="143" t="s">
        <v>474</v>
      </c>
      <c r="F1577" s="144" t="n">
        <v>200025889427</v>
      </c>
      <c r="G1577" s="144" t="s">
        <v>215</v>
      </c>
      <c r="H1577" s="144" t="n">
        <v>10</v>
      </c>
      <c r="I1577" s="144" t="s">
        <v>152</v>
      </c>
      <c r="J1577" s="151" t="n">
        <v>45057.9650347222</v>
      </c>
      <c r="K1577" s="1" t="n">
        <v>1</v>
      </c>
      <c r="L1577" s="144" t="n">
        <v>10</v>
      </c>
      <c r="M1577" s="1" t="n">
        <v>39</v>
      </c>
      <c r="N1577" s="1" t="n">
        <v>39</v>
      </c>
      <c r="O1577" s="149" t="n">
        <v>27</v>
      </c>
    </row>
    <row r="1578" customFormat="false" ht="14.25" hidden="false" customHeight="false" outlineLevel="0" collapsed="false">
      <c r="A1578" s="1" t="n">
        <v>280</v>
      </c>
      <c r="B1578" s="1" t="s">
        <v>475</v>
      </c>
      <c r="C1578" s="143" t="s">
        <v>52</v>
      </c>
      <c r="D1578" s="143" t="s">
        <v>53</v>
      </c>
      <c r="E1578" s="143" t="s">
        <v>474</v>
      </c>
      <c r="F1578" s="144" t="n">
        <v>200025889427</v>
      </c>
      <c r="G1578" s="144" t="s">
        <v>215</v>
      </c>
      <c r="H1578" s="144" t="n">
        <v>10</v>
      </c>
      <c r="I1578" s="144" t="s">
        <v>152</v>
      </c>
      <c r="J1578" s="151" t="n">
        <v>45057.9652199074</v>
      </c>
      <c r="K1578" s="1" t="n">
        <v>0</v>
      </c>
      <c r="L1578" s="144" t="n">
        <v>10</v>
      </c>
      <c r="M1578" s="1" t="n">
        <v>39</v>
      </c>
      <c r="N1578" s="1" t="n">
        <v>39</v>
      </c>
      <c r="O1578" s="149" t="n">
        <v>28</v>
      </c>
    </row>
    <row r="1579" customFormat="false" ht="14.25" hidden="false" customHeight="false" outlineLevel="0" collapsed="false">
      <c r="A1579" s="1" t="n">
        <v>282</v>
      </c>
      <c r="B1579" s="1" t="s">
        <v>475</v>
      </c>
      <c r="C1579" s="143" t="s">
        <v>52</v>
      </c>
      <c r="D1579" s="143" t="s">
        <v>53</v>
      </c>
      <c r="E1579" s="143" t="s">
        <v>474</v>
      </c>
      <c r="F1579" s="144" t="n">
        <v>200025889427</v>
      </c>
      <c r="G1579" s="144" t="s">
        <v>215</v>
      </c>
      <c r="H1579" s="144" t="n">
        <v>10</v>
      </c>
      <c r="I1579" s="144" t="s">
        <v>152</v>
      </c>
      <c r="J1579" s="151" t="n">
        <v>45057.9666319444</v>
      </c>
      <c r="K1579" s="1" t="n">
        <v>1</v>
      </c>
      <c r="L1579" s="144" t="n">
        <v>10</v>
      </c>
      <c r="M1579" s="1" t="n">
        <v>39</v>
      </c>
      <c r="N1579" s="1" t="n">
        <v>39</v>
      </c>
      <c r="O1579" s="149" t="n">
        <v>29</v>
      </c>
    </row>
    <row r="1580" customFormat="false" ht="14.25" hidden="false" customHeight="false" outlineLevel="0" collapsed="false">
      <c r="A1580" s="1" t="n">
        <v>283</v>
      </c>
      <c r="B1580" s="1" t="s">
        <v>475</v>
      </c>
      <c r="C1580" s="143" t="s">
        <v>52</v>
      </c>
      <c r="D1580" s="143" t="s">
        <v>53</v>
      </c>
      <c r="E1580" s="143" t="s">
        <v>474</v>
      </c>
      <c r="F1580" s="144" t="n">
        <v>200025889427</v>
      </c>
      <c r="G1580" s="144" t="s">
        <v>215</v>
      </c>
      <c r="H1580" s="144" t="n">
        <v>10</v>
      </c>
      <c r="I1580" s="144" t="s">
        <v>152</v>
      </c>
      <c r="J1580" s="151" t="n">
        <v>45057.9669444444</v>
      </c>
      <c r="K1580" s="1" t="n">
        <v>1</v>
      </c>
      <c r="L1580" s="144" t="n">
        <v>10</v>
      </c>
      <c r="M1580" s="1" t="n">
        <v>39</v>
      </c>
      <c r="N1580" s="1" t="n">
        <v>39</v>
      </c>
      <c r="O1580" s="149" t="n">
        <v>30</v>
      </c>
    </row>
    <row r="1581" customFormat="false" ht="14.25" hidden="false" customHeight="false" outlineLevel="0" collapsed="false">
      <c r="A1581" s="1" t="n">
        <v>286</v>
      </c>
      <c r="B1581" s="1" t="s">
        <v>475</v>
      </c>
      <c r="C1581" s="143" t="s">
        <v>52</v>
      </c>
      <c r="D1581" s="143" t="s">
        <v>53</v>
      </c>
      <c r="E1581" s="143" t="s">
        <v>474</v>
      </c>
      <c r="F1581" s="144" t="n">
        <v>200025889427</v>
      </c>
      <c r="G1581" s="144" t="s">
        <v>215</v>
      </c>
      <c r="H1581" s="144" t="n">
        <v>10</v>
      </c>
      <c r="I1581" s="144" t="s">
        <v>152</v>
      </c>
      <c r="J1581" s="151" t="n">
        <v>45057.968287037</v>
      </c>
      <c r="K1581" s="1" t="n">
        <v>2</v>
      </c>
      <c r="L1581" s="144" t="n">
        <v>10</v>
      </c>
      <c r="M1581" s="1" t="n">
        <v>39</v>
      </c>
      <c r="N1581" s="1" t="n">
        <v>39</v>
      </c>
      <c r="O1581" s="149" t="n">
        <v>31</v>
      </c>
    </row>
    <row r="1582" customFormat="false" ht="14.25" hidden="false" customHeight="false" outlineLevel="0" collapsed="false">
      <c r="A1582" s="1" t="n">
        <v>287</v>
      </c>
      <c r="B1582" s="1" t="s">
        <v>475</v>
      </c>
      <c r="C1582" s="143" t="s">
        <v>52</v>
      </c>
      <c r="D1582" s="143" t="s">
        <v>53</v>
      </c>
      <c r="E1582" s="143" t="s">
        <v>474</v>
      </c>
      <c r="F1582" s="144" t="n">
        <v>200025889427</v>
      </c>
      <c r="G1582" s="144" t="s">
        <v>215</v>
      </c>
      <c r="H1582" s="144" t="n">
        <v>10</v>
      </c>
      <c r="I1582" s="144" t="s">
        <v>152</v>
      </c>
      <c r="J1582" s="151" t="n">
        <v>45057.9697569445</v>
      </c>
      <c r="K1582" s="1" t="n">
        <v>1</v>
      </c>
      <c r="L1582" s="144" t="n">
        <v>10</v>
      </c>
      <c r="M1582" s="1" t="n">
        <v>39</v>
      </c>
      <c r="N1582" s="1" t="n">
        <v>39</v>
      </c>
      <c r="O1582" s="149" t="n">
        <v>32</v>
      </c>
    </row>
    <row r="1583" customFormat="false" ht="14.25" hidden="false" customHeight="false" outlineLevel="0" collapsed="false">
      <c r="A1583" s="1" t="n">
        <v>288</v>
      </c>
      <c r="B1583" s="1" t="s">
        <v>475</v>
      </c>
      <c r="C1583" s="143" t="s">
        <v>52</v>
      </c>
      <c r="D1583" s="143" t="s">
        <v>53</v>
      </c>
      <c r="E1583" s="143" t="s">
        <v>474</v>
      </c>
      <c r="F1583" s="144" t="n">
        <v>200025889427</v>
      </c>
      <c r="G1583" s="144" t="s">
        <v>215</v>
      </c>
      <c r="H1583" s="144" t="n">
        <v>10</v>
      </c>
      <c r="I1583" s="144" t="s">
        <v>152</v>
      </c>
      <c r="J1583" s="151" t="n">
        <v>45057.9698032407</v>
      </c>
      <c r="K1583" s="1" t="n">
        <v>0</v>
      </c>
      <c r="L1583" s="144" t="n">
        <v>10</v>
      </c>
      <c r="M1583" s="1" t="n">
        <v>39</v>
      </c>
      <c r="N1583" s="1" t="n">
        <v>39</v>
      </c>
      <c r="O1583" s="149" t="n">
        <v>33</v>
      </c>
    </row>
    <row r="1584" customFormat="false" ht="14.25" hidden="false" customHeight="false" outlineLevel="0" collapsed="false">
      <c r="A1584" s="1" t="n">
        <v>289</v>
      </c>
      <c r="B1584" s="1" t="s">
        <v>475</v>
      </c>
      <c r="C1584" s="143" t="s">
        <v>52</v>
      </c>
      <c r="D1584" s="143" t="s">
        <v>53</v>
      </c>
      <c r="E1584" s="143" t="s">
        <v>474</v>
      </c>
      <c r="F1584" s="144" t="n">
        <v>200025889427</v>
      </c>
      <c r="G1584" s="144" t="s">
        <v>215</v>
      </c>
      <c r="H1584" s="144" t="n">
        <v>10</v>
      </c>
      <c r="I1584" s="144" t="s">
        <v>152</v>
      </c>
      <c r="J1584" s="151" t="n">
        <v>45057.9699537037</v>
      </c>
      <c r="K1584" s="1" t="n">
        <v>1</v>
      </c>
      <c r="L1584" s="144" t="n">
        <v>10</v>
      </c>
      <c r="M1584" s="1" t="n">
        <v>39</v>
      </c>
      <c r="N1584" s="1" t="n">
        <v>39</v>
      </c>
      <c r="O1584" s="149" t="n">
        <v>34</v>
      </c>
    </row>
    <row r="1585" customFormat="false" ht="14.25" hidden="false" customHeight="false" outlineLevel="0" collapsed="false">
      <c r="A1585" s="1" t="n">
        <v>290</v>
      </c>
      <c r="B1585" s="1" t="s">
        <v>475</v>
      </c>
      <c r="C1585" s="143" t="s">
        <v>52</v>
      </c>
      <c r="D1585" s="143" t="s">
        <v>53</v>
      </c>
      <c r="E1585" s="143" t="s">
        <v>474</v>
      </c>
      <c r="F1585" s="144" t="n">
        <v>200025889427</v>
      </c>
      <c r="G1585" s="144" t="s">
        <v>215</v>
      </c>
      <c r="H1585" s="144" t="n">
        <v>10</v>
      </c>
      <c r="I1585" s="144" t="s">
        <v>152</v>
      </c>
      <c r="J1585" s="151" t="n">
        <v>45057.970474537</v>
      </c>
      <c r="K1585" s="1" t="n">
        <v>2</v>
      </c>
      <c r="L1585" s="144" t="n">
        <v>10</v>
      </c>
      <c r="M1585" s="1" t="n">
        <v>39</v>
      </c>
      <c r="N1585" s="1" t="n">
        <v>39</v>
      </c>
      <c r="O1585" s="149" t="n">
        <v>35</v>
      </c>
    </row>
    <row r="1586" customFormat="false" ht="14.25" hidden="false" customHeight="false" outlineLevel="0" collapsed="false">
      <c r="A1586" s="1" t="n">
        <v>291</v>
      </c>
      <c r="B1586" s="1" t="s">
        <v>475</v>
      </c>
      <c r="C1586" s="143" t="s">
        <v>52</v>
      </c>
      <c r="D1586" s="143" t="s">
        <v>53</v>
      </c>
      <c r="E1586" s="143" t="s">
        <v>474</v>
      </c>
      <c r="F1586" s="144" t="n">
        <v>200025889427</v>
      </c>
      <c r="G1586" s="144" t="s">
        <v>215</v>
      </c>
      <c r="H1586" s="144" t="n">
        <v>10</v>
      </c>
      <c r="I1586" s="144" t="s">
        <v>152</v>
      </c>
      <c r="J1586" s="151" t="n">
        <v>45057.9719212963</v>
      </c>
      <c r="K1586" s="1" t="n">
        <v>2</v>
      </c>
      <c r="L1586" s="144" t="n">
        <v>10</v>
      </c>
      <c r="M1586" s="1" t="n">
        <v>39</v>
      </c>
      <c r="N1586" s="1" t="n">
        <v>39</v>
      </c>
      <c r="O1586" s="149" t="n">
        <v>36</v>
      </c>
    </row>
    <row r="1587" customFormat="false" ht="14.25" hidden="false" customHeight="false" outlineLevel="0" collapsed="false">
      <c r="A1587" s="1" t="n">
        <v>292</v>
      </c>
      <c r="B1587" s="1" t="s">
        <v>475</v>
      </c>
      <c r="C1587" s="143" t="s">
        <v>52</v>
      </c>
      <c r="D1587" s="143" t="s">
        <v>53</v>
      </c>
      <c r="E1587" s="143" t="s">
        <v>474</v>
      </c>
      <c r="F1587" s="144" t="n">
        <v>200025889427</v>
      </c>
      <c r="G1587" s="144" t="s">
        <v>215</v>
      </c>
      <c r="H1587" s="144" t="n">
        <v>10</v>
      </c>
      <c r="I1587" s="144" t="s">
        <v>152</v>
      </c>
      <c r="J1587" s="151" t="n">
        <v>45057.9728009259</v>
      </c>
      <c r="K1587" s="1" t="n">
        <v>0</v>
      </c>
      <c r="L1587" s="144" t="n">
        <v>10</v>
      </c>
      <c r="M1587" s="1" t="n">
        <v>39</v>
      </c>
      <c r="N1587" s="1" t="n">
        <v>39</v>
      </c>
      <c r="O1587" s="149" t="n">
        <v>37</v>
      </c>
    </row>
    <row r="1588" customFormat="false" ht="14.25" hidden="false" customHeight="false" outlineLevel="0" collapsed="false">
      <c r="A1588" s="1" t="n">
        <v>293</v>
      </c>
      <c r="B1588" s="1" t="s">
        <v>475</v>
      </c>
      <c r="C1588" s="143" t="s">
        <v>52</v>
      </c>
      <c r="D1588" s="143" t="s">
        <v>53</v>
      </c>
      <c r="E1588" s="143" t="s">
        <v>474</v>
      </c>
      <c r="F1588" s="144" t="n">
        <v>200025889427</v>
      </c>
      <c r="G1588" s="144" t="s">
        <v>215</v>
      </c>
      <c r="H1588" s="144" t="n">
        <v>10</v>
      </c>
      <c r="I1588" s="144" t="s">
        <v>152</v>
      </c>
      <c r="J1588" s="151" t="n">
        <v>45057.976724537</v>
      </c>
      <c r="K1588" s="1" t="n">
        <v>3</v>
      </c>
      <c r="L1588" s="144" t="n">
        <v>10</v>
      </c>
      <c r="M1588" s="1" t="n">
        <v>39</v>
      </c>
      <c r="N1588" s="1" t="n">
        <v>39</v>
      </c>
      <c r="O1588" s="149" t="n">
        <v>38</v>
      </c>
    </row>
    <row r="1589" customFormat="false" ht="14.25" hidden="false" customHeight="false" outlineLevel="0" collapsed="false">
      <c r="A1589" s="1" t="n">
        <v>299</v>
      </c>
      <c r="B1589" s="1" t="s">
        <v>475</v>
      </c>
      <c r="C1589" s="143" t="s">
        <v>52</v>
      </c>
      <c r="D1589" s="143" t="s">
        <v>53</v>
      </c>
      <c r="E1589" s="143" t="s">
        <v>474</v>
      </c>
      <c r="F1589" s="144" t="n">
        <v>200025889427</v>
      </c>
      <c r="G1589" s="144" t="s">
        <v>215</v>
      </c>
      <c r="H1589" s="144" t="n">
        <v>10</v>
      </c>
      <c r="I1589" s="144" t="s">
        <v>152</v>
      </c>
      <c r="J1589" s="151" t="n">
        <v>45058.0861226852</v>
      </c>
      <c r="K1589" s="1" t="n">
        <v>1</v>
      </c>
      <c r="L1589" s="144" t="n">
        <v>10</v>
      </c>
      <c r="M1589" s="1" t="n">
        <v>39</v>
      </c>
      <c r="N1589" s="1" t="n">
        <v>39</v>
      </c>
      <c r="O1589" s="149" t="n">
        <v>39</v>
      </c>
    </row>
    <row r="1590" customFormat="false" ht="14.25" hidden="false" customHeight="false" outlineLevel="0" collapsed="false">
      <c r="A1590" s="1" t="n">
        <v>69</v>
      </c>
      <c r="B1590" s="1" t="s">
        <v>476</v>
      </c>
      <c r="C1590" s="143" t="n">
        <v>91601</v>
      </c>
      <c r="D1590" s="143" t="s">
        <v>65</v>
      </c>
      <c r="E1590" s="155" t="s">
        <v>474</v>
      </c>
      <c r="F1590" s="144" t="n">
        <v>200025889427</v>
      </c>
      <c r="G1590" s="144" t="s">
        <v>215</v>
      </c>
      <c r="H1590" s="144" t="n">
        <v>10</v>
      </c>
      <c r="I1590" s="144" t="s">
        <v>152</v>
      </c>
      <c r="J1590" s="151" t="n">
        <v>45071.5920138889</v>
      </c>
      <c r="K1590" s="1" t="n">
        <v>1</v>
      </c>
      <c r="L1590" s="144" t="n">
        <v>10</v>
      </c>
      <c r="M1590" s="1" t="n">
        <v>39</v>
      </c>
      <c r="N1590" s="1" t="n">
        <v>39</v>
      </c>
      <c r="O1590" s="149" t="n">
        <v>40</v>
      </c>
    </row>
    <row r="1591" customFormat="false" ht="14.25" hidden="false" customHeight="false" outlineLevel="0" collapsed="false">
      <c r="A1591" s="1" t="n">
        <v>342</v>
      </c>
      <c r="B1591" s="1" t="s">
        <v>478</v>
      </c>
      <c r="C1591" s="143" t="n">
        <v>91601</v>
      </c>
      <c r="D1591" s="143" t="s">
        <v>65</v>
      </c>
      <c r="E1591" s="155" t="s">
        <v>479</v>
      </c>
      <c r="F1591" s="144" t="n">
        <v>200025888837</v>
      </c>
      <c r="G1591" s="144" t="s">
        <v>215</v>
      </c>
      <c r="H1591" s="144" t="n">
        <v>10</v>
      </c>
      <c r="I1591" s="144" t="s">
        <v>152</v>
      </c>
      <c r="J1591" s="6" t="n">
        <v>45079.4952430556</v>
      </c>
      <c r="K1591" s="1" t="n">
        <v>1</v>
      </c>
      <c r="L1591" s="144" t="n">
        <v>10</v>
      </c>
      <c r="M1591" s="1" t="n">
        <v>39</v>
      </c>
      <c r="N1591" s="1" t="n">
        <v>39</v>
      </c>
      <c r="O1591" s="149" t="n">
        <v>41</v>
      </c>
    </row>
    <row r="1592" customFormat="false" ht="14.25" hidden="false" customHeight="false" outlineLevel="0" collapsed="false">
      <c r="A1592" s="1" t="n">
        <v>22</v>
      </c>
      <c r="B1592" s="1" t="s">
        <v>475</v>
      </c>
      <c r="C1592" s="143" t="n">
        <v>21265</v>
      </c>
      <c r="D1592" s="143" t="s">
        <v>76</v>
      </c>
      <c r="E1592" s="155" t="s">
        <v>479</v>
      </c>
      <c r="F1592" s="144" t="n">
        <v>200025888837</v>
      </c>
      <c r="G1592" s="144" t="s">
        <v>215</v>
      </c>
      <c r="H1592" s="144" t="n">
        <v>10</v>
      </c>
      <c r="I1592" s="144" t="s">
        <v>152</v>
      </c>
      <c r="J1592" s="6" t="n">
        <v>45079.55125</v>
      </c>
      <c r="K1592" s="1" t="n">
        <v>3</v>
      </c>
      <c r="L1592" s="144" t="n">
        <v>10</v>
      </c>
      <c r="M1592" s="1" t="n">
        <v>39</v>
      </c>
      <c r="N1592" s="1" t="n">
        <v>39</v>
      </c>
      <c r="O1592" s="149" t="n">
        <v>42</v>
      </c>
    </row>
    <row r="1593" customFormat="false" ht="14.25" hidden="false" customHeight="false" outlineLevel="0" collapsed="false">
      <c r="A1593" s="1" t="n">
        <v>206</v>
      </c>
      <c r="B1593" s="1" t="s">
        <v>476</v>
      </c>
      <c r="C1593" s="143" t="s">
        <v>52</v>
      </c>
      <c r="D1593" s="143" t="s">
        <v>53</v>
      </c>
      <c r="E1593" s="155" t="s">
        <v>474</v>
      </c>
      <c r="F1593" s="144" t="n">
        <v>200025889427</v>
      </c>
      <c r="G1593" s="144" t="s">
        <v>215</v>
      </c>
      <c r="H1593" s="144" t="n">
        <v>10</v>
      </c>
      <c r="I1593" s="144" t="s">
        <v>152</v>
      </c>
      <c r="J1593" s="151" t="n">
        <v>45082.4745949074</v>
      </c>
      <c r="K1593" s="1" t="n">
        <v>2</v>
      </c>
      <c r="L1593" s="144" t="n">
        <v>10</v>
      </c>
      <c r="M1593" s="1" t="n">
        <v>39</v>
      </c>
      <c r="N1593" s="1" t="n">
        <v>39</v>
      </c>
      <c r="O1593" s="149" t="n">
        <v>43</v>
      </c>
    </row>
    <row r="1594" customFormat="false" ht="14.25" hidden="false" customHeight="false" outlineLevel="0" collapsed="false">
      <c r="A1594" s="1" t="n">
        <v>501</v>
      </c>
      <c r="B1594" s="1" t="s">
        <v>473</v>
      </c>
      <c r="C1594" s="143" t="n">
        <v>11490</v>
      </c>
      <c r="D1594" s="143" t="s">
        <v>65</v>
      </c>
      <c r="E1594" s="143" t="s">
        <v>474</v>
      </c>
      <c r="F1594" s="144" t="n">
        <v>200025888782</v>
      </c>
      <c r="G1594" s="144" t="s">
        <v>359</v>
      </c>
      <c r="H1594" s="144" t="n">
        <v>33</v>
      </c>
      <c r="I1594" s="144" t="s">
        <v>152</v>
      </c>
      <c r="J1594" s="151" t="n">
        <v>45058.0858796296</v>
      </c>
      <c r="K1594" s="1" t="n">
        <v>1</v>
      </c>
      <c r="L1594" s="144" t="n">
        <v>33</v>
      </c>
      <c r="M1594" s="1" t="n">
        <v>40</v>
      </c>
      <c r="N1594" s="1" t="n">
        <v>40</v>
      </c>
      <c r="O1594" s="149" t="n">
        <v>1</v>
      </c>
    </row>
    <row r="1595" customFormat="false" ht="14.25" hidden="false" customHeight="false" outlineLevel="0" collapsed="false">
      <c r="A1595" s="1" t="n">
        <v>502</v>
      </c>
      <c r="B1595" s="1" t="s">
        <v>473</v>
      </c>
      <c r="C1595" s="143" t="n">
        <v>11490</v>
      </c>
      <c r="D1595" s="143" t="s">
        <v>65</v>
      </c>
      <c r="E1595" s="143" t="s">
        <v>474</v>
      </c>
      <c r="F1595" s="144" t="n">
        <v>200025888782</v>
      </c>
      <c r="G1595" s="144" t="s">
        <v>359</v>
      </c>
      <c r="H1595" s="144" t="n">
        <v>33</v>
      </c>
      <c r="I1595" s="144" t="s">
        <v>152</v>
      </c>
      <c r="J1595" s="151" t="n">
        <v>45058.0877662037</v>
      </c>
      <c r="K1595" s="1" t="n">
        <v>1</v>
      </c>
      <c r="L1595" s="144" t="n">
        <v>33</v>
      </c>
      <c r="M1595" s="1" t="n">
        <v>40</v>
      </c>
      <c r="N1595" s="1" t="n">
        <v>40</v>
      </c>
      <c r="O1595" s="149" t="n">
        <v>2</v>
      </c>
    </row>
    <row r="1596" customFormat="false" ht="14.25" hidden="false" customHeight="false" outlineLevel="0" collapsed="false">
      <c r="A1596" s="1" t="n">
        <v>503</v>
      </c>
      <c r="B1596" s="1" t="s">
        <v>473</v>
      </c>
      <c r="C1596" s="143" t="n">
        <v>11490</v>
      </c>
      <c r="D1596" s="143" t="s">
        <v>65</v>
      </c>
      <c r="E1596" s="143" t="s">
        <v>474</v>
      </c>
      <c r="F1596" s="144" t="n">
        <v>200025888782</v>
      </c>
      <c r="G1596" s="144" t="s">
        <v>359</v>
      </c>
      <c r="H1596" s="144" t="n">
        <v>33</v>
      </c>
      <c r="I1596" s="144" t="s">
        <v>152</v>
      </c>
      <c r="J1596" s="151" t="n">
        <v>45058.0878240741</v>
      </c>
      <c r="K1596" s="1" t="n">
        <v>3</v>
      </c>
      <c r="L1596" s="144" t="n">
        <v>33</v>
      </c>
      <c r="M1596" s="1" t="n">
        <v>40</v>
      </c>
      <c r="N1596" s="1" t="n">
        <v>40</v>
      </c>
      <c r="O1596" s="149" t="n">
        <v>3</v>
      </c>
    </row>
    <row r="1597" customFormat="false" ht="14.25" hidden="false" customHeight="false" outlineLevel="0" collapsed="false">
      <c r="A1597" s="1" t="n">
        <v>504</v>
      </c>
      <c r="B1597" s="1" t="s">
        <v>473</v>
      </c>
      <c r="C1597" s="143" t="n">
        <v>11490</v>
      </c>
      <c r="D1597" s="143" t="s">
        <v>65</v>
      </c>
      <c r="E1597" s="143" t="s">
        <v>474</v>
      </c>
      <c r="F1597" s="144" t="n">
        <v>200025888782</v>
      </c>
      <c r="G1597" s="144" t="s">
        <v>359</v>
      </c>
      <c r="H1597" s="144" t="n">
        <v>33</v>
      </c>
      <c r="I1597" s="144" t="s">
        <v>152</v>
      </c>
      <c r="J1597" s="151" t="n">
        <v>45058.1119444444</v>
      </c>
      <c r="K1597" s="1" t="n">
        <v>1</v>
      </c>
      <c r="L1597" s="144" t="n">
        <v>33</v>
      </c>
      <c r="M1597" s="1" t="n">
        <v>40</v>
      </c>
      <c r="N1597" s="1" t="n">
        <v>40</v>
      </c>
      <c r="O1597" s="149" t="n">
        <v>4</v>
      </c>
    </row>
    <row r="1598" customFormat="false" ht="14.25" hidden="false" customHeight="false" outlineLevel="0" collapsed="false">
      <c r="A1598" s="1" t="n">
        <v>505</v>
      </c>
      <c r="B1598" s="1" t="s">
        <v>473</v>
      </c>
      <c r="C1598" s="143" t="n">
        <v>11490</v>
      </c>
      <c r="D1598" s="143" t="s">
        <v>65</v>
      </c>
      <c r="E1598" s="143" t="s">
        <v>474</v>
      </c>
      <c r="F1598" s="144" t="n">
        <v>200025888782</v>
      </c>
      <c r="G1598" s="144" t="s">
        <v>359</v>
      </c>
      <c r="H1598" s="144" t="n">
        <v>33</v>
      </c>
      <c r="I1598" s="144" t="s">
        <v>152</v>
      </c>
      <c r="J1598" s="151" t="n">
        <v>45058.1144560185</v>
      </c>
      <c r="K1598" s="1" t="n">
        <v>0</v>
      </c>
      <c r="L1598" s="144" t="n">
        <v>33</v>
      </c>
      <c r="M1598" s="1" t="n">
        <v>40</v>
      </c>
      <c r="N1598" s="1" t="n">
        <v>40</v>
      </c>
      <c r="O1598" s="149" t="n">
        <v>5</v>
      </c>
    </row>
    <row r="1599" customFormat="false" ht="14.25" hidden="false" customHeight="false" outlineLevel="0" collapsed="false">
      <c r="A1599" s="1" t="n">
        <v>506</v>
      </c>
      <c r="B1599" s="1" t="s">
        <v>473</v>
      </c>
      <c r="C1599" s="143" t="n">
        <v>11490</v>
      </c>
      <c r="D1599" s="143" t="s">
        <v>65</v>
      </c>
      <c r="E1599" s="143" t="s">
        <v>474</v>
      </c>
      <c r="F1599" s="144" t="n">
        <v>200025888782</v>
      </c>
      <c r="G1599" s="144" t="s">
        <v>359</v>
      </c>
      <c r="H1599" s="144" t="n">
        <v>33</v>
      </c>
      <c r="I1599" s="144" t="s">
        <v>152</v>
      </c>
      <c r="J1599" s="151" t="n">
        <v>45058.1149884259</v>
      </c>
      <c r="K1599" s="1" t="n">
        <v>1</v>
      </c>
      <c r="L1599" s="144" t="n">
        <v>33</v>
      </c>
      <c r="M1599" s="1" t="n">
        <v>40</v>
      </c>
      <c r="N1599" s="1" t="n">
        <v>40</v>
      </c>
      <c r="O1599" s="149" t="n">
        <v>6</v>
      </c>
    </row>
    <row r="1600" customFormat="false" ht="14.25" hidden="false" customHeight="false" outlineLevel="0" collapsed="false">
      <c r="A1600" s="1" t="n">
        <v>507</v>
      </c>
      <c r="B1600" s="1" t="s">
        <v>473</v>
      </c>
      <c r="C1600" s="143" t="n">
        <v>11490</v>
      </c>
      <c r="D1600" s="143" t="s">
        <v>65</v>
      </c>
      <c r="E1600" s="143" t="s">
        <v>474</v>
      </c>
      <c r="F1600" s="144" t="n">
        <v>200025888782</v>
      </c>
      <c r="G1600" s="144" t="s">
        <v>359</v>
      </c>
      <c r="H1600" s="144" t="n">
        <v>33</v>
      </c>
      <c r="I1600" s="144" t="s">
        <v>152</v>
      </c>
      <c r="J1600" s="151" t="n">
        <v>45058.1151041667</v>
      </c>
      <c r="K1600" s="1" t="n">
        <v>1</v>
      </c>
      <c r="L1600" s="144" t="n">
        <v>33</v>
      </c>
      <c r="M1600" s="1" t="n">
        <v>40</v>
      </c>
      <c r="N1600" s="1" t="n">
        <v>40</v>
      </c>
      <c r="O1600" s="149" t="n">
        <v>7</v>
      </c>
    </row>
    <row r="1601" customFormat="false" ht="14.25" hidden="false" customHeight="false" outlineLevel="0" collapsed="false">
      <c r="A1601" s="1" t="n">
        <v>508</v>
      </c>
      <c r="B1601" s="1" t="s">
        <v>473</v>
      </c>
      <c r="C1601" s="143" t="n">
        <v>11490</v>
      </c>
      <c r="D1601" s="143" t="s">
        <v>65</v>
      </c>
      <c r="E1601" s="143" t="s">
        <v>474</v>
      </c>
      <c r="F1601" s="144" t="n">
        <v>200025888782</v>
      </c>
      <c r="G1601" s="144" t="s">
        <v>359</v>
      </c>
      <c r="H1601" s="144" t="n">
        <v>33</v>
      </c>
      <c r="I1601" s="144" t="s">
        <v>152</v>
      </c>
      <c r="J1601" s="151" t="n">
        <v>45058.1152777778</v>
      </c>
      <c r="K1601" s="1" t="n">
        <v>1</v>
      </c>
      <c r="L1601" s="144" t="n">
        <v>33</v>
      </c>
      <c r="M1601" s="1" t="n">
        <v>40</v>
      </c>
      <c r="N1601" s="1" t="n">
        <v>40</v>
      </c>
      <c r="O1601" s="149" t="n">
        <v>8</v>
      </c>
    </row>
    <row r="1602" customFormat="false" ht="14.25" hidden="false" customHeight="false" outlineLevel="0" collapsed="false">
      <c r="A1602" s="1" t="n">
        <v>509</v>
      </c>
      <c r="B1602" s="1" t="s">
        <v>473</v>
      </c>
      <c r="C1602" s="143" t="n">
        <v>11490</v>
      </c>
      <c r="D1602" s="143" t="s">
        <v>65</v>
      </c>
      <c r="E1602" s="143" t="s">
        <v>474</v>
      </c>
      <c r="F1602" s="144" t="n">
        <v>200025888782</v>
      </c>
      <c r="G1602" s="144" t="s">
        <v>359</v>
      </c>
      <c r="H1602" s="144" t="n">
        <v>33</v>
      </c>
      <c r="I1602" s="144" t="s">
        <v>152</v>
      </c>
      <c r="J1602" s="151" t="n">
        <v>45058.115625</v>
      </c>
      <c r="K1602" s="1" t="n">
        <v>2</v>
      </c>
      <c r="L1602" s="144" t="n">
        <v>33</v>
      </c>
      <c r="M1602" s="1" t="n">
        <v>40</v>
      </c>
      <c r="N1602" s="1" t="n">
        <v>40</v>
      </c>
      <c r="O1602" s="149" t="n">
        <v>9</v>
      </c>
    </row>
    <row r="1603" customFormat="false" ht="14.25" hidden="false" customHeight="false" outlineLevel="0" collapsed="false">
      <c r="A1603" s="1" t="n">
        <v>510</v>
      </c>
      <c r="B1603" s="1" t="s">
        <v>473</v>
      </c>
      <c r="C1603" s="143" t="n">
        <v>11490</v>
      </c>
      <c r="D1603" s="143" t="s">
        <v>65</v>
      </c>
      <c r="E1603" s="143" t="s">
        <v>474</v>
      </c>
      <c r="F1603" s="144" t="n">
        <v>200025888782</v>
      </c>
      <c r="G1603" s="144" t="s">
        <v>359</v>
      </c>
      <c r="H1603" s="144" t="n">
        <v>33</v>
      </c>
      <c r="I1603" s="144" t="s">
        <v>152</v>
      </c>
      <c r="J1603" s="151" t="n">
        <v>45058.1163194444</v>
      </c>
      <c r="K1603" s="1" t="n">
        <v>2</v>
      </c>
      <c r="L1603" s="144" t="n">
        <v>33</v>
      </c>
      <c r="M1603" s="1" t="n">
        <v>40</v>
      </c>
      <c r="N1603" s="1" t="n">
        <v>40</v>
      </c>
      <c r="O1603" s="149" t="n">
        <v>10</v>
      </c>
    </row>
    <row r="1604" customFormat="false" ht="14.25" hidden="false" customHeight="false" outlineLevel="0" collapsed="false">
      <c r="A1604" s="1" t="n">
        <v>511</v>
      </c>
      <c r="B1604" s="1" t="s">
        <v>473</v>
      </c>
      <c r="C1604" s="143" t="n">
        <v>11490</v>
      </c>
      <c r="D1604" s="143" t="s">
        <v>65</v>
      </c>
      <c r="E1604" s="143" t="s">
        <v>474</v>
      </c>
      <c r="F1604" s="144" t="n">
        <v>200025888782</v>
      </c>
      <c r="G1604" s="144" t="s">
        <v>359</v>
      </c>
      <c r="H1604" s="144" t="n">
        <v>33</v>
      </c>
      <c r="I1604" s="144" t="s">
        <v>152</v>
      </c>
      <c r="J1604" s="151" t="n">
        <v>45058.1170138889</v>
      </c>
      <c r="K1604" s="1" t="n">
        <v>1</v>
      </c>
      <c r="L1604" s="144" t="n">
        <v>33</v>
      </c>
      <c r="M1604" s="1" t="n">
        <v>40</v>
      </c>
      <c r="N1604" s="1" t="n">
        <v>40</v>
      </c>
      <c r="O1604" s="149" t="n">
        <v>11</v>
      </c>
    </row>
    <row r="1605" customFormat="false" ht="14.25" hidden="false" customHeight="false" outlineLevel="0" collapsed="false">
      <c r="A1605" s="1" t="n">
        <v>512</v>
      </c>
      <c r="B1605" s="1" t="s">
        <v>473</v>
      </c>
      <c r="C1605" s="143" t="n">
        <v>11490</v>
      </c>
      <c r="D1605" s="143" t="s">
        <v>65</v>
      </c>
      <c r="E1605" s="143" t="s">
        <v>474</v>
      </c>
      <c r="F1605" s="144" t="n">
        <v>200025888782</v>
      </c>
      <c r="G1605" s="144" t="s">
        <v>359</v>
      </c>
      <c r="H1605" s="144" t="n">
        <v>33</v>
      </c>
      <c r="I1605" s="144" t="s">
        <v>152</v>
      </c>
      <c r="J1605" s="151" t="n">
        <v>45058.1184490741</v>
      </c>
      <c r="K1605" s="1" t="n">
        <v>0</v>
      </c>
      <c r="L1605" s="144" t="n">
        <v>33</v>
      </c>
      <c r="M1605" s="1" t="n">
        <v>40</v>
      </c>
      <c r="N1605" s="1" t="n">
        <v>40</v>
      </c>
      <c r="O1605" s="149" t="n">
        <v>12</v>
      </c>
    </row>
    <row r="1606" customFormat="false" ht="14.25" hidden="false" customHeight="false" outlineLevel="0" collapsed="false">
      <c r="A1606" s="1" t="n">
        <v>513</v>
      </c>
      <c r="B1606" s="1" t="s">
        <v>473</v>
      </c>
      <c r="C1606" s="143" t="n">
        <v>11490</v>
      </c>
      <c r="D1606" s="143" t="s">
        <v>65</v>
      </c>
      <c r="E1606" s="143" t="s">
        <v>474</v>
      </c>
      <c r="F1606" s="144" t="n">
        <v>200025888782</v>
      </c>
      <c r="G1606" s="144" t="s">
        <v>359</v>
      </c>
      <c r="H1606" s="144" t="n">
        <v>33</v>
      </c>
      <c r="I1606" s="144" t="s">
        <v>152</v>
      </c>
      <c r="J1606" s="151" t="n">
        <v>45058.118912037</v>
      </c>
      <c r="K1606" s="1" t="n">
        <v>0</v>
      </c>
      <c r="L1606" s="144" t="n">
        <v>33</v>
      </c>
      <c r="M1606" s="1" t="n">
        <v>40</v>
      </c>
      <c r="N1606" s="1" t="n">
        <v>40</v>
      </c>
      <c r="O1606" s="149" t="n">
        <v>13</v>
      </c>
    </row>
    <row r="1607" customFormat="false" ht="14.25" hidden="false" customHeight="false" outlineLevel="0" collapsed="false">
      <c r="A1607" s="1" t="n">
        <v>514</v>
      </c>
      <c r="B1607" s="1" t="s">
        <v>473</v>
      </c>
      <c r="C1607" s="143" t="n">
        <v>11490</v>
      </c>
      <c r="D1607" s="143" t="s">
        <v>65</v>
      </c>
      <c r="E1607" s="143" t="s">
        <v>474</v>
      </c>
      <c r="F1607" s="144" t="n">
        <v>200025888782</v>
      </c>
      <c r="G1607" s="144" t="s">
        <v>359</v>
      </c>
      <c r="H1607" s="144" t="n">
        <v>33</v>
      </c>
      <c r="I1607" s="144" t="s">
        <v>152</v>
      </c>
      <c r="J1607" s="151" t="n">
        <v>45058.1189699074</v>
      </c>
      <c r="K1607" s="1" t="n">
        <v>1</v>
      </c>
      <c r="L1607" s="144" t="n">
        <v>33</v>
      </c>
      <c r="M1607" s="1" t="n">
        <v>40</v>
      </c>
      <c r="N1607" s="1" t="n">
        <v>40</v>
      </c>
      <c r="O1607" s="149" t="n">
        <v>14</v>
      </c>
    </row>
    <row r="1608" customFormat="false" ht="14.25" hidden="false" customHeight="false" outlineLevel="0" collapsed="false">
      <c r="A1608" s="1" t="n">
        <v>515</v>
      </c>
      <c r="B1608" s="1" t="s">
        <v>473</v>
      </c>
      <c r="C1608" s="143" t="n">
        <v>11490</v>
      </c>
      <c r="D1608" s="143" t="s">
        <v>65</v>
      </c>
      <c r="E1608" s="143" t="s">
        <v>474</v>
      </c>
      <c r="F1608" s="144" t="n">
        <v>200025888782</v>
      </c>
      <c r="G1608" s="144" t="s">
        <v>359</v>
      </c>
      <c r="H1608" s="144" t="n">
        <v>33</v>
      </c>
      <c r="I1608" s="144" t="s">
        <v>152</v>
      </c>
      <c r="J1608" s="151" t="n">
        <v>45058.1296180556</v>
      </c>
      <c r="K1608" s="1" t="n">
        <v>2</v>
      </c>
      <c r="L1608" s="144" t="n">
        <v>33</v>
      </c>
      <c r="M1608" s="1" t="n">
        <v>40</v>
      </c>
      <c r="N1608" s="1" t="n">
        <v>40</v>
      </c>
      <c r="O1608" s="149" t="n">
        <v>15</v>
      </c>
    </row>
    <row r="1609" customFormat="false" ht="14.25" hidden="false" customHeight="false" outlineLevel="0" collapsed="false">
      <c r="A1609" s="1" t="n">
        <v>516</v>
      </c>
      <c r="B1609" s="1" t="s">
        <v>473</v>
      </c>
      <c r="C1609" s="143" t="n">
        <v>11490</v>
      </c>
      <c r="D1609" s="143" t="s">
        <v>65</v>
      </c>
      <c r="E1609" s="143" t="s">
        <v>474</v>
      </c>
      <c r="F1609" s="144" t="n">
        <v>200025888782</v>
      </c>
      <c r="G1609" s="144" t="s">
        <v>359</v>
      </c>
      <c r="H1609" s="144" t="n">
        <v>33</v>
      </c>
      <c r="I1609" s="144" t="s">
        <v>152</v>
      </c>
      <c r="J1609" s="151" t="n">
        <v>45058.1299189815</v>
      </c>
      <c r="K1609" s="1" t="n">
        <v>0</v>
      </c>
      <c r="L1609" s="144" t="n">
        <v>33</v>
      </c>
      <c r="M1609" s="1" t="n">
        <v>40</v>
      </c>
      <c r="N1609" s="1" t="n">
        <v>40</v>
      </c>
      <c r="O1609" s="149" t="n">
        <v>16</v>
      </c>
    </row>
    <row r="1610" customFormat="false" ht="14.25" hidden="false" customHeight="false" outlineLevel="0" collapsed="false">
      <c r="A1610" s="1" t="n">
        <v>517</v>
      </c>
      <c r="B1610" s="1" t="s">
        <v>473</v>
      </c>
      <c r="C1610" s="143" t="n">
        <v>11490</v>
      </c>
      <c r="D1610" s="143" t="s">
        <v>65</v>
      </c>
      <c r="E1610" s="143" t="s">
        <v>474</v>
      </c>
      <c r="F1610" s="144" t="n">
        <v>200025888782</v>
      </c>
      <c r="G1610" s="144" t="s">
        <v>359</v>
      </c>
      <c r="H1610" s="144" t="n">
        <v>33</v>
      </c>
      <c r="I1610" s="144" t="s">
        <v>152</v>
      </c>
      <c r="J1610" s="151" t="n">
        <v>45058.1302662037</v>
      </c>
      <c r="K1610" s="1" t="n">
        <v>1</v>
      </c>
      <c r="L1610" s="144" t="n">
        <v>33</v>
      </c>
      <c r="M1610" s="1" t="n">
        <v>40</v>
      </c>
      <c r="N1610" s="1" t="n">
        <v>40</v>
      </c>
      <c r="O1610" s="149" t="n">
        <v>17</v>
      </c>
    </row>
    <row r="1611" customFormat="false" ht="14.25" hidden="false" customHeight="false" outlineLevel="0" collapsed="false">
      <c r="A1611" s="1" t="n">
        <v>518</v>
      </c>
      <c r="B1611" s="1" t="s">
        <v>473</v>
      </c>
      <c r="C1611" s="143" t="n">
        <v>11490</v>
      </c>
      <c r="D1611" s="143" t="s">
        <v>65</v>
      </c>
      <c r="E1611" s="143" t="s">
        <v>474</v>
      </c>
      <c r="F1611" s="144" t="n">
        <v>200025888782</v>
      </c>
      <c r="G1611" s="144" t="s">
        <v>359</v>
      </c>
      <c r="H1611" s="144" t="n">
        <v>33</v>
      </c>
      <c r="I1611" s="144" t="s">
        <v>152</v>
      </c>
      <c r="J1611" s="151" t="n">
        <v>45058.1303472222</v>
      </c>
      <c r="K1611" s="1" t="n">
        <v>0</v>
      </c>
      <c r="L1611" s="144" t="n">
        <v>33</v>
      </c>
      <c r="M1611" s="1" t="n">
        <v>40</v>
      </c>
      <c r="N1611" s="1" t="n">
        <v>40</v>
      </c>
      <c r="O1611" s="149" t="n">
        <v>18</v>
      </c>
    </row>
    <row r="1612" customFormat="false" ht="14.25" hidden="false" customHeight="false" outlineLevel="0" collapsed="false">
      <c r="A1612" s="1" t="n">
        <v>519</v>
      </c>
      <c r="B1612" s="1" t="s">
        <v>473</v>
      </c>
      <c r="C1612" s="143" t="n">
        <v>11490</v>
      </c>
      <c r="D1612" s="143" t="s">
        <v>65</v>
      </c>
      <c r="E1612" s="143" t="s">
        <v>474</v>
      </c>
      <c r="F1612" s="144" t="n">
        <v>200025888782</v>
      </c>
      <c r="G1612" s="144" t="s">
        <v>359</v>
      </c>
      <c r="H1612" s="144" t="n">
        <v>33</v>
      </c>
      <c r="I1612" s="144" t="s">
        <v>152</v>
      </c>
      <c r="J1612" s="151" t="n">
        <v>45058.1310416667</v>
      </c>
      <c r="K1612" s="1" t="n">
        <v>3</v>
      </c>
      <c r="L1612" s="144" t="n">
        <v>33</v>
      </c>
      <c r="M1612" s="1" t="n">
        <v>40</v>
      </c>
      <c r="N1612" s="1" t="n">
        <v>40</v>
      </c>
      <c r="O1612" s="149" t="n">
        <v>19</v>
      </c>
    </row>
    <row r="1613" customFormat="false" ht="14.25" hidden="false" customHeight="false" outlineLevel="0" collapsed="false">
      <c r="A1613" s="1" t="n">
        <v>520</v>
      </c>
      <c r="B1613" s="1" t="s">
        <v>473</v>
      </c>
      <c r="C1613" s="143" t="n">
        <v>11490</v>
      </c>
      <c r="D1613" s="143" t="s">
        <v>65</v>
      </c>
      <c r="E1613" s="143" t="s">
        <v>474</v>
      </c>
      <c r="F1613" s="144" t="n">
        <v>200025888782</v>
      </c>
      <c r="G1613" s="144" t="s">
        <v>359</v>
      </c>
      <c r="H1613" s="144" t="n">
        <v>33</v>
      </c>
      <c r="I1613" s="144" t="s">
        <v>152</v>
      </c>
      <c r="J1613" s="151" t="n">
        <v>45058.1321296296</v>
      </c>
      <c r="K1613" s="1" t="n">
        <v>2</v>
      </c>
      <c r="L1613" s="144" t="n">
        <v>33</v>
      </c>
      <c r="M1613" s="1" t="n">
        <v>40</v>
      </c>
      <c r="N1613" s="1" t="n">
        <v>40</v>
      </c>
      <c r="O1613" s="149" t="n">
        <v>20</v>
      </c>
    </row>
    <row r="1614" customFormat="false" ht="14.25" hidden="false" customHeight="false" outlineLevel="0" collapsed="false">
      <c r="A1614" s="1" t="n">
        <v>521</v>
      </c>
      <c r="B1614" s="1" t="s">
        <v>473</v>
      </c>
      <c r="C1614" s="143" t="n">
        <v>11490</v>
      </c>
      <c r="D1614" s="143" t="s">
        <v>65</v>
      </c>
      <c r="E1614" s="143" t="s">
        <v>474</v>
      </c>
      <c r="F1614" s="144" t="n">
        <v>200025888782</v>
      </c>
      <c r="G1614" s="144" t="s">
        <v>359</v>
      </c>
      <c r="H1614" s="144" t="n">
        <v>33</v>
      </c>
      <c r="I1614" s="144" t="s">
        <v>152</v>
      </c>
      <c r="J1614" s="151" t="n">
        <v>45058.2097685185</v>
      </c>
      <c r="K1614" s="1" t="n">
        <v>1</v>
      </c>
      <c r="L1614" s="144" t="n">
        <v>33</v>
      </c>
      <c r="M1614" s="1" t="n">
        <v>40</v>
      </c>
      <c r="N1614" s="1" t="n">
        <v>40</v>
      </c>
      <c r="O1614" s="149" t="n">
        <v>21</v>
      </c>
    </row>
    <row r="1615" customFormat="false" ht="14.25" hidden="false" customHeight="false" outlineLevel="0" collapsed="false">
      <c r="A1615" s="1" t="n">
        <v>317</v>
      </c>
      <c r="B1615" s="1" t="s">
        <v>476</v>
      </c>
      <c r="C1615" s="143" t="s">
        <v>58</v>
      </c>
      <c r="D1615" s="143" t="s">
        <v>59</v>
      </c>
      <c r="E1615" s="143" t="s">
        <v>474</v>
      </c>
      <c r="F1615" s="144" t="n">
        <v>200025888782</v>
      </c>
      <c r="G1615" s="144" t="s">
        <v>359</v>
      </c>
      <c r="H1615" s="144" t="n">
        <v>33</v>
      </c>
      <c r="I1615" s="144" t="s">
        <v>152</v>
      </c>
      <c r="J1615" s="151" t="n">
        <v>45058.2576273148</v>
      </c>
      <c r="K1615" s="1" t="n">
        <v>2</v>
      </c>
      <c r="L1615" s="144" t="n">
        <v>33</v>
      </c>
      <c r="M1615" s="1" t="n">
        <v>40</v>
      </c>
      <c r="N1615" s="1" t="n">
        <v>40</v>
      </c>
      <c r="O1615" s="149" t="n">
        <v>22</v>
      </c>
    </row>
    <row r="1616" customFormat="false" ht="14.25" hidden="false" customHeight="false" outlineLevel="0" collapsed="false">
      <c r="A1616" s="1" t="n">
        <v>318</v>
      </c>
      <c r="B1616" s="1" t="s">
        <v>476</v>
      </c>
      <c r="C1616" s="143" t="s">
        <v>58</v>
      </c>
      <c r="D1616" s="143" t="s">
        <v>59</v>
      </c>
      <c r="E1616" s="143" t="s">
        <v>474</v>
      </c>
      <c r="F1616" s="144" t="n">
        <v>200025888782</v>
      </c>
      <c r="G1616" s="144" t="s">
        <v>359</v>
      </c>
      <c r="H1616" s="144" t="n">
        <v>33</v>
      </c>
      <c r="I1616" s="144" t="s">
        <v>152</v>
      </c>
      <c r="J1616" s="151" t="n">
        <v>45058.257650463</v>
      </c>
      <c r="K1616" s="1" t="n">
        <v>0</v>
      </c>
      <c r="L1616" s="144" t="n">
        <v>33</v>
      </c>
      <c r="M1616" s="1" t="n">
        <v>40</v>
      </c>
      <c r="N1616" s="1" t="n">
        <v>40</v>
      </c>
      <c r="O1616" s="149" t="n">
        <v>23</v>
      </c>
    </row>
    <row r="1617" customFormat="false" ht="14.25" hidden="false" customHeight="false" outlineLevel="0" collapsed="false">
      <c r="A1617" s="1" t="n">
        <v>319</v>
      </c>
      <c r="B1617" s="1" t="s">
        <v>476</v>
      </c>
      <c r="C1617" s="143" t="s">
        <v>58</v>
      </c>
      <c r="D1617" s="143" t="s">
        <v>59</v>
      </c>
      <c r="E1617" s="143" t="s">
        <v>474</v>
      </c>
      <c r="F1617" s="144" t="n">
        <v>200025888782</v>
      </c>
      <c r="G1617" s="144" t="s">
        <v>359</v>
      </c>
      <c r="H1617" s="144" t="n">
        <v>33</v>
      </c>
      <c r="I1617" s="144" t="s">
        <v>152</v>
      </c>
      <c r="J1617" s="151" t="n">
        <v>45058.2582638889</v>
      </c>
      <c r="K1617" s="1" t="n">
        <v>0</v>
      </c>
      <c r="L1617" s="144" t="n">
        <v>33</v>
      </c>
      <c r="M1617" s="1" t="n">
        <v>40</v>
      </c>
      <c r="N1617" s="1" t="n">
        <v>40</v>
      </c>
      <c r="O1617" s="149" t="n">
        <v>24</v>
      </c>
    </row>
    <row r="1618" customFormat="false" ht="14.25" hidden="false" customHeight="false" outlineLevel="0" collapsed="false">
      <c r="A1618" s="1" t="n">
        <v>324</v>
      </c>
      <c r="B1618" s="1" t="s">
        <v>475</v>
      </c>
      <c r="C1618" s="143" t="s">
        <v>52</v>
      </c>
      <c r="D1618" s="143" t="s">
        <v>53</v>
      </c>
      <c r="E1618" s="143" t="s">
        <v>474</v>
      </c>
      <c r="F1618" s="144" t="n">
        <v>200025888782</v>
      </c>
      <c r="G1618" s="144" t="s">
        <v>359</v>
      </c>
      <c r="H1618" s="144" t="n">
        <v>33</v>
      </c>
      <c r="I1618" s="144" t="s">
        <v>152</v>
      </c>
      <c r="J1618" s="151" t="n">
        <v>45058.2972453704</v>
      </c>
      <c r="K1618" s="1" t="n">
        <v>0</v>
      </c>
      <c r="L1618" s="144" t="n">
        <v>33</v>
      </c>
      <c r="M1618" s="1" t="n">
        <v>40</v>
      </c>
      <c r="N1618" s="1" t="n">
        <v>40</v>
      </c>
      <c r="O1618" s="149" t="n">
        <v>25</v>
      </c>
    </row>
    <row r="1619" customFormat="false" ht="14.25" hidden="false" customHeight="false" outlineLevel="0" collapsed="false">
      <c r="A1619" s="1" t="n">
        <v>325</v>
      </c>
      <c r="B1619" s="1" t="s">
        <v>475</v>
      </c>
      <c r="C1619" s="143" t="s">
        <v>52</v>
      </c>
      <c r="D1619" s="143" t="s">
        <v>53</v>
      </c>
      <c r="E1619" s="143" t="s">
        <v>474</v>
      </c>
      <c r="F1619" s="144" t="n">
        <v>200025888782</v>
      </c>
      <c r="G1619" s="144" t="s">
        <v>359</v>
      </c>
      <c r="H1619" s="144" t="n">
        <v>33</v>
      </c>
      <c r="I1619" s="144" t="s">
        <v>152</v>
      </c>
      <c r="J1619" s="151" t="n">
        <v>45058.297974537</v>
      </c>
      <c r="K1619" s="1" t="n">
        <v>2</v>
      </c>
      <c r="L1619" s="144" t="n">
        <v>33</v>
      </c>
      <c r="M1619" s="1" t="n">
        <v>40</v>
      </c>
      <c r="N1619" s="1" t="n">
        <v>40</v>
      </c>
      <c r="O1619" s="149" t="n">
        <v>26</v>
      </c>
    </row>
    <row r="1620" customFormat="false" ht="14.25" hidden="false" customHeight="false" outlineLevel="0" collapsed="false">
      <c r="A1620" s="1" t="n">
        <v>326</v>
      </c>
      <c r="B1620" s="1" t="s">
        <v>475</v>
      </c>
      <c r="C1620" s="143" t="s">
        <v>52</v>
      </c>
      <c r="D1620" s="143" t="s">
        <v>53</v>
      </c>
      <c r="E1620" s="143" t="s">
        <v>474</v>
      </c>
      <c r="F1620" s="144" t="n">
        <v>200025888782</v>
      </c>
      <c r="G1620" s="144" t="s">
        <v>359</v>
      </c>
      <c r="H1620" s="144" t="n">
        <v>33</v>
      </c>
      <c r="I1620" s="144" t="s">
        <v>152</v>
      </c>
      <c r="J1620" s="151" t="n">
        <v>45058.2981018519</v>
      </c>
      <c r="K1620" s="1" t="n">
        <v>1</v>
      </c>
      <c r="L1620" s="144" t="n">
        <v>33</v>
      </c>
      <c r="M1620" s="1" t="n">
        <v>40</v>
      </c>
      <c r="N1620" s="1" t="n">
        <v>40</v>
      </c>
      <c r="O1620" s="149" t="n">
        <v>27</v>
      </c>
    </row>
    <row r="1621" customFormat="false" ht="14.25" hidden="false" customHeight="false" outlineLevel="0" collapsed="false">
      <c r="A1621" s="1" t="n">
        <v>327</v>
      </c>
      <c r="B1621" s="1" t="s">
        <v>475</v>
      </c>
      <c r="C1621" s="143" t="s">
        <v>52</v>
      </c>
      <c r="D1621" s="143" t="s">
        <v>53</v>
      </c>
      <c r="E1621" s="143" t="s">
        <v>474</v>
      </c>
      <c r="F1621" s="144" t="n">
        <v>200025888782</v>
      </c>
      <c r="G1621" s="144" t="s">
        <v>359</v>
      </c>
      <c r="H1621" s="144" t="n">
        <v>33</v>
      </c>
      <c r="I1621" s="144" t="s">
        <v>152</v>
      </c>
      <c r="J1621" s="151" t="n">
        <v>45058.2982407407</v>
      </c>
      <c r="K1621" s="1" t="n">
        <v>1</v>
      </c>
      <c r="L1621" s="144" t="n">
        <v>33</v>
      </c>
      <c r="M1621" s="1" t="n">
        <v>40</v>
      </c>
      <c r="N1621" s="1" t="n">
        <v>40</v>
      </c>
      <c r="O1621" s="149" t="n">
        <v>28</v>
      </c>
    </row>
    <row r="1622" customFormat="false" ht="14.25" hidden="false" customHeight="false" outlineLevel="0" collapsed="false">
      <c r="A1622" s="1" t="n">
        <v>328</v>
      </c>
      <c r="B1622" s="1" t="s">
        <v>475</v>
      </c>
      <c r="C1622" s="143" t="s">
        <v>52</v>
      </c>
      <c r="D1622" s="143" t="s">
        <v>53</v>
      </c>
      <c r="E1622" s="143" t="s">
        <v>474</v>
      </c>
      <c r="F1622" s="144" t="n">
        <v>200025888782</v>
      </c>
      <c r="G1622" s="144" t="s">
        <v>359</v>
      </c>
      <c r="H1622" s="144" t="n">
        <v>33</v>
      </c>
      <c r="I1622" s="144" t="s">
        <v>152</v>
      </c>
      <c r="J1622" s="151" t="n">
        <v>45058.2984837963</v>
      </c>
      <c r="K1622" s="1" t="n">
        <v>0</v>
      </c>
      <c r="L1622" s="144" t="n">
        <v>33</v>
      </c>
      <c r="M1622" s="1" t="n">
        <v>40</v>
      </c>
      <c r="N1622" s="1" t="n">
        <v>40</v>
      </c>
      <c r="O1622" s="149" t="n">
        <v>29</v>
      </c>
    </row>
    <row r="1623" customFormat="false" ht="14.25" hidden="false" customHeight="false" outlineLevel="0" collapsed="false">
      <c r="A1623" s="1" t="n">
        <v>329</v>
      </c>
      <c r="B1623" s="1" t="s">
        <v>475</v>
      </c>
      <c r="C1623" s="143" t="s">
        <v>52</v>
      </c>
      <c r="D1623" s="143" t="s">
        <v>53</v>
      </c>
      <c r="E1623" s="143" t="s">
        <v>474</v>
      </c>
      <c r="F1623" s="144" t="n">
        <v>200025888782</v>
      </c>
      <c r="G1623" s="144" t="s">
        <v>359</v>
      </c>
      <c r="H1623" s="144" t="n">
        <v>33</v>
      </c>
      <c r="I1623" s="144" t="s">
        <v>152</v>
      </c>
      <c r="J1623" s="151" t="n">
        <v>45058.3025115741</v>
      </c>
      <c r="K1623" s="1" t="n">
        <v>7</v>
      </c>
      <c r="L1623" s="144" t="n">
        <v>33</v>
      </c>
      <c r="M1623" s="1" t="n">
        <v>40</v>
      </c>
      <c r="N1623" s="1" t="n">
        <v>40</v>
      </c>
      <c r="O1623" s="149" t="n">
        <v>30</v>
      </c>
    </row>
    <row r="1624" customFormat="false" ht="14.25" hidden="false" customHeight="false" outlineLevel="0" collapsed="false">
      <c r="A1624" s="1" t="n">
        <v>330</v>
      </c>
      <c r="B1624" s="1" t="s">
        <v>475</v>
      </c>
      <c r="C1624" s="143" t="s">
        <v>52</v>
      </c>
      <c r="D1624" s="143" t="s">
        <v>53</v>
      </c>
      <c r="E1624" s="143" t="s">
        <v>474</v>
      </c>
      <c r="F1624" s="144" t="n">
        <v>200025888782</v>
      </c>
      <c r="G1624" s="144" t="s">
        <v>359</v>
      </c>
      <c r="H1624" s="144" t="n">
        <v>33</v>
      </c>
      <c r="I1624" s="144" t="s">
        <v>152</v>
      </c>
      <c r="J1624" s="151" t="n">
        <v>45058.302974537</v>
      </c>
      <c r="K1624" s="1" t="n">
        <v>1</v>
      </c>
      <c r="L1624" s="144" t="n">
        <v>33</v>
      </c>
      <c r="M1624" s="1" t="n">
        <v>40</v>
      </c>
      <c r="N1624" s="1" t="n">
        <v>40</v>
      </c>
      <c r="O1624" s="149" t="n">
        <v>31</v>
      </c>
    </row>
    <row r="1625" customFormat="false" ht="14.25" hidden="false" customHeight="false" outlineLevel="0" collapsed="false">
      <c r="A1625" s="1" t="n">
        <v>332</v>
      </c>
      <c r="B1625" s="1" t="s">
        <v>475</v>
      </c>
      <c r="C1625" s="143" t="s">
        <v>52</v>
      </c>
      <c r="D1625" s="143" t="s">
        <v>53</v>
      </c>
      <c r="E1625" s="143" t="s">
        <v>474</v>
      </c>
      <c r="F1625" s="144" t="n">
        <v>200025888782</v>
      </c>
      <c r="G1625" s="144" t="s">
        <v>359</v>
      </c>
      <c r="H1625" s="144" t="n">
        <v>33</v>
      </c>
      <c r="I1625" s="144" t="s">
        <v>152</v>
      </c>
      <c r="J1625" s="151" t="n">
        <v>45058.5217939815</v>
      </c>
      <c r="K1625" s="1" t="n">
        <v>0</v>
      </c>
      <c r="L1625" s="144" t="n">
        <v>33</v>
      </c>
      <c r="M1625" s="1" t="n">
        <v>40</v>
      </c>
      <c r="N1625" s="1" t="n">
        <v>40</v>
      </c>
      <c r="O1625" s="149" t="n">
        <v>32</v>
      </c>
    </row>
    <row r="1626" customFormat="false" ht="14.25" hidden="false" customHeight="false" outlineLevel="0" collapsed="false">
      <c r="A1626" s="1" t="n">
        <v>336</v>
      </c>
      <c r="B1626" s="1" t="s">
        <v>475</v>
      </c>
      <c r="C1626" s="143" t="s">
        <v>52</v>
      </c>
      <c r="D1626" s="143" t="s">
        <v>53</v>
      </c>
      <c r="E1626" s="143" t="s">
        <v>474</v>
      </c>
      <c r="F1626" s="144" t="n">
        <v>200025888782</v>
      </c>
      <c r="G1626" s="144" t="s">
        <v>359</v>
      </c>
      <c r="H1626" s="144" t="n">
        <v>33</v>
      </c>
      <c r="I1626" s="144" t="s">
        <v>152</v>
      </c>
      <c r="J1626" s="151" t="n">
        <v>45058.8044907407</v>
      </c>
      <c r="K1626" s="1" t="n">
        <v>2</v>
      </c>
      <c r="L1626" s="144" t="n">
        <v>33</v>
      </c>
      <c r="M1626" s="1" t="n">
        <v>40</v>
      </c>
      <c r="N1626" s="1" t="n">
        <v>40</v>
      </c>
      <c r="O1626" s="149" t="n">
        <v>33</v>
      </c>
    </row>
    <row r="1627" customFormat="false" ht="14.25" hidden="false" customHeight="false" outlineLevel="0" collapsed="false">
      <c r="A1627" s="1" t="n">
        <v>11</v>
      </c>
      <c r="B1627" s="1" t="s">
        <v>491</v>
      </c>
      <c r="C1627" s="143" t="s">
        <v>52</v>
      </c>
      <c r="D1627" s="143" t="s">
        <v>53</v>
      </c>
      <c r="E1627" s="155" t="s">
        <v>474</v>
      </c>
      <c r="F1627" s="144" t="n">
        <v>200025888782</v>
      </c>
      <c r="G1627" s="144" t="s">
        <v>359</v>
      </c>
      <c r="H1627" s="144" t="n">
        <v>33</v>
      </c>
      <c r="I1627" s="144" t="s">
        <v>152</v>
      </c>
      <c r="J1627" s="6" t="n">
        <v>45077.4311342593</v>
      </c>
      <c r="K1627" s="1" t="n">
        <v>0</v>
      </c>
      <c r="L1627" s="144" t="n">
        <v>33</v>
      </c>
      <c r="M1627" s="1" t="n">
        <v>40</v>
      </c>
      <c r="N1627" s="1" t="n">
        <v>40</v>
      </c>
      <c r="O1627" s="149" t="n">
        <v>34</v>
      </c>
    </row>
    <row r="1628" customFormat="false" ht="14.25" hidden="false" customHeight="false" outlineLevel="0" collapsed="false">
      <c r="A1628" s="1" t="n">
        <v>244</v>
      </c>
      <c r="B1628" s="1" t="s">
        <v>477</v>
      </c>
      <c r="C1628" s="143" t="n">
        <v>11171</v>
      </c>
      <c r="D1628" s="143" t="s">
        <v>74</v>
      </c>
      <c r="E1628" s="143" t="s">
        <v>474</v>
      </c>
      <c r="F1628" s="144" t="n">
        <v>200025888782</v>
      </c>
      <c r="G1628" s="144" t="s">
        <v>359</v>
      </c>
      <c r="H1628" s="144" t="n">
        <v>33</v>
      </c>
      <c r="I1628" s="144" t="s">
        <v>152</v>
      </c>
      <c r="J1628" s="152" t="n">
        <v>45080.5434375</v>
      </c>
      <c r="K1628" s="1" t="n">
        <v>1</v>
      </c>
      <c r="L1628" s="144" t="n">
        <v>33</v>
      </c>
      <c r="M1628" s="1" t="n">
        <v>40</v>
      </c>
      <c r="N1628" s="1" t="n">
        <v>40</v>
      </c>
      <c r="O1628" s="149" t="n">
        <v>35</v>
      </c>
    </row>
    <row r="1629" customFormat="false" ht="14.25" hidden="false" customHeight="false" outlineLevel="0" collapsed="false">
      <c r="A1629" s="1" t="n">
        <v>522</v>
      </c>
      <c r="B1629" s="1" t="s">
        <v>473</v>
      </c>
      <c r="C1629" s="143" t="n">
        <v>11490</v>
      </c>
      <c r="D1629" s="143" t="s">
        <v>65</v>
      </c>
      <c r="E1629" s="143" t="s">
        <v>474</v>
      </c>
      <c r="F1629" s="144" t="n">
        <v>200025888609</v>
      </c>
      <c r="G1629" s="144" t="s">
        <v>342</v>
      </c>
      <c r="H1629" s="144" t="n">
        <v>59</v>
      </c>
      <c r="I1629" s="144" t="s">
        <v>152</v>
      </c>
      <c r="J1629" s="151" t="n">
        <v>45058.2472685185</v>
      </c>
      <c r="K1629" s="1" t="n">
        <v>2</v>
      </c>
      <c r="L1629" s="144" t="n">
        <v>59</v>
      </c>
      <c r="M1629" s="1" t="n">
        <v>41</v>
      </c>
      <c r="N1629" s="1" t="n">
        <v>41</v>
      </c>
      <c r="O1629" s="149" t="n">
        <v>1</v>
      </c>
    </row>
    <row r="1630" customFormat="false" ht="14.25" hidden="false" customHeight="false" outlineLevel="0" collapsed="false">
      <c r="A1630" s="1" t="n">
        <v>523</v>
      </c>
      <c r="B1630" s="1" t="s">
        <v>473</v>
      </c>
      <c r="C1630" s="143" t="n">
        <v>11490</v>
      </c>
      <c r="D1630" s="143" t="s">
        <v>65</v>
      </c>
      <c r="E1630" s="143" t="s">
        <v>474</v>
      </c>
      <c r="F1630" s="144" t="n">
        <v>200025888609</v>
      </c>
      <c r="G1630" s="144" t="s">
        <v>342</v>
      </c>
      <c r="H1630" s="144" t="n">
        <v>59</v>
      </c>
      <c r="I1630" s="144" t="s">
        <v>152</v>
      </c>
      <c r="J1630" s="151" t="n">
        <v>45058.2475694444</v>
      </c>
      <c r="K1630" s="1" t="n">
        <v>1</v>
      </c>
      <c r="L1630" s="144" t="n">
        <v>59</v>
      </c>
      <c r="M1630" s="1" t="n">
        <v>41</v>
      </c>
      <c r="N1630" s="1" t="n">
        <v>41</v>
      </c>
      <c r="O1630" s="149" t="n">
        <v>2</v>
      </c>
    </row>
    <row r="1631" customFormat="false" ht="14.25" hidden="false" customHeight="false" outlineLevel="0" collapsed="false">
      <c r="A1631" s="1" t="n">
        <v>334</v>
      </c>
      <c r="B1631" s="1" t="s">
        <v>476</v>
      </c>
      <c r="C1631" s="143" t="s">
        <v>58</v>
      </c>
      <c r="D1631" s="143" t="s">
        <v>59</v>
      </c>
      <c r="E1631" s="143" t="s">
        <v>474</v>
      </c>
      <c r="F1631" s="144" t="n">
        <v>200025888609</v>
      </c>
      <c r="G1631" s="144" t="s">
        <v>342</v>
      </c>
      <c r="H1631" s="144" t="n">
        <v>59</v>
      </c>
      <c r="I1631" s="144" t="s">
        <v>152</v>
      </c>
      <c r="J1631" s="151" t="n">
        <v>45058.7110300926</v>
      </c>
      <c r="K1631" s="1" t="n">
        <v>3</v>
      </c>
      <c r="L1631" s="144" t="n">
        <v>59</v>
      </c>
      <c r="M1631" s="1" t="n">
        <v>41</v>
      </c>
      <c r="N1631" s="1" t="n">
        <v>41</v>
      </c>
      <c r="O1631" s="149" t="n">
        <v>3</v>
      </c>
    </row>
    <row r="1632" customFormat="false" ht="14.25" hidden="false" customHeight="false" outlineLevel="0" collapsed="false">
      <c r="A1632" s="1" t="n">
        <v>335</v>
      </c>
      <c r="B1632" s="1" t="s">
        <v>476</v>
      </c>
      <c r="C1632" s="143" t="s">
        <v>58</v>
      </c>
      <c r="D1632" s="143" t="s">
        <v>59</v>
      </c>
      <c r="E1632" s="143" t="s">
        <v>474</v>
      </c>
      <c r="F1632" s="144" t="n">
        <v>200025888609</v>
      </c>
      <c r="G1632" s="144" t="s">
        <v>342</v>
      </c>
      <c r="H1632" s="144" t="n">
        <v>59</v>
      </c>
      <c r="I1632" s="144" t="s">
        <v>152</v>
      </c>
      <c r="J1632" s="151" t="n">
        <v>45058.7113888889</v>
      </c>
      <c r="K1632" s="1" t="n">
        <v>2</v>
      </c>
      <c r="L1632" s="144" t="n">
        <v>59</v>
      </c>
      <c r="M1632" s="1" t="n">
        <v>41</v>
      </c>
      <c r="N1632" s="1" t="n">
        <v>41</v>
      </c>
      <c r="O1632" s="149" t="n">
        <v>4</v>
      </c>
    </row>
    <row r="1633" customFormat="false" ht="14.25" hidden="false" customHeight="false" outlineLevel="0" collapsed="false">
      <c r="A1633" s="1" t="n">
        <v>336</v>
      </c>
      <c r="B1633" s="1" t="s">
        <v>476</v>
      </c>
      <c r="C1633" s="143" t="s">
        <v>58</v>
      </c>
      <c r="D1633" s="143" t="s">
        <v>59</v>
      </c>
      <c r="E1633" s="143" t="s">
        <v>474</v>
      </c>
      <c r="F1633" s="144" t="n">
        <v>200025888609</v>
      </c>
      <c r="G1633" s="144" t="s">
        <v>342</v>
      </c>
      <c r="H1633" s="144" t="n">
        <v>59</v>
      </c>
      <c r="I1633" s="144" t="s">
        <v>152</v>
      </c>
      <c r="J1633" s="151" t="n">
        <v>45058.711412037</v>
      </c>
      <c r="K1633" s="1" t="n">
        <v>4</v>
      </c>
      <c r="L1633" s="144" t="n">
        <v>59</v>
      </c>
      <c r="M1633" s="1" t="n">
        <v>41</v>
      </c>
      <c r="N1633" s="1" t="n">
        <v>41</v>
      </c>
      <c r="O1633" s="149" t="n">
        <v>5</v>
      </c>
    </row>
    <row r="1634" customFormat="false" ht="14.25" hidden="false" customHeight="false" outlineLevel="0" collapsed="false">
      <c r="A1634" s="1" t="n">
        <v>48</v>
      </c>
      <c r="B1634" s="1" t="s">
        <v>478</v>
      </c>
      <c r="C1634" s="143" t="n">
        <v>11171</v>
      </c>
      <c r="D1634" s="143" t="s">
        <v>74</v>
      </c>
      <c r="E1634" s="143" t="s">
        <v>474</v>
      </c>
      <c r="F1634" s="144" t="n">
        <v>200025888609</v>
      </c>
      <c r="G1634" s="144" t="s">
        <v>342</v>
      </c>
      <c r="H1634" s="144" t="n">
        <v>59</v>
      </c>
      <c r="I1634" s="144" t="s">
        <v>152</v>
      </c>
      <c r="J1634" s="151" t="n">
        <v>45058.7335763889</v>
      </c>
      <c r="K1634" s="1" t="n">
        <v>1</v>
      </c>
      <c r="L1634" s="144" t="n">
        <v>59</v>
      </c>
      <c r="M1634" s="1" t="n">
        <v>41</v>
      </c>
      <c r="N1634" s="1" t="n">
        <v>41</v>
      </c>
      <c r="O1634" s="149" t="n">
        <v>6</v>
      </c>
    </row>
    <row r="1635" customFormat="false" ht="14.25" hidden="false" customHeight="false" outlineLevel="0" collapsed="false">
      <c r="A1635" s="1" t="n">
        <v>331</v>
      </c>
      <c r="B1635" s="1" t="s">
        <v>476</v>
      </c>
      <c r="C1635" s="143" t="s">
        <v>58</v>
      </c>
      <c r="D1635" s="143" t="s">
        <v>59</v>
      </c>
      <c r="E1635" s="143" t="s">
        <v>474</v>
      </c>
      <c r="F1635" s="144" t="n">
        <v>200025888527</v>
      </c>
      <c r="G1635" s="144" t="s">
        <v>296</v>
      </c>
      <c r="H1635" s="144" t="n">
        <v>60</v>
      </c>
      <c r="I1635" s="144" t="s">
        <v>152</v>
      </c>
      <c r="J1635" s="151" t="n">
        <v>45058.454525463</v>
      </c>
      <c r="K1635" s="1" t="n">
        <v>2</v>
      </c>
      <c r="L1635" s="144" t="n">
        <v>60</v>
      </c>
      <c r="M1635" s="1" t="n">
        <v>42</v>
      </c>
      <c r="N1635" s="1" t="n">
        <v>42</v>
      </c>
      <c r="O1635" s="149" t="n">
        <v>1</v>
      </c>
    </row>
    <row r="1636" customFormat="false" ht="14.25" hidden="false" customHeight="false" outlineLevel="0" collapsed="false">
      <c r="A1636" s="1" t="n">
        <v>332</v>
      </c>
      <c r="B1636" s="1" t="s">
        <v>476</v>
      </c>
      <c r="C1636" s="143" t="s">
        <v>58</v>
      </c>
      <c r="D1636" s="143" t="s">
        <v>59</v>
      </c>
      <c r="E1636" s="143" t="s">
        <v>474</v>
      </c>
      <c r="F1636" s="144" t="n">
        <v>200025888527</v>
      </c>
      <c r="G1636" s="144" t="s">
        <v>296</v>
      </c>
      <c r="H1636" s="144" t="n">
        <v>60</v>
      </c>
      <c r="I1636" s="144" t="s">
        <v>152</v>
      </c>
      <c r="J1636" s="151" t="n">
        <v>45058.4550115741</v>
      </c>
      <c r="K1636" s="1" t="n">
        <v>2</v>
      </c>
      <c r="L1636" s="144" t="n">
        <v>60</v>
      </c>
      <c r="M1636" s="1" t="n">
        <v>42</v>
      </c>
      <c r="N1636" s="1" t="n">
        <v>42</v>
      </c>
      <c r="O1636" s="149" t="n">
        <v>2</v>
      </c>
    </row>
    <row r="1637" customFormat="false" ht="14.25" hidden="false" customHeight="false" outlineLevel="0" collapsed="false">
      <c r="A1637" s="1" t="n">
        <v>333</v>
      </c>
      <c r="B1637" s="1" t="s">
        <v>476</v>
      </c>
      <c r="C1637" s="143" t="s">
        <v>58</v>
      </c>
      <c r="D1637" s="143" t="s">
        <v>59</v>
      </c>
      <c r="E1637" s="143" t="s">
        <v>474</v>
      </c>
      <c r="F1637" s="144" t="n">
        <v>200025888527</v>
      </c>
      <c r="G1637" s="144" t="s">
        <v>296</v>
      </c>
      <c r="H1637" s="144" t="n">
        <v>60</v>
      </c>
      <c r="I1637" s="144" t="s">
        <v>152</v>
      </c>
      <c r="J1637" s="151" t="n">
        <v>45058.4554166667</v>
      </c>
      <c r="K1637" s="1" t="n">
        <v>3</v>
      </c>
      <c r="L1637" s="144" t="n">
        <v>60</v>
      </c>
      <c r="M1637" s="1" t="n">
        <v>42</v>
      </c>
      <c r="N1637" s="1" t="n">
        <v>42</v>
      </c>
      <c r="O1637" s="149" t="n">
        <v>3</v>
      </c>
    </row>
    <row r="1638" customFormat="false" ht="14.25" hidden="false" customHeight="false" outlineLevel="0" collapsed="false">
      <c r="A1638" s="1" t="n">
        <v>26</v>
      </c>
      <c r="B1638" s="1" t="s">
        <v>490</v>
      </c>
      <c r="C1638" s="143" t="n">
        <v>11171</v>
      </c>
      <c r="D1638" s="143" t="s">
        <v>74</v>
      </c>
      <c r="E1638" s="143" t="s">
        <v>474</v>
      </c>
      <c r="F1638" s="144" t="n">
        <v>200025888527</v>
      </c>
      <c r="G1638" s="144" t="s">
        <v>296</v>
      </c>
      <c r="H1638" s="144" t="n">
        <v>60</v>
      </c>
      <c r="I1638" s="144" t="s">
        <v>152</v>
      </c>
      <c r="J1638" s="6" t="n">
        <v>45070.5454050926</v>
      </c>
      <c r="K1638" s="1" t="n">
        <v>1</v>
      </c>
      <c r="L1638" s="144" t="n">
        <v>60</v>
      </c>
      <c r="M1638" s="1" t="n">
        <v>42</v>
      </c>
      <c r="N1638" s="1" t="n">
        <v>42</v>
      </c>
      <c r="O1638" s="149" t="n">
        <v>4</v>
      </c>
    </row>
    <row r="1639" customFormat="false" ht="14.25" hidden="false" customHeight="false" outlineLevel="0" collapsed="false">
      <c r="A1639" s="1" t="n">
        <v>188</v>
      </c>
      <c r="B1639" s="1" t="s">
        <v>477</v>
      </c>
      <c r="C1639" s="143" t="s">
        <v>52</v>
      </c>
      <c r="D1639" s="143" t="s">
        <v>53</v>
      </c>
      <c r="E1639" s="143" t="s">
        <v>474</v>
      </c>
      <c r="F1639" s="144" t="n">
        <v>200025888527</v>
      </c>
      <c r="G1639" s="144" t="s">
        <v>296</v>
      </c>
      <c r="H1639" s="144" t="n">
        <v>60</v>
      </c>
      <c r="I1639" s="144" t="s">
        <v>152</v>
      </c>
      <c r="J1639" s="152" t="n">
        <v>45074.761712963</v>
      </c>
      <c r="K1639" s="1" t="n">
        <v>2</v>
      </c>
      <c r="L1639" s="144" t="n">
        <v>60</v>
      </c>
      <c r="M1639" s="1" t="n">
        <v>42</v>
      </c>
      <c r="N1639" s="1" t="n">
        <v>42</v>
      </c>
      <c r="O1639" s="149" t="n">
        <v>5</v>
      </c>
    </row>
    <row r="1640" customFormat="false" ht="14.25" hidden="false" customHeight="false" outlineLevel="0" collapsed="false">
      <c r="A1640" s="1" t="n">
        <v>189</v>
      </c>
      <c r="B1640" s="1" t="s">
        <v>477</v>
      </c>
      <c r="C1640" s="143" t="s">
        <v>52</v>
      </c>
      <c r="D1640" s="143" t="s">
        <v>53</v>
      </c>
      <c r="E1640" s="143" t="s">
        <v>474</v>
      </c>
      <c r="F1640" s="144" t="n">
        <v>200025888527</v>
      </c>
      <c r="G1640" s="144" t="s">
        <v>296</v>
      </c>
      <c r="H1640" s="144" t="n">
        <v>60</v>
      </c>
      <c r="I1640" s="144" t="s">
        <v>152</v>
      </c>
      <c r="J1640" s="152" t="n">
        <v>45074.7618287037</v>
      </c>
      <c r="K1640" s="1" t="n">
        <v>1</v>
      </c>
      <c r="L1640" s="144" t="n">
        <v>60</v>
      </c>
      <c r="M1640" s="1" t="n">
        <v>42</v>
      </c>
      <c r="N1640" s="1" t="n">
        <v>42</v>
      </c>
      <c r="O1640" s="149" t="n">
        <v>6</v>
      </c>
    </row>
    <row r="1641" customFormat="false" ht="14.25" hidden="false" customHeight="false" outlineLevel="0" collapsed="false">
      <c r="A1641" s="1" t="n">
        <v>171</v>
      </c>
      <c r="B1641" s="1" t="s">
        <v>476</v>
      </c>
      <c r="C1641" s="143" t="n">
        <v>91601</v>
      </c>
      <c r="D1641" s="143" t="s">
        <v>65</v>
      </c>
      <c r="E1641" s="143" t="s">
        <v>474</v>
      </c>
      <c r="F1641" s="144" t="n">
        <v>200025888527</v>
      </c>
      <c r="G1641" s="144" t="s">
        <v>296</v>
      </c>
      <c r="H1641" s="144" t="n">
        <v>60</v>
      </c>
      <c r="I1641" s="144" t="s">
        <v>152</v>
      </c>
      <c r="J1641" s="6" t="n">
        <v>45074.8184953704</v>
      </c>
      <c r="K1641" s="1" t="n">
        <v>1</v>
      </c>
      <c r="L1641" s="144" t="n">
        <v>60</v>
      </c>
      <c r="M1641" s="1" t="n">
        <v>42</v>
      </c>
      <c r="N1641" s="1" t="n">
        <v>42</v>
      </c>
      <c r="O1641" s="149" t="n">
        <v>7</v>
      </c>
    </row>
    <row r="1642" customFormat="false" ht="14.25" hidden="false" customHeight="false" outlineLevel="0" collapsed="false">
      <c r="A1642" s="1" t="n">
        <v>172</v>
      </c>
      <c r="B1642" s="1" t="s">
        <v>476</v>
      </c>
      <c r="C1642" s="143" t="n">
        <v>91601</v>
      </c>
      <c r="D1642" s="143" t="s">
        <v>65</v>
      </c>
      <c r="E1642" s="143" t="s">
        <v>474</v>
      </c>
      <c r="F1642" s="144" t="n">
        <v>200025888527</v>
      </c>
      <c r="G1642" s="144" t="s">
        <v>296</v>
      </c>
      <c r="H1642" s="144" t="n">
        <v>60</v>
      </c>
      <c r="I1642" s="144" t="s">
        <v>152</v>
      </c>
      <c r="J1642" s="6" t="n">
        <v>45074.8633101852</v>
      </c>
      <c r="K1642" s="1" t="n">
        <v>3</v>
      </c>
      <c r="L1642" s="144" t="n">
        <v>60</v>
      </c>
      <c r="M1642" s="1" t="n">
        <v>42</v>
      </c>
      <c r="N1642" s="1" t="n">
        <v>42</v>
      </c>
      <c r="O1642" s="149" t="n">
        <v>8</v>
      </c>
    </row>
    <row r="1643" customFormat="false" ht="14.25" hidden="false" customHeight="false" outlineLevel="0" collapsed="false">
      <c r="A1643" s="1" t="n">
        <v>173</v>
      </c>
      <c r="B1643" s="1" t="s">
        <v>476</v>
      </c>
      <c r="C1643" s="143" t="n">
        <v>91601</v>
      </c>
      <c r="D1643" s="143" t="s">
        <v>65</v>
      </c>
      <c r="E1643" s="143" t="s">
        <v>474</v>
      </c>
      <c r="F1643" s="144" t="n">
        <v>200025888527</v>
      </c>
      <c r="G1643" s="144" t="s">
        <v>296</v>
      </c>
      <c r="H1643" s="144" t="n">
        <v>60</v>
      </c>
      <c r="I1643" s="144" t="s">
        <v>152</v>
      </c>
      <c r="J1643" s="6" t="n">
        <v>45074.9404976852</v>
      </c>
      <c r="K1643" s="1" t="n">
        <v>1</v>
      </c>
      <c r="L1643" s="144" t="n">
        <v>60</v>
      </c>
      <c r="M1643" s="1" t="n">
        <v>42</v>
      </c>
      <c r="N1643" s="1" t="n">
        <v>42</v>
      </c>
      <c r="O1643" s="149" t="n">
        <v>9</v>
      </c>
    </row>
    <row r="1644" customFormat="false" ht="14.25" hidden="false" customHeight="false" outlineLevel="0" collapsed="false">
      <c r="A1644" s="1" t="n">
        <v>174</v>
      </c>
      <c r="B1644" s="1" t="s">
        <v>476</v>
      </c>
      <c r="C1644" s="143" t="n">
        <v>91601</v>
      </c>
      <c r="D1644" s="143" t="s">
        <v>65</v>
      </c>
      <c r="E1644" s="143" t="s">
        <v>474</v>
      </c>
      <c r="F1644" s="144" t="n">
        <v>200025888527</v>
      </c>
      <c r="G1644" s="144" t="s">
        <v>296</v>
      </c>
      <c r="H1644" s="144" t="n">
        <v>60</v>
      </c>
      <c r="I1644" s="144" t="s">
        <v>152</v>
      </c>
      <c r="J1644" s="6" t="n">
        <v>45074.9409837963</v>
      </c>
      <c r="K1644" s="1" t="n">
        <v>3</v>
      </c>
      <c r="L1644" s="144" t="n">
        <v>60</v>
      </c>
      <c r="M1644" s="1" t="n">
        <v>42</v>
      </c>
      <c r="N1644" s="1" t="n">
        <v>42</v>
      </c>
      <c r="O1644" s="149" t="n">
        <v>10</v>
      </c>
    </row>
    <row r="1645" customFormat="false" ht="14.25" hidden="false" customHeight="false" outlineLevel="0" collapsed="false">
      <c r="A1645" s="1" t="n">
        <v>175</v>
      </c>
      <c r="B1645" s="1" t="s">
        <v>476</v>
      </c>
      <c r="C1645" s="143" t="n">
        <v>91601</v>
      </c>
      <c r="D1645" s="143" t="s">
        <v>65</v>
      </c>
      <c r="E1645" s="143" t="s">
        <v>474</v>
      </c>
      <c r="F1645" s="144" t="n">
        <v>200025888527</v>
      </c>
      <c r="G1645" s="144" t="s">
        <v>296</v>
      </c>
      <c r="H1645" s="144" t="n">
        <v>60</v>
      </c>
      <c r="I1645" s="144" t="s">
        <v>152</v>
      </c>
      <c r="J1645" s="6" t="n">
        <v>45074.984375</v>
      </c>
      <c r="K1645" s="1" t="n">
        <v>1</v>
      </c>
      <c r="L1645" s="144" t="n">
        <v>60</v>
      </c>
      <c r="M1645" s="1" t="n">
        <v>42</v>
      </c>
      <c r="N1645" s="1" t="n">
        <v>42</v>
      </c>
      <c r="O1645" s="149" t="n">
        <v>11</v>
      </c>
    </row>
    <row r="1646" customFormat="false" ht="14.25" hidden="false" customHeight="false" outlineLevel="0" collapsed="false">
      <c r="A1646" s="1" t="n">
        <v>176</v>
      </c>
      <c r="B1646" s="1" t="s">
        <v>476</v>
      </c>
      <c r="C1646" s="143" t="n">
        <v>91601</v>
      </c>
      <c r="D1646" s="143" t="s">
        <v>65</v>
      </c>
      <c r="E1646" s="143" t="s">
        <v>474</v>
      </c>
      <c r="F1646" s="144" t="n">
        <v>200025888527</v>
      </c>
      <c r="G1646" s="144" t="s">
        <v>296</v>
      </c>
      <c r="H1646" s="144" t="n">
        <v>60</v>
      </c>
      <c r="I1646" s="144" t="s">
        <v>152</v>
      </c>
      <c r="J1646" s="6" t="n">
        <v>45075.0419907407</v>
      </c>
      <c r="K1646" s="1" t="n">
        <v>2</v>
      </c>
      <c r="L1646" s="144" t="n">
        <v>60</v>
      </c>
      <c r="M1646" s="1" t="n">
        <v>42</v>
      </c>
      <c r="N1646" s="1" t="n">
        <v>42</v>
      </c>
      <c r="O1646" s="149" t="n">
        <v>12</v>
      </c>
    </row>
    <row r="1647" customFormat="false" ht="14.25" hidden="false" customHeight="false" outlineLevel="0" collapsed="false">
      <c r="A1647" s="1" t="n">
        <v>177</v>
      </c>
      <c r="B1647" s="1" t="s">
        <v>476</v>
      </c>
      <c r="C1647" s="143" t="n">
        <v>91601</v>
      </c>
      <c r="D1647" s="143" t="s">
        <v>65</v>
      </c>
      <c r="E1647" s="143" t="s">
        <v>474</v>
      </c>
      <c r="F1647" s="144" t="n">
        <v>200025888527</v>
      </c>
      <c r="G1647" s="144" t="s">
        <v>296</v>
      </c>
      <c r="H1647" s="144" t="n">
        <v>60</v>
      </c>
      <c r="I1647" s="144" t="s">
        <v>152</v>
      </c>
      <c r="J1647" s="6" t="n">
        <v>45075.0810532407</v>
      </c>
      <c r="K1647" s="1" t="n">
        <v>2</v>
      </c>
      <c r="L1647" s="144" t="n">
        <v>60</v>
      </c>
      <c r="M1647" s="1" t="n">
        <v>42</v>
      </c>
      <c r="N1647" s="1" t="n">
        <v>42</v>
      </c>
      <c r="O1647" s="149" t="n">
        <v>13</v>
      </c>
    </row>
    <row r="1648" customFormat="false" ht="14.25" hidden="false" customHeight="false" outlineLevel="0" collapsed="false">
      <c r="A1648" s="1" t="n">
        <v>200</v>
      </c>
      <c r="B1648" s="1" t="s">
        <v>477</v>
      </c>
      <c r="C1648" s="143" t="s">
        <v>52</v>
      </c>
      <c r="D1648" s="143" t="s">
        <v>53</v>
      </c>
      <c r="E1648" s="143" t="s">
        <v>474</v>
      </c>
      <c r="F1648" s="144" t="n">
        <v>200025888527</v>
      </c>
      <c r="G1648" s="144" t="s">
        <v>296</v>
      </c>
      <c r="H1648" s="144" t="n">
        <v>60</v>
      </c>
      <c r="I1648" s="144" t="s">
        <v>152</v>
      </c>
      <c r="J1648" s="152" t="n">
        <v>45075.1211226852</v>
      </c>
      <c r="K1648" s="1" t="n">
        <v>1</v>
      </c>
      <c r="L1648" s="144" t="n">
        <v>60</v>
      </c>
      <c r="M1648" s="1" t="n">
        <v>42</v>
      </c>
      <c r="N1648" s="1" t="n">
        <v>42</v>
      </c>
      <c r="O1648" s="149" t="n">
        <v>14</v>
      </c>
    </row>
    <row r="1649" customFormat="false" ht="14.25" hidden="false" customHeight="false" outlineLevel="0" collapsed="false">
      <c r="A1649" s="1" t="n">
        <v>201</v>
      </c>
      <c r="B1649" s="1" t="s">
        <v>477</v>
      </c>
      <c r="C1649" s="143" t="s">
        <v>52</v>
      </c>
      <c r="D1649" s="143" t="s">
        <v>53</v>
      </c>
      <c r="E1649" s="143" t="s">
        <v>474</v>
      </c>
      <c r="F1649" s="144" t="n">
        <v>200025888527</v>
      </c>
      <c r="G1649" s="144" t="s">
        <v>296</v>
      </c>
      <c r="H1649" s="144" t="n">
        <v>60</v>
      </c>
      <c r="I1649" s="144" t="s">
        <v>152</v>
      </c>
      <c r="J1649" s="152" t="n">
        <v>45075.1211805556</v>
      </c>
      <c r="K1649" s="1" t="n">
        <v>2</v>
      </c>
      <c r="L1649" s="144" t="n">
        <v>60</v>
      </c>
      <c r="M1649" s="1" t="n">
        <v>42</v>
      </c>
      <c r="N1649" s="1" t="n">
        <v>42</v>
      </c>
      <c r="O1649" s="149" t="n">
        <v>15</v>
      </c>
    </row>
    <row r="1650" customFormat="false" ht="14.25" hidden="false" customHeight="false" outlineLevel="0" collapsed="false">
      <c r="A1650" s="1" t="n">
        <v>202</v>
      </c>
      <c r="B1650" s="1" t="s">
        <v>477</v>
      </c>
      <c r="C1650" s="143" t="s">
        <v>52</v>
      </c>
      <c r="D1650" s="143" t="s">
        <v>53</v>
      </c>
      <c r="E1650" s="143" t="s">
        <v>474</v>
      </c>
      <c r="F1650" s="144" t="n">
        <v>200025888527</v>
      </c>
      <c r="G1650" s="144" t="s">
        <v>296</v>
      </c>
      <c r="H1650" s="144" t="n">
        <v>60</v>
      </c>
      <c r="I1650" s="144" t="s">
        <v>152</v>
      </c>
      <c r="J1650" s="152" t="n">
        <v>45075.1213773148</v>
      </c>
      <c r="K1650" s="1" t="n">
        <v>2</v>
      </c>
      <c r="L1650" s="144" t="n">
        <v>60</v>
      </c>
      <c r="M1650" s="1" t="n">
        <v>42</v>
      </c>
      <c r="N1650" s="1" t="n">
        <v>42</v>
      </c>
      <c r="O1650" s="149" t="n">
        <v>16</v>
      </c>
    </row>
    <row r="1651" customFormat="false" ht="14.25" hidden="false" customHeight="false" outlineLevel="0" collapsed="false">
      <c r="A1651" s="1" t="n">
        <v>203</v>
      </c>
      <c r="B1651" s="1" t="s">
        <v>477</v>
      </c>
      <c r="C1651" s="143" t="s">
        <v>52</v>
      </c>
      <c r="D1651" s="143" t="s">
        <v>53</v>
      </c>
      <c r="E1651" s="143" t="s">
        <v>474</v>
      </c>
      <c r="F1651" s="144" t="n">
        <v>200025888527</v>
      </c>
      <c r="G1651" s="144" t="s">
        <v>296</v>
      </c>
      <c r="H1651" s="144" t="n">
        <v>60</v>
      </c>
      <c r="I1651" s="144" t="s">
        <v>152</v>
      </c>
      <c r="J1651" s="152" t="n">
        <v>45075.1215046296</v>
      </c>
      <c r="K1651" s="1" t="n">
        <v>2</v>
      </c>
      <c r="L1651" s="144" t="n">
        <v>60</v>
      </c>
      <c r="M1651" s="1" t="n">
        <v>42</v>
      </c>
      <c r="N1651" s="1" t="n">
        <v>42</v>
      </c>
      <c r="O1651" s="149" t="n">
        <v>17</v>
      </c>
    </row>
    <row r="1652" customFormat="false" ht="14.25" hidden="false" customHeight="false" outlineLevel="0" collapsed="false">
      <c r="A1652" s="1" t="n">
        <v>204</v>
      </c>
      <c r="B1652" s="1" t="s">
        <v>477</v>
      </c>
      <c r="C1652" s="143" t="s">
        <v>52</v>
      </c>
      <c r="D1652" s="143" t="s">
        <v>53</v>
      </c>
      <c r="E1652" s="143" t="s">
        <v>474</v>
      </c>
      <c r="F1652" s="144" t="n">
        <v>200025888527</v>
      </c>
      <c r="G1652" s="144" t="s">
        <v>296</v>
      </c>
      <c r="H1652" s="144" t="n">
        <v>60</v>
      </c>
      <c r="I1652" s="144" t="s">
        <v>152</v>
      </c>
      <c r="J1652" s="152" t="n">
        <v>45075.1218055556</v>
      </c>
      <c r="K1652" s="1" t="n">
        <v>1</v>
      </c>
      <c r="L1652" s="144" t="n">
        <v>60</v>
      </c>
      <c r="M1652" s="1" t="n">
        <v>42</v>
      </c>
      <c r="N1652" s="1" t="n">
        <v>42</v>
      </c>
      <c r="O1652" s="149" t="n">
        <v>18</v>
      </c>
    </row>
    <row r="1653" customFormat="false" ht="14.25" hidden="false" customHeight="false" outlineLevel="0" collapsed="false">
      <c r="A1653" s="1" t="n">
        <v>205</v>
      </c>
      <c r="B1653" s="1" t="s">
        <v>477</v>
      </c>
      <c r="C1653" s="143" t="s">
        <v>52</v>
      </c>
      <c r="D1653" s="143" t="s">
        <v>53</v>
      </c>
      <c r="E1653" s="143" t="s">
        <v>474</v>
      </c>
      <c r="F1653" s="144" t="n">
        <v>200025888527</v>
      </c>
      <c r="G1653" s="144" t="s">
        <v>296</v>
      </c>
      <c r="H1653" s="144" t="n">
        <v>60</v>
      </c>
      <c r="I1653" s="144" t="s">
        <v>152</v>
      </c>
      <c r="J1653" s="152" t="n">
        <v>45075.1219328704</v>
      </c>
      <c r="K1653" s="1" t="n">
        <v>1</v>
      </c>
      <c r="L1653" s="144" t="n">
        <v>60</v>
      </c>
      <c r="M1653" s="1" t="n">
        <v>42</v>
      </c>
      <c r="N1653" s="1" t="n">
        <v>42</v>
      </c>
      <c r="O1653" s="149" t="n">
        <v>19</v>
      </c>
    </row>
    <row r="1654" customFormat="false" ht="14.25" hidden="false" customHeight="false" outlineLevel="0" collapsed="false">
      <c r="A1654" s="1" t="n">
        <v>206</v>
      </c>
      <c r="B1654" s="1" t="s">
        <v>477</v>
      </c>
      <c r="C1654" s="143" t="s">
        <v>52</v>
      </c>
      <c r="D1654" s="143" t="s">
        <v>53</v>
      </c>
      <c r="E1654" s="143" t="s">
        <v>474</v>
      </c>
      <c r="F1654" s="144" t="n">
        <v>200025888527</v>
      </c>
      <c r="G1654" s="144" t="s">
        <v>296</v>
      </c>
      <c r="H1654" s="144" t="n">
        <v>60</v>
      </c>
      <c r="I1654" s="144" t="s">
        <v>152</v>
      </c>
      <c r="J1654" s="152" t="n">
        <v>45075.1223958333</v>
      </c>
      <c r="K1654" s="1" t="n">
        <v>2</v>
      </c>
      <c r="L1654" s="144" t="n">
        <v>60</v>
      </c>
      <c r="M1654" s="1" t="n">
        <v>42</v>
      </c>
      <c r="N1654" s="1" t="n">
        <v>42</v>
      </c>
      <c r="O1654" s="149" t="n">
        <v>20</v>
      </c>
    </row>
    <row r="1655" customFormat="false" ht="14.25" hidden="false" customHeight="false" outlineLevel="0" collapsed="false">
      <c r="A1655" s="1" t="n">
        <v>207</v>
      </c>
      <c r="B1655" s="1" t="s">
        <v>477</v>
      </c>
      <c r="C1655" s="143" t="s">
        <v>52</v>
      </c>
      <c r="D1655" s="143" t="s">
        <v>53</v>
      </c>
      <c r="E1655" s="143" t="s">
        <v>474</v>
      </c>
      <c r="F1655" s="144" t="n">
        <v>200025888527</v>
      </c>
      <c r="G1655" s="144" t="s">
        <v>296</v>
      </c>
      <c r="H1655" s="144" t="n">
        <v>60</v>
      </c>
      <c r="I1655" s="144" t="s">
        <v>152</v>
      </c>
      <c r="J1655" s="152" t="n">
        <v>45075.1227314815</v>
      </c>
      <c r="K1655" s="1" t="n">
        <v>2</v>
      </c>
      <c r="L1655" s="144" t="n">
        <v>60</v>
      </c>
      <c r="M1655" s="1" t="n">
        <v>42</v>
      </c>
      <c r="N1655" s="1" t="n">
        <v>42</v>
      </c>
      <c r="O1655" s="149" t="n">
        <v>21</v>
      </c>
    </row>
    <row r="1656" customFormat="false" ht="14.25" hidden="false" customHeight="false" outlineLevel="0" collapsed="false">
      <c r="A1656" s="1" t="n">
        <v>208</v>
      </c>
      <c r="B1656" s="1" t="s">
        <v>477</v>
      </c>
      <c r="C1656" s="143" t="s">
        <v>52</v>
      </c>
      <c r="D1656" s="143" t="s">
        <v>53</v>
      </c>
      <c r="E1656" s="143" t="s">
        <v>474</v>
      </c>
      <c r="F1656" s="144" t="n">
        <v>200025888527</v>
      </c>
      <c r="G1656" s="144" t="s">
        <v>296</v>
      </c>
      <c r="H1656" s="144" t="n">
        <v>60</v>
      </c>
      <c r="I1656" s="144" t="s">
        <v>152</v>
      </c>
      <c r="J1656" s="152" t="n">
        <v>45075.1230671296</v>
      </c>
      <c r="K1656" s="1" t="n">
        <v>2</v>
      </c>
      <c r="L1656" s="144" t="n">
        <v>60</v>
      </c>
      <c r="M1656" s="1" t="n">
        <v>42</v>
      </c>
      <c r="N1656" s="1" t="n">
        <v>42</v>
      </c>
      <c r="O1656" s="149" t="n">
        <v>22</v>
      </c>
    </row>
    <row r="1657" customFormat="false" ht="14.25" hidden="false" customHeight="false" outlineLevel="0" collapsed="false">
      <c r="A1657" s="1" t="n">
        <v>209</v>
      </c>
      <c r="B1657" s="1" t="s">
        <v>477</v>
      </c>
      <c r="C1657" s="143" t="s">
        <v>52</v>
      </c>
      <c r="D1657" s="143" t="s">
        <v>53</v>
      </c>
      <c r="E1657" s="143" t="s">
        <v>474</v>
      </c>
      <c r="F1657" s="144" t="n">
        <v>200025888527</v>
      </c>
      <c r="G1657" s="144" t="s">
        <v>296</v>
      </c>
      <c r="H1657" s="144" t="n">
        <v>60</v>
      </c>
      <c r="I1657" s="144" t="s">
        <v>152</v>
      </c>
      <c r="J1657" s="152" t="n">
        <v>45075.1238194444</v>
      </c>
      <c r="K1657" s="1" t="n">
        <v>1</v>
      </c>
      <c r="L1657" s="144" t="n">
        <v>60</v>
      </c>
      <c r="M1657" s="1" t="n">
        <v>42</v>
      </c>
      <c r="N1657" s="1" t="n">
        <v>42</v>
      </c>
      <c r="O1657" s="149" t="n">
        <v>23</v>
      </c>
    </row>
    <row r="1658" customFormat="false" ht="14.25" hidden="false" customHeight="false" outlineLevel="0" collapsed="false">
      <c r="A1658" s="1" t="n">
        <v>210</v>
      </c>
      <c r="B1658" s="1" t="s">
        <v>477</v>
      </c>
      <c r="C1658" s="143" t="s">
        <v>52</v>
      </c>
      <c r="D1658" s="143" t="s">
        <v>53</v>
      </c>
      <c r="E1658" s="143" t="s">
        <v>474</v>
      </c>
      <c r="F1658" s="144" t="n">
        <v>200025888527</v>
      </c>
      <c r="G1658" s="144" t="s">
        <v>296</v>
      </c>
      <c r="H1658" s="144" t="n">
        <v>60</v>
      </c>
      <c r="I1658" s="144" t="s">
        <v>152</v>
      </c>
      <c r="J1658" s="152" t="n">
        <v>45075.1239351852</v>
      </c>
      <c r="K1658" s="1" t="n">
        <v>1</v>
      </c>
      <c r="L1658" s="144" t="n">
        <v>60</v>
      </c>
      <c r="M1658" s="1" t="n">
        <v>42</v>
      </c>
      <c r="N1658" s="1" t="n">
        <v>42</v>
      </c>
      <c r="O1658" s="149" t="n">
        <v>24</v>
      </c>
    </row>
    <row r="1659" customFormat="false" ht="14.25" hidden="false" customHeight="false" outlineLevel="0" collapsed="false">
      <c r="A1659" s="1" t="n">
        <v>211</v>
      </c>
      <c r="B1659" s="1" t="s">
        <v>477</v>
      </c>
      <c r="C1659" s="143" t="s">
        <v>52</v>
      </c>
      <c r="D1659" s="143" t="s">
        <v>53</v>
      </c>
      <c r="E1659" s="143" t="s">
        <v>474</v>
      </c>
      <c r="F1659" s="144" t="n">
        <v>200025888527</v>
      </c>
      <c r="G1659" s="144" t="s">
        <v>296</v>
      </c>
      <c r="H1659" s="144" t="n">
        <v>60</v>
      </c>
      <c r="I1659" s="144" t="s">
        <v>152</v>
      </c>
      <c r="J1659" s="152" t="n">
        <v>45075.1241898148</v>
      </c>
      <c r="K1659" s="1" t="n">
        <v>2</v>
      </c>
      <c r="L1659" s="144" t="n">
        <v>60</v>
      </c>
      <c r="M1659" s="1" t="n">
        <v>42</v>
      </c>
      <c r="N1659" s="1" t="n">
        <v>42</v>
      </c>
      <c r="O1659" s="149" t="n">
        <v>25</v>
      </c>
    </row>
    <row r="1660" customFormat="false" ht="14.25" hidden="false" customHeight="false" outlineLevel="0" collapsed="false">
      <c r="A1660" s="1" t="n">
        <v>212</v>
      </c>
      <c r="B1660" s="1" t="s">
        <v>477</v>
      </c>
      <c r="C1660" s="143" t="s">
        <v>52</v>
      </c>
      <c r="D1660" s="143" t="s">
        <v>53</v>
      </c>
      <c r="E1660" s="143" t="s">
        <v>474</v>
      </c>
      <c r="F1660" s="144" t="n">
        <v>200025888527</v>
      </c>
      <c r="G1660" s="144" t="s">
        <v>296</v>
      </c>
      <c r="H1660" s="144" t="n">
        <v>60</v>
      </c>
      <c r="I1660" s="144" t="s">
        <v>152</v>
      </c>
      <c r="J1660" s="152" t="n">
        <v>45075.125462963</v>
      </c>
      <c r="K1660" s="1" t="n">
        <v>1</v>
      </c>
      <c r="L1660" s="144" t="n">
        <v>60</v>
      </c>
      <c r="M1660" s="1" t="n">
        <v>42</v>
      </c>
      <c r="N1660" s="1" t="n">
        <v>42</v>
      </c>
      <c r="O1660" s="149" t="n">
        <v>26</v>
      </c>
    </row>
    <row r="1661" customFormat="false" ht="14.25" hidden="false" customHeight="false" outlineLevel="0" collapsed="false">
      <c r="A1661" s="1" t="n">
        <v>183</v>
      </c>
      <c r="B1661" s="1" t="s">
        <v>476</v>
      </c>
      <c r="C1661" s="143" t="n">
        <v>91601</v>
      </c>
      <c r="D1661" s="143" t="s">
        <v>65</v>
      </c>
      <c r="E1661" s="143" t="s">
        <v>474</v>
      </c>
      <c r="F1661" s="144" t="n">
        <v>200025888527</v>
      </c>
      <c r="G1661" s="144" t="s">
        <v>296</v>
      </c>
      <c r="H1661" s="144" t="n">
        <v>60</v>
      </c>
      <c r="I1661" s="144" t="s">
        <v>152</v>
      </c>
      <c r="J1661" s="6" t="n">
        <v>45075.4156712963</v>
      </c>
      <c r="K1661" s="1" t="n">
        <v>0</v>
      </c>
      <c r="L1661" s="144" t="n">
        <v>60</v>
      </c>
      <c r="M1661" s="1" t="n">
        <v>42</v>
      </c>
      <c r="N1661" s="1" t="n">
        <v>42</v>
      </c>
      <c r="O1661" s="149" t="n">
        <v>27</v>
      </c>
    </row>
    <row r="1662" customFormat="false" ht="14.25" hidden="false" customHeight="false" outlineLevel="0" collapsed="false">
      <c r="A1662" s="1" t="n">
        <v>184</v>
      </c>
      <c r="B1662" s="1" t="s">
        <v>476</v>
      </c>
      <c r="C1662" s="143" t="n">
        <v>91601</v>
      </c>
      <c r="D1662" s="143" t="s">
        <v>65</v>
      </c>
      <c r="E1662" s="143" t="s">
        <v>474</v>
      </c>
      <c r="F1662" s="144" t="n">
        <v>200025888527</v>
      </c>
      <c r="G1662" s="144" t="s">
        <v>296</v>
      </c>
      <c r="H1662" s="144" t="n">
        <v>60</v>
      </c>
      <c r="I1662" s="144" t="s">
        <v>152</v>
      </c>
      <c r="J1662" s="6" t="n">
        <v>45075.4177314815</v>
      </c>
      <c r="K1662" s="1" t="n">
        <v>1</v>
      </c>
      <c r="L1662" s="144" t="n">
        <v>60</v>
      </c>
      <c r="M1662" s="1" t="n">
        <v>42</v>
      </c>
      <c r="N1662" s="1" t="n">
        <v>42</v>
      </c>
      <c r="O1662" s="149" t="n">
        <v>28</v>
      </c>
    </row>
    <row r="1663" customFormat="false" ht="14.25" hidden="false" customHeight="false" outlineLevel="0" collapsed="false">
      <c r="A1663" s="1" t="n">
        <v>331</v>
      </c>
      <c r="B1663" s="1" t="s">
        <v>475</v>
      </c>
      <c r="C1663" s="143" t="s">
        <v>52</v>
      </c>
      <c r="D1663" s="143" t="s">
        <v>53</v>
      </c>
      <c r="E1663" s="143" t="s">
        <v>474</v>
      </c>
      <c r="F1663" s="144" t="n">
        <v>200025888611</v>
      </c>
      <c r="G1663" s="144" t="s">
        <v>163</v>
      </c>
      <c r="H1663" s="144" t="n">
        <v>3</v>
      </c>
      <c r="I1663" s="144" t="s">
        <v>152</v>
      </c>
      <c r="J1663" s="151" t="n">
        <v>45058.5172337963</v>
      </c>
      <c r="K1663" s="1" t="n">
        <v>5</v>
      </c>
      <c r="L1663" s="144" t="n">
        <v>3</v>
      </c>
      <c r="M1663" s="1" t="n">
        <v>43</v>
      </c>
      <c r="N1663" s="1" t="n">
        <v>43</v>
      </c>
      <c r="O1663" s="149" t="n">
        <v>1</v>
      </c>
    </row>
    <row r="1664" customFormat="false" ht="14.25" hidden="false" customHeight="false" outlineLevel="0" collapsed="false">
      <c r="A1664" s="1" t="n">
        <v>31</v>
      </c>
      <c r="B1664" s="1" t="s">
        <v>476</v>
      </c>
      <c r="C1664" s="143" t="n">
        <v>11490</v>
      </c>
      <c r="D1664" s="143" t="s">
        <v>65</v>
      </c>
      <c r="E1664" s="143" t="s">
        <v>474</v>
      </c>
      <c r="F1664" s="144" t="n">
        <v>200025888611</v>
      </c>
      <c r="G1664" s="144" t="s">
        <v>163</v>
      </c>
      <c r="H1664" s="144" t="n">
        <v>3</v>
      </c>
      <c r="I1664" s="144" t="s">
        <v>152</v>
      </c>
      <c r="J1664" s="151" t="n">
        <v>45066.5277314815</v>
      </c>
      <c r="K1664" s="1" t="n">
        <v>1</v>
      </c>
      <c r="L1664" s="144" t="n">
        <v>3</v>
      </c>
      <c r="M1664" s="1" t="n">
        <v>43</v>
      </c>
      <c r="N1664" s="1" t="n">
        <v>43</v>
      </c>
      <c r="O1664" s="149" t="n">
        <v>2</v>
      </c>
    </row>
    <row r="1665" customFormat="false" ht="14.25" hidden="false" customHeight="false" outlineLevel="0" collapsed="false">
      <c r="A1665" s="1" t="n">
        <v>65</v>
      </c>
      <c r="B1665" s="1" t="s">
        <v>476</v>
      </c>
      <c r="C1665" s="143" t="n">
        <v>91601</v>
      </c>
      <c r="D1665" s="143" t="s">
        <v>65</v>
      </c>
      <c r="E1665" s="143" t="s">
        <v>474</v>
      </c>
      <c r="F1665" s="144" t="n">
        <v>200025888611</v>
      </c>
      <c r="G1665" s="144" t="s">
        <v>163</v>
      </c>
      <c r="H1665" s="144" t="n">
        <v>3</v>
      </c>
      <c r="I1665" s="144" t="s">
        <v>152</v>
      </c>
      <c r="J1665" s="151" t="n">
        <v>45071.494849537</v>
      </c>
      <c r="K1665" s="1" t="n">
        <v>0</v>
      </c>
      <c r="L1665" s="144" t="n">
        <v>3</v>
      </c>
      <c r="M1665" s="1" t="n">
        <v>43</v>
      </c>
      <c r="N1665" s="1" t="n">
        <v>43</v>
      </c>
      <c r="O1665" s="149" t="n">
        <v>3</v>
      </c>
    </row>
    <row r="1666" customFormat="false" ht="14.25" hidden="false" customHeight="false" outlineLevel="0" collapsed="false">
      <c r="A1666" s="1" t="n">
        <v>24</v>
      </c>
      <c r="B1666" s="1" t="s">
        <v>491</v>
      </c>
      <c r="C1666" s="143" t="s">
        <v>52</v>
      </c>
      <c r="D1666" s="143" t="s">
        <v>53</v>
      </c>
      <c r="E1666" s="143" t="s">
        <v>474</v>
      </c>
      <c r="F1666" s="144" t="n">
        <v>200025888611</v>
      </c>
      <c r="G1666" s="144" t="s">
        <v>163</v>
      </c>
      <c r="H1666" s="144" t="n">
        <v>3</v>
      </c>
      <c r="I1666" s="144" t="s">
        <v>152</v>
      </c>
      <c r="J1666" s="151" t="n">
        <v>45079.5065509259</v>
      </c>
      <c r="K1666" s="1" t="n">
        <v>1</v>
      </c>
      <c r="L1666" s="144" t="n">
        <v>3</v>
      </c>
      <c r="M1666" s="1" t="n">
        <v>43</v>
      </c>
      <c r="N1666" s="1" t="n">
        <v>43</v>
      </c>
      <c r="O1666" s="149" t="n">
        <v>4</v>
      </c>
    </row>
    <row r="1667" customFormat="false" ht="14.25" hidden="false" customHeight="false" outlineLevel="0" collapsed="false">
      <c r="A1667" s="1" t="n">
        <v>7</v>
      </c>
      <c r="B1667" s="1" t="s">
        <v>499</v>
      </c>
      <c r="C1667" s="143" t="n">
        <v>11490</v>
      </c>
      <c r="D1667" s="143" t="s">
        <v>65</v>
      </c>
      <c r="E1667" s="143" t="s">
        <v>474</v>
      </c>
      <c r="F1667" s="144" t="n">
        <v>200025888926</v>
      </c>
      <c r="G1667" s="144" t="s">
        <v>407</v>
      </c>
      <c r="H1667" s="144" t="n">
        <v>45</v>
      </c>
      <c r="I1667" s="144" t="s">
        <v>152</v>
      </c>
      <c r="J1667" s="6" t="n">
        <v>45059.559525463</v>
      </c>
      <c r="K1667" s="1" t="n">
        <v>1</v>
      </c>
      <c r="L1667" s="144" t="n">
        <v>45</v>
      </c>
      <c r="M1667" s="1" t="n">
        <v>44</v>
      </c>
      <c r="N1667" s="1" t="n">
        <v>44</v>
      </c>
      <c r="O1667" s="149" t="n">
        <v>1</v>
      </c>
    </row>
    <row r="1668" customFormat="false" ht="14.25" hidden="false" customHeight="false" outlineLevel="0" collapsed="false">
      <c r="A1668" s="1" t="n">
        <v>16</v>
      </c>
      <c r="B1668" s="1" t="s">
        <v>476</v>
      </c>
      <c r="C1668" s="143" t="n">
        <v>11490</v>
      </c>
      <c r="D1668" s="143" t="s">
        <v>65</v>
      </c>
      <c r="E1668" s="143" t="s">
        <v>474</v>
      </c>
      <c r="F1668" s="144" t="n">
        <v>200025888926</v>
      </c>
      <c r="G1668" s="144" t="s">
        <v>407</v>
      </c>
      <c r="H1668" s="144" t="n">
        <v>45</v>
      </c>
      <c r="I1668" s="144" t="s">
        <v>152</v>
      </c>
      <c r="J1668" s="6" t="n">
        <v>45064.4837268519</v>
      </c>
      <c r="K1668" s="1" t="n">
        <v>2</v>
      </c>
      <c r="L1668" s="144" t="n">
        <v>45</v>
      </c>
      <c r="M1668" s="1" t="n">
        <v>44</v>
      </c>
      <c r="N1668" s="1" t="n">
        <v>44</v>
      </c>
      <c r="O1668" s="149" t="n">
        <v>2</v>
      </c>
    </row>
    <row r="1669" customFormat="false" ht="14.25" hidden="false" customHeight="false" outlineLevel="0" collapsed="false">
      <c r="A1669" s="1" t="n">
        <v>51</v>
      </c>
      <c r="B1669" s="1" t="s">
        <v>478</v>
      </c>
      <c r="C1669" s="143" t="n">
        <v>21265</v>
      </c>
      <c r="D1669" s="143" t="s">
        <v>76</v>
      </c>
      <c r="E1669" s="143" t="s">
        <v>474</v>
      </c>
      <c r="F1669" s="144" t="n">
        <v>200025888926</v>
      </c>
      <c r="G1669" s="144" t="s">
        <v>407</v>
      </c>
      <c r="H1669" s="144" t="n">
        <v>45</v>
      </c>
      <c r="I1669" s="144" t="s">
        <v>152</v>
      </c>
      <c r="J1669" s="6" t="n">
        <v>45064.666712963</v>
      </c>
      <c r="K1669" s="1" t="n">
        <v>1</v>
      </c>
      <c r="L1669" s="144" t="n">
        <v>45</v>
      </c>
      <c r="M1669" s="1" t="n">
        <v>44</v>
      </c>
      <c r="N1669" s="1" t="n">
        <v>44</v>
      </c>
      <c r="O1669" s="149" t="n">
        <v>3</v>
      </c>
    </row>
    <row r="1670" customFormat="false" ht="14.25" hidden="false" customHeight="false" outlineLevel="0" collapsed="false">
      <c r="A1670" s="1" t="n">
        <v>52</v>
      </c>
      <c r="B1670" s="1" t="s">
        <v>478</v>
      </c>
      <c r="C1670" s="143" t="n">
        <v>21265</v>
      </c>
      <c r="D1670" s="143" t="s">
        <v>76</v>
      </c>
      <c r="E1670" s="143" t="s">
        <v>474</v>
      </c>
      <c r="F1670" s="144" t="n">
        <v>200025888926</v>
      </c>
      <c r="G1670" s="144" t="s">
        <v>407</v>
      </c>
      <c r="H1670" s="144" t="n">
        <v>45</v>
      </c>
      <c r="I1670" s="144" t="s">
        <v>152</v>
      </c>
      <c r="J1670" s="6" t="n">
        <v>45064.6667708333</v>
      </c>
      <c r="K1670" s="1" t="n">
        <v>1</v>
      </c>
      <c r="L1670" s="144" t="n">
        <v>45</v>
      </c>
      <c r="M1670" s="1" t="n">
        <v>44</v>
      </c>
      <c r="N1670" s="1" t="n">
        <v>44</v>
      </c>
      <c r="O1670" s="149" t="n">
        <v>4</v>
      </c>
    </row>
    <row r="1671" customFormat="false" ht="14.25" hidden="false" customHeight="false" outlineLevel="0" collapsed="false">
      <c r="A1671" s="1" t="n">
        <v>53</v>
      </c>
      <c r="B1671" s="1" t="s">
        <v>478</v>
      </c>
      <c r="C1671" s="143" t="n">
        <v>21265</v>
      </c>
      <c r="D1671" s="143" t="s">
        <v>76</v>
      </c>
      <c r="E1671" s="143" t="s">
        <v>474</v>
      </c>
      <c r="F1671" s="144" t="n">
        <v>200025888926</v>
      </c>
      <c r="G1671" s="144" t="s">
        <v>407</v>
      </c>
      <c r="H1671" s="144" t="n">
        <v>45</v>
      </c>
      <c r="I1671" s="144" t="s">
        <v>152</v>
      </c>
      <c r="J1671" s="6" t="n">
        <v>45064.666875</v>
      </c>
      <c r="K1671" s="1" t="n">
        <v>1</v>
      </c>
      <c r="L1671" s="144" t="n">
        <v>45</v>
      </c>
      <c r="M1671" s="1" t="n">
        <v>44</v>
      </c>
      <c r="N1671" s="1" t="n">
        <v>44</v>
      </c>
      <c r="O1671" s="149" t="n">
        <v>5</v>
      </c>
    </row>
    <row r="1672" customFormat="false" ht="14.25" hidden="false" customHeight="false" outlineLevel="0" collapsed="false">
      <c r="A1672" s="1" t="n">
        <v>9</v>
      </c>
      <c r="B1672" s="1" t="s">
        <v>473</v>
      </c>
      <c r="C1672" s="143" t="n">
        <v>11358</v>
      </c>
      <c r="D1672" s="143" t="s">
        <v>49</v>
      </c>
      <c r="E1672" s="143" t="s">
        <v>474</v>
      </c>
      <c r="F1672" s="144" t="n">
        <v>200025888926</v>
      </c>
      <c r="G1672" s="144" t="s">
        <v>407</v>
      </c>
      <c r="H1672" s="144" t="n">
        <v>45</v>
      </c>
      <c r="I1672" s="144" t="s">
        <v>152</v>
      </c>
      <c r="J1672" s="6" t="n">
        <v>45076.7192013889</v>
      </c>
      <c r="K1672" s="1" t="n">
        <v>1</v>
      </c>
      <c r="L1672" s="144" t="n">
        <v>45</v>
      </c>
      <c r="M1672" s="1" t="n">
        <v>44</v>
      </c>
      <c r="N1672" s="1" t="n">
        <v>44</v>
      </c>
      <c r="O1672" s="149" t="n">
        <v>6</v>
      </c>
    </row>
    <row r="1673" customFormat="false" ht="14.25" hidden="false" customHeight="false" outlineLevel="0" collapsed="false">
      <c r="A1673" s="1" t="n">
        <v>331</v>
      </c>
      <c r="B1673" s="1" t="s">
        <v>490</v>
      </c>
      <c r="C1673" s="143" t="n">
        <v>11171</v>
      </c>
      <c r="D1673" s="143" t="s">
        <v>74</v>
      </c>
      <c r="E1673" s="143" t="s">
        <v>474</v>
      </c>
      <c r="F1673" s="144" t="n">
        <v>200025888926</v>
      </c>
      <c r="G1673" s="144" t="s">
        <v>407</v>
      </c>
      <c r="H1673" s="144" t="n">
        <v>45</v>
      </c>
      <c r="I1673" s="144" t="s">
        <v>152</v>
      </c>
      <c r="J1673" s="6" t="n">
        <v>45077.3984259259</v>
      </c>
      <c r="K1673" s="1" t="n">
        <v>1</v>
      </c>
      <c r="L1673" s="144" t="n">
        <v>45</v>
      </c>
      <c r="M1673" s="1" t="n">
        <v>44</v>
      </c>
      <c r="N1673" s="1" t="n">
        <v>44</v>
      </c>
      <c r="O1673" s="149" t="n">
        <v>7</v>
      </c>
    </row>
    <row r="1674" customFormat="false" ht="14.25" hidden="false" customHeight="false" outlineLevel="0" collapsed="false">
      <c r="A1674" s="1" t="n">
        <v>238</v>
      </c>
      <c r="B1674" s="1" t="s">
        <v>477</v>
      </c>
      <c r="C1674" s="143" t="n">
        <v>11171</v>
      </c>
      <c r="D1674" s="143" t="s">
        <v>74</v>
      </c>
      <c r="E1674" s="143" t="s">
        <v>479</v>
      </c>
      <c r="F1674" s="144" t="n">
        <v>200025888926</v>
      </c>
      <c r="G1674" s="144" t="s">
        <v>407</v>
      </c>
      <c r="H1674" s="144" t="n">
        <v>45</v>
      </c>
      <c r="I1674" s="144" t="s">
        <v>152</v>
      </c>
      <c r="J1674" s="152" t="n">
        <v>45078.3394444444</v>
      </c>
      <c r="K1674" s="1" t="n">
        <v>1</v>
      </c>
      <c r="L1674" s="144" t="n">
        <v>45</v>
      </c>
      <c r="M1674" s="1" t="n">
        <v>44</v>
      </c>
      <c r="N1674" s="1" t="n">
        <v>44</v>
      </c>
      <c r="O1674" s="149" t="n">
        <v>8</v>
      </c>
    </row>
    <row r="1675" customFormat="false" ht="14.25" hidden="false" customHeight="false" outlineLevel="0" collapsed="false">
      <c r="A1675" s="1" t="n">
        <v>239</v>
      </c>
      <c r="B1675" s="1" t="s">
        <v>477</v>
      </c>
      <c r="C1675" s="143" t="n">
        <v>11171</v>
      </c>
      <c r="D1675" s="143" t="s">
        <v>74</v>
      </c>
      <c r="E1675" s="143" t="s">
        <v>479</v>
      </c>
      <c r="F1675" s="144" t="n">
        <v>200025888926</v>
      </c>
      <c r="G1675" s="144" t="s">
        <v>407</v>
      </c>
      <c r="H1675" s="144" t="n">
        <v>45</v>
      </c>
      <c r="I1675" s="144" t="s">
        <v>152</v>
      </c>
      <c r="J1675" s="152" t="n">
        <v>45078.3433796296</v>
      </c>
      <c r="K1675" s="1" t="n">
        <v>2</v>
      </c>
      <c r="L1675" s="144" t="n">
        <v>45</v>
      </c>
      <c r="M1675" s="1" t="n">
        <v>44</v>
      </c>
      <c r="N1675" s="1" t="n">
        <v>44</v>
      </c>
      <c r="O1675" s="149" t="n">
        <v>9</v>
      </c>
    </row>
    <row r="1676" customFormat="false" ht="14.25" hidden="false" customHeight="false" outlineLevel="0" collapsed="false">
      <c r="A1676" s="1" t="n">
        <v>243</v>
      </c>
      <c r="B1676" s="1" t="s">
        <v>477</v>
      </c>
      <c r="C1676" s="143" t="n">
        <v>11171</v>
      </c>
      <c r="D1676" s="143" t="s">
        <v>74</v>
      </c>
      <c r="E1676" s="143" t="s">
        <v>474</v>
      </c>
      <c r="F1676" s="144" t="n">
        <v>200025888926</v>
      </c>
      <c r="G1676" s="144" t="s">
        <v>407</v>
      </c>
      <c r="H1676" s="144" t="n">
        <v>45</v>
      </c>
      <c r="I1676" s="144" t="s">
        <v>152</v>
      </c>
      <c r="J1676" s="152" t="n">
        <v>45079.8722685185</v>
      </c>
      <c r="K1676" s="1" t="n">
        <v>3</v>
      </c>
      <c r="L1676" s="144" t="n">
        <v>45</v>
      </c>
      <c r="M1676" s="1" t="n">
        <v>44</v>
      </c>
      <c r="N1676" s="1" t="n">
        <v>44</v>
      </c>
      <c r="O1676" s="149" t="n">
        <v>10</v>
      </c>
    </row>
    <row r="1677" customFormat="false" ht="14.25" hidden="false" customHeight="false" outlineLevel="0" collapsed="false">
      <c r="A1677" s="1" t="n">
        <v>247</v>
      </c>
      <c r="B1677" s="1" t="s">
        <v>477</v>
      </c>
      <c r="C1677" s="143" t="n">
        <v>11171</v>
      </c>
      <c r="D1677" s="143" t="s">
        <v>74</v>
      </c>
      <c r="E1677" s="143" t="s">
        <v>474</v>
      </c>
      <c r="F1677" s="144" t="n">
        <v>200025888926</v>
      </c>
      <c r="G1677" s="144" t="s">
        <v>407</v>
      </c>
      <c r="H1677" s="144" t="n">
        <v>45</v>
      </c>
      <c r="I1677" s="144" t="s">
        <v>152</v>
      </c>
      <c r="J1677" s="152" t="n">
        <v>45081.4445833333</v>
      </c>
      <c r="K1677" s="1" t="n">
        <v>0</v>
      </c>
      <c r="L1677" s="144" t="n">
        <v>45</v>
      </c>
      <c r="M1677" s="1" t="n">
        <v>44</v>
      </c>
      <c r="N1677" s="1" t="n">
        <v>44</v>
      </c>
      <c r="O1677" s="149" t="n">
        <v>11</v>
      </c>
    </row>
    <row r="1678" customFormat="false" ht="14.25" hidden="false" customHeight="false" outlineLevel="0" collapsed="false">
      <c r="A1678" s="1" t="n">
        <v>15</v>
      </c>
      <c r="B1678" s="1" t="s">
        <v>476</v>
      </c>
      <c r="C1678" s="143" t="n">
        <v>11490</v>
      </c>
      <c r="D1678" s="143" t="s">
        <v>65</v>
      </c>
      <c r="E1678" s="143" t="s">
        <v>474</v>
      </c>
      <c r="F1678" s="144" t="n">
        <v>200025889112</v>
      </c>
      <c r="G1678" s="144" t="s">
        <v>286</v>
      </c>
      <c r="H1678" s="144" t="n">
        <v>20</v>
      </c>
      <c r="I1678" s="144" t="s">
        <v>152</v>
      </c>
      <c r="J1678" s="151" t="n">
        <v>45064.355162037</v>
      </c>
      <c r="K1678" s="1" t="n">
        <v>4</v>
      </c>
      <c r="L1678" s="144" t="n">
        <v>20</v>
      </c>
      <c r="M1678" s="1" t="n">
        <v>45</v>
      </c>
      <c r="N1678" s="1" t="n">
        <v>45</v>
      </c>
      <c r="O1678" s="149" t="n">
        <v>1</v>
      </c>
    </row>
    <row r="1679" customFormat="false" ht="14.25" hidden="false" customHeight="false" outlineLevel="0" collapsed="false">
      <c r="A1679" s="1" t="n">
        <v>42</v>
      </c>
      <c r="B1679" s="1" t="s">
        <v>476</v>
      </c>
      <c r="C1679" s="143" t="n">
        <v>91601</v>
      </c>
      <c r="D1679" s="143" t="s">
        <v>65</v>
      </c>
      <c r="E1679" s="143" t="s">
        <v>474</v>
      </c>
      <c r="F1679" s="144" t="n">
        <v>200025889112</v>
      </c>
      <c r="G1679" s="144" t="s">
        <v>286</v>
      </c>
      <c r="H1679" s="144" t="n">
        <v>20</v>
      </c>
      <c r="I1679" s="144" t="s">
        <v>152</v>
      </c>
      <c r="J1679" s="151" t="n">
        <v>45070.5216898148</v>
      </c>
      <c r="K1679" s="1" t="n">
        <v>1</v>
      </c>
      <c r="L1679" s="144" t="n">
        <v>20</v>
      </c>
      <c r="M1679" s="1" t="n">
        <v>45</v>
      </c>
      <c r="N1679" s="1" t="n">
        <v>45</v>
      </c>
      <c r="O1679" s="149" t="n">
        <v>2</v>
      </c>
    </row>
    <row r="1680" customFormat="false" ht="14.25" hidden="false" customHeight="false" outlineLevel="0" collapsed="false">
      <c r="A1680" s="1" t="n">
        <v>43</v>
      </c>
      <c r="B1680" s="1" t="s">
        <v>476</v>
      </c>
      <c r="C1680" s="143" t="n">
        <v>91601</v>
      </c>
      <c r="D1680" s="143" t="s">
        <v>65</v>
      </c>
      <c r="E1680" s="143" t="s">
        <v>474</v>
      </c>
      <c r="F1680" s="144" t="n">
        <v>200025889112</v>
      </c>
      <c r="G1680" s="144" t="s">
        <v>286</v>
      </c>
      <c r="H1680" s="144" t="n">
        <v>20</v>
      </c>
      <c r="I1680" s="144" t="s">
        <v>152</v>
      </c>
      <c r="J1680" s="151" t="n">
        <v>45070.5218981481</v>
      </c>
      <c r="K1680" s="1" t="n">
        <v>0</v>
      </c>
      <c r="L1680" s="144" t="n">
        <v>20</v>
      </c>
      <c r="M1680" s="1" t="n">
        <v>45</v>
      </c>
      <c r="N1680" s="1" t="n">
        <v>45</v>
      </c>
      <c r="O1680" s="149" t="n">
        <v>3</v>
      </c>
    </row>
    <row r="1681" customFormat="false" ht="14.25" hidden="false" customHeight="false" outlineLevel="0" collapsed="false">
      <c r="A1681" s="1" t="n">
        <v>59</v>
      </c>
      <c r="B1681" s="1" t="s">
        <v>476</v>
      </c>
      <c r="C1681" s="143" t="n">
        <v>91601</v>
      </c>
      <c r="D1681" s="143" t="s">
        <v>65</v>
      </c>
      <c r="E1681" s="143" t="s">
        <v>474</v>
      </c>
      <c r="F1681" s="144" t="n">
        <v>200025889112</v>
      </c>
      <c r="G1681" s="144" t="s">
        <v>286</v>
      </c>
      <c r="H1681" s="144" t="n">
        <v>20</v>
      </c>
      <c r="I1681" s="144" t="s">
        <v>152</v>
      </c>
      <c r="J1681" s="151" t="n">
        <v>45071.4902893519</v>
      </c>
      <c r="K1681" s="1" t="n">
        <v>1</v>
      </c>
      <c r="L1681" s="144" t="n">
        <v>20</v>
      </c>
      <c r="M1681" s="1" t="n">
        <v>45</v>
      </c>
      <c r="N1681" s="1" t="n">
        <v>45</v>
      </c>
      <c r="O1681" s="149" t="n">
        <v>4</v>
      </c>
    </row>
    <row r="1682" customFormat="false" ht="14.25" hidden="false" customHeight="false" outlineLevel="0" collapsed="false">
      <c r="A1682" s="1" t="n">
        <v>60</v>
      </c>
      <c r="B1682" s="1" t="s">
        <v>476</v>
      </c>
      <c r="C1682" s="143" t="n">
        <v>91601</v>
      </c>
      <c r="D1682" s="143" t="s">
        <v>65</v>
      </c>
      <c r="E1682" s="143" t="s">
        <v>474</v>
      </c>
      <c r="F1682" s="144" t="n">
        <v>200025889112</v>
      </c>
      <c r="G1682" s="144" t="s">
        <v>286</v>
      </c>
      <c r="H1682" s="144" t="n">
        <v>20</v>
      </c>
      <c r="I1682" s="144" t="s">
        <v>152</v>
      </c>
      <c r="J1682" s="151" t="n">
        <v>45071.4903240741</v>
      </c>
      <c r="K1682" s="1" t="n">
        <v>1</v>
      </c>
      <c r="L1682" s="144" t="n">
        <v>20</v>
      </c>
      <c r="M1682" s="1" t="n">
        <v>45</v>
      </c>
      <c r="N1682" s="1" t="n">
        <v>45</v>
      </c>
      <c r="O1682" s="149" t="n">
        <v>5</v>
      </c>
    </row>
    <row r="1683" customFormat="false" ht="14.25" hidden="false" customHeight="false" outlineLevel="0" collapsed="false">
      <c r="A1683" s="1" t="n">
        <v>61</v>
      </c>
      <c r="B1683" s="1" t="s">
        <v>476</v>
      </c>
      <c r="C1683" s="143" t="n">
        <v>91601</v>
      </c>
      <c r="D1683" s="143" t="s">
        <v>65</v>
      </c>
      <c r="E1683" s="143" t="s">
        <v>474</v>
      </c>
      <c r="F1683" s="144" t="n">
        <v>200025889112</v>
      </c>
      <c r="G1683" s="144" t="s">
        <v>286</v>
      </c>
      <c r="H1683" s="144" t="n">
        <v>20</v>
      </c>
      <c r="I1683" s="144" t="s">
        <v>152</v>
      </c>
      <c r="J1683" s="151" t="n">
        <v>45071.4905439815</v>
      </c>
      <c r="K1683" s="1" t="n">
        <v>0</v>
      </c>
      <c r="L1683" s="144" t="n">
        <v>20</v>
      </c>
      <c r="M1683" s="1" t="n">
        <v>45</v>
      </c>
      <c r="N1683" s="1" t="n">
        <v>45</v>
      </c>
      <c r="O1683" s="149" t="n">
        <v>6</v>
      </c>
    </row>
    <row r="1684" customFormat="false" ht="14.25" hidden="false" customHeight="false" outlineLevel="0" collapsed="false">
      <c r="A1684" s="1" t="n">
        <v>62</v>
      </c>
      <c r="B1684" s="1" t="s">
        <v>476</v>
      </c>
      <c r="C1684" s="143" t="n">
        <v>91601</v>
      </c>
      <c r="D1684" s="143" t="s">
        <v>65</v>
      </c>
      <c r="E1684" s="143" t="s">
        <v>474</v>
      </c>
      <c r="F1684" s="144" t="n">
        <v>200025889112</v>
      </c>
      <c r="G1684" s="144" t="s">
        <v>286</v>
      </c>
      <c r="H1684" s="144" t="n">
        <v>20</v>
      </c>
      <c r="I1684" s="144" t="s">
        <v>152</v>
      </c>
      <c r="J1684" s="151" t="n">
        <v>45071.4905555556</v>
      </c>
      <c r="K1684" s="1" t="n">
        <v>1</v>
      </c>
      <c r="L1684" s="144" t="n">
        <v>20</v>
      </c>
      <c r="M1684" s="1" t="n">
        <v>45</v>
      </c>
      <c r="N1684" s="1" t="n">
        <v>45</v>
      </c>
      <c r="O1684" s="149" t="n">
        <v>7</v>
      </c>
    </row>
    <row r="1685" customFormat="false" ht="14.25" hidden="false" customHeight="false" outlineLevel="0" collapsed="false">
      <c r="A1685" s="1" t="n">
        <v>87</v>
      </c>
      <c r="B1685" s="1" t="s">
        <v>476</v>
      </c>
      <c r="C1685" s="143" t="n">
        <v>91601</v>
      </c>
      <c r="D1685" s="143" t="s">
        <v>65</v>
      </c>
      <c r="E1685" s="143" t="s">
        <v>474</v>
      </c>
      <c r="F1685" s="144" t="n">
        <v>200025889112</v>
      </c>
      <c r="G1685" s="144" t="s">
        <v>286</v>
      </c>
      <c r="H1685" s="144" t="n">
        <v>20</v>
      </c>
      <c r="I1685" s="144" t="s">
        <v>152</v>
      </c>
      <c r="J1685" s="151" t="n">
        <v>45072.6463194444</v>
      </c>
      <c r="K1685" s="1" t="n">
        <v>3</v>
      </c>
      <c r="L1685" s="144" t="n">
        <v>20</v>
      </c>
      <c r="M1685" s="1" t="n">
        <v>45</v>
      </c>
      <c r="N1685" s="1" t="n">
        <v>45</v>
      </c>
      <c r="O1685" s="149" t="n">
        <v>8</v>
      </c>
    </row>
    <row r="1686" customFormat="false" ht="14.25" hidden="false" customHeight="false" outlineLevel="0" collapsed="false">
      <c r="A1686" s="1" t="n">
        <v>159</v>
      </c>
      <c r="B1686" s="1" t="s">
        <v>477</v>
      </c>
      <c r="C1686" s="143" t="s">
        <v>52</v>
      </c>
      <c r="D1686" s="143" t="s">
        <v>53</v>
      </c>
      <c r="E1686" s="143" t="s">
        <v>474</v>
      </c>
      <c r="F1686" s="144" t="n">
        <v>200025889112</v>
      </c>
      <c r="G1686" s="144" t="s">
        <v>286</v>
      </c>
      <c r="H1686" s="144" t="n">
        <v>20</v>
      </c>
      <c r="I1686" s="144" t="s">
        <v>152</v>
      </c>
      <c r="J1686" s="152" t="n">
        <v>45074.274537037</v>
      </c>
      <c r="K1686" s="1" t="n">
        <v>2</v>
      </c>
      <c r="L1686" s="144" t="n">
        <v>20</v>
      </c>
      <c r="M1686" s="1" t="n">
        <v>45</v>
      </c>
      <c r="N1686" s="1" t="n">
        <v>45</v>
      </c>
      <c r="O1686" s="149" t="n">
        <v>9</v>
      </c>
    </row>
    <row r="1687" customFormat="false" ht="14.25" hidden="false" customHeight="false" outlineLevel="0" collapsed="false">
      <c r="A1687" s="1" t="n">
        <v>160</v>
      </c>
      <c r="B1687" s="1" t="s">
        <v>477</v>
      </c>
      <c r="C1687" s="143" t="s">
        <v>52</v>
      </c>
      <c r="D1687" s="143" t="s">
        <v>53</v>
      </c>
      <c r="E1687" s="143" t="s">
        <v>474</v>
      </c>
      <c r="F1687" s="144" t="n">
        <v>200025889112</v>
      </c>
      <c r="G1687" s="144" t="s">
        <v>286</v>
      </c>
      <c r="H1687" s="144" t="n">
        <v>20</v>
      </c>
      <c r="I1687" s="144" t="s">
        <v>152</v>
      </c>
      <c r="J1687" s="152" t="n">
        <v>45074.3438773148</v>
      </c>
      <c r="K1687" s="1" t="n">
        <v>1</v>
      </c>
      <c r="L1687" s="144" t="n">
        <v>20</v>
      </c>
      <c r="M1687" s="1" t="n">
        <v>45</v>
      </c>
      <c r="N1687" s="1" t="n">
        <v>45</v>
      </c>
      <c r="O1687" s="149" t="n">
        <v>10</v>
      </c>
    </row>
    <row r="1688" customFormat="false" ht="14.25" hidden="false" customHeight="false" outlineLevel="0" collapsed="false">
      <c r="A1688" s="1" t="n">
        <v>7</v>
      </c>
      <c r="B1688" s="1" t="s">
        <v>495</v>
      </c>
      <c r="C1688" s="143" t="n">
        <v>21265</v>
      </c>
      <c r="D1688" s="143" t="s">
        <v>76</v>
      </c>
      <c r="E1688" s="143" t="s">
        <v>479</v>
      </c>
      <c r="F1688" s="144" t="n">
        <v>200025888586</v>
      </c>
      <c r="G1688" s="144" t="s">
        <v>264</v>
      </c>
      <c r="H1688" s="144" t="n">
        <v>31</v>
      </c>
      <c r="I1688" s="144" t="s">
        <v>148</v>
      </c>
      <c r="J1688" s="151" t="n">
        <v>45055.4980555556</v>
      </c>
      <c r="K1688" s="1" t="n">
        <v>1</v>
      </c>
      <c r="L1688" s="144" t="n">
        <v>31</v>
      </c>
      <c r="M1688" s="1" t="n">
        <v>46</v>
      </c>
      <c r="N1688" s="1" t="n">
        <v>46</v>
      </c>
      <c r="O1688" s="149" t="n">
        <v>1</v>
      </c>
    </row>
    <row r="1689" customFormat="false" ht="14.25" hidden="false" customHeight="false" outlineLevel="0" collapsed="false">
      <c r="A1689" s="1" t="n">
        <v>8</v>
      </c>
      <c r="B1689" s="1" t="s">
        <v>495</v>
      </c>
      <c r="C1689" s="143" t="n">
        <v>21265</v>
      </c>
      <c r="D1689" s="143" t="s">
        <v>76</v>
      </c>
      <c r="E1689" s="143" t="s">
        <v>479</v>
      </c>
      <c r="F1689" s="144" t="n">
        <v>200025888586</v>
      </c>
      <c r="G1689" s="144" t="s">
        <v>264</v>
      </c>
      <c r="H1689" s="144" t="n">
        <v>31</v>
      </c>
      <c r="I1689" s="144" t="s">
        <v>148</v>
      </c>
      <c r="J1689" s="151" t="n">
        <v>45055.4980902778</v>
      </c>
      <c r="K1689" s="1" t="n">
        <v>2</v>
      </c>
      <c r="L1689" s="144" t="n">
        <v>31</v>
      </c>
      <c r="M1689" s="1" t="n">
        <v>46</v>
      </c>
      <c r="N1689" s="1" t="n">
        <v>46</v>
      </c>
      <c r="O1689" s="149" t="n">
        <v>2</v>
      </c>
    </row>
    <row r="1690" customFormat="false" ht="14.25" hidden="false" customHeight="false" outlineLevel="0" collapsed="false">
      <c r="A1690" s="1" t="n">
        <v>9</v>
      </c>
      <c r="B1690" s="1" t="s">
        <v>495</v>
      </c>
      <c r="C1690" s="143" t="n">
        <v>21265</v>
      </c>
      <c r="D1690" s="143" t="s">
        <v>76</v>
      </c>
      <c r="E1690" s="143" t="s">
        <v>479</v>
      </c>
      <c r="F1690" s="144" t="n">
        <v>200025888708</v>
      </c>
      <c r="G1690" s="144" t="s">
        <v>351</v>
      </c>
      <c r="H1690" s="144" t="n">
        <v>58</v>
      </c>
      <c r="I1690" s="144" t="s">
        <v>148</v>
      </c>
      <c r="J1690" s="151" t="n">
        <v>45055.5697569444</v>
      </c>
      <c r="K1690" s="1" t="n">
        <v>2</v>
      </c>
      <c r="L1690" s="144" t="n">
        <v>58</v>
      </c>
      <c r="M1690" s="1" t="n">
        <v>47</v>
      </c>
      <c r="N1690" s="1" t="n">
        <v>47</v>
      </c>
      <c r="O1690" s="149" t="n">
        <v>1</v>
      </c>
    </row>
    <row r="1691" customFormat="false" ht="14.25" hidden="false" customHeight="false" outlineLevel="0" collapsed="false">
      <c r="A1691" s="1" t="n">
        <v>211</v>
      </c>
      <c r="B1691" s="1" t="s">
        <v>473</v>
      </c>
      <c r="C1691" s="143" t="n">
        <v>11490</v>
      </c>
      <c r="D1691" s="143" t="s">
        <v>65</v>
      </c>
      <c r="E1691" s="143" t="s">
        <v>479</v>
      </c>
      <c r="F1691" s="144" t="n">
        <v>200025888708</v>
      </c>
      <c r="G1691" s="144" t="s">
        <v>351</v>
      </c>
      <c r="H1691" s="144" t="n">
        <v>58</v>
      </c>
      <c r="I1691" s="144" t="s">
        <v>148</v>
      </c>
      <c r="J1691" s="151" t="n">
        <v>45056.6791435185</v>
      </c>
      <c r="K1691" s="1" t="n">
        <v>0</v>
      </c>
      <c r="L1691" s="144" t="n">
        <v>58</v>
      </c>
      <c r="M1691" s="1" t="n">
        <v>47</v>
      </c>
      <c r="N1691" s="1" t="n">
        <v>47</v>
      </c>
      <c r="O1691" s="149" t="n">
        <v>2</v>
      </c>
    </row>
    <row r="1692" customFormat="false" ht="14.25" hidden="false" customHeight="false" outlineLevel="0" collapsed="false">
      <c r="A1692" s="1" t="n">
        <v>212</v>
      </c>
      <c r="B1692" s="1" t="s">
        <v>473</v>
      </c>
      <c r="C1692" s="143" t="n">
        <v>11490</v>
      </c>
      <c r="D1692" s="143" t="s">
        <v>65</v>
      </c>
      <c r="E1692" s="143" t="s">
        <v>479</v>
      </c>
      <c r="F1692" s="144" t="n">
        <v>200025888708</v>
      </c>
      <c r="G1692" s="144" t="s">
        <v>351</v>
      </c>
      <c r="H1692" s="144" t="n">
        <v>58</v>
      </c>
      <c r="I1692" s="144" t="s">
        <v>148</v>
      </c>
      <c r="J1692" s="151" t="n">
        <v>45056.6792824074</v>
      </c>
      <c r="K1692" s="1" t="n">
        <v>1</v>
      </c>
      <c r="L1692" s="144" t="n">
        <v>58</v>
      </c>
      <c r="M1692" s="1" t="n">
        <v>47</v>
      </c>
      <c r="N1692" s="1" t="n">
        <v>47</v>
      </c>
      <c r="O1692" s="149" t="n">
        <v>3</v>
      </c>
    </row>
    <row r="1693" customFormat="false" ht="14.25" hidden="false" customHeight="false" outlineLevel="0" collapsed="false">
      <c r="A1693" s="1" t="n">
        <v>230</v>
      </c>
      <c r="B1693" s="1" t="s">
        <v>473</v>
      </c>
      <c r="C1693" s="143" t="n">
        <v>11490</v>
      </c>
      <c r="D1693" s="143" t="s">
        <v>65</v>
      </c>
      <c r="E1693" s="143" t="s">
        <v>479</v>
      </c>
      <c r="F1693" s="144" t="n">
        <v>200025888708</v>
      </c>
      <c r="G1693" s="144" t="s">
        <v>351</v>
      </c>
      <c r="H1693" s="144" t="n">
        <v>58</v>
      </c>
      <c r="I1693" s="144" t="s">
        <v>148</v>
      </c>
      <c r="J1693" s="151" t="n">
        <v>45056.8002662037</v>
      </c>
      <c r="K1693" s="1" t="n">
        <v>1</v>
      </c>
      <c r="L1693" s="144" t="n">
        <v>58</v>
      </c>
      <c r="M1693" s="1" t="n">
        <v>47</v>
      </c>
      <c r="N1693" s="1" t="n">
        <v>47</v>
      </c>
      <c r="O1693" s="149" t="n">
        <v>4</v>
      </c>
    </row>
    <row r="1694" customFormat="false" ht="14.25" hidden="false" customHeight="false" outlineLevel="0" collapsed="false">
      <c r="A1694" s="1" t="n">
        <v>231</v>
      </c>
      <c r="B1694" s="1" t="s">
        <v>473</v>
      </c>
      <c r="C1694" s="143" t="n">
        <v>11490</v>
      </c>
      <c r="D1694" s="143" t="s">
        <v>65</v>
      </c>
      <c r="E1694" s="143" t="s">
        <v>479</v>
      </c>
      <c r="F1694" s="144" t="n">
        <v>200025888708</v>
      </c>
      <c r="G1694" s="144" t="s">
        <v>351</v>
      </c>
      <c r="H1694" s="144" t="n">
        <v>58</v>
      </c>
      <c r="I1694" s="144" t="s">
        <v>148</v>
      </c>
      <c r="J1694" s="151" t="n">
        <v>45056.8006597222</v>
      </c>
      <c r="K1694" s="1" t="n">
        <v>2</v>
      </c>
      <c r="L1694" s="144" t="n">
        <v>58</v>
      </c>
      <c r="M1694" s="1" t="n">
        <v>47</v>
      </c>
      <c r="N1694" s="1" t="n">
        <v>47</v>
      </c>
      <c r="O1694" s="149" t="n">
        <v>5</v>
      </c>
    </row>
    <row r="1695" customFormat="false" ht="14.25" hidden="false" customHeight="false" outlineLevel="0" collapsed="false">
      <c r="A1695" s="1" t="n">
        <v>247</v>
      </c>
      <c r="B1695" s="1" t="s">
        <v>473</v>
      </c>
      <c r="C1695" s="143" t="n">
        <v>11490</v>
      </c>
      <c r="D1695" s="143" t="s">
        <v>65</v>
      </c>
      <c r="E1695" s="143" t="s">
        <v>479</v>
      </c>
      <c r="F1695" s="144" t="n">
        <v>200025888708</v>
      </c>
      <c r="G1695" s="144" t="s">
        <v>351</v>
      </c>
      <c r="H1695" s="144" t="n">
        <v>58</v>
      </c>
      <c r="I1695" s="144" t="s">
        <v>148</v>
      </c>
      <c r="J1695" s="151" t="n">
        <v>45056.8851041667</v>
      </c>
      <c r="K1695" s="1" t="n">
        <v>0</v>
      </c>
      <c r="L1695" s="144" t="n">
        <v>58</v>
      </c>
      <c r="M1695" s="1" t="n">
        <v>47</v>
      </c>
      <c r="N1695" s="1" t="n">
        <v>47</v>
      </c>
      <c r="O1695" s="149" t="n">
        <v>6</v>
      </c>
    </row>
    <row r="1696" customFormat="false" ht="14.25" hidden="false" customHeight="false" outlineLevel="0" collapsed="false">
      <c r="A1696" s="1" t="n">
        <v>288</v>
      </c>
      <c r="B1696" s="1" t="s">
        <v>473</v>
      </c>
      <c r="C1696" s="143" t="n">
        <v>11490</v>
      </c>
      <c r="D1696" s="143" t="s">
        <v>65</v>
      </c>
      <c r="E1696" s="143" t="s">
        <v>479</v>
      </c>
      <c r="F1696" s="144" t="n">
        <v>200025888708</v>
      </c>
      <c r="G1696" s="144" t="s">
        <v>351</v>
      </c>
      <c r="H1696" s="144" t="n">
        <v>58</v>
      </c>
      <c r="I1696" s="144" t="s">
        <v>148</v>
      </c>
      <c r="J1696" s="151" t="n">
        <v>45057.110150463</v>
      </c>
      <c r="K1696" s="1" t="n">
        <v>2</v>
      </c>
      <c r="L1696" s="144" t="n">
        <v>58</v>
      </c>
      <c r="M1696" s="1" t="n">
        <v>47</v>
      </c>
      <c r="N1696" s="1" t="n">
        <v>47</v>
      </c>
      <c r="O1696" s="149" t="n">
        <v>7</v>
      </c>
    </row>
    <row r="1697" customFormat="false" ht="14.25" hidden="false" customHeight="false" outlineLevel="0" collapsed="false">
      <c r="A1697" s="1" t="n">
        <v>289</v>
      </c>
      <c r="B1697" s="1" t="s">
        <v>473</v>
      </c>
      <c r="C1697" s="143" t="n">
        <v>11490</v>
      </c>
      <c r="D1697" s="143" t="s">
        <v>65</v>
      </c>
      <c r="E1697" s="143" t="s">
        <v>479</v>
      </c>
      <c r="F1697" s="144" t="n">
        <v>200025888708</v>
      </c>
      <c r="G1697" s="144" t="s">
        <v>351</v>
      </c>
      <c r="H1697" s="144" t="n">
        <v>58</v>
      </c>
      <c r="I1697" s="144" t="s">
        <v>148</v>
      </c>
      <c r="J1697" s="151" t="n">
        <v>45057.1103009259</v>
      </c>
      <c r="K1697" s="1" t="n">
        <v>3</v>
      </c>
      <c r="L1697" s="144" t="n">
        <v>58</v>
      </c>
      <c r="M1697" s="1" t="n">
        <v>47</v>
      </c>
      <c r="N1697" s="1" t="n">
        <v>47</v>
      </c>
      <c r="O1697" s="149" t="n">
        <v>8</v>
      </c>
    </row>
    <row r="1698" customFormat="false" ht="14.25" hidden="false" customHeight="false" outlineLevel="0" collapsed="false">
      <c r="A1698" s="1" t="n">
        <v>290</v>
      </c>
      <c r="B1698" s="1" t="s">
        <v>473</v>
      </c>
      <c r="C1698" s="143" t="n">
        <v>11490</v>
      </c>
      <c r="D1698" s="143" t="s">
        <v>65</v>
      </c>
      <c r="E1698" s="143" t="s">
        <v>479</v>
      </c>
      <c r="F1698" s="144" t="n">
        <v>200025888708</v>
      </c>
      <c r="G1698" s="144" t="s">
        <v>351</v>
      </c>
      <c r="H1698" s="144" t="n">
        <v>58</v>
      </c>
      <c r="I1698" s="144" t="s">
        <v>148</v>
      </c>
      <c r="J1698" s="151" t="n">
        <v>45057.1103356482</v>
      </c>
      <c r="K1698" s="1" t="n">
        <v>0</v>
      </c>
      <c r="L1698" s="144" t="n">
        <v>58</v>
      </c>
      <c r="M1698" s="1" t="n">
        <v>47</v>
      </c>
      <c r="N1698" s="1" t="n">
        <v>47</v>
      </c>
      <c r="O1698" s="149" t="n">
        <v>9</v>
      </c>
    </row>
    <row r="1699" customFormat="false" ht="14.25" hidden="false" customHeight="false" outlineLevel="0" collapsed="false">
      <c r="A1699" s="1" t="n">
        <v>10</v>
      </c>
      <c r="B1699" s="1" t="s">
        <v>477</v>
      </c>
      <c r="C1699" s="143" t="n">
        <v>91601</v>
      </c>
      <c r="D1699" s="143" t="s">
        <v>64</v>
      </c>
      <c r="E1699" s="143" t="s">
        <v>479</v>
      </c>
      <c r="F1699" s="144" t="n">
        <v>200025889401</v>
      </c>
      <c r="G1699" s="144" t="s">
        <v>416</v>
      </c>
      <c r="H1699" s="144" t="n">
        <v>98</v>
      </c>
      <c r="I1699" s="144" t="s">
        <v>148</v>
      </c>
      <c r="J1699" s="152" t="n">
        <v>45055.6178703704</v>
      </c>
      <c r="K1699" s="1" t="n">
        <v>2</v>
      </c>
      <c r="L1699" s="144" t="n">
        <v>98</v>
      </c>
      <c r="M1699" s="1" t="n">
        <v>48</v>
      </c>
      <c r="N1699" s="1" t="n">
        <v>48</v>
      </c>
      <c r="O1699" s="149" t="n">
        <v>1</v>
      </c>
    </row>
    <row r="1700" customFormat="false" ht="14.25" hidden="false" customHeight="false" outlineLevel="0" collapsed="false">
      <c r="A1700" s="1" t="n">
        <v>11</v>
      </c>
      <c r="B1700" s="1" t="s">
        <v>477</v>
      </c>
      <c r="C1700" s="143" t="n">
        <v>91601</v>
      </c>
      <c r="D1700" s="143" t="s">
        <v>64</v>
      </c>
      <c r="E1700" s="143" t="s">
        <v>479</v>
      </c>
      <c r="F1700" s="144" t="n">
        <v>200025889438</v>
      </c>
      <c r="G1700" s="144" t="s">
        <v>320</v>
      </c>
      <c r="H1700" s="144" t="n">
        <v>47</v>
      </c>
      <c r="I1700" s="144" t="s">
        <v>148</v>
      </c>
      <c r="J1700" s="152" t="n">
        <v>45055.6192824074</v>
      </c>
      <c r="K1700" s="1" t="n">
        <v>1</v>
      </c>
      <c r="L1700" s="144" t="n">
        <v>47</v>
      </c>
      <c r="M1700" s="1" t="n">
        <v>49</v>
      </c>
      <c r="N1700" s="1" t="n">
        <v>49</v>
      </c>
      <c r="O1700" s="149" t="n">
        <v>1</v>
      </c>
    </row>
    <row r="1701" customFormat="false" ht="14.25" hidden="false" customHeight="false" outlineLevel="0" collapsed="false">
      <c r="A1701" s="1" t="n">
        <v>12</v>
      </c>
      <c r="B1701" s="1" t="s">
        <v>477</v>
      </c>
      <c r="C1701" s="143" t="n">
        <v>91601</v>
      </c>
      <c r="D1701" s="143" t="s">
        <v>64</v>
      </c>
      <c r="E1701" s="143" t="s">
        <v>479</v>
      </c>
      <c r="F1701" s="144" t="n">
        <v>200025889438</v>
      </c>
      <c r="G1701" s="144" t="s">
        <v>320</v>
      </c>
      <c r="H1701" s="144" t="n">
        <v>47</v>
      </c>
      <c r="I1701" s="144" t="s">
        <v>148</v>
      </c>
      <c r="J1701" s="152" t="n">
        <v>45055.619537037</v>
      </c>
      <c r="K1701" s="1" t="n">
        <v>1</v>
      </c>
      <c r="L1701" s="144" t="n">
        <v>47</v>
      </c>
      <c r="M1701" s="1" t="n">
        <v>49</v>
      </c>
      <c r="N1701" s="1" t="n">
        <v>49</v>
      </c>
      <c r="O1701" s="149" t="n">
        <v>2</v>
      </c>
    </row>
    <row r="1702" customFormat="false" ht="14.25" hidden="false" customHeight="false" outlineLevel="0" collapsed="false">
      <c r="A1702" s="1" t="n">
        <v>166</v>
      </c>
      <c r="B1702" s="1" t="s">
        <v>473</v>
      </c>
      <c r="C1702" s="143" t="n">
        <v>11490</v>
      </c>
      <c r="D1702" s="143" t="s">
        <v>65</v>
      </c>
      <c r="E1702" s="143" t="s">
        <v>479</v>
      </c>
      <c r="F1702" s="144" t="n">
        <v>200025889438</v>
      </c>
      <c r="G1702" s="144" t="s">
        <v>320</v>
      </c>
      <c r="H1702" s="144" t="n">
        <v>47</v>
      </c>
      <c r="I1702" s="144" t="s">
        <v>148</v>
      </c>
      <c r="J1702" s="151" t="n">
        <v>45056.4024189815</v>
      </c>
      <c r="K1702" s="1" t="n">
        <v>1</v>
      </c>
      <c r="L1702" s="144" t="n">
        <v>47</v>
      </c>
      <c r="M1702" s="1" t="n">
        <v>49</v>
      </c>
      <c r="N1702" s="1" t="n">
        <v>49</v>
      </c>
      <c r="O1702" s="149" t="n">
        <v>3</v>
      </c>
    </row>
    <row r="1703" customFormat="false" ht="14.25" hidden="false" customHeight="false" outlineLevel="0" collapsed="false">
      <c r="A1703" s="1" t="n">
        <v>167</v>
      </c>
      <c r="B1703" s="1" t="s">
        <v>473</v>
      </c>
      <c r="C1703" s="143" t="n">
        <v>11490</v>
      </c>
      <c r="D1703" s="143" t="s">
        <v>65</v>
      </c>
      <c r="E1703" s="143" t="s">
        <v>479</v>
      </c>
      <c r="F1703" s="144" t="n">
        <v>200025889438</v>
      </c>
      <c r="G1703" s="144" t="s">
        <v>320</v>
      </c>
      <c r="H1703" s="144" t="n">
        <v>47</v>
      </c>
      <c r="I1703" s="144" t="s">
        <v>148</v>
      </c>
      <c r="J1703" s="151" t="n">
        <v>45056.4025694444</v>
      </c>
      <c r="K1703" s="1" t="n">
        <v>2</v>
      </c>
      <c r="L1703" s="144" t="n">
        <v>47</v>
      </c>
      <c r="M1703" s="1" t="n">
        <v>49</v>
      </c>
      <c r="N1703" s="1" t="n">
        <v>49</v>
      </c>
      <c r="O1703" s="149" t="n">
        <v>4</v>
      </c>
    </row>
    <row r="1704" customFormat="false" ht="14.25" hidden="false" customHeight="false" outlineLevel="0" collapsed="false">
      <c r="A1704" s="1" t="n">
        <v>168</v>
      </c>
      <c r="B1704" s="1" t="s">
        <v>473</v>
      </c>
      <c r="C1704" s="143" t="n">
        <v>11490</v>
      </c>
      <c r="D1704" s="143" t="s">
        <v>65</v>
      </c>
      <c r="E1704" s="143" t="s">
        <v>479</v>
      </c>
      <c r="F1704" s="144" t="n">
        <v>200025889438</v>
      </c>
      <c r="G1704" s="144" t="s">
        <v>320</v>
      </c>
      <c r="H1704" s="144" t="n">
        <v>47</v>
      </c>
      <c r="I1704" s="144" t="s">
        <v>148</v>
      </c>
      <c r="J1704" s="151" t="n">
        <v>45056.4027199074</v>
      </c>
      <c r="K1704" s="1" t="n">
        <v>2</v>
      </c>
      <c r="L1704" s="144" t="n">
        <v>47</v>
      </c>
      <c r="M1704" s="1" t="n">
        <v>49</v>
      </c>
      <c r="N1704" s="1" t="n">
        <v>49</v>
      </c>
      <c r="O1704" s="149" t="n">
        <v>5</v>
      </c>
    </row>
    <row r="1705" customFormat="false" ht="14.25" hidden="false" customHeight="false" outlineLevel="0" collapsed="false">
      <c r="A1705" s="1" t="n">
        <v>169</v>
      </c>
      <c r="B1705" s="1" t="s">
        <v>473</v>
      </c>
      <c r="C1705" s="143" t="n">
        <v>11490</v>
      </c>
      <c r="D1705" s="143" t="s">
        <v>65</v>
      </c>
      <c r="E1705" s="143" t="s">
        <v>479</v>
      </c>
      <c r="F1705" s="144" t="n">
        <v>200025889438</v>
      </c>
      <c r="G1705" s="144" t="s">
        <v>320</v>
      </c>
      <c r="H1705" s="144" t="n">
        <v>47</v>
      </c>
      <c r="I1705" s="144" t="s">
        <v>148</v>
      </c>
      <c r="J1705" s="151" t="n">
        <v>45056.4028125</v>
      </c>
      <c r="K1705" s="1" t="n">
        <v>1</v>
      </c>
      <c r="L1705" s="144" t="n">
        <v>47</v>
      </c>
      <c r="M1705" s="1" t="n">
        <v>49</v>
      </c>
      <c r="N1705" s="1" t="n">
        <v>49</v>
      </c>
      <c r="O1705" s="149" t="n">
        <v>6</v>
      </c>
    </row>
    <row r="1706" customFormat="false" ht="14.25" hidden="false" customHeight="false" outlineLevel="0" collapsed="false">
      <c r="A1706" s="1" t="n">
        <v>170</v>
      </c>
      <c r="B1706" s="1" t="s">
        <v>473</v>
      </c>
      <c r="C1706" s="143" t="n">
        <v>11490</v>
      </c>
      <c r="D1706" s="143" t="s">
        <v>65</v>
      </c>
      <c r="E1706" s="143" t="s">
        <v>479</v>
      </c>
      <c r="F1706" s="144" t="n">
        <v>200025889438</v>
      </c>
      <c r="G1706" s="144" t="s">
        <v>320</v>
      </c>
      <c r="H1706" s="144" t="n">
        <v>47</v>
      </c>
      <c r="I1706" s="144" t="s">
        <v>148</v>
      </c>
      <c r="J1706" s="151" t="n">
        <v>45056.4029050926</v>
      </c>
      <c r="K1706" s="1" t="n">
        <v>0</v>
      </c>
      <c r="L1706" s="144" t="n">
        <v>47</v>
      </c>
      <c r="M1706" s="1" t="n">
        <v>49</v>
      </c>
      <c r="N1706" s="1" t="n">
        <v>49</v>
      </c>
      <c r="O1706" s="149" t="n">
        <v>7</v>
      </c>
    </row>
    <row r="1707" customFormat="false" ht="14.25" hidden="false" customHeight="false" outlineLevel="0" collapsed="false">
      <c r="A1707" s="1" t="n">
        <v>171</v>
      </c>
      <c r="B1707" s="1" t="s">
        <v>473</v>
      </c>
      <c r="C1707" s="143" t="n">
        <v>11490</v>
      </c>
      <c r="D1707" s="143" t="s">
        <v>65</v>
      </c>
      <c r="E1707" s="143" t="s">
        <v>479</v>
      </c>
      <c r="F1707" s="144" t="n">
        <v>200025889438</v>
      </c>
      <c r="G1707" s="144" t="s">
        <v>320</v>
      </c>
      <c r="H1707" s="144" t="n">
        <v>47</v>
      </c>
      <c r="I1707" s="144" t="s">
        <v>148</v>
      </c>
      <c r="J1707" s="151" t="n">
        <v>45056.4031944444</v>
      </c>
      <c r="K1707" s="1" t="n">
        <v>3</v>
      </c>
      <c r="L1707" s="144" t="n">
        <v>47</v>
      </c>
      <c r="M1707" s="1" t="n">
        <v>49</v>
      </c>
      <c r="N1707" s="1" t="n">
        <v>49</v>
      </c>
      <c r="O1707" s="149" t="n">
        <v>8</v>
      </c>
    </row>
    <row r="1708" customFormat="false" ht="14.25" hidden="false" customHeight="false" outlineLevel="0" collapsed="false">
      <c r="A1708" s="1" t="n">
        <v>178</v>
      </c>
      <c r="B1708" s="1" t="s">
        <v>473</v>
      </c>
      <c r="C1708" s="143" t="n">
        <v>11490</v>
      </c>
      <c r="D1708" s="143" t="s">
        <v>65</v>
      </c>
      <c r="E1708" s="143" t="s">
        <v>479</v>
      </c>
      <c r="F1708" s="144" t="n">
        <v>200025889438</v>
      </c>
      <c r="G1708" s="144" t="s">
        <v>320</v>
      </c>
      <c r="H1708" s="144" t="n">
        <v>47</v>
      </c>
      <c r="I1708" s="144" t="s">
        <v>148</v>
      </c>
      <c r="J1708" s="151" t="n">
        <v>45056.4245601852</v>
      </c>
      <c r="K1708" s="1" t="n">
        <v>0</v>
      </c>
      <c r="L1708" s="144" t="n">
        <v>47</v>
      </c>
      <c r="M1708" s="1" t="n">
        <v>49</v>
      </c>
      <c r="N1708" s="1" t="n">
        <v>49</v>
      </c>
      <c r="O1708" s="149" t="n">
        <v>9</v>
      </c>
    </row>
    <row r="1709" customFormat="false" ht="14.25" hidden="false" customHeight="false" outlineLevel="0" collapsed="false">
      <c r="A1709" s="1" t="n">
        <v>179</v>
      </c>
      <c r="B1709" s="1" t="s">
        <v>473</v>
      </c>
      <c r="C1709" s="143" t="n">
        <v>11490</v>
      </c>
      <c r="D1709" s="143" t="s">
        <v>65</v>
      </c>
      <c r="E1709" s="143" t="s">
        <v>479</v>
      </c>
      <c r="F1709" s="144" t="n">
        <v>200025889438</v>
      </c>
      <c r="G1709" s="144" t="s">
        <v>320</v>
      </c>
      <c r="H1709" s="144" t="n">
        <v>47</v>
      </c>
      <c r="I1709" s="144" t="s">
        <v>148</v>
      </c>
      <c r="J1709" s="151" t="n">
        <v>45056.4248958333</v>
      </c>
      <c r="K1709" s="1" t="n">
        <v>0</v>
      </c>
      <c r="L1709" s="144" t="n">
        <v>47</v>
      </c>
      <c r="M1709" s="1" t="n">
        <v>49</v>
      </c>
      <c r="N1709" s="1" t="n">
        <v>49</v>
      </c>
      <c r="O1709" s="149" t="n">
        <v>10</v>
      </c>
    </row>
    <row r="1710" customFormat="false" ht="14.25" hidden="false" customHeight="false" outlineLevel="0" collapsed="false">
      <c r="A1710" s="1" t="n">
        <v>180</v>
      </c>
      <c r="B1710" s="1" t="s">
        <v>473</v>
      </c>
      <c r="C1710" s="143" t="n">
        <v>11490</v>
      </c>
      <c r="D1710" s="143" t="s">
        <v>65</v>
      </c>
      <c r="E1710" s="143" t="s">
        <v>479</v>
      </c>
      <c r="F1710" s="144" t="n">
        <v>200025889438</v>
      </c>
      <c r="G1710" s="144" t="s">
        <v>320</v>
      </c>
      <c r="H1710" s="144" t="n">
        <v>47</v>
      </c>
      <c r="I1710" s="144" t="s">
        <v>148</v>
      </c>
      <c r="J1710" s="151" t="n">
        <v>45056.4250578704</v>
      </c>
      <c r="K1710" s="1" t="n">
        <v>1</v>
      </c>
      <c r="L1710" s="144" t="n">
        <v>47</v>
      </c>
      <c r="M1710" s="1" t="n">
        <v>49</v>
      </c>
      <c r="N1710" s="1" t="n">
        <v>49</v>
      </c>
      <c r="O1710" s="149" t="n">
        <v>11</v>
      </c>
    </row>
    <row r="1711" customFormat="false" ht="14.25" hidden="false" customHeight="false" outlineLevel="0" collapsed="false">
      <c r="A1711" s="1" t="n">
        <v>138</v>
      </c>
      <c r="B1711" s="1" t="s">
        <v>475</v>
      </c>
      <c r="C1711" s="143" t="s">
        <v>52</v>
      </c>
      <c r="D1711" s="143" t="s">
        <v>53</v>
      </c>
      <c r="E1711" s="143" t="s">
        <v>479</v>
      </c>
      <c r="F1711" s="144" t="n">
        <v>200025889438</v>
      </c>
      <c r="G1711" s="144" t="s">
        <v>320</v>
      </c>
      <c r="H1711" s="144" t="n">
        <v>47</v>
      </c>
      <c r="I1711" s="144" t="s">
        <v>148</v>
      </c>
      <c r="J1711" s="151" t="n">
        <v>45056.4297453704</v>
      </c>
      <c r="K1711" s="1" t="n">
        <v>3</v>
      </c>
      <c r="L1711" s="144" t="n">
        <v>47</v>
      </c>
      <c r="M1711" s="1" t="n">
        <v>49</v>
      </c>
      <c r="N1711" s="1" t="n">
        <v>49</v>
      </c>
      <c r="O1711" s="149" t="n">
        <v>12</v>
      </c>
    </row>
    <row r="1712" customFormat="false" ht="14.25" hidden="false" customHeight="false" outlineLevel="0" collapsed="false">
      <c r="A1712" s="1" t="n">
        <v>139</v>
      </c>
      <c r="B1712" s="1" t="s">
        <v>475</v>
      </c>
      <c r="C1712" s="143" t="s">
        <v>52</v>
      </c>
      <c r="D1712" s="143" t="s">
        <v>53</v>
      </c>
      <c r="E1712" s="143" t="s">
        <v>479</v>
      </c>
      <c r="F1712" s="144" t="n">
        <v>200025889438</v>
      </c>
      <c r="G1712" s="144" t="s">
        <v>320</v>
      </c>
      <c r="H1712" s="144" t="n">
        <v>47</v>
      </c>
      <c r="I1712" s="144" t="s">
        <v>148</v>
      </c>
      <c r="J1712" s="151" t="n">
        <v>45056.4303935185</v>
      </c>
      <c r="K1712" s="1" t="n">
        <v>1</v>
      </c>
      <c r="L1712" s="144" t="n">
        <v>47</v>
      </c>
      <c r="M1712" s="1" t="n">
        <v>49</v>
      </c>
      <c r="N1712" s="1" t="n">
        <v>49</v>
      </c>
      <c r="O1712" s="149" t="n">
        <v>13</v>
      </c>
    </row>
    <row r="1713" customFormat="false" ht="14.25" hidden="false" customHeight="false" outlineLevel="0" collapsed="false">
      <c r="A1713" s="1" t="n">
        <v>140</v>
      </c>
      <c r="B1713" s="1" t="s">
        <v>475</v>
      </c>
      <c r="C1713" s="143" t="s">
        <v>52</v>
      </c>
      <c r="D1713" s="143" t="s">
        <v>53</v>
      </c>
      <c r="E1713" s="143" t="s">
        <v>479</v>
      </c>
      <c r="F1713" s="144" t="n">
        <v>200025889438</v>
      </c>
      <c r="G1713" s="144" t="s">
        <v>320</v>
      </c>
      <c r="H1713" s="144" t="n">
        <v>47</v>
      </c>
      <c r="I1713" s="144" t="s">
        <v>148</v>
      </c>
      <c r="J1713" s="151" t="n">
        <v>45056.4306481482</v>
      </c>
      <c r="K1713" s="1" t="n">
        <v>3</v>
      </c>
      <c r="L1713" s="144" t="n">
        <v>47</v>
      </c>
      <c r="M1713" s="1" t="n">
        <v>49</v>
      </c>
      <c r="N1713" s="1" t="n">
        <v>49</v>
      </c>
      <c r="O1713" s="149" t="n">
        <v>14</v>
      </c>
    </row>
    <row r="1714" customFormat="false" ht="14.25" hidden="false" customHeight="false" outlineLevel="0" collapsed="false">
      <c r="A1714" s="1" t="n">
        <v>145</v>
      </c>
      <c r="B1714" s="1" t="s">
        <v>475</v>
      </c>
      <c r="C1714" s="143" t="s">
        <v>52</v>
      </c>
      <c r="D1714" s="143" t="s">
        <v>53</v>
      </c>
      <c r="E1714" s="143" t="s">
        <v>479</v>
      </c>
      <c r="F1714" s="144" t="n">
        <v>200025889438</v>
      </c>
      <c r="G1714" s="144" t="s">
        <v>320</v>
      </c>
      <c r="H1714" s="144" t="n">
        <v>47</v>
      </c>
      <c r="I1714" s="144" t="s">
        <v>148</v>
      </c>
      <c r="J1714" s="151" t="n">
        <v>45056.6107175926</v>
      </c>
      <c r="K1714" s="1" t="n">
        <v>2</v>
      </c>
      <c r="L1714" s="144" t="n">
        <v>47</v>
      </c>
      <c r="M1714" s="1" t="n">
        <v>49</v>
      </c>
      <c r="N1714" s="1" t="n">
        <v>49</v>
      </c>
      <c r="O1714" s="149" t="n">
        <v>15</v>
      </c>
    </row>
    <row r="1715" customFormat="false" ht="14.25" hidden="false" customHeight="false" outlineLevel="0" collapsed="false">
      <c r="A1715" s="1" t="n">
        <v>219</v>
      </c>
      <c r="B1715" s="1" t="s">
        <v>473</v>
      </c>
      <c r="C1715" s="143" t="n">
        <v>11490</v>
      </c>
      <c r="D1715" s="143" t="s">
        <v>65</v>
      </c>
      <c r="E1715" s="143" t="s">
        <v>479</v>
      </c>
      <c r="F1715" s="144" t="n">
        <v>200025889438</v>
      </c>
      <c r="G1715" s="144" t="s">
        <v>320</v>
      </c>
      <c r="H1715" s="144" t="n">
        <v>47</v>
      </c>
      <c r="I1715" s="144" t="s">
        <v>148</v>
      </c>
      <c r="J1715" s="151" t="n">
        <v>45056.7329861111</v>
      </c>
      <c r="K1715" s="1" t="n">
        <v>3</v>
      </c>
      <c r="L1715" s="144" t="n">
        <v>47</v>
      </c>
      <c r="M1715" s="1" t="n">
        <v>49</v>
      </c>
      <c r="N1715" s="1" t="n">
        <v>49</v>
      </c>
      <c r="O1715" s="149" t="n">
        <v>16</v>
      </c>
    </row>
    <row r="1716" customFormat="false" ht="14.25" hidden="false" customHeight="false" outlineLevel="0" collapsed="false">
      <c r="A1716" s="1" t="n">
        <v>224</v>
      </c>
      <c r="B1716" s="1" t="s">
        <v>473</v>
      </c>
      <c r="C1716" s="143" t="n">
        <v>11490</v>
      </c>
      <c r="D1716" s="143" t="s">
        <v>65</v>
      </c>
      <c r="E1716" s="143" t="s">
        <v>479</v>
      </c>
      <c r="F1716" s="144" t="n">
        <v>200025889438</v>
      </c>
      <c r="G1716" s="144" t="s">
        <v>320</v>
      </c>
      <c r="H1716" s="144" t="n">
        <v>47</v>
      </c>
      <c r="I1716" s="144" t="s">
        <v>148</v>
      </c>
      <c r="J1716" s="151" t="n">
        <v>45056.7778125</v>
      </c>
      <c r="K1716" s="1" t="n">
        <v>1</v>
      </c>
      <c r="L1716" s="144" t="n">
        <v>47</v>
      </c>
      <c r="M1716" s="1" t="n">
        <v>49</v>
      </c>
      <c r="N1716" s="1" t="n">
        <v>49</v>
      </c>
      <c r="O1716" s="149" t="n">
        <v>17</v>
      </c>
    </row>
    <row r="1717" customFormat="false" ht="14.25" hidden="false" customHeight="false" outlineLevel="0" collapsed="false">
      <c r="A1717" s="1" t="n">
        <v>225</v>
      </c>
      <c r="B1717" s="1" t="s">
        <v>473</v>
      </c>
      <c r="C1717" s="143" t="n">
        <v>11490</v>
      </c>
      <c r="D1717" s="143" t="s">
        <v>65</v>
      </c>
      <c r="E1717" s="143" t="s">
        <v>479</v>
      </c>
      <c r="F1717" s="144" t="n">
        <v>200025889438</v>
      </c>
      <c r="G1717" s="144" t="s">
        <v>320</v>
      </c>
      <c r="H1717" s="144" t="n">
        <v>47</v>
      </c>
      <c r="I1717" s="144" t="s">
        <v>148</v>
      </c>
      <c r="J1717" s="151" t="n">
        <v>45056.777974537</v>
      </c>
      <c r="K1717" s="1" t="n">
        <v>2</v>
      </c>
      <c r="L1717" s="144" t="n">
        <v>47</v>
      </c>
      <c r="M1717" s="1" t="n">
        <v>49</v>
      </c>
      <c r="N1717" s="1" t="n">
        <v>49</v>
      </c>
      <c r="O1717" s="149" t="n">
        <v>18</v>
      </c>
    </row>
    <row r="1718" customFormat="false" ht="14.25" hidden="false" customHeight="false" outlineLevel="0" collapsed="false">
      <c r="A1718" s="1" t="n">
        <v>13</v>
      </c>
      <c r="B1718" s="1" t="s">
        <v>477</v>
      </c>
      <c r="C1718" s="143" t="n">
        <v>91601</v>
      </c>
      <c r="D1718" s="143" t="s">
        <v>64</v>
      </c>
      <c r="E1718" s="143" t="s">
        <v>479</v>
      </c>
      <c r="F1718" s="144" t="n">
        <v>200025888856</v>
      </c>
      <c r="G1718" s="144" t="s">
        <v>157</v>
      </c>
      <c r="H1718" s="144" t="n">
        <v>2</v>
      </c>
      <c r="I1718" s="144" t="s">
        <v>148</v>
      </c>
      <c r="J1718" s="152" t="n">
        <v>45055.6606828704</v>
      </c>
      <c r="K1718" s="1" t="n">
        <v>1</v>
      </c>
      <c r="L1718" s="144" t="n">
        <v>2</v>
      </c>
      <c r="M1718" s="1" t="n">
        <v>50</v>
      </c>
      <c r="N1718" s="1" t="n">
        <v>50</v>
      </c>
      <c r="O1718" s="149" t="n">
        <v>1</v>
      </c>
    </row>
    <row r="1719" customFormat="false" ht="14.25" hidden="false" customHeight="false" outlineLevel="0" collapsed="false">
      <c r="A1719" s="1" t="n">
        <v>14</v>
      </c>
      <c r="B1719" s="1" t="s">
        <v>477</v>
      </c>
      <c r="C1719" s="143" t="n">
        <v>91601</v>
      </c>
      <c r="D1719" s="143" t="s">
        <v>64</v>
      </c>
      <c r="E1719" s="143" t="s">
        <v>479</v>
      </c>
      <c r="F1719" s="144" t="n">
        <v>200025888856</v>
      </c>
      <c r="G1719" s="144" t="s">
        <v>157</v>
      </c>
      <c r="H1719" s="144" t="n">
        <v>2</v>
      </c>
      <c r="I1719" s="144" t="s">
        <v>148</v>
      </c>
      <c r="J1719" s="152" t="n">
        <v>45055.6608680556</v>
      </c>
      <c r="K1719" s="1" t="n">
        <v>1</v>
      </c>
      <c r="L1719" s="144" t="n">
        <v>2</v>
      </c>
      <c r="M1719" s="1" t="n">
        <v>50</v>
      </c>
      <c r="N1719" s="1" t="n">
        <v>50</v>
      </c>
      <c r="O1719" s="149" t="n">
        <v>2</v>
      </c>
    </row>
    <row r="1720" customFormat="false" ht="14.25" hidden="false" customHeight="false" outlineLevel="0" collapsed="false">
      <c r="A1720" s="1" t="n">
        <v>15</v>
      </c>
      <c r="B1720" s="1" t="s">
        <v>477</v>
      </c>
      <c r="C1720" s="143" t="n">
        <v>91601</v>
      </c>
      <c r="D1720" s="143" t="s">
        <v>64</v>
      </c>
      <c r="E1720" s="143" t="s">
        <v>479</v>
      </c>
      <c r="F1720" s="144" t="n">
        <v>200025888856</v>
      </c>
      <c r="G1720" s="144" t="s">
        <v>157</v>
      </c>
      <c r="H1720" s="144" t="n">
        <v>2</v>
      </c>
      <c r="I1720" s="144" t="s">
        <v>148</v>
      </c>
      <c r="J1720" s="152" t="n">
        <v>45055.6610532407</v>
      </c>
      <c r="K1720" s="1" t="n">
        <v>2</v>
      </c>
      <c r="L1720" s="144" t="n">
        <v>2</v>
      </c>
      <c r="M1720" s="1" t="n">
        <v>50</v>
      </c>
      <c r="N1720" s="1" t="n">
        <v>50</v>
      </c>
      <c r="O1720" s="149" t="n">
        <v>3</v>
      </c>
    </row>
    <row r="1721" customFormat="false" ht="14.25" hidden="false" customHeight="false" outlineLevel="0" collapsed="false">
      <c r="A1721" s="1" t="n">
        <v>16</v>
      </c>
      <c r="B1721" s="1" t="s">
        <v>477</v>
      </c>
      <c r="C1721" s="143" t="n">
        <v>91601</v>
      </c>
      <c r="D1721" s="143" t="s">
        <v>64</v>
      </c>
      <c r="E1721" s="143" t="s">
        <v>479</v>
      </c>
      <c r="F1721" s="144" t="n">
        <v>200025888856</v>
      </c>
      <c r="G1721" s="144" t="s">
        <v>157</v>
      </c>
      <c r="H1721" s="144" t="n">
        <v>2</v>
      </c>
      <c r="I1721" s="144" t="s">
        <v>148</v>
      </c>
      <c r="J1721" s="152" t="n">
        <v>45055.6611574074</v>
      </c>
      <c r="K1721" s="1" t="n">
        <v>2</v>
      </c>
      <c r="L1721" s="144" t="n">
        <v>2</v>
      </c>
      <c r="M1721" s="1" t="n">
        <v>50</v>
      </c>
      <c r="N1721" s="1" t="n">
        <v>50</v>
      </c>
      <c r="O1721" s="149" t="n">
        <v>4</v>
      </c>
    </row>
    <row r="1722" customFormat="false" ht="14.25" hidden="false" customHeight="false" outlineLevel="0" collapsed="false">
      <c r="A1722" s="1" t="n">
        <v>17</v>
      </c>
      <c r="B1722" s="1" t="s">
        <v>477</v>
      </c>
      <c r="C1722" s="143" t="n">
        <v>91601</v>
      </c>
      <c r="D1722" s="143" t="s">
        <v>64</v>
      </c>
      <c r="E1722" s="143" t="s">
        <v>479</v>
      </c>
      <c r="F1722" s="144" t="n">
        <v>200025888856</v>
      </c>
      <c r="G1722" s="144" t="s">
        <v>157</v>
      </c>
      <c r="H1722" s="144" t="n">
        <v>2</v>
      </c>
      <c r="I1722" s="144" t="s">
        <v>148</v>
      </c>
      <c r="J1722" s="152" t="n">
        <v>45055.6612615741</v>
      </c>
      <c r="K1722" s="1" t="n">
        <v>0</v>
      </c>
      <c r="L1722" s="144" t="n">
        <v>2</v>
      </c>
      <c r="M1722" s="1" t="n">
        <v>50</v>
      </c>
      <c r="N1722" s="1" t="n">
        <v>50</v>
      </c>
      <c r="O1722" s="149" t="n">
        <v>5</v>
      </c>
    </row>
    <row r="1723" customFormat="false" ht="14.25" hidden="false" customHeight="false" outlineLevel="0" collapsed="false">
      <c r="A1723" s="1" t="n">
        <v>18</v>
      </c>
      <c r="B1723" s="1" t="s">
        <v>477</v>
      </c>
      <c r="C1723" s="143" t="n">
        <v>91601</v>
      </c>
      <c r="D1723" s="143" t="s">
        <v>64</v>
      </c>
      <c r="E1723" s="143" t="s">
        <v>479</v>
      </c>
      <c r="F1723" s="144" t="n">
        <v>200025888856</v>
      </c>
      <c r="G1723" s="144" t="s">
        <v>157</v>
      </c>
      <c r="H1723" s="144" t="n">
        <v>2</v>
      </c>
      <c r="I1723" s="144" t="s">
        <v>148</v>
      </c>
      <c r="J1723" s="152" t="n">
        <v>45055.6614814815</v>
      </c>
      <c r="K1723" s="1" t="n">
        <v>1</v>
      </c>
      <c r="L1723" s="144" t="n">
        <v>2</v>
      </c>
      <c r="M1723" s="1" t="n">
        <v>50</v>
      </c>
      <c r="N1723" s="1" t="n">
        <v>50</v>
      </c>
      <c r="O1723" s="149" t="n">
        <v>6</v>
      </c>
    </row>
    <row r="1724" customFormat="false" ht="14.25" hidden="false" customHeight="false" outlineLevel="0" collapsed="false">
      <c r="A1724" s="1" t="n">
        <v>19</v>
      </c>
      <c r="B1724" s="1" t="s">
        <v>477</v>
      </c>
      <c r="C1724" s="143" t="n">
        <v>91601</v>
      </c>
      <c r="D1724" s="143" t="s">
        <v>64</v>
      </c>
      <c r="E1724" s="143" t="s">
        <v>479</v>
      </c>
      <c r="F1724" s="144" t="n">
        <v>200025888856</v>
      </c>
      <c r="G1724" s="144" t="s">
        <v>157</v>
      </c>
      <c r="H1724" s="144" t="n">
        <v>2</v>
      </c>
      <c r="I1724" s="144" t="s">
        <v>148</v>
      </c>
      <c r="J1724" s="152" t="n">
        <v>45055.6618634259</v>
      </c>
      <c r="K1724" s="1" t="n">
        <v>1</v>
      </c>
      <c r="L1724" s="144" t="n">
        <v>2</v>
      </c>
      <c r="M1724" s="1" t="n">
        <v>50</v>
      </c>
      <c r="N1724" s="1" t="n">
        <v>50</v>
      </c>
      <c r="O1724" s="149" t="n">
        <v>7</v>
      </c>
    </row>
    <row r="1725" customFormat="false" ht="14.25" hidden="false" customHeight="false" outlineLevel="0" collapsed="false">
      <c r="A1725" s="1" t="n">
        <v>20</v>
      </c>
      <c r="B1725" s="1" t="s">
        <v>477</v>
      </c>
      <c r="C1725" s="143" t="n">
        <v>91601</v>
      </c>
      <c r="D1725" s="143" t="s">
        <v>64</v>
      </c>
      <c r="E1725" s="143" t="s">
        <v>479</v>
      </c>
      <c r="F1725" s="144" t="n">
        <v>200025888856</v>
      </c>
      <c r="G1725" s="144" t="s">
        <v>157</v>
      </c>
      <c r="H1725" s="144" t="n">
        <v>2</v>
      </c>
      <c r="I1725" s="144" t="s">
        <v>148</v>
      </c>
      <c r="J1725" s="152" t="n">
        <v>45055.6620949074</v>
      </c>
      <c r="K1725" s="1" t="n">
        <v>0</v>
      </c>
      <c r="L1725" s="144" t="n">
        <v>2</v>
      </c>
      <c r="M1725" s="1" t="n">
        <v>50</v>
      </c>
      <c r="N1725" s="1" t="n">
        <v>50</v>
      </c>
      <c r="O1725" s="149" t="n">
        <v>8</v>
      </c>
    </row>
    <row r="1726" customFormat="false" ht="14.25" hidden="false" customHeight="false" outlineLevel="0" collapsed="false">
      <c r="A1726" s="1" t="n">
        <v>21</v>
      </c>
      <c r="B1726" s="1" t="s">
        <v>477</v>
      </c>
      <c r="C1726" s="143" t="n">
        <v>91601</v>
      </c>
      <c r="D1726" s="143" t="s">
        <v>64</v>
      </c>
      <c r="E1726" s="143" t="s">
        <v>479</v>
      </c>
      <c r="F1726" s="144" t="n">
        <v>200025888856</v>
      </c>
      <c r="G1726" s="144" t="s">
        <v>157</v>
      </c>
      <c r="H1726" s="144" t="n">
        <v>2</v>
      </c>
      <c r="I1726" s="144" t="s">
        <v>148</v>
      </c>
      <c r="J1726" s="152" t="n">
        <v>45055.6622337963</v>
      </c>
      <c r="K1726" s="1" t="n">
        <v>1</v>
      </c>
      <c r="L1726" s="144" t="n">
        <v>2</v>
      </c>
      <c r="M1726" s="1" t="n">
        <v>50</v>
      </c>
      <c r="N1726" s="1" t="n">
        <v>50</v>
      </c>
      <c r="O1726" s="149" t="n">
        <v>9</v>
      </c>
    </row>
    <row r="1727" customFormat="false" ht="14.25" hidden="false" customHeight="false" outlineLevel="0" collapsed="false">
      <c r="A1727" s="1" t="n">
        <v>22</v>
      </c>
      <c r="B1727" s="1" t="s">
        <v>477</v>
      </c>
      <c r="C1727" s="143" t="n">
        <v>91601</v>
      </c>
      <c r="D1727" s="143" t="s">
        <v>64</v>
      </c>
      <c r="E1727" s="143" t="s">
        <v>479</v>
      </c>
      <c r="F1727" s="144" t="n">
        <v>200025888856</v>
      </c>
      <c r="G1727" s="144" t="s">
        <v>157</v>
      </c>
      <c r="H1727" s="144" t="n">
        <v>2</v>
      </c>
      <c r="I1727" s="144" t="s">
        <v>148</v>
      </c>
      <c r="J1727" s="152" t="n">
        <v>45055.6624189815</v>
      </c>
      <c r="K1727" s="1" t="n">
        <v>2</v>
      </c>
      <c r="L1727" s="144" t="n">
        <v>2</v>
      </c>
      <c r="M1727" s="1" t="n">
        <v>50</v>
      </c>
      <c r="N1727" s="1" t="n">
        <v>50</v>
      </c>
      <c r="O1727" s="149" t="n">
        <v>10</v>
      </c>
    </row>
    <row r="1728" customFormat="false" ht="14.25" hidden="false" customHeight="false" outlineLevel="0" collapsed="false">
      <c r="A1728" s="1" t="n">
        <v>23</v>
      </c>
      <c r="B1728" s="1" t="s">
        <v>477</v>
      </c>
      <c r="C1728" s="143" t="n">
        <v>91601</v>
      </c>
      <c r="D1728" s="143" t="s">
        <v>64</v>
      </c>
      <c r="E1728" s="143" t="s">
        <v>479</v>
      </c>
      <c r="F1728" s="144" t="n">
        <v>200025888856</v>
      </c>
      <c r="G1728" s="144" t="s">
        <v>157</v>
      </c>
      <c r="H1728" s="144" t="n">
        <v>2</v>
      </c>
      <c r="I1728" s="144" t="s">
        <v>148</v>
      </c>
      <c r="J1728" s="152" t="n">
        <v>45055.662650463</v>
      </c>
      <c r="K1728" s="1" t="n">
        <v>1</v>
      </c>
      <c r="L1728" s="144" t="n">
        <v>2</v>
      </c>
      <c r="M1728" s="1" t="n">
        <v>50</v>
      </c>
      <c r="N1728" s="1" t="n">
        <v>50</v>
      </c>
      <c r="O1728" s="149" t="n">
        <v>11</v>
      </c>
    </row>
    <row r="1729" customFormat="false" ht="14.25" hidden="false" customHeight="false" outlineLevel="0" collapsed="false">
      <c r="A1729" s="1" t="n">
        <v>24</v>
      </c>
      <c r="B1729" s="1" t="s">
        <v>477</v>
      </c>
      <c r="C1729" s="143" t="n">
        <v>91601</v>
      </c>
      <c r="D1729" s="143" t="s">
        <v>64</v>
      </c>
      <c r="E1729" s="143" t="s">
        <v>479</v>
      </c>
      <c r="F1729" s="144" t="n">
        <v>200025888856</v>
      </c>
      <c r="G1729" s="144" t="s">
        <v>157</v>
      </c>
      <c r="H1729" s="144" t="n">
        <v>2</v>
      </c>
      <c r="I1729" s="144" t="s">
        <v>148</v>
      </c>
      <c r="J1729" s="152" t="n">
        <v>45055.6629976852</v>
      </c>
      <c r="K1729" s="1" t="n">
        <v>1</v>
      </c>
      <c r="L1729" s="144" t="n">
        <v>2</v>
      </c>
      <c r="M1729" s="1" t="n">
        <v>50</v>
      </c>
      <c r="N1729" s="1" t="n">
        <v>50</v>
      </c>
      <c r="O1729" s="149" t="n">
        <v>12</v>
      </c>
    </row>
    <row r="1730" customFormat="false" ht="14.25" hidden="false" customHeight="false" outlineLevel="0" collapsed="false">
      <c r="A1730" s="1" t="n">
        <v>25</v>
      </c>
      <c r="B1730" s="1" t="s">
        <v>477</v>
      </c>
      <c r="C1730" s="143" t="n">
        <v>91601</v>
      </c>
      <c r="D1730" s="143" t="s">
        <v>64</v>
      </c>
      <c r="E1730" s="143" t="s">
        <v>479</v>
      </c>
      <c r="F1730" s="144" t="n">
        <v>200025888856</v>
      </c>
      <c r="G1730" s="144" t="s">
        <v>157</v>
      </c>
      <c r="H1730" s="144" t="n">
        <v>2</v>
      </c>
      <c r="I1730" s="144" t="s">
        <v>148</v>
      </c>
      <c r="J1730" s="152" t="n">
        <v>45055.6630902778</v>
      </c>
      <c r="K1730" s="1" t="n">
        <v>2</v>
      </c>
      <c r="L1730" s="144" t="n">
        <v>2</v>
      </c>
      <c r="M1730" s="1" t="n">
        <v>50</v>
      </c>
      <c r="N1730" s="1" t="n">
        <v>50</v>
      </c>
      <c r="O1730" s="149" t="n">
        <v>13</v>
      </c>
    </row>
    <row r="1731" customFormat="false" ht="14.25" hidden="false" customHeight="false" outlineLevel="0" collapsed="false">
      <c r="A1731" s="1" t="n">
        <v>222</v>
      </c>
      <c r="B1731" s="1" t="s">
        <v>473</v>
      </c>
      <c r="C1731" s="143" t="n">
        <v>11490</v>
      </c>
      <c r="D1731" s="143" t="s">
        <v>65</v>
      </c>
      <c r="E1731" s="143" t="s">
        <v>479</v>
      </c>
      <c r="F1731" s="144" t="n">
        <v>200025888856</v>
      </c>
      <c r="G1731" s="144" t="s">
        <v>157</v>
      </c>
      <c r="H1731" s="144" t="n">
        <v>2</v>
      </c>
      <c r="I1731" s="144" t="s">
        <v>148</v>
      </c>
      <c r="J1731" s="151" t="n">
        <v>45056.7574305556</v>
      </c>
      <c r="K1731" s="1" t="n">
        <v>1</v>
      </c>
      <c r="L1731" s="144" t="n">
        <v>2</v>
      </c>
      <c r="M1731" s="1" t="n">
        <v>50</v>
      </c>
      <c r="N1731" s="1" t="n">
        <v>50</v>
      </c>
      <c r="O1731" s="149" t="n">
        <v>14</v>
      </c>
    </row>
    <row r="1732" customFormat="false" ht="14.25" hidden="false" customHeight="false" outlineLevel="0" collapsed="false">
      <c r="A1732" s="1" t="n">
        <v>223</v>
      </c>
      <c r="B1732" s="1" t="s">
        <v>473</v>
      </c>
      <c r="C1732" s="143" t="n">
        <v>11490</v>
      </c>
      <c r="D1732" s="143" t="s">
        <v>65</v>
      </c>
      <c r="E1732" s="143" t="s">
        <v>479</v>
      </c>
      <c r="F1732" s="144" t="n">
        <v>200025888856</v>
      </c>
      <c r="G1732" s="144" t="s">
        <v>157</v>
      </c>
      <c r="H1732" s="144" t="n">
        <v>2</v>
      </c>
      <c r="I1732" s="144" t="s">
        <v>148</v>
      </c>
      <c r="J1732" s="151" t="n">
        <v>45056.7574421296</v>
      </c>
      <c r="K1732" s="1" t="n">
        <v>0</v>
      </c>
      <c r="L1732" s="144" t="n">
        <v>2</v>
      </c>
      <c r="M1732" s="1" t="n">
        <v>50</v>
      </c>
      <c r="N1732" s="1" t="n">
        <v>50</v>
      </c>
      <c r="O1732" s="149" t="n">
        <v>15</v>
      </c>
    </row>
    <row r="1733" customFormat="false" ht="14.25" hidden="false" customHeight="false" outlineLevel="0" collapsed="false">
      <c r="A1733" s="1" t="n">
        <v>157</v>
      </c>
      <c r="B1733" s="1" t="s">
        <v>475</v>
      </c>
      <c r="C1733" s="143" t="s">
        <v>52</v>
      </c>
      <c r="D1733" s="143" t="s">
        <v>53</v>
      </c>
      <c r="E1733" s="143" t="s">
        <v>479</v>
      </c>
      <c r="F1733" s="144" t="n">
        <v>200025888856</v>
      </c>
      <c r="G1733" s="144" t="s">
        <v>157</v>
      </c>
      <c r="H1733" s="144" t="n">
        <v>2</v>
      </c>
      <c r="I1733" s="144" t="s">
        <v>148</v>
      </c>
      <c r="J1733" s="151" t="n">
        <v>45056.8359259259</v>
      </c>
      <c r="K1733" s="1" t="n">
        <v>0</v>
      </c>
      <c r="L1733" s="144" t="n">
        <v>2</v>
      </c>
      <c r="M1733" s="1" t="n">
        <v>50</v>
      </c>
      <c r="N1733" s="1" t="n">
        <v>50</v>
      </c>
      <c r="O1733" s="149" t="n">
        <v>16</v>
      </c>
    </row>
    <row r="1734" customFormat="false" ht="14.25" hidden="false" customHeight="false" outlineLevel="0" collapsed="false">
      <c r="A1734" s="1" t="n">
        <v>248</v>
      </c>
      <c r="B1734" s="1" t="s">
        <v>473</v>
      </c>
      <c r="C1734" s="143" t="n">
        <v>11490</v>
      </c>
      <c r="D1734" s="143" t="s">
        <v>65</v>
      </c>
      <c r="E1734" s="143" t="s">
        <v>479</v>
      </c>
      <c r="F1734" s="144" t="n">
        <v>200025888856</v>
      </c>
      <c r="G1734" s="144" t="s">
        <v>157</v>
      </c>
      <c r="H1734" s="144" t="n">
        <v>2</v>
      </c>
      <c r="I1734" s="144" t="s">
        <v>148</v>
      </c>
      <c r="J1734" s="151" t="n">
        <v>45056.8915740741</v>
      </c>
      <c r="K1734" s="1" t="n">
        <v>1</v>
      </c>
      <c r="L1734" s="144" t="n">
        <v>2</v>
      </c>
      <c r="M1734" s="1" t="n">
        <v>50</v>
      </c>
      <c r="N1734" s="1" t="n">
        <v>50</v>
      </c>
      <c r="O1734" s="149" t="n">
        <v>17</v>
      </c>
    </row>
    <row r="1735" customFormat="false" ht="14.25" hidden="false" customHeight="false" outlineLevel="0" collapsed="false">
      <c r="A1735" s="1" t="n">
        <v>163</v>
      </c>
      <c r="B1735" s="1" t="s">
        <v>475</v>
      </c>
      <c r="C1735" s="143" t="s">
        <v>52</v>
      </c>
      <c r="D1735" s="143" t="s">
        <v>53</v>
      </c>
      <c r="E1735" s="143" t="s">
        <v>479</v>
      </c>
      <c r="F1735" s="144" t="n">
        <v>200025888856</v>
      </c>
      <c r="G1735" s="144" t="s">
        <v>157</v>
      </c>
      <c r="H1735" s="144" t="n">
        <v>2</v>
      </c>
      <c r="I1735" s="144" t="s">
        <v>148</v>
      </c>
      <c r="J1735" s="151" t="n">
        <v>45056.9167824074</v>
      </c>
      <c r="K1735" s="1" t="n">
        <v>2</v>
      </c>
      <c r="L1735" s="144" t="n">
        <v>2</v>
      </c>
      <c r="M1735" s="1" t="n">
        <v>50</v>
      </c>
      <c r="N1735" s="1" t="n">
        <v>50</v>
      </c>
      <c r="O1735" s="149" t="n">
        <v>18</v>
      </c>
    </row>
    <row r="1736" customFormat="false" ht="14.25" hidden="false" customHeight="false" outlineLevel="0" collapsed="false">
      <c r="A1736" s="1" t="n">
        <v>164</v>
      </c>
      <c r="B1736" s="1" t="s">
        <v>475</v>
      </c>
      <c r="C1736" s="143" t="s">
        <v>52</v>
      </c>
      <c r="D1736" s="143" t="s">
        <v>53</v>
      </c>
      <c r="E1736" s="143" t="s">
        <v>479</v>
      </c>
      <c r="F1736" s="144" t="n">
        <v>200025888856</v>
      </c>
      <c r="G1736" s="144" t="s">
        <v>157</v>
      </c>
      <c r="H1736" s="144" t="n">
        <v>2</v>
      </c>
      <c r="I1736" s="144" t="s">
        <v>148</v>
      </c>
      <c r="J1736" s="151" t="n">
        <v>45056.9170833333</v>
      </c>
      <c r="K1736" s="1" t="n">
        <v>1</v>
      </c>
      <c r="L1736" s="144" t="n">
        <v>2</v>
      </c>
      <c r="M1736" s="1" t="n">
        <v>50</v>
      </c>
      <c r="N1736" s="1" t="n">
        <v>50</v>
      </c>
      <c r="O1736" s="149" t="n">
        <v>19</v>
      </c>
    </row>
    <row r="1737" customFormat="false" ht="14.25" hidden="false" customHeight="false" outlineLevel="0" collapsed="false">
      <c r="A1737" s="1" t="n">
        <v>165</v>
      </c>
      <c r="B1737" s="1" t="s">
        <v>475</v>
      </c>
      <c r="C1737" s="143" t="s">
        <v>52</v>
      </c>
      <c r="D1737" s="143" t="s">
        <v>53</v>
      </c>
      <c r="E1737" s="143" t="s">
        <v>479</v>
      </c>
      <c r="F1737" s="144" t="n">
        <v>200025888856</v>
      </c>
      <c r="G1737" s="144" t="s">
        <v>157</v>
      </c>
      <c r="H1737" s="144" t="n">
        <v>2</v>
      </c>
      <c r="I1737" s="144" t="s">
        <v>148</v>
      </c>
      <c r="J1737" s="151" t="n">
        <v>45056.9171064815</v>
      </c>
      <c r="K1737" s="1" t="n">
        <v>1</v>
      </c>
      <c r="L1737" s="144" t="n">
        <v>2</v>
      </c>
      <c r="M1737" s="1" t="n">
        <v>50</v>
      </c>
      <c r="N1737" s="1" t="n">
        <v>50</v>
      </c>
      <c r="O1737" s="149" t="n">
        <v>20</v>
      </c>
    </row>
    <row r="1738" customFormat="false" ht="14.25" hidden="false" customHeight="false" outlineLevel="0" collapsed="false">
      <c r="A1738" s="1" t="n">
        <v>273</v>
      </c>
      <c r="B1738" s="1" t="s">
        <v>473</v>
      </c>
      <c r="C1738" s="143" t="n">
        <v>11490</v>
      </c>
      <c r="D1738" s="143" t="s">
        <v>65</v>
      </c>
      <c r="E1738" s="143" t="s">
        <v>479</v>
      </c>
      <c r="F1738" s="144" t="n">
        <v>200025888856</v>
      </c>
      <c r="G1738" s="144" t="s">
        <v>157</v>
      </c>
      <c r="H1738" s="144" t="n">
        <v>2</v>
      </c>
      <c r="I1738" s="144" t="s">
        <v>148</v>
      </c>
      <c r="J1738" s="151" t="n">
        <v>45056.9679398148</v>
      </c>
      <c r="K1738" s="1" t="n">
        <v>4</v>
      </c>
      <c r="L1738" s="144" t="n">
        <v>2</v>
      </c>
      <c r="M1738" s="1" t="n">
        <v>50</v>
      </c>
      <c r="N1738" s="1" t="n">
        <v>50</v>
      </c>
      <c r="O1738" s="149" t="n">
        <v>21</v>
      </c>
    </row>
    <row r="1739" customFormat="false" ht="14.25" hidden="false" customHeight="false" outlineLevel="0" collapsed="false">
      <c r="A1739" s="1" t="n">
        <v>37</v>
      </c>
      <c r="B1739" s="1" t="s">
        <v>478</v>
      </c>
      <c r="C1739" s="143" t="n">
        <v>11171</v>
      </c>
      <c r="D1739" s="143" t="s">
        <v>74</v>
      </c>
      <c r="E1739" s="143" t="s">
        <v>479</v>
      </c>
      <c r="F1739" s="144" t="n">
        <v>200025888856</v>
      </c>
      <c r="G1739" s="144" t="s">
        <v>157</v>
      </c>
      <c r="H1739" s="144" t="n">
        <v>2</v>
      </c>
      <c r="I1739" s="144" t="s">
        <v>148</v>
      </c>
      <c r="J1739" s="151" t="n">
        <v>45057.3931365741</v>
      </c>
      <c r="K1739" s="1" t="n">
        <v>1</v>
      </c>
      <c r="L1739" s="144" t="n">
        <v>2</v>
      </c>
      <c r="M1739" s="1" t="n">
        <v>50</v>
      </c>
      <c r="N1739" s="1" t="n">
        <v>50</v>
      </c>
      <c r="O1739" s="149" t="n">
        <v>22</v>
      </c>
    </row>
    <row r="1740" customFormat="false" ht="14.25" hidden="false" customHeight="false" outlineLevel="0" collapsed="false">
      <c r="A1740" s="1" t="n">
        <v>39</v>
      </c>
      <c r="B1740" s="1" t="s">
        <v>478</v>
      </c>
      <c r="C1740" s="143" t="n">
        <v>11171</v>
      </c>
      <c r="D1740" s="143" t="s">
        <v>74</v>
      </c>
      <c r="E1740" s="143" t="s">
        <v>479</v>
      </c>
      <c r="F1740" s="144" t="n">
        <v>200025888856</v>
      </c>
      <c r="G1740" s="144" t="s">
        <v>157</v>
      </c>
      <c r="H1740" s="144" t="n">
        <v>2</v>
      </c>
      <c r="I1740" s="144" t="s">
        <v>148</v>
      </c>
      <c r="J1740" s="151" t="n">
        <v>45057.6674768519</v>
      </c>
      <c r="K1740" s="1" t="n">
        <v>2</v>
      </c>
      <c r="L1740" s="144" t="n">
        <v>2</v>
      </c>
      <c r="M1740" s="1" t="n">
        <v>50</v>
      </c>
      <c r="N1740" s="1" t="n">
        <v>50</v>
      </c>
      <c r="O1740" s="149" t="n">
        <v>23</v>
      </c>
    </row>
    <row r="1741" customFormat="false" ht="14.25" hidden="false" customHeight="false" outlineLevel="0" collapsed="false">
      <c r="A1741" s="1" t="n">
        <v>45</v>
      </c>
      <c r="B1741" s="1" t="s">
        <v>478</v>
      </c>
      <c r="C1741" s="143" t="n">
        <v>11171</v>
      </c>
      <c r="D1741" s="143" t="s">
        <v>74</v>
      </c>
      <c r="E1741" s="143" t="s">
        <v>479</v>
      </c>
      <c r="F1741" s="144" t="n">
        <v>200025888856</v>
      </c>
      <c r="G1741" s="144" t="s">
        <v>157</v>
      </c>
      <c r="H1741" s="144" t="n">
        <v>2</v>
      </c>
      <c r="I1741" s="144" t="s">
        <v>148</v>
      </c>
      <c r="J1741" s="151" t="n">
        <v>45057.9040277778</v>
      </c>
      <c r="K1741" s="1" t="n">
        <v>1</v>
      </c>
      <c r="L1741" s="144" t="n">
        <v>2</v>
      </c>
      <c r="M1741" s="1" t="n">
        <v>50</v>
      </c>
      <c r="N1741" s="1" t="n">
        <v>50</v>
      </c>
      <c r="O1741" s="149" t="n">
        <v>24</v>
      </c>
    </row>
    <row r="1742" customFormat="false" ht="14.25" hidden="false" customHeight="false" outlineLevel="0" collapsed="false">
      <c r="A1742" s="1" t="n">
        <v>46</v>
      </c>
      <c r="B1742" s="1" t="s">
        <v>478</v>
      </c>
      <c r="C1742" s="143" t="n">
        <v>11171</v>
      </c>
      <c r="D1742" s="143" t="s">
        <v>74</v>
      </c>
      <c r="E1742" s="143" t="s">
        <v>479</v>
      </c>
      <c r="F1742" s="144" t="n">
        <v>200025888856</v>
      </c>
      <c r="G1742" s="144" t="s">
        <v>157</v>
      </c>
      <c r="H1742" s="144" t="n">
        <v>2</v>
      </c>
      <c r="I1742" s="144" t="s">
        <v>148</v>
      </c>
      <c r="J1742" s="151" t="n">
        <v>45057.9142592593</v>
      </c>
      <c r="K1742" s="1" t="n">
        <v>1</v>
      </c>
      <c r="L1742" s="144" t="n">
        <v>2</v>
      </c>
      <c r="M1742" s="1" t="n">
        <v>50</v>
      </c>
      <c r="N1742" s="1" t="n">
        <v>50</v>
      </c>
      <c r="O1742" s="149" t="n">
        <v>25</v>
      </c>
    </row>
    <row r="1743" customFormat="false" ht="14.25" hidden="false" customHeight="false" outlineLevel="0" collapsed="false">
      <c r="A1743" s="1" t="n">
        <v>40</v>
      </c>
      <c r="B1743" s="1" t="s">
        <v>490</v>
      </c>
      <c r="C1743" s="143" t="n">
        <v>11171</v>
      </c>
      <c r="D1743" s="143" t="s">
        <v>74</v>
      </c>
      <c r="E1743" s="143" t="s">
        <v>479</v>
      </c>
      <c r="F1743" s="144" t="n">
        <v>200025888856</v>
      </c>
      <c r="G1743" s="144" t="s">
        <v>157</v>
      </c>
      <c r="H1743" s="144" t="n">
        <v>2</v>
      </c>
      <c r="I1743" s="144" t="s">
        <v>148</v>
      </c>
      <c r="J1743" s="151" t="n">
        <v>45072.5833796296</v>
      </c>
      <c r="K1743" s="1" t="n">
        <v>0</v>
      </c>
      <c r="L1743" s="144" t="n">
        <v>2</v>
      </c>
      <c r="M1743" s="1" t="n">
        <v>50</v>
      </c>
      <c r="N1743" s="1" t="n">
        <v>50</v>
      </c>
      <c r="O1743" s="149" t="n">
        <v>26</v>
      </c>
    </row>
    <row r="1744" customFormat="false" ht="14.25" hidden="false" customHeight="false" outlineLevel="0" collapsed="false">
      <c r="A1744" s="1" t="n">
        <v>207</v>
      </c>
      <c r="B1744" s="1" t="s">
        <v>476</v>
      </c>
      <c r="C1744" s="143" t="s">
        <v>68</v>
      </c>
      <c r="D1744" s="143" t="s">
        <v>64</v>
      </c>
      <c r="E1744" s="143" t="s">
        <v>479</v>
      </c>
      <c r="F1744" s="144" t="n">
        <v>200025888856</v>
      </c>
      <c r="G1744" s="144" t="s">
        <v>157</v>
      </c>
      <c r="H1744" s="144" t="n">
        <v>2</v>
      </c>
      <c r="I1744" s="144" t="s">
        <v>148</v>
      </c>
      <c r="J1744" s="151" t="n">
        <v>45087.7509722222</v>
      </c>
      <c r="K1744" s="1" t="n">
        <v>3</v>
      </c>
      <c r="L1744" s="144" t="n">
        <v>2</v>
      </c>
      <c r="M1744" s="1" t="n">
        <v>50</v>
      </c>
      <c r="N1744" s="1" t="n">
        <v>50</v>
      </c>
      <c r="O1744" s="149" t="n">
        <v>27</v>
      </c>
    </row>
    <row r="1745" customFormat="false" ht="14.25" hidden="false" customHeight="false" outlineLevel="0" collapsed="false">
      <c r="A1745" s="1" t="n">
        <v>208</v>
      </c>
      <c r="B1745" s="1" t="s">
        <v>476</v>
      </c>
      <c r="C1745" s="143" t="s">
        <v>68</v>
      </c>
      <c r="D1745" s="143" t="s">
        <v>64</v>
      </c>
      <c r="E1745" s="143" t="s">
        <v>479</v>
      </c>
      <c r="F1745" s="144" t="n">
        <v>200025888856</v>
      </c>
      <c r="G1745" s="144" t="s">
        <v>157</v>
      </c>
      <c r="H1745" s="144" t="n">
        <v>2</v>
      </c>
      <c r="I1745" s="144" t="s">
        <v>148</v>
      </c>
      <c r="J1745" s="151" t="n">
        <v>45087.7510416667</v>
      </c>
      <c r="K1745" s="1" t="n">
        <v>3</v>
      </c>
      <c r="L1745" s="144" t="n">
        <v>2</v>
      </c>
      <c r="M1745" s="1" t="n">
        <v>50</v>
      </c>
      <c r="N1745" s="1" t="n">
        <v>50</v>
      </c>
      <c r="O1745" s="149" t="n">
        <v>28</v>
      </c>
    </row>
    <row r="1746" customFormat="false" ht="14.25" hidden="false" customHeight="false" outlineLevel="0" collapsed="false">
      <c r="A1746" s="1" t="n">
        <v>26</v>
      </c>
      <c r="B1746" s="1" t="s">
        <v>477</v>
      </c>
      <c r="C1746" s="143" t="n">
        <v>91601</v>
      </c>
      <c r="D1746" s="143" t="s">
        <v>64</v>
      </c>
      <c r="E1746" s="143" t="s">
        <v>474</v>
      </c>
      <c r="F1746" s="144" t="n">
        <v>200025889784</v>
      </c>
      <c r="G1746" s="144" t="s">
        <v>330</v>
      </c>
      <c r="H1746" s="144" t="n">
        <v>52</v>
      </c>
      <c r="I1746" s="144" t="s">
        <v>148</v>
      </c>
      <c r="J1746" s="152" t="n">
        <v>45056.1256481482</v>
      </c>
      <c r="K1746" s="1" t="n">
        <v>1</v>
      </c>
      <c r="L1746" s="144" t="n">
        <v>52</v>
      </c>
      <c r="M1746" s="1" t="n">
        <v>51</v>
      </c>
      <c r="N1746" s="1" t="n">
        <v>51</v>
      </c>
      <c r="O1746" s="149" t="n">
        <v>1</v>
      </c>
    </row>
    <row r="1747" customFormat="false" ht="14.25" hidden="false" customHeight="false" outlineLevel="0" collapsed="false">
      <c r="A1747" s="1" t="n">
        <v>27</v>
      </c>
      <c r="B1747" s="1" t="s">
        <v>477</v>
      </c>
      <c r="C1747" s="143" t="n">
        <v>91601</v>
      </c>
      <c r="D1747" s="143" t="s">
        <v>64</v>
      </c>
      <c r="E1747" s="143" t="s">
        <v>474</v>
      </c>
      <c r="F1747" s="144" t="n">
        <v>200025889784</v>
      </c>
      <c r="G1747" s="144" t="s">
        <v>330</v>
      </c>
      <c r="H1747" s="144" t="n">
        <v>52</v>
      </c>
      <c r="I1747" s="144" t="s">
        <v>148</v>
      </c>
      <c r="J1747" s="152" t="n">
        <v>45056.12625</v>
      </c>
      <c r="K1747" s="1" t="n">
        <v>1</v>
      </c>
      <c r="L1747" s="144" t="n">
        <v>52</v>
      </c>
      <c r="M1747" s="1" t="n">
        <v>51</v>
      </c>
      <c r="N1747" s="1" t="n">
        <v>51</v>
      </c>
      <c r="O1747" s="149" t="n">
        <v>2</v>
      </c>
    </row>
    <row r="1748" customFormat="false" ht="14.25" hidden="false" customHeight="false" outlineLevel="0" collapsed="false">
      <c r="A1748" s="1" t="n">
        <v>28</v>
      </c>
      <c r="B1748" s="1" t="s">
        <v>477</v>
      </c>
      <c r="C1748" s="143" t="n">
        <v>91601</v>
      </c>
      <c r="D1748" s="143" t="s">
        <v>64</v>
      </c>
      <c r="E1748" s="143" t="s">
        <v>474</v>
      </c>
      <c r="F1748" s="144" t="n">
        <v>200025889784</v>
      </c>
      <c r="G1748" s="144" t="s">
        <v>330</v>
      </c>
      <c r="H1748" s="144" t="n">
        <v>52</v>
      </c>
      <c r="I1748" s="144" t="s">
        <v>148</v>
      </c>
      <c r="J1748" s="152" t="n">
        <v>45056.126412037</v>
      </c>
      <c r="K1748" s="1" t="n">
        <v>5</v>
      </c>
      <c r="L1748" s="144" t="n">
        <v>52</v>
      </c>
      <c r="M1748" s="1" t="n">
        <v>51</v>
      </c>
      <c r="N1748" s="1" t="n">
        <v>51</v>
      </c>
      <c r="O1748" s="149" t="n">
        <v>3</v>
      </c>
    </row>
    <row r="1749" customFormat="false" ht="14.25" hidden="false" customHeight="false" outlineLevel="0" collapsed="false">
      <c r="A1749" s="1" t="n">
        <v>29</v>
      </c>
      <c r="B1749" s="1" t="s">
        <v>477</v>
      </c>
      <c r="C1749" s="143" t="n">
        <v>91601</v>
      </c>
      <c r="D1749" s="143" t="s">
        <v>64</v>
      </c>
      <c r="E1749" s="143" t="s">
        <v>474</v>
      </c>
      <c r="F1749" s="144" t="n">
        <v>200025889784</v>
      </c>
      <c r="G1749" s="144" t="s">
        <v>330</v>
      </c>
      <c r="H1749" s="144" t="n">
        <v>52</v>
      </c>
      <c r="I1749" s="144" t="s">
        <v>148</v>
      </c>
      <c r="J1749" s="152" t="n">
        <v>45056.1265509259</v>
      </c>
      <c r="K1749" s="1" t="n">
        <v>1</v>
      </c>
      <c r="L1749" s="144" t="n">
        <v>52</v>
      </c>
      <c r="M1749" s="1" t="n">
        <v>51</v>
      </c>
      <c r="N1749" s="1" t="n">
        <v>51</v>
      </c>
      <c r="O1749" s="149" t="n">
        <v>4</v>
      </c>
    </row>
    <row r="1750" customFormat="false" ht="14.25" hidden="false" customHeight="false" outlineLevel="0" collapsed="false">
      <c r="A1750" s="1" t="n">
        <v>30</v>
      </c>
      <c r="B1750" s="1" t="s">
        <v>477</v>
      </c>
      <c r="C1750" s="143" t="n">
        <v>91601</v>
      </c>
      <c r="D1750" s="143" t="s">
        <v>64</v>
      </c>
      <c r="E1750" s="143" t="s">
        <v>474</v>
      </c>
      <c r="F1750" s="144" t="n">
        <v>200025889784</v>
      </c>
      <c r="G1750" s="144" t="s">
        <v>330</v>
      </c>
      <c r="H1750" s="144" t="n">
        <v>52</v>
      </c>
      <c r="I1750" s="144" t="s">
        <v>148</v>
      </c>
      <c r="J1750" s="152" t="n">
        <v>45056.1267013889</v>
      </c>
      <c r="K1750" s="1" t="n">
        <v>1</v>
      </c>
      <c r="L1750" s="144" t="n">
        <v>52</v>
      </c>
      <c r="M1750" s="1" t="n">
        <v>51</v>
      </c>
      <c r="N1750" s="1" t="n">
        <v>51</v>
      </c>
      <c r="O1750" s="149" t="n">
        <v>5</v>
      </c>
    </row>
    <row r="1751" customFormat="false" ht="14.25" hidden="false" customHeight="false" outlineLevel="0" collapsed="false">
      <c r="A1751" s="1" t="n">
        <v>31</v>
      </c>
      <c r="B1751" s="1" t="s">
        <v>477</v>
      </c>
      <c r="C1751" s="143" t="n">
        <v>91601</v>
      </c>
      <c r="D1751" s="143" t="s">
        <v>64</v>
      </c>
      <c r="E1751" s="143" t="s">
        <v>474</v>
      </c>
      <c r="F1751" s="144" t="n">
        <v>200025889784</v>
      </c>
      <c r="G1751" s="144" t="s">
        <v>330</v>
      </c>
      <c r="H1751" s="144" t="n">
        <v>52</v>
      </c>
      <c r="I1751" s="144" t="s">
        <v>148</v>
      </c>
      <c r="J1751" s="152" t="n">
        <v>45056.1268981482</v>
      </c>
      <c r="K1751" s="1" t="n">
        <v>0</v>
      </c>
      <c r="L1751" s="144" t="n">
        <v>52</v>
      </c>
      <c r="M1751" s="1" t="n">
        <v>51</v>
      </c>
      <c r="N1751" s="1" t="n">
        <v>51</v>
      </c>
      <c r="O1751" s="149" t="n">
        <v>6</v>
      </c>
    </row>
    <row r="1752" customFormat="false" ht="14.25" hidden="false" customHeight="false" outlineLevel="0" collapsed="false">
      <c r="A1752" s="1" t="n">
        <v>32</v>
      </c>
      <c r="B1752" s="1" t="s">
        <v>477</v>
      </c>
      <c r="C1752" s="143" t="n">
        <v>91601</v>
      </c>
      <c r="D1752" s="143" t="s">
        <v>64</v>
      </c>
      <c r="E1752" s="143" t="s">
        <v>474</v>
      </c>
      <c r="F1752" s="144" t="n">
        <v>200025889784</v>
      </c>
      <c r="G1752" s="144" t="s">
        <v>330</v>
      </c>
      <c r="H1752" s="144" t="n">
        <v>52</v>
      </c>
      <c r="I1752" s="144" t="s">
        <v>148</v>
      </c>
      <c r="J1752" s="152" t="n">
        <v>45056.1270949074</v>
      </c>
      <c r="K1752" s="1" t="n">
        <v>2</v>
      </c>
      <c r="L1752" s="144" t="n">
        <v>52</v>
      </c>
      <c r="M1752" s="1" t="n">
        <v>51</v>
      </c>
      <c r="N1752" s="1" t="n">
        <v>51</v>
      </c>
      <c r="O1752" s="149" t="n">
        <v>7</v>
      </c>
    </row>
    <row r="1753" customFormat="false" ht="14.25" hidden="false" customHeight="false" outlineLevel="0" collapsed="false">
      <c r="A1753" s="1" t="n">
        <v>33</v>
      </c>
      <c r="B1753" s="1" t="s">
        <v>477</v>
      </c>
      <c r="C1753" s="143" t="n">
        <v>91601</v>
      </c>
      <c r="D1753" s="143" t="s">
        <v>64</v>
      </c>
      <c r="E1753" s="143" t="s">
        <v>474</v>
      </c>
      <c r="F1753" s="144" t="n">
        <v>200025889784</v>
      </c>
      <c r="G1753" s="144" t="s">
        <v>330</v>
      </c>
      <c r="H1753" s="144" t="n">
        <v>52</v>
      </c>
      <c r="I1753" s="144" t="s">
        <v>148</v>
      </c>
      <c r="J1753" s="152" t="n">
        <v>45056.1271875</v>
      </c>
      <c r="K1753" s="1" t="n">
        <v>2</v>
      </c>
      <c r="L1753" s="144" t="n">
        <v>52</v>
      </c>
      <c r="M1753" s="1" t="n">
        <v>51</v>
      </c>
      <c r="N1753" s="1" t="n">
        <v>51</v>
      </c>
      <c r="O1753" s="149" t="n">
        <v>8</v>
      </c>
    </row>
    <row r="1754" customFormat="false" ht="14.25" hidden="false" customHeight="false" outlineLevel="0" collapsed="false">
      <c r="A1754" s="1" t="n">
        <v>34</v>
      </c>
      <c r="B1754" s="1" t="s">
        <v>477</v>
      </c>
      <c r="C1754" s="143" t="n">
        <v>91601</v>
      </c>
      <c r="D1754" s="143" t="s">
        <v>64</v>
      </c>
      <c r="E1754" s="143" t="s">
        <v>474</v>
      </c>
      <c r="F1754" s="144" t="n">
        <v>200025889784</v>
      </c>
      <c r="G1754" s="144" t="s">
        <v>330</v>
      </c>
      <c r="H1754" s="144" t="n">
        <v>52</v>
      </c>
      <c r="I1754" s="144" t="s">
        <v>148</v>
      </c>
      <c r="J1754" s="152" t="n">
        <v>45056.1273726852</v>
      </c>
      <c r="K1754" s="1" t="n">
        <v>1</v>
      </c>
      <c r="L1754" s="144" t="n">
        <v>52</v>
      </c>
      <c r="M1754" s="1" t="n">
        <v>51</v>
      </c>
      <c r="N1754" s="1" t="n">
        <v>51</v>
      </c>
      <c r="O1754" s="149" t="n">
        <v>9</v>
      </c>
    </row>
    <row r="1755" customFormat="false" ht="14.25" hidden="false" customHeight="false" outlineLevel="0" collapsed="false">
      <c r="A1755" s="1" t="n">
        <v>35</v>
      </c>
      <c r="B1755" s="1" t="s">
        <v>477</v>
      </c>
      <c r="C1755" s="143" t="n">
        <v>91601</v>
      </c>
      <c r="D1755" s="143" t="s">
        <v>64</v>
      </c>
      <c r="E1755" s="143" t="s">
        <v>474</v>
      </c>
      <c r="F1755" s="144" t="n">
        <v>200025889784</v>
      </c>
      <c r="G1755" s="144" t="s">
        <v>330</v>
      </c>
      <c r="H1755" s="144" t="n">
        <v>52</v>
      </c>
      <c r="I1755" s="144" t="s">
        <v>148</v>
      </c>
      <c r="J1755" s="152" t="n">
        <v>45056.1276041667</v>
      </c>
      <c r="K1755" s="1" t="n">
        <v>1</v>
      </c>
      <c r="L1755" s="144" t="n">
        <v>52</v>
      </c>
      <c r="M1755" s="1" t="n">
        <v>51</v>
      </c>
      <c r="N1755" s="1" t="n">
        <v>51</v>
      </c>
      <c r="O1755" s="149" t="n">
        <v>10</v>
      </c>
    </row>
    <row r="1756" customFormat="false" ht="14.25" hidden="false" customHeight="false" outlineLevel="0" collapsed="false">
      <c r="A1756" s="1" t="n">
        <v>36</v>
      </c>
      <c r="B1756" s="1" t="s">
        <v>477</v>
      </c>
      <c r="C1756" s="143" t="n">
        <v>91601</v>
      </c>
      <c r="D1756" s="143" t="s">
        <v>64</v>
      </c>
      <c r="E1756" s="143" t="s">
        <v>474</v>
      </c>
      <c r="F1756" s="144" t="n">
        <v>200025889784</v>
      </c>
      <c r="G1756" s="144" t="s">
        <v>330</v>
      </c>
      <c r="H1756" s="144" t="n">
        <v>52</v>
      </c>
      <c r="I1756" s="144" t="s">
        <v>148</v>
      </c>
      <c r="J1756" s="152" t="n">
        <v>45056.1279166667</v>
      </c>
      <c r="K1756" s="1" t="n">
        <v>1</v>
      </c>
      <c r="L1756" s="144" t="n">
        <v>52</v>
      </c>
      <c r="M1756" s="1" t="n">
        <v>51</v>
      </c>
      <c r="N1756" s="1" t="n">
        <v>51</v>
      </c>
      <c r="O1756" s="149" t="n">
        <v>11</v>
      </c>
    </row>
    <row r="1757" customFormat="false" ht="14.25" hidden="false" customHeight="false" outlineLevel="0" collapsed="false">
      <c r="A1757" s="1" t="n">
        <v>37</v>
      </c>
      <c r="B1757" s="1" t="s">
        <v>477</v>
      </c>
      <c r="C1757" s="143" t="n">
        <v>91601</v>
      </c>
      <c r="D1757" s="143" t="s">
        <v>64</v>
      </c>
      <c r="E1757" s="143" t="s">
        <v>474</v>
      </c>
      <c r="F1757" s="144" t="n">
        <v>200025889784</v>
      </c>
      <c r="G1757" s="144" t="s">
        <v>330</v>
      </c>
      <c r="H1757" s="144" t="n">
        <v>52</v>
      </c>
      <c r="I1757" s="144" t="s">
        <v>148</v>
      </c>
      <c r="J1757" s="152" t="n">
        <v>45056.1280555556</v>
      </c>
      <c r="K1757" s="1" t="n">
        <v>0</v>
      </c>
      <c r="L1757" s="144" t="n">
        <v>52</v>
      </c>
      <c r="M1757" s="1" t="n">
        <v>51</v>
      </c>
      <c r="N1757" s="1" t="n">
        <v>51</v>
      </c>
      <c r="O1757" s="149" t="n">
        <v>12</v>
      </c>
    </row>
    <row r="1758" customFormat="false" ht="14.25" hidden="false" customHeight="false" outlineLevel="0" collapsed="false">
      <c r="A1758" s="1" t="n">
        <v>38</v>
      </c>
      <c r="B1758" s="1" t="s">
        <v>477</v>
      </c>
      <c r="C1758" s="143" t="n">
        <v>91601</v>
      </c>
      <c r="D1758" s="143" t="s">
        <v>64</v>
      </c>
      <c r="E1758" s="143" t="s">
        <v>474</v>
      </c>
      <c r="F1758" s="144" t="n">
        <v>200025889784</v>
      </c>
      <c r="G1758" s="144" t="s">
        <v>330</v>
      </c>
      <c r="H1758" s="144" t="n">
        <v>52</v>
      </c>
      <c r="I1758" s="144" t="s">
        <v>148</v>
      </c>
      <c r="J1758" s="152" t="n">
        <v>45056.1290162037</v>
      </c>
      <c r="K1758" s="1" t="n">
        <v>3</v>
      </c>
      <c r="L1758" s="144" t="n">
        <v>52</v>
      </c>
      <c r="M1758" s="1" t="n">
        <v>51</v>
      </c>
      <c r="N1758" s="1" t="n">
        <v>51</v>
      </c>
      <c r="O1758" s="149" t="n">
        <v>13</v>
      </c>
    </row>
    <row r="1759" customFormat="false" ht="14.25" hidden="false" customHeight="false" outlineLevel="0" collapsed="false">
      <c r="A1759" s="1" t="n">
        <v>39</v>
      </c>
      <c r="B1759" s="1" t="s">
        <v>477</v>
      </c>
      <c r="C1759" s="143" t="n">
        <v>91601</v>
      </c>
      <c r="D1759" s="143" t="s">
        <v>64</v>
      </c>
      <c r="E1759" s="143" t="s">
        <v>474</v>
      </c>
      <c r="F1759" s="144" t="n">
        <v>200025889784</v>
      </c>
      <c r="G1759" s="144" t="s">
        <v>330</v>
      </c>
      <c r="H1759" s="144" t="n">
        <v>52</v>
      </c>
      <c r="I1759" s="144" t="s">
        <v>148</v>
      </c>
      <c r="J1759" s="152" t="n">
        <v>45056.1290277778</v>
      </c>
      <c r="K1759" s="1" t="n">
        <v>2</v>
      </c>
      <c r="L1759" s="144" t="n">
        <v>52</v>
      </c>
      <c r="M1759" s="1" t="n">
        <v>51</v>
      </c>
      <c r="N1759" s="1" t="n">
        <v>51</v>
      </c>
      <c r="O1759" s="149" t="n">
        <v>14</v>
      </c>
    </row>
    <row r="1760" customFormat="false" ht="14.25" hidden="false" customHeight="false" outlineLevel="0" collapsed="false">
      <c r="A1760" s="1" t="n">
        <v>40</v>
      </c>
      <c r="B1760" s="1" t="s">
        <v>477</v>
      </c>
      <c r="C1760" s="143" t="n">
        <v>91601</v>
      </c>
      <c r="D1760" s="143" t="s">
        <v>64</v>
      </c>
      <c r="E1760" s="143" t="s">
        <v>474</v>
      </c>
      <c r="F1760" s="144" t="n">
        <v>200025889784</v>
      </c>
      <c r="G1760" s="144" t="s">
        <v>330</v>
      </c>
      <c r="H1760" s="144" t="n">
        <v>52</v>
      </c>
      <c r="I1760" s="144" t="s">
        <v>148</v>
      </c>
      <c r="J1760" s="152" t="n">
        <v>45056.1300578704</v>
      </c>
      <c r="K1760" s="1" t="n">
        <v>1</v>
      </c>
      <c r="L1760" s="144" t="n">
        <v>52</v>
      </c>
      <c r="M1760" s="1" t="n">
        <v>51</v>
      </c>
      <c r="N1760" s="1" t="n">
        <v>51</v>
      </c>
      <c r="O1760" s="149" t="n">
        <v>15</v>
      </c>
    </row>
    <row r="1761" customFormat="false" ht="14.25" hidden="false" customHeight="false" outlineLevel="0" collapsed="false">
      <c r="A1761" s="1" t="n">
        <v>41</v>
      </c>
      <c r="B1761" s="1" t="s">
        <v>477</v>
      </c>
      <c r="C1761" s="143" t="n">
        <v>91601</v>
      </c>
      <c r="D1761" s="143" t="s">
        <v>64</v>
      </c>
      <c r="E1761" s="143" t="s">
        <v>474</v>
      </c>
      <c r="F1761" s="144" t="n">
        <v>200025889784</v>
      </c>
      <c r="G1761" s="144" t="s">
        <v>330</v>
      </c>
      <c r="H1761" s="144" t="n">
        <v>52</v>
      </c>
      <c r="I1761" s="144" t="s">
        <v>148</v>
      </c>
      <c r="J1761" s="152" t="n">
        <v>45056.1306481482</v>
      </c>
      <c r="K1761" s="1" t="n">
        <v>3</v>
      </c>
      <c r="L1761" s="144" t="n">
        <v>52</v>
      </c>
      <c r="M1761" s="1" t="n">
        <v>51</v>
      </c>
      <c r="N1761" s="1" t="n">
        <v>51</v>
      </c>
      <c r="O1761" s="149" t="n">
        <v>16</v>
      </c>
    </row>
    <row r="1762" customFormat="false" ht="14.25" hidden="false" customHeight="false" outlineLevel="0" collapsed="false">
      <c r="A1762" s="1" t="n">
        <v>42</v>
      </c>
      <c r="B1762" s="1" t="s">
        <v>477</v>
      </c>
      <c r="C1762" s="143" t="n">
        <v>91601</v>
      </c>
      <c r="D1762" s="143" t="s">
        <v>64</v>
      </c>
      <c r="E1762" s="143" t="s">
        <v>474</v>
      </c>
      <c r="F1762" s="144" t="n">
        <v>200025889784</v>
      </c>
      <c r="G1762" s="144" t="s">
        <v>330</v>
      </c>
      <c r="H1762" s="144" t="n">
        <v>52</v>
      </c>
      <c r="I1762" s="144" t="s">
        <v>148</v>
      </c>
      <c r="J1762" s="152" t="n">
        <v>45056.1306597222</v>
      </c>
      <c r="K1762" s="1" t="n">
        <v>0</v>
      </c>
      <c r="L1762" s="144" t="n">
        <v>52</v>
      </c>
      <c r="M1762" s="1" t="n">
        <v>51</v>
      </c>
      <c r="N1762" s="1" t="n">
        <v>51</v>
      </c>
      <c r="O1762" s="149" t="n">
        <v>17</v>
      </c>
    </row>
    <row r="1763" customFormat="false" ht="14.25" hidden="false" customHeight="false" outlineLevel="0" collapsed="false">
      <c r="A1763" s="1" t="n">
        <v>43</v>
      </c>
      <c r="B1763" s="1" t="s">
        <v>477</v>
      </c>
      <c r="C1763" s="143" t="n">
        <v>91601</v>
      </c>
      <c r="D1763" s="143" t="s">
        <v>64</v>
      </c>
      <c r="E1763" s="143" t="s">
        <v>474</v>
      </c>
      <c r="F1763" s="144" t="n">
        <v>200025889784</v>
      </c>
      <c r="G1763" s="144" t="s">
        <v>330</v>
      </c>
      <c r="H1763" s="144" t="n">
        <v>52</v>
      </c>
      <c r="I1763" s="144" t="s">
        <v>148</v>
      </c>
      <c r="J1763" s="152" t="n">
        <v>45056.1308680556</v>
      </c>
      <c r="K1763" s="1" t="n">
        <v>0</v>
      </c>
      <c r="L1763" s="144" t="n">
        <v>52</v>
      </c>
      <c r="M1763" s="1" t="n">
        <v>51</v>
      </c>
      <c r="N1763" s="1" t="n">
        <v>51</v>
      </c>
      <c r="O1763" s="149" t="n">
        <v>18</v>
      </c>
    </row>
    <row r="1764" customFormat="false" ht="14.25" hidden="false" customHeight="false" outlineLevel="0" collapsed="false">
      <c r="A1764" s="1" t="n">
        <v>44</v>
      </c>
      <c r="B1764" s="1" t="s">
        <v>477</v>
      </c>
      <c r="C1764" s="143" t="n">
        <v>91601</v>
      </c>
      <c r="D1764" s="143" t="s">
        <v>64</v>
      </c>
      <c r="E1764" s="143" t="s">
        <v>474</v>
      </c>
      <c r="F1764" s="144" t="n">
        <v>200025889784</v>
      </c>
      <c r="G1764" s="144" t="s">
        <v>330</v>
      </c>
      <c r="H1764" s="144" t="n">
        <v>52</v>
      </c>
      <c r="I1764" s="144" t="s">
        <v>148</v>
      </c>
      <c r="J1764" s="152" t="n">
        <v>45056.1316782407</v>
      </c>
      <c r="K1764" s="1" t="n">
        <v>1</v>
      </c>
      <c r="L1764" s="144" t="n">
        <v>52</v>
      </c>
      <c r="M1764" s="1" t="n">
        <v>51</v>
      </c>
      <c r="N1764" s="1" t="n">
        <v>51</v>
      </c>
      <c r="O1764" s="149" t="n">
        <v>19</v>
      </c>
    </row>
    <row r="1765" customFormat="false" ht="14.25" hidden="false" customHeight="false" outlineLevel="0" collapsed="false">
      <c r="A1765" s="1" t="n">
        <v>45</v>
      </c>
      <c r="B1765" s="1" t="s">
        <v>477</v>
      </c>
      <c r="C1765" s="143" t="n">
        <v>91601</v>
      </c>
      <c r="D1765" s="143" t="s">
        <v>64</v>
      </c>
      <c r="E1765" s="143" t="s">
        <v>474</v>
      </c>
      <c r="F1765" s="144" t="n">
        <v>200025889784</v>
      </c>
      <c r="G1765" s="144" t="s">
        <v>330</v>
      </c>
      <c r="H1765" s="144" t="n">
        <v>52</v>
      </c>
      <c r="I1765" s="144" t="s">
        <v>148</v>
      </c>
      <c r="J1765" s="152" t="n">
        <v>45056.132025463</v>
      </c>
      <c r="K1765" s="1" t="n">
        <v>1</v>
      </c>
      <c r="L1765" s="144" t="n">
        <v>52</v>
      </c>
      <c r="M1765" s="1" t="n">
        <v>51</v>
      </c>
      <c r="N1765" s="1" t="n">
        <v>51</v>
      </c>
      <c r="O1765" s="149" t="n">
        <v>20</v>
      </c>
    </row>
    <row r="1766" customFormat="false" ht="14.25" hidden="false" customHeight="false" outlineLevel="0" collapsed="false">
      <c r="A1766" s="1" t="n">
        <v>46</v>
      </c>
      <c r="B1766" s="1" t="s">
        <v>477</v>
      </c>
      <c r="C1766" s="143" t="n">
        <v>91601</v>
      </c>
      <c r="D1766" s="143" t="s">
        <v>64</v>
      </c>
      <c r="E1766" s="143" t="s">
        <v>474</v>
      </c>
      <c r="F1766" s="144" t="n">
        <v>200025889784</v>
      </c>
      <c r="G1766" s="144" t="s">
        <v>330</v>
      </c>
      <c r="H1766" s="144" t="n">
        <v>52</v>
      </c>
      <c r="I1766" s="144" t="s">
        <v>148</v>
      </c>
      <c r="J1766" s="152" t="n">
        <v>45056.1321643519</v>
      </c>
      <c r="K1766" s="1" t="n">
        <v>1</v>
      </c>
      <c r="L1766" s="144" t="n">
        <v>52</v>
      </c>
      <c r="M1766" s="1" t="n">
        <v>51</v>
      </c>
      <c r="N1766" s="1" t="n">
        <v>51</v>
      </c>
      <c r="O1766" s="149" t="n">
        <v>21</v>
      </c>
    </row>
    <row r="1767" customFormat="false" ht="14.25" hidden="false" customHeight="false" outlineLevel="0" collapsed="false">
      <c r="A1767" s="1" t="n">
        <v>47</v>
      </c>
      <c r="B1767" s="1" t="s">
        <v>477</v>
      </c>
      <c r="C1767" s="143" t="n">
        <v>91601</v>
      </c>
      <c r="D1767" s="143" t="s">
        <v>64</v>
      </c>
      <c r="E1767" s="143" t="s">
        <v>474</v>
      </c>
      <c r="F1767" s="144" t="n">
        <v>200025889784</v>
      </c>
      <c r="G1767" s="144" t="s">
        <v>330</v>
      </c>
      <c r="H1767" s="144" t="n">
        <v>52</v>
      </c>
      <c r="I1767" s="144" t="s">
        <v>148</v>
      </c>
      <c r="J1767" s="152" t="n">
        <v>45056.1323958333</v>
      </c>
      <c r="K1767" s="1" t="n">
        <v>1</v>
      </c>
      <c r="L1767" s="144" t="n">
        <v>52</v>
      </c>
      <c r="M1767" s="1" t="n">
        <v>51</v>
      </c>
      <c r="N1767" s="1" t="n">
        <v>51</v>
      </c>
      <c r="O1767" s="149" t="n">
        <v>22</v>
      </c>
    </row>
    <row r="1768" customFormat="false" ht="14.25" hidden="false" customHeight="false" outlineLevel="0" collapsed="false">
      <c r="A1768" s="1" t="n">
        <v>48</v>
      </c>
      <c r="B1768" s="1" t="s">
        <v>477</v>
      </c>
      <c r="C1768" s="143" t="n">
        <v>91601</v>
      </c>
      <c r="D1768" s="143" t="s">
        <v>64</v>
      </c>
      <c r="E1768" s="143" t="s">
        <v>474</v>
      </c>
      <c r="F1768" s="144" t="n">
        <v>200025889784</v>
      </c>
      <c r="G1768" s="144" t="s">
        <v>330</v>
      </c>
      <c r="H1768" s="144" t="n">
        <v>52</v>
      </c>
      <c r="I1768" s="144" t="s">
        <v>148</v>
      </c>
      <c r="J1768" s="152" t="n">
        <v>45056.1324074074</v>
      </c>
      <c r="K1768" s="1" t="n">
        <v>2</v>
      </c>
      <c r="L1768" s="144" t="n">
        <v>52</v>
      </c>
      <c r="M1768" s="1" t="n">
        <v>51</v>
      </c>
      <c r="N1768" s="1" t="n">
        <v>51</v>
      </c>
      <c r="O1768" s="149" t="n">
        <v>23</v>
      </c>
    </row>
    <row r="1769" customFormat="false" ht="14.25" hidden="false" customHeight="false" outlineLevel="0" collapsed="false">
      <c r="A1769" s="1" t="n">
        <v>49</v>
      </c>
      <c r="B1769" s="1" t="s">
        <v>477</v>
      </c>
      <c r="C1769" s="143" t="n">
        <v>91601</v>
      </c>
      <c r="D1769" s="143" t="s">
        <v>64</v>
      </c>
      <c r="E1769" s="143" t="s">
        <v>474</v>
      </c>
      <c r="F1769" s="144" t="n">
        <v>200025889784</v>
      </c>
      <c r="G1769" s="144" t="s">
        <v>330</v>
      </c>
      <c r="H1769" s="144" t="n">
        <v>52</v>
      </c>
      <c r="I1769" s="144" t="s">
        <v>148</v>
      </c>
      <c r="J1769" s="152" t="n">
        <v>45056.1325925926</v>
      </c>
      <c r="K1769" s="1" t="n">
        <v>2</v>
      </c>
      <c r="L1769" s="144" t="n">
        <v>52</v>
      </c>
      <c r="M1769" s="1" t="n">
        <v>51</v>
      </c>
      <c r="N1769" s="1" t="n">
        <v>51</v>
      </c>
      <c r="O1769" s="149" t="n">
        <v>24</v>
      </c>
    </row>
    <row r="1770" customFormat="false" ht="14.25" hidden="false" customHeight="false" outlineLevel="0" collapsed="false">
      <c r="A1770" s="1" t="n">
        <v>50</v>
      </c>
      <c r="B1770" s="1" t="s">
        <v>477</v>
      </c>
      <c r="C1770" s="143" t="n">
        <v>91601</v>
      </c>
      <c r="D1770" s="143" t="s">
        <v>64</v>
      </c>
      <c r="E1770" s="143" t="s">
        <v>474</v>
      </c>
      <c r="F1770" s="144" t="n">
        <v>200025889784</v>
      </c>
      <c r="G1770" s="144" t="s">
        <v>330</v>
      </c>
      <c r="H1770" s="144" t="n">
        <v>52</v>
      </c>
      <c r="I1770" s="144" t="s">
        <v>148</v>
      </c>
      <c r="J1770" s="152" t="n">
        <v>45056.1330671296</v>
      </c>
      <c r="K1770" s="1" t="n">
        <v>0</v>
      </c>
      <c r="L1770" s="144" t="n">
        <v>52</v>
      </c>
      <c r="M1770" s="1" t="n">
        <v>51</v>
      </c>
      <c r="N1770" s="1" t="n">
        <v>51</v>
      </c>
      <c r="O1770" s="149" t="n">
        <v>25</v>
      </c>
    </row>
    <row r="1771" customFormat="false" ht="14.25" hidden="false" customHeight="false" outlineLevel="0" collapsed="false">
      <c r="A1771" s="1" t="n">
        <v>51</v>
      </c>
      <c r="B1771" s="1" t="s">
        <v>477</v>
      </c>
      <c r="C1771" s="143" t="n">
        <v>91601</v>
      </c>
      <c r="D1771" s="143" t="s">
        <v>64</v>
      </c>
      <c r="E1771" s="143" t="s">
        <v>474</v>
      </c>
      <c r="F1771" s="144" t="n">
        <v>200025889784</v>
      </c>
      <c r="G1771" s="144" t="s">
        <v>330</v>
      </c>
      <c r="H1771" s="144" t="n">
        <v>52</v>
      </c>
      <c r="I1771" s="144" t="s">
        <v>148</v>
      </c>
      <c r="J1771" s="152" t="n">
        <v>45056.1335300926</v>
      </c>
      <c r="K1771" s="1" t="n">
        <v>1</v>
      </c>
      <c r="L1771" s="144" t="n">
        <v>52</v>
      </c>
      <c r="M1771" s="1" t="n">
        <v>51</v>
      </c>
      <c r="N1771" s="1" t="n">
        <v>51</v>
      </c>
      <c r="O1771" s="149" t="n">
        <v>26</v>
      </c>
    </row>
    <row r="1772" customFormat="false" ht="14.25" hidden="false" customHeight="false" outlineLevel="0" collapsed="false">
      <c r="A1772" s="1" t="n">
        <v>52</v>
      </c>
      <c r="B1772" s="1" t="s">
        <v>477</v>
      </c>
      <c r="C1772" s="143" t="n">
        <v>91601</v>
      </c>
      <c r="D1772" s="143" t="s">
        <v>64</v>
      </c>
      <c r="E1772" s="143" t="s">
        <v>474</v>
      </c>
      <c r="F1772" s="144" t="n">
        <v>200025889784</v>
      </c>
      <c r="G1772" s="144" t="s">
        <v>330</v>
      </c>
      <c r="H1772" s="144" t="n">
        <v>52</v>
      </c>
      <c r="I1772" s="144" t="s">
        <v>148</v>
      </c>
      <c r="J1772" s="152" t="n">
        <v>45056.1337037037</v>
      </c>
      <c r="K1772" s="1" t="n">
        <v>3</v>
      </c>
      <c r="L1772" s="144" t="n">
        <v>52</v>
      </c>
      <c r="M1772" s="1" t="n">
        <v>51</v>
      </c>
      <c r="N1772" s="1" t="n">
        <v>51</v>
      </c>
      <c r="O1772" s="149" t="n">
        <v>27</v>
      </c>
    </row>
    <row r="1773" customFormat="false" ht="14.25" hidden="false" customHeight="false" outlineLevel="0" collapsed="false">
      <c r="A1773" s="1" t="n">
        <v>53</v>
      </c>
      <c r="B1773" s="1" t="s">
        <v>477</v>
      </c>
      <c r="C1773" s="143" t="n">
        <v>91601</v>
      </c>
      <c r="D1773" s="143" t="s">
        <v>64</v>
      </c>
      <c r="E1773" s="143" t="s">
        <v>474</v>
      </c>
      <c r="F1773" s="144" t="n">
        <v>200025889784</v>
      </c>
      <c r="G1773" s="144" t="s">
        <v>330</v>
      </c>
      <c r="H1773" s="144" t="n">
        <v>52</v>
      </c>
      <c r="I1773" s="144" t="s">
        <v>148</v>
      </c>
      <c r="J1773" s="152" t="n">
        <v>45056.1338541667</v>
      </c>
      <c r="K1773" s="1" t="n">
        <v>1</v>
      </c>
      <c r="L1773" s="144" t="n">
        <v>52</v>
      </c>
      <c r="M1773" s="1" t="n">
        <v>51</v>
      </c>
      <c r="N1773" s="1" t="n">
        <v>51</v>
      </c>
      <c r="O1773" s="149" t="n">
        <v>28</v>
      </c>
    </row>
    <row r="1774" customFormat="false" ht="14.25" hidden="false" customHeight="false" outlineLevel="0" collapsed="false">
      <c r="A1774" s="1" t="n">
        <v>54</v>
      </c>
      <c r="B1774" s="1" t="s">
        <v>477</v>
      </c>
      <c r="C1774" s="143" t="n">
        <v>91601</v>
      </c>
      <c r="D1774" s="143" t="s">
        <v>64</v>
      </c>
      <c r="E1774" s="143" t="s">
        <v>474</v>
      </c>
      <c r="F1774" s="144" t="n">
        <v>200025889784</v>
      </c>
      <c r="G1774" s="144" t="s">
        <v>330</v>
      </c>
      <c r="H1774" s="144" t="n">
        <v>52</v>
      </c>
      <c r="I1774" s="144" t="s">
        <v>148</v>
      </c>
      <c r="J1774" s="152" t="n">
        <v>45056.1345949074</v>
      </c>
      <c r="K1774" s="1" t="n">
        <v>1</v>
      </c>
      <c r="L1774" s="144" t="n">
        <v>52</v>
      </c>
      <c r="M1774" s="1" t="n">
        <v>51</v>
      </c>
      <c r="N1774" s="1" t="n">
        <v>51</v>
      </c>
      <c r="O1774" s="149" t="n">
        <v>29</v>
      </c>
    </row>
    <row r="1775" customFormat="false" ht="14.25" hidden="false" customHeight="false" outlineLevel="0" collapsed="false">
      <c r="A1775" s="1" t="n">
        <v>55</v>
      </c>
      <c r="B1775" s="1" t="s">
        <v>477</v>
      </c>
      <c r="C1775" s="143" t="n">
        <v>91601</v>
      </c>
      <c r="D1775" s="143" t="s">
        <v>64</v>
      </c>
      <c r="E1775" s="143" t="s">
        <v>474</v>
      </c>
      <c r="F1775" s="144" t="n">
        <v>200025889784</v>
      </c>
      <c r="G1775" s="144" t="s">
        <v>330</v>
      </c>
      <c r="H1775" s="144" t="n">
        <v>52</v>
      </c>
      <c r="I1775" s="144" t="s">
        <v>148</v>
      </c>
      <c r="J1775" s="152" t="n">
        <v>45056.1346180556</v>
      </c>
      <c r="K1775" s="1" t="n">
        <v>1</v>
      </c>
      <c r="L1775" s="144" t="n">
        <v>52</v>
      </c>
      <c r="M1775" s="1" t="n">
        <v>51</v>
      </c>
      <c r="N1775" s="1" t="n">
        <v>51</v>
      </c>
      <c r="O1775" s="149" t="n">
        <v>30</v>
      </c>
    </row>
    <row r="1776" customFormat="false" ht="14.25" hidden="false" customHeight="false" outlineLevel="0" collapsed="false">
      <c r="A1776" s="1" t="n">
        <v>56</v>
      </c>
      <c r="B1776" s="1" t="s">
        <v>477</v>
      </c>
      <c r="C1776" s="143" t="n">
        <v>91601</v>
      </c>
      <c r="D1776" s="143" t="s">
        <v>64</v>
      </c>
      <c r="E1776" s="143" t="s">
        <v>474</v>
      </c>
      <c r="F1776" s="144" t="n">
        <v>200025889784</v>
      </c>
      <c r="G1776" s="144" t="s">
        <v>330</v>
      </c>
      <c r="H1776" s="144" t="n">
        <v>52</v>
      </c>
      <c r="I1776" s="144" t="s">
        <v>148</v>
      </c>
      <c r="J1776" s="152" t="n">
        <v>45056.1347569445</v>
      </c>
      <c r="K1776" s="1" t="n">
        <v>1</v>
      </c>
      <c r="L1776" s="144" t="n">
        <v>52</v>
      </c>
      <c r="M1776" s="1" t="n">
        <v>51</v>
      </c>
      <c r="N1776" s="1" t="n">
        <v>51</v>
      </c>
      <c r="O1776" s="149" t="n">
        <v>31</v>
      </c>
    </row>
    <row r="1777" customFormat="false" ht="14.25" hidden="false" customHeight="false" outlineLevel="0" collapsed="false">
      <c r="A1777" s="1" t="n">
        <v>57</v>
      </c>
      <c r="B1777" s="1" t="s">
        <v>477</v>
      </c>
      <c r="C1777" s="143" t="n">
        <v>91601</v>
      </c>
      <c r="D1777" s="143" t="s">
        <v>64</v>
      </c>
      <c r="E1777" s="143" t="s">
        <v>474</v>
      </c>
      <c r="F1777" s="144" t="n">
        <v>200025889784</v>
      </c>
      <c r="G1777" s="144" t="s">
        <v>330</v>
      </c>
      <c r="H1777" s="144" t="n">
        <v>52</v>
      </c>
      <c r="I1777" s="144" t="s">
        <v>148</v>
      </c>
      <c r="J1777" s="152" t="n">
        <v>45056.1353472222</v>
      </c>
      <c r="K1777" s="1" t="n">
        <v>1</v>
      </c>
      <c r="L1777" s="144" t="n">
        <v>52</v>
      </c>
      <c r="M1777" s="1" t="n">
        <v>51</v>
      </c>
      <c r="N1777" s="1" t="n">
        <v>51</v>
      </c>
      <c r="O1777" s="149" t="n">
        <v>32</v>
      </c>
    </row>
    <row r="1778" customFormat="false" ht="14.25" hidden="false" customHeight="false" outlineLevel="0" collapsed="false">
      <c r="A1778" s="1" t="n">
        <v>58</v>
      </c>
      <c r="B1778" s="1" t="s">
        <v>477</v>
      </c>
      <c r="C1778" s="143" t="n">
        <v>91601</v>
      </c>
      <c r="D1778" s="143" t="s">
        <v>64</v>
      </c>
      <c r="E1778" s="143" t="s">
        <v>474</v>
      </c>
      <c r="F1778" s="144" t="n">
        <v>200025889784</v>
      </c>
      <c r="G1778" s="144" t="s">
        <v>330</v>
      </c>
      <c r="H1778" s="144" t="n">
        <v>52</v>
      </c>
      <c r="I1778" s="144" t="s">
        <v>148</v>
      </c>
      <c r="J1778" s="152" t="n">
        <v>45056.1369328704</v>
      </c>
      <c r="K1778" s="1" t="n">
        <v>1</v>
      </c>
      <c r="L1778" s="144" t="n">
        <v>52</v>
      </c>
      <c r="M1778" s="1" t="n">
        <v>51</v>
      </c>
      <c r="N1778" s="1" t="n">
        <v>51</v>
      </c>
      <c r="O1778" s="149" t="n">
        <v>33</v>
      </c>
    </row>
    <row r="1779" customFormat="false" ht="14.25" hidden="false" customHeight="false" outlineLevel="0" collapsed="false">
      <c r="A1779" s="1" t="n">
        <v>59</v>
      </c>
      <c r="B1779" s="1" t="s">
        <v>477</v>
      </c>
      <c r="C1779" s="143" t="n">
        <v>91601</v>
      </c>
      <c r="D1779" s="143" t="s">
        <v>64</v>
      </c>
      <c r="E1779" s="143" t="s">
        <v>474</v>
      </c>
      <c r="F1779" s="144" t="n">
        <v>200025889784</v>
      </c>
      <c r="G1779" s="144" t="s">
        <v>330</v>
      </c>
      <c r="H1779" s="144" t="n">
        <v>52</v>
      </c>
      <c r="I1779" s="144" t="s">
        <v>148</v>
      </c>
      <c r="J1779" s="152" t="n">
        <v>45056.1377199074</v>
      </c>
      <c r="K1779" s="1" t="n">
        <v>1</v>
      </c>
      <c r="L1779" s="144" t="n">
        <v>52</v>
      </c>
      <c r="M1779" s="1" t="n">
        <v>51</v>
      </c>
      <c r="N1779" s="1" t="n">
        <v>51</v>
      </c>
      <c r="O1779" s="149" t="n">
        <v>34</v>
      </c>
    </row>
    <row r="1780" customFormat="false" ht="14.25" hidden="false" customHeight="false" outlineLevel="0" collapsed="false">
      <c r="A1780" s="1" t="n">
        <v>60</v>
      </c>
      <c r="B1780" s="1" t="s">
        <v>477</v>
      </c>
      <c r="C1780" s="143" t="n">
        <v>91601</v>
      </c>
      <c r="D1780" s="143" t="s">
        <v>64</v>
      </c>
      <c r="E1780" s="143" t="s">
        <v>474</v>
      </c>
      <c r="F1780" s="144" t="n">
        <v>200025889784</v>
      </c>
      <c r="G1780" s="144" t="s">
        <v>330</v>
      </c>
      <c r="H1780" s="144" t="n">
        <v>52</v>
      </c>
      <c r="I1780" s="144" t="s">
        <v>148</v>
      </c>
      <c r="J1780" s="152" t="n">
        <v>45056.1379050926</v>
      </c>
      <c r="K1780" s="1" t="n">
        <v>0</v>
      </c>
      <c r="L1780" s="144" t="n">
        <v>52</v>
      </c>
      <c r="M1780" s="1" t="n">
        <v>51</v>
      </c>
      <c r="N1780" s="1" t="n">
        <v>51</v>
      </c>
      <c r="O1780" s="149" t="n">
        <v>35</v>
      </c>
    </row>
    <row r="1781" customFormat="false" ht="14.25" hidden="false" customHeight="false" outlineLevel="0" collapsed="false">
      <c r="A1781" s="1" t="n">
        <v>61</v>
      </c>
      <c r="B1781" s="1" t="s">
        <v>477</v>
      </c>
      <c r="C1781" s="143" t="n">
        <v>91601</v>
      </c>
      <c r="D1781" s="143" t="s">
        <v>64</v>
      </c>
      <c r="E1781" s="143" t="s">
        <v>474</v>
      </c>
      <c r="F1781" s="144" t="n">
        <v>200025889784</v>
      </c>
      <c r="G1781" s="144" t="s">
        <v>330</v>
      </c>
      <c r="H1781" s="144" t="n">
        <v>52</v>
      </c>
      <c r="I1781" s="144" t="s">
        <v>148</v>
      </c>
      <c r="J1781" s="152" t="n">
        <v>45056.1385763889</v>
      </c>
      <c r="K1781" s="1" t="n">
        <v>0</v>
      </c>
      <c r="L1781" s="144" t="n">
        <v>52</v>
      </c>
      <c r="M1781" s="1" t="n">
        <v>51</v>
      </c>
      <c r="N1781" s="1" t="n">
        <v>51</v>
      </c>
      <c r="O1781" s="149" t="n">
        <v>36</v>
      </c>
    </row>
    <row r="1782" customFormat="false" ht="14.25" hidden="false" customHeight="false" outlineLevel="0" collapsed="false">
      <c r="A1782" s="1" t="n">
        <v>62</v>
      </c>
      <c r="B1782" s="1" t="s">
        <v>477</v>
      </c>
      <c r="C1782" s="143" t="n">
        <v>91601</v>
      </c>
      <c r="D1782" s="143" t="s">
        <v>64</v>
      </c>
      <c r="E1782" s="143" t="s">
        <v>474</v>
      </c>
      <c r="F1782" s="144" t="n">
        <v>200025889784</v>
      </c>
      <c r="G1782" s="144" t="s">
        <v>330</v>
      </c>
      <c r="H1782" s="144" t="n">
        <v>52</v>
      </c>
      <c r="I1782" s="144" t="s">
        <v>148</v>
      </c>
      <c r="J1782" s="152" t="n">
        <v>45056.1418287037</v>
      </c>
      <c r="K1782" s="1" t="n">
        <v>2</v>
      </c>
      <c r="L1782" s="144" t="n">
        <v>52</v>
      </c>
      <c r="M1782" s="1" t="n">
        <v>51</v>
      </c>
      <c r="N1782" s="1" t="n">
        <v>51</v>
      </c>
      <c r="O1782" s="149" t="n">
        <v>37</v>
      </c>
    </row>
    <row r="1783" customFormat="false" ht="14.25" hidden="false" customHeight="false" outlineLevel="0" collapsed="false">
      <c r="A1783" s="1" t="n">
        <v>63</v>
      </c>
      <c r="B1783" s="1" t="s">
        <v>477</v>
      </c>
      <c r="C1783" s="143" t="n">
        <v>91601</v>
      </c>
      <c r="D1783" s="143" t="s">
        <v>64</v>
      </c>
      <c r="E1783" s="143" t="s">
        <v>474</v>
      </c>
      <c r="F1783" s="144" t="n">
        <v>200025889784</v>
      </c>
      <c r="G1783" s="144" t="s">
        <v>330</v>
      </c>
      <c r="H1783" s="144" t="n">
        <v>52</v>
      </c>
      <c r="I1783" s="144" t="s">
        <v>148</v>
      </c>
      <c r="J1783" s="152" t="n">
        <v>45056.1424652778</v>
      </c>
      <c r="K1783" s="1" t="n">
        <v>3</v>
      </c>
      <c r="L1783" s="144" t="n">
        <v>52</v>
      </c>
      <c r="M1783" s="1" t="n">
        <v>51</v>
      </c>
      <c r="N1783" s="1" t="n">
        <v>51</v>
      </c>
      <c r="O1783" s="149" t="n">
        <v>38</v>
      </c>
    </row>
    <row r="1784" customFormat="false" ht="14.25" hidden="false" customHeight="false" outlineLevel="0" collapsed="false">
      <c r="A1784" s="1" t="n">
        <v>64</v>
      </c>
      <c r="B1784" s="1" t="s">
        <v>477</v>
      </c>
      <c r="C1784" s="143" t="n">
        <v>91601</v>
      </c>
      <c r="D1784" s="143" t="s">
        <v>64</v>
      </c>
      <c r="E1784" s="143" t="s">
        <v>474</v>
      </c>
      <c r="F1784" s="144" t="n">
        <v>200025889784</v>
      </c>
      <c r="G1784" s="144" t="s">
        <v>330</v>
      </c>
      <c r="H1784" s="144" t="n">
        <v>52</v>
      </c>
      <c r="I1784" s="144" t="s">
        <v>148</v>
      </c>
      <c r="J1784" s="152" t="n">
        <v>45056.1434375</v>
      </c>
      <c r="K1784" s="1" t="n">
        <v>2</v>
      </c>
      <c r="L1784" s="144" t="n">
        <v>52</v>
      </c>
      <c r="M1784" s="1" t="n">
        <v>51</v>
      </c>
      <c r="N1784" s="1" t="n">
        <v>51</v>
      </c>
      <c r="O1784" s="149" t="n">
        <v>39</v>
      </c>
    </row>
    <row r="1785" customFormat="false" ht="14.25" hidden="false" customHeight="false" outlineLevel="0" collapsed="false">
      <c r="A1785" s="1" t="n">
        <v>65</v>
      </c>
      <c r="B1785" s="1" t="s">
        <v>477</v>
      </c>
      <c r="C1785" s="143" t="n">
        <v>91601</v>
      </c>
      <c r="D1785" s="143" t="s">
        <v>64</v>
      </c>
      <c r="E1785" s="143" t="s">
        <v>474</v>
      </c>
      <c r="F1785" s="144" t="n">
        <v>200025889784</v>
      </c>
      <c r="G1785" s="144" t="s">
        <v>330</v>
      </c>
      <c r="H1785" s="144" t="n">
        <v>52</v>
      </c>
      <c r="I1785" s="144" t="s">
        <v>148</v>
      </c>
      <c r="J1785" s="152" t="n">
        <v>45056.1439583333</v>
      </c>
      <c r="K1785" s="1" t="n">
        <v>1</v>
      </c>
      <c r="L1785" s="144" t="n">
        <v>52</v>
      </c>
      <c r="M1785" s="1" t="n">
        <v>51</v>
      </c>
      <c r="N1785" s="1" t="n">
        <v>51</v>
      </c>
      <c r="O1785" s="149" t="n">
        <v>40</v>
      </c>
    </row>
    <row r="1786" customFormat="false" ht="14.25" hidden="false" customHeight="false" outlineLevel="0" collapsed="false">
      <c r="A1786" s="1" t="n">
        <v>66</v>
      </c>
      <c r="B1786" s="1" t="s">
        <v>477</v>
      </c>
      <c r="C1786" s="143" t="n">
        <v>91601</v>
      </c>
      <c r="D1786" s="143" t="s">
        <v>64</v>
      </c>
      <c r="E1786" s="143" t="s">
        <v>474</v>
      </c>
      <c r="F1786" s="144" t="n">
        <v>200025889784</v>
      </c>
      <c r="G1786" s="144" t="s">
        <v>330</v>
      </c>
      <c r="H1786" s="144" t="n">
        <v>52</v>
      </c>
      <c r="I1786" s="144" t="s">
        <v>148</v>
      </c>
      <c r="J1786" s="152" t="n">
        <v>45056.1447569444</v>
      </c>
      <c r="K1786" s="1" t="n">
        <v>2</v>
      </c>
      <c r="L1786" s="144" t="n">
        <v>52</v>
      </c>
      <c r="M1786" s="1" t="n">
        <v>51</v>
      </c>
      <c r="N1786" s="1" t="n">
        <v>51</v>
      </c>
      <c r="O1786" s="149" t="n">
        <v>41</v>
      </c>
    </row>
    <row r="1787" customFormat="false" ht="14.25" hidden="false" customHeight="false" outlineLevel="0" collapsed="false">
      <c r="A1787" s="1" t="n">
        <v>67</v>
      </c>
      <c r="B1787" s="1" t="s">
        <v>477</v>
      </c>
      <c r="C1787" s="143" t="n">
        <v>91601</v>
      </c>
      <c r="D1787" s="143" t="s">
        <v>64</v>
      </c>
      <c r="E1787" s="143" t="s">
        <v>474</v>
      </c>
      <c r="F1787" s="144" t="n">
        <v>200025889784</v>
      </c>
      <c r="G1787" s="144" t="s">
        <v>330</v>
      </c>
      <c r="H1787" s="144" t="n">
        <v>52</v>
      </c>
      <c r="I1787" s="144" t="s">
        <v>148</v>
      </c>
      <c r="J1787" s="152" t="n">
        <v>45056.1458449074</v>
      </c>
      <c r="K1787" s="1" t="n">
        <v>0</v>
      </c>
      <c r="L1787" s="144" t="n">
        <v>52</v>
      </c>
      <c r="M1787" s="1" t="n">
        <v>51</v>
      </c>
      <c r="N1787" s="1" t="n">
        <v>51</v>
      </c>
      <c r="O1787" s="149" t="n">
        <v>42</v>
      </c>
    </row>
    <row r="1788" customFormat="false" ht="14.25" hidden="false" customHeight="false" outlineLevel="0" collapsed="false">
      <c r="A1788" s="1" t="n">
        <v>68</v>
      </c>
      <c r="B1788" s="1" t="s">
        <v>477</v>
      </c>
      <c r="C1788" s="143" t="n">
        <v>91601</v>
      </c>
      <c r="D1788" s="143" t="s">
        <v>64</v>
      </c>
      <c r="E1788" s="143" t="s">
        <v>474</v>
      </c>
      <c r="F1788" s="144" t="n">
        <v>200025889784</v>
      </c>
      <c r="G1788" s="144" t="s">
        <v>330</v>
      </c>
      <c r="H1788" s="144" t="n">
        <v>52</v>
      </c>
      <c r="I1788" s="144" t="s">
        <v>148</v>
      </c>
      <c r="J1788" s="152" t="n">
        <v>45056.1472453704</v>
      </c>
      <c r="K1788" s="1" t="n">
        <v>0</v>
      </c>
      <c r="L1788" s="144" t="n">
        <v>52</v>
      </c>
      <c r="M1788" s="1" t="n">
        <v>51</v>
      </c>
      <c r="N1788" s="1" t="n">
        <v>51</v>
      </c>
      <c r="O1788" s="149" t="n">
        <v>43</v>
      </c>
    </row>
    <row r="1789" customFormat="false" ht="14.25" hidden="false" customHeight="false" outlineLevel="0" collapsed="false">
      <c r="A1789" s="1" t="n">
        <v>69</v>
      </c>
      <c r="B1789" s="1" t="s">
        <v>477</v>
      </c>
      <c r="C1789" s="143" t="n">
        <v>91601</v>
      </c>
      <c r="D1789" s="143" t="s">
        <v>64</v>
      </c>
      <c r="E1789" s="143" t="s">
        <v>474</v>
      </c>
      <c r="F1789" s="144" t="n">
        <v>200025889784</v>
      </c>
      <c r="G1789" s="144" t="s">
        <v>330</v>
      </c>
      <c r="H1789" s="144" t="n">
        <v>52</v>
      </c>
      <c r="I1789" s="144" t="s">
        <v>148</v>
      </c>
      <c r="J1789" s="152" t="n">
        <v>45056.1477662037</v>
      </c>
      <c r="K1789" s="1" t="n">
        <v>2</v>
      </c>
      <c r="L1789" s="144" t="n">
        <v>52</v>
      </c>
      <c r="M1789" s="1" t="n">
        <v>51</v>
      </c>
      <c r="N1789" s="1" t="n">
        <v>51</v>
      </c>
      <c r="O1789" s="149" t="n">
        <v>44</v>
      </c>
    </row>
    <row r="1790" customFormat="false" ht="14.25" hidden="false" customHeight="false" outlineLevel="0" collapsed="false">
      <c r="A1790" s="1" t="n">
        <v>70</v>
      </c>
      <c r="B1790" s="1" t="s">
        <v>477</v>
      </c>
      <c r="C1790" s="143" t="n">
        <v>91601</v>
      </c>
      <c r="D1790" s="143" t="s">
        <v>64</v>
      </c>
      <c r="E1790" s="143" t="s">
        <v>474</v>
      </c>
      <c r="F1790" s="144" t="n">
        <v>200025889784</v>
      </c>
      <c r="G1790" s="144" t="s">
        <v>330</v>
      </c>
      <c r="H1790" s="144" t="n">
        <v>52</v>
      </c>
      <c r="I1790" s="144" t="s">
        <v>148</v>
      </c>
      <c r="J1790" s="152" t="n">
        <v>45056.1525231482</v>
      </c>
      <c r="K1790" s="1" t="n">
        <v>2</v>
      </c>
      <c r="L1790" s="144" t="n">
        <v>52</v>
      </c>
      <c r="M1790" s="1" t="n">
        <v>51</v>
      </c>
      <c r="N1790" s="1" t="n">
        <v>51</v>
      </c>
      <c r="O1790" s="149" t="n">
        <v>45</v>
      </c>
    </row>
    <row r="1791" customFormat="false" ht="14.25" hidden="false" customHeight="false" outlineLevel="0" collapsed="false">
      <c r="A1791" s="1" t="n">
        <v>71</v>
      </c>
      <c r="B1791" s="1" t="s">
        <v>477</v>
      </c>
      <c r="C1791" s="143" t="n">
        <v>91601</v>
      </c>
      <c r="D1791" s="143" t="s">
        <v>64</v>
      </c>
      <c r="E1791" s="143" t="s">
        <v>474</v>
      </c>
      <c r="F1791" s="144" t="n">
        <v>200025889784</v>
      </c>
      <c r="G1791" s="144" t="s">
        <v>330</v>
      </c>
      <c r="H1791" s="144" t="n">
        <v>52</v>
      </c>
      <c r="I1791" s="144" t="s">
        <v>148</v>
      </c>
      <c r="J1791" s="152" t="n">
        <v>45056.1550347222</v>
      </c>
      <c r="K1791" s="1" t="n">
        <v>0</v>
      </c>
      <c r="L1791" s="144" t="n">
        <v>52</v>
      </c>
      <c r="M1791" s="1" t="n">
        <v>51</v>
      </c>
      <c r="N1791" s="1" t="n">
        <v>51</v>
      </c>
      <c r="O1791" s="149" t="n">
        <v>46</v>
      </c>
    </row>
    <row r="1792" customFormat="false" ht="14.25" hidden="false" customHeight="false" outlineLevel="0" collapsed="false">
      <c r="A1792" s="1" t="n">
        <v>72</v>
      </c>
      <c r="B1792" s="1" t="s">
        <v>477</v>
      </c>
      <c r="C1792" s="143" t="n">
        <v>91601</v>
      </c>
      <c r="D1792" s="143" t="s">
        <v>64</v>
      </c>
      <c r="E1792" s="143" t="s">
        <v>474</v>
      </c>
      <c r="F1792" s="144" t="n">
        <v>200025889784</v>
      </c>
      <c r="G1792" s="144" t="s">
        <v>330</v>
      </c>
      <c r="H1792" s="144" t="n">
        <v>52</v>
      </c>
      <c r="I1792" s="144" t="s">
        <v>148</v>
      </c>
      <c r="J1792" s="152" t="n">
        <v>45056.1590972222</v>
      </c>
      <c r="K1792" s="1" t="n">
        <v>1</v>
      </c>
      <c r="L1792" s="144" t="n">
        <v>52</v>
      </c>
      <c r="M1792" s="1" t="n">
        <v>51</v>
      </c>
      <c r="N1792" s="1" t="n">
        <v>51</v>
      </c>
      <c r="O1792" s="149" t="n">
        <v>47</v>
      </c>
    </row>
    <row r="1793" customFormat="false" ht="14.25" hidden="false" customHeight="false" outlineLevel="0" collapsed="false">
      <c r="A1793" s="1" t="n">
        <v>137</v>
      </c>
      <c r="B1793" s="1" t="s">
        <v>475</v>
      </c>
      <c r="C1793" s="143" t="s">
        <v>52</v>
      </c>
      <c r="D1793" s="143" t="s">
        <v>53</v>
      </c>
      <c r="E1793" s="143" t="s">
        <v>479</v>
      </c>
      <c r="F1793" s="144" t="n">
        <v>200025889784</v>
      </c>
      <c r="G1793" s="144" t="s">
        <v>330</v>
      </c>
      <c r="H1793" s="144" t="n">
        <v>52</v>
      </c>
      <c r="I1793" s="144" t="s">
        <v>148</v>
      </c>
      <c r="J1793" s="151" t="n">
        <v>45056.3921759259</v>
      </c>
      <c r="K1793" s="1" t="n">
        <v>1</v>
      </c>
      <c r="L1793" s="144" t="n">
        <v>52</v>
      </c>
      <c r="M1793" s="1" t="n">
        <v>51</v>
      </c>
      <c r="N1793" s="1" t="n">
        <v>51</v>
      </c>
      <c r="O1793" s="149" t="n">
        <v>48</v>
      </c>
    </row>
    <row r="1794" customFormat="false" ht="14.25" hidden="false" customHeight="false" outlineLevel="0" collapsed="false">
      <c r="A1794" s="1" t="n">
        <v>162</v>
      </c>
      <c r="B1794" s="1" t="s">
        <v>473</v>
      </c>
      <c r="C1794" s="143" t="n">
        <v>11490</v>
      </c>
      <c r="D1794" s="143" t="s">
        <v>65</v>
      </c>
      <c r="E1794" s="143" t="s">
        <v>479</v>
      </c>
      <c r="F1794" s="144" t="n">
        <v>200025889784</v>
      </c>
      <c r="G1794" s="144" t="s">
        <v>330</v>
      </c>
      <c r="H1794" s="144" t="n">
        <v>52</v>
      </c>
      <c r="I1794" s="144" t="s">
        <v>148</v>
      </c>
      <c r="J1794" s="151" t="n">
        <v>45056.3984722222</v>
      </c>
      <c r="K1794" s="1" t="n">
        <v>1</v>
      </c>
      <c r="L1794" s="144" t="n">
        <v>52</v>
      </c>
      <c r="M1794" s="1" t="n">
        <v>51</v>
      </c>
      <c r="N1794" s="1" t="n">
        <v>51</v>
      </c>
      <c r="O1794" s="149" t="n">
        <v>49</v>
      </c>
    </row>
    <row r="1795" customFormat="false" ht="14.25" hidden="false" customHeight="false" outlineLevel="0" collapsed="false">
      <c r="A1795" s="1" t="n">
        <v>163</v>
      </c>
      <c r="B1795" s="1" t="s">
        <v>473</v>
      </c>
      <c r="C1795" s="143" t="n">
        <v>11490</v>
      </c>
      <c r="D1795" s="143" t="s">
        <v>65</v>
      </c>
      <c r="E1795" s="143" t="s">
        <v>479</v>
      </c>
      <c r="F1795" s="144" t="n">
        <v>200025889784</v>
      </c>
      <c r="G1795" s="144" t="s">
        <v>330</v>
      </c>
      <c r="H1795" s="144" t="n">
        <v>52</v>
      </c>
      <c r="I1795" s="144" t="s">
        <v>148</v>
      </c>
      <c r="J1795" s="151" t="n">
        <v>45056.398599537</v>
      </c>
      <c r="K1795" s="1" t="n">
        <v>1</v>
      </c>
      <c r="L1795" s="144" t="n">
        <v>52</v>
      </c>
      <c r="M1795" s="1" t="n">
        <v>51</v>
      </c>
      <c r="N1795" s="1" t="n">
        <v>51</v>
      </c>
      <c r="O1795" s="149" t="n">
        <v>50</v>
      </c>
    </row>
    <row r="1796" customFormat="false" ht="14.25" hidden="false" customHeight="false" outlineLevel="0" collapsed="false">
      <c r="A1796" s="1" t="n">
        <v>164</v>
      </c>
      <c r="B1796" s="1" t="s">
        <v>473</v>
      </c>
      <c r="C1796" s="143" t="n">
        <v>11490</v>
      </c>
      <c r="D1796" s="143" t="s">
        <v>65</v>
      </c>
      <c r="E1796" s="143" t="s">
        <v>479</v>
      </c>
      <c r="F1796" s="144" t="n">
        <v>200025889784</v>
      </c>
      <c r="G1796" s="144" t="s">
        <v>330</v>
      </c>
      <c r="H1796" s="144" t="n">
        <v>52</v>
      </c>
      <c r="I1796" s="144" t="s">
        <v>148</v>
      </c>
      <c r="J1796" s="151" t="n">
        <v>45056.3987152778</v>
      </c>
      <c r="K1796" s="1" t="n">
        <v>3</v>
      </c>
      <c r="L1796" s="144" t="n">
        <v>52</v>
      </c>
      <c r="M1796" s="1" t="n">
        <v>51</v>
      </c>
      <c r="N1796" s="1" t="n">
        <v>51</v>
      </c>
      <c r="O1796" s="149" t="n">
        <v>51</v>
      </c>
    </row>
    <row r="1797" customFormat="false" ht="14.25" hidden="false" customHeight="false" outlineLevel="0" collapsed="false">
      <c r="A1797" s="1" t="n">
        <v>165</v>
      </c>
      <c r="B1797" s="1" t="s">
        <v>473</v>
      </c>
      <c r="C1797" s="143" t="n">
        <v>11490</v>
      </c>
      <c r="D1797" s="143" t="s">
        <v>65</v>
      </c>
      <c r="E1797" s="143" t="s">
        <v>479</v>
      </c>
      <c r="F1797" s="144" t="n">
        <v>200025889784</v>
      </c>
      <c r="G1797" s="144" t="s">
        <v>330</v>
      </c>
      <c r="H1797" s="144" t="n">
        <v>52</v>
      </c>
      <c r="I1797" s="144" t="s">
        <v>148</v>
      </c>
      <c r="J1797" s="151" t="n">
        <v>45056.3988194445</v>
      </c>
      <c r="K1797" s="1" t="n">
        <v>1</v>
      </c>
      <c r="L1797" s="144" t="n">
        <v>52</v>
      </c>
      <c r="M1797" s="1" t="n">
        <v>51</v>
      </c>
      <c r="N1797" s="1" t="n">
        <v>51</v>
      </c>
      <c r="O1797" s="149" t="n">
        <v>52</v>
      </c>
    </row>
    <row r="1798" customFormat="false" ht="14.25" hidden="false" customHeight="false" outlineLevel="0" collapsed="false">
      <c r="A1798" s="1" t="n">
        <v>174</v>
      </c>
      <c r="B1798" s="1" t="s">
        <v>473</v>
      </c>
      <c r="C1798" s="143" t="n">
        <v>11490</v>
      </c>
      <c r="D1798" s="143" t="s">
        <v>65</v>
      </c>
      <c r="E1798" s="143" t="s">
        <v>479</v>
      </c>
      <c r="F1798" s="144" t="n">
        <v>200025889784</v>
      </c>
      <c r="G1798" s="144" t="s">
        <v>330</v>
      </c>
      <c r="H1798" s="144" t="n">
        <v>52</v>
      </c>
      <c r="I1798" s="144" t="s">
        <v>148</v>
      </c>
      <c r="J1798" s="151" t="n">
        <v>45056.4082175926</v>
      </c>
      <c r="K1798" s="1" t="n">
        <v>1</v>
      </c>
      <c r="L1798" s="144" t="n">
        <v>52</v>
      </c>
      <c r="M1798" s="1" t="n">
        <v>51</v>
      </c>
      <c r="N1798" s="1" t="n">
        <v>51</v>
      </c>
      <c r="O1798" s="149" t="n">
        <v>53</v>
      </c>
    </row>
    <row r="1799" customFormat="false" ht="14.25" hidden="false" customHeight="false" outlineLevel="0" collapsed="false">
      <c r="A1799" s="1" t="n">
        <v>175</v>
      </c>
      <c r="B1799" s="1" t="s">
        <v>473</v>
      </c>
      <c r="C1799" s="143" t="n">
        <v>11490</v>
      </c>
      <c r="D1799" s="143" t="s">
        <v>65</v>
      </c>
      <c r="E1799" s="143" t="s">
        <v>479</v>
      </c>
      <c r="F1799" s="144" t="n">
        <v>200025889784</v>
      </c>
      <c r="G1799" s="144" t="s">
        <v>330</v>
      </c>
      <c r="H1799" s="144" t="n">
        <v>52</v>
      </c>
      <c r="I1799" s="144" t="s">
        <v>148</v>
      </c>
      <c r="J1799" s="151" t="n">
        <v>45056.4086226852</v>
      </c>
      <c r="K1799" s="1" t="n">
        <v>0</v>
      </c>
      <c r="L1799" s="144" t="n">
        <v>52</v>
      </c>
      <c r="M1799" s="1" t="n">
        <v>51</v>
      </c>
      <c r="N1799" s="1" t="n">
        <v>51</v>
      </c>
      <c r="O1799" s="149" t="n">
        <v>54</v>
      </c>
    </row>
    <row r="1800" customFormat="false" ht="14.25" hidden="false" customHeight="false" outlineLevel="0" collapsed="false">
      <c r="A1800" s="1" t="n">
        <v>176</v>
      </c>
      <c r="B1800" s="1" t="s">
        <v>473</v>
      </c>
      <c r="C1800" s="143" t="n">
        <v>11490</v>
      </c>
      <c r="D1800" s="143" t="s">
        <v>65</v>
      </c>
      <c r="E1800" s="143" t="s">
        <v>479</v>
      </c>
      <c r="F1800" s="144" t="n">
        <v>200025889784</v>
      </c>
      <c r="G1800" s="144" t="s">
        <v>330</v>
      </c>
      <c r="H1800" s="144" t="n">
        <v>52</v>
      </c>
      <c r="I1800" s="144" t="s">
        <v>148</v>
      </c>
      <c r="J1800" s="151" t="n">
        <v>45056.4088425926</v>
      </c>
      <c r="K1800" s="1" t="n">
        <v>2</v>
      </c>
      <c r="L1800" s="144" t="n">
        <v>52</v>
      </c>
      <c r="M1800" s="1" t="n">
        <v>51</v>
      </c>
      <c r="N1800" s="1" t="n">
        <v>51</v>
      </c>
      <c r="O1800" s="149" t="n">
        <v>55</v>
      </c>
    </row>
    <row r="1801" customFormat="false" ht="14.25" hidden="false" customHeight="false" outlineLevel="0" collapsed="false">
      <c r="A1801" s="1" t="n">
        <v>177</v>
      </c>
      <c r="B1801" s="1" t="s">
        <v>473</v>
      </c>
      <c r="C1801" s="143" t="n">
        <v>11490</v>
      </c>
      <c r="D1801" s="143" t="s">
        <v>65</v>
      </c>
      <c r="E1801" s="143" t="s">
        <v>479</v>
      </c>
      <c r="F1801" s="144" t="n">
        <v>200025889784</v>
      </c>
      <c r="G1801" s="144" t="s">
        <v>330</v>
      </c>
      <c r="H1801" s="144" t="n">
        <v>52</v>
      </c>
      <c r="I1801" s="144" t="s">
        <v>148</v>
      </c>
      <c r="J1801" s="151" t="n">
        <v>45056.4089583333</v>
      </c>
      <c r="K1801" s="1" t="n">
        <v>1</v>
      </c>
      <c r="L1801" s="144" t="n">
        <v>52</v>
      </c>
      <c r="M1801" s="1" t="n">
        <v>51</v>
      </c>
      <c r="N1801" s="1" t="n">
        <v>51</v>
      </c>
      <c r="O1801" s="149" t="n">
        <v>56</v>
      </c>
    </row>
    <row r="1802" customFormat="false" ht="14.25" hidden="false" customHeight="false" outlineLevel="0" collapsed="false">
      <c r="A1802" s="1" t="n">
        <v>141</v>
      </c>
      <c r="B1802" s="1" t="s">
        <v>475</v>
      </c>
      <c r="C1802" s="143" t="s">
        <v>52</v>
      </c>
      <c r="D1802" s="143" t="s">
        <v>53</v>
      </c>
      <c r="E1802" s="143" t="s">
        <v>479</v>
      </c>
      <c r="F1802" s="144" t="n">
        <v>200025889784</v>
      </c>
      <c r="G1802" s="144" t="s">
        <v>330</v>
      </c>
      <c r="H1802" s="144" t="n">
        <v>52</v>
      </c>
      <c r="I1802" s="144" t="s">
        <v>148</v>
      </c>
      <c r="J1802" s="151" t="n">
        <v>45056.493287037</v>
      </c>
      <c r="K1802" s="1" t="n">
        <v>2</v>
      </c>
      <c r="L1802" s="144" t="n">
        <v>52</v>
      </c>
      <c r="M1802" s="1" t="n">
        <v>51</v>
      </c>
      <c r="N1802" s="1" t="n">
        <v>51</v>
      </c>
      <c r="O1802" s="149" t="n">
        <v>57</v>
      </c>
    </row>
    <row r="1803" customFormat="false" ht="14.25" hidden="false" customHeight="false" outlineLevel="0" collapsed="false">
      <c r="A1803" s="1" t="n">
        <v>142</v>
      </c>
      <c r="B1803" s="1" t="s">
        <v>475</v>
      </c>
      <c r="C1803" s="143" t="s">
        <v>52</v>
      </c>
      <c r="D1803" s="143" t="s">
        <v>53</v>
      </c>
      <c r="E1803" s="143" t="s">
        <v>479</v>
      </c>
      <c r="F1803" s="144" t="n">
        <v>200025889784</v>
      </c>
      <c r="G1803" s="144" t="s">
        <v>330</v>
      </c>
      <c r="H1803" s="144" t="n">
        <v>52</v>
      </c>
      <c r="I1803" s="144" t="s">
        <v>148</v>
      </c>
      <c r="J1803" s="151" t="n">
        <v>45056.4936111111</v>
      </c>
      <c r="K1803" s="1" t="n">
        <v>1</v>
      </c>
      <c r="L1803" s="144" t="n">
        <v>52</v>
      </c>
      <c r="M1803" s="1" t="n">
        <v>51</v>
      </c>
      <c r="N1803" s="1" t="n">
        <v>51</v>
      </c>
      <c r="O1803" s="149" t="n">
        <v>58</v>
      </c>
    </row>
    <row r="1804" customFormat="false" ht="14.25" hidden="false" customHeight="false" outlineLevel="0" collapsed="false">
      <c r="A1804" s="1" t="n">
        <v>143</v>
      </c>
      <c r="B1804" s="1" t="s">
        <v>475</v>
      </c>
      <c r="C1804" s="143" t="s">
        <v>52</v>
      </c>
      <c r="D1804" s="143" t="s">
        <v>53</v>
      </c>
      <c r="E1804" s="143" t="s">
        <v>479</v>
      </c>
      <c r="F1804" s="144" t="n">
        <v>200025889784</v>
      </c>
      <c r="G1804" s="144" t="s">
        <v>330</v>
      </c>
      <c r="H1804" s="144" t="n">
        <v>52</v>
      </c>
      <c r="I1804" s="144" t="s">
        <v>148</v>
      </c>
      <c r="J1804" s="151" t="n">
        <v>45056.4936226852</v>
      </c>
      <c r="K1804" s="1" t="n">
        <v>1</v>
      </c>
      <c r="L1804" s="144" t="n">
        <v>52</v>
      </c>
      <c r="M1804" s="1" t="n">
        <v>51</v>
      </c>
      <c r="N1804" s="1" t="n">
        <v>51</v>
      </c>
      <c r="O1804" s="149" t="n">
        <v>59</v>
      </c>
    </row>
    <row r="1805" customFormat="false" ht="14.25" hidden="false" customHeight="false" outlineLevel="0" collapsed="false">
      <c r="A1805" s="1" t="n">
        <v>192</v>
      </c>
      <c r="B1805" s="1" t="s">
        <v>473</v>
      </c>
      <c r="C1805" s="143" t="n">
        <v>11490</v>
      </c>
      <c r="D1805" s="143" t="s">
        <v>65</v>
      </c>
      <c r="E1805" s="143" t="s">
        <v>479</v>
      </c>
      <c r="F1805" s="144" t="n">
        <v>200025889784</v>
      </c>
      <c r="G1805" s="144" t="s">
        <v>330</v>
      </c>
      <c r="H1805" s="144" t="n">
        <v>52</v>
      </c>
      <c r="I1805" s="144" t="s">
        <v>148</v>
      </c>
      <c r="J1805" s="6" t="n">
        <v>45056.528287037</v>
      </c>
      <c r="K1805" s="1" t="n">
        <v>0</v>
      </c>
      <c r="L1805" s="144" t="n">
        <v>52</v>
      </c>
      <c r="M1805" s="1" t="n">
        <v>51</v>
      </c>
      <c r="N1805" s="1" t="n">
        <v>51</v>
      </c>
      <c r="O1805" s="149" t="n">
        <v>60</v>
      </c>
    </row>
    <row r="1806" customFormat="false" ht="14.25" hidden="false" customHeight="false" outlineLevel="0" collapsed="false">
      <c r="A1806" s="1" t="n">
        <v>197</v>
      </c>
      <c r="B1806" s="1" t="s">
        <v>473</v>
      </c>
      <c r="C1806" s="143" t="n">
        <v>11490</v>
      </c>
      <c r="D1806" s="143" t="s">
        <v>65</v>
      </c>
      <c r="E1806" s="143" t="s">
        <v>479</v>
      </c>
      <c r="F1806" s="144" t="s">
        <v>502</v>
      </c>
      <c r="G1806" s="144" t="s">
        <v>330</v>
      </c>
      <c r="H1806" s="144" t="n">
        <v>52</v>
      </c>
      <c r="I1806" s="144" t="s">
        <v>148</v>
      </c>
      <c r="J1806" s="6" t="n">
        <v>45056.6246527778</v>
      </c>
      <c r="K1806" s="1" t="n">
        <v>1</v>
      </c>
      <c r="L1806" s="144" t="n">
        <v>52</v>
      </c>
      <c r="M1806" s="1" t="n">
        <v>51</v>
      </c>
      <c r="N1806" s="1" t="n">
        <v>51</v>
      </c>
      <c r="O1806" s="149" t="n">
        <v>61</v>
      </c>
    </row>
    <row r="1807" customFormat="false" ht="14.25" hidden="false" customHeight="false" outlineLevel="0" collapsed="false">
      <c r="A1807" s="1" t="n">
        <v>198</v>
      </c>
      <c r="B1807" s="1" t="s">
        <v>473</v>
      </c>
      <c r="C1807" s="143" t="n">
        <v>11490</v>
      </c>
      <c r="D1807" s="143" t="s">
        <v>65</v>
      </c>
      <c r="E1807" s="143" t="s">
        <v>479</v>
      </c>
      <c r="F1807" s="144" t="n">
        <v>200025889784</v>
      </c>
      <c r="G1807" s="144" t="s">
        <v>330</v>
      </c>
      <c r="H1807" s="144" t="n">
        <v>52</v>
      </c>
      <c r="I1807" s="144" t="s">
        <v>148</v>
      </c>
      <c r="J1807" s="6" t="n">
        <v>45056.6252314815</v>
      </c>
      <c r="K1807" s="1" t="n">
        <v>2</v>
      </c>
      <c r="L1807" s="144" t="n">
        <v>52</v>
      </c>
      <c r="M1807" s="1" t="n">
        <v>51</v>
      </c>
      <c r="N1807" s="1" t="n">
        <v>51</v>
      </c>
      <c r="O1807" s="149" t="n">
        <v>62</v>
      </c>
    </row>
    <row r="1808" customFormat="false" ht="14.25" hidden="false" customHeight="false" outlineLevel="0" collapsed="false">
      <c r="A1808" s="1" t="n">
        <v>147</v>
      </c>
      <c r="B1808" s="1" t="s">
        <v>475</v>
      </c>
      <c r="C1808" s="143" t="s">
        <v>52</v>
      </c>
      <c r="D1808" s="143" t="s">
        <v>53</v>
      </c>
      <c r="E1808" s="143" t="s">
        <v>479</v>
      </c>
      <c r="F1808" s="144" t="n">
        <v>200025889784</v>
      </c>
      <c r="G1808" s="144" t="s">
        <v>330</v>
      </c>
      <c r="H1808" s="144" t="n">
        <v>52</v>
      </c>
      <c r="I1808" s="144" t="s">
        <v>148</v>
      </c>
      <c r="J1808" s="151" t="n">
        <v>45056.7338310185</v>
      </c>
      <c r="K1808" s="1" t="n">
        <v>1</v>
      </c>
      <c r="L1808" s="144" t="n">
        <v>52</v>
      </c>
      <c r="M1808" s="1" t="n">
        <v>51</v>
      </c>
      <c r="N1808" s="1" t="n">
        <v>51</v>
      </c>
      <c r="O1808" s="149" t="n">
        <v>63</v>
      </c>
    </row>
    <row r="1809" customFormat="false" ht="14.25" hidden="false" customHeight="false" outlineLevel="0" collapsed="false">
      <c r="A1809" s="1" t="n">
        <v>148</v>
      </c>
      <c r="B1809" s="1" t="s">
        <v>475</v>
      </c>
      <c r="C1809" s="143" t="s">
        <v>52</v>
      </c>
      <c r="D1809" s="143" t="s">
        <v>53</v>
      </c>
      <c r="E1809" s="143" t="s">
        <v>479</v>
      </c>
      <c r="F1809" s="144" t="n">
        <v>200025889784</v>
      </c>
      <c r="G1809" s="144" t="s">
        <v>330</v>
      </c>
      <c r="H1809" s="144" t="n">
        <v>52</v>
      </c>
      <c r="I1809" s="144" t="s">
        <v>148</v>
      </c>
      <c r="J1809" s="151" t="n">
        <v>45056.7344097222</v>
      </c>
      <c r="K1809" s="1" t="n">
        <v>2</v>
      </c>
      <c r="L1809" s="144" t="n">
        <v>52</v>
      </c>
      <c r="M1809" s="1" t="n">
        <v>51</v>
      </c>
      <c r="N1809" s="1" t="n">
        <v>51</v>
      </c>
      <c r="O1809" s="149" t="n">
        <v>64</v>
      </c>
    </row>
    <row r="1810" customFormat="false" ht="14.25" hidden="false" customHeight="false" outlineLevel="0" collapsed="false">
      <c r="A1810" s="1" t="n">
        <v>149</v>
      </c>
      <c r="B1810" s="1" t="s">
        <v>475</v>
      </c>
      <c r="C1810" s="143" t="s">
        <v>52</v>
      </c>
      <c r="D1810" s="143" t="s">
        <v>53</v>
      </c>
      <c r="E1810" s="143" t="s">
        <v>479</v>
      </c>
      <c r="F1810" s="144" t="n">
        <v>200025889784</v>
      </c>
      <c r="G1810" s="144" t="s">
        <v>330</v>
      </c>
      <c r="H1810" s="144" t="n">
        <v>52</v>
      </c>
      <c r="I1810" s="144" t="s">
        <v>148</v>
      </c>
      <c r="J1810" s="151" t="n">
        <v>45056.7356712963</v>
      </c>
      <c r="K1810" s="1" t="n">
        <v>0</v>
      </c>
      <c r="L1810" s="144" t="n">
        <v>52</v>
      </c>
      <c r="M1810" s="1" t="n">
        <v>51</v>
      </c>
      <c r="N1810" s="1" t="n">
        <v>51</v>
      </c>
      <c r="O1810" s="149" t="n">
        <v>65</v>
      </c>
    </row>
    <row r="1811" customFormat="false" ht="14.25" hidden="false" customHeight="false" outlineLevel="0" collapsed="false">
      <c r="A1811" s="1" t="n">
        <v>150</v>
      </c>
      <c r="B1811" s="1" t="s">
        <v>475</v>
      </c>
      <c r="C1811" s="143" t="s">
        <v>52</v>
      </c>
      <c r="D1811" s="143" t="s">
        <v>53</v>
      </c>
      <c r="E1811" s="143" t="s">
        <v>479</v>
      </c>
      <c r="F1811" s="144" t="n">
        <v>200025889784</v>
      </c>
      <c r="G1811" s="144" t="s">
        <v>330</v>
      </c>
      <c r="H1811" s="144" t="n">
        <v>52</v>
      </c>
      <c r="I1811" s="144" t="s">
        <v>148</v>
      </c>
      <c r="J1811" s="151" t="n">
        <v>45056.735787037</v>
      </c>
      <c r="K1811" s="1" t="n">
        <v>1</v>
      </c>
      <c r="L1811" s="144" t="n">
        <v>52</v>
      </c>
      <c r="M1811" s="1" t="n">
        <v>51</v>
      </c>
      <c r="N1811" s="1" t="n">
        <v>51</v>
      </c>
      <c r="O1811" s="149" t="n">
        <v>66</v>
      </c>
    </row>
    <row r="1812" customFormat="false" ht="14.25" hidden="false" customHeight="false" outlineLevel="0" collapsed="false">
      <c r="A1812" s="1" t="n">
        <v>35</v>
      </c>
      <c r="B1812" s="1" t="s">
        <v>478</v>
      </c>
      <c r="C1812" s="143" t="n">
        <v>11171</v>
      </c>
      <c r="D1812" s="143" t="s">
        <v>74</v>
      </c>
      <c r="E1812" s="143" t="s">
        <v>479</v>
      </c>
      <c r="F1812" s="144" t="n">
        <v>200025889784</v>
      </c>
      <c r="G1812" s="144" t="s">
        <v>330</v>
      </c>
      <c r="H1812" s="144" t="n">
        <v>52</v>
      </c>
      <c r="I1812" s="144" t="s">
        <v>148</v>
      </c>
      <c r="J1812" s="6" t="n">
        <v>45057.3820023148</v>
      </c>
      <c r="K1812" s="1" t="n">
        <v>3</v>
      </c>
      <c r="L1812" s="144" t="n">
        <v>52</v>
      </c>
      <c r="M1812" s="1" t="n">
        <v>51</v>
      </c>
      <c r="N1812" s="1" t="n">
        <v>51</v>
      </c>
      <c r="O1812" s="149" t="n">
        <v>67</v>
      </c>
    </row>
    <row r="1813" customFormat="false" ht="14.25" hidden="false" customHeight="false" outlineLevel="0" collapsed="false">
      <c r="A1813" s="1" t="n">
        <v>36</v>
      </c>
      <c r="B1813" s="1" t="s">
        <v>478</v>
      </c>
      <c r="C1813" s="143" t="n">
        <v>11171</v>
      </c>
      <c r="D1813" s="143" t="s">
        <v>74</v>
      </c>
      <c r="E1813" s="143" t="s">
        <v>479</v>
      </c>
      <c r="F1813" s="144" t="n">
        <v>200025889784</v>
      </c>
      <c r="G1813" s="144" t="s">
        <v>330</v>
      </c>
      <c r="H1813" s="144" t="n">
        <v>52</v>
      </c>
      <c r="I1813" s="144" t="s">
        <v>148</v>
      </c>
      <c r="J1813" s="6" t="n">
        <v>45057.3909722222</v>
      </c>
      <c r="K1813" s="1" t="n">
        <v>3</v>
      </c>
      <c r="L1813" s="144" t="n">
        <v>52</v>
      </c>
      <c r="M1813" s="1" t="n">
        <v>51</v>
      </c>
      <c r="N1813" s="1" t="n">
        <v>51</v>
      </c>
      <c r="O1813" s="149" t="n">
        <v>68</v>
      </c>
    </row>
    <row r="1814" customFormat="false" ht="14.25" hidden="false" customHeight="false" outlineLevel="0" collapsed="false">
      <c r="A1814" s="1" t="n">
        <v>167</v>
      </c>
      <c r="B1814" s="1" t="s">
        <v>490</v>
      </c>
      <c r="C1814" s="143" t="n">
        <v>11171</v>
      </c>
      <c r="D1814" s="143" t="s">
        <v>74</v>
      </c>
      <c r="E1814" s="143" t="s">
        <v>479</v>
      </c>
      <c r="F1814" s="144" t="n">
        <v>200025889784</v>
      </c>
      <c r="G1814" s="144" t="s">
        <v>330</v>
      </c>
      <c r="H1814" s="144" t="n">
        <v>52</v>
      </c>
      <c r="I1814" s="144" t="s">
        <v>148</v>
      </c>
      <c r="J1814" s="6" t="n">
        <v>45074.486875</v>
      </c>
      <c r="K1814" s="1" t="n">
        <v>3</v>
      </c>
      <c r="L1814" s="144" t="n">
        <v>52</v>
      </c>
      <c r="M1814" s="1" t="n">
        <v>51</v>
      </c>
      <c r="N1814" s="1" t="n">
        <v>51</v>
      </c>
      <c r="O1814" s="149" t="n">
        <v>69</v>
      </c>
    </row>
    <row r="1815" customFormat="false" ht="14.25" hidden="false" customHeight="false" outlineLevel="0" collapsed="false">
      <c r="A1815" s="1" t="n">
        <v>188</v>
      </c>
      <c r="B1815" s="1" t="s">
        <v>490</v>
      </c>
      <c r="C1815" s="143" t="n">
        <v>11171</v>
      </c>
      <c r="D1815" s="143" t="s">
        <v>74</v>
      </c>
      <c r="E1815" s="143" t="s">
        <v>479</v>
      </c>
      <c r="F1815" s="144" t="n">
        <v>200025889784</v>
      </c>
      <c r="G1815" s="144" t="s">
        <v>330</v>
      </c>
      <c r="H1815" s="144" t="n">
        <v>52</v>
      </c>
      <c r="I1815" s="144" t="s">
        <v>148</v>
      </c>
      <c r="J1815" s="6" t="n">
        <v>45074.7673263889</v>
      </c>
      <c r="K1815" s="1" t="n">
        <v>1</v>
      </c>
      <c r="L1815" s="144" t="n">
        <v>52</v>
      </c>
      <c r="M1815" s="1" t="n">
        <v>51</v>
      </c>
      <c r="N1815" s="1" t="n">
        <v>51</v>
      </c>
      <c r="O1815" s="149" t="n">
        <v>70</v>
      </c>
    </row>
    <row r="1816" customFormat="false" ht="14.25" hidden="false" customHeight="false" outlineLevel="0" collapsed="false">
      <c r="A1816" s="1" t="n">
        <v>281</v>
      </c>
      <c r="B1816" s="1" t="s">
        <v>490</v>
      </c>
      <c r="C1816" s="143" t="n">
        <v>11171</v>
      </c>
      <c r="D1816" s="143" t="s">
        <v>74</v>
      </c>
      <c r="E1816" s="143" t="s">
        <v>479</v>
      </c>
      <c r="F1816" s="144" t="n">
        <v>200025889784</v>
      </c>
      <c r="G1816" s="144" t="s">
        <v>330</v>
      </c>
      <c r="H1816" s="144" t="n">
        <v>52</v>
      </c>
      <c r="I1816" s="144" t="s">
        <v>148</v>
      </c>
      <c r="J1816" s="6" t="n">
        <v>45075.2436111111</v>
      </c>
      <c r="K1816" s="1" t="n">
        <v>1</v>
      </c>
      <c r="L1816" s="144" t="n">
        <v>52</v>
      </c>
      <c r="M1816" s="1" t="n">
        <v>51</v>
      </c>
      <c r="N1816" s="1" t="n">
        <v>51</v>
      </c>
      <c r="O1816" s="149" t="n">
        <v>71</v>
      </c>
    </row>
    <row r="1817" customFormat="false" ht="14.25" hidden="false" customHeight="false" outlineLevel="0" collapsed="false">
      <c r="A1817" s="1" t="n">
        <v>284</v>
      </c>
      <c r="B1817" s="1" t="s">
        <v>490</v>
      </c>
      <c r="C1817" s="143" t="n">
        <v>11171</v>
      </c>
      <c r="D1817" s="143" t="s">
        <v>74</v>
      </c>
      <c r="E1817" s="143" t="s">
        <v>479</v>
      </c>
      <c r="F1817" s="144" t="n">
        <v>200025889784</v>
      </c>
      <c r="G1817" s="144" t="s">
        <v>330</v>
      </c>
      <c r="H1817" s="144" t="n">
        <v>52</v>
      </c>
      <c r="I1817" s="144" t="s">
        <v>148</v>
      </c>
      <c r="J1817" s="6" t="n">
        <v>45075.4184837963</v>
      </c>
      <c r="K1817" s="1" t="n">
        <v>2</v>
      </c>
      <c r="L1817" s="144" t="n">
        <v>52</v>
      </c>
      <c r="M1817" s="1" t="n">
        <v>51</v>
      </c>
      <c r="N1817" s="1" t="n">
        <v>51</v>
      </c>
      <c r="O1817" s="149" t="n">
        <v>72</v>
      </c>
    </row>
    <row r="1818" customFormat="false" ht="14.25" hidden="false" customHeight="false" outlineLevel="0" collapsed="false">
      <c r="A1818" s="1" t="n">
        <v>300</v>
      </c>
      <c r="B1818" s="1" t="s">
        <v>490</v>
      </c>
      <c r="C1818" s="143" t="n">
        <v>11171</v>
      </c>
      <c r="D1818" s="143" t="s">
        <v>74</v>
      </c>
      <c r="E1818" s="143" t="s">
        <v>479</v>
      </c>
      <c r="F1818" s="144" t="n">
        <v>200025889784</v>
      </c>
      <c r="G1818" s="144" t="s">
        <v>330</v>
      </c>
      <c r="H1818" s="144" t="n">
        <v>52</v>
      </c>
      <c r="I1818" s="144" t="s">
        <v>148</v>
      </c>
      <c r="J1818" s="6" t="n">
        <v>45075.525474537</v>
      </c>
      <c r="K1818" s="1" t="n">
        <v>1</v>
      </c>
      <c r="L1818" s="144" t="n">
        <v>52</v>
      </c>
      <c r="M1818" s="1" t="n">
        <v>51</v>
      </c>
      <c r="N1818" s="1" t="n">
        <v>51</v>
      </c>
      <c r="O1818" s="149" t="n">
        <v>73</v>
      </c>
    </row>
    <row r="1819" customFormat="false" ht="14.25" hidden="false" customHeight="false" outlineLevel="0" collapsed="false">
      <c r="A1819" s="1" t="n">
        <v>302</v>
      </c>
      <c r="B1819" s="1" t="s">
        <v>490</v>
      </c>
      <c r="C1819" s="143" t="n">
        <v>11171</v>
      </c>
      <c r="D1819" s="143" t="s">
        <v>74</v>
      </c>
      <c r="E1819" s="143" t="s">
        <v>479</v>
      </c>
      <c r="F1819" s="144" t="n">
        <v>200025889784</v>
      </c>
      <c r="G1819" s="144" t="s">
        <v>330</v>
      </c>
      <c r="H1819" s="144" t="n">
        <v>52</v>
      </c>
      <c r="I1819" s="144" t="s">
        <v>148</v>
      </c>
      <c r="J1819" s="6" t="n">
        <v>45075.5766782407</v>
      </c>
      <c r="K1819" s="1" t="n">
        <v>2</v>
      </c>
      <c r="L1819" s="144" t="n">
        <v>52</v>
      </c>
      <c r="M1819" s="1" t="n">
        <v>51</v>
      </c>
      <c r="N1819" s="1" t="n">
        <v>51</v>
      </c>
      <c r="O1819" s="149" t="n">
        <v>74</v>
      </c>
    </row>
    <row r="1820" customFormat="false" ht="14.25" hidden="false" customHeight="false" outlineLevel="0" collapsed="false">
      <c r="A1820" s="1" t="n">
        <v>303</v>
      </c>
      <c r="B1820" s="1" t="s">
        <v>490</v>
      </c>
      <c r="C1820" s="143" t="n">
        <v>11171</v>
      </c>
      <c r="D1820" s="143" t="s">
        <v>74</v>
      </c>
      <c r="E1820" s="143" t="s">
        <v>479</v>
      </c>
      <c r="F1820" s="144" t="n">
        <v>200025889784</v>
      </c>
      <c r="G1820" s="144" t="s">
        <v>330</v>
      </c>
      <c r="H1820" s="144" t="n">
        <v>52</v>
      </c>
      <c r="I1820" s="144" t="s">
        <v>148</v>
      </c>
      <c r="J1820" s="6" t="n">
        <v>45075.5767824074</v>
      </c>
      <c r="K1820" s="1" t="n">
        <v>2</v>
      </c>
      <c r="L1820" s="144" t="n">
        <v>52</v>
      </c>
      <c r="M1820" s="1" t="n">
        <v>51</v>
      </c>
      <c r="N1820" s="1" t="n">
        <v>51</v>
      </c>
      <c r="O1820" s="149" t="n">
        <v>75</v>
      </c>
    </row>
    <row r="1821" customFormat="false" ht="14.25" hidden="false" customHeight="false" outlineLevel="0" collapsed="false">
      <c r="A1821" s="1" t="n">
        <v>304</v>
      </c>
      <c r="B1821" s="1" t="s">
        <v>490</v>
      </c>
      <c r="C1821" s="143" t="n">
        <v>11171</v>
      </c>
      <c r="D1821" s="143" t="s">
        <v>74</v>
      </c>
      <c r="E1821" s="143" t="s">
        <v>479</v>
      </c>
      <c r="F1821" s="144" t="n">
        <v>200025889784</v>
      </c>
      <c r="G1821" s="144" t="s">
        <v>330</v>
      </c>
      <c r="H1821" s="144" t="n">
        <v>52</v>
      </c>
      <c r="I1821" s="144" t="s">
        <v>148</v>
      </c>
      <c r="J1821" s="6" t="n">
        <v>45075.5768865741</v>
      </c>
      <c r="K1821" s="1" t="n">
        <v>0</v>
      </c>
      <c r="L1821" s="144" t="n">
        <v>52</v>
      </c>
      <c r="M1821" s="1" t="n">
        <v>51</v>
      </c>
      <c r="N1821" s="1" t="n">
        <v>51</v>
      </c>
      <c r="O1821" s="149" t="n">
        <v>76</v>
      </c>
    </row>
    <row r="1822" customFormat="false" ht="14.25" hidden="false" customHeight="false" outlineLevel="0" collapsed="false">
      <c r="A1822" s="1" t="n">
        <v>305</v>
      </c>
      <c r="B1822" s="1" t="s">
        <v>490</v>
      </c>
      <c r="C1822" s="143" t="n">
        <v>11171</v>
      </c>
      <c r="D1822" s="143" t="s">
        <v>74</v>
      </c>
      <c r="E1822" s="143" t="s">
        <v>479</v>
      </c>
      <c r="F1822" s="144" t="n">
        <v>200025889784</v>
      </c>
      <c r="G1822" s="144" t="s">
        <v>330</v>
      </c>
      <c r="H1822" s="144" t="n">
        <v>52</v>
      </c>
      <c r="I1822" s="144" t="s">
        <v>148</v>
      </c>
      <c r="J1822" s="6" t="n">
        <v>45075.577037037</v>
      </c>
      <c r="K1822" s="1" t="n">
        <v>0</v>
      </c>
      <c r="L1822" s="144" t="n">
        <v>52</v>
      </c>
      <c r="M1822" s="1" t="n">
        <v>51</v>
      </c>
      <c r="N1822" s="1" t="n">
        <v>51</v>
      </c>
      <c r="O1822" s="149" t="n">
        <v>77</v>
      </c>
    </row>
    <row r="1823" customFormat="false" ht="14.25" hidden="false" customHeight="false" outlineLevel="0" collapsed="false">
      <c r="A1823" s="1" t="n">
        <v>306</v>
      </c>
      <c r="B1823" s="1" t="s">
        <v>490</v>
      </c>
      <c r="C1823" s="143" t="n">
        <v>11171</v>
      </c>
      <c r="D1823" s="143" t="s">
        <v>74</v>
      </c>
      <c r="E1823" s="143" t="s">
        <v>479</v>
      </c>
      <c r="F1823" s="144" t="n">
        <v>200025889784</v>
      </c>
      <c r="G1823" s="144" t="s">
        <v>330</v>
      </c>
      <c r="H1823" s="144" t="n">
        <v>52</v>
      </c>
      <c r="I1823" s="144" t="s">
        <v>148</v>
      </c>
      <c r="J1823" s="6" t="n">
        <v>45075.5776851852</v>
      </c>
      <c r="K1823" s="1" t="n">
        <v>0</v>
      </c>
      <c r="L1823" s="144" t="n">
        <v>52</v>
      </c>
      <c r="M1823" s="1" t="n">
        <v>51</v>
      </c>
      <c r="N1823" s="1" t="n">
        <v>51</v>
      </c>
      <c r="O1823" s="149" t="n">
        <v>78</v>
      </c>
    </row>
    <row r="1824" customFormat="false" ht="14.25" hidden="false" customHeight="false" outlineLevel="0" collapsed="false">
      <c r="A1824" s="1" t="n">
        <v>307</v>
      </c>
      <c r="B1824" s="1" t="s">
        <v>490</v>
      </c>
      <c r="C1824" s="143" t="n">
        <v>11171</v>
      </c>
      <c r="D1824" s="143" t="s">
        <v>74</v>
      </c>
      <c r="E1824" s="143" t="s">
        <v>479</v>
      </c>
      <c r="F1824" s="144" t="n">
        <v>200025889784</v>
      </c>
      <c r="G1824" s="144" t="s">
        <v>330</v>
      </c>
      <c r="H1824" s="144" t="n">
        <v>52</v>
      </c>
      <c r="I1824" s="144" t="s">
        <v>148</v>
      </c>
      <c r="J1824" s="6" t="n">
        <v>45075.5777662037</v>
      </c>
      <c r="K1824" s="1" t="n">
        <v>0</v>
      </c>
      <c r="L1824" s="144" t="n">
        <v>52</v>
      </c>
      <c r="M1824" s="1" t="n">
        <v>51</v>
      </c>
      <c r="N1824" s="1" t="n">
        <v>51</v>
      </c>
      <c r="O1824" s="149" t="n">
        <v>79</v>
      </c>
    </row>
    <row r="1825" customFormat="false" ht="14.25" hidden="false" customHeight="false" outlineLevel="0" collapsed="false">
      <c r="A1825" s="1" t="n">
        <v>308</v>
      </c>
      <c r="B1825" s="1" t="s">
        <v>490</v>
      </c>
      <c r="C1825" s="143" t="n">
        <v>11171</v>
      </c>
      <c r="D1825" s="143" t="s">
        <v>74</v>
      </c>
      <c r="E1825" s="143" t="s">
        <v>479</v>
      </c>
      <c r="F1825" s="144" t="n">
        <v>200025889784</v>
      </c>
      <c r="G1825" s="144" t="s">
        <v>330</v>
      </c>
      <c r="H1825" s="144" t="n">
        <v>52</v>
      </c>
      <c r="I1825" s="144" t="s">
        <v>148</v>
      </c>
      <c r="J1825" s="6" t="n">
        <v>45075.6496296296</v>
      </c>
      <c r="K1825" s="1" t="n">
        <v>1</v>
      </c>
      <c r="L1825" s="144" t="n">
        <v>52</v>
      </c>
      <c r="M1825" s="1" t="n">
        <v>51</v>
      </c>
      <c r="N1825" s="1" t="n">
        <v>51</v>
      </c>
      <c r="O1825" s="149" t="n">
        <v>80</v>
      </c>
    </row>
    <row r="1826" customFormat="false" ht="14.25" hidden="false" customHeight="false" outlineLevel="0" collapsed="false">
      <c r="A1826" s="1" t="n">
        <v>309</v>
      </c>
      <c r="B1826" s="1" t="s">
        <v>490</v>
      </c>
      <c r="C1826" s="143" t="n">
        <v>11171</v>
      </c>
      <c r="D1826" s="143" t="s">
        <v>74</v>
      </c>
      <c r="E1826" s="143" t="s">
        <v>479</v>
      </c>
      <c r="F1826" s="144" t="n">
        <v>200025889784</v>
      </c>
      <c r="G1826" s="144" t="s">
        <v>330</v>
      </c>
      <c r="H1826" s="144" t="n">
        <v>52</v>
      </c>
      <c r="I1826" s="144" t="s">
        <v>148</v>
      </c>
      <c r="J1826" s="6" t="n">
        <v>45075.6527199074</v>
      </c>
      <c r="K1826" s="1" t="n">
        <v>1</v>
      </c>
      <c r="L1826" s="144" t="n">
        <v>52</v>
      </c>
      <c r="M1826" s="1" t="n">
        <v>51</v>
      </c>
      <c r="N1826" s="1" t="n">
        <v>51</v>
      </c>
      <c r="O1826" s="149" t="n">
        <v>81</v>
      </c>
    </row>
    <row r="1827" customFormat="false" ht="14.25" hidden="false" customHeight="false" outlineLevel="0" collapsed="false">
      <c r="A1827" s="1" t="n">
        <v>310</v>
      </c>
      <c r="B1827" s="1" t="s">
        <v>490</v>
      </c>
      <c r="C1827" s="143" t="n">
        <v>11171</v>
      </c>
      <c r="D1827" s="143" t="s">
        <v>74</v>
      </c>
      <c r="E1827" s="143" t="s">
        <v>479</v>
      </c>
      <c r="F1827" s="144" t="n">
        <v>200025889784</v>
      </c>
      <c r="G1827" s="144" t="s">
        <v>330</v>
      </c>
      <c r="H1827" s="144" t="n">
        <v>52</v>
      </c>
      <c r="I1827" s="144" t="s">
        <v>148</v>
      </c>
      <c r="J1827" s="6" t="n">
        <v>45075.6529398148</v>
      </c>
      <c r="K1827" s="1" t="n">
        <v>2</v>
      </c>
      <c r="L1827" s="144" t="n">
        <v>52</v>
      </c>
      <c r="M1827" s="1" t="n">
        <v>51</v>
      </c>
      <c r="N1827" s="1" t="n">
        <v>51</v>
      </c>
      <c r="O1827" s="149" t="n">
        <v>82</v>
      </c>
    </row>
    <row r="1828" customFormat="false" ht="14.25" hidden="false" customHeight="false" outlineLevel="0" collapsed="false">
      <c r="A1828" s="1" t="n">
        <v>311</v>
      </c>
      <c r="B1828" s="1" t="s">
        <v>490</v>
      </c>
      <c r="C1828" s="143" t="n">
        <v>11171</v>
      </c>
      <c r="D1828" s="143" t="s">
        <v>74</v>
      </c>
      <c r="E1828" s="143" t="s">
        <v>479</v>
      </c>
      <c r="F1828" s="144" t="n">
        <v>200025889784</v>
      </c>
      <c r="G1828" s="144" t="s">
        <v>330</v>
      </c>
      <c r="H1828" s="144" t="n">
        <v>52</v>
      </c>
      <c r="I1828" s="144" t="s">
        <v>148</v>
      </c>
      <c r="J1828" s="6" t="n">
        <v>45075.6530208333</v>
      </c>
      <c r="K1828" s="1" t="n">
        <v>0</v>
      </c>
      <c r="L1828" s="144" t="n">
        <v>52</v>
      </c>
      <c r="M1828" s="1" t="n">
        <v>51</v>
      </c>
      <c r="N1828" s="1" t="n">
        <v>51</v>
      </c>
      <c r="O1828" s="149" t="n">
        <v>83</v>
      </c>
    </row>
    <row r="1829" customFormat="false" ht="14.25" hidden="false" customHeight="false" outlineLevel="0" collapsed="false">
      <c r="A1829" s="1" t="n">
        <v>312</v>
      </c>
      <c r="B1829" s="1" t="s">
        <v>490</v>
      </c>
      <c r="C1829" s="143" t="n">
        <v>11171</v>
      </c>
      <c r="D1829" s="143" t="s">
        <v>74</v>
      </c>
      <c r="E1829" s="143" t="s">
        <v>479</v>
      </c>
      <c r="F1829" s="144" t="n">
        <v>200025889784</v>
      </c>
      <c r="G1829" s="144" t="s">
        <v>330</v>
      </c>
      <c r="H1829" s="144" t="n">
        <v>52</v>
      </c>
      <c r="I1829" s="144" t="s">
        <v>148</v>
      </c>
      <c r="J1829" s="6" t="n">
        <v>45075.6531712963</v>
      </c>
      <c r="K1829" s="1" t="n">
        <v>2</v>
      </c>
      <c r="L1829" s="144" t="n">
        <v>52</v>
      </c>
      <c r="M1829" s="1" t="n">
        <v>51</v>
      </c>
      <c r="N1829" s="1" t="n">
        <v>51</v>
      </c>
      <c r="O1829" s="149" t="n">
        <v>84</v>
      </c>
    </row>
    <row r="1830" customFormat="false" ht="14.25" hidden="false" customHeight="false" outlineLevel="0" collapsed="false">
      <c r="A1830" s="1" t="n">
        <v>313</v>
      </c>
      <c r="B1830" s="1" t="s">
        <v>490</v>
      </c>
      <c r="C1830" s="143" t="n">
        <v>11171</v>
      </c>
      <c r="D1830" s="143" t="s">
        <v>74</v>
      </c>
      <c r="E1830" s="143" t="s">
        <v>479</v>
      </c>
      <c r="F1830" s="144" t="n">
        <v>200025889784</v>
      </c>
      <c r="G1830" s="144" t="s">
        <v>330</v>
      </c>
      <c r="H1830" s="144" t="n">
        <v>52</v>
      </c>
      <c r="I1830" s="144" t="s">
        <v>148</v>
      </c>
      <c r="J1830" s="6" t="n">
        <v>45075.6539467593</v>
      </c>
      <c r="K1830" s="1" t="n">
        <v>1</v>
      </c>
      <c r="L1830" s="144" t="n">
        <v>52</v>
      </c>
      <c r="M1830" s="1" t="n">
        <v>51</v>
      </c>
      <c r="N1830" s="1" t="n">
        <v>51</v>
      </c>
      <c r="O1830" s="149" t="n">
        <v>85</v>
      </c>
    </row>
    <row r="1831" customFormat="false" ht="14.25" hidden="false" customHeight="false" outlineLevel="0" collapsed="false">
      <c r="A1831" s="1" t="n">
        <v>314</v>
      </c>
      <c r="B1831" s="1" t="s">
        <v>490</v>
      </c>
      <c r="C1831" s="143" t="n">
        <v>11171</v>
      </c>
      <c r="D1831" s="143" t="s">
        <v>74</v>
      </c>
      <c r="E1831" s="143" t="s">
        <v>479</v>
      </c>
      <c r="F1831" s="144" t="n">
        <v>200025889784</v>
      </c>
      <c r="G1831" s="144" t="s">
        <v>330</v>
      </c>
      <c r="H1831" s="144" t="n">
        <v>52</v>
      </c>
      <c r="I1831" s="144" t="s">
        <v>148</v>
      </c>
      <c r="J1831" s="6" t="n">
        <v>45075.6540625</v>
      </c>
      <c r="K1831" s="1" t="n">
        <v>2</v>
      </c>
      <c r="L1831" s="144" t="n">
        <v>52</v>
      </c>
      <c r="M1831" s="1" t="n">
        <v>51</v>
      </c>
      <c r="N1831" s="1" t="n">
        <v>51</v>
      </c>
      <c r="O1831" s="149" t="n">
        <v>86</v>
      </c>
    </row>
    <row r="1832" customFormat="false" ht="14.25" hidden="false" customHeight="false" outlineLevel="0" collapsed="false">
      <c r="A1832" s="1" t="n">
        <v>315</v>
      </c>
      <c r="B1832" s="1" t="s">
        <v>490</v>
      </c>
      <c r="C1832" s="143" t="n">
        <v>11171</v>
      </c>
      <c r="D1832" s="143" t="s">
        <v>74</v>
      </c>
      <c r="E1832" s="143" t="s">
        <v>479</v>
      </c>
      <c r="F1832" s="144" t="n">
        <v>200025889784</v>
      </c>
      <c r="G1832" s="144" t="s">
        <v>330</v>
      </c>
      <c r="H1832" s="144" t="n">
        <v>52</v>
      </c>
      <c r="I1832" s="144" t="s">
        <v>148</v>
      </c>
      <c r="J1832" s="6" t="n">
        <v>45075.6873148148</v>
      </c>
      <c r="K1832" s="1" t="n">
        <v>0</v>
      </c>
      <c r="L1832" s="144" t="n">
        <v>52</v>
      </c>
      <c r="M1832" s="1" t="n">
        <v>51</v>
      </c>
      <c r="N1832" s="1" t="n">
        <v>51</v>
      </c>
      <c r="O1832" s="149" t="n">
        <v>87</v>
      </c>
    </row>
    <row r="1833" customFormat="false" ht="14.25" hidden="false" customHeight="false" outlineLevel="0" collapsed="false">
      <c r="A1833" s="1" t="n">
        <v>316</v>
      </c>
      <c r="B1833" s="1" t="s">
        <v>490</v>
      </c>
      <c r="C1833" s="143" t="n">
        <v>11171</v>
      </c>
      <c r="D1833" s="143" t="s">
        <v>74</v>
      </c>
      <c r="E1833" s="143" t="s">
        <v>479</v>
      </c>
      <c r="F1833" s="144" t="n">
        <v>200025889784</v>
      </c>
      <c r="G1833" s="144" t="s">
        <v>330</v>
      </c>
      <c r="H1833" s="144" t="n">
        <v>52</v>
      </c>
      <c r="I1833" s="144" t="s">
        <v>148</v>
      </c>
      <c r="J1833" s="6" t="n">
        <v>45075.6878009259</v>
      </c>
      <c r="K1833" s="1" t="n">
        <v>1</v>
      </c>
      <c r="L1833" s="144" t="n">
        <v>52</v>
      </c>
      <c r="M1833" s="1" t="n">
        <v>51</v>
      </c>
      <c r="N1833" s="1" t="n">
        <v>51</v>
      </c>
      <c r="O1833" s="149" t="n">
        <v>88</v>
      </c>
    </row>
    <row r="1834" customFormat="false" ht="14.25" hidden="false" customHeight="false" outlineLevel="0" collapsed="false">
      <c r="A1834" s="1" t="n">
        <v>317</v>
      </c>
      <c r="B1834" s="1" t="s">
        <v>490</v>
      </c>
      <c r="C1834" s="143" t="n">
        <v>11171</v>
      </c>
      <c r="D1834" s="143" t="s">
        <v>74</v>
      </c>
      <c r="E1834" s="143" t="s">
        <v>479</v>
      </c>
      <c r="F1834" s="144" t="n">
        <v>200025889784</v>
      </c>
      <c r="G1834" s="144" t="s">
        <v>330</v>
      </c>
      <c r="H1834" s="144" t="n">
        <v>52</v>
      </c>
      <c r="I1834" s="144" t="s">
        <v>148</v>
      </c>
      <c r="J1834" s="6" t="n">
        <v>45075.6879166667</v>
      </c>
      <c r="K1834" s="1" t="n">
        <v>1</v>
      </c>
      <c r="L1834" s="144" t="n">
        <v>52</v>
      </c>
      <c r="M1834" s="1" t="n">
        <v>51</v>
      </c>
      <c r="N1834" s="1" t="n">
        <v>51</v>
      </c>
      <c r="O1834" s="149" t="n">
        <v>89</v>
      </c>
    </row>
    <row r="1835" customFormat="false" ht="14.25" hidden="false" customHeight="false" outlineLevel="0" collapsed="false">
      <c r="A1835" s="1" t="n">
        <v>318</v>
      </c>
      <c r="B1835" s="1" t="s">
        <v>490</v>
      </c>
      <c r="C1835" s="143" t="n">
        <v>11171</v>
      </c>
      <c r="D1835" s="143" t="s">
        <v>74</v>
      </c>
      <c r="E1835" s="143" t="s">
        <v>479</v>
      </c>
      <c r="F1835" s="144" t="n">
        <v>200025889784</v>
      </c>
      <c r="G1835" s="144" t="s">
        <v>330</v>
      </c>
      <c r="H1835" s="144" t="n">
        <v>52</v>
      </c>
      <c r="I1835" s="144" t="s">
        <v>148</v>
      </c>
      <c r="J1835" s="6" t="n">
        <v>45075.7281134259</v>
      </c>
      <c r="K1835" s="1" t="n">
        <v>1</v>
      </c>
      <c r="L1835" s="144" t="n">
        <v>52</v>
      </c>
      <c r="M1835" s="1" t="n">
        <v>51</v>
      </c>
      <c r="N1835" s="1" t="n">
        <v>51</v>
      </c>
      <c r="O1835" s="149" t="n">
        <v>90</v>
      </c>
    </row>
    <row r="1836" customFormat="false" ht="14.25" hidden="false" customHeight="false" outlineLevel="0" collapsed="false">
      <c r="A1836" s="1" t="n">
        <v>319</v>
      </c>
      <c r="B1836" s="1" t="s">
        <v>490</v>
      </c>
      <c r="C1836" s="143" t="n">
        <v>11171</v>
      </c>
      <c r="D1836" s="143" t="s">
        <v>74</v>
      </c>
      <c r="E1836" s="143" t="s">
        <v>479</v>
      </c>
      <c r="F1836" s="144" t="n">
        <v>200025889784</v>
      </c>
      <c r="G1836" s="144" t="s">
        <v>330</v>
      </c>
      <c r="H1836" s="144" t="n">
        <v>52</v>
      </c>
      <c r="I1836" s="144" t="s">
        <v>148</v>
      </c>
      <c r="J1836" s="6" t="n">
        <v>45075.7758101852</v>
      </c>
      <c r="K1836" s="1" t="n">
        <v>1</v>
      </c>
      <c r="L1836" s="144" t="n">
        <v>52</v>
      </c>
      <c r="M1836" s="1" t="n">
        <v>51</v>
      </c>
      <c r="N1836" s="1" t="n">
        <v>51</v>
      </c>
      <c r="O1836" s="149" t="n">
        <v>91</v>
      </c>
    </row>
    <row r="1837" customFormat="false" ht="14.25" hidden="false" customHeight="false" outlineLevel="0" collapsed="false">
      <c r="A1837" s="1" t="n">
        <v>320</v>
      </c>
      <c r="B1837" s="1" t="s">
        <v>490</v>
      </c>
      <c r="C1837" s="143" t="n">
        <v>11171</v>
      </c>
      <c r="D1837" s="143" t="s">
        <v>74</v>
      </c>
      <c r="E1837" s="143" t="s">
        <v>479</v>
      </c>
      <c r="F1837" s="144" t="n">
        <v>200025889784</v>
      </c>
      <c r="G1837" s="144" t="s">
        <v>330</v>
      </c>
      <c r="H1837" s="144" t="n">
        <v>52</v>
      </c>
      <c r="I1837" s="144" t="s">
        <v>148</v>
      </c>
      <c r="J1837" s="6" t="n">
        <v>45075.7825810185</v>
      </c>
      <c r="K1837" s="1" t="n">
        <v>1</v>
      </c>
      <c r="L1837" s="144" t="n">
        <v>52</v>
      </c>
      <c r="M1837" s="1" t="n">
        <v>51</v>
      </c>
      <c r="N1837" s="1" t="n">
        <v>51</v>
      </c>
      <c r="O1837" s="149" t="n">
        <v>92</v>
      </c>
    </row>
    <row r="1838" customFormat="false" ht="14.25" hidden="false" customHeight="false" outlineLevel="0" collapsed="false">
      <c r="A1838" s="1" t="n">
        <v>321</v>
      </c>
      <c r="B1838" s="1" t="s">
        <v>490</v>
      </c>
      <c r="C1838" s="143" t="n">
        <v>11171</v>
      </c>
      <c r="D1838" s="143" t="s">
        <v>74</v>
      </c>
      <c r="E1838" s="143" t="s">
        <v>479</v>
      </c>
      <c r="F1838" s="144" t="n">
        <v>200025889784</v>
      </c>
      <c r="G1838" s="144" t="s">
        <v>330</v>
      </c>
      <c r="H1838" s="144" t="n">
        <v>52</v>
      </c>
      <c r="I1838" s="144" t="s">
        <v>148</v>
      </c>
      <c r="J1838" s="6" t="n">
        <v>45075.7828009259</v>
      </c>
      <c r="K1838" s="1" t="n">
        <v>1</v>
      </c>
      <c r="L1838" s="144" t="n">
        <v>52</v>
      </c>
      <c r="M1838" s="1" t="n">
        <v>51</v>
      </c>
      <c r="N1838" s="1" t="n">
        <v>51</v>
      </c>
      <c r="O1838" s="149" t="n">
        <v>93</v>
      </c>
    </row>
    <row r="1839" customFormat="false" ht="14.25" hidden="false" customHeight="false" outlineLevel="0" collapsed="false">
      <c r="A1839" s="1" t="n">
        <v>322</v>
      </c>
      <c r="B1839" s="1" t="s">
        <v>490</v>
      </c>
      <c r="C1839" s="143" t="n">
        <v>11171</v>
      </c>
      <c r="D1839" s="143" t="s">
        <v>74</v>
      </c>
      <c r="E1839" s="143" t="s">
        <v>479</v>
      </c>
      <c r="F1839" s="144" t="n">
        <v>200025889784</v>
      </c>
      <c r="G1839" s="144" t="s">
        <v>330</v>
      </c>
      <c r="H1839" s="144" t="n">
        <v>52</v>
      </c>
      <c r="I1839" s="144" t="s">
        <v>148</v>
      </c>
      <c r="J1839" s="6" t="n">
        <v>45075.7835069444</v>
      </c>
      <c r="K1839" s="1" t="n">
        <v>1</v>
      </c>
      <c r="L1839" s="144" t="n">
        <v>52</v>
      </c>
      <c r="M1839" s="1" t="n">
        <v>51</v>
      </c>
      <c r="N1839" s="1" t="n">
        <v>51</v>
      </c>
      <c r="O1839" s="149" t="n">
        <v>94</v>
      </c>
    </row>
    <row r="1840" customFormat="false" ht="14.25" hidden="false" customHeight="false" outlineLevel="0" collapsed="false">
      <c r="A1840" s="1" t="n">
        <v>323</v>
      </c>
      <c r="B1840" s="1" t="s">
        <v>490</v>
      </c>
      <c r="C1840" s="143" t="n">
        <v>11171</v>
      </c>
      <c r="D1840" s="143" t="s">
        <v>74</v>
      </c>
      <c r="E1840" s="143" t="s">
        <v>479</v>
      </c>
      <c r="F1840" s="144" t="n">
        <v>200025889784</v>
      </c>
      <c r="G1840" s="144" t="s">
        <v>330</v>
      </c>
      <c r="H1840" s="144" t="n">
        <v>52</v>
      </c>
      <c r="I1840" s="144" t="s">
        <v>148</v>
      </c>
      <c r="J1840" s="6" t="n">
        <v>45075.7836342593</v>
      </c>
      <c r="K1840" s="1" t="n">
        <v>2</v>
      </c>
      <c r="L1840" s="144" t="n">
        <v>52</v>
      </c>
      <c r="M1840" s="1" t="n">
        <v>51</v>
      </c>
      <c r="N1840" s="1" t="n">
        <v>51</v>
      </c>
      <c r="O1840" s="149" t="n">
        <v>95</v>
      </c>
    </row>
    <row r="1841" customFormat="false" ht="14.25" hidden="false" customHeight="false" outlineLevel="0" collapsed="false">
      <c r="A1841" s="1" t="n">
        <v>324</v>
      </c>
      <c r="B1841" s="1" t="s">
        <v>490</v>
      </c>
      <c r="C1841" s="143" t="n">
        <v>11171</v>
      </c>
      <c r="D1841" s="143" t="s">
        <v>74</v>
      </c>
      <c r="E1841" s="143" t="s">
        <v>479</v>
      </c>
      <c r="F1841" s="144" t="n">
        <v>200025889784</v>
      </c>
      <c r="G1841" s="144" t="s">
        <v>330</v>
      </c>
      <c r="H1841" s="144" t="n">
        <v>52</v>
      </c>
      <c r="I1841" s="144" t="s">
        <v>148</v>
      </c>
      <c r="J1841" s="6" t="n">
        <v>45075.8755439815</v>
      </c>
      <c r="K1841" s="1" t="n">
        <v>1</v>
      </c>
      <c r="L1841" s="144" t="n">
        <v>52</v>
      </c>
      <c r="M1841" s="1" t="n">
        <v>51</v>
      </c>
      <c r="N1841" s="1" t="n">
        <v>51</v>
      </c>
      <c r="O1841" s="149" t="n">
        <v>96</v>
      </c>
    </row>
    <row r="1842" customFormat="false" ht="14.25" hidden="false" customHeight="false" outlineLevel="0" collapsed="false">
      <c r="A1842" s="1" t="n">
        <v>325</v>
      </c>
      <c r="B1842" s="1" t="s">
        <v>490</v>
      </c>
      <c r="C1842" s="143" t="n">
        <v>11171</v>
      </c>
      <c r="D1842" s="143" t="s">
        <v>74</v>
      </c>
      <c r="E1842" s="143" t="s">
        <v>479</v>
      </c>
      <c r="F1842" s="144" t="n">
        <v>200025889784</v>
      </c>
      <c r="G1842" s="144" t="s">
        <v>330</v>
      </c>
      <c r="H1842" s="144" t="n">
        <v>52</v>
      </c>
      <c r="I1842" s="144" t="s">
        <v>148</v>
      </c>
      <c r="J1842" s="6" t="n">
        <v>45075.8760763889</v>
      </c>
      <c r="K1842" s="1" t="n">
        <v>2</v>
      </c>
      <c r="L1842" s="144" t="n">
        <v>52</v>
      </c>
      <c r="M1842" s="1" t="n">
        <v>51</v>
      </c>
      <c r="N1842" s="1" t="n">
        <v>51</v>
      </c>
      <c r="O1842" s="149" t="n">
        <v>97</v>
      </c>
    </row>
    <row r="1843" customFormat="false" ht="14.25" hidden="false" customHeight="false" outlineLevel="0" collapsed="false">
      <c r="A1843" s="1" t="n">
        <v>326</v>
      </c>
      <c r="B1843" s="1" t="s">
        <v>490</v>
      </c>
      <c r="C1843" s="143" t="n">
        <v>11171</v>
      </c>
      <c r="D1843" s="143" t="s">
        <v>74</v>
      </c>
      <c r="E1843" s="143" t="s">
        <v>479</v>
      </c>
      <c r="F1843" s="144" t="n">
        <v>200025889784</v>
      </c>
      <c r="G1843" s="144" t="s">
        <v>330</v>
      </c>
      <c r="H1843" s="144" t="n">
        <v>52</v>
      </c>
      <c r="I1843" s="144" t="s">
        <v>148</v>
      </c>
      <c r="J1843" s="6" t="n">
        <v>45075.8762037037</v>
      </c>
      <c r="K1843" s="1" t="n">
        <v>0</v>
      </c>
      <c r="L1843" s="144" t="n">
        <v>52</v>
      </c>
      <c r="M1843" s="1" t="n">
        <v>51</v>
      </c>
      <c r="N1843" s="1" t="n">
        <v>51</v>
      </c>
      <c r="O1843" s="149" t="n">
        <v>98</v>
      </c>
    </row>
    <row r="1844" customFormat="false" ht="14.25" hidden="false" customHeight="false" outlineLevel="0" collapsed="false">
      <c r="A1844" s="1" t="n">
        <v>327</v>
      </c>
      <c r="B1844" s="1" t="s">
        <v>490</v>
      </c>
      <c r="C1844" s="143" t="n">
        <v>11171</v>
      </c>
      <c r="D1844" s="143" t="s">
        <v>74</v>
      </c>
      <c r="E1844" s="143" t="s">
        <v>479</v>
      </c>
      <c r="F1844" s="144" t="n">
        <v>200025889784</v>
      </c>
      <c r="G1844" s="144" t="s">
        <v>330</v>
      </c>
      <c r="H1844" s="144" t="n">
        <v>52</v>
      </c>
      <c r="I1844" s="144" t="s">
        <v>148</v>
      </c>
      <c r="J1844" s="6" t="n">
        <v>45075.8763310185</v>
      </c>
      <c r="K1844" s="1" t="n">
        <v>1</v>
      </c>
      <c r="L1844" s="144" t="n">
        <v>52</v>
      </c>
      <c r="M1844" s="1" t="n">
        <v>51</v>
      </c>
      <c r="N1844" s="1" t="n">
        <v>51</v>
      </c>
      <c r="O1844" s="149" t="n">
        <v>99</v>
      </c>
    </row>
    <row r="1845" customFormat="false" ht="14.25" hidden="false" customHeight="false" outlineLevel="0" collapsed="false">
      <c r="A1845" s="1" t="n">
        <v>328</v>
      </c>
      <c r="B1845" s="1" t="s">
        <v>490</v>
      </c>
      <c r="C1845" s="143" t="n">
        <v>11171</v>
      </c>
      <c r="D1845" s="143" t="s">
        <v>74</v>
      </c>
      <c r="E1845" s="143" t="s">
        <v>479</v>
      </c>
      <c r="F1845" s="144" t="n">
        <v>200025889784</v>
      </c>
      <c r="G1845" s="144" t="s">
        <v>330</v>
      </c>
      <c r="H1845" s="144" t="n">
        <v>52</v>
      </c>
      <c r="I1845" s="144" t="s">
        <v>148</v>
      </c>
      <c r="J1845" s="6" t="n">
        <v>45075.8765625</v>
      </c>
      <c r="K1845" s="1" t="n">
        <v>2</v>
      </c>
      <c r="L1845" s="144" t="n">
        <v>52</v>
      </c>
      <c r="M1845" s="1" t="n">
        <v>51</v>
      </c>
      <c r="N1845" s="1" t="n">
        <v>51</v>
      </c>
      <c r="O1845" s="149" t="n">
        <v>100</v>
      </c>
    </row>
    <row r="1846" customFormat="false" ht="14.25" hidden="false" customHeight="false" outlineLevel="0" collapsed="false">
      <c r="A1846" s="1" t="n">
        <v>329</v>
      </c>
      <c r="B1846" s="1" t="s">
        <v>490</v>
      </c>
      <c r="C1846" s="143" t="n">
        <v>11171</v>
      </c>
      <c r="D1846" s="143" t="s">
        <v>74</v>
      </c>
      <c r="E1846" s="143" t="s">
        <v>479</v>
      </c>
      <c r="F1846" s="144" t="n">
        <v>200025889784</v>
      </c>
      <c r="G1846" s="144" t="s">
        <v>330</v>
      </c>
      <c r="H1846" s="144" t="n">
        <v>52</v>
      </c>
      <c r="I1846" s="144" t="s">
        <v>148</v>
      </c>
      <c r="J1846" s="6" t="n">
        <v>45075.8766898148</v>
      </c>
      <c r="K1846" s="1" t="n">
        <v>1</v>
      </c>
      <c r="L1846" s="144" t="n">
        <v>52</v>
      </c>
      <c r="M1846" s="1" t="n">
        <v>51</v>
      </c>
      <c r="N1846" s="1" t="n">
        <v>51</v>
      </c>
      <c r="O1846" s="149" t="n">
        <v>101</v>
      </c>
    </row>
    <row r="1847" customFormat="false" ht="14.25" hidden="false" customHeight="false" outlineLevel="0" collapsed="false">
      <c r="A1847" s="1" t="n">
        <v>330</v>
      </c>
      <c r="B1847" s="1" t="s">
        <v>490</v>
      </c>
      <c r="C1847" s="143" t="n">
        <v>11171</v>
      </c>
      <c r="D1847" s="143" t="s">
        <v>74</v>
      </c>
      <c r="E1847" s="143" t="s">
        <v>479</v>
      </c>
      <c r="F1847" s="144" t="n">
        <v>200025889784</v>
      </c>
      <c r="G1847" s="144" t="s">
        <v>330</v>
      </c>
      <c r="H1847" s="144" t="n">
        <v>52</v>
      </c>
      <c r="I1847" s="144" t="s">
        <v>148</v>
      </c>
      <c r="J1847" s="6" t="n">
        <v>45075.8778125</v>
      </c>
      <c r="K1847" s="1" t="n">
        <v>1</v>
      </c>
      <c r="L1847" s="144" t="n">
        <v>52</v>
      </c>
      <c r="M1847" s="1" t="n">
        <v>51</v>
      </c>
      <c r="N1847" s="1" t="n">
        <v>51</v>
      </c>
      <c r="O1847" s="149" t="n">
        <v>102</v>
      </c>
    </row>
    <row r="1848" customFormat="false" ht="14.25" hidden="false" customHeight="false" outlineLevel="0" collapsed="false">
      <c r="A1848" s="1" t="n">
        <v>172</v>
      </c>
      <c r="B1848" s="1" t="s">
        <v>473</v>
      </c>
      <c r="C1848" s="143" t="n">
        <v>11490</v>
      </c>
      <c r="D1848" s="143" t="s">
        <v>65</v>
      </c>
      <c r="E1848" s="143" t="s">
        <v>479</v>
      </c>
      <c r="F1848" s="144" t="n">
        <v>200025888614</v>
      </c>
      <c r="G1848" s="144" t="s">
        <v>169</v>
      </c>
      <c r="H1848" s="144" t="n">
        <v>4</v>
      </c>
      <c r="I1848" s="144" t="s">
        <v>148</v>
      </c>
      <c r="J1848" s="151" t="n">
        <v>45056.4045486111</v>
      </c>
      <c r="K1848" s="1" t="n">
        <v>0</v>
      </c>
      <c r="L1848" s="144" t="n">
        <v>4</v>
      </c>
      <c r="M1848" s="1" t="n">
        <v>52</v>
      </c>
      <c r="N1848" s="1" t="n">
        <v>52</v>
      </c>
      <c r="O1848" s="149" t="n">
        <v>1</v>
      </c>
    </row>
    <row r="1849" customFormat="false" ht="14.25" hidden="false" customHeight="false" outlineLevel="0" collapsed="false">
      <c r="A1849" s="1" t="n">
        <v>173</v>
      </c>
      <c r="B1849" s="1" t="s">
        <v>473</v>
      </c>
      <c r="C1849" s="143" t="n">
        <v>11490</v>
      </c>
      <c r="D1849" s="143" t="s">
        <v>65</v>
      </c>
      <c r="E1849" s="143" t="s">
        <v>479</v>
      </c>
      <c r="F1849" s="144" t="n">
        <v>200025888614</v>
      </c>
      <c r="G1849" s="144" t="s">
        <v>169</v>
      </c>
      <c r="H1849" s="144" t="n">
        <v>4</v>
      </c>
      <c r="I1849" s="144" t="s">
        <v>148</v>
      </c>
      <c r="J1849" s="151" t="n">
        <v>45056.4046643519</v>
      </c>
      <c r="K1849" s="1" t="n">
        <v>1</v>
      </c>
      <c r="L1849" s="144" t="n">
        <v>4</v>
      </c>
      <c r="M1849" s="1" t="n">
        <v>52</v>
      </c>
      <c r="N1849" s="1" t="n">
        <v>52</v>
      </c>
      <c r="O1849" s="149" t="n">
        <v>2</v>
      </c>
    </row>
    <row r="1850" customFormat="false" ht="14.25" hidden="false" customHeight="false" outlineLevel="0" collapsed="false">
      <c r="A1850" s="1" t="n">
        <v>181</v>
      </c>
      <c r="B1850" s="1" t="s">
        <v>473</v>
      </c>
      <c r="C1850" s="143" t="n">
        <v>11490</v>
      </c>
      <c r="D1850" s="143" t="s">
        <v>65</v>
      </c>
      <c r="E1850" s="143" t="s">
        <v>479</v>
      </c>
      <c r="F1850" s="144" t="n">
        <v>200025888614</v>
      </c>
      <c r="G1850" s="144" t="s">
        <v>169</v>
      </c>
      <c r="H1850" s="144" t="n">
        <v>4</v>
      </c>
      <c r="I1850" s="144" t="s">
        <v>148</v>
      </c>
      <c r="J1850" s="151" t="n">
        <v>45056.4658796296</v>
      </c>
      <c r="K1850" s="1" t="n">
        <v>1</v>
      </c>
      <c r="L1850" s="144" t="n">
        <v>4</v>
      </c>
      <c r="M1850" s="1" t="n">
        <v>52</v>
      </c>
      <c r="N1850" s="1" t="n">
        <v>52</v>
      </c>
      <c r="O1850" s="149" t="n">
        <v>3</v>
      </c>
    </row>
    <row r="1851" customFormat="false" ht="14.25" hidden="false" customHeight="false" outlineLevel="0" collapsed="false">
      <c r="A1851" s="1" t="n">
        <v>182</v>
      </c>
      <c r="B1851" s="1" t="s">
        <v>473</v>
      </c>
      <c r="C1851" s="143" t="n">
        <v>11490</v>
      </c>
      <c r="D1851" s="143" t="s">
        <v>65</v>
      </c>
      <c r="E1851" s="143" t="s">
        <v>479</v>
      </c>
      <c r="F1851" s="144" t="n">
        <v>200025888614</v>
      </c>
      <c r="G1851" s="144" t="s">
        <v>169</v>
      </c>
      <c r="H1851" s="144" t="n">
        <v>4</v>
      </c>
      <c r="I1851" s="144" t="s">
        <v>148</v>
      </c>
      <c r="J1851" s="151" t="n">
        <v>45056.4820486111</v>
      </c>
      <c r="K1851" s="1" t="n">
        <v>2</v>
      </c>
      <c r="L1851" s="144" t="n">
        <v>4</v>
      </c>
      <c r="M1851" s="1" t="n">
        <v>52</v>
      </c>
      <c r="N1851" s="1" t="n">
        <v>52</v>
      </c>
      <c r="O1851" s="149" t="n">
        <v>4</v>
      </c>
    </row>
    <row r="1852" customFormat="false" ht="14.25" hidden="false" customHeight="false" outlineLevel="0" collapsed="false">
      <c r="A1852" s="1" t="n">
        <v>183</v>
      </c>
      <c r="B1852" s="1" t="s">
        <v>473</v>
      </c>
      <c r="C1852" s="143" t="n">
        <v>11490</v>
      </c>
      <c r="D1852" s="143" t="s">
        <v>65</v>
      </c>
      <c r="E1852" s="143" t="s">
        <v>479</v>
      </c>
      <c r="F1852" s="144" t="n">
        <v>200025888614</v>
      </c>
      <c r="G1852" s="144" t="s">
        <v>169</v>
      </c>
      <c r="H1852" s="144" t="n">
        <v>4</v>
      </c>
      <c r="I1852" s="144" t="s">
        <v>148</v>
      </c>
      <c r="J1852" s="151" t="n">
        <v>45056.4821643519</v>
      </c>
      <c r="K1852" s="1" t="n">
        <v>3</v>
      </c>
      <c r="L1852" s="144" t="n">
        <v>4</v>
      </c>
      <c r="M1852" s="1" t="n">
        <v>52</v>
      </c>
      <c r="N1852" s="1" t="n">
        <v>52</v>
      </c>
      <c r="O1852" s="149" t="n">
        <v>5</v>
      </c>
    </row>
    <row r="1853" customFormat="false" ht="14.25" hidden="false" customHeight="false" outlineLevel="0" collapsed="false">
      <c r="A1853" s="1" t="n">
        <v>184</v>
      </c>
      <c r="B1853" s="1" t="s">
        <v>473</v>
      </c>
      <c r="C1853" s="143" t="n">
        <v>11490</v>
      </c>
      <c r="D1853" s="143" t="s">
        <v>65</v>
      </c>
      <c r="E1853" s="143" t="s">
        <v>479</v>
      </c>
      <c r="F1853" s="144" t="n">
        <v>200025888614</v>
      </c>
      <c r="G1853" s="144" t="s">
        <v>169</v>
      </c>
      <c r="H1853" s="144" t="n">
        <v>4</v>
      </c>
      <c r="I1853" s="144" t="s">
        <v>148</v>
      </c>
      <c r="J1853" s="151" t="n">
        <v>45056.4824421296</v>
      </c>
      <c r="K1853" s="1" t="n">
        <v>1</v>
      </c>
      <c r="L1853" s="144" t="n">
        <v>4</v>
      </c>
      <c r="M1853" s="1" t="n">
        <v>52</v>
      </c>
      <c r="N1853" s="1" t="n">
        <v>52</v>
      </c>
      <c r="O1853" s="149" t="n">
        <v>6</v>
      </c>
    </row>
    <row r="1854" customFormat="false" ht="14.25" hidden="false" customHeight="false" outlineLevel="0" collapsed="false">
      <c r="A1854" s="1" t="n">
        <v>185</v>
      </c>
      <c r="B1854" s="1" t="s">
        <v>473</v>
      </c>
      <c r="C1854" s="143" t="n">
        <v>11490</v>
      </c>
      <c r="D1854" s="143" t="s">
        <v>65</v>
      </c>
      <c r="E1854" s="143" t="s">
        <v>479</v>
      </c>
      <c r="F1854" s="144" t="n">
        <v>200025888614</v>
      </c>
      <c r="G1854" s="144" t="s">
        <v>169</v>
      </c>
      <c r="H1854" s="144" t="n">
        <v>4</v>
      </c>
      <c r="I1854" s="144" t="s">
        <v>148</v>
      </c>
      <c r="J1854" s="151" t="n">
        <v>45056.4825810185</v>
      </c>
      <c r="K1854" s="1" t="n">
        <v>0</v>
      </c>
      <c r="L1854" s="144" t="n">
        <v>4</v>
      </c>
      <c r="M1854" s="1" t="n">
        <v>52</v>
      </c>
      <c r="N1854" s="1" t="n">
        <v>52</v>
      </c>
      <c r="O1854" s="149" t="n">
        <v>7</v>
      </c>
    </row>
    <row r="1855" customFormat="false" ht="14.25" hidden="false" customHeight="false" outlineLevel="0" collapsed="false">
      <c r="A1855" s="1" t="n">
        <v>186</v>
      </c>
      <c r="B1855" s="1" t="s">
        <v>473</v>
      </c>
      <c r="C1855" s="143" t="n">
        <v>11490</v>
      </c>
      <c r="D1855" s="143" t="s">
        <v>65</v>
      </c>
      <c r="E1855" s="143" t="s">
        <v>479</v>
      </c>
      <c r="F1855" s="144" t="n">
        <v>200025888614</v>
      </c>
      <c r="G1855" s="144" t="s">
        <v>169</v>
      </c>
      <c r="H1855" s="144" t="n">
        <v>4</v>
      </c>
      <c r="I1855" s="144" t="s">
        <v>148</v>
      </c>
      <c r="J1855" s="151" t="n">
        <v>45056.4827430556</v>
      </c>
      <c r="K1855" s="1" t="n">
        <v>3</v>
      </c>
      <c r="L1855" s="144" t="n">
        <v>4</v>
      </c>
      <c r="M1855" s="1" t="n">
        <v>52</v>
      </c>
      <c r="N1855" s="1" t="n">
        <v>52</v>
      </c>
      <c r="O1855" s="149" t="n">
        <v>8</v>
      </c>
    </row>
    <row r="1856" customFormat="false" ht="14.25" hidden="false" customHeight="false" outlineLevel="0" collapsed="false">
      <c r="A1856" s="1" t="n">
        <v>187</v>
      </c>
      <c r="B1856" s="1" t="s">
        <v>473</v>
      </c>
      <c r="C1856" s="143" t="n">
        <v>11490</v>
      </c>
      <c r="D1856" s="143" t="s">
        <v>65</v>
      </c>
      <c r="E1856" s="143" t="s">
        <v>479</v>
      </c>
      <c r="F1856" s="144" t="n">
        <v>200025888614</v>
      </c>
      <c r="G1856" s="144" t="s">
        <v>169</v>
      </c>
      <c r="H1856" s="144" t="n">
        <v>4</v>
      </c>
      <c r="I1856" s="144" t="s">
        <v>148</v>
      </c>
      <c r="J1856" s="151" t="n">
        <v>45056.4828240741</v>
      </c>
      <c r="K1856" s="1" t="n">
        <v>0</v>
      </c>
      <c r="L1856" s="144" t="n">
        <v>4</v>
      </c>
      <c r="M1856" s="1" t="n">
        <v>52</v>
      </c>
      <c r="N1856" s="1" t="n">
        <v>52</v>
      </c>
      <c r="O1856" s="149" t="n">
        <v>9</v>
      </c>
    </row>
    <row r="1857" customFormat="false" ht="14.25" hidden="false" customHeight="false" outlineLevel="0" collapsed="false">
      <c r="A1857" s="1" t="n">
        <v>188</v>
      </c>
      <c r="B1857" s="1" t="s">
        <v>473</v>
      </c>
      <c r="C1857" s="143" t="n">
        <v>11490</v>
      </c>
      <c r="D1857" s="143" t="s">
        <v>65</v>
      </c>
      <c r="E1857" s="143" t="s">
        <v>479</v>
      </c>
      <c r="F1857" s="144" t="n">
        <v>200025888614</v>
      </c>
      <c r="G1857" s="144" t="s">
        <v>169</v>
      </c>
      <c r="H1857" s="144" t="n">
        <v>4</v>
      </c>
      <c r="I1857" s="144" t="s">
        <v>148</v>
      </c>
      <c r="J1857" s="151" t="n">
        <v>45056.4830902778</v>
      </c>
      <c r="K1857" s="1" t="n">
        <v>1</v>
      </c>
      <c r="L1857" s="144" t="n">
        <v>4</v>
      </c>
      <c r="M1857" s="1" t="n">
        <v>52</v>
      </c>
      <c r="N1857" s="1" t="n">
        <v>52</v>
      </c>
      <c r="O1857" s="149" t="n">
        <v>10</v>
      </c>
    </row>
    <row r="1858" customFormat="false" ht="14.25" hidden="false" customHeight="false" outlineLevel="0" collapsed="false">
      <c r="A1858" s="1" t="n">
        <v>189</v>
      </c>
      <c r="B1858" s="1" t="s">
        <v>473</v>
      </c>
      <c r="C1858" s="143" t="n">
        <v>11490</v>
      </c>
      <c r="D1858" s="143" t="s">
        <v>65</v>
      </c>
      <c r="E1858" s="143" t="s">
        <v>479</v>
      </c>
      <c r="F1858" s="144" t="n">
        <v>200025888614</v>
      </c>
      <c r="G1858" s="144" t="s">
        <v>169</v>
      </c>
      <c r="H1858" s="144" t="n">
        <v>4</v>
      </c>
      <c r="I1858" s="144" t="s">
        <v>148</v>
      </c>
      <c r="J1858" s="151" t="n">
        <v>45056.4831365741</v>
      </c>
      <c r="K1858" s="1" t="n">
        <v>3</v>
      </c>
      <c r="L1858" s="144" t="n">
        <v>4</v>
      </c>
      <c r="M1858" s="1" t="n">
        <v>52</v>
      </c>
      <c r="N1858" s="1" t="n">
        <v>52</v>
      </c>
      <c r="O1858" s="149" t="n">
        <v>11</v>
      </c>
    </row>
    <row r="1859" customFormat="false" ht="14.25" hidden="false" customHeight="false" outlineLevel="0" collapsed="false">
      <c r="A1859" s="1" t="n">
        <v>190</v>
      </c>
      <c r="B1859" s="1" t="s">
        <v>473</v>
      </c>
      <c r="C1859" s="143" t="n">
        <v>11490</v>
      </c>
      <c r="D1859" s="143" t="s">
        <v>65</v>
      </c>
      <c r="E1859" s="143" t="s">
        <v>479</v>
      </c>
      <c r="F1859" s="144" t="n">
        <v>200025888614</v>
      </c>
      <c r="G1859" s="144" t="s">
        <v>169</v>
      </c>
      <c r="H1859" s="144" t="n">
        <v>4</v>
      </c>
      <c r="I1859" s="144" t="s">
        <v>148</v>
      </c>
      <c r="J1859" s="151" t="n">
        <v>45056.4853587963</v>
      </c>
      <c r="K1859" s="1" t="n">
        <v>0</v>
      </c>
      <c r="L1859" s="144" t="n">
        <v>4</v>
      </c>
      <c r="M1859" s="1" t="n">
        <v>52</v>
      </c>
      <c r="N1859" s="1" t="n">
        <v>52</v>
      </c>
      <c r="O1859" s="149" t="n">
        <v>12</v>
      </c>
    </row>
    <row r="1860" customFormat="false" ht="14.25" hidden="false" customHeight="false" outlineLevel="0" collapsed="false">
      <c r="A1860" s="1" t="n">
        <v>191</v>
      </c>
      <c r="B1860" s="1" t="s">
        <v>473</v>
      </c>
      <c r="C1860" s="143" t="n">
        <v>11490</v>
      </c>
      <c r="D1860" s="143" t="s">
        <v>65</v>
      </c>
      <c r="E1860" s="143" t="s">
        <v>479</v>
      </c>
      <c r="F1860" s="144" t="n">
        <v>200025888614</v>
      </c>
      <c r="G1860" s="144" t="s">
        <v>169</v>
      </c>
      <c r="H1860" s="144" t="n">
        <v>4</v>
      </c>
      <c r="I1860" s="144" t="s">
        <v>148</v>
      </c>
      <c r="J1860" s="151" t="n">
        <v>45056.4856134259</v>
      </c>
      <c r="K1860" s="1" t="n">
        <v>4</v>
      </c>
      <c r="L1860" s="144" t="n">
        <v>4</v>
      </c>
      <c r="M1860" s="1" t="n">
        <v>52</v>
      </c>
      <c r="N1860" s="1" t="n">
        <v>52</v>
      </c>
      <c r="O1860" s="149" t="n">
        <v>13</v>
      </c>
    </row>
    <row r="1861" customFormat="false" ht="14.25" hidden="false" customHeight="false" outlineLevel="0" collapsed="false">
      <c r="A1861" s="1" t="n">
        <v>144</v>
      </c>
      <c r="B1861" s="1" t="s">
        <v>475</v>
      </c>
      <c r="C1861" s="143" t="s">
        <v>52</v>
      </c>
      <c r="D1861" s="143" t="s">
        <v>53</v>
      </c>
      <c r="E1861" s="143" t="s">
        <v>479</v>
      </c>
      <c r="F1861" s="144" t="n">
        <v>200025888614</v>
      </c>
      <c r="G1861" s="144" t="s">
        <v>169</v>
      </c>
      <c r="H1861" s="144" t="n">
        <v>4</v>
      </c>
      <c r="I1861" s="144" t="s">
        <v>148</v>
      </c>
      <c r="J1861" s="151" t="n">
        <v>45056.4977546296</v>
      </c>
      <c r="K1861" s="1" t="n">
        <v>0</v>
      </c>
      <c r="L1861" s="144" t="n">
        <v>4</v>
      </c>
      <c r="M1861" s="1" t="n">
        <v>52</v>
      </c>
      <c r="N1861" s="1" t="n">
        <v>52</v>
      </c>
      <c r="O1861" s="149" t="n">
        <v>14</v>
      </c>
    </row>
    <row r="1862" customFormat="false" ht="14.25" hidden="false" customHeight="false" outlineLevel="0" collapsed="false">
      <c r="A1862" s="1" t="n">
        <v>193</v>
      </c>
      <c r="B1862" s="1" t="s">
        <v>473</v>
      </c>
      <c r="C1862" s="143" t="n">
        <v>11490</v>
      </c>
      <c r="D1862" s="143" t="s">
        <v>65</v>
      </c>
      <c r="E1862" s="143" t="s">
        <v>479</v>
      </c>
      <c r="F1862" s="144" t="n">
        <v>200025888614</v>
      </c>
      <c r="G1862" s="144" t="s">
        <v>169</v>
      </c>
      <c r="H1862" s="144" t="n">
        <v>4</v>
      </c>
      <c r="I1862" s="144" t="s">
        <v>148</v>
      </c>
      <c r="J1862" s="151" t="n">
        <v>45056.535474537</v>
      </c>
      <c r="K1862" s="1" t="n">
        <v>1</v>
      </c>
      <c r="L1862" s="144" t="n">
        <v>4</v>
      </c>
      <c r="M1862" s="1" t="n">
        <v>52</v>
      </c>
      <c r="N1862" s="1" t="n">
        <v>52</v>
      </c>
      <c r="O1862" s="149" t="n">
        <v>15</v>
      </c>
    </row>
    <row r="1863" customFormat="false" ht="14.25" hidden="false" customHeight="false" outlineLevel="0" collapsed="false">
      <c r="A1863" s="1" t="n">
        <v>194</v>
      </c>
      <c r="B1863" s="1" t="s">
        <v>473</v>
      </c>
      <c r="C1863" s="143" t="n">
        <v>11490</v>
      </c>
      <c r="D1863" s="143" t="s">
        <v>65</v>
      </c>
      <c r="E1863" s="143" t="s">
        <v>479</v>
      </c>
      <c r="F1863" s="144" t="n">
        <v>200025888614</v>
      </c>
      <c r="G1863" s="144" t="s">
        <v>169</v>
      </c>
      <c r="H1863" s="144" t="n">
        <v>4</v>
      </c>
      <c r="I1863" s="144" t="s">
        <v>148</v>
      </c>
      <c r="J1863" s="151" t="n">
        <v>45056.5359606482</v>
      </c>
      <c r="K1863" s="1" t="n">
        <v>1</v>
      </c>
      <c r="L1863" s="144" t="n">
        <v>4</v>
      </c>
      <c r="M1863" s="1" t="n">
        <v>52</v>
      </c>
      <c r="N1863" s="1" t="n">
        <v>52</v>
      </c>
      <c r="O1863" s="149" t="n">
        <v>16</v>
      </c>
    </row>
    <row r="1864" customFormat="false" ht="14.25" hidden="false" customHeight="false" outlineLevel="0" collapsed="false">
      <c r="A1864" s="1" t="n">
        <v>195</v>
      </c>
      <c r="B1864" s="1" t="s">
        <v>473</v>
      </c>
      <c r="C1864" s="143" t="n">
        <v>11490</v>
      </c>
      <c r="D1864" s="143" t="s">
        <v>65</v>
      </c>
      <c r="E1864" s="143" t="s">
        <v>479</v>
      </c>
      <c r="F1864" s="144" t="n">
        <v>200025888614</v>
      </c>
      <c r="G1864" s="144" t="s">
        <v>169</v>
      </c>
      <c r="H1864" s="144" t="n">
        <v>4</v>
      </c>
      <c r="I1864" s="144" t="s">
        <v>148</v>
      </c>
      <c r="J1864" s="151" t="n">
        <v>45056.5362847222</v>
      </c>
      <c r="K1864" s="1" t="n">
        <v>1</v>
      </c>
      <c r="L1864" s="144" t="n">
        <v>4</v>
      </c>
      <c r="M1864" s="1" t="n">
        <v>52</v>
      </c>
      <c r="N1864" s="1" t="n">
        <v>52</v>
      </c>
      <c r="O1864" s="149" t="n">
        <v>17</v>
      </c>
    </row>
    <row r="1865" customFormat="false" ht="14.25" hidden="false" customHeight="false" outlineLevel="0" collapsed="false">
      <c r="A1865" s="1" t="n">
        <v>196</v>
      </c>
      <c r="B1865" s="1" t="s">
        <v>473</v>
      </c>
      <c r="C1865" s="143" t="n">
        <v>11490</v>
      </c>
      <c r="D1865" s="143" t="s">
        <v>65</v>
      </c>
      <c r="E1865" s="143" t="s">
        <v>479</v>
      </c>
      <c r="F1865" s="144" t="n">
        <v>200025888614</v>
      </c>
      <c r="G1865" s="144" t="s">
        <v>169</v>
      </c>
      <c r="H1865" s="144" t="n">
        <v>4</v>
      </c>
      <c r="I1865" s="144" t="s">
        <v>148</v>
      </c>
      <c r="J1865" s="151" t="n">
        <v>45056.6115162037</v>
      </c>
      <c r="K1865" s="1" t="n">
        <v>4</v>
      </c>
      <c r="L1865" s="144" t="n">
        <v>4</v>
      </c>
      <c r="M1865" s="1" t="n">
        <v>52</v>
      </c>
      <c r="N1865" s="1" t="n">
        <v>52</v>
      </c>
      <c r="O1865" s="149" t="n">
        <v>18</v>
      </c>
    </row>
    <row r="1866" customFormat="false" ht="14.25" hidden="false" customHeight="false" outlineLevel="0" collapsed="false">
      <c r="A1866" s="1" t="n">
        <v>199</v>
      </c>
      <c r="B1866" s="1" t="s">
        <v>473</v>
      </c>
      <c r="C1866" s="143" t="n">
        <v>11490</v>
      </c>
      <c r="D1866" s="143" t="s">
        <v>65</v>
      </c>
      <c r="E1866" s="143" t="s">
        <v>479</v>
      </c>
      <c r="F1866" s="144" t="n">
        <v>200025888614</v>
      </c>
      <c r="G1866" s="144" t="s">
        <v>169</v>
      </c>
      <c r="H1866" s="144" t="n">
        <v>4</v>
      </c>
      <c r="I1866" s="144" t="s">
        <v>148</v>
      </c>
      <c r="J1866" s="151" t="n">
        <v>45056.6334143519</v>
      </c>
      <c r="K1866" s="1" t="n">
        <v>1</v>
      </c>
      <c r="L1866" s="144" t="n">
        <v>4</v>
      </c>
      <c r="M1866" s="1" t="n">
        <v>52</v>
      </c>
      <c r="N1866" s="1" t="n">
        <v>52</v>
      </c>
      <c r="O1866" s="149" t="n">
        <v>19</v>
      </c>
    </row>
    <row r="1867" customFormat="false" ht="14.25" hidden="false" customHeight="false" outlineLevel="0" collapsed="false">
      <c r="A1867" s="1" t="n">
        <v>200</v>
      </c>
      <c r="B1867" s="1" t="s">
        <v>473</v>
      </c>
      <c r="C1867" s="143" t="n">
        <v>11490</v>
      </c>
      <c r="D1867" s="143" t="s">
        <v>65</v>
      </c>
      <c r="E1867" s="143" t="s">
        <v>479</v>
      </c>
      <c r="F1867" s="144" t="n">
        <v>200025888614</v>
      </c>
      <c r="G1867" s="144" t="s">
        <v>169</v>
      </c>
      <c r="H1867" s="144" t="n">
        <v>4</v>
      </c>
      <c r="I1867" s="144" t="s">
        <v>148</v>
      </c>
      <c r="J1867" s="151" t="n">
        <v>45056.633587963</v>
      </c>
      <c r="K1867" s="1" t="n">
        <v>1</v>
      </c>
      <c r="L1867" s="144" t="n">
        <v>4</v>
      </c>
      <c r="M1867" s="1" t="n">
        <v>52</v>
      </c>
      <c r="N1867" s="1" t="n">
        <v>52</v>
      </c>
      <c r="O1867" s="149" t="n">
        <v>20</v>
      </c>
    </row>
    <row r="1868" customFormat="false" ht="14.25" hidden="false" customHeight="false" outlineLevel="0" collapsed="false">
      <c r="A1868" s="1" t="n">
        <v>201</v>
      </c>
      <c r="B1868" s="1" t="s">
        <v>473</v>
      </c>
      <c r="C1868" s="143" t="n">
        <v>11490</v>
      </c>
      <c r="D1868" s="143" t="s">
        <v>65</v>
      </c>
      <c r="E1868" s="143" t="s">
        <v>479</v>
      </c>
      <c r="F1868" s="144" t="n">
        <v>200025888614</v>
      </c>
      <c r="G1868" s="144" t="s">
        <v>169</v>
      </c>
      <c r="H1868" s="144" t="n">
        <v>4</v>
      </c>
      <c r="I1868" s="144" t="s">
        <v>148</v>
      </c>
      <c r="J1868" s="151" t="n">
        <v>45056.6337268519</v>
      </c>
      <c r="K1868" s="1" t="n">
        <v>2</v>
      </c>
      <c r="L1868" s="144" t="n">
        <v>4</v>
      </c>
      <c r="M1868" s="1" t="n">
        <v>52</v>
      </c>
      <c r="N1868" s="1" t="n">
        <v>52</v>
      </c>
      <c r="O1868" s="149" t="n">
        <v>21</v>
      </c>
    </row>
    <row r="1869" customFormat="false" ht="14.25" hidden="false" customHeight="false" outlineLevel="0" collapsed="false">
      <c r="A1869" s="1" t="n">
        <v>202</v>
      </c>
      <c r="B1869" s="1" t="s">
        <v>473</v>
      </c>
      <c r="C1869" s="143" t="n">
        <v>11490</v>
      </c>
      <c r="D1869" s="143" t="s">
        <v>65</v>
      </c>
      <c r="E1869" s="143" t="s">
        <v>479</v>
      </c>
      <c r="F1869" s="144" t="n">
        <v>200025888614</v>
      </c>
      <c r="G1869" s="144" t="s">
        <v>169</v>
      </c>
      <c r="H1869" s="144" t="n">
        <v>4</v>
      </c>
      <c r="I1869" s="144" t="s">
        <v>148</v>
      </c>
      <c r="J1869" s="151" t="n">
        <v>45056.63375</v>
      </c>
      <c r="K1869" s="1" t="n">
        <v>2</v>
      </c>
      <c r="L1869" s="144" t="n">
        <v>4</v>
      </c>
      <c r="M1869" s="1" t="n">
        <v>52</v>
      </c>
      <c r="N1869" s="1" t="n">
        <v>52</v>
      </c>
      <c r="O1869" s="149" t="n">
        <v>22</v>
      </c>
    </row>
    <row r="1870" customFormat="false" ht="14.25" hidden="false" customHeight="false" outlineLevel="0" collapsed="false">
      <c r="A1870" s="1" t="n">
        <v>151</v>
      </c>
      <c r="B1870" s="1" t="s">
        <v>475</v>
      </c>
      <c r="C1870" s="143" t="s">
        <v>52</v>
      </c>
      <c r="D1870" s="143" t="s">
        <v>53</v>
      </c>
      <c r="E1870" s="143" t="s">
        <v>479</v>
      </c>
      <c r="F1870" s="144" t="n">
        <v>200025888614</v>
      </c>
      <c r="G1870" s="144" t="s">
        <v>169</v>
      </c>
      <c r="H1870" s="144" t="n">
        <v>4</v>
      </c>
      <c r="I1870" s="144" t="s">
        <v>148</v>
      </c>
      <c r="J1870" s="151" t="n">
        <v>45056.7368865741</v>
      </c>
      <c r="K1870" s="1" t="n">
        <v>2</v>
      </c>
      <c r="L1870" s="144" t="n">
        <v>4</v>
      </c>
      <c r="M1870" s="1" t="n">
        <v>52</v>
      </c>
      <c r="N1870" s="1" t="n">
        <v>52</v>
      </c>
      <c r="O1870" s="149" t="n">
        <v>23</v>
      </c>
    </row>
    <row r="1871" customFormat="false" ht="14.25" hidden="false" customHeight="false" outlineLevel="0" collapsed="false">
      <c r="A1871" s="1" t="n">
        <v>160</v>
      </c>
      <c r="B1871" s="1" t="s">
        <v>475</v>
      </c>
      <c r="C1871" s="143" t="s">
        <v>52</v>
      </c>
      <c r="D1871" s="143" t="s">
        <v>53</v>
      </c>
      <c r="E1871" s="143" t="s">
        <v>479</v>
      </c>
      <c r="F1871" s="144" t="n">
        <v>200025888614</v>
      </c>
      <c r="G1871" s="144" t="s">
        <v>169</v>
      </c>
      <c r="H1871" s="144" t="n">
        <v>4</v>
      </c>
      <c r="I1871" s="144" t="s">
        <v>148</v>
      </c>
      <c r="J1871" s="151" t="n">
        <v>45056.843287037</v>
      </c>
      <c r="K1871" s="1" t="n">
        <v>2</v>
      </c>
      <c r="L1871" s="144" t="n">
        <v>4</v>
      </c>
      <c r="M1871" s="1" t="n">
        <v>52</v>
      </c>
      <c r="N1871" s="1" t="n">
        <v>52</v>
      </c>
      <c r="O1871" s="149" t="n">
        <v>24</v>
      </c>
    </row>
    <row r="1872" customFormat="false" ht="14.25" hidden="false" customHeight="false" outlineLevel="0" collapsed="false">
      <c r="A1872" s="1" t="n">
        <v>161</v>
      </c>
      <c r="B1872" s="1" t="s">
        <v>475</v>
      </c>
      <c r="C1872" s="143" t="s">
        <v>52</v>
      </c>
      <c r="D1872" s="143" t="s">
        <v>53</v>
      </c>
      <c r="E1872" s="143" t="s">
        <v>479</v>
      </c>
      <c r="F1872" s="144" t="n">
        <v>200025888614</v>
      </c>
      <c r="G1872" s="144" t="s">
        <v>169</v>
      </c>
      <c r="H1872" s="144" t="n">
        <v>4</v>
      </c>
      <c r="I1872" s="144" t="s">
        <v>148</v>
      </c>
      <c r="J1872" s="151" t="n">
        <v>45056.8434259259</v>
      </c>
      <c r="K1872" s="1" t="n">
        <v>1</v>
      </c>
      <c r="L1872" s="144" t="n">
        <v>4</v>
      </c>
      <c r="M1872" s="1" t="n">
        <v>52</v>
      </c>
      <c r="N1872" s="1" t="n">
        <v>52</v>
      </c>
      <c r="O1872" s="149" t="n">
        <v>25</v>
      </c>
    </row>
    <row r="1873" customFormat="false" ht="14.25" hidden="false" customHeight="false" outlineLevel="0" collapsed="false">
      <c r="A1873" s="1" t="n">
        <v>254</v>
      </c>
      <c r="B1873" s="1" t="s">
        <v>473</v>
      </c>
      <c r="C1873" s="143" t="n">
        <v>11490</v>
      </c>
      <c r="D1873" s="143" t="s">
        <v>65</v>
      </c>
      <c r="E1873" s="143" t="s">
        <v>479</v>
      </c>
      <c r="F1873" s="144" t="n">
        <v>200025888614</v>
      </c>
      <c r="G1873" s="144" t="s">
        <v>169</v>
      </c>
      <c r="H1873" s="144" t="n">
        <v>4</v>
      </c>
      <c r="I1873" s="144" t="s">
        <v>148</v>
      </c>
      <c r="J1873" s="151" t="n">
        <v>45056.9170486111</v>
      </c>
      <c r="K1873" s="1" t="n">
        <v>0</v>
      </c>
      <c r="L1873" s="144" t="n">
        <v>4</v>
      </c>
      <c r="M1873" s="1" t="n">
        <v>52</v>
      </c>
      <c r="N1873" s="1" t="n">
        <v>52</v>
      </c>
      <c r="O1873" s="149" t="n">
        <v>26</v>
      </c>
    </row>
    <row r="1874" customFormat="false" ht="14.25" hidden="false" customHeight="false" outlineLevel="0" collapsed="false">
      <c r="A1874" s="1" t="n">
        <v>203</v>
      </c>
      <c r="B1874" s="1" t="s">
        <v>473</v>
      </c>
      <c r="C1874" s="143" t="n">
        <v>11490</v>
      </c>
      <c r="D1874" s="143" t="s">
        <v>65</v>
      </c>
      <c r="E1874" s="143" t="s">
        <v>479</v>
      </c>
      <c r="F1874" s="144" t="n">
        <v>200025888763</v>
      </c>
      <c r="G1874" s="144" t="s">
        <v>398</v>
      </c>
      <c r="H1874" s="144" t="n">
        <v>96</v>
      </c>
      <c r="I1874" s="144" t="s">
        <v>148</v>
      </c>
      <c r="J1874" s="6" t="n">
        <v>45056.6425925926</v>
      </c>
      <c r="K1874" s="1" t="n">
        <v>1</v>
      </c>
      <c r="L1874" s="144" t="n">
        <v>96</v>
      </c>
      <c r="M1874" s="1" t="n">
        <v>53</v>
      </c>
      <c r="N1874" s="1" t="n">
        <v>53</v>
      </c>
      <c r="O1874" s="149" t="n">
        <v>1</v>
      </c>
    </row>
    <row r="1875" customFormat="false" ht="14.25" hidden="false" customHeight="false" outlineLevel="0" collapsed="false">
      <c r="A1875" s="1" t="n">
        <v>221</v>
      </c>
      <c r="B1875" s="1" t="s">
        <v>473</v>
      </c>
      <c r="C1875" s="143" t="n">
        <v>11490</v>
      </c>
      <c r="D1875" s="143" t="s">
        <v>65</v>
      </c>
      <c r="E1875" s="143" t="s">
        <v>479</v>
      </c>
      <c r="F1875" s="144" t="n">
        <v>200025888763</v>
      </c>
      <c r="G1875" s="144" t="s">
        <v>398</v>
      </c>
      <c r="H1875" s="144" t="n">
        <v>96</v>
      </c>
      <c r="I1875" s="144" t="s">
        <v>148</v>
      </c>
      <c r="J1875" s="6" t="n">
        <v>45056.7462037037</v>
      </c>
      <c r="K1875" s="1" t="n">
        <v>2</v>
      </c>
      <c r="L1875" s="144" t="n">
        <v>96</v>
      </c>
      <c r="M1875" s="1" t="n">
        <v>53</v>
      </c>
      <c r="N1875" s="1" t="n">
        <v>53</v>
      </c>
      <c r="O1875" s="149" t="n">
        <v>2</v>
      </c>
    </row>
    <row r="1876" customFormat="false" ht="14.25" hidden="false" customHeight="false" outlineLevel="0" collapsed="false">
      <c r="A1876" s="1" t="n">
        <v>226</v>
      </c>
      <c r="B1876" s="1" t="s">
        <v>473</v>
      </c>
      <c r="C1876" s="143" t="n">
        <v>11490</v>
      </c>
      <c r="D1876" s="143" t="s">
        <v>65</v>
      </c>
      <c r="E1876" s="143" t="s">
        <v>479</v>
      </c>
      <c r="F1876" s="144" t="n">
        <v>200025888763</v>
      </c>
      <c r="G1876" s="144" t="s">
        <v>398</v>
      </c>
      <c r="H1876" s="144" t="n">
        <v>96</v>
      </c>
      <c r="I1876" s="144" t="s">
        <v>148</v>
      </c>
      <c r="J1876" s="6" t="n">
        <v>45056.7834490741</v>
      </c>
      <c r="K1876" s="1" t="n">
        <v>2</v>
      </c>
      <c r="L1876" s="144" t="n">
        <v>96</v>
      </c>
      <c r="M1876" s="1" t="n">
        <v>53</v>
      </c>
      <c r="N1876" s="1" t="n">
        <v>53</v>
      </c>
      <c r="O1876" s="149" t="n">
        <v>3</v>
      </c>
    </row>
    <row r="1877" customFormat="false" ht="14.25" hidden="false" customHeight="false" outlineLevel="0" collapsed="false">
      <c r="A1877" s="1" t="n">
        <v>260</v>
      </c>
      <c r="B1877" s="1" t="s">
        <v>473</v>
      </c>
      <c r="C1877" s="143" t="n">
        <v>11490</v>
      </c>
      <c r="D1877" s="143" t="s">
        <v>65</v>
      </c>
      <c r="E1877" s="143" t="s">
        <v>479</v>
      </c>
      <c r="F1877" s="144" t="n">
        <v>200025888763</v>
      </c>
      <c r="G1877" s="144" t="s">
        <v>398</v>
      </c>
      <c r="H1877" s="144" t="n">
        <v>96</v>
      </c>
      <c r="I1877" s="144" t="s">
        <v>148</v>
      </c>
      <c r="J1877" s="6" t="n">
        <v>45056.9411921296</v>
      </c>
      <c r="K1877" s="156" t="n">
        <v>65535</v>
      </c>
      <c r="L1877" s="144" t="n">
        <v>96</v>
      </c>
      <c r="M1877" s="1" t="n">
        <v>53</v>
      </c>
      <c r="N1877" s="1" t="n">
        <v>53</v>
      </c>
      <c r="O1877" s="149" t="n">
        <v>4</v>
      </c>
    </row>
    <row r="1878" customFormat="false" ht="14.25" hidden="false" customHeight="false" outlineLevel="0" collapsed="false">
      <c r="A1878" s="1" t="n">
        <v>261</v>
      </c>
      <c r="B1878" s="1" t="s">
        <v>473</v>
      </c>
      <c r="C1878" s="143" t="n">
        <v>11490</v>
      </c>
      <c r="D1878" s="143" t="s">
        <v>65</v>
      </c>
      <c r="E1878" s="143" t="s">
        <v>479</v>
      </c>
      <c r="F1878" s="144" t="n">
        <v>200025888763</v>
      </c>
      <c r="G1878" s="144" t="s">
        <v>398</v>
      </c>
      <c r="H1878" s="144" t="n">
        <v>96</v>
      </c>
      <c r="I1878" s="144" t="s">
        <v>148</v>
      </c>
      <c r="J1878" s="6" t="n">
        <v>45056.94125</v>
      </c>
      <c r="K1878" s="1" t="n">
        <v>1</v>
      </c>
      <c r="L1878" s="144" t="n">
        <v>96</v>
      </c>
      <c r="M1878" s="1" t="n">
        <v>53</v>
      </c>
      <c r="N1878" s="1" t="n">
        <v>53</v>
      </c>
      <c r="O1878" s="149" t="n">
        <v>5</v>
      </c>
    </row>
    <row r="1879" customFormat="false" ht="14.25" hidden="false" customHeight="false" outlineLevel="0" collapsed="false">
      <c r="A1879" s="1" t="n">
        <v>262</v>
      </c>
      <c r="B1879" s="1" t="s">
        <v>473</v>
      </c>
      <c r="C1879" s="143" t="n">
        <v>11490</v>
      </c>
      <c r="D1879" s="143" t="s">
        <v>65</v>
      </c>
      <c r="E1879" s="143" t="s">
        <v>479</v>
      </c>
      <c r="F1879" s="144" t="n">
        <v>200025888763</v>
      </c>
      <c r="G1879" s="144" t="s">
        <v>398</v>
      </c>
      <c r="H1879" s="144" t="n">
        <v>96</v>
      </c>
      <c r="I1879" s="144" t="s">
        <v>148</v>
      </c>
      <c r="J1879" s="6" t="n">
        <v>45056.9413194444</v>
      </c>
      <c r="K1879" s="1" t="n">
        <v>2</v>
      </c>
      <c r="L1879" s="144" t="n">
        <v>96</v>
      </c>
      <c r="M1879" s="1" t="n">
        <v>53</v>
      </c>
      <c r="N1879" s="1" t="n">
        <v>53</v>
      </c>
      <c r="O1879" s="149" t="n">
        <v>6</v>
      </c>
    </row>
    <row r="1880" customFormat="false" ht="14.25" hidden="false" customHeight="false" outlineLevel="0" collapsed="false">
      <c r="A1880" s="1" t="n">
        <v>263</v>
      </c>
      <c r="B1880" s="1" t="s">
        <v>473</v>
      </c>
      <c r="C1880" s="143" t="n">
        <v>11490</v>
      </c>
      <c r="D1880" s="143" t="s">
        <v>65</v>
      </c>
      <c r="E1880" s="143" t="s">
        <v>479</v>
      </c>
      <c r="F1880" s="144" t="n">
        <v>200025888763</v>
      </c>
      <c r="G1880" s="144" t="s">
        <v>398</v>
      </c>
      <c r="H1880" s="144" t="n">
        <v>96</v>
      </c>
      <c r="I1880" s="144" t="s">
        <v>148</v>
      </c>
      <c r="J1880" s="6" t="n">
        <v>45056.9414930556</v>
      </c>
      <c r="K1880" s="1" t="n">
        <v>1</v>
      </c>
      <c r="L1880" s="144" t="n">
        <v>96</v>
      </c>
      <c r="M1880" s="1" t="n">
        <v>53</v>
      </c>
      <c r="N1880" s="1" t="n">
        <v>53</v>
      </c>
      <c r="O1880" s="149" t="n">
        <v>7</v>
      </c>
    </row>
    <row r="1881" customFormat="false" ht="14.25" hidden="false" customHeight="false" outlineLevel="0" collapsed="false">
      <c r="A1881" s="1" t="n">
        <v>264</v>
      </c>
      <c r="B1881" s="1" t="s">
        <v>473</v>
      </c>
      <c r="C1881" s="143" t="n">
        <v>11490</v>
      </c>
      <c r="D1881" s="143" t="s">
        <v>65</v>
      </c>
      <c r="E1881" s="143" t="s">
        <v>479</v>
      </c>
      <c r="F1881" s="144" t="n">
        <v>200025888763</v>
      </c>
      <c r="G1881" s="144" t="s">
        <v>398</v>
      </c>
      <c r="H1881" s="144" t="n">
        <v>96</v>
      </c>
      <c r="I1881" s="144" t="s">
        <v>148</v>
      </c>
      <c r="J1881" s="6" t="n">
        <v>45056.9422222222</v>
      </c>
      <c r="K1881" s="1" t="n">
        <v>2</v>
      </c>
      <c r="L1881" s="144" t="n">
        <v>96</v>
      </c>
      <c r="M1881" s="1" t="n">
        <v>53</v>
      </c>
      <c r="N1881" s="1" t="n">
        <v>53</v>
      </c>
      <c r="O1881" s="149" t="n">
        <v>8</v>
      </c>
    </row>
    <row r="1882" customFormat="false" ht="14.25" hidden="false" customHeight="false" outlineLevel="0" collapsed="false">
      <c r="A1882" s="1" t="n">
        <v>345</v>
      </c>
      <c r="B1882" s="1" t="s">
        <v>478</v>
      </c>
      <c r="C1882" s="143" t="s">
        <v>68</v>
      </c>
      <c r="D1882" s="143" t="s">
        <v>64</v>
      </c>
      <c r="E1882" s="143" t="s">
        <v>479</v>
      </c>
      <c r="F1882" s="144" t="n">
        <v>200025888763</v>
      </c>
      <c r="G1882" s="144" t="s">
        <v>398</v>
      </c>
      <c r="H1882" s="144" t="n">
        <v>96</v>
      </c>
      <c r="I1882" s="144" t="s">
        <v>148</v>
      </c>
      <c r="J1882" s="6" t="n">
        <v>45086.4802893519</v>
      </c>
      <c r="K1882" s="1" t="n">
        <v>1</v>
      </c>
      <c r="L1882" s="144" t="n">
        <v>96</v>
      </c>
      <c r="M1882" s="1" t="n">
        <v>53</v>
      </c>
      <c r="N1882" s="1" t="n">
        <v>53</v>
      </c>
      <c r="O1882" s="149" t="n">
        <v>9</v>
      </c>
    </row>
    <row r="1883" customFormat="false" ht="14.25" hidden="false" customHeight="false" outlineLevel="0" collapsed="false">
      <c r="A1883" s="1" t="n">
        <v>205</v>
      </c>
      <c r="B1883" s="1" t="s">
        <v>473</v>
      </c>
      <c r="C1883" s="143" t="n">
        <v>11490</v>
      </c>
      <c r="D1883" s="143" t="s">
        <v>65</v>
      </c>
      <c r="E1883" s="143" t="s">
        <v>479</v>
      </c>
      <c r="F1883" s="144" t="s">
        <v>503</v>
      </c>
      <c r="G1883" s="144" t="s">
        <v>302</v>
      </c>
      <c r="H1883" s="144" t="n">
        <v>87</v>
      </c>
      <c r="I1883" s="144" t="s">
        <v>148</v>
      </c>
      <c r="J1883" s="151" t="n">
        <v>45056.6603472222</v>
      </c>
      <c r="K1883" s="1" t="n">
        <v>1</v>
      </c>
      <c r="L1883" s="144" t="n">
        <v>87</v>
      </c>
      <c r="M1883" s="1" t="n">
        <v>54</v>
      </c>
      <c r="N1883" s="1" t="n">
        <v>54</v>
      </c>
      <c r="O1883" s="149" t="n">
        <v>1</v>
      </c>
    </row>
    <row r="1884" customFormat="false" ht="14.25" hidden="false" customHeight="false" outlineLevel="0" collapsed="false">
      <c r="A1884" s="1" t="n">
        <v>206</v>
      </c>
      <c r="B1884" s="1" t="s">
        <v>473</v>
      </c>
      <c r="C1884" s="143" t="n">
        <v>11490</v>
      </c>
      <c r="D1884" s="143" t="s">
        <v>65</v>
      </c>
      <c r="E1884" s="143" t="s">
        <v>479</v>
      </c>
      <c r="F1884" s="144" t="s">
        <v>503</v>
      </c>
      <c r="G1884" s="144" t="s">
        <v>302</v>
      </c>
      <c r="H1884" s="144" t="n">
        <v>87</v>
      </c>
      <c r="I1884" s="144" t="s">
        <v>148</v>
      </c>
      <c r="J1884" s="151" t="n">
        <v>45056.6604282407</v>
      </c>
      <c r="K1884" s="1" t="n">
        <v>2</v>
      </c>
      <c r="L1884" s="144" t="n">
        <v>87</v>
      </c>
      <c r="M1884" s="1" t="n">
        <v>54</v>
      </c>
      <c r="N1884" s="1" t="n">
        <v>54</v>
      </c>
      <c r="O1884" s="149" t="n">
        <v>2</v>
      </c>
    </row>
    <row r="1885" customFormat="false" ht="14.25" hidden="false" customHeight="false" outlineLevel="0" collapsed="false">
      <c r="A1885" s="1" t="n">
        <v>206</v>
      </c>
      <c r="B1885" s="1" t="s">
        <v>473</v>
      </c>
      <c r="C1885" s="143" t="n">
        <v>11490</v>
      </c>
      <c r="D1885" s="143" t="s">
        <v>65</v>
      </c>
      <c r="E1885" s="143" t="s">
        <v>479</v>
      </c>
      <c r="F1885" s="144" t="n">
        <v>200025888529</v>
      </c>
      <c r="G1885" s="144" t="s">
        <v>302</v>
      </c>
      <c r="H1885" s="144" t="n">
        <v>87</v>
      </c>
      <c r="I1885" s="144" t="s">
        <v>148</v>
      </c>
      <c r="J1885" s="151" t="n">
        <v>45056.6604282407</v>
      </c>
      <c r="K1885" s="1" t="n">
        <v>2</v>
      </c>
      <c r="L1885" s="144" t="n">
        <v>87</v>
      </c>
      <c r="M1885" s="1" t="n">
        <v>54</v>
      </c>
      <c r="N1885" s="1" t="n">
        <v>54</v>
      </c>
      <c r="O1885" s="149" t="n">
        <v>3</v>
      </c>
    </row>
    <row r="1886" customFormat="false" ht="14.25" hidden="false" customHeight="false" outlineLevel="0" collapsed="false">
      <c r="A1886" s="1" t="n">
        <v>207</v>
      </c>
      <c r="B1886" s="1" t="s">
        <v>473</v>
      </c>
      <c r="C1886" s="143" t="n">
        <v>11490</v>
      </c>
      <c r="D1886" s="143" t="s">
        <v>65</v>
      </c>
      <c r="E1886" s="143" t="s">
        <v>479</v>
      </c>
      <c r="F1886" s="144" t="n">
        <v>200025888529</v>
      </c>
      <c r="G1886" s="144" t="s">
        <v>302</v>
      </c>
      <c r="H1886" s="144" t="n">
        <v>87</v>
      </c>
      <c r="I1886" s="144" t="s">
        <v>148</v>
      </c>
      <c r="J1886" s="151" t="n">
        <v>45056.6605439815</v>
      </c>
      <c r="K1886" s="1" t="n">
        <v>1</v>
      </c>
      <c r="L1886" s="144" t="n">
        <v>87</v>
      </c>
      <c r="M1886" s="1" t="n">
        <v>54</v>
      </c>
      <c r="N1886" s="1" t="n">
        <v>54</v>
      </c>
      <c r="O1886" s="149" t="n">
        <v>4</v>
      </c>
    </row>
    <row r="1887" customFormat="false" ht="14.25" hidden="false" customHeight="false" outlineLevel="0" collapsed="false">
      <c r="A1887" s="1" t="n">
        <v>208</v>
      </c>
      <c r="B1887" s="1" t="s">
        <v>473</v>
      </c>
      <c r="C1887" s="143" t="n">
        <v>11490</v>
      </c>
      <c r="D1887" s="143" t="s">
        <v>65</v>
      </c>
      <c r="E1887" s="143" t="s">
        <v>479</v>
      </c>
      <c r="F1887" s="144" t="n">
        <v>200025888529</v>
      </c>
      <c r="G1887" s="144" t="s">
        <v>302</v>
      </c>
      <c r="H1887" s="144" t="n">
        <v>87</v>
      </c>
      <c r="I1887" s="144" t="s">
        <v>148</v>
      </c>
      <c r="J1887" s="151" t="n">
        <v>45056.6606018519</v>
      </c>
      <c r="K1887" s="1" t="n">
        <v>1</v>
      </c>
      <c r="L1887" s="144" t="n">
        <v>87</v>
      </c>
      <c r="M1887" s="1" t="n">
        <v>54</v>
      </c>
      <c r="N1887" s="1" t="n">
        <v>54</v>
      </c>
      <c r="O1887" s="149" t="n">
        <v>5</v>
      </c>
    </row>
    <row r="1888" customFormat="false" ht="14.25" hidden="false" customHeight="false" outlineLevel="0" collapsed="false">
      <c r="A1888" s="1" t="n">
        <v>209</v>
      </c>
      <c r="B1888" s="1" t="s">
        <v>473</v>
      </c>
      <c r="C1888" s="143" t="n">
        <v>11490</v>
      </c>
      <c r="D1888" s="143" t="s">
        <v>65</v>
      </c>
      <c r="E1888" s="143" t="s">
        <v>479</v>
      </c>
      <c r="F1888" s="144" t="n">
        <v>200025888529</v>
      </c>
      <c r="G1888" s="144" t="s">
        <v>302</v>
      </c>
      <c r="H1888" s="144" t="n">
        <v>87</v>
      </c>
      <c r="I1888" s="144" t="s">
        <v>148</v>
      </c>
      <c r="J1888" s="151" t="n">
        <v>45056.6606365741</v>
      </c>
      <c r="K1888" s="1" t="n">
        <v>3</v>
      </c>
      <c r="L1888" s="144" t="n">
        <v>87</v>
      </c>
      <c r="M1888" s="1" t="n">
        <v>54</v>
      </c>
      <c r="N1888" s="1" t="n">
        <v>54</v>
      </c>
      <c r="O1888" s="149" t="n">
        <v>6</v>
      </c>
    </row>
    <row r="1889" customFormat="false" ht="14.25" hidden="false" customHeight="false" outlineLevel="0" collapsed="false">
      <c r="A1889" s="1" t="n">
        <v>210</v>
      </c>
      <c r="B1889" s="1" t="s">
        <v>473</v>
      </c>
      <c r="C1889" s="143" t="n">
        <v>11490</v>
      </c>
      <c r="D1889" s="143" t="s">
        <v>65</v>
      </c>
      <c r="E1889" s="143" t="s">
        <v>479</v>
      </c>
      <c r="F1889" s="144" t="n">
        <v>200025888529</v>
      </c>
      <c r="G1889" s="144" t="s">
        <v>302</v>
      </c>
      <c r="H1889" s="144" t="n">
        <v>87</v>
      </c>
      <c r="I1889" s="144" t="s">
        <v>148</v>
      </c>
      <c r="J1889" s="151" t="n">
        <v>45056.6607175926</v>
      </c>
      <c r="K1889" s="1" t="n">
        <v>1</v>
      </c>
      <c r="L1889" s="144" t="n">
        <v>87</v>
      </c>
      <c r="M1889" s="1" t="n">
        <v>54</v>
      </c>
      <c r="N1889" s="1" t="n">
        <v>54</v>
      </c>
      <c r="O1889" s="149" t="n">
        <v>7</v>
      </c>
    </row>
    <row r="1890" customFormat="false" ht="14.25" hidden="false" customHeight="false" outlineLevel="0" collapsed="false">
      <c r="A1890" s="1" t="n">
        <v>152</v>
      </c>
      <c r="B1890" s="1" t="s">
        <v>475</v>
      </c>
      <c r="C1890" s="143" t="s">
        <v>52</v>
      </c>
      <c r="D1890" s="143" t="s">
        <v>53</v>
      </c>
      <c r="E1890" s="143" t="s">
        <v>479</v>
      </c>
      <c r="F1890" s="144" t="n">
        <v>200025888529</v>
      </c>
      <c r="G1890" s="144" t="s">
        <v>302</v>
      </c>
      <c r="H1890" s="144" t="n">
        <v>87</v>
      </c>
      <c r="I1890" s="144" t="s">
        <v>148</v>
      </c>
      <c r="J1890" s="151" t="n">
        <v>45056.7497337963</v>
      </c>
      <c r="K1890" s="1" t="n">
        <v>1</v>
      </c>
      <c r="L1890" s="144" t="n">
        <v>87</v>
      </c>
      <c r="M1890" s="1" t="n">
        <v>54</v>
      </c>
      <c r="N1890" s="1" t="n">
        <v>54</v>
      </c>
      <c r="O1890" s="149" t="n">
        <v>8</v>
      </c>
    </row>
    <row r="1891" customFormat="false" ht="14.25" hidden="false" customHeight="false" outlineLevel="0" collapsed="false">
      <c r="A1891" s="1" t="n">
        <v>153</v>
      </c>
      <c r="B1891" s="1" t="s">
        <v>475</v>
      </c>
      <c r="C1891" s="143" t="s">
        <v>52</v>
      </c>
      <c r="D1891" s="143" t="s">
        <v>53</v>
      </c>
      <c r="E1891" s="143" t="s">
        <v>479</v>
      </c>
      <c r="F1891" s="144" t="n">
        <v>200025888529</v>
      </c>
      <c r="G1891" s="144" t="s">
        <v>302</v>
      </c>
      <c r="H1891" s="144" t="n">
        <v>87</v>
      </c>
      <c r="I1891" s="144" t="s">
        <v>148</v>
      </c>
      <c r="J1891" s="151" t="n">
        <v>45056.7500694444</v>
      </c>
      <c r="K1891" s="1" t="n">
        <v>0</v>
      </c>
      <c r="L1891" s="144" t="n">
        <v>87</v>
      </c>
      <c r="M1891" s="1" t="n">
        <v>54</v>
      </c>
      <c r="N1891" s="1" t="n">
        <v>54</v>
      </c>
      <c r="O1891" s="149" t="n">
        <v>9</v>
      </c>
    </row>
    <row r="1892" customFormat="false" ht="14.25" hidden="false" customHeight="false" outlineLevel="0" collapsed="false">
      <c r="A1892" s="1" t="n">
        <v>154</v>
      </c>
      <c r="B1892" s="1" t="s">
        <v>475</v>
      </c>
      <c r="C1892" s="143" t="s">
        <v>52</v>
      </c>
      <c r="D1892" s="143" t="s">
        <v>53</v>
      </c>
      <c r="E1892" s="143" t="s">
        <v>479</v>
      </c>
      <c r="F1892" s="144" t="n">
        <v>200025888529</v>
      </c>
      <c r="G1892" s="144" t="s">
        <v>302</v>
      </c>
      <c r="H1892" s="144" t="n">
        <v>87</v>
      </c>
      <c r="I1892" s="144" t="s">
        <v>148</v>
      </c>
      <c r="J1892" s="151" t="n">
        <v>45056.7501157407</v>
      </c>
      <c r="K1892" s="1" t="n">
        <v>0</v>
      </c>
      <c r="L1892" s="144" t="n">
        <v>87</v>
      </c>
      <c r="M1892" s="1" t="n">
        <v>54</v>
      </c>
      <c r="N1892" s="1" t="n">
        <v>54</v>
      </c>
      <c r="O1892" s="149" t="n">
        <v>10</v>
      </c>
    </row>
    <row r="1893" customFormat="false" ht="14.25" hidden="false" customHeight="false" outlineLevel="0" collapsed="false">
      <c r="A1893" s="1" t="n">
        <v>155</v>
      </c>
      <c r="B1893" s="1" t="s">
        <v>475</v>
      </c>
      <c r="C1893" s="143" t="s">
        <v>52</v>
      </c>
      <c r="D1893" s="143" t="s">
        <v>53</v>
      </c>
      <c r="E1893" s="143" t="s">
        <v>479</v>
      </c>
      <c r="F1893" s="144" t="n">
        <v>200025888529</v>
      </c>
      <c r="G1893" s="144" t="s">
        <v>302</v>
      </c>
      <c r="H1893" s="144" t="n">
        <v>87</v>
      </c>
      <c r="I1893" s="144" t="s">
        <v>148</v>
      </c>
      <c r="J1893" s="151" t="n">
        <v>45056.750474537</v>
      </c>
      <c r="K1893" s="1" t="n">
        <v>1</v>
      </c>
      <c r="L1893" s="144" t="n">
        <v>87</v>
      </c>
      <c r="M1893" s="1" t="n">
        <v>54</v>
      </c>
      <c r="N1893" s="1" t="n">
        <v>54</v>
      </c>
      <c r="O1893" s="149" t="n">
        <v>11</v>
      </c>
    </row>
    <row r="1894" customFormat="false" ht="14.25" hidden="false" customHeight="false" outlineLevel="0" collapsed="false">
      <c r="A1894" s="1" t="n">
        <v>237</v>
      </c>
      <c r="B1894" s="1" t="s">
        <v>473</v>
      </c>
      <c r="C1894" s="143" t="n">
        <v>11490</v>
      </c>
      <c r="D1894" s="143" t="s">
        <v>65</v>
      </c>
      <c r="E1894" s="143" t="s">
        <v>479</v>
      </c>
      <c r="F1894" s="144" t="n">
        <v>200025888529</v>
      </c>
      <c r="G1894" s="144" t="s">
        <v>302</v>
      </c>
      <c r="H1894" s="144" t="n">
        <v>87</v>
      </c>
      <c r="I1894" s="144" t="s">
        <v>148</v>
      </c>
      <c r="J1894" s="151" t="n">
        <v>45056.8538078704</v>
      </c>
      <c r="K1894" s="1" t="n">
        <v>1</v>
      </c>
      <c r="L1894" s="144" t="n">
        <v>87</v>
      </c>
      <c r="M1894" s="1" t="n">
        <v>54</v>
      </c>
      <c r="N1894" s="1" t="n">
        <v>54</v>
      </c>
      <c r="O1894" s="149" t="n">
        <v>12</v>
      </c>
    </row>
    <row r="1895" customFormat="false" ht="14.25" hidden="false" customHeight="false" outlineLevel="0" collapsed="false">
      <c r="A1895" s="1" t="n">
        <v>238</v>
      </c>
      <c r="B1895" s="1" t="s">
        <v>473</v>
      </c>
      <c r="C1895" s="143" t="n">
        <v>11490</v>
      </c>
      <c r="D1895" s="143" t="s">
        <v>65</v>
      </c>
      <c r="E1895" s="143" t="s">
        <v>479</v>
      </c>
      <c r="F1895" s="144" t="n">
        <v>200025888529</v>
      </c>
      <c r="G1895" s="144" t="s">
        <v>302</v>
      </c>
      <c r="H1895" s="144" t="n">
        <v>87</v>
      </c>
      <c r="I1895" s="144" t="s">
        <v>148</v>
      </c>
      <c r="J1895" s="151" t="n">
        <v>45056.854224537</v>
      </c>
      <c r="K1895" s="1" t="n">
        <v>1</v>
      </c>
      <c r="L1895" s="144" t="n">
        <v>87</v>
      </c>
      <c r="M1895" s="1" t="n">
        <v>54</v>
      </c>
      <c r="N1895" s="1" t="n">
        <v>54</v>
      </c>
      <c r="O1895" s="149" t="n">
        <v>13</v>
      </c>
    </row>
    <row r="1896" customFormat="false" ht="14.25" hidden="false" customHeight="false" outlineLevel="0" collapsed="false">
      <c r="A1896" s="1" t="n">
        <v>239</v>
      </c>
      <c r="B1896" s="1" t="s">
        <v>473</v>
      </c>
      <c r="C1896" s="143" t="n">
        <v>11490</v>
      </c>
      <c r="D1896" s="143" t="s">
        <v>65</v>
      </c>
      <c r="E1896" s="143" t="s">
        <v>479</v>
      </c>
      <c r="F1896" s="144" t="n">
        <v>200025888529</v>
      </c>
      <c r="G1896" s="144" t="s">
        <v>302</v>
      </c>
      <c r="H1896" s="144" t="n">
        <v>87</v>
      </c>
      <c r="I1896" s="144" t="s">
        <v>148</v>
      </c>
      <c r="J1896" s="151" t="n">
        <v>45056.8543634259</v>
      </c>
      <c r="K1896" s="1" t="n">
        <v>2</v>
      </c>
      <c r="L1896" s="144" t="n">
        <v>87</v>
      </c>
      <c r="M1896" s="1" t="n">
        <v>54</v>
      </c>
      <c r="N1896" s="1" t="n">
        <v>54</v>
      </c>
      <c r="O1896" s="149" t="n">
        <v>14</v>
      </c>
    </row>
    <row r="1897" customFormat="false" ht="14.25" hidden="false" customHeight="false" outlineLevel="0" collapsed="false">
      <c r="A1897" s="1" t="n">
        <v>240</v>
      </c>
      <c r="B1897" s="1" t="s">
        <v>473</v>
      </c>
      <c r="C1897" s="143" t="n">
        <v>11490</v>
      </c>
      <c r="D1897" s="143" t="s">
        <v>65</v>
      </c>
      <c r="E1897" s="143" t="s">
        <v>479</v>
      </c>
      <c r="F1897" s="144" t="n">
        <v>200025888529</v>
      </c>
      <c r="G1897" s="144" t="s">
        <v>302</v>
      </c>
      <c r="H1897" s="144" t="n">
        <v>87</v>
      </c>
      <c r="I1897" s="144" t="s">
        <v>148</v>
      </c>
      <c r="J1897" s="151" t="n">
        <v>45056.854537037</v>
      </c>
      <c r="K1897" s="1" t="n">
        <v>1</v>
      </c>
      <c r="L1897" s="144" t="n">
        <v>87</v>
      </c>
      <c r="M1897" s="1" t="n">
        <v>54</v>
      </c>
      <c r="N1897" s="1" t="n">
        <v>54</v>
      </c>
      <c r="O1897" s="149" t="n">
        <v>15</v>
      </c>
    </row>
    <row r="1898" customFormat="false" ht="14.25" hidden="false" customHeight="false" outlineLevel="0" collapsed="false">
      <c r="A1898" s="1" t="n">
        <v>241</v>
      </c>
      <c r="B1898" s="1" t="s">
        <v>473</v>
      </c>
      <c r="C1898" s="143" t="n">
        <v>11490</v>
      </c>
      <c r="D1898" s="143" t="s">
        <v>65</v>
      </c>
      <c r="E1898" s="143" t="s">
        <v>479</v>
      </c>
      <c r="F1898" s="144" t="n">
        <v>200025888529</v>
      </c>
      <c r="G1898" s="144" t="s">
        <v>302</v>
      </c>
      <c r="H1898" s="144" t="n">
        <v>87</v>
      </c>
      <c r="I1898" s="144" t="s">
        <v>148</v>
      </c>
      <c r="J1898" s="151" t="n">
        <v>45056.8545833333</v>
      </c>
      <c r="K1898" s="1" t="n">
        <v>2</v>
      </c>
      <c r="L1898" s="144" t="n">
        <v>87</v>
      </c>
      <c r="M1898" s="1" t="n">
        <v>54</v>
      </c>
      <c r="N1898" s="1" t="n">
        <v>54</v>
      </c>
      <c r="O1898" s="149" t="n">
        <v>16</v>
      </c>
    </row>
    <row r="1899" customFormat="false" ht="14.25" hidden="false" customHeight="false" outlineLevel="0" collapsed="false">
      <c r="A1899" s="1" t="n">
        <v>242</v>
      </c>
      <c r="B1899" s="1" t="s">
        <v>473</v>
      </c>
      <c r="C1899" s="143" t="n">
        <v>11490</v>
      </c>
      <c r="D1899" s="143" t="s">
        <v>65</v>
      </c>
      <c r="E1899" s="143" t="s">
        <v>479</v>
      </c>
      <c r="F1899" s="144" t="n">
        <v>200025888529</v>
      </c>
      <c r="G1899" s="144" t="s">
        <v>302</v>
      </c>
      <c r="H1899" s="144" t="n">
        <v>87</v>
      </c>
      <c r="I1899" s="144" t="s">
        <v>148</v>
      </c>
      <c r="J1899" s="151" t="n">
        <v>45056.8546412037</v>
      </c>
      <c r="K1899" s="1" t="n">
        <v>1</v>
      </c>
      <c r="L1899" s="144" t="n">
        <v>87</v>
      </c>
      <c r="M1899" s="1" t="n">
        <v>54</v>
      </c>
      <c r="N1899" s="1" t="n">
        <v>54</v>
      </c>
      <c r="O1899" s="149" t="n">
        <v>17</v>
      </c>
    </row>
    <row r="1900" customFormat="false" ht="14.25" hidden="false" customHeight="false" outlineLevel="0" collapsed="false">
      <c r="A1900" s="1" t="n">
        <v>243</v>
      </c>
      <c r="B1900" s="1" t="s">
        <v>473</v>
      </c>
      <c r="C1900" s="143" t="n">
        <v>11490</v>
      </c>
      <c r="D1900" s="143" t="s">
        <v>65</v>
      </c>
      <c r="E1900" s="143" t="s">
        <v>479</v>
      </c>
      <c r="F1900" s="144" t="n">
        <v>200025888529</v>
      </c>
      <c r="G1900" s="144" t="s">
        <v>302</v>
      </c>
      <c r="H1900" s="144" t="n">
        <v>87</v>
      </c>
      <c r="I1900" s="144" t="s">
        <v>148</v>
      </c>
      <c r="J1900" s="151" t="n">
        <v>45056.8546643519</v>
      </c>
      <c r="K1900" s="1" t="n">
        <v>0</v>
      </c>
      <c r="L1900" s="144" t="n">
        <v>87</v>
      </c>
      <c r="M1900" s="1" t="n">
        <v>54</v>
      </c>
      <c r="N1900" s="1" t="n">
        <v>54</v>
      </c>
      <c r="O1900" s="149" t="n">
        <v>18</v>
      </c>
    </row>
    <row r="1901" customFormat="false" ht="14.25" hidden="false" customHeight="false" outlineLevel="0" collapsed="false">
      <c r="A1901" s="1" t="n">
        <v>244</v>
      </c>
      <c r="B1901" s="1" t="s">
        <v>473</v>
      </c>
      <c r="C1901" s="143" t="n">
        <v>11490</v>
      </c>
      <c r="D1901" s="143" t="s">
        <v>65</v>
      </c>
      <c r="E1901" s="143" t="s">
        <v>479</v>
      </c>
      <c r="F1901" s="144" t="n">
        <v>200025888529</v>
      </c>
      <c r="G1901" s="144" t="s">
        <v>302</v>
      </c>
      <c r="H1901" s="144" t="n">
        <v>87</v>
      </c>
      <c r="I1901" s="144" t="s">
        <v>148</v>
      </c>
      <c r="J1901" s="151" t="n">
        <v>45056.8553587963</v>
      </c>
      <c r="K1901" s="1" t="n">
        <v>2</v>
      </c>
      <c r="L1901" s="144" t="n">
        <v>87</v>
      </c>
      <c r="M1901" s="1" t="n">
        <v>54</v>
      </c>
      <c r="N1901" s="1" t="n">
        <v>54</v>
      </c>
      <c r="O1901" s="149" t="n">
        <v>19</v>
      </c>
    </row>
    <row r="1902" customFormat="false" ht="14.25" hidden="false" customHeight="false" outlineLevel="0" collapsed="false">
      <c r="A1902" s="1" t="n">
        <v>286</v>
      </c>
      <c r="B1902" s="1" t="s">
        <v>478</v>
      </c>
      <c r="C1902" s="143" t="n">
        <v>21265</v>
      </c>
      <c r="D1902" s="143" t="s">
        <v>76</v>
      </c>
      <c r="E1902" s="143" t="s">
        <v>479</v>
      </c>
      <c r="F1902" s="144" t="n">
        <v>200025888529</v>
      </c>
      <c r="G1902" s="144" t="s">
        <v>302</v>
      </c>
      <c r="H1902" s="144" t="n">
        <v>87</v>
      </c>
      <c r="I1902" s="144" t="s">
        <v>148</v>
      </c>
      <c r="J1902" s="6" t="n">
        <v>45075.1363310185</v>
      </c>
      <c r="K1902" s="1" t="n">
        <v>1</v>
      </c>
      <c r="L1902" s="144" t="n">
        <v>87</v>
      </c>
      <c r="M1902" s="1" t="n">
        <v>54</v>
      </c>
      <c r="N1902" s="1" t="n">
        <v>54</v>
      </c>
      <c r="O1902" s="149" t="n">
        <v>20</v>
      </c>
    </row>
    <row r="1903" customFormat="false" ht="14.25" hidden="false" customHeight="false" outlineLevel="0" collapsed="false">
      <c r="A1903" s="1" t="n">
        <v>283</v>
      </c>
      <c r="B1903" s="1" t="s">
        <v>490</v>
      </c>
      <c r="C1903" s="143" t="n">
        <v>11171</v>
      </c>
      <c r="D1903" s="143" t="s">
        <v>74</v>
      </c>
      <c r="E1903" s="143" t="s">
        <v>479</v>
      </c>
      <c r="F1903" s="144" t="n">
        <v>200025888529</v>
      </c>
      <c r="G1903" s="144" t="s">
        <v>302</v>
      </c>
      <c r="H1903" s="144" t="n">
        <v>87</v>
      </c>
      <c r="I1903" s="144" t="s">
        <v>148</v>
      </c>
      <c r="J1903" s="6" t="n">
        <v>45075.3453009259</v>
      </c>
      <c r="K1903" s="1" t="n">
        <v>1</v>
      </c>
      <c r="L1903" s="144" t="n">
        <v>87</v>
      </c>
      <c r="M1903" s="1" t="n">
        <v>54</v>
      </c>
      <c r="N1903" s="1" t="n">
        <v>54</v>
      </c>
      <c r="O1903" s="149" t="n">
        <v>21</v>
      </c>
    </row>
    <row r="1904" customFormat="false" ht="14.25" hidden="false" customHeight="false" outlineLevel="0" collapsed="false">
      <c r="A1904" s="1" t="n">
        <v>286</v>
      </c>
      <c r="B1904" s="1" t="s">
        <v>490</v>
      </c>
      <c r="C1904" s="143" t="n">
        <v>11171</v>
      </c>
      <c r="D1904" s="143" t="s">
        <v>74</v>
      </c>
      <c r="E1904" s="143" t="s">
        <v>479</v>
      </c>
      <c r="F1904" s="144" t="n">
        <v>200025888529</v>
      </c>
      <c r="G1904" s="144" t="s">
        <v>302</v>
      </c>
      <c r="H1904" s="144" t="n">
        <v>87</v>
      </c>
      <c r="I1904" s="144" t="s">
        <v>148</v>
      </c>
      <c r="J1904" s="6" t="n">
        <v>45075.4249884259</v>
      </c>
      <c r="K1904" s="1" t="n">
        <v>1</v>
      </c>
      <c r="L1904" s="144" t="n">
        <v>87</v>
      </c>
      <c r="M1904" s="1" t="n">
        <v>54</v>
      </c>
      <c r="N1904" s="1" t="n">
        <v>54</v>
      </c>
      <c r="O1904" s="149" t="n">
        <v>22</v>
      </c>
    </row>
    <row r="1905" customFormat="false" ht="14.25" hidden="false" customHeight="false" outlineLevel="0" collapsed="false">
      <c r="A1905" s="1" t="n">
        <v>287</v>
      </c>
      <c r="B1905" s="1" t="s">
        <v>490</v>
      </c>
      <c r="C1905" s="143" t="n">
        <v>11171</v>
      </c>
      <c r="D1905" s="143" t="s">
        <v>74</v>
      </c>
      <c r="E1905" s="143" t="s">
        <v>479</v>
      </c>
      <c r="F1905" s="144" t="n">
        <v>200025888529</v>
      </c>
      <c r="G1905" s="144" t="s">
        <v>302</v>
      </c>
      <c r="H1905" s="144" t="n">
        <v>87</v>
      </c>
      <c r="I1905" s="144" t="s">
        <v>148</v>
      </c>
      <c r="J1905" s="6" t="n">
        <v>45075.4250925926</v>
      </c>
      <c r="K1905" s="1" t="n">
        <v>1</v>
      </c>
      <c r="L1905" s="144" t="n">
        <v>87</v>
      </c>
      <c r="M1905" s="1" t="n">
        <v>54</v>
      </c>
      <c r="N1905" s="1" t="n">
        <v>54</v>
      </c>
      <c r="O1905" s="149" t="n">
        <v>23</v>
      </c>
    </row>
    <row r="1906" customFormat="false" ht="14.25" hidden="false" customHeight="false" outlineLevel="0" collapsed="false">
      <c r="A1906" s="1" t="n">
        <v>288</v>
      </c>
      <c r="B1906" s="1" t="s">
        <v>490</v>
      </c>
      <c r="C1906" s="143" t="n">
        <v>11171</v>
      </c>
      <c r="D1906" s="143" t="s">
        <v>74</v>
      </c>
      <c r="E1906" s="143" t="s">
        <v>479</v>
      </c>
      <c r="F1906" s="144" t="n">
        <v>200025888529</v>
      </c>
      <c r="G1906" s="144" t="s">
        <v>302</v>
      </c>
      <c r="H1906" s="144" t="n">
        <v>87</v>
      </c>
      <c r="I1906" s="144" t="s">
        <v>148</v>
      </c>
      <c r="J1906" s="6" t="n">
        <v>45075.4252430556</v>
      </c>
      <c r="K1906" s="1" t="n">
        <v>2</v>
      </c>
      <c r="L1906" s="144" t="n">
        <v>87</v>
      </c>
      <c r="M1906" s="1" t="n">
        <v>54</v>
      </c>
      <c r="N1906" s="1" t="n">
        <v>54</v>
      </c>
      <c r="O1906" s="149" t="n">
        <v>24</v>
      </c>
    </row>
    <row r="1907" customFormat="false" ht="14.25" hidden="false" customHeight="false" outlineLevel="0" collapsed="false">
      <c r="A1907" s="1" t="n">
        <v>289</v>
      </c>
      <c r="B1907" s="1" t="s">
        <v>490</v>
      </c>
      <c r="C1907" s="143" t="n">
        <v>11171</v>
      </c>
      <c r="D1907" s="143" t="s">
        <v>74</v>
      </c>
      <c r="E1907" s="143" t="s">
        <v>479</v>
      </c>
      <c r="F1907" s="144" t="n">
        <v>200025888529</v>
      </c>
      <c r="G1907" s="144" t="s">
        <v>302</v>
      </c>
      <c r="H1907" s="144" t="n">
        <v>87</v>
      </c>
      <c r="I1907" s="144" t="s">
        <v>148</v>
      </c>
      <c r="J1907" s="6" t="n">
        <v>45075.4255902778</v>
      </c>
      <c r="K1907" s="1" t="n">
        <v>1</v>
      </c>
      <c r="L1907" s="144" t="n">
        <v>87</v>
      </c>
      <c r="M1907" s="1" t="n">
        <v>54</v>
      </c>
      <c r="N1907" s="1" t="n">
        <v>54</v>
      </c>
      <c r="O1907" s="149" t="n">
        <v>25</v>
      </c>
    </row>
    <row r="1908" customFormat="false" ht="14.25" hidden="false" customHeight="false" outlineLevel="0" collapsed="false">
      <c r="A1908" s="1" t="n">
        <v>290</v>
      </c>
      <c r="B1908" s="1" t="s">
        <v>490</v>
      </c>
      <c r="C1908" s="143" t="n">
        <v>11171</v>
      </c>
      <c r="D1908" s="143" t="s">
        <v>74</v>
      </c>
      <c r="E1908" s="143" t="s">
        <v>479</v>
      </c>
      <c r="F1908" s="144" t="n">
        <v>200025888529</v>
      </c>
      <c r="G1908" s="144" t="s">
        <v>302</v>
      </c>
      <c r="H1908" s="144" t="n">
        <v>87</v>
      </c>
      <c r="I1908" s="144" t="s">
        <v>148</v>
      </c>
      <c r="J1908" s="6" t="n">
        <v>45075.4260532407</v>
      </c>
      <c r="K1908" s="1" t="n">
        <v>2</v>
      </c>
      <c r="L1908" s="144" t="n">
        <v>87</v>
      </c>
      <c r="M1908" s="1" t="n">
        <v>54</v>
      </c>
      <c r="N1908" s="1" t="n">
        <v>54</v>
      </c>
      <c r="O1908" s="149" t="n">
        <v>26</v>
      </c>
    </row>
    <row r="1909" customFormat="false" ht="14.25" hidden="false" customHeight="false" outlineLevel="0" collapsed="false">
      <c r="A1909" s="1" t="n">
        <v>291</v>
      </c>
      <c r="B1909" s="1" t="s">
        <v>490</v>
      </c>
      <c r="C1909" s="143" t="n">
        <v>11171</v>
      </c>
      <c r="D1909" s="143" t="s">
        <v>74</v>
      </c>
      <c r="E1909" s="143" t="s">
        <v>479</v>
      </c>
      <c r="F1909" s="144" t="n">
        <v>200025888529</v>
      </c>
      <c r="G1909" s="144" t="s">
        <v>302</v>
      </c>
      <c r="H1909" s="144" t="n">
        <v>87</v>
      </c>
      <c r="I1909" s="144" t="s">
        <v>148</v>
      </c>
      <c r="J1909" s="6" t="n">
        <v>45075.4262037037</v>
      </c>
      <c r="K1909" s="1" t="n">
        <v>2</v>
      </c>
      <c r="L1909" s="144" t="n">
        <v>87</v>
      </c>
      <c r="M1909" s="1" t="n">
        <v>54</v>
      </c>
      <c r="N1909" s="1" t="n">
        <v>54</v>
      </c>
      <c r="O1909" s="149" t="n">
        <v>27</v>
      </c>
    </row>
    <row r="1910" customFormat="false" ht="14.25" hidden="false" customHeight="false" outlineLevel="0" collapsed="false">
      <c r="A1910" s="1" t="n">
        <v>292</v>
      </c>
      <c r="B1910" s="1" t="s">
        <v>490</v>
      </c>
      <c r="C1910" s="143" t="n">
        <v>11171</v>
      </c>
      <c r="D1910" s="143" t="s">
        <v>74</v>
      </c>
      <c r="E1910" s="143" t="s">
        <v>479</v>
      </c>
      <c r="F1910" s="144" t="n">
        <v>200025888529</v>
      </c>
      <c r="G1910" s="144" t="s">
        <v>302</v>
      </c>
      <c r="H1910" s="144" t="n">
        <v>87</v>
      </c>
      <c r="I1910" s="144" t="s">
        <v>148</v>
      </c>
      <c r="J1910" s="6" t="n">
        <v>45075.4264583333</v>
      </c>
      <c r="K1910" s="1" t="n">
        <v>1</v>
      </c>
      <c r="L1910" s="144" t="n">
        <v>87</v>
      </c>
      <c r="M1910" s="1" t="n">
        <v>54</v>
      </c>
      <c r="N1910" s="1" t="n">
        <v>54</v>
      </c>
      <c r="O1910" s="149" t="n">
        <v>28</v>
      </c>
    </row>
    <row r="1911" customFormat="false" ht="14.25" hidden="false" customHeight="false" outlineLevel="0" collapsed="false">
      <c r="A1911" s="1" t="n">
        <v>293</v>
      </c>
      <c r="B1911" s="1" t="s">
        <v>490</v>
      </c>
      <c r="C1911" s="143" t="n">
        <v>11171</v>
      </c>
      <c r="D1911" s="143" t="s">
        <v>74</v>
      </c>
      <c r="E1911" s="143" t="s">
        <v>479</v>
      </c>
      <c r="F1911" s="144" t="n">
        <v>200025888529</v>
      </c>
      <c r="G1911" s="144" t="s">
        <v>302</v>
      </c>
      <c r="H1911" s="144" t="n">
        <v>87</v>
      </c>
      <c r="I1911" s="144" t="s">
        <v>148</v>
      </c>
      <c r="J1911" s="6" t="n">
        <v>45075.4273263889</v>
      </c>
      <c r="K1911" s="1" t="n">
        <v>1</v>
      </c>
      <c r="L1911" s="144" t="n">
        <v>87</v>
      </c>
      <c r="M1911" s="1" t="n">
        <v>54</v>
      </c>
      <c r="N1911" s="1" t="n">
        <v>54</v>
      </c>
      <c r="O1911" s="149" t="n">
        <v>29</v>
      </c>
    </row>
    <row r="1912" customFormat="false" ht="14.25" hidden="false" customHeight="false" outlineLevel="0" collapsed="false">
      <c r="A1912" s="1" t="n">
        <v>294</v>
      </c>
      <c r="B1912" s="1" t="s">
        <v>490</v>
      </c>
      <c r="C1912" s="143" t="n">
        <v>11171</v>
      </c>
      <c r="D1912" s="143" t="s">
        <v>74</v>
      </c>
      <c r="E1912" s="143" t="s">
        <v>479</v>
      </c>
      <c r="F1912" s="144" t="n">
        <v>200025888529</v>
      </c>
      <c r="G1912" s="144" t="s">
        <v>302</v>
      </c>
      <c r="H1912" s="144" t="n">
        <v>87</v>
      </c>
      <c r="I1912" s="144" t="s">
        <v>148</v>
      </c>
      <c r="J1912" s="6" t="n">
        <v>45075.4277083333</v>
      </c>
      <c r="K1912" s="1" t="n">
        <v>0</v>
      </c>
      <c r="L1912" s="144" t="n">
        <v>87</v>
      </c>
      <c r="M1912" s="1" t="n">
        <v>54</v>
      </c>
      <c r="N1912" s="1" t="n">
        <v>54</v>
      </c>
      <c r="O1912" s="149" t="n">
        <v>30</v>
      </c>
    </row>
    <row r="1913" customFormat="false" ht="14.25" hidden="false" customHeight="false" outlineLevel="0" collapsed="false">
      <c r="A1913" s="1" t="n">
        <v>295</v>
      </c>
      <c r="B1913" s="1" t="s">
        <v>490</v>
      </c>
      <c r="C1913" s="143" t="n">
        <v>11171</v>
      </c>
      <c r="D1913" s="143" t="s">
        <v>74</v>
      </c>
      <c r="E1913" s="143" t="s">
        <v>479</v>
      </c>
      <c r="F1913" s="144" t="n">
        <v>200025888529</v>
      </c>
      <c r="G1913" s="144" t="s">
        <v>302</v>
      </c>
      <c r="H1913" s="144" t="n">
        <v>87</v>
      </c>
      <c r="I1913" s="144" t="s">
        <v>148</v>
      </c>
      <c r="J1913" s="6" t="n">
        <v>45075.4278587963</v>
      </c>
      <c r="K1913" s="1" t="n">
        <v>2</v>
      </c>
      <c r="L1913" s="144" t="n">
        <v>87</v>
      </c>
      <c r="M1913" s="1" t="n">
        <v>54</v>
      </c>
      <c r="N1913" s="1" t="n">
        <v>54</v>
      </c>
      <c r="O1913" s="149" t="n">
        <v>31</v>
      </c>
    </row>
    <row r="1914" customFormat="false" ht="14.25" hidden="false" customHeight="false" outlineLevel="0" collapsed="false">
      <c r="A1914" s="1" t="n">
        <v>296</v>
      </c>
      <c r="B1914" s="1" t="s">
        <v>490</v>
      </c>
      <c r="C1914" s="143" t="n">
        <v>11171</v>
      </c>
      <c r="D1914" s="143" t="s">
        <v>74</v>
      </c>
      <c r="E1914" s="143" t="s">
        <v>479</v>
      </c>
      <c r="F1914" s="144" t="n">
        <v>200025888529</v>
      </c>
      <c r="G1914" s="144" t="s">
        <v>302</v>
      </c>
      <c r="H1914" s="144" t="n">
        <v>87</v>
      </c>
      <c r="I1914" s="144" t="s">
        <v>148</v>
      </c>
      <c r="J1914" s="6" t="n">
        <v>45075.4280324074</v>
      </c>
      <c r="K1914" s="1" t="n">
        <v>0</v>
      </c>
      <c r="L1914" s="144" t="n">
        <v>87</v>
      </c>
      <c r="M1914" s="1" t="n">
        <v>54</v>
      </c>
      <c r="N1914" s="1" t="n">
        <v>54</v>
      </c>
      <c r="O1914" s="149" t="n">
        <v>32</v>
      </c>
    </row>
    <row r="1915" customFormat="false" ht="14.25" hidden="false" customHeight="false" outlineLevel="0" collapsed="false">
      <c r="A1915" s="1" t="n">
        <v>297</v>
      </c>
      <c r="B1915" s="1" t="s">
        <v>490</v>
      </c>
      <c r="C1915" s="143" t="n">
        <v>11171</v>
      </c>
      <c r="D1915" s="143" t="s">
        <v>74</v>
      </c>
      <c r="E1915" s="143" t="s">
        <v>479</v>
      </c>
      <c r="F1915" s="144" t="n">
        <v>200025888529</v>
      </c>
      <c r="G1915" s="144" t="s">
        <v>302</v>
      </c>
      <c r="H1915" s="144" t="n">
        <v>87</v>
      </c>
      <c r="I1915" s="144" t="s">
        <v>148</v>
      </c>
      <c r="J1915" s="6" t="n">
        <v>45075.428587963</v>
      </c>
      <c r="K1915" s="1" t="n">
        <v>1</v>
      </c>
      <c r="L1915" s="144" t="n">
        <v>87</v>
      </c>
      <c r="M1915" s="1" t="n">
        <v>54</v>
      </c>
      <c r="N1915" s="1" t="n">
        <v>54</v>
      </c>
      <c r="O1915" s="149" t="n">
        <v>33</v>
      </c>
    </row>
    <row r="1916" customFormat="false" ht="14.25" hidden="false" customHeight="false" outlineLevel="0" collapsed="false">
      <c r="A1916" s="1" t="n">
        <v>298</v>
      </c>
      <c r="B1916" s="1" t="s">
        <v>490</v>
      </c>
      <c r="C1916" s="143" t="n">
        <v>11171</v>
      </c>
      <c r="D1916" s="143" t="s">
        <v>74</v>
      </c>
      <c r="E1916" s="143" t="s">
        <v>479</v>
      </c>
      <c r="F1916" s="144" t="n">
        <v>200025888529</v>
      </c>
      <c r="G1916" s="144" t="s">
        <v>302</v>
      </c>
      <c r="H1916" s="144" t="n">
        <v>87</v>
      </c>
      <c r="I1916" s="144" t="s">
        <v>148</v>
      </c>
      <c r="J1916" s="6" t="n">
        <v>45075.4288657407</v>
      </c>
      <c r="K1916" s="1" t="n">
        <v>2</v>
      </c>
      <c r="L1916" s="144" t="n">
        <v>87</v>
      </c>
      <c r="M1916" s="1" t="n">
        <v>54</v>
      </c>
      <c r="N1916" s="1" t="n">
        <v>54</v>
      </c>
      <c r="O1916" s="149" t="n">
        <v>34</v>
      </c>
    </row>
    <row r="1917" customFormat="false" ht="14.25" hidden="false" customHeight="false" outlineLevel="0" collapsed="false">
      <c r="A1917" s="1" t="n">
        <v>299</v>
      </c>
      <c r="B1917" s="1" t="s">
        <v>490</v>
      </c>
      <c r="C1917" s="143" t="n">
        <v>11171</v>
      </c>
      <c r="D1917" s="143" t="s">
        <v>74</v>
      </c>
      <c r="E1917" s="143" t="s">
        <v>479</v>
      </c>
      <c r="F1917" s="144" t="n">
        <v>200025888529</v>
      </c>
      <c r="G1917" s="144" t="s">
        <v>302</v>
      </c>
      <c r="H1917" s="144" t="n">
        <v>87</v>
      </c>
      <c r="I1917" s="144" t="s">
        <v>148</v>
      </c>
      <c r="J1917" s="6" t="n">
        <v>45075.4289236111</v>
      </c>
      <c r="K1917" s="1" t="n">
        <v>3</v>
      </c>
      <c r="L1917" s="144" t="n">
        <v>87</v>
      </c>
      <c r="M1917" s="1" t="n">
        <v>54</v>
      </c>
      <c r="N1917" s="1" t="n">
        <v>54</v>
      </c>
      <c r="O1917" s="149" t="n">
        <v>35</v>
      </c>
    </row>
    <row r="1918" customFormat="false" ht="14.25" hidden="false" customHeight="false" outlineLevel="0" collapsed="false">
      <c r="A1918" s="1" t="n">
        <v>303</v>
      </c>
      <c r="B1918" s="1" t="s">
        <v>478</v>
      </c>
      <c r="C1918" s="143" t="n">
        <v>21265</v>
      </c>
      <c r="D1918" s="143" t="s">
        <v>76</v>
      </c>
      <c r="E1918" s="143" t="s">
        <v>479</v>
      </c>
      <c r="F1918" s="144" t="n">
        <v>200025888529</v>
      </c>
      <c r="G1918" s="144" t="s">
        <v>302</v>
      </c>
      <c r="H1918" s="144" t="n">
        <v>87</v>
      </c>
      <c r="I1918" s="144" t="s">
        <v>148</v>
      </c>
      <c r="J1918" s="6" t="n">
        <v>45075.5064351852</v>
      </c>
      <c r="K1918" s="1" t="n">
        <v>1</v>
      </c>
      <c r="L1918" s="144" t="n">
        <v>87</v>
      </c>
      <c r="M1918" s="1" t="n">
        <v>54</v>
      </c>
      <c r="N1918" s="1" t="n">
        <v>54</v>
      </c>
      <c r="O1918" s="149" t="n">
        <v>36</v>
      </c>
    </row>
    <row r="1919" customFormat="false" ht="14.25" hidden="false" customHeight="false" outlineLevel="0" collapsed="false">
      <c r="A1919" s="1" t="n">
        <v>304</v>
      </c>
      <c r="B1919" s="1" t="s">
        <v>478</v>
      </c>
      <c r="C1919" s="143" t="n">
        <v>21265</v>
      </c>
      <c r="D1919" s="143" t="s">
        <v>76</v>
      </c>
      <c r="E1919" s="143" t="s">
        <v>479</v>
      </c>
      <c r="F1919" s="144" t="n">
        <v>200025888529</v>
      </c>
      <c r="G1919" s="144" t="s">
        <v>302</v>
      </c>
      <c r="H1919" s="144" t="n">
        <v>87</v>
      </c>
      <c r="I1919" s="144" t="s">
        <v>148</v>
      </c>
      <c r="J1919" s="6" t="n">
        <v>45075.5327546296</v>
      </c>
      <c r="K1919" s="1" t="n">
        <v>1</v>
      </c>
      <c r="L1919" s="144" t="n">
        <v>87</v>
      </c>
      <c r="M1919" s="1" t="n">
        <v>54</v>
      </c>
      <c r="N1919" s="1" t="n">
        <v>54</v>
      </c>
      <c r="O1919" s="149" t="n">
        <v>37</v>
      </c>
    </row>
    <row r="1920" customFormat="false" ht="14.25" hidden="false" customHeight="false" outlineLevel="0" collapsed="false">
      <c r="A1920" s="1" t="n">
        <v>305</v>
      </c>
      <c r="B1920" s="1" t="s">
        <v>478</v>
      </c>
      <c r="C1920" s="143" t="n">
        <v>21265</v>
      </c>
      <c r="D1920" s="143" t="s">
        <v>76</v>
      </c>
      <c r="E1920" s="143" t="s">
        <v>479</v>
      </c>
      <c r="F1920" s="144" t="n">
        <v>200025888529</v>
      </c>
      <c r="G1920" s="144" t="s">
        <v>302</v>
      </c>
      <c r="H1920" s="144" t="n">
        <v>87</v>
      </c>
      <c r="I1920" s="144" t="s">
        <v>148</v>
      </c>
      <c r="J1920" s="6" t="n">
        <v>45075.5336805556</v>
      </c>
      <c r="K1920" s="1" t="n">
        <v>0</v>
      </c>
      <c r="L1920" s="144" t="n">
        <v>87</v>
      </c>
      <c r="M1920" s="1" t="n">
        <v>54</v>
      </c>
      <c r="N1920" s="1" t="n">
        <v>54</v>
      </c>
      <c r="O1920" s="149" t="n">
        <v>38</v>
      </c>
    </row>
    <row r="1921" customFormat="false" ht="14.25" hidden="false" customHeight="false" outlineLevel="0" collapsed="false">
      <c r="A1921" s="1" t="n">
        <v>306</v>
      </c>
      <c r="B1921" s="1" t="s">
        <v>478</v>
      </c>
      <c r="C1921" s="143" t="n">
        <v>21265</v>
      </c>
      <c r="D1921" s="143" t="s">
        <v>76</v>
      </c>
      <c r="E1921" s="143" t="s">
        <v>479</v>
      </c>
      <c r="F1921" s="144" t="n">
        <v>200025888529</v>
      </c>
      <c r="G1921" s="144" t="s">
        <v>302</v>
      </c>
      <c r="H1921" s="144" t="n">
        <v>87</v>
      </c>
      <c r="I1921" s="144" t="s">
        <v>148</v>
      </c>
      <c r="J1921" s="6" t="n">
        <v>45075.6514467593</v>
      </c>
      <c r="K1921" s="1" t="n">
        <v>0</v>
      </c>
      <c r="L1921" s="144" t="n">
        <v>87</v>
      </c>
      <c r="M1921" s="1" t="n">
        <v>54</v>
      </c>
      <c r="N1921" s="1" t="n">
        <v>54</v>
      </c>
      <c r="O1921" s="149" t="n">
        <v>39</v>
      </c>
    </row>
    <row r="1922" customFormat="false" ht="14.25" hidden="false" customHeight="false" outlineLevel="0" collapsed="false">
      <c r="A1922" s="1" t="n">
        <v>307</v>
      </c>
      <c r="B1922" s="1" t="s">
        <v>478</v>
      </c>
      <c r="C1922" s="143" t="n">
        <v>21265</v>
      </c>
      <c r="D1922" s="143" t="s">
        <v>76</v>
      </c>
      <c r="E1922" s="143" t="s">
        <v>479</v>
      </c>
      <c r="F1922" s="144" t="n">
        <v>200025888529</v>
      </c>
      <c r="G1922" s="144" t="s">
        <v>302</v>
      </c>
      <c r="H1922" s="144" t="n">
        <v>87</v>
      </c>
      <c r="I1922" s="144" t="s">
        <v>148</v>
      </c>
      <c r="J1922" s="6" t="n">
        <v>45075.6736458333</v>
      </c>
      <c r="K1922" s="1" t="n">
        <v>1</v>
      </c>
      <c r="L1922" s="144" t="n">
        <v>87</v>
      </c>
      <c r="M1922" s="1" t="n">
        <v>54</v>
      </c>
      <c r="N1922" s="1" t="n">
        <v>54</v>
      </c>
      <c r="O1922" s="149" t="n">
        <v>40</v>
      </c>
    </row>
    <row r="1923" customFormat="false" ht="14.25" hidden="false" customHeight="false" outlineLevel="0" collapsed="false">
      <c r="A1923" s="1" t="n">
        <v>308</v>
      </c>
      <c r="B1923" s="1" t="s">
        <v>478</v>
      </c>
      <c r="C1923" s="143" t="n">
        <v>21265</v>
      </c>
      <c r="D1923" s="143" t="s">
        <v>76</v>
      </c>
      <c r="E1923" s="143" t="s">
        <v>479</v>
      </c>
      <c r="F1923" s="144" t="n">
        <v>200025888529</v>
      </c>
      <c r="G1923" s="144" t="s">
        <v>302</v>
      </c>
      <c r="H1923" s="144" t="n">
        <v>87</v>
      </c>
      <c r="I1923" s="144" t="s">
        <v>148</v>
      </c>
      <c r="J1923" s="6" t="n">
        <v>45075.6740046296</v>
      </c>
      <c r="K1923" s="1" t="n">
        <v>1</v>
      </c>
      <c r="L1923" s="144" t="n">
        <v>87</v>
      </c>
      <c r="M1923" s="1" t="n">
        <v>54</v>
      </c>
      <c r="N1923" s="1" t="n">
        <v>54</v>
      </c>
      <c r="O1923" s="149" t="n">
        <v>41</v>
      </c>
    </row>
    <row r="1924" customFormat="false" ht="14.25" hidden="false" customHeight="false" outlineLevel="0" collapsed="false">
      <c r="A1924" s="1" t="n">
        <v>309</v>
      </c>
      <c r="B1924" s="1" t="s">
        <v>478</v>
      </c>
      <c r="C1924" s="143" t="n">
        <v>21265</v>
      </c>
      <c r="D1924" s="143" t="s">
        <v>76</v>
      </c>
      <c r="E1924" s="143" t="s">
        <v>479</v>
      </c>
      <c r="F1924" s="144" t="n">
        <v>200025888529</v>
      </c>
      <c r="G1924" s="144" t="s">
        <v>302</v>
      </c>
      <c r="H1924" s="144" t="n">
        <v>87</v>
      </c>
      <c r="I1924" s="144" t="s">
        <v>148</v>
      </c>
      <c r="J1924" s="6" t="n">
        <v>45075.7486458333</v>
      </c>
      <c r="K1924" s="1" t="n">
        <v>1</v>
      </c>
      <c r="L1924" s="144" t="n">
        <v>87</v>
      </c>
      <c r="M1924" s="1" t="n">
        <v>54</v>
      </c>
      <c r="N1924" s="1" t="n">
        <v>54</v>
      </c>
      <c r="O1924" s="149" t="n">
        <v>42</v>
      </c>
    </row>
    <row r="1925" customFormat="false" ht="14.25" hidden="false" customHeight="false" outlineLevel="0" collapsed="false">
      <c r="A1925" s="1" t="n">
        <v>310</v>
      </c>
      <c r="B1925" s="1" t="s">
        <v>478</v>
      </c>
      <c r="C1925" s="143" t="n">
        <v>21265</v>
      </c>
      <c r="D1925" s="143" t="s">
        <v>76</v>
      </c>
      <c r="E1925" s="143" t="s">
        <v>479</v>
      </c>
      <c r="F1925" s="144" t="n">
        <v>200025888529</v>
      </c>
      <c r="G1925" s="144" t="s">
        <v>302</v>
      </c>
      <c r="H1925" s="144" t="n">
        <v>87</v>
      </c>
      <c r="I1925" s="144" t="s">
        <v>148</v>
      </c>
      <c r="J1925" s="6" t="n">
        <v>45075.7488425926</v>
      </c>
      <c r="K1925" s="1" t="n">
        <v>2</v>
      </c>
      <c r="L1925" s="144" t="n">
        <v>87</v>
      </c>
      <c r="M1925" s="1" t="n">
        <v>54</v>
      </c>
      <c r="N1925" s="1" t="n">
        <v>54</v>
      </c>
      <c r="O1925" s="149" t="n">
        <v>43</v>
      </c>
    </row>
    <row r="1926" customFormat="false" ht="14.25" hidden="false" customHeight="false" outlineLevel="0" collapsed="false">
      <c r="A1926" s="1" t="n">
        <v>311</v>
      </c>
      <c r="B1926" s="1" t="s">
        <v>478</v>
      </c>
      <c r="C1926" s="143" t="n">
        <v>21265</v>
      </c>
      <c r="D1926" s="143" t="s">
        <v>76</v>
      </c>
      <c r="E1926" s="143" t="s">
        <v>479</v>
      </c>
      <c r="F1926" s="144" t="n">
        <v>200025888529</v>
      </c>
      <c r="G1926" s="144" t="s">
        <v>302</v>
      </c>
      <c r="H1926" s="144" t="n">
        <v>87</v>
      </c>
      <c r="I1926" s="144" t="s">
        <v>148</v>
      </c>
      <c r="J1926" s="6" t="n">
        <v>45075.7496064815</v>
      </c>
      <c r="K1926" s="1" t="n">
        <v>1</v>
      </c>
      <c r="L1926" s="144" t="n">
        <v>87</v>
      </c>
      <c r="M1926" s="1" t="n">
        <v>54</v>
      </c>
      <c r="N1926" s="1" t="n">
        <v>54</v>
      </c>
      <c r="O1926" s="149" t="n">
        <v>44</v>
      </c>
    </row>
    <row r="1927" customFormat="false" ht="14.25" hidden="false" customHeight="false" outlineLevel="0" collapsed="false">
      <c r="A1927" s="1" t="n">
        <v>312</v>
      </c>
      <c r="B1927" s="1" t="s">
        <v>478</v>
      </c>
      <c r="C1927" s="143" t="n">
        <v>21265</v>
      </c>
      <c r="D1927" s="143" t="s">
        <v>76</v>
      </c>
      <c r="E1927" s="143" t="s">
        <v>479</v>
      </c>
      <c r="F1927" s="144" t="n">
        <v>200025888529</v>
      </c>
      <c r="G1927" s="144" t="s">
        <v>302</v>
      </c>
      <c r="H1927" s="144" t="n">
        <v>87</v>
      </c>
      <c r="I1927" s="144" t="s">
        <v>148</v>
      </c>
      <c r="J1927" s="6" t="n">
        <v>45075.7504861111</v>
      </c>
      <c r="K1927" s="1" t="n">
        <v>1</v>
      </c>
      <c r="L1927" s="144" t="n">
        <v>87</v>
      </c>
      <c r="M1927" s="1" t="n">
        <v>54</v>
      </c>
      <c r="N1927" s="1" t="n">
        <v>54</v>
      </c>
      <c r="O1927" s="149" t="n">
        <v>45</v>
      </c>
    </row>
    <row r="1928" customFormat="false" ht="14.25" hidden="false" customHeight="false" outlineLevel="0" collapsed="false">
      <c r="A1928" s="1" t="n">
        <v>313</v>
      </c>
      <c r="B1928" s="1" t="s">
        <v>478</v>
      </c>
      <c r="C1928" s="143" t="n">
        <v>21265</v>
      </c>
      <c r="D1928" s="143" t="s">
        <v>76</v>
      </c>
      <c r="E1928" s="143" t="s">
        <v>479</v>
      </c>
      <c r="F1928" s="144" t="n">
        <v>200025888529</v>
      </c>
      <c r="G1928" s="144" t="s">
        <v>302</v>
      </c>
      <c r="H1928" s="144" t="n">
        <v>87</v>
      </c>
      <c r="I1928" s="144" t="s">
        <v>148</v>
      </c>
      <c r="J1928" s="6" t="n">
        <v>45075.7547453704</v>
      </c>
      <c r="K1928" s="1" t="n">
        <v>0</v>
      </c>
      <c r="L1928" s="144" t="n">
        <v>87</v>
      </c>
      <c r="M1928" s="1" t="n">
        <v>54</v>
      </c>
      <c r="N1928" s="1" t="n">
        <v>54</v>
      </c>
      <c r="O1928" s="149" t="n">
        <v>46</v>
      </c>
    </row>
    <row r="1929" customFormat="false" ht="14.25" hidden="false" customHeight="false" outlineLevel="0" collapsed="false">
      <c r="A1929" s="1" t="n">
        <v>314</v>
      </c>
      <c r="B1929" s="1" t="s">
        <v>478</v>
      </c>
      <c r="C1929" s="143" t="n">
        <v>21265</v>
      </c>
      <c r="D1929" s="143" t="s">
        <v>76</v>
      </c>
      <c r="E1929" s="143" t="s">
        <v>479</v>
      </c>
      <c r="F1929" s="144" t="n">
        <v>200025888529</v>
      </c>
      <c r="G1929" s="144" t="s">
        <v>302</v>
      </c>
      <c r="H1929" s="144" t="n">
        <v>87</v>
      </c>
      <c r="I1929" s="144" t="s">
        <v>148</v>
      </c>
      <c r="J1929" s="6" t="n">
        <v>45075.7552662037</v>
      </c>
      <c r="K1929" s="1" t="n">
        <v>1</v>
      </c>
      <c r="L1929" s="144" t="n">
        <v>87</v>
      </c>
      <c r="M1929" s="1" t="n">
        <v>54</v>
      </c>
      <c r="N1929" s="1" t="n">
        <v>54</v>
      </c>
      <c r="O1929" s="149" t="n">
        <v>47</v>
      </c>
    </row>
    <row r="1930" customFormat="false" ht="14.25" hidden="false" customHeight="false" outlineLevel="0" collapsed="false">
      <c r="A1930" s="1" t="n">
        <v>315</v>
      </c>
      <c r="B1930" s="1" t="s">
        <v>478</v>
      </c>
      <c r="C1930" s="143" t="n">
        <v>21265</v>
      </c>
      <c r="D1930" s="143" t="s">
        <v>76</v>
      </c>
      <c r="E1930" s="143" t="s">
        <v>479</v>
      </c>
      <c r="F1930" s="144" t="n">
        <v>200025888529</v>
      </c>
      <c r="G1930" s="144" t="s">
        <v>302</v>
      </c>
      <c r="H1930" s="144" t="n">
        <v>87</v>
      </c>
      <c r="I1930" s="144" t="s">
        <v>148</v>
      </c>
      <c r="J1930" s="6" t="n">
        <v>45075.7556597222</v>
      </c>
      <c r="K1930" s="1" t="n">
        <v>1</v>
      </c>
      <c r="L1930" s="144" t="n">
        <v>87</v>
      </c>
      <c r="M1930" s="1" t="n">
        <v>54</v>
      </c>
      <c r="N1930" s="1" t="n">
        <v>54</v>
      </c>
      <c r="O1930" s="149" t="n">
        <v>48</v>
      </c>
    </row>
    <row r="1931" customFormat="false" ht="14.25" hidden="false" customHeight="false" outlineLevel="0" collapsed="false">
      <c r="A1931" s="1" t="n">
        <v>316</v>
      </c>
      <c r="B1931" s="1" t="s">
        <v>478</v>
      </c>
      <c r="C1931" s="143" t="n">
        <v>21265</v>
      </c>
      <c r="D1931" s="143" t="s">
        <v>76</v>
      </c>
      <c r="E1931" s="143" t="s">
        <v>479</v>
      </c>
      <c r="F1931" s="144" t="n">
        <v>200025888529</v>
      </c>
      <c r="G1931" s="144" t="s">
        <v>302</v>
      </c>
      <c r="H1931" s="144" t="n">
        <v>87</v>
      </c>
      <c r="I1931" s="144" t="s">
        <v>148</v>
      </c>
      <c r="J1931" s="6" t="n">
        <v>45075.8181365741</v>
      </c>
      <c r="K1931" s="1" t="n">
        <v>1</v>
      </c>
      <c r="L1931" s="144" t="n">
        <v>87</v>
      </c>
      <c r="M1931" s="1" t="n">
        <v>54</v>
      </c>
      <c r="N1931" s="1" t="n">
        <v>54</v>
      </c>
      <c r="O1931" s="149" t="n">
        <v>49</v>
      </c>
    </row>
    <row r="1932" customFormat="false" ht="14.25" hidden="false" customHeight="false" outlineLevel="0" collapsed="false">
      <c r="A1932" s="1" t="n">
        <v>317</v>
      </c>
      <c r="B1932" s="1" t="s">
        <v>478</v>
      </c>
      <c r="C1932" s="143" t="n">
        <v>21265</v>
      </c>
      <c r="D1932" s="143" t="s">
        <v>76</v>
      </c>
      <c r="E1932" s="143" t="s">
        <v>479</v>
      </c>
      <c r="F1932" s="144" t="n">
        <v>200025888529</v>
      </c>
      <c r="G1932" s="144" t="s">
        <v>302</v>
      </c>
      <c r="H1932" s="144" t="n">
        <v>87</v>
      </c>
      <c r="I1932" s="144" t="s">
        <v>148</v>
      </c>
      <c r="J1932" s="6" t="n">
        <v>45075.8184837963</v>
      </c>
      <c r="K1932" s="1" t="n">
        <v>1</v>
      </c>
      <c r="L1932" s="144" t="n">
        <v>87</v>
      </c>
      <c r="M1932" s="1" t="n">
        <v>54</v>
      </c>
      <c r="N1932" s="1" t="n">
        <v>54</v>
      </c>
      <c r="O1932" s="149" t="n">
        <v>50</v>
      </c>
    </row>
    <row r="1933" customFormat="false" ht="14.25" hidden="false" customHeight="false" outlineLevel="0" collapsed="false">
      <c r="A1933" s="1" t="n">
        <v>318</v>
      </c>
      <c r="B1933" s="1" t="s">
        <v>478</v>
      </c>
      <c r="C1933" s="143" t="n">
        <v>21265</v>
      </c>
      <c r="D1933" s="143" t="s">
        <v>76</v>
      </c>
      <c r="E1933" s="143" t="s">
        <v>479</v>
      </c>
      <c r="F1933" s="144" t="n">
        <v>200025888529</v>
      </c>
      <c r="G1933" s="144" t="s">
        <v>302</v>
      </c>
      <c r="H1933" s="144" t="n">
        <v>87</v>
      </c>
      <c r="I1933" s="144" t="s">
        <v>148</v>
      </c>
      <c r="J1933" s="6" t="n">
        <v>45075.8190972222</v>
      </c>
      <c r="K1933" s="1" t="n">
        <v>0</v>
      </c>
      <c r="L1933" s="144" t="n">
        <v>87</v>
      </c>
      <c r="M1933" s="1" t="n">
        <v>54</v>
      </c>
      <c r="N1933" s="1" t="n">
        <v>54</v>
      </c>
      <c r="O1933" s="149" t="n">
        <v>51</v>
      </c>
    </row>
    <row r="1934" customFormat="false" ht="14.25" hidden="false" customHeight="false" outlineLevel="0" collapsed="false">
      <c r="A1934" s="1" t="n">
        <v>319</v>
      </c>
      <c r="B1934" s="1" t="s">
        <v>478</v>
      </c>
      <c r="C1934" s="143" t="n">
        <v>21265</v>
      </c>
      <c r="D1934" s="143" t="s">
        <v>76</v>
      </c>
      <c r="E1934" s="143" t="s">
        <v>479</v>
      </c>
      <c r="F1934" s="144" t="n">
        <v>200025888529</v>
      </c>
      <c r="G1934" s="144" t="s">
        <v>302</v>
      </c>
      <c r="H1934" s="144" t="n">
        <v>87</v>
      </c>
      <c r="I1934" s="144" t="s">
        <v>148</v>
      </c>
      <c r="J1934" s="6" t="n">
        <v>45075.8195486111</v>
      </c>
      <c r="K1934" s="1" t="n">
        <v>1</v>
      </c>
      <c r="L1934" s="144" t="n">
        <v>87</v>
      </c>
      <c r="M1934" s="1" t="n">
        <v>54</v>
      </c>
      <c r="N1934" s="1" t="n">
        <v>54</v>
      </c>
      <c r="O1934" s="149" t="n">
        <v>52</v>
      </c>
    </row>
    <row r="1935" customFormat="false" ht="14.25" hidden="false" customHeight="false" outlineLevel="0" collapsed="false">
      <c r="A1935" s="1" t="n">
        <v>320</v>
      </c>
      <c r="B1935" s="1" t="s">
        <v>478</v>
      </c>
      <c r="C1935" s="143" t="n">
        <v>21265</v>
      </c>
      <c r="D1935" s="143" t="s">
        <v>76</v>
      </c>
      <c r="E1935" s="143" t="s">
        <v>479</v>
      </c>
      <c r="F1935" s="144" t="n">
        <v>200025888529</v>
      </c>
      <c r="G1935" s="144" t="s">
        <v>302</v>
      </c>
      <c r="H1935" s="144" t="n">
        <v>87</v>
      </c>
      <c r="I1935" s="144" t="s">
        <v>148</v>
      </c>
      <c r="J1935" s="6" t="n">
        <v>45075.8199421296</v>
      </c>
      <c r="K1935" s="1" t="n">
        <v>2</v>
      </c>
      <c r="L1935" s="144" t="n">
        <v>87</v>
      </c>
      <c r="M1935" s="1" t="n">
        <v>54</v>
      </c>
      <c r="N1935" s="1" t="n">
        <v>54</v>
      </c>
      <c r="O1935" s="149" t="n">
        <v>53</v>
      </c>
    </row>
    <row r="1936" customFormat="false" ht="14.25" hidden="false" customHeight="false" outlineLevel="0" collapsed="false">
      <c r="A1936" s="1" t="n">
        <v>213</v>
      </c>
      <c r="B1936" s="1" t="s">
        <v>473</v>
      </c>
      <c r="C1936" s="143" t="n">
        <v>11490</v>
      </c>
      <c r="D1936" s="143" t="s">
        <v>65</v>
      </c>
      <c r="E1936" s="143" t="s">
        <v>479</v>
      </c>
      <c r="F1936" s="144" t="n">
        <v>200025888798</v>
      </c>
      <c r="G1936" s="144" t="s">
        <v>401</v>
      </c>
      <c r="H1936" s="144" t="n">
        <v>83</v>
      </c>
      <c r="I1936" s="144" t="s">
        <v>148</v>
      </c>
      <c r="J1936" s="6" t="n">
        <v>45056.6984490741</v>
      </c>
      <c r="K1936" s="1" t="n">
        <v>1</v>
      </c>
      <c r="L1936" s="144" t="n">
        <v>83</v>
      </c>
      <c r="M1936" s="1" t="n">
        <v>55</v>
      </c>
      <c r="N1936" s="1" t="n">
        <v>55</v>
      </c>
      <c r="O1936" s="149" t="n">
        <v>1</v>
      </c>
    </row>
    <row r="1937" customFormat="false" ht="14.25" hidden="false" customHeight="false" outlineLevel="0" collapsed="false">
      <c r="A1937" s="1" t="n">
        <v>214</v>
      </c>
      <c r="B1937" s="1" t="s">
        <v>473</v>
      </c>
      <c r="C1937" s="143" t="n">
        <v>11490</v>
      </c>
      <c r="D1937" s="143" t="s">
        <v>65</v>
      </c>
      <c r="E1937" s="143" t="s">
        <v>479</v>
      </c>
      <c r="F1937" s="144" t="n">
        <v>200025888798</v>
      </c>
      <c r="G1937" s="144" t="s">
        <v>401</v>
      </c>
      <c r="H1937" s="144" t="n">
        <v>83</v>
      </c>
      <c r="I1937" s="144" t="s">
        <v>148</v>
      </c>
      <c r="J1937" s="6" t="n">
        <v>45056.6987384259</v>
      </c>
      <c r="K1937" s="1" t="n">
        <v>1</v>
      </c>
      <c r="L1937" s="144" t="n">
        <v>83</v>
      </c>
      <c r="M1937" s="1" t="n">
        <v>55</v>
      </c>
      <c r="N1937" s="1" t="n">
        <v>55</v>
      </c>
      <c r="O1937" s="149" t="n">
        <v>2</v>
      </c>
    </row>
    <row r="1938" customFormat="false" ht="14.25" hidden="false" customHeight="false" outlineLevel="0" collapsed="false">
      <c r="A1938" s="1" t="n">
        <v>215</v>
      </c>
      <c r="B1938" s="1" t="s">
        <v>473</v>
      </c>
      <c r="C1938" s="143" t="n">
        <v>11490</v>
      </c>
      <c r="D1938" s="143" t="s">
        <v>65</v>
      </c>
      <c r="E1938" s="143" t="s">
        <v>479</v>
      </c>
      <c r="F1938" s="144" t="n">
        <v>200025888798</v>
      </c>
      <c r="G1938" s="144" t="s">
        <v>401</v>
      </c>
      <c r="H1938" s="144" t="n">
        <v>83</v>
      </c>
      <c r="I1938" s="144" t="s">
        <v>148</v>
      </c>
      <c r="J1938" s="6" t="n">
        <v>45056.6987847222</v>
      </c>
      <c r="K1938" s="1" t="n">
        <v>0</v>
      </c>
      <c r="L1938" s="144" t="n">
        <v>83</v>
      </c>
      <c r="M1938" s="1" t="n">
        <v>55</v>
      </c>
      <c r="N1938" s="1" t="n">
        <v>55</v>
      </c>
      <c r="O1938" s="149" t="n">
        <v>3</v>
      </c>
    </row>
    <row r="1939" customFormat="false" ht="14.25" hidden="false" customHeight="false" outlineLevel="0" collapsed="false">
      <c r="A1939" s="1" t="n">
        <v>216</v>
      </c>
      <c r="B1939" s="1" t="s">
        <v>473</v>
      </c>
      <c r="C1939" s="143" t="n">
        <v>11490</v>
      </c>
      <c r="D1939" s="143" t="s">
        <v>65</v>
      </c>
      <c r="E1939" s="143" t="s">
        <v>479</v>
      </c>
      <c r="F1939" s="144" t="n">
        <v>200025888798</v>
      </c>
      <c r="G1939" s="144" t="s">
        <v>401</v>
      </c>
      <c r="H1939" s="144" t="n">
        <v>83</v>
      </c>
      <c r="I1939" s="144" t="s">
        <v>148</v>
      </c>
      <c r="J1939" s="6" t="n">
        <v>45056.7138888889</v>
      </c>
      <c r="K1939" s="1" t="n">
        <v>2</v>
      </c>
      <c r="L1939" s="144" t="n">
        <v>83</v>
      </c>
      <c r="M1939" s="1" t="n">
        <v>55</v>
      </c>
      <c r="N1939" s="1" t="n">
        <v>55</v>
      </c>
      <c r="O1939" s="149" t="n">
        <v>4</v>
      </c>
    </row>
    <row r="1940" customFormat="false" ht="14.25" hidden="false" customHeight="false" outlineLevel="0" collapsed="false">
      <c r="A1940" s="1" t="n">
        <v>217</v>
      </c>
      <c r="B1940" s="1" t="s">
        <v>473</v>
      </c>
      <c r="C1940" s="143" t="n">
        <v>11490</v>
      </c>
      <c r="D1940" s="143" t="s">
        <v>65</v>
      </c>
      <c r="E1940" s="143" t="s">
        <v>479</v>
      </c>
      <c r="F1940" s="144" t="n">
        <v>200025888798</v>
      </c>
      <c r="G1940" s="144" t="s">
        <v>401</v>
      </c>
      <c r="H1940" s="144" t="n">
        <v>83</v>
      </c>
      <c r="I1940" s="144" t="s">
        <v>148</v>
      </c>
      <c r="J1940" s="6" t="n">
        <v>45056.7141782407</v>
      </c>
      <c r="K1940" s="1" t="n">
        <v>2</v>
      </c>
      <c r="L1940" s="144" t="n">
        <v>83</v>
      </c>
      <c r="M1940" s="1" t="n">
        <v>55</v>
      </c>
      <c r="N1940" s="1" t="n">
        <v>55</v>
      </c>
      <c r="O1940" s="149" t="n">
        <v>5</v>
      </c>
    </row>
    <row r="1941" customFormat="false" ht="14.25" hidden="false" customHeight="false" outlineLevel="0" collapsed="false">
      <c r="A1941" s="1" t="n">
        <v>233</v>
      </c>
      <c r="B1941" s="1" t="s">
        <v>473</v>
      </c>
      <c r="C1941" s="143" t="n">
        <v>11490</v>
      </c>
      <c r="D1941" s="143" t="s">
        <v>65</v>
      </c>
      <c r="E1941" s="143" t="s">
        <v>479</v>
      </c>
      <c r="F1941" s="144" t="n">
        <v>200025888798</v>
      </c>
      <c r="G1941" s="144" t="s">
        <v>401</v>
      </c>
      <c r="H1941" s="144" t="n">
        <v>83</v>
      </c>
      <c r="I1941" s="144" t="s">
        <v>148</v>
      </c>
      <c r="J1941" s="6" t="n">
        <v>45056.8327893519</v>
      </c>
      <c r="K1941" s="1" t="n">
        <v>1</v>
      </c>
      <c r="L1941" s="144" t="n">
        <v>83</v>
      </c>
      <c r="M1941" s="1" t="n">
        <v>55</v>
      </c>
      <c r="N1941" s="1" t="n">
        <v>55</v>
      </c>
      <c r="O1941" s="149" t="n">
        <v>6</v>
      </c>
    </row>
    <row r="1942" customFormat="false" ht="14.25" hidden="false" customHeight="false" outlineLevel="0" collapsed="false">
      <c r="A1942" s="1" t="n">
        <v>234</v>
      </c>
      <c r="B1942" s="1" t="s">
        <v>473</v>
      </c>
      <c r="C1942" s="143" t="n">
        <v>11490</v>
      </c>
      <c r="D1942" s="143" t="s">
        <v>65</v>
      </c>
      <c r="E1942" s="143" t="s">
        <v>479</v>
      </c>
      <c r="F1942" s="144" t="n">
        <v>200025888798</v>
      </c>
      <c r="G1942" s="144" t="s">
        <v>401</v>
      </c>
      <c r="H1942" s="144" t="n">
        <v>83</v>
      </c>
      <c r="I1942" s="144" t="s">
        <v>148</v>
      </c>
      <c r="J1942" s="6" t="n">
        <v>45056.8330902778</v>
      </c>
      <c r="K1942" s="1" t="n">
        <v>2</v>
      </c>
      <c r="L1942" s="144" t="n">
        <v>83</v>
      </c>
      <c r="M1942" s="1" t="n">
        <v>55</v>
      </c>
      <c r="N1942" s="1" t="n">
        <v>55</v>
      </c>
      <c r="O1942" s="149" t="n">
        <v>7</v>
      </c>
    </row>
    <row r="1943" customFormat="false" ht="14.25" hidden="false" customHeight="false" outlineLevel="0" collapsed="false">
      <c r="A1943" s="1" t="n">
        <v>158</v>
      </c>
      <c r="B1943" s="1" t="s">
        <v>475</v>
      </c>
      <c r="C1943" s="143" t="s">
        <v>52</v>
      </c>
      <c r="D1943" s="143" t="s">
        <v>53</v>
      </c>
      <c r="E1943" s="143" t="s">
        <v>479</v>
      </c>
      <c r="F1943" s="144" t="n">
        <v>200025888798</v>
      </c>
      <c r="G1943" s="144" t="s">
        <v>401</v>
      </c>
      <c r="H1943" s="144" t="n">
        <v>83</v>
      </c>
      <c r="I1943" s="144" t="s">
        <v>148</v>
      </c>
      <c r="J1943" s="151" t="n">
        <v>45056.8377083333</v>
      </c>
      <c r="K1943" s="1" t="n">
        <v>0</v>
      </c>
      <c r="L1943" s="144" t="n">
        <v>83</v>
      </c>
      <c r="M1943" s="1" t="n">
        <v>55</v>
      </c>
      <c r="N1943" s="1" t="n">
        <v>55</v>
      </c>
      <c r="O1943" s="149" t="n">
        <v>8</v>
      </c>
    </row>
    <row r="1944" customFormat="false" ht="14.25" hidden="false" customHeight="false" outlineLevel="0" collapsed="false">
      <c r="A1944" s="1" t="n">
        <v>159</v>
      </c>
      <c r="B1944" s="1" t="s">
        <v>475</v>
      </c>
      <c r="C1944" s="143" t="s">
        <v>52</v>
      </c>
      <c r="D1944" s="143" t="s">
        <v>53</v>
      </c>
      <c r="E1944" s="143" t="s">
        <v>479</v>
      </c>
      <c r="F1944" s="144" t="n">
        <v>200025888798</v>
      </c>
      <c r="G1944" s="144" t="s">
        <v>401</v>
      </c>
      <c r="H1944" s="144" t="n">
        <v>83</v>
      </c>
      <c r="I1944" s="144" t="s">
        <v>148</v>
      </c>
      <c r="J1944" s="151" t="n">
        <v>45056.8381018519</v>
      </c>
      <c r="K1944" s="1" t="n">
        <v>3</v>
      </c>
      <c r="L1944" s="144" t="n">
        <v>83</v>
      </c>
      <c r="M1944" s="1" t="n">
        <v>55</v>
      </c>
      <c r="N1944" s="1" t="n">
        <v>55</v>
      </c>
      <c r="O1944" s="149" t="n">
        <v>9</v>
      </c>
    </row>
    <row r="1945" customFormat="false" ht="14.25" hidden="false" customHeight="false" outlineLevel="0" collapsed="false">
      <c r="A1945" s="1" t="n">
        <v>162</v>
      </c>
      <c r="B1945" s="1" t="s">
        <v>475</v>
      </c>
      <c r="C1945" s="143" t="s">
        <v>52</v>
      </c>
      <c r="D1945" s="143" t="s">
        <v>53</v>
      </c>
      <c r="E1945" s="143" t="s">
        <v>479</v>
      </c>
      <c r="F1945" s="144" t="n">
        <v>200025888798</v>
      </c>
      <c r="G1945" s="144" t="s">
        <v>401</v>
      </c>
      <c r="H1945" s="144" t="n">
        <v>83</v>
      </c>
      <c r="I1945" s="144" t="s">
        <v>148</v>
      </c>
      <c r="J1945" s="151" t="n">
        <v>45056.8937731482</v>
      </c>
      <c r="K1945" s="1" t="n">
        <v>1</v>
      </c>
      <c r="L1945" s="144" t="n">
        <v>83</v>
      </c>
      <c r="M1945" s="1" t="n">
        <v>55</v>
      </c>
      <c r="N1945" s="1" t="n">
        <v>55</v>
      </c>
      <c r="O1945" s="149" t="n">
        <v>10</v>
      </c>
    </row>
    <row r="1946" customFormat="false" ht="14.25" hidden="false" customHeight="false" outlineLevel="0" collapsed="false">
      <c r="A1946" s="1" t="n">
        <v>309</v>
      </c>
      <c r="B1946" s="1" t="s">
        <v>473</v>
      </c>
      <c r="C1946" s="143" t="n">
        <v>11490</v>
      </c>
      <c r="D1946" s="143" t="s">
        <v>65</v>
      </c>
      <c r="E1946" s="143" t="s">
        <v>479</v>
      </c>
      <c r="F1946" s="144" t="n">
        <v>200025888798</v>
      </c>
      <c r="G1946" s="144" t="s">
        <v>401</v>
      </c>
      <c r="H1946" s="144" t="n">
        <v>83</v>
      </c>
      <c r="I1946" s="144" t="s">
        <v>148</v>
      </c>
      <c r="J1946" s="6" t="n">
        <v>45057.2538541667</v>
      </c>
      <c r="K1946" s="1" t="n">
        <v>0</v>
      </c>
      <c r="L1946" s="144" t="n">
        <v>83</v>
      </c>
      <c r="M1946" s="1" t="n">
        <v>55</v>
      </c>
      <c r="N1946" s="1" t="n">
        <v>55</v>
      </c>
      <c r="O1946" s="149" t="n">
        <v>11</v>
      </c>
    </row>
    <row r="1947" customFormat="false" ht="14.25" hidden="false" customHeight="false" outlineLevel="0" collapsed="false">
      <c r="A1947" s="1" t="n">
        <v>124</v>
      </c>
      <c r="B1947" s="1" t="s">
        <v>478</v>
      </c>
      <c r="C1947" s="143" t="n">
        <v>21265</v>
      </c>
      <c r="D1947" s="143" t="s">
        <v>76</v>
      </c>
      <c r="E1947" s="143" t="s">
        <v>479</v>
      </c>
      <c r="F1947" s="144" t="n">
        <v>200025888798</v>
      </c>
      <c r="G1947" s="144" t="s">
        <v>401</v>
      </c>
      <c r="H1947" s="144" t="n">
        <v>83</v>
      </c>
      <c r="I1947" s="144" t="s">
        <v>148</v>
      </c>
      <c r="J1947" s="6" t="n">
        <v>45073.4702893519</v>
      </c>
      <c r="K1947" s="1" t="n">
        <v>2</v>
      </c>
      <c r="L1947" s="144" t="n">
        <v>83</v>
      </c>
      <c r="M1947" s="1" t="n">
        <v>55</v>
      </c>
      <c r="N1947" s="1" t="n">
        <v>55</v>
      </c>
      <c r="O1947" s="149" t="n">
        <v>12</v>
      </c>
    </row>
    <row r="1948" customFormat="false" ht="14.25" hidden="false" customHeight="false" outlineLevel="0" collapsed="false">
      <c r="A1948" s="1" t="n">
        <v>129</v>
      </c>
      <c r="B1948" s="1" t="s">
        <v>478</v>
      </c>
      <c r="C1948" s="143" t="n">
        <v>21265</v>
      </c>
      <c r="D1948" s="143" t="s">
        <v>76</v>
      </c>
      <c r="E1948" s="143" t="s">
        <v>479</v>
      </c>
      <c r="F1948" s="144" t="n">
        <v>200025888798</v>
      </c>
      <c r="G1948" s="144" t="s">
        <v>401</v>
      </c>
      <c r="H1948" s="144" t="n">
        <v>83</v>
      </c>
      <c r="I1948" s="144" t="s">
        <v>148</v>
      </c>
      <c r="J1948" s="6" t="n">
        <v>45073.5283564815</v>
      </c>
      <c r="K1948" s="1" t="n">
        <v>2</v>
      </c>
      <c r="L1948" s="144" t="n">
        <v>83</v>
      </c>
      <c r="M1948" s="1" t="n">
        <v>55</v>
      </c>
      <c r="N1948" s="1" t="n">
        <v>55</v>
      </c>
      <c r="O1948" s="149" t="n">
        <v>13</v>
      </c>
    </row>
    <row r="1949" customFormat="false" ht="14.25" hidden="false" customHeight="false" outlineLevel="0" collapsed="false">
      <c r="A1949" s="1" t="n">
        <v>130</v>
      </c>
      <c r="B1949" s="1" t="s">
        <v>478</v>
      </c>
      <c r="C1949" s="143" t="n">
        <v>21265</v>
      </c>
      <c r="D1949" s="143" t="s">
        <v>76</v>
      </c>
      <c r="E1949" s="143" t="s">
        <v>479</v>
      </c>
      <c r="F1949" s="144" t="n">
        <v>200025888798</v>
      </c>
      <c r="G1949" s="144" t="s">
        <v>401</v>
      </c>
      <c r="H1949" s="144" t="n">
        <v>83</v>
      </c>
      <c r="I1949" s="144" t="s">
        <v>148</v>
      </c>
      <c r="J1949" s="6" t="n">
        <v>45073.528599537</v>
      </c>
      <c r="K1949" s="1" t="n">
        <v>3</v>
      </c>
      <c r="L1949" s="144" t="n">
        <v>83</v>
      </c>
      <c r="M1949" s="1" t="n">
        <v>55</v>
      </c>
      <c r="N1949" s="1" t="n">
        <v>55</v>
      </c>
      <c r="O1949" s="149" t="n">
        <v>14</v>
      </c>
    </row>
    <row r="1950" customFormat="false" ht="14.25" hidden="false" customHeight="false" outlineLevel="0" collapsed="false">
      <c r="A1950" s="1" t="n">
        <v>131</v>
      </c>
      <c r="B1950" s="1" t="s">
        <v>478</v>
      </c>
      <c r="C1950" s="143" t="n">
        <v>21265</v>
      </c>
      <c r="D1950" s="143" t="s">
        <v>76</v>
      </c>
      <c r="E1950" s="143" t="s">
        <v>479</v>
      </c>
      <c r="F1950" s="144" t="n">
        <v>200025888798</v>
      </c>
      <c r="G1950" s="144" t="s">
        <v>401</v>
      </c>
      <c r="H1950" s="144" t="n">
        <v>83</v>
      </c>
      <c r="I1950" s="144" t="s">
        <v>148</v>
      </c>
      <c r="J1950" s="6" t="n">
        <v>45073.5398032407</v>
      </c>
      <c r="K1950" s="1" t="n">
        <v>1</v>
      </c>
      <c r="L1950" s="144" t="n">
        <v>83</v>
      </c>
      <c r="M1950" s="1" t="n">
        <v>55</v>
      </c>
      <c r="N1950" s="1" t="n">
        <v>55</v>
      </c>
      <c r="O1950" s="149" t="n">
        <v>15</v>
      </c>
    </row>
    <row r="1951" customFormat="false" ht="14.25" hidden="false" customHeight="false" outlineLevel="0" collapsed="false">
      <c r="A1951" s="1" t="n">
        <v>132</v>
      </c>
      <c r="B1951" s="1" t="s">
        <v>478</v>
      </c>
      <c r="C1951" s="143" t="n">
        <v>21265</v>
      </c>
      <c r="D1951" s="143" t="s">
        <v>76</v>
      </c>
      <c r="E1951" s="143" t="s">
        <v>479</v>
      </c>
      <c r="F1951" s="144" t="n">
        <v>200025888798</v>
      </c>
      <c r="G1951" s="144" t="s">
        <v>401</v>
      </c>
      <c r="H1951" s="144" t="n">
        <v>83</v>
      </c>
      <c r="I1951" s="144" t="s">
        <v>148</v>
      </c>
      <c r="J1951" s="6" t="n">
        <v>45073.5518518519</v>
      </c>
      <c r="K1951" s="1" t="n">
        <v>3</v>
      </c>
      <c r="L1951" s="144" t="n">
        <v>83</v>
      </c>
      <c r="M1951" s="1" t="n">
        <v>55</v>
      </c>
      <c r="N1951" s="1" t="n">
        <v>55</v>
      </c>
      <c r="O1951" s="149" t="n">
        <v>16</v>
      </c>
    </row>
    <row r="1952" customFormat="false" ht="14.25" hidden="false" customHeight="false" outlineLevel="0" collapsed="false">
      <c r="A1952" s="1" t="n">
        <v>133</v>
      </c>
      <c r="B1952" s="1" t="s">
        <v>478</v>
      </c>
      <c r="C1952" s="143" t="n">
        <v>21265</v>
      </c>
      <c r="D1952" s="143" t="s">
        <v>76</v>
      </c>
      <c r="E1952" s="143" t="s">
        <v>479</v>
      </c>
      <c r="F1952" s="144" t="n">
        <v>200025888798</v>
      </c>
      <c r="G1952" s="144" t="s">
        <v>401</v>
      </c>
      <c r="H1952" s="144" t="n">
        <v>83</v>
      </c>
      <c r="I1952" s="144" t="s">
        <v>148</v>
      </c>
      <c r="J1952" s="6" t="n">
        <v>45073.5529513889</v>
      </c>
      <c r="K1952" s="1" t="n">
        <v>1</v>
      </c>
      <c r="L1952" s="144" t="n">
        <v>83</v>
      </c>
      <c r="M1952" s="1" t="n">
        <v>55</v>
      </c>
      <c r="N1952" s="1" t="n">
        <v>55</v>
      </c>
      <c r="O1952" s="149" t="n">
        <v>17</v>
      </c>
    </row>
    <row r="1953" customFormat="false" ht="14.25" hidden="false" customHeight="false" outlineLevel="0" collapsed="false">
      <c r="A1953" s="1" t="n">
        <v>145</v>
      </c>
      <c r="B1953" s="1" t="s">
        <v>478</v>
      </c>
      <c r="C1953" s="143" t="n">
        <v>21265</v>
      </c>
      <c r="D1953" s="143" t="s">
        <v>76</v>
      </c>
      <c r="E1953" s="143" t="s">
        <v>479</v>
      </c>
      <c r="F1953" s="144" t="n">
        <v>200025888798</v>
      </c>
      <c r="G1953" s="144" t="s">
        <v>401</v>
      </c>
      <c r="H1953" s="144" t="n">
        <v>83</v>
      </c>
      <c r="I1953" s="144" t="s">
        <v>148</v>
      </c>
      <c r="J1953" s="6" t="n">
        <v>45073.6020601852</v>
      </c>
      <c r="K1953" s="1" t="n">
        <v>2</v>
      </c>
      <c r="L1953" s="144" t="n">
        <v>83</v>
      </c>
      <c r="M1953" s="1" t="n">
        <v>55</v>
      </c>
      <c r="N1953" s="1" t="n">
        <v>55</v>
      </c>
      <c r="O1953" s="149" t="n">
        <v>18</v>
      </c>
    </row>
    <row r="1954" customFormat="false" ht="14.25" hidden="false" customHeight="false" outlineLevel="0" collapsed="false">
      <c r="A1954" s="1" t="n">
        <v>76</v>
      </c>
      <c r="B1954" s="1" t="s">
        <v>490</v>
      </c>
      <c r="C1954" s="143" t="n">
        <v>11171</v>
      </c>
      <c r="D1954" s="143" t="s">
        <v>74</v>
      </c>
      <c r="E1954" s="143" t="s">
        <v>479</v>
      </c>
      <c r="F1954" s="144" t="n">
        <v>200025888798</v>
      </c>
      <c r="G1954" s="144" t="s">
        <v>401</v>
      </c>
      <c r="H1954" s="144" t="n">
        <v>83</v>
      </c>
      <c r="I1954" s="144" t="s">
        <v>148</v>
      </c>
      <c r="J1954" s="6" t="n">
        <v>45073.6537962963</v>
      </c>
      <c r="K1954" s="1" t="n">
        <v>4</v>
      </c>
      <c r="L1954" s="144" t="n">
        <v>83</v>
      </c>
      <c r="M1954" s="1" t="n">
        <v>55</v>
      </c>
      <c r="N1954" s="1" t="n">
        <v>55</v>
      </c>
      <c r="O1954" s="149" t="n">
        <v>19</v>
      </c>
    </row>
    <row r="1955" customFormat="false" ht="14.25" hidden="false" customHeight="false" outlineLevel="0" collapsed="false">
      <c r="A1955" s="1" t="n">
        <v>77</v>
      </c>
      <c r="B1955" s="1" t="s">
        <v>490</v>
      </c>
      <c r="C1955" s="143" t="n">
        <v>11171</v>
      </c>
      <c r="D1955" s="143" t="s">
        <v>74</v>
      </c>
      <c r="E1955" s="143" t="s">
        <v>479</v>
      </c>
      <c r="F1955" s="144" t="n">
        <v>200025888798</v>
      </c>
      <c r="G1955" s="144" t="s">
        <v>401</v>
      </c>
      <c r="H1955" s="144" t="n">
        <v>83</v>
      </c>
      <c r="I1955" s="144" t="s">
        <v>148</v>
      </c>
      <c r="J1955" s="6" t="n">
        <v>45073.6540972222</v>
      </c>
      <c r="K1955" s="1" t="n">
        <v>3</v>
      </c>
      <c r="L1955" s="144" t="n">
        <v>83</v>
      </c>
      <c r="M1955" s="1" t="n">
        <v>55</v>
      </c>
      <c r="N1955" s="1" t="n">
        <v>55</v>
      </c>
      <c r="O1955" s="149" t="n">
        <v>20</v>
      </c>
    </row>
    <row r="1956" customFormat="false" ht="14.25" hidden="false" customHeight="false" outlineLevel="0" collapsed="false">
      <c r="A1956" s="1" t="n">
        <v>78</v>
      </c>
      <c r="B1956" s="1" t="s">
        <v>490</v>
      </c>
      <c r="C1956" s="143" t="n">
        <v>11171</v>
      </c>
      <c r="D1956" s="143" t="s">
        <v>74</v>
      </c>
      <c r="E1956" s="143" t="s">
        <v>479</v>
      </c>
      <c r="F1956" s="144" t="n">
        <v>200025888798</v>
      </c>
      <c r="G1956" s="144" t="s">
        <v>401</v>
      </c>
      <c r="H1956" s="144" t="n">
        <v>83</v>
      </c>
      <c r="I1956" s="144" t="s">
        <v>148</v>
      </c>
      <c r="J1956" s="6" t="n">
        <v>45073.6542361111</v>
      </c>
      <c r="K1956" s="1" t="n">
        <v>2</v>
      </c>
      <c r="L1956" s="144" t="n">
        <v>83</v>
      </c>
      <c r="M1956" s="1" t="n">
        <v>55</v>
      </c>
      <c r="N1956" s="1" t="n">
        <v>55</v>
      </c>
      <c r="O1956" s="149" t="n">
        <v>21</v>
      </c>
    </row>
    <row r="1957" customFormat="false" ht="14.25" hidden="false" customHeight="false" outlineLevel="0" collapsed="false">
      <c r="A1957" s="1" t="n">
        <v>151</v>
      </c>
      <c r="B1957" s="1" t="s">
        <v>478</v>
      </c>
      <c r="C1957" s="143" t="n">
        <v>21265</v>
      </c>
      <c r="D1957" s="143" t="s">
        <v>76</v>
      </c>
      <c r="E1957" s="143" t="s">
        <v>479</v>
      </c>
      <c r="F1957" s="144" t="n">
        <v>200025888798</v>
      </c>
      <c r="G1957" s="144" t="s">
        <v>401</v>
      </c>
      <c r="H1957" s="144" t="n">
        <v>83</v>
      </c>
      <c r="I1957" s="144" t="s">
        <v>148</v>
      </c>
      <c r="J1957" s="6" t="n">
        <v>45073.6844560185</v>
      </c>
      <c r="K1957" s="1" t="n">
        <v>1</v>
      </c>
      <c r="L1957" s="144" t="n">
        <v>83</v>
      </c>
      <c r="M1957" s="1" t="n">
        <v>55</v>
      </c>
      <c r="N1957" s="1" t="n">
        <v>55</v>
      </c>
      <c r="O1957" s="149" t="n">
        <v>22</v>
      </c>
    </row>
    <row r="1958" customFormat="false" ht="14.25" hidden="false" customHeight="false" outlineLevel="0" collapsed="false">
      <c r="A1958" s="1" t="n">
        <v>81</v>
      </c>
      <c r="B1958" s="1" t="s">
        <v>490</v>
      </c>
      <c r="C1958" s="143" t="n">
        <v>11171</v>
      </c>
      <c r="D1958" s="143" t="s">
        <v>74</v>
      </c>
      <c r="E1958" s="143" t="s">
        <v>479</v>
      </c>
      <c r="F1958" s="144" t="n">
        <v>200025888798</v>
      </c>
      <c r="G1958" s="144" t="s">
        <v>401</v>
      </c>
      <c r="H1958" s="144" t="n">
        <v>83</v>
      </c>
      <c r="I1958" s="144" t="s">
        <v>148</v>
      </c>
      <c r="J1958" s="6" t="n">
        <v>45073.7025115741</v>
      </c>
      <c r="K1958" s="1" t="n">
        <v>0</v>
      </c>
      <c r="L1958" s="144" t="n">
        <v>83</v>
      </c>
      <c r="M1958" s="1" t="n">
        <v>55</v>
      </c>
      <c r="N1958" s="1" t="n">
        <v>55</v>
      </c>
      <c r="O1958" s="149" t="n">
        <v>23</v>
      </c>
    </row>
    <row r="1959" customFormat="false" ht="14.25" hidden="false" customHeight="false" outlineLevel="0" collapsed="false">
      <c r="A1959" s="1" t="n">
        <v>82</v>
      </c>
      <c r="B1959" s="1" t="s">
        <v>490</v>
      </c>
      <c r="C1959" s="143" t="n">
        <v>11171</v>
      </c>
      <c r="D1959" s="143" t="s">
        <v>74</v>
      </c>
      <c r="E1959" s="143" t="s">
        <v>479</v>
      </c>
      <c r="F1959" s="144" t="n">
        <v>200025888798</v>
      </c>
      <c r="G1959" s="144" t="s">
        <v>401</v>
      </c>
      <c r="H1959" s="144" t="n">
        <v>83</v>
      </c>
      <c r="I1959" s="144" t="s">
        <v>148</v>
      </c>
      <c r="J1959" s="6" t="n">
        <v>45073.7028125</v>
      </c>
      <c r="K1959" s="1" t="n">
        <v>1</v>
      </c>
      <c r="L1959" s="144" t="n">
        <v>83</v>
      </c>
      <c r="M1959" s="1" t="n">
        <v>55</v>
      </c>
      <c r="N1959" s="1" t="n">
        <v>55</v>
      </c>
      <c r="O1959" s="149" t="n">
        <v>24</v>
      </c>
    </row>
    <row r="1960" customFormat="false" ht="14.25" hidden="false" customHeight="false" outlineLevel="0" collapsed="false">
      <c r="A1960" s="1" t="n">
        <v>83</v>
      </c>
      <c r="B1960" s="1" t="s">
        <v>490</v>
      </c>
      <c r="C1960" s="143" t="n">
        <v>11171</v>
      </c>
      <c r="D1960" s="143" t="s">
        <v>74</v>
      </c>
      <c r="E1960" s="143" t="s">
        <v>479</v>
      </c>
      <c r="F1960" s="144" t="n">
        <v>200025888798</v>
      </c>
      <c r="G1960" s="144" t="s">
        <v>401</v>
      </c>
      <c r="H1960" s="144" t="n">
        <v>83</v>
      </c>
      <c r="I1960" s="144" t="s">
        <v>148</v>
      </c>
      <c r="J1960" s="6" t="n">
        <v>45073.7038425926</v>
      </c>
      <c r="K1960" s="1" t="n">
        <v>3</v>
      </c>
      <c r="L1960" s="144" t="n">
        <v>83</v>
      </c>
      <c r="M1960" s="1" t="n">
        <v>55</v>
      </c>
      <c r="N1960" s="1" t="n">
        <v>55</v>
      </c>
      <c r="O1960" s="149" t="n">
        <v>25</v>
      </c>
    </row>
    <row r="1961" customFormat="false" ht="14.25" hidden="false" customHeight="false" outlineLevel="0" collapsed="false">
      <c r="A1961" s="1" t="n">
        <v>84</v>
      </c>
      <c r="B1961" s="1" t="s">
        <v>490</v>
      </c>
      <c r="C1961" s="143" t="n">
        <v>11171</v>
      </c>
      <c r="D1961" s="143" t="s">
        <v>74</v>
      </c>
      <c r="E1961" s="143" t="s">
        <v>479</v>
      </c>
      <c r="F1961" s="144" t="n">
        <v>200025888798</v>
      </c>
      <c r="G1961" s="144" t="s">
        <v>401</v>
      </c>
      <c r="H1961" s="144" t="n">
        <v>83</v>
      </c>
      <c r="I1961" s="144" t="s">
        <v>148</v>
      </c>
      <c r="J1961" s="6" t="n">
        <v>45073.7046527778</v>
      </c>
      <c r="K1961" s="1" t="n">
        <v>2</v>
      </c>
      <c r="L1961" s="144" t="n">
        <v>83</v>
      </c>
      <c r="M1961" s="1" t="n">
        <v>55</v>
      </c>
      <c r="N1961" s="1" t="n">
        <v>55</v>
      </c>
      <c r="O1961" s="149" t="n">
        <v>26</v>
      </c>
    </row>
    <row r="1962" customFormat="false" ht="14.25" hidden="false" customHeight="false" outlineLevel="0" collapsed="false">
      <c r="A1962" s="1" t="n">
        <v>85</v>
      </c>
      <c r="B1962" s="1" t="s">
        <v>490</v>
      </c>
      <c r="C1962" s="143" t="n">
        <v>11171</v>
      </c>
      <c r="D1962" s="143" t="s">
        <v>74</v>
      </c>
      <c r="E1962" s="143" t="s">
        <v>479</v>
      </c>
      <c r="F1962" s="144" t="n">
        <v>200025888798</v>
      </c>
      <c r="G1962" s="144" t="s">
        <v>401</v>
      </c>
      <c r="H1962" s="144" t="n">
        <v>83</v>
      </c>
      <c r="I1962" s="144" t="s">
        <v>148</v>
      </c>
      <c r="J1962" s="6" t="n">
        <v>45073.7061805556</v>
      </c>
      <c r="K1962" s="1" t="n">
        <v>3</v>
      </c>
      <c r="L1962" s="144" t="n">
        <v>83</v>
      </c>
      <c r="M1962" s="1" t="n">
        <v>55</v>
      </c>
      <c r="N1962" s="1" t="n">
        <v>55</v>
      </c>
      <c r="O1962" s="149" t="n">
        <v>27</v>
      </c>
    </row>
    <row r="1963" customFormat="false" ht="14.25" hidden="false" customHeight="false" outlineLevel="0" collapsed="false">
      <c r="A1963" s="1" t="n">
        <v>90</v>
      </c>
      <c r="B1963" s="1" t="s">
        <v>490</v>
      </c>
      <c r="C1963" s="143" t="n">
        <v>11171</v>
      </c>
      <c r="D1963" s="143" t="s">
        <v>74</v>
      </c>
      <c r="E1963" s="143" t="s">
        <v>479</v>
      </c>
      <c r="F1963" s="144" t="n">
        <v>200025888798</v>
      </c>
      <c r="G1963" s="144" t="s">
        <v>401</v>
      </c>
      <c r="H1963" s="144" t="n">
        <v>83</v>
      </c>
      <c r="I1963" s="144" t="s">
        <v>148</v>
      </c>
      <c r="J1963" s="6" t="n">
        <v>45073.7586574074</v>
      </c>
      <c r="K1963" s="1" t="n">
        <v>2</v>
      </c>
      <c r="L1963" s="144" t="n">
        <v>83</v>
      </c>
      <c r="M1963" s="1" t="n">
        <v>55</v>
      </c>
      <c r="N1963" s="1" t="n">
        <v>55</v>
      </c>
      <c r="O1963" s="149" t="n">
        <v>28</v>
      </c>
    </row>
    <row r="1964" customFormat="false" ht="14.25" hidden="false" customHeight="false" outlineLevel="0" collapsed="false">
      <c r="A1964" s="1" t="n">
        <v>91</v>
      </c>
      <c r="B1964" s="1" t="s">
        <v>490</v>
      </c>
      <c r="C1964" s="143" t="n">
        <v>11171</v>
      </c>
      <c r="D1964" s="143" t="s">
        <v>74</v>
      </c>
      <c r="E1964" s="143" t="s">
        <v>479</v>
      </c>
      <c r="F1964" s="144" t="n">
        <v>200025888798</v>
      </c>
      <c r="G1964" s="144" t="s">
        <v>401</v>
      </c>
      <c r="H1964" s="144" t="n">
        <v>83</v>
      </c>
      <c r="I1964" s="144" t="s">
        <v>148</v>
      </c>
      <c r="J1964" s="6" t="n">
        <v>45073.7609722222</v>
      </c>
      <c r="K1964" s="1" t="n">
        <v>1</v>
      </c>
      <c r="L1964" s="144" t="n">
        <v>83</v>
      </c>
      <c r="M1964" s="1" t="n">
        <v>55</v>
      </c>
      <c r="N1964" s="1" t="n">
        <v>55</v>
      </c>
      <c r="O1964" s="149" t="n">
        <v>29</v>
      </c>
    </row>
    <row r="1965" customFormat="false" ht="14.25" hidden="false" customHeight="false" outlineLevel="0" collapsed="false">
      <c r="A1965" s="1" t="n">
        <v>159</v>
      </c>
      <c r="B1965" s="1" t="s">
        <v>478</v>
      </c>
      <c r="C1965" s="143" t="n">
        <v>21265</v>
      </c>
      <c r="D1965" s="143" t="s">
        <v>76</v>
      </c>
      <c r="E1965" s="143" t="s">
        <v>479</v>
      </c>
      <c r="F1965" s="144" t="n">
        <v>200025888798</v>
      </c>
      <c r="G1965" s="144" t="s">
        <v>401</v>
      </c>
      <c r="H1965" s="144" t="n">
        <v>83</v>
      </c>
      <c r="I1965" s="144" t="s">
        <v>148</v>
      </c>
      <c r="J1965" s="6" t="n">
        <v>45073.7737152778</v>
      </c>
      <c r="K1965" s="1" t="n">
        <v>1</v>
      </c>
      <c r="L1965" s="144" t="n">
        <v>83</v>
      </c>
      <c r="M1965" s="1" t="n">
        <v>55</v>
      </c>
      <c r="N1965" s="1" t="n">
        <v>55</v>
      </c>
      <c r="O1965" s="149" t="n">
        <v>30</v>
      </c>
    </row>
    <row r="1966" customFormat="false" ht="14.25" hidden="false" customHeight="false" outlineLevel="0" collapsed="false">
      <c r="A1966" s="1" t="n">
        <v>94</v>
      </c>
      <c r="B1966" s="1" t="s">
        <v>490</v>
      </c>
      <c r="C1966" s="143" t="n">
        <v>11171</v>
      </c>
      <c r="D1966" s="143" t="s">
        <v>74</v>
      </c>
      <c r="E1966" s="143" t="s">
        <v>479</v>
      </c>
      <c r="F1966" s="144" t="n">
        <v>200025888798</v>
      </c>
      <c r="G1966" s="144" t="s">
        <v>401</v>
      </c>
      <c r="H1966" s="144" t="n">
        <v>83</v>
      </c>
      <c r="I1966" s="144" t="s">
        <v>148</v>
      </c>
      <c r="J1966" s="6" t="n">
        <v>45073.8280902778</v>
      </c>
      <c r="K1966" s="1" t="n">
        <v>2</v>
      </c>
      <c r="L1966" s="144" t="n">
        <v>83</v>
      </c>
      <c r="M1966" s="1" t="n">
        <v>55</v>
      </c>
      <c r="N1966" s="1" t="n">
        <v>55</v>
      </c>
      <c r="O1966" s="149" t="n">
        <v>31</v>
      </c>
    </row>
    <row r="1967" customFormat="false" ht="14.25" hidden="false" customHeight="false" outlineLevel="0" collapsed="false">
      <c r="A1967" s="1" t="n">
        <v>98</v>
      </c>
      <c r="B1967" s="1" t="s">
        <v>490</v>
      </c>
      <c r="C1967" s="143" t="n">
        <v>11171</v>
      </c>
      <c r="D1967" s="143" t="s">
        <v>74</v>
      </c>
      <c r="E1967" s="143" t="s">
        <v>479</v>
      </c>
      <c r="F1967" s="144" t="n">
        <v>200025888798</v>
      </c>
      <c r="G1967" s="144" t="s">
        <v>401</v>
      </c>
      <c r="H1967" s="144" t="n">
        <v>83</v>
      </c>
      <c r="I1967" s="144" t="s">
        <v>148</v>
      </c>
      <c r="J1967" s="6" t="n">
        <v>45073.8788888889</v>
      </c>
      <c r="K1967" s="1" t="n">
        <v>2</v>
      </c>
      <c r="L1967" s="144" t="n">
        <v>83</v>
      </c>
      <c r="M1967" s="1" t="n">
        <v>55</v>
      </c>
      <c r="N1967" s="1" t="n">
        <v>55</v>
      </c>
      <c r="O1967" s="149" t="n">
        <v>32</v>
      </c>
    </row>
    <row r="1968" customFormat="false" ht="14.25" hidden="false" customHeight="false" outlineLevel="0" collapsed="false">
      <c r="A1968" s="1" t="n">
        <v>168</v>
      </c>
      <c r="B1968" s="1" t="s">
        <v>478</v>
      </c>
      <c r="C1968" s="143" t="n">
        <v>21265</v>
      </c>
      <c r="D1968" s="143" t="s">
        <v>76</v>
      </c>
      <c r="E1968" s="143" t="s">
        <v>479</v>
      </c>
      <c r="F1968" s="144" t="n">
        <v>200025888798</v>
      </c>
      <c r="G1968" s="144" t="s">
        <v>401</v>
      </c>
      <c r="H1968" s="144" t="n">
        <v>83</v>
      </c>
      <c r="I1968" s="144" t="s">
        <v>148</v>
      </c>
      <c r="J1968" s="6" t="n">
        <v>45073.8856481482</v>
      </c>
      <c r="K1968" s="1" t="n">
        <v>1</v>
      </c>
      <c r="L1968" s="144" t="n">
        <v>83</v>
      </c>
      <c r="M1968" s="1" t="n">
        <v>55</v>
      </c>
      <c r="N1968" s="1" t="n">
        <v>55</v>
      </c>
      <c r="O1968" s="149" t="n">
        <v>33</v>
      </c>
    </row>
    <row r="1969" customFormat="false" ht="14.25" hidden="false" customHeight="false" outlineLevel="0" collapsed="false">
      <c r="A1969" s="1" t="n">
        <v>169</v>
      </c>
      <c r="B1969" s="1" t="s">
        <v>478</v>
      </c>
      <c r="C1969" s="143" t="n">
        <v>21265</v>
      </c>
      <c r="D1969" s="143" t="s">
        <v>76</v>
      </c>
      <c r="E1969" s="143" t="s">
        <v>479</v>
      </c>
      <c r="F1969" s="144" t="n">
        <v>200025888798</v>
      </c>
      <c r="G1969" s="144" t="s">
        <v>401</v>
      </c>
      <c r="H1969" s="144" t="n">
        <v>83</v>
      </c>
      <c r="I1969" s="144" t="s">
        <v>148</v>
      </c>
      <c r="J1969" s="6" t="n">
        <v>45073.8865509259</v>
      </c>
      <c r="K1969" s="1" t="n">
        <v>0</v>
      </c>
      <c r="L1969" s="144" t="n">
        <v>83</v>
      </c>
      <c r="M1969" s="1" t="n">
        <v>55</v>
      </c>
      <c r="N1969" s="1" t="n">
        <v>55</v>
      </c>
      <c r="O1969" s="149" t="n">
        <v>34</v>
      </c>
    </row>
    <row r="1970" customFormat="false" ht="14.25" hidden="false" customHeight="false" outlineLevel="0" collapsed="false">
      <c r="A1970" s="1" t="n">
        <v>171</v>
      </c>
      <c r="B1970" s="1" t="s">
        <v>478</v>
      </c>
      <c r="C1970" s="143" t="n">
        <v>21265</v>
      </c>
      <c r="D1970" s="143" t="s">
        <v>76</v>
      </c>
      <c r="E1970" s="143" t="s">
        <v>479</v>
      </c>
      <c r="F1970" s="144" t="n">
        <v>200025888798</v>
      </c>
      <c r="G1970" s="144" t="s">
        <v>401</v>
      </c>
      <c r="H1970" s="144" t="n">
        <v>83</v>
      </c>
      <c r="I1970" s="144" t="s">
        <v>148</v>
      </c>
      <c r="J1970" s="6" t="n">
        <v>45073.9287384259</v>
      </c>
      <c r="K1970" s="1" t="n">
        <v>1</v>
      </c>
      <c r="L1970" s="144" t="n">
        <v>83</v>
      </c>
      <c r="M1970" s="1" t="n">
        <v>55</v>
      </c>
      <c r="N1970" s="1" t="n">
        <v>55</v>
      </c>
      <c r="O1970" s="149" t="n">
        <v>35</v>
      </c>
    </row>
    <row r="1971" customFormat="false" ht="14.25" hidden="false" customHeight="false" outlineLevel="0" collapsed="false">
      <c r="A1971" s="1" t="n">
        <v>172</v>
      </c>
      <c r="B1971" s="1" t="s">
        <v>478</v>
      </c>
      <c r="C1971" s="143" t="n">
        <v>21265</v>
      </c>
      <c r="D1971" s="143" t="s">
        <v>76</v>
      </c>
      <c r="E1971" s="143" t="s">
        <v>479</v>
      </c>
      <c r="F1971" s="144" t="n">
        <v>200025888798</v>
      </c>
      <c r="G1971" s="144" t="s">
        <v>401</v>
      </c>
      <c r="H1971" s="144" t="n">
        <v>83</v>
      </c>
      <c r="I1971" s="144" t="s">
        <v>148</v>
      </c>
      <c r="J1971" s="6" t="n">
        <v>45073.9291435185</v>
      </c>
      <c r="K1971" s="1" t="n">
        <v>0</v>
      </c>
      <c r="L1971" s="144" t="n">
        <v>83</v>
      </c>
      <c r="M1971" s="1" t="n">
        <v>55</v>
      </c>
      <c r="N1971" s="1" t="n">
        <v>55</v>
      </c>
      <c r="O1971" s="149" t="n">
        <v>36</v>
      </c>
    </row>
    <row r="1972" customFormat="false" ht="14.25" hidden="false" customHeight="false" outlineLevel="0" collapsed="false">
      <c r="A1972" s="1" t="n">
        <v>173</v>
      </c>
      <c r="B1972" s="1" t="s">
        <v>478</v>
      </c>
      <c r="C1972" s="143" t="n">
        <v>21265</v>
      </c>
      <c r="D1972" s="143" t="s">
        <v>76</v>
      </c>
      <c r="E1972" s="143" t="s">
        <v>479</v>
      </c>
      <c r="F1972" s="144" t="n">
        <v>200025888798</v>
      </c>
      <c r="G1972" s="144" t="s">
        <v>401</v>
      </c>
      <c r="H1972" s="144" t="n">
        <v>83</v>
      </c>
      <c r="I1972" s="144" t="s">
        <v>148</v>
      </c>
      <c r="J1972" s="6" t="n">
        <v>45073.9360300926</v>
      </c>
      <c r="K1972" s="1" t="n">
        <v>3</v>
      </c>
      <c r="L1972" s="144" t="n">
        <v>83</v>
      </c>
      <c r="M1972" s="1" t="n">
        <v>55</v>
      </c>
      <c r="N1972" s="1" t="n">
        <v>55</v>
      </c>
      <c r="O1972" s="149" t="n">
        <v>37</v>
      </c>
    </row>
    <row r="1973" customFormat="false" ht="14.25" hidden="false" customHeight="false" outlineLevel="0" collapsed="false">
      <c r="A1973" s="1" t="n">
        <v>176</v>
      </c>
      <c r="B1973" s="1" t="s">
        <v>478</v>
      </c>
      <c r="C1973" s="143" t="n">
        <v>21265</v>
      </c>
      <c r="D1973" s="143" t="s">
        <v>76</v>
      </c>
      <c r="E1973" s="143" t="s">
        <v>479</v>
      </c>
      <c r="F1973" s="144" t="n">
        <v>200025888798</v>
      </c>
      <c r="G1973" s="144" t="s">
        <v>401</v>
      </c>
      <c r="H1973" s="144" t="n">
        <v>83</v>
      </c>
      <c r="I1973" s="144" t="s">
        <v>148</v>
      </c>
      <c r="J1973" s="6" t="n">
        <v>45073.9366435185</v>
      </c>
      <c r="K1973" s="1" t="n">
        <v>3</v>
      </c>
      <c r="L1973" s="144" t="n">
        <v>83</v>
      </c>
      <c r="M1973" s="1" t="n">
        <v>55</v>
      </c>
      <c r="N1973" s="1" t="n">
        <v>55</v>
      </c>
      <c r="O1973" s="149" t="n">
        <v>38</v>
      </c>
    </row>
    <row r="1974" customFormat="false" ht="14.25" hidden="false" customHeight="false" outlineLevel="0" collapsed="false">
      <c r="A1974" s="1" t="n">
        <v>177</v>
      </c>
      <c r="B1974" s="1" t="s">
        <v>478</v>
      </c>
      <c r="C1974" s="143" t="n">
        <v>21265</v>
      </c>
      <c r="D1974" s="143" t="s">
        <v>76</v>
      </c>
      <c r="E1974" s="143" t="s">
        <v>479</v>
      </c>
      <c r="F1974" s="144" t="n">
        <v>200025888798</v>
      </c>
      <c r="G1974" s="144" t="s">
        <v>401</v>
      </c>
      <c r="H1974" s="144" t="n">
        <v>83</v>
      </c>
      <c r="I1974" s="144" t="s">
        <v>148</v>
      </c>
      <c r="J1974" s="6" t="n">
        <v>45073.9618634259</v>
      </c>
      <c r="K1974" s="1" t="n">
        <v>3</v>
      </c>
      <c r="L1974" s="144" t="n">
        <v>83</v>
      </c>
      <c r="M1974" s="1" t="n">
        <v>55</v>
      </c>
      <c r="N1974" s="1" t="n">
        <v>55</v>
      </c>
      <c r="O1974" s="149" t="n">
        <v>39</v>
      </c>
    </row>
    <row r="1975" customFormat="false" ht="14.25" hidden="false" customHeight="false" outlineLevel="0" collapsed="false">
      <c r="A1975" s="1" t="n">
        <v>178</v>
      </c>
      <c r="B1975" s="1" t="s">
        <v>478</v>
      </c>
      <c r="C1975" s="143" t="n">
        <v>21265</v>
      </c>
      <c r="D1975" s="143" t="s">
        <v>76</v>
      </c>
      <c r="E1975" s="143" t="s">
        <v>479</v>
      </c>
      <c r="F1975" s="144" t="n">
        <v>200025888798</v>
      </c>
      <c r="G1975" s="144" t="s">
        <v>401</v>
      </c>
      <c r="H1975" s="144" t="n">
        <v>83</v>
      </c>
      <c r="I1975" s="144" t="s">
        <v>148</v>
      </c>
      <c r="J1975" s="6" t="n">
        <v>45073.9677662037</v>
      </c>
      <c r="K1975" s="1" t="n">
        <v>0</v>
      </c>
      <c r="L1975" s="144" t="n">
        <v>83</v>
      </c>
      <c r="M1975" s="1" t="n">
        <v>55</v>
      </c>
      <c r="N1975" s="1" t="n">
        <v>55</v>
      </c>
      <c r="O1975" s="149" t="n">
        <v>40</v>
      </c>
    </row>
    <row r="1976" customFormat="false" ht="14.25" hidden="false" customHeight="false" outlineLevel="0" collapsed="false">
      <c r="A1976" s="1" t="n">
        <v>179</v>
      </c>
      <c r="B1976" s="1" t="s">
        <v>478</v>
      </c>
      <c r="C1976" s="143" t="n">
        <v>21265</v>
      </c>
      <c r="D1976" s="143" t="s">
        <v>76</v>
      </c>
      <c r="E1976" s="143" t="s">
        <v>479</v>
      </c>
      <c r="F1976" s="144" t="n">
        <v>200025888798</v>
      </c>
      <c r="G1976" s="144" t="s">
        <v>401</v>
      </c>
      <c r="H1976" s="144" t="n">
        <v>83</v>
      </c>
      <c r="I1976" s="144" t="s">
        <v>148</v>
      </c>
      <c r="J1976" s="6" t="n">
        <v>45073.9693171296</v>
      </c>
      <c r="K1976" s="1" t="n">
        <v>1</v>
      </c>
      <c r="L1976" s="144" t="n">
        <v>83</v>
      </c>
      <c r="M1976" s="1" t="n">
        <v>55</v>
      </c>
      <c r="N1976" s="1" t="n">
        <v>55</v>
      </c>
      <c r="O1976" s="149" t="n">
        <v>41</v>
      </c>
    </row>
    <row r="1977" customFormat="false" ht="14.25" hidden="false" customHeight="false" outlineLevel="0" collapsed="false">
      <c r="A1977" s="1" t="n">
        <v>180</v>
      </c>
      <c r="B1977" s="1" t="s">
        <v>478</v>
      </c>
      <c r="C1977" s="143" t="n">
        <v>21265</v>
      </c>
      <c r="D1977" s="143" t="s">
        <v>76</v>
      </c>
      <c r="E1977" s="143" t="s">
        <v>479</v>
      </c>
      <c r="F1977" s="144" t="n">
        <v>200025888798</v>
      </c>
      <c r="G1977" s="144" t="s">
        <v>401</v>
      </c>
      <c r="H1977" s="144" t="n">
        <v>83</v>
      </c>
      <c r="I1977" s="144" t="s">
        <v>148</v>
      </c>
      <c r="J1977" s="6" t="n">
        <v>45073.9741087963</v>
      </c>
      <c r="K1977" s="1" t="n">
        <v>1</v>
      </c>
      <c r="L1977" s="144" t="n">
        <v>83</v>
      </c>
      <c r="M1977" s="1" t="n">
        <v>55</v>
      </c>
      <c r="N1977" s="1" t="n">
        <v>55</v>
      </c>
      <c r="O1977" s="149" t="n">
        <v>42</v>
      </c>
    </row>
    <row r="1978" customFormat="false" ht="14.25" hidden="false" customHeight="false" outlineLevel="0" collapsed="false">
      <c r="A1978" s="1" t="n">
        <v>181</v>
      </c>
      <c r="B1978" s="1" t="s">
        <v>478</v>
      </c>
      <c r="C1978" s="143" t="n">
        <v>21265</v>
      </c>
      <c r="D1978" s="143" t="s">
        <v>76</v>
      </c>
      <c r="E1978" s="143" t="s">
        <v>479</v>
      </c>
      <c r="F1978" s="144" t="n">
        <v>200025888798</v>
      </c>
      <c r="G1978" s="144" t="s">
        <v>401</v>
      </c>
      <c r="H1978" s="144" t="n">
        <v>83</v>
      </c>
      <c r="I1978" s="144" t="s">
        <v>148</v>
      </c>
      <c r="J1978" s="6" t="n">
        <v>45073.9746643519</v>
      </c>
      <c r="K1978" s="1" t="n">
        <v>3</v>
      </c>
      <c r="L1978" s="144" t="n">
        <v>83</v>
      </c>
      <c r="M1978" s="1" t="n">
        <v>55</v>
      </c>
      <c r="N1978" s="1" t="n">
        <v>55</v>
      </c>
      <c r="O1978" s="149" t="n">
        <v>43</v>
      </c>
    </row>
    <row r="1979" customFormat="false" ht="14.25" hidden="false" customHeight="false" outlineLevel="0" collapsed="false">
      <c r="A1979" s="1" t="n">
        <v>182</v>
      </c>
      <c r="B1979" s="1" t="s">
        <v>478</v>
      </c>
      <c r="C1979" s="143" t="n">
        <v>21265</v>
      </c>
      <c r="D1979" s="143" t="s">
        <v>76</v>
      </c>
      <c r="E1979" s="143" t="s">
        <v>479</v>
      </c>
      <c r="F1979" s="144" t="n">
        <v>200025888798</v>
      </c>
      <c r="G1979" s="144" t="s">
        <v>401</v>
      </c>
      <c r="H1979" s="144" t="n">
        <v>83</v>
      </c>
      <c r="I1979" s="144" t="s">
        <v>148</v>
      </c>
      <c r="J1979" s="6" t="n">
        <v>45073.9751157407</v>
      </c>
      <c r="K1979" s="1" t="n">
        <v>9</v>
      </c>
      <c r="L1979" s="144" t="n">
        <v>83</v>
      </c>
      <c r="M1979" s="1" t="n">
        <v>55</v>
      </c>
      <c r="N1979" s="1" t="n">
        <v>55</v>
      </c>
      <c r="O1979" s="149" t="n">
        <v>44</v>
      </c>
    </row>
    <row r="1980" customFormat="false" ht="14.25" hidden="false" customHeight="false" outlineLevel="0" collapsed="false">
      <c r="A1980" s="1" t="n">
        <v>117</v>
      </c>
      <c r="B1980" s="1" t="s">
        <v>490</v>
      </c>
      <c r="C1980" s="143" t="n">
        <v>11171</v>
      </c>
      <c r="D1980" s="143" t="s">
        <v>74</v>
      </c>
      <c r="E1980" s="143" t="s">
        <v>479</v>
      </c>
      <c r="F1980" s="144" t="n">
        <v>200025888798</v>
      </c>
      <c r="G1980" s="144" t="s">
        <v>401</v>
      </c>
      <c r="H1980" s="144" t="n">
        <v>83</v>
      </c>
      <c r="I1980" s="144" t="s">
        <v>148</v>
      </c>
      <c r="J1980" s="6" t="n">
        <v>45074.0073263889</v>
      </c>
      <c r="K1980" s="1" t="n">
        <v>2</v>
      </c>
      <c r="L1980" s="144" t="n">
        <v>83</v>
      </c>
      <c r="M1980" s="1" t="n">
        <v>55</v>
      </c>
      <c r="N1980" s="1" t="n">
        <v>55</v>
      </c>
      <c r="O1980" s="149" t="n">
        <v>45</v>
      </c>
    </row>
    <row r="1981" customFormat="false" ht="14.25" hidden="false" customHeight="false" outlineLevel="0" collapsed="false">
      <c r="A1981" s="1" t="n">
        <v>118</v>
      </c>
      <c r="B1981" s="1" t="s">
        <v>490</v>
      </c>
      <c r="C1981" s="143" t="n">
        <v>11171</v>
      </c>
      <c r="D1981" s="143" t="s">
        <v>74</v>
      </c>
      <c r="E1981" s="143" t="s">
        <v>479</v>
      </c>
      <c r="F1981" s="144" t="n">
        <v>200025888798</v>
      </c>
      <c r="G1981" s="144" t="s">
        <v>401</v>
      </c>
      <c r="H1981" s="144" t="n">
        <v>83</v>
      </c>
      <c r="I1981" s="144" t="s">
        <v>148</v>
      </c>
      <c r="J1981" s="6" t="n">
        <v>45074.0155208333</v>
      </c>
      <c r="K1981" s="1" t="n">
        <v>2</v>
      </c>
      <c r="L1981" s="144" t="n">
        <v>83</v>
      </c>
      <c r="M1981" s="1" t="n">
        <v>55</v>
      </c>
      <c r="N1981" s="1" t="n">
        <v>55</v>
      </c>
      <c r="O1981" s="149" t="n">
        <v>46</v>
      </c>
    </row>
    <row r="1982" customFormat="false" ht="14.25" hidden="false" customHeight="false" outlineLevel="0" collapsed="false">
      <c r="A1982" s="1" t="n">
        <v>119</v>
      </c>
      <c r="B1982" s="1" t="s">
        <v>490</v>
      </c>
      <c r="C1982" s="143" t="n">
        <v>11171</v>
      </c>
      <c r="D1982" s="143" t="s">
        <v>74</v>
      </c>
      <c r="E1982" s="143" t="s">
        <v>479</v>
      </c>
      <c r="F1982" s="144" t="n">
        <v>200025888798</v>
      </c>
      <c r="G1982" s="144" t="s">
        <v>401</v>
      </c>
      <c r="H1982" s="144" t="n">
        <v>83</v>
      </c>
      <c r="I1982" s="144" t="s">
        <v>148</v>
      </c>
      <c r="J1982" s="6" t="n">
        <v>45074.0158333333</v>
      </c>
      <c r="K1982" s="1" t="n">
        <v>1</v>
      </c>
      <c r="L1982" s="144" t="n">
        <v>83</v>
      </c>
      <c r="M1982" s="1" t="n">
        <v>55</v>
      </c>
      <c r="N1982" s="1" t="n">
        <v>55</v>
      </c>
      <c r="O1982" s="149" t="n">
        <v>47</v>
      </c>
    </row>
    <row r="1983" customFormat="false" ht="14.25" hidden="false" customHeight="false" outlineLevel="0" collapsed="false">
      <c r="A1983" s="1" t="n">
        <v>120</v>
      </c>
      <c r="B1983" s="1" t="s">
        <v>490</v>
      </c>
      <c r="C1983" s="143" t="n">
        <v>11171</v>
      </c>
      <c r="D1983" s="143" t="s">
        <v>74</v>
      </c>
      <c r="E1983" s="143" t="s">
        <v>479</v>
      </c>
      <c r="F1983" s="144" t="n">
        <v>200025888798</v>
      </c>
      <c r="G1983" s="144" t="s">
        <v>401</v>
      </c>
      <c r="H1983" s="144" t="n">
        <v>83</v>
      </c>
      <c r="I1983" s="144" t="s">
        <v>148</v>
      </c>
      <c r="J1983" s="6" t="n">
        <v>45074.0159606482</v>
      </c>
      <c r="K1983" s="1" t="n">
        <v>3</v>
      </c>
      <c r="L1983" s="144" t="n">
        <v>83</v>
      </c>
      <c r="M1983" s="1" t="n">
        <v>55</v>
      </c>
      <c r="N1983" s="1" t="n">
        <v>55</v>
      </c>
      <c r="O1983" s="149" t="n">
        <v>48</v>
      </c>
    </row>
    <row r="1984" customFormat="false" ht="14.25" hidden="false" customHeight="false" outlineLevel="0" collapsed="false">
      <c r="A1984" s="1" t="n">
        <v>121</v>
      </c>
      <c r="B1984" s="1" t="s">
        <v>490</v>
      </c>
      <c r="C1984" s="143" t="n">
        <v>11171</v>
      </c>
      <c r="D1984" s="143" t="s">
        <v>74</v>
      </c>
      <c r="E1984" s="143" t="s">
        <v>479</v>
      </c>
      <c r="F1984" s="144" t="n">
        <v>200025888798</v>
      </c>
      <c r="G1984" s="144" t="s">
        <v>401</v>
      </c>
      <c r="H1984" s="144" t="n">
        <v>83</v>
      </c>
      <c r="I1984" s="144" t="s">
        <v>148</v>
      </c>
      <c r="J1984" s="6" t="n">
        <v>45074.0161111111</v>
      </c>
      <c r="K1984" s="1" t="n">
        <v>2</v>
      </c>
      <c r="L1984" s="144" t="n">
        <v>83</v>
      </c>
      <c r="M1984" s="1" t="n">
        <v>55</v>
      </c>
      <c r="N1984" s="1" t="n">
        <v>55</v>
      </c>
      <c r="O1984" s="149" t="n">
        <v>49</v>
      </c>
    </row>
    <row r="1985" customFormat="false" ht="14.25" hidden="false" customHeight="false" outlineLevel="0" collapsed="false">
      <c r="A1985" s="1" t="n">
        <v>142</v>
      </c>
      <c r="B1985" s="1" t="s">
        <v>490</v>
      </c>
      <c r="C1985" s="143" t="n">
        <v>11171</v>
      </c>
      <c r="D1985" s="143" t="s">
        <v>74</v>
      </c>
      <c r="E1985" s="143" t="s">
        <v>479</v>
      </c>
      <c r="F1985" s="144" t="n">
        <v>200025888798</v>
      </c>
      <c r="G1985" s="144" t="s">
        <v>401</v>
      </c>
      <c r="H1985" s="144" t="n">
        <v>83</v>
      </c>
      <c r="I1985" s="144" t="s">
        <v>148</v>
      </c>
      <c r="J1985" s="6" t="n">
        <v>45074.1284722222</v>
      </c>
      <c r="K1985" s="1" t="n">
        <v>1</v>
      </c>
      <c r="L1985" s="144" t="n">
        <v>83</v>
      </c>
      <c r="M1985" s="1" t="n">
        <v>55</v>
      </c>
      <c r="N1985" s="1" t="n">
        <v>55</v>
      </c>
      <c r="O1985" s="149" t="n">
        <v>50</v>
      </c>
    </row>
    <row r="1986" customFormat="false" ht="14.25" hidden="false" customHeight="false" outlineLevel="0" collapsed="false">
      <c r="A1986" s="1" t="n">
        <v>197</v>
      </c>
      <c r="B1986" s="1" t="s">
        <v>478</v>
      </c>
      <c r="C1986" s="143" t="n">
        <v>21265</v>
      </c>
      <c r="D1986" s="143" t="s">
        <v>76</v>
      </c>
      <c r="E1986" s="143" t="s">
        <v>479</v>
      </c>
      <c r="F1986" s="144" t="n">
        <v>200025888798</v>
      </c>
      <c r="G1986" s="144" t="s">
        <v>401</v>
      </c>
      <c r="H1986" s="144" t="n">
        <v>83</v>
      </c>
      <c r="I1986" s="144" t="s">
        <v>148</v>
      </c>
      <c r="J1986" s="6" t="n">
        <v>45074.1365856482</v>
      </c>
      <c r="K1986" s="1" t="n">
        <v>1</v>
      </c>
      <c r="L1986" s="144" t="n">
        <v>83</v>
      </c>
      <c r="M1986" s="1" t="n">
        <v>55</v>
      </c>
      <c r="N1986" s="1" t="n">
        <v>55</v>
      </c>
      <c r="O1986" s="149" t="n">
        <v>51</v>
      </c>
    </row>
    <row r="1987" customFormat="false" ht="14.25" hidden="false" customHeight="false" outlineLevel="0" collapsed="false">
      <c r="A1987" s="1" t="n">
        <v>198</v>
      </c>
      <c r="B1987" s="1" t="s">
        <v>478</v>
      </c>
      <c r="C1987" s="143" t="n">
        <v>21265</v>
      </c>
      <c r="D1987" s="143" t="s">
        <v>76</v>
      </c>
      <c r="E1987" s="143" t="s">
        <v>479</v>
      </c>
      <c r="F1987" s="144" t="n">
        <v>200025888798</v>
      </c>
      <c r="G1987" s="144" t="s">
        <v>401</v>
      </c>
      <c r="H1987" s="144" t="n">
        <v>83</v>
      </c>
      <c r="I1987" s="144" t="s">
        <v>148</v>
      </c>
      <c r="J1987" s="6" t="n">
        <v>45074.1382291667</v>
      </c>
      <c r="K1987" s="1" t="n">
        <v>1</v>
      </c>
      <c r="L1987" s="144" t="n">
        <v>83</v>
      </c>
      <c r="M1987" s="1" t="n">
        <v>55</v>
      </c>
      <c r="N1987" s="1" t="n">
        <v>55</v>
      </c>
      <c r="O1987" s="149" t="n">
        <v>52</v>
      </c>
    </row>
    <row r="1988" customFormat="false" ht="14.25" hidden="false" customHeight="false" outlineLevel="0" collapsed="false">
      <c r="A1988" s="1" t="n">
        <v>199</v>
      </c>
      <c r="B1988" s="1" t="s">
        <v>478</v>
      </c>
      <c r="C1988" s="143" t="n">
        <v>21265</v>
      </c>
      <c r="D1988" s="143" t="s">
        <v>76</v>
      </c>
      <c r="E1988" s="143" t="s">
        <v>479</v>
      </c>
      <c r="F1988" s="144" t="n">
        <v>200025888798</v>
      </c>
      <c r="G1988" s="144" t="s">
        <v>401</v>
      </c>
      <c r="H1988" s="144" t="n">
        <v>83</v>
      </c>
      <c r="I1988" s="144" t="s">
        <v>148</v>
      </c>
      <c r="J1988" s="6" t="n">
        <v>45074.1384722222</v>
      </c>
      <c r="K1988" s="1" t="n">
        <v>1</v>
      </c>
      <c r="L1988" s="144" t="n">
        <v>83</v>
      </c>
      <c r="M1988" s="1" t="n">
        <v>55</v>
      </c>
      <c r="N1988" s="1" t="n">
        <v>55</v>
      </c>
      <c r="O1988" s="149" t="n">
        <v>53</v>
      </c>
    </row>
    <row r="1989" customFormat="false" ht="14.25" hidden="false" customHeight="false" outlineLevel="0" collapsed="false">
      <c r="A1989" s="1" t="n">
        <v>151</v>
      </c>
      <c r="B1989" s="1" t="s">
        <v>490</v>
      </c>
      <c r="C1989" s="143" t="n">
        <v>11171</v>
      </c>
      <c r="D1989" s="143" t="s">
        <v>74</v>
      </c>
      <c r="E1989" s="143" t="s">
        <v>479</v>
      </c>
      <c r="F1989" s="144" t="n">
        <v>200025888798</v>
      </c>
      <c r="G1989" s="144" t="s">
        <v>401</v>
      </c>
      <c r="H1989" s="144" t="n">
        <v>83</v>
      </c>
      <c r="I1989" s="144" t="s">
        <v>148</v>
      </c>
      <c r="J1989" s="6" t="n">
        <v>45074.3147569444</v>
      </c>
      <c r="K1989" s="1" t="n">
        <v>3</v>
      </c>
      <c r="L1989" s="144" t="n">
        <v>83</v>
      </c>
      <c r="M1989" s="1" t="n">
        <v>55</v>
      </c>
      <c r="N1989" s="1" t="n">
        <v>55</v>
      </c>
      <c r="O1989" s="149" t="n">
        <v>54</v>
      </c>
    </row>
    <row r="1990" customFormat="false" ht="14.25" hidden="false" customHeight="false" outlineLevel="0" collapsed="false">
      <c r="A1990" s="1" t="n">
        <v>152</v>
      </c>
      <c r="B1990" s="1" t="s">
        <v>490</v>
      </c>
      <c r="C1990" s="143" t="n">
        <v>11171</v>
      </c>
      <c r="D1990" s="143" t="s">
        <v>74</v>
      </c>
      <c r="E1990" s="143" t="s">
        <v>479</v>
      </c>
      <c r="F1990" s="144" t="n">
        <v>200025888798</v>
      </c>
      <c r="G1990" s="144" t="s">
        <v>401</v>
      </c>
      <c r="H1990" s="144" t="n">
        <v>83</v>
      </c>
      <c r="I1990" s="144" t="s">
        <v>148</v>
      </c>
      <c r="J1990" s="6" t="n">
        <v>45074.3150925926</v>
      </c>
      <c r="K1990" s="1" t="n">
        <v>1</v>
      </c>
      <c r="L1990" s="144" t="n">
        <v>83</v>
      </c>
      <c r="M1990" s="1" t="n">
        <v>55</v>
      </c>
      <c r="N1990" s="1" t="n">
        <v>55</v>
      </c>
      <c r="O1990" s="149" t="n">
        <v>55</v>
      </c>
    </row>
    <row r="1991" customFormat="false" ht="14.25" hidden="false" customHeight="false" outlineLevel="0" collapsed="false">
      <c r="A1991" s="1" t="n">
        <v>11</v>
      </c>
      <c r="B1991" s="1" t="s">
        <v>475</v>
      </c>
      <c r="C1991" s="143" t="n">
        <v>21265</v>
      </c>
      <c r="D1991" s="143" t="s">
        <v>76</v>
      </c>
      <c r="E1991" s="143" t="s">
        <v>479</v>
      </c>
      <c r="F1991" s="144" t="n">
        <v>200025888798</v>
      </c>
      <c r="G1991" s="144" t="s">
        <v>401</v>
      </c>
      <c r="H1991" s="144" t="n">
        <v>83</v>
      </c>
      <c r="I1991" s="144" t="s">
        <v>148</v>
      </c>
      <c r="J1991" s="6" t="n">
        <v>45077.4260763889</v>
      </c>
      <c r="K1991" s="1" t="n">
        <v>1</v>
      </c>
      <c r="L1991" s="144" t="n">
        <v>83</v>
      </c>
      <c r="M1991" s="1" t="n">
        <v>55</v>
      </c>
      <c r="N1991" s="1" t="n">
        <v>55</v>
      </c>
      <c r="O1991" s="149" t="n">
        <v>56</v>
      </c>
    </row>
    <row r="1992" customFormat="false" ht="14.25" hidden="false" customHeight="false" outlineLevel="0" collapsed="false">
      <c r="A1992" s="1" t="n">
        <v>17</v>
      </c>
      <c r="B1992" s="1" t="s">
        <v>475</v>
      </c>
      <c r="C1992" s="143" t="n">
        <v>21265</v>
      </c>
      <c r="D1992" s="143" t="s">
        <v>76</v>
      </c>
      <c r="E1992" s="143" t="s">
        <v>479</v>
      </c>
      <c r="F1992" s="144" t="n">
        <v>200025888798</v>
      </c>
      <c r="G1992" s="144" t="s">
        <v>401</v>
      </c>
      <c r="H1992" s="144" t="n">
        <v>83</v>
      </c>
      <c r="I1992" s="144" t="s">
        <v>148</v>
      </c>
      <c r="J1992" s="6" t="n">
        <v>45077.4315277778</v>
      </c>
      <c r="K1992" s="1" t="n">
        <v>2</v>
      </c>
      <c r="L1992" s="144" t="n">
        <v>83</v>
      </c>
      <c r="M1992" s="1" t="n">
        <v>55</v>
      </c>
      <c r="N1992" s="1" t="n">
        <v>55</v>
      </c>
      <c r="O1992" s="149" t="n">
        <v>57</v>
      </c>
    </row>
    <row r="1993" customFormat="false" ht="14.25" hidden="false" customHeight="false" outlineLevel="0" collapsed="false">
      <c r="A1993" s="1" t="n">
        <v>33</v>
      </c>
      <c r="B1993" s="1" t="s">
        <v>475</v>
      </c>
      <c r="C1993" s="143" t="n">
        <v>21265</v>
      </c>
      <c r="D1993" s="143" t="s">
        <v>76</v>
      </c>
      <c r="E1993" s="143" t="s">
        <v>479</v>
      </c>
      <c r="F1993" s="144" t="n">
        <v>200025888798</v>
      </c>
      <c r="G1993" s="144" t="s">
        <v>401</v>
      </c>
      <c r="H1993" s="144" t="n">
        <v>83</v>
      </c>
      <c r="I1993" s="144" t="s">
        <v>148</v>
      </c>
      <c r="J1993" s="6" t="n">
        <v>45082.4821296296</v>
      </c>
      <c r="K1993" s="1" t="n">
        <v>1</v>
      </c>
      <c r="L1993" s="144" t="n">
        <v>83</v>
      </c>
      <c r="M1993" s="1" t="n">
        <v>55</v>
      </c>
      <c r="N1993" s="1" t="n">
        <v>55</v>
      </c>
      <c r="O1993" s="149" t="n">
        <v>58</v>
      </c>
    </row>
    <row r="1994" customFormat="false" ht="14.25" hidden="false" customHeight="false" outlineLevel="0" collapsed="false">
      <c r="A1994" s="1" t="n">
        <v>343</v>
      </c>
      <c r="B1994" s="1" t="s">
        <v>478</v>
      </c>
      <c r="C1994" s="143" t="s">
        <v>68</v>
      </c>
      <c r="D1994" s="143" t="s">
        <v>64</v>
      </c>
      <c r="E1994" s="143" t="s">
        <v>479</v>
      </c>
      <c r="F1994" s="144" t="n">
        <v>200025888798</v>
      </c>
      <c r="G1994" s="144" t="s">
        <v>401</v>
      </c>
      <c r="H1994" s="144" t="n">
        <v>83</v>
      </c>
      <c r="I1994" s="144" t="s">
        <v>148</v>
      </c>
      <c r="J1994" s="6" t="n">
        <v>45085.6873611111</v>
      </c>
      <c r="K1994" s="1" t="n">
        <v>1</v>
      </c>
      <c r="L1994" s="144" t="n">
        <v>83</v>
      </c>
      <c r="M1994" s="1" t="n">
        <v>55</v>
      </c>
      <c r="N1994" s="1" t="n">
        <v>55</v>
      </c>
      <c r="O1994" s="149" t="n">
        <v>59</v>
      </c>
    </row>
    <row r="1995" customFormat="false" ht="14.25" hidden="false" customHeight="false" outlineLevel="0" collapsed="false">
      <c r="A1995" s="1" t="n">
        <v>218</v>
      </c>
      <c r="B1995" s="1" t="s">
        <v>473</v>
      </c>
      <c r="C1995" s="143" t="n">
        <v>11490</v>
      </c>
      <c r="D1995" s="143" t="s">
        <v>65</v>
      </c>
      <c r="E1995" s="143" t="s">
        <v>479</v>
      </c>
      <c r="F1995" s="144" t="n">
        <v>200025888475</v>
      </c>
      <c r="G1995" s="144" t="s">
        <v>243</v>
      </c>
      <c r="H1995" s="144" t="n">
        <v>69</v>
      </c>
      <c r="I1995" s="144" t="s">
        <v>148</v>
      </c>
      <c r="J1995" s="151" t="n">
        <v>45056.726099537</v>
      </c>
      <c r="K1995" s="1" t="n">
        <v>0</v>
      </c>
      <c r="L1995" s="144" t="n">
        <v>69</v>
      </c>
      <c r="M1995" s="1" t="n">
        <v>56</v>
      </c>
      <c r="N1995" s="1" t="n">
        <v>56</v>
      </c>
      <c r="O1995" s="149" t="n">
        <v>1</v>
      </c>
    </row>
    <row r="1996" customFormat="false" ht="14.25" hidden="false" customHeight="false" outlineLevel="0" collapsed="false">
      <c r="A1996" s="1" t="n">
        <v>156</v>
      </c>
      <c r="B1996" s="1" t="s">
        <v>475</v>
      </c>
      <c r="C1996" s="143" t="s">
        <v>52</v>
      </c>
      <c r="D1996" s="143" t="s">
        <v>53</v>
      </c>
      <c r="E1996" s="143" t="s">
        <v>479</v>
      </c>
      <c r="F1996" s="144" t="n">
        <v>200025888475</v>
      </c>
      <c r="G1996" s="144" t="s">
        <v>243</v>
      </c>
      <c r="H1996" s="144" t="n">
        <v>69</v>
      </c>
      <c r="I1996" s="144" t="s">
        <v>148</v>
      </c>
      <c r="J1996" s="151" t="n">
        <v>45056.7732291667</v>
      </c>
      <c r="K1996" s="1" t="n">
        <v>1</v>
      </c>
      <c r="L1996" s="144" t="n">
        <v>69</v>
      </c>
      <c r="M1996" s="1" t="n">
        <v>56</v>
      </c>
      <c r="N1996" s="1" t="n">
        <v>56</v>
      </c>
      <c r="O1996" s="149" t="n">
        <v>2</v>
      </c>
    </row>
    <row r="1997" customFormat="false" ht="14.25" hidden="false" customHeight="false" outlineLevel="0" collapsed="false">
      <c r="A1997" s="1" t="n">
        <v>227</v>
      </c>
      <c r="B1997" s="1" t="s">
        <v>473</v>
      </c>
      <c r="C1997" s="143" t="n">
        <v>11490</v>
      </c>
      <c r="D1997" s="143" t="s">
        <v>65</v>
      </c>
      <c r="E1997" s="143" t="s">
        <v>479</v>
      </c>
      <c r="F1997" s="144" t="n">
        <v>200025888475</v>
      </c>
      <c r="G1997" s="144" t="s">
        <v>243</v>
      </c>
      <c r="H1997" s="144" t="n">
        <v>69</v>
      </c>
      <c r="I1997" s="144" t="s">
        <v>148</v>
      </c>
      <c r="J1997" s="151" t="n">
        <v>45056.7977430556</v>
      </c>
      <c r="K1997" s="1" t="n">
        <v>2</v>
      </c>
      <c r="L1997" s="144" t="n">
        <v>69</v>
      </c>
      <c r="M1997" s="1" t="n">
        <v>56</v>
      </c>
      <c r="N1997" s="1" t="n">
        <v>56</v>
      </c>
      <c r="O1997" s="149" t="n">
        <v>3</v>
      </c>
    </row>
    <row r="1998" customFormat="false" ht="14.25" hidden="false" customHeight="false" outlineLevel="0" collapsed="false">
      <c r="A1998" s="1" t="n">
        <v>252</v>
      </c>
      <c r="B1998" s="1" t="s">
        <v>473</v>
      </c>
      <c r="C1998" s="143" t="n">
        <v>11490</v>
      </c>
      <c r="D1998" s="143" t="s">
        <v>65</v>
      </c>
      <c r="E1998" s="143" t="s">
        <v>479</v>
      </c>
      <c r="F1998" s="144" t="n">
        <v>200025888475</v>
      </c>
      <c r="G1998" s="144" t="s">
        <v>243</v>
      </c>
      <c r="H1998" s="144" t="n">
        <v>69</v>
      </c>
      <c r="I1998" s="144" t="s">
        <v>148</v>
      </c>
      <c r="J1998" s="151" t="n">
        <v>45056.9060300926</v>
      </c>
      <c r="K1998" s="1" t="n">
        <v>2</v>
      </c>
      <c r="L1998" s="144" t="n">
        <v>69</v>
      </c>
      <c r="M1998" s="1" t="n">
        <v>56</v>
      </c>
      <c r="N1998" s="1" t="n">
        <v>56</v>
      </c>
      <c r="O1998" s="149" t="n">
        <v>4</v>
      </c>
    </row>
    <row r="1999" customFormat="false" ht="14.25" hidden="false" customHeight="false" outlineLevel="0" collapsed="false">
      <c r="A1999" s="1" t="n">
        <v>253</v>
      </c>
      <c r="B1999" s="1" t="s">
        <v>473</v>
      </c>
      <c r="C1999" s="143" t="n">
        <v>11490</v>
      </c>
      <c r="D1999" s="143" t="s">
        <v>65</v>
      </c>
      <c r="E1999" s="143" t="s">
        <v>479</v>
      </c>
      <c r="F1999" s="144" t="n">
        <v>200025888475</v>
      </c>
      <c r="G1999" s="144" t="s">
        <v>243</v>
      </c>
      <c r="H1999" s="144" t="n">
        <v>69</v>
      </c>
      <c r="I1999" s="144" t="s">
        <v>148</v>
      </c>
      <c r="J1999" s="151" t="n">
        <v>45056.9060532407</v>
      </c>
      <c r="K1999" s="1" t="n">
        <v>1</v>
      </c>
      <c r="L1999" s="144" t="n">
        <v>69</v>
      </c>
      <c r="M1999" s="1" t="n">
        <v>56</v>
      </c>
      <c r="N1999" s="1" t="n">
        <v>56</v>
      </c>
      <c r="O1999" s="149" t="n">
        <v>5</v>
      </c>
    </row>
    <row r="2000" customFormat="false" ht="14.25" hidden="false" customHeight="false" outlineLevel="0" collapsed="false">
      <c r="A2000" s="1" t="n">
        <v>166</v>
      </c>
      <c r="B2000" s="1" t="s">
        <v>475</v>
      </c>
      <c r="C2000" s="143" t="s">
        <v>52</v>
      </c>
      <c r="D2000" s="143" t="s">
        <v>53</v>
      </c>
      <c r="E2000" s="143" t="s">
        <v>479</v>
      </c>
      <c r="F2000" s="144" t="n">
        <v>200025888475</v>
      </c>
      <c r="G2000" s="144" t="s">
        <v>243</v>
      </c>
      <c r="H2000" s="144" t="n">
        <v>69</v>
      </c>
      <c r="I2000" s="144" t="s">
        <v>148</v>
      </c>
      <c r="J2000" s="151" t="n">
        <v>45056.9513657407</v>
      </c>
      <c r="K2000" s="1" t="n">
        <v>1</v>
      </c>
      <c r="L2000" s="144" t="n">
        <v>69</v>
      </c>
      <c r="M2000" s="1" t="n">
        <v>56</v>
      </c>
      <c r="N2000" s="1" t="n">
        <v>56</v>
      </c>
      <c r="O2000" s="149" t="n">
        <v>6</v>
      </c>
    </row>
    <row r="2001" customFormat="false" ht="14.25" hidden="false" customHeight="false" outlineLevel="0" collapsed="false">
      <c r="A2001" s="1" t="n">
        <v>167</v>
      </c>
      <c r="B2001" s="1" t="s">
        <v>475</v>
      </c>
      <c r="C2001" s="143" t="s">
        <v>52</v>
      </c>
      <c r="D2001" s="143" t="s">
        <v>53</v>
      </c>
      <c r="E2001" s="143" t="s">
        <v>479</v>
      </c>
      <c r="F2001" s="144" t="n">
        <v>200025888475</v>
      </c>
      <c r="G2001" s="144" t="s">
        <v>243</v>
      </c>
      <c r="H2001" s="144" t="n">
        <v>69</v>
      </c>
      <c r="I2001" s="144" t="s">
        <v>148</v>
      </c>
      <c r="J2001" s="151" t="n">
        <v>45056.9519097222</v>
      </c>
      <c r="K2001" s="1" t="n">
        <v>1</v>
      </c>
      <c r="L2001" s="144" t="n">
        <v>69</v>
      </c>
      <c r="M2001" s="1" t="n">
        <v>56</v>
      </c>
      <c r="N2001" s="1" t="n">
        <v>56</v>
      </c>
      <c r="O2001" s="149" t="n">
        <v>7</v>
      </c>
    </row>
    <row r="2002" customFormat="false" ht="14.25" hidden="false" customHeight="false" outlineLevel="0" collapsed="false">
      <c r="A2002" s="1" t="n">
        <v>168</v>
      </c>
      <c r="B2002" s="1" t="s">
        <v>475</v>
      </c>
      <c r="C2002" s="143" t="s">
        <v>52</v>
      </c>
      <c r="D2002" s="143" t="s">
        <v>53</v>
      </c>
      <c r="E2002" s="143" t="s">
        <v>479</v>
      </c>
      <c r="F2002" s="144" t="n">
        <v>200025888475</v>
      </c>
      <c r="G2002" s="144" t="s">
        <v>243</v>
      </c>
      <c r="H2002" s="144" t="n">
        <v>69</v>
      </c>
      <c r="I2002" s="144" t="s">
        <v>148</v>
      </c>
      <c r="J2002" s="151" t="n">
        <v>45057.0187037037</v>
      </c>
      <c r="K2002" s="1" t="n">
        <v>1</v>
      </c>
      <c r="L2002" s="144" t="n">
        <v>69</v>
      </c>
      <c r="M2002" s="1" t="n">
        <v>56</v>
      </c>
      <c r="N2002" s="1" t="n">
        <v>56</v>
      </c>
      <c r="O2002" s="149" t="n">
        <v>8</v>
      </c>
    </row>
    <row r="2003" customFormat="false" ht="14.25" hidden="false" customHeight="false" outlineLevel="0" collapsed="false">
      <c r="A2003" s="1" t="n">
        <v>169</v>
      </c>
      <c r="B2003" s="1" t="s">
        <v>475</v>
      </c>
      <c r="C2003" s="143" t="s">
        <v>52</v>
      </c>
      <c r="D2003" s="143" t="s">
        <v>53</v>
      </c>
      <c r="E2003" s="143" t="s">
        <v>479</v>
      </c>
      <c r="F2003" s="144" t="n">
        <v>200025888475</v>
      </c>
      <c r="G2003" s="144" t="s">
        <v>243</v>
      </c>
      <c r="H2003" s="144" t="n">
        <v>69</v>
      </c>
      <c r="I2003" s="144" t="s">
        <v>148</v>
      </c>
      <c r="J2003" s="151" t="n">
        <v>45057.0188541667</v>
      </c>
      <c r="K2003" s="1" t="n">
        <v>3</v>
      </c>
      <c r="L2003" s="144" t="n">
        <v>69</v>
      </c>
      <c r="M2003" s="1" t="n">
        <v>56</v>
      </c>
      <c r="N2003" s="1" t="n">
        <v>56</v>
      </c>
      <c r="O2003" s="149" t="n">
        <v>9</v>
      </c>
    </row>
    <row r="2004" customFormat="false" ht="14.25" hidden="false" customHeight="false" outlineLevel="0" collapsed="false">
      <c r="A2004" s="1" t="n">
        <v>170</v>
      </c>
      <c r="B2004" s="1" t="s">
        <v>475</v>
      </c>
      <c r="C2004" s="143" t="s">
        <v>52</v>
      </c>
      <c r="D2004" s="143" t="s">
        <v>53</v>
      </c>
      <c r="E2004" s="143" t="s">
        <v>479</v>
      </c>
      <c r="F2004" s="144" t="n">
        <v>200025888475</v>
      </c>
      <c r="G2004" s="144" t="s">
        <v>243</v>
      </c>
      <c r="H2004" s="144" t="n">
        <v>69</v>
      </c>
      <c r="I2004" s="144" t="s">
        <v>148</v>
      </c>
      <c r="J2004" s="151" t="n">
        <v>45057.0465046296</v>
      </c>
      <c r="K2004" s="1" t="n">
        <v>1</v>
      </c>
      <c r="L2004" s="144" t="n">
        <v>69</v>
      </c>
      <c r="M2004" s="1" t="n">
        <v>56</v>
      </c>
      <c r="N2004" s="1" t="n">
        <v>56</v>
      </c>
      <c r="O2004" s="149" t="n">
        <v>10</v>
      </c>
    </row>
    <row r="2005" customFormat="false" ht="14.25" hidden="false" customHeight="false" outlineLevel="0" collapsed="false">
      <c r="A2005" s="1" t="n">
        <v>171</v>
      </c>
      <c r="B2005" s="1" t="s">
        <v>475</v>
      </c>
      <c r="C2005" s="143" t="s">
        <v>52</v>
      </c>
      <c r="D2005" s="143" t="s">
        <v>53</v>
      </c>
      <c r="E2005" s="143" t="s">
        <v>479</v>
      </c>
      <c r="F2005" s="144" t="n">
        <v>200025888475</v>
      </c>
      <c r="G2005" s="144" t="s">
        <v>243</v>
      </c>
      <c r="H2005" s="144" t="n">
        <v>69</v>
      </c>
      <c r="I2005" s="144" t="s">
        <v>148</v>
      </c>
      <c r="J2005" s="151" t="n">
        <v>45057.0508449074</v>
      </c>
      <c r="K2005" s="1" t="n">
        <v>3</v>
      </c>
      <c r="L2005" s="144" t="n">
        <v>69</v>
      </c>
      <c r="M2005" s="1" t="n">
        <v>56</v>
      </c>
      <c r="N2005" s="1" t="n">
        <v>56</v>
      </c>
      <c r="O2005" s="149" t="n">
        <v>11</v>
      </c>
    </row>
    <row r="2006" customFormat="false" ht="14.25" hidden="false" customHeight="false" outlineLevel="0" collapsed="false">
      <c r="A2006" s="1" t="n">
        <v>172</v>
      </c>
      <c r="B2006" s="1" t="s">
        <v>475</v>
      </c>
      <c r="C2006" s="143" t="s">
        <v>52</v>
      </c>
      <c r="D2006" s="143" t="s">
        <v>53</v>
      </c>
      <c r="E2006" s="143" t="s">
        <v>479</v>
      </c>
      <c r="F2006" s="144" t="n">
        <v>200025888475</v>
      </c>
      <c r="G2006" s="144" t="s">
        <v>243</v>
      </c>
      <c r="H2006" s="144" t="n">
        <v>69</v>
      </c>
      <c r="I2006" s="144" t="s">
        <v>148</v>
      </c>
      <c r="J2006" s="151" t="n">
        <v>45057.0509953704</v>
      </c>
      <c r="K2006" s="1" t="n">
        <v>1</v>
      </c>
      <c r="L2006" s="144" t="n">
        <v>69</v>
      </c>
      <c r="M2006" s="1" t="n">
        <v>56</v>
      </c>
      <c r="N2006" s="1" t="n">
        <v>56</v>
      </c>
      <c r="O2006" s="149" t="n">
        <v>12</v>
      </c>
    </row>
    <row r="2007" customFormat="false" ht="14.25" hidden="false" customHeight="false" outlineLevel="0" collapsed="false">
      <c r="A2007" s="1" t="n">
        <v>174</v>
      </c>
      <c r="B2007" s="1" t="s">
        <v>475</v>
      </c>
      <c r="C2007" s="143" t="s">
        <v>52</v>
      </c>
      <c r="D2007" s="143" t="s">
        <v>53</v>
      </c>
      <c r="E2007" s="143" t="s">
        <v>479</v>
      </c>
      <c r="F2007" s="144" t="n">
        <v>200025888475</v>
      </c>
      <c r="G2007" s="144" t="s">
        <v>243</v>
      </c>
      <c r="H2007" s="144" t="n">
        <v>69</v>
      </c>
      <c r="I2007" s="144" t="s">
        <v>148</v>
      </c>
      <c r="J2007" s="151" t="n">
        <v>45057.2019328704</v>
      </c>
      <c r="K2007" s="1" t="n">
        <v>2</v>
      </c>
      <c r="L2007" s="144" t="n">
        <v>69</v>
      </c>
      <c r="M2007" s="1" t="n">
        <v>56</v>
      </c>
      <c r="N2007" s="1" t="n">
        <v>56</v>
      </c>
      <c r="O2007" s="149" t="n">
        <v>13</v>
      </c>
    </row>
    <row r="2008" customFormat="false" ht="14.25" hidden="false" customHeight="false" outlineLevel="0" collapsed="false">
      <c r="A2008" s="1" t="n">
        <v>175</v>
      </c>
      <c r="B2008" s="1" t="s">
        <v>475</v>
      </c>
      <c r="C2008" s="143" t="s">
        <v>52</v>
      </c>
      <c r="D2008" s="143" t="s">
        <v>53</v>
      </c>
      <c r="E2008" s="143" t="s">
        <v>479</v>
      </c>
      <c r="F2008" s="144" t="n">
        <v>200025888475</v>
      </c>
      <c r="G2008" s="144" t="s">
        <v>243</v>
      </c>
      <c r="H2008" s="144" t="n">
        <v>69</v>
      </c>
      <c r="I2008" s="144" t="s">
        <v>148</v>
      </c>
      <c r="J2008" s="151" t="n">
        <v>45057.2019675926</v>
      </c>
      <c r="K2008" s="1" t="n">
        <v>1</v>
      </c>
      <c r="L2008" s="144" t="n">
        <v>69</v>
      </c>
      <c r="M2008" s="1" t="n">
        <v>56</v>
      </c>
      <c r="N2008" s="1" t="n">
        <v>56</v>
      </c>
      <c r="O2008" s="149" t="n">
        <v>14</v>
      </c>
    </row>
    <row r="2009" customFormat="false" ht="14.25" hidden="false" customHeight="false" outlineLevel="0" collapsed="false">
      <c r="A2009" s="1" t="n">
        <v>176</v>
      </c>
      <c r="B2009" s="1" t="s">
        <v>475</v>
      </c>
      <c r="C2009" s="143" t="s">
        <v>52</v>
      </c>
      <c r="D2009" s="143" t="s">
        <v>53</v>
      </c>
      <c r="E2009" s="143" t="s">
        <v>479</v>
      </c>
      <c r="F2009" s="144" t="n">
        <v>200025888475</v>
      </c>
      <c r="G2009" s="144" t="s">
        <v>243</v>
      </c>
      <c r="H2009" s="144" t="n">
        <v>69</v>
      </c>
      <c r="I2009" s="144" t="s">
        <v>148</v>
      </c>
      <c r="J2009" s="151" t="n">
        <v>45057.2021412037</v>
      </c>
      <c r="K2009" s="1" t="n">
        <v>1</v>
      </c>
      <c r="L2009" s="144" t="n">
        <v>69</v>
      </c>
      <c r="M2009" s="1" t="n">
        <v>56</v>
      </c>
      <c r="N2009" s="1" t="n">
        <v>56</v>
      </c>
      <c r="O2009" s="149" t="n">
        <v>15</v>
      </c>
    </row>
    <row r="2010" customFormat="false" ht="14.25" hidden="false" customHeight="false" outlineLevel="0" collapsed="false">
      <c r="A2010" s="1" t="n">
        <v>177</v>
      </c>
      <c r="B2010" s="1" t="s">
        <v>475</v>
      </c>
      <c r="C2010" s="143" t="s">
        <v>52</v>
      </c>
      <c r="D2010" s="143" t="s">
        <v>53</v>
      </c>
      <c r="E2010" s="143" t="s">
        <v>479</v>
      </c>
      <c r="F2010" s="144" t="n">
        <v>200025888475</v>
      </c>
      <c r="G2010" s="144" t="s">
        <v>243</v>
      </c>
      <c r="H2010" s="144" t="n">
        <v>69</v>
      </c>
      <c r="I2010" s="144" t="s">
        <v>148</v>
      </c>
      <c r="J2010" s="151" t="n">
        <v>45057.2023726852</v>
      </c>
      <c r="K2010" s="156"/>
      <c r="L2010" s="144" t="n">
        <v>69</v>
      </c>
      <c r="M2010" s="1" t="n">
        <v>56</v>
      </c>
      <c r="N2010" s="1" t="n">
        <v>56</v>
      </c>
      <c r="O2010" s="149" t="n">
        <v>16</v>
      </c>
    </row>
    <row r="2011" customFormat="false" ht="14.25" hidden="false" customHeight="false" outlineLevel="0" collapsed="false">
      <c r="A2011" s="1" t="n">
        <v>179</v>
      </c>
      <c r="B2011" s="1" t="s">
        <v>475</v>
      </c>
      <c r="C2011" s="143" t="s">
        <v>52</v>
      </c>
      <c r="D2011" s="143" t="s">
        <v>53</v>
      </c>
      <c r="E2011" s="143" t="s">
        <v>479</v>
      </c>
      <c r="F2011" s="144" t="n">
        <v>200025888475</v>
      </c>
      <c r="G2011" s="144" t="s">
        <v>243</v>
      </c>
      <c r="H2011" s="144" t="n">
        <v>69</v>
      </c>
      <c r="I2011" s="144" t="s">
        <v>148</v>
      </c>
      <c r="J2011" s="151" t="n">
        <v>45057.2279166667</v>
      </c>
      <c r="K2011" s="1" t="n">
        <v>1</v>
      </c>
      <c r="L2011" s="144" t="n">
        <v>69</v>
      </c>
      <c r="M2011" s="1" t="n">
        <v>56</v>
      </c>
      <c r="N2011" s="1" t="n">
        <v>56</v>
      </c>
      <c r="O2011" s="149" t="n">
        <v>17</v>
      </c>
    </row>
    <row r="2012" customFormat="false" ht="14.25" hidden="false" customHeight="false" outlineLevel="0" collapsed="false">
      <c r="A2012" s="1" t="n">
        <v>180</v>
      </c>
      <c r="B2012" s="1" t="s">
        <v>475</v>
      </c>
      <c r="C2012" s="143" t="s">
        <v>52</v>
      </c>
      <c r="D2012" s="143" t="s">
        <v>53</v>
      </c>
      <c r="E2012" s="143" t="s">
        <v>479</v>
      </c>
      <c r="F2012" s="144" t="n">
        <v>200025888475</v>
      </c>
      <c r="G2012" s="144" t="s">
        <v>243</v>
      </c>
      <c r="H2012" s="144" t="n">
        <v>69</v>
      </c>
      <c r="I2012" s="144" t="s">
        <v>148</v>
      </c>
      <c r="J2012" s="151" t="n">
        <v>45057.2280439815</v>
      </c>
      <c r="K2012" s="1" t="n">
        <v>1</v>
      </c>
      <c r="L2012" s="144" t="n">
        <v>69</v>
      </c>
      <c r="M2012" s="1" t="n">
        <v>56</v>
      </c>
      <c r="N2012" s="1" t="n">
        <v>56</v>
      </c>
      <c r="O2012" s="149" t="n">
        <v>18</v>
      </c>
    </row>
    <row r="2013" customFormat="false" ht="14.25" hidden="false" customHeight="false" outlineLevel="0" collapsed="false">
      <c r="A2013" s="1" t="n">
        <v>181</v>
      </c>
      <c r="B2013" s="1" t="s">
        <v>475</v>
      </c>
      <c r="C2013" s="143" t="s">
        <v>52</v>
      </c>
      <c r="D2013" s="143" t="s">
        <v>53</v>
      </c>
      <c r="E2013" s="143" t="s">
        <v>479</v>
      </c>
      <c r="F2013" s="144" t="n">
        <v>200025888475</v>
      </c>
      <c r="G2013" s="144" t="s">
        <v>243</v>
      </c>
      <c r="H2013" s="144" t="n">
        <v>69</v>
      </c>
      <c r="I2013" s="144" t="s">
        <v>148</v>
      </c>
      <c r="J2013" s="151" t="n">
        <v>45057.2305208333</v>
      </c>
      <c r="K2013" s="1" t="n">
        <v>1</v>
      </c>
      <c r="L2013" s="144" t="n">
        <v>69</v>
      </c>
      <c r="M2013" s="1" t="n">
        <v>56</v>
      </c>
      <c r="N2013" s="1" t="n">
        <v>56</v>
      </c>
      <c r="O2013" s="149" t="n">
        <v>19</v>
      </c>
    </row>
    <row r="2014" customFormat="false" ht="14.25" hidden="false" customHeight="false" outlineLevel="0" collapsed="false">
      <c r="A2014" s="1" t="n">
        <v>182</v>
      </c>
      <c r="B2014" s="1" t="s">
        <v>475</v>
      </c>
      <c r="C2014" s="143" t="s">
        <v>52</v>
      </c>
      <c r="D2014" s="143" t="s">
        <v>53</v>
      </c>
      <c r="E2014" s="143" t="s">
        <v>479</v>
      </c>
      <c r="F2014" s="144" t="n">
        <v>200025888475</v>
      </c>
      <c r="G2014" s="144" t="s">
        <v>243</v>
      </c>
      <c r="H2014" s="144" t="n">
        <v>69</v>
      </c>
      <c r="I2014" s="144" t="s">
        <v>148</v>
      </c>
      <c r="J2014" s="151" t="n">
        <v>45057.2310300926</v>
      </c>
      <c r="K2014" s="1" t="n">
        <v>1</v>
      </c>
      <c r="L2014" s="144" t="n">
        <v>69</v>
      </c>
      <c r="M2014" s="1" t="n">
        <v>56</v>
      </c>
      <c r="N2014" s="1" t="n">
        <v>56</v>
      </c>
      <c r="O2014" s="149" t="n">
        <v>20</v>
      </c>
    </row>
    <row r="2015" customFormat="false" ht="14.25" hidden="false" customHeight="false" outlineLevel="0" collapsed="false">
      <c r="A2015" s="1" t="n">
        <v>183</v>
      </c>
      <c r="B2015" s="1" t="s">
        <v>475</v>
      </c>
      <c r="C2015" s="143" t="s">
        <v>52</v>
      </c>
      <c r="D2015" s="143" t="s">
        <v>53</v>
      </c>
      <c r="E2015" s="143" t="s">
        <v>479</v>
      </c>
      <c r="F2015" s="144" t="n">
        <v>200025888475</v>
      </c>
      <c r="G2015" s="144" t="s">
        <v>243</v>
      </c>
      <c r="H2015" s="144" t="n">
        <v>69</v>
      </c>
      <c r="I2015" s="144" t="s">
        <v>148</v>
      </c>
      <c r="J2015" s="151" t="n">
        <v>45057.2430439815</v>
      </c>
      <c r="K2015" s="1" t="n">
        <v>1</v>
      </c>
      <c r="L2015" s="144" t="n">
        <v>69</v>
      </c>
      <c r="M2015" s="1" t="n">
        <v>56</v>
      </c>
      <c r="N2015" s="1" t="n">
        <v>56</v>
      </c>
      <c r="O2015" s="149" t="n">
        <v>21</v>
      </c>
    </row>
    <row r="2016" customFormat="false" ht="14.25" hidden="false" customHeight="false" outlineLevel="0" collapsed="false">
      <c r="A2016" s="1" t="n">
        <v>28</v>
      </c>
      <c r="B2016" s="1" t="s">
        <v>475</v>
      </c>
      <c r="C2016" s="143" t="n">
        <v>21265</v>
      </c>
      <c r="D2016" s="143" t="s">
        <v>76</v>
      </c>
      <c r="E2016" s="143" t="s">
        <v>479</v>
      </c>
      <c r="F2016" s="144" t="n">
        <v>200025888475</v>
      </c>
      <c r="G2016" s="144" t="s">
        <v>243</v>
      </c>
      <c r="H2016" s="144" t="n">
        <v>69</v>
      </c>
      <c r="I2016" s="144" t="s">
        <v>148</v>
      </c>
      <c r="J2016" s="151" t="n">
        <v>45082.3491435185</v>
      </c>
      <c r="K2016" s="1" t="n">
        <v>2</v>
      </c>
      <c r="L2016" s="144" t="n">
        <v>69</v>
      </c>
      <c r="M2016" s="1" t="n">
        <v>56</v>
      </c>
      <c r="N2016" s="1" t="n">
        <v>56</v>
      </c>
      <c r="O2016" s="149" t="n">
        <v>22</v>
      </c>
    </row>
    <row r="2017" customFormat="false" ht="14.25" hidden="false" customHeight="false" outlineLevel="0" collapsed="false">
      <c r="A2017" s="1" t="n">
        <v>29</v>
      </c>
      <c r="B2017" s="1" t="s">
        <v>475</v>
      </c>
      <c r="C2017" s="143" t="n">
        <v>21265</v>
      </c>
      <c r="D2017" s="143" t="s">
        <v>76</v>
      </c>
      <c r="E2017" s="143" t="s">
        <v>479</v>
      </c>
      <c r="F2017" s="144" t="n">
        <v>200025888475</v>
      </c>
      <c r="G2017" s="144" t="s">
        <v>243</v>
      </c>
      <c r="H2017" s="144" t="n">
        <v>69</v>
      </c>
      <c r="I2017" s="144" t="s">
        <v>148</v>
      </c>
      <c r="J2017" s="151" t="n">
        <v>45082.3491550926</v>
      </c>
      <c r="K2017" s="1" t="n">
        <v>3</v>
      </c>
      <c r="L2017" s="144" t="n">
        <v>69</v>
      </c>
      <c r="M2017" s="1" t="n">
        <v>56</v>
      </c>
      <c r="N2017" s="1" t="n">
        <v>56</v>
      </c>
      <c r="O2017" s="149" t="n">
        <v>23</v>
      </c>
    </row>
    <row r="2018" customFormat="false" ht="14.25" hidden="false" customHeight="false" outlineLevel="0" collapsed="false">
      <c r="A2018" s="1" t="n">
        <v>30</v>
      </c>
      <c r="B2018" s="1" t="s">
        <v>475</v>
      </c>
      <c r="C2018" s="143" t="n">
        <v>21265</v>
      </c>
      <c r="D2018" s="143" t="s">
        <v>76</v>
      </c>
      <c r="E2018" s="143" t="s">
        <v>479</v>
      </c>
      <c r="F2018" s="144" t="n">
        <v>200025888475</v>
      </c>
      <c r="G2018" s="144" t="s">
        <v>243</v>
      </c>
      <c r="H2018" s="144" t="n">
        <v>69</v>
      </c>
      <c r="I2018" s="144" t="s">
        <v>148</v>
      </c>
      <c r="J2018" s="151" t="n">
        <v>45082.3953356482</v>
      </c>
      <c r="K2018" s="1" t="n">
        <v>4</v>
      </c>
      <c r="L2018" s="144" t="n">
        <v>69</v>
      </c>
      <c r="M2018" s="1" t="n">
        <v>56</v>
      </c>
      <c r="N2018" s="1" t="n">
        <v>56</v>
      </c>
      <c r="O2018" s="149" t="n">
        <v>24</v>
      </c>
    </row>
    <row r="2019" customFormat="false" ht="14.25" hidden="false" customHeight="false" outlineLevel="0" collapsed="false">
      <c r="A2019" s="1" t="n">
        <v>31</v>
      </c>
      <c r="B2019" s="1" t="s">
        <v>475</v>
      </c>
      <c r="C2019" s="143" t="n">
        <v>21265</v>
      </c>
      <c r="D2019" s="143" t="s">
        <v>76</v>
      </c>
      <c r="E2019" s="143" t="s">
        <v>479</v>
      </c>
      <c r="F2019" s="144" t="n">
        <v>200025888475</v>
      </c>
      <c r="G2019" s="144" t="s">
        <v>243</v>
      </c>
      <c r="H2019" s="144" t="n">
        <v>69</v>
      </c>
      <c r="I2019" s="144" t="s">
        <v>148</v>
      </c>
      <c r="J2019" s="151" t="n">
        <v>45082.4772800926</v>
      </c>
      <c r="K2019" s="1" t="n">
        <v>2</v>
      </c>
      <c r="L2019" s="144" t="n">
        <v>69</v>
      </c>
      <c r="M2019" s="1" t="n">
        <v>56</v>
      </c>
      <c r="N2019" s="1" t="n">
        <v>56</v>
      </c>
      <c r="O2019" s="149" t="n">
        <v>25</v>
      </c>
    </row>
    <row r="2020" customFormat="false" ht="14.25" hidden="false" customHeight="false" outlineLevel="0" collapsed="false">
      <c r="A2020" s="1" t="n">
        <v>36</v>
      </c>
      <c r="B2020" s="1" t="s">
        <v>475</v>
      </c>
      <c r="C2020" s="143" t="n">
        <v>21265</v>
      </c>
      <c r="D2020" s="143" t="s">
        <v>76</v>
      </c>
      <c r="E2020" s="143" t="s">
        <v>479</v>
      </c>
      <c r="F2020" s="144" t="n">
        <v>200025888475</v>
      </c>
      <c r="G2020" s="144" t="s">
        <v>243</v>
      </c>
      <c r="H2020" s="144" t="n">
        <v>69</v>
      </c>
      <c r="I2020" s="144" t="s">
        <v>148</v>
      </c>
      <c r="J2020" s="151" t="n">
        <v>45082.5383564815</v>
      </c>
      <c r="K2020" s="1" t="n">
        <v>2</v>
      </c>
      <c r="L2020" s="144" t="n">
        <v>69</v>
      </c>
      <c r="M2020" s="1" t="n">
        <v>56</v>
      </c>
      <c r="N2020" s="1" t="n">
        <v>56</v>
      </c>
      <c r="O2020" s="149" t="n">
        <v>26</v>
      </c>
    </row>
    <row r="2021" customFormat="false" ht="14.25" hidden="false" customHeight="false" outlineLevel="0" collapsed="false">
      <c r="A2021" s="1" t="n">
        <v>37</v>
      </c>
      <c r="B2021" s="1" t="s">
        <v>475</v>
      </c>
      <c r="C2021" s="143" t="n">
        <v>21265</v>
      </c>
      <c r="D2021" s="143" t="s">
        <v>76</v>
      </c>
      <c r="E2021" s="143" t="s">
        <v>479</v>
      </c>
      <c r="F2021" s="144" t="n">
        <v>200025888475</v>
      </c>
      <c r="G2021" s="144" t="s">
        <v>243</v>
      </c>
      <c r="H2021" s="144" t="n">
        <v>69</v>
      </c>
      <c r="I2021" s="144" t="s">
        <v>148</v>
      </c>
      <c r="J2021" s="151" t="n">
        <v>45082.5383680556</v>
      </c>
      <c r="K2021" s="1" t="n">
        <v>4</v>
      </c>
      <c r="L2021" s="144" t="n">
        <v>69</v>
      </c>
      <c r="M2021" s="1" t="n">
        <v>56</v>
      </c>
      <c r="N2021" s="1" t="n">
        <v>56</v>
      </c>
      <c r="O2021" s="149" t="n">
        <v>27</v>
      </c>
    </row>
    <row r="2022" customFormat="false" ht="14.25" hidden="false" customHeight="false" outlineLevel="0" collapsed="false">
      <c r="A2022" s="1" t="n">
        <v>38</v>
      </c>
      <c r="B2022" s="1" t="s">
        <v>475</v>
      </c>
      <c r="C2022" s="143" t="n">
        <v>21265</v>
      </c>
      <c r="D2022" s="143" t="s">
        <v>76</v>
      </c>
      <c r="E2022" s="143" t="s">
        <v>479</v>
      </c>
      <c r="F2022" s="144" t="n">
        <v>200025888475</v>
      </c>
      <c r="G2022" s="144" t="s">
        <v>243</v>
      </c>
      <c r="H2022" s="144" t="n">
        <v>69</v>
      </c>
      <c r="I2022" s="144" t="s">
        <v>148</v>
      </c>
      <c r="J2022" s="151" t="n">
        <v>45082.5403935185</v>
      </c>
      <c r="K2022" s="1" t="n">
        <v>3</v>
      </c>
      <c r="L2022" s="144" t="n">
        <v>69</v>
      </c>
      <c r="M2022" s="1" t="n">
        <v>56</v>
      </c>
      <c r="N2022" s="1" t="n">
        <v>56</v>
      </c>
      <c r="O2022" s="149" t="n">
        <v>28</v>
      </c>
    </row>
    <row r="2023" customFormat="false" ht="14.25" hidden="false" customHeight="false" outlineLevel="0" collapsed="false">
      <c r="A2023" s="1" t="n">
        <v>146</v>
      </c>
      <c r="B2023" s="1" t="s">
        <v>475</v>
      </c>
      <c r="C2023" s="143" t="s">
        <v>52</v>
      </c>
      <c r="D2023" s="143" t="s">
        <v>53</v>
      </c>
      <c r="E2023" s="143" t="s">
        <v>479</v>
      </c>
      <c r="F2023" s="144" t="n">
        <v>200025889455</v>
      </c>
      <c r="G2023" s="144" t="s">
        <v>305</v>
      </c>
      <c r="H2023" s="144" t="n">
        <v>44</v>
      </c>
      <c r="I2023" s="144" t="s">
        <v>148</v>
      </c>
      <c r="J2023" s="151" t="n">
        <v>45056.7330208333</v>
      </c>
      <c r="K2023" s="1" t="n">
        <v>2</v>
      </c>
      <c r="L2023" s="144" t="n">
        <v>44</v>
      </c>
      <c r="M2023" s="1" t="n">
        <v>57</v>
      </c>
      <c r="N2023" s="1" t="n">
        <v>57</v>
      </c>
      <c r="O2023" s="149" t="n">
        <v>1</v>
      </c>
    </row>
    <row r="2024" customFormat="false" ht="14.25" hidden="false" customHeight="false" outlineLevel="0" collapsed="false">
      <c r="A2024" s="1" t="n">
        <v>283</v>
      </c>
      <c r="B2024" s="1" t="s">
        <v>473</v>
      </c>
      <c r="C2024" s="143" t="n">
        <v>11490</v>
      </c>
      <c r="D2024" s="143" t="s">
        <v>65</v>
      </c>
      <c r="E2024" s="143" t="s">
        <v>479</v>
      </c>
      <c r="F2024" s="144" t="n">
        <v>200025889455</v>
      </c>
      <c r="G2024" s="144" t="s">
        <v>305</v>
      </c>
      <c r="H2024" s="144" t="n">
        <v>44</v>
      </c>
      <c r="I2024" s="144" t="s">
        <v>148</v>
      </c>
      <c r="J2024" s="6" t="n">
        <v>45057.1058101852</v>
      </c>
      <c r="K2024" s="1" t="n">
        <v>1</v>
      </c>
      <c r="L2024" s="144" t="n">
        <v>44</v>
      </c>
      <c r="M2024" s="1" t="n">
        <v>57</v>
      </c>
      <c r="N2024" s="1" t="n">
        <v>57</v>
      </c>
      <c r="O2024" s="149" t="n">
        <v>2</v>
      </c>
    </row>
    <row r="2025" customFormat="false" ht="14.25" hidden="false" customHeight="false" outlineLevel="0" collapsed="false">
      <c r="A2025" s="1" t="n">
        <v>284</v>
      </c>
      <c r="B2025" s="1" t="s">
        <v>473</v>
      </c>
      <c r="C2025" s="143" t="n">
        <v>11490</v>
      </c>
      <c r="D2025" s="143" t="s">
        <v>65</v>
      </c>
      <c r="E2025" s="143" t="s">
        <v>479</v>
      </c>
      <c r="F2025" s="144" t="n">
        <v>200025889455</v>
      </c>
      <c r="G2025" s="144" t="s">
        <v>305</v>
      </c>
      <c r="H2025" s="144" t="n">
        <v>44</v>
      </c>
      <c r="I2025" s="144" t="s">
        <v>148</v>
      </c>
      <c r="J2025" s="6" t="n">
        <v>45057.1060416667</v>
      </c>
      <c r="K2025" s="1" t="n">
        <v>1</v>
      </c>
      <c r="L2025" s="144" t="n">
        <v>44</v>
      </c>
      <c r="M2025" s="1" t="n">
        <v>57</v>
      </c>
      <c r="N2025" s="1" t="n">
        <v>57</v>
      </c>
      <c r="O2025" s="149" t="n">
        <v>3</v>
      </c>
    </row>
    <row r="2026" customFormat="false" ht="14.25" hidden="false" customHeight="false" outlineLevel="0" collapsed="false">
      <c r="A2026" s="1" t="n">
        <v>318</v>
      </c>
      <c r="B2026" s="1" t="s">
        <v>473</v>
      </c>
      <c r="C2026" s="143" t="n">
        <v>11490</v>
      </c>
      <c r="D2026" s="143" t="s">
        <v>65</v>
      </c>
      <c r="E2026" s="143" t="s">
        <v>479</v>
      </c>
      <c r="F2026" s="144" t="n">
        <v>200025889455</v>
      </c>
      <c r="G2026" s="144" t="s">
        <v>305</v>
      </c>
      <c r="H2026" s="144" t="n">
        <v>44</v>
      </c>
      <c r="I2026" s="144" t="s">
        <v>148</v>
      </c>
      <c r="J2026" s="6" t="n">
        <v>45057.3342939815</v>
      </c>
      <c r="K2026" s="1" t="n">
        <v>1</v>
      </c>
      <c r="L2026" s="144" t="n">
        <v>44</v>
      </c>
      <c r="M2026" s="1" t="n">
        <v>57</v>
      </c>
      <c r="N2026" s="1" t="n">
        <v>57</v>
      </c>
      <c r="O2026" s="149" t="n">
        <v>4</v>
      </c>
    </row>
    <row r="2027" customFormat="false" ht="14.25" hidden="false" customHeight="false" outlineLevel="0" collapsed="false">
      <c r="A2027" s="1" t="n">
        <v>18</v>
      </c>
      <c r="B2027" s="1" t="s">
        <v>475</v>
      </c>
      <c r="C2027" s="143" t="n">
        <v>21265</v>
      </c>
      <c r="D2027" s="143" t="s">
        <v>76</v>
      </c>
      <c r="E2027" s="143" t="s">
        <v>479</v>
      </c>
      <c r="F2027" s="144" t="n">
        <v>200025889455</v>
      </c>
      <c r="G2027" s="144" t="s">
        <v>305</v>
      </c>
      <c r="H2027" s="144" t="n">
        <v>44</v>
      </c>
      <c r="I2027" s="144" t="s">
        <v>148</v>
      </c>
      <c r="J2027" s="6" t="n">
        <v>45077.4343981482</v>
      </c>
      <c r="K2027" s="1" t="n">
        <v>3</v>
      </c>
      <c r="L2027" s="144" t="n">
        <v>44</v>
      </c>
      <c r="M2027" s="1" t="n">
        <v>57</v>
      </c>
      <c r="N2027" s="1" t="n">
        <v>57</v>
      </c>
      <c r="O2027" s="149" t="n">
        <v>5</v>
      </c>
    </row>
    <row r="2028" customFormat="false" ht="14.25" hidden="false" customHeight="false" outlineLevel="0" collapsed="false">
      <c r="A2028" s="1" t="n">
        <v>26</v>
      </c>
      <c r="B2028" s="1" t="s">
        <v>475</v>
      </c>
      <c r="C2028" s="143" t="n">
        <v>21265</v>
      </c>
      <c r="D2028" s="143" t="s">
        <v>76</v>
      </c>
      <c r="E2028" s="143" t="s">
        <v>479</v>
      </c>
      <c r="F2028" s="144" t="n">
        <v>200025889455</v>
      </c>
      <c r="G2028" s="144" t="s">
        <v>305</v>
      </c>
      <c r="H2028" s="144" t="n">
        <v>44</v>
      </c>
      <c r="I2028" s="144" t="s">
        <v>148</v>
      </c>
      <c r="J2028" s="6" t="n">
        <v>45080.4215162037</v>
      </c>
      <c r="K2028" s="1" t="n">
        <v>1</v>
      </c>
      <c r="L2028" s="144" t="n">
        <v>44</v>
      </c>
      <c r="M2028" s="1" t="n">
        <v>57</v>
      </c>
      <c r="N2028" s="1" t="n">
        <v>57</v>
      </c>
      <c r="O2028" s="149" t="n">
        <v>6</v>
      </c>
    </row>
    <row r="2029" customFormat="false" ht="14.25" hidden="false" customHeight="false" outlineLevel="0" collapsed="false">
      <c r="A2029" s="1" t="n">
        <v>220</v>
      </c>
      <c r="B2029" s="1" t="s">
        <v>473</v>
      </c>
      <c r="C2029" s="143" t="n">
        <v>11490</v>
      </c>
      <c r="D2029" s="143" t="s">
        <v>65</v>
      </c>
      <c r="E2029" s="143" t="s">
        <v>479</v>
      </c>
      <c r="F2029" s="144" t="n">
        <v>200025888665</v>
      </c>
      <c r="G2029" s="144" t="s">
        <v>377</v>
      </c>
      <c r="H2029" s="144" t="n">
        <v>80</v>
      </c>
      <c r="I2029" s="144" t="s">
        <v>148</v>
      </c>
      <c r="J2029" s="151" t="n">
        <v>45056.735150463</v>
      </c>
      <c r="K2029" s="1" t="n">
        <v>2</v>
      </c>
      <c r="L2029" s="144" t="n">
        <v>80</v>
      </c>
      <c r="M2029" s="1" t="n">
        <v>58</v>
      </c>
      <c r="N2029" s="1" t="n">
        <v>58</v>
      </c>
      <c r="O2029" s="149" t="n">
        <v>1</v>
      </c>
    </row>
    <row r="2030" customFormat="false" ht="14.25" hidden="false" customHeight="false" outlineLevel="0" collapsed="false">
      <c r="A2030" s="1" t="n">
        <v>232</v>
      </c>
      <c r="B2030" s="1" t="s">
        <v>473</v>
      </c>
      <c r="C2030" s="143" t="n">
        <v>11490</v>
      </c>
      <c r="D2030" s="143" t="s">
        <v>65</v>
      </c>
      <c r="E2030" s="143" t="s">
        <v>479</v>
      </c>
      <c r="F2030" s="144" t="n">
        <v>200025888665</v>
      </c>
      <c r="G2030" s="144" t="s">
        <v>377</v>
      </c>
      <c r="H2030" s="144" t="n">
        <v>80</v>
      </c>
      <c r="I2030" s="144" t="s">
        <v>148</v>
      </c>
      <c r="J2030" s="151" t="n">
        <v>45056.8159490741</v>
      </c>
      <c r="K2030" s="1" t="n">
        <v>0</v>
      </c>
      <c r="L2030" s="144" t="n">
        <v>80</v>
      </c>
      <c r="M2030" s="1" t="n">
        <v>58</v>
      </c>
      <c r="N2030" s="1" t="n">
        <v>58</v>
      </c>
      <c r="O2030" s="149" t="n">
        <v>2</v>
      </c>
    </row>
    <row r="2031" customFormat="false" ht="14.25" hidden="false" customHeight="false" outlineLevel="0" collapsed="false">
      <c r="A2031" s="1" t="n">
        <v>235</v>
      </c>
      <c r="B2031" s="1" t="s">
        <v>473</v>
      </c>
      <c r="C2031" s="143" t="n">
        <v>11490</v>
      </c>
      <c r="D2031" s="143" t="s">
        <v>65</v>
      </c>
      <c r="E2031" s="143" t="s">
        <v>479</v>
      </c>
      <c r="F2031" s="144" t="n">
        <v>200025888665</v>
      </c>
      <c r="G2031" s="144" t="s">
        <v>377</v>
      </c>
      <c r="H2031" s="144" t="n">
        <v>80</v>
      </c>
      <c r="I2031" s="144" t="s">
        <v>148</v>
      </c>
      <c r="J2031" s="151" t="n">
        <v>45056.8383217593</v>
      </c>
      <c r="K2031" s="1" t="n">
        <v>2</v>
      </c>
      <c r="L2031" s="144" t="n">
        <v>80</v>
      </c>
      <c r="M2031" s="1" t="n">
        <v>58</v>
      </c>
      <c r="N2031" s="1" t="n">
        <v>58</v>
      </c>
      <c r="O2031" s="149" t="n">
        <v>3</v>
      </c>
    </row>
    <row r="2032" customFormat="false" ht="14.25" hidden="false" customHeight="false" outlineLevel="0" collapsed="false">
      <c r="A2032" s="1" t="n">
        <v>255</v>
      </c>
      <c r="B2032" s="1" t="s">
        <v>473</v>
      </c>
      <c r="C2032" s="143" t="n">
        <v>11490</v>
      </c>
      <c r="D2032" s="143" t="s">
        <v>65</v>
      </c>
      <c r="E2032" s="143" t="s">
        <v>479</v>
      </c>
      <c r="F2032" s="144" t="n">
        <v>200025888665</v>
      </c>
      <c r="G2032" s="144" t="s">
        <v>377</v>
      </c>
      <c r="H2032" s="144" t="n">
        <v>80</v>
      </c>
      <c r="I2032" s="144" t="s">
        <v>148</v>
      </c>
      <c r="J2032" s="151" t="n">
        <v>45056.9311458333</v>
      </c>
      <c r="K2032" s="1" t="n">
        <v>0</v>
      </c>
      <c r="L2032" s="144" t="n">
        <v>80</v>
      </c>
      <c r="M2032" s="1" t="n">
        <v>58</v>
      </c>
      <c r="N2032" s="1" t="n">
        <v>58</v>
      </c>
      <c r="O2032" s="149" t="n">
        <v>4</v>
      </c>
    </row>
    <row r="2033" customFormat="false" ht="14.25" hidden="false" customHeight="false" outlineLevel="0" collapsed="false">
      <c r="A2033" s="1" t="n">
        <v>256</v>
      </c>
      <c r="B2033" s="1" t="s">
        <v>473</v>
      </c>
      <c r="C2033" s="143" t="n">
        <v>11490</v>
      </c>
      <c r="D2033" s="143" t="s">
        <v>65</v>
      </c>
      <c r="E2033" s="143" t="s">
        <v>479</v>
      </c>
      <c r="F2033" s="144" t="n">
        <v>200025888665</v>
      </c>
      <c r="G2033" s="144" t="s">
        <v>377</v>
      </c>
      <c r="H2033" s="144" t="n">
        <v>80</v>
      </c>
      <c r="I2033" s="144" t="s">
        <v>148</v>
      </c>
      <c r="J2033" s="151" t="n">
        <v>45056.9313078704</v>
      </c>
      <c r="K2033" s="1" t="n">
        <v>3</v>
      </c>
      <c r="L2033" s="144" t="n">
        <v>80</v>
      </c>
      <c r="M2033" s="1" t="n">
        <v>58</v>
      </c>
      <c r="N2033" s="1" t="n">
        <v>58</v>
      </c>
      <c r="O2033" s="149" t="n">
        <v>5</v>
      </c>
    </row>
    <row r="2034" customFormat="false" ht="14.25" hidden="false" customHeight="false" outlineLevel="0" collapsed="false">
      <c r="A2034" s="1" t="n">
        <v>257</v>
      </c>
      <c r="B2034" s="1" t="s">
        <v>473</v>
      </c>
      <c r="C2034" s="143" t="n">
        <v>11490</v>
      </c>
      <c r="D2034" s="143" t="s">
        <v>65</v>
      </c>
      <c r="E2034" s="143" t="s">
        <v>479</v>
      </c>
      <c r="F2034" s="144" t="n">
        <v>200025888665</v>
      </c>
      <c r="G2034" s="144" t="s">
        <v>377</v>
      </c>
      <c r="H2034" s="144" t="n">
        <v>80</v>
      </c>
      <c r="I2034" s="144" t="s">
        <v>148</v>
      </c>
      <c r="J2034" s="151" t="n">
        <v>45056.932349537</v>
      </c>
      <c r="K2034" s="1" t="n">
        <v>2</v>
      </c>
      <c r="L2034" s="144" t="n">
        <v>80</v>
      </c>
      <c r="M2034" s="1" t="n">
        <v>58</v>
      </c>
      <c r="N2034" s="1" t="n">
        <v>58</v>
      </c>
      <c r="O2034" s="149" t="n">
        <v>6</v>
      </c>
    </row>
    <row r="2035" customFormat="false" ht="14.25" hidden="false" customHeight="false" outlineLevel="0" collapsed="false">
      <c r="A2035" s="1" t="n">
        <v>258</v>
      </c>
      <c r="B2035" s="1" t="s">
        <v>473</v>
      </c>
      <c r="C2035" s="143" t="n">
        <v>11490</v>
      </c>
      <c r="D2035" s="143" t="s">
        <v>65</v>
      </c>
      <c r="E2035" s="143" t="s">
        <v>479</v>
      </c>
      <c r="F2035" s="144" t="n">
        <v>200025888665</v>
      </c>
      <c r="G2035" s="144" t="s">
        <v>377</v>
      </c>
      <c r="H2035" s="144" t="n">
        <v>80</v>
      </c>
      <c r="I2035" s="144" t="s">
        <v>148</v>
      </c>
      <c r="J2035" s="151" t="n">
        <v>45056.9323842593</v>
      </c>
      <c r="K2035" s="1" t="n">
        <v>3</v>
      </c>
      <c r="L2035" s="144" t="n">
        <v>80</v>
      </c>
      <c r="M2035" s="1" t="n">
        <v>58</v>
      </c>
      <c r="N2035" s="1" t="n">
        <v>58</v>
      </c>
      <c r="O2035" s="149" t="n">
        <v>7</v>
      </c>
    </row>
    <row r="2036" customFormat="false" ht="14.25" hidden="false" customHeight="false" outlineLevel="0" collapsed="false">
      <c r="A2036" s="1" t="n">
        <v>266</v>
      </c>
      <c r="B2036" s="1" t="s">
        <v>473</v>
      </c>
      <c r="C2036" s="143" t="n">
        <v>11490</v>
      </c>
      <c r="D2036" s="143" t="s">
        <v>65</v>
      </c>
      <c r="E2036" s="143" t="s">
        <v>479</v>
      </c>
      <c r="F2036" s="144" t="n">
        <v>200025888665</v>
      </c>
      <c r="G2036" s="144" t="s">
        <v>377</v>
      </c>
      <c r="H2036" s="144" t="n">
        <v>80</v>
      </c>
      <c r="I2036" s="144" t="s">
        <v>148</v>
      </c>
      <c r="J2036" s="151" t="n">
        <v>45056.9485416667</v>
      </c>
      <c r="K2036" s="1" t="n">
        <v>3</v>
      </c>
      <c r="L2036" s="144" t="n">
        <v>80</v>
      </c>
      <c r="M2036" s="1" t="n">
        <v>58</v>
      </c>
      <c r="N2036" s="1" t="n">
        <v>58</v>
      </c>
      <c r="O2036" s="149" t="n">
        <v>8</v>
      </c>
    </row>
    <row r="2037" customFormat="false" ht="14.25" hidden="false" customHeight="false" outlineLevel="0" collapsed="false">
      <c r="A2037" s="1" t="n">
        <v>267</v>
      </c>
      <c r="B2037" s="1" t="s">
        <v>473</v>
      </c>
      <c r="C2037" s="143" t="n">
        <v>11490</v>
      </c>
      <c r="D2037" s="143" t="s">
        <v>65</v>
      </c>
      <c r="E2037" s="143" t="s">
        <v>479</v>
      </c>
      <c r="F2037" s="144" t="n">
        <v>200025888665</v>
      </c>
      <c r="G2037" s="144" t="s">
        <v>377</v>
      </c>
      <c r="H2037" s="144" t="n">
        <v>80</v>
      </c>
      <c r="I2037" s="144" t="s">
        <v>148</v>
      </c>
      <c r="J2037" s="151" t="n">
        <v>45056.9489467593</v>
      </c>
      <c r="K2037" s="1" t="n">
        <v>2</v>
      </c>
      <c r="L2037" s="144" t="n">
        <v>80</v>
      </c>
      <c r="M2037" s="1" t="n">
        <v>58</v>
      </c>
      <c r="N2037" s="1" t="n">
        <v>58</v>
      </c>
      <c r="O2037" s="149" t="n">
        <v>9</v>
      </c>
    </row>
    <row r="2038" customFormat="false" ht="14.25" hidden="false" customHeight="false" outlineLevel="0" collapsed="false">
      <c r="A2038" s="1" t="n">
        <v>268</v>
      </c>
      <c r="B2038" s="1" t="s">
        <v>473</v>
      </c>
      <c r="C2038" s="143" t="n">
        <v>11490</v>
      </c>
      <c r="D2038" s="143" t="s">
        <v>65</v>
      </c>
      <c r="E2038" s="143" t="s">
        <v>479</v>
      </c>
      <c r="F2038" s="144" t="n">
        <v>200025888665</v>
      </c>
      <c r="G2038" s="144" t="s">
        <v>377</v>
      </c>
      <c r="H2038" s="144" t="n">
        <v>80</v>
      </c>
      <c r="I2038" s="144" t="s">
        <v>148</v>
      </c>
      <c r="J2038" s="151" t="n">
        <v>45056.9490162037</v>
      </c>
      <c r="K2038" s="1" t="n">
        <v>2</v>
      </c>
      <c r="L2038" s="144" t="n">
        <v>80</v>
      </c>
      <c r="M2038" s="1" t="n">
        <v>58</v>
      </c>
      <c r="N2038" s="1" t="n">
        <v>58</v>
      </c>
      <c r="O2038" s="149" t="n">
        <v>10</v>
      </c>
    </row>
    <row r="2039" customFormat="false" ht="14.25" hidden="false" customHeight="false" outlineLevel="0" collapsed="false">
      <c r="A2039" s="1" t="n">
        <v>269</v>
      </c>
      <c r="B2039" s="1" t="s">
        <v>473</v>
      </c>
      <c r="C2039" s="143" t="n">
        <v>11490</v>
      </c>
      <c r="D2039" s="143" t="s">
        <v>65</v>
      </c>
      <c r="E2039" s="143" t="s">
        <v>479</v>
      </c>
      <c r="F2039" s="144" t="n">
        <v>200025888665</v>
      </c>
      <c r="G2039" s="144" t="s">
        <v>377</v>
      </c>
      <c r="H2039" s="144" t="n">
        <v>80</v>
      </c>
      <c r="I2039" s="144" t="s">
        <v>148</v>
      </c>
      <c r="J2039" s="151" t="n">
        <v>45056.9490625</v>
      </c>
      <c r="K2039" s="1" t="n">
        <v>5</v>
      </c>
      <c r="L2039" s="144" t="n">
        <v>80</v>
      </c>
      <c r="M2039" s="1" t="n">
        <v>58</v>
      </c>
      <c r="N2039" s="1" t="n">
        <v>58</v>
      </c>
      <c r="O2039" s="149" t="n">
        <v>11</v>
      </c>
    </row>
    <row r="2040" customFormat="false" ht="14.25" hidden="false" customHeight="false" outlineLevel="0" collapsed="false">
      <c r="A2040" s="1" t="n">
        <v>270</v>
      </c>
      <c r="B2040" s="1" t="s">
        <v>473</v>
      </c>
      <c r="C2040" s="143" t="n">
        <v>11490</v>
      </c>
      <c r="D2040" s="143" t="s">
        <v>65</v>
      </c>
      <c r="E2040" s="143" t="s">
        <v>479</v>
      </c>
      <c r="F2040" s="144" t="n">
        <v>200025888665</v>
      </c>
      <c r="G2040" s="144" t="s">
        <v>377</v>
      </c>
      <c r="H2040" s="144" t="n">
        <v>80</v>
      </c>
      <c r="I2040" s="144" t="s">
        <v>148</v>
      </c>
      <c r="J2040" s="151" t="n">
        <v>45056.9491319444</v>
      </c>
      <c r="K2040" s="1" t="n">
        <v>1</v>
      </c>
      <c r="L2040" s="144" t="n">
        <v>80</v>
      </c>
      <c r="M2040" s="1" t="n">
        <v>58</v>
      </c>
      <c r="N2040" s="1" t="n">
        <v>58</v>
      </c>
      <c r="O2040" s="149" t="n">
        <v>12</v>
      </c>
    </row>
    <row r="2041" customFormat="false" ht="14.25" hidden="false" customHeight="false" outlineLevel="0" collapsed="false">
      <c r="A2041" s="1" t="n">
        <v>279</v>
      </c>
      <c r="B2041" s="1" t="s">
        <v>473</v>
      </c>
      <c r="C2041" s="143" t="n">
        <v>11490</v>
      </c>
      <c r="D2041" s="143" t="s">
        <v>65</v>
      </c>
      <c r="E2041" s="143" t="s">
        <v>479</v>
      </c>
      <c r="F2041" s="144" t="n">
        <v>200025888665</v>
      </c>
      <c r="G2041" s="144" t="s">
        <v>377</v>
      </c>
      <c r="H2041" s="144" t="n">
        <v>80</v>
      </c>
      <c r="I2041" s="144" t="s">
        <v>148</v>
      </c>
      <c r="J2041" s="151" t="n">
        <v>45057.0498148148</v>
      </c>
      <c r="K2041" s="1" t="n">
        <v>2</v>
      </c>
      <c r="L2041" s="144" t="n">
        <v>80</v>
      </c>
      <c r="M2041" s="1" t="n">
        <v>58</v>
      </c>
      <c r="N2041" s="1" t="n">
        <v>58</v>
      </c>
      <c r="O2041" s="149" t="n">
        <v>13</v>
      </c>
    </row>
    <row r="2042" customFormat="false" ht="14.25" hidden="false" customHeight="false" outlineLevel="0" collapsed="false">
      <c r="A2042" s="1" t="n">
        <v>280</v>
      </c>
      <c r="B2042" s="1" t="s">
        <v>473</v>
      </c>
      <c r="C2042" s="143" t="n">
        <v>11490</v>
      </c>
      <c r="D2042" s="143" t="s">
        <v>65</v>
      </c>
      <c r="E2042" s="143" t="s">
        <v>479</v>
      </c>
      <c r="F2042" s="144" t="n">
        <v>200025888665</v>
      </c>
      <c r="G2042" s="144" t="s">
        <v>377</v>
      </c>
      <c r="H2042" s="144" t="n">
        <v>80</v>
      </c>
      <c r="I2042" s="144" t="s">
        <v>148</v>
      </c>
      <c r="J2042" s="151" t="n">
        <v>45057.0501388889</v>
      </c>
      <c r="K2042" s="156"/>
      <c r="L2042" s="144" t="n">
        <v>80</v>
      </c>
      <c r="M2042" s="1" t="n">
        <v>58</v>
      </c>
      <c r="N2042" s="1" t="n">
        <v>58</v>
      </c>
      <c r="O2042" s="149" t="n">
        <v>14</v>
      </c>
    </row>
    <row r="2043" customFormat="false" ht="14.25" hidden="false" customHeight="false" outlineLevel="0" collapsed="false">
      <c r="A2043" s="1" t="n">
        <v>313</v>
      </c>
      <c r="B2043" s="1" t="s">
        <v>473</v>
      </c>
      <c r="C2043" s="143" t="n">
        <v>11490</v>
      </c>
      <c r="D2043" s="143" t="s">
        <v>65</v>
      </c>
      <c r="E2043" s="143" t="s">
        <v>479</v>
      </c>
      <c r="F2043" s="144" t="n">
        <v>200025888665</v>
      </c>
      <c r="G2043" s="144" t="s">
        <v>377</v>
      </c>
      <c r="H2043" s="144" t="n">
        <v>80</v>
      </c>
      <c r="I2043" s="144" t="s">
        <v>148</v>
      </c>
      <c r="J2043" s="151" t="n">
        <v>45057.2694791667</v>
      </c>
      <c r="K2043" s="1" t="n">
        <v>1</v>
      </c>
      <c r="L2043" s="144" t="n">
        <v>80</v>
      </c>
      <c r="M2043" s="1" t="n">
        <v>58</v>
      </c>
      <c r="N2043" s="1" t="n">
        <v>58</v>
      </c>
      <c r="O2043" s="149" t="n">
        <v>15</v>
      </c>
    </row>
    <row r="2044" customFormat="false" ht="14.25" hidden="false" customHeight="false" outlineLevel="0" collapsed="false">
      <c r="A2044" s="1" t="n">
        <v>314</v>
      </c>
      <c r="B2044" s="1" t="s">
        <v>473</v>
      </c>
      <c r="C2044" s="143" t="n">
        <v>11490</v>
      </c>
      <c r="D2044" s="143" t="s">
        <v>65</v>
      </c>
      <c r="E2044" s="143" t="s">
        <v>479</v>
      </c>
      <c r="F2044" s="144" t="n">
        <v>200025888665</v>
      </c>
      <c r="G2044" s="144" t="s">
        <v>377</v>
      </c>
      <c r="H2044" s="144" t="n">
        <v>80</v>
      </c>
      <c r="I2044" s="144" t="s">
        <v>148</v>
      </c>
      <c r="J2044" s="151" t="n">
        <v>45057.2696412037</v>
      </c>
      <c r="K2044" s="1" t="n">
        <v>1</v>
      </c>
      <c r="L2044" s="144" t="n">
        <v>80</v>
      </c>
      <c r="M2044" s="1" t="n">
        <v>58</v>
      </c>
      <c r="N2044" s="1" t="n">
        <v>58</v>
      </c>
      <c r="O2044" s="149" t="n">
        <v>16</v>
      </c>
    </row>
    <row r="2045" customFormat="false" ht="14.25" hidden="false" customHeight="false" outlineLevel="0" collapsed="false">
      <c r="A2045" s="1" t="n">
        <v>228</v>
      </c>
      <c r="B2045" s="1" t="s">
        <v>473</v>
      </c>
      <c r="C2045" s="143" t="n">
        <v>11490</v>
      </c>
      <c r="D2045" s="143" t="s">
        <v>65</v>
      </c>
      <c r="E2045" s="143" t="s">
        <v>479</v>
      </c>
      <c r="F2045" s="144" t="n">
        <v>200025889220</v>
      </c>
      <c r="G2045" s="144" t="s">
        <v>371</v>
      </c>
      <c r="H2045" s="144" t="n">
        <v>67</v>
      </c>
      <c r="I2045" s="144" t="s">
        <v>148</v>
      </c>
      <c r="J2045" s="6" t="n">
        <v>45056.7995486111</v>
      </c>
      <c r="K2045" s="1" t="n">
        <v>3</v>
      </c>
      <c r="L2045" s="144" t="n">
        <v>67</v>
      </c>
      <c r="M2045" s="1" t="n">
        <v>59</v>
      </c>
      <c r="N2045" s="1" t="n">
        <v>59</v>
      </c>
      <c r="O2045" s="149" t="n">
        <v>1</v>
      </c>
    </row>
    <row r="2046" customFormat="false" ht="14.25" hidden="false" customHeight="false" outlineLevel="0" collapsed="false">
      <c r="A2046" s="1" t="n">
        <v>229</v>
      </c>
      <c r="B2046" s="1" t="s">
        <v>473</v>
      </c>
      <c r="C2046" s="143" t="n">
        <v>11490</v>
      </c>
      <c r="D2046" s="143" t="s">
        <v>65</v>
      </c>
      <c r="E2046" s="143" t="s">
        <v>479</v>
      </c>
      <c r="F2046" s="144" t="n">
        <v>200025889220</v>
      </c>
      <c r="G2046" s="144" t="s">
        <v>371</v>
      </c>
      <c r="H2046" s="144" t="n">
        <v>67</v>
      </c>
      <c r="I2046" s="144" t="s">
        <v>148</v>
      </c>
      <c r="J2046" s="6" t="n">
        <v>45056.7998148148</v>
      </c>
      <c r="K2046" s="1" t="n">
        <v>1</v>
      </c>
      <c r="L2046" s="144" t="n">
        <v>67</v>
      </c>
      <c r="M2046" s="1" t="n">
        <v>59</v>
      </c>
      <c r="N2046" s="1" t="n">
        <v>59</v>
      </c>
      <c r="O2046" s="149" t="n">
        <v>2</v>
      </c>
    </row>
    <row r="2047" customFormat="false" ht="14.25" hidden="false" customHeight="false" outlineLevel="0" collapsed="false">
      <c r="A2047" s="1" t="n">
        <v>245</v>
      </c>
      <c r="B2047" s="1" t="s">
        <v>473</v>
      </c>
      <c r="C2047" s="143" t="n">
        <v>11490</v>
      </c>
      <c r="D2047" s="143" t="s">
        <v>65</v>
      </c>
      <c r="E2047" s="143" t="s">
        <v>479</v>
      </c>
      <c r="F2047" s="144" t="n">
        <v>200025889220</v>
      </c>
      <c r="G2047" s="144" t="s">
        <v>371</v>
      </c>
      <c r="H2047" s="144" t="n">
        <v>67</v>
      </c>
      <c r="I2047" s="144" t="s">
        <v>148</v>
      </c>
      <c r="J2047" s="6" t="n">
        <v>45056.8679513889</v>
      </c>
      <c r="K2047" s="1" t="n">
        <v>2</v>
      </c>
      <c r="L2047" s="144" t="n">
        <v>67</v>
      </c>
      <c r="M2047" s="1" t="n">
        <v>59</v>
      </c>
      <c r="N2047" s="1" t="n">
        <v>59</v>
      </c>
      <c r="O2047" s="149" t="n">
        <v>3</v>
      </c>
    </row>
    <row r="2048" customFormat="false" ht="14.25" hidden="false" customHeight="false" outlineLevel="0" collapsed="false">
      <c r="A2048" s="1" t="n">
        <v>246</v>
      </c>
      <c r="B2048" s="1" t="s">
        <v>473</v>
      </c>
      <c r="C2048" s="143" t="n">
        <v>11490</v>
      </c>
      <c r="D2048" s="143" t="s">
        <v>65</v>
      </c>
      <c r="E2048" s="143" t="s">
        <v>479</v>
      </c>
      <c r="F2048" s="144" t="n">
        <v>200025889220</v>
      </c>
      <c r="G2048" s="144" t="s">
        <v>371</v>
      </c>
      <c r="H2048" s="144" t="n">
        <v>67</v>
      </c>
      <c r="I2048" s="144" t="s">
        <v>148</v>
      </c>
      <c r="J2048" s="6" t="n">
        <v>45056.8683333333</v>
      </c>
      <c r="K2048" s="1" t="n">
        <v>1</v>
      </c>
      <c r="L2048" s="144" t="n">
        <v>67</v>
      </c>
      <c r="M2048" s="1" t="n">
        <v>59</v>
      </c>
      <c r="N2048" s="1" t="n">
        <v>59</v>
      </c>
      <c r="O2048" s="149" t="n">
        <v>4</v>
      </c>
    </row>
    <row r="2049" customFormat="false" ht="14.25" hidden="false" customHeight="false" outlineLevel="0" collapsed="false">
      <c r="A2049" s="1" t="n">
        <v>291</v>
      </c>
      <c r="B2049" s="1" t="s">
        <v>473</v>
      </c>
      <c r="C2049" s="143" t="n">
        <v>11490</v>
      </c>
      <c r="D2049" s="143" t="s">
        <v>65</v>
      </c>
      <c r="E2049" s="143" t="s">
        <v>479</v>
      </c>
      <c r="F2049" s="144" t="n">
        <v>200025889220</v>
      </c>
      <c r="G2049" s="144" t="s">
        <v>371</v>
      </c>
      <c r="H2049" s="144" t="n">
        <v>67</v>
      </c>
      <c r="I2049" s="144" t="s">
        <v>148</v>
      </c>
      <c r="J2049" s="6" t="n">
        <v>45057.0833333333</v>
      </c>
      <c r="K2049" s="1" t="n">
        <v>1</v>
      </c>
      <c r="L2049" s="144" t="n">
        <v>67</v>
      </c>
      <c r="M2049" s="1" t="n">
        <v>59</v>
      </c>
      <c r="N2049" s="1" t="n">
        <v>59</v>
      </c>
      <c r="O2049" s="149" t="n">
        <v>5</v>
      </c>
    </row>
    <row r="2050" customFormat="false" ht="14.25" hidden="false" customHeight="false" outlineLevel="0" collapsed="false">
      <c r="A2050" s="1" t="n">
        <v>292</v>
      </c>
      <c r="B2050" s="1" t="s">
        <v>473</v>
      </c>
      <c r="C2050" s="143" t="n">
        <v>11490</v>
      </c>
      <c r="D2050" s="143" t="s">
        <v>65</v>
      </c>
      <c r="E2050" s="143" t="s">
        <v>479</v>
      </c>
      <c r="F2050" s="144" t="n">
        <v>200025889220</v>
      </c>
      <c r="G2050" s="144" t="s">
        <v>371</v>
      </c>
      <c r="H2050" s="144" t="n">
        <v>67</v>
      </c>
      <c r="I2050" s="144" t="s">
        <v>148</v>
      </c>
      <c r="J2050" s="6" t="n">
        <v>45057.1200925926</v>
      </c>
      <c r="K2050" s="1" t="n">
        <v>1</v>
      </c>
      <c r="L2050" s="144" t="n">
        <v>67</v>
      </c>
      <c r="M2050" s="1" t="n">
        <v>59</v>
      </c>
      <c r="N2050" s="1" t="n">
        <v>59</v>
      </c>
      <c r="O2050" s="149" t="n">
        <v>6</v>
      </c>
    </row>
    <row r="2051" customFormat="false" ht="14.25" hidden="false" customHeight="false" outlineLevel="0" collapsed="false">
      <c r="A2051" s="1" t="n">
        <v>293</v>
      </c>
      <c r="B2051" s="1" t="s">
        <v>473</v>
      </c>
      <c r="C2051" s="143" t="n">
        <v>11490</v>
      </c>
      <c r="D2051" s="143" t="s">
        <v>65</v>
      </c>
      <c r="E2051" s="143" t="s">
        <v>479</v>
      </c>
      <c r="F2051" s="144" t="n">
        <v>200025889220</v>
      </c>
      <c r="G2051" s="144" t="s">
        <v>371</v>
      </c>
      <c r="H2051" s="144" t="n">
        <v>67</v>
      </c>
      <c r="I2051" s="144" t="s">
        <v>148</v>
      </c>
      <c r="J2051" s="6" t="n">
        <v>45057.1202314815</v>
      </c>
      <c r="K2051" s="1" t="n">
        <v>5</v>
      </c>
      <c r="L2051" s="144" t="n">
        <v>67</v>
      </c>
      <c r="M2051" s="1" t="n">
        <v>59</v>
      </c>
      <c r="N2051" s="1" t="n">
        <v>59</v>
      </c>
      <c r="O2051" s="149" t="n">
        <v>7</v>
      </c>
    </row>
    <row r="2052" customFormat="false" ht="14.25" hidden="false" customHeight="false" outlineLevel="0" collapsed="false">
      <c r="A2052" s="1" t="n">
        <v>294</v>
      </c>
      <c r="B2052" s="1" t="s">
        <v>473</v>
      </c>
      <c r="C2052" s="143" t="n">
        <v>11490</v>
      </c>
      <c r="D2052" s="143" t="s">
        <v>65</v>
      </c>
      <c r="E2052" s="143" t="s">
        <v>479</v>
      </c>
      <c r="F2052" s="144" t="n">
        <v>200025889220</v>
      </c>
      <c r="G2052" s="144" t="s">
        <v>371</v>
      </c>
      <c r="H2052" s="144" t="n">
        <v>67</v>
      </c>
      <c r="I2052" s="144" t="s">
        <v>148</v>
      </c>
      <c r="J2052" s="6" t="n">
        <v>45057.120775463</v>
      </c>
      <c r="K2052" s="1" t="n">
        <v>1</v>
      </c>
      <c r="L2052" s="144" t="n">
        <v>67</v>
      </c>
      <c r="M2052" s="1" t="n">
        <v>59</v>
      </c>
      <c r="N2052" s="1" t="n">
        <v>59</v>
      </c>
      <c r="O2052" s="149" t="n">
        <v>8</v>
      </c>
    </row>
    <row r="2053" customFormat="false" ht="14.25" hidden="false" customHeight="false" outlineLevel="0" collapsed="false">
      <c r="A2053" s="1" t="n">
        <v>299</v>
      </c>
      <c r="B2053" s="1" t="s">
        <v>473</v>
      </c>
      <c r="C2053" s="143" t="n">
        <v>11490</v>
      </c>
      <c r="D2053" s="143" t="s">
        <v>65</v>
      </c>
      <c r="E2053" s="143" t="s">
        <v>479</v>
      </c>
      <c r="F2053" s="144" t="n">
        <v>200025889220</v>
      </c>
      <c r="G2053" s="144" t="s">
        <v>371</v>
      </c>
      <c r="H2053" s="144" t="n">
        <v>67</v>
      </c>
      <c r="I2053" s="144" t="s">
        <v>148</v>
      </c>
      <c r="J2053" s="6" t="n">
        <v>45057.2020833333</v>
      </c>
      <c r="K2053" s="1" t="n">
        <v>1</v>
      </c>
      <c r="L2053" s="144" t="n">
        <v>67</v>
      </c>
      <c r="M2053" s="1" t="n">
        <v>59</v>
      </c>
      <c r="N2053" s="1" t="n">
        <v>59</v>
      </c>
      <c r="O2053" s="149" t="n">
        <v>9</v>
      </c>
    </row>
    <row r="2054" customFormat="false" ht="14.25" hidden="false" customHeight="false" outlineLevel="0" collapsed="false">
      <c r="A2054" s="1" t="n">
        <v>300</v>
      </c>
      <c r="B2054" s="1" t="s">
        <v>473</v>
      </c>
      <c r="C2054" s="143" t="n">
        <v>11490</v>
      </c>
      <c r="D2054" s="143" t="s">
        <v>65</v>
      </c>
      <c r="E2054" s="143" t="s">
        <v>479</v>
      </c>
      <c r="F2054" s="144" t="n">
        <v>200025889220</v>
      </c>
      <c r="G2054" s="144" t="s">
        <v>371</v>
      </c>
      <c r="H2054" s="144" t="n">
        <v>67</v>
      </c>
      <c r="I2054" s="144" t="s">
        <v>148</v>
      </c>
      <c r="J2054" s="6" t="n">
        <v>45057.2021759259</v>
      </c>
      <c r="K2054" s="156"/>
      <c r="L2054" s="144" t="n">
        <v>67</v>
      </c>
      <c r="M2054" s="1" t="n">
        <v>59</v>
      </c>
      <c r="N2054" s="1" t="n">
        <v>59</v>
      </c>
      <c r="O2054" s="149" t="n">
        <v>10</v>
      </c>
    </row>
    <row r="2055" customFormat="false" ht="14.25" hidden="false" customHeight="false" outlineLevel="0" collapsed="false">
      <c r="A2055" s="1" t="n">
        <v>301</v>
      </c>
      <c r="B2055" s="1" t="s">
        <v>473</v>
      </c>
      <c r="C2055" s="143" t="n">
        <v>11490</v>
      </c>
      <c r="D2055" s="143" t="s">
        <v>65</v>
      </c>
      <c r="E2055" s="143" t="s">
        <v>479</v>
      </c>
      <c r="F2055" s="144" t="n">
        <v>200025889220</v>
      </c>
      <c r="G2055" s="144" t="s">
        <v>371</v>
      </c>
      <c r="H2055" s="144" t="n">
        <v>67</v>
      </c>
      <c r="I2055" s="144" t="s">
        <v>148</v>
      </c>
      <c r="J2055" s="6" t="n">
        <v>45057.2027199074</v>
      </c>
      <c r="K2055" s="1" t="n">
        <v>1</v>
      </c>
      <c r="L2055" s="144" t="n">
        <v>67</v>
      </c>
      <c r="M2055" s="1" t="n">
        <v>59</v>
      </c>
      <c r="N2055" s="1" t="n">
        <v>59</v>
      </c>
      <c r="O2055" s="149" t="n">
        <v>11</v>
      </c>
    </row>
    <row r="2056" customFormat="false" ht="14.25" hidden="false" customHeight="false" outlineLevel="0" collapsed="false">
      <c r="A2056" s="1" t="n">
        <v>302</v>
      </c>
      <c r="B2056" s="1" t="s">
        <v>473</v>
      </c>
      <c r="C2056" s="143" t="n">
        <v>11490</v>
      </c>
      <c r="D2056" s="143" t="s">
        <v>65</v>
      </c>
      <c r="E2056" s="143" t="s">
        <v>479</v>
      </c>
      <c r="F2056" s="144" t="n">
        <v>200025889220</v>
      </c>
      <c r="G2056" s="144" t="s">
        <v>371</v>
      </c>
      <c r="H2056" s="144" t="n">
        <v>67</v>
      </c>
      <c r="I2056" s="144" t="s">
        <v>148</v>
      </c>
      <c r="J2056" s="6" t="n">
        <v>45057.2027893519</v>
      </c>
      <c r="K2056" s="1" t="n">
        <v>1</v>
      </c>
      <c r="L2056" s="144" t="n">
        <v>67</v>
      </c>
      <c r="M2056" s="1" t="n">
        <v>59</v>
      </c>
      <c r="N2056" s="1" t="n">
        <v>59</v>
      </c>
      <c r="O2056" s="149" t="n">
        <v>12</v>
      </c>
    </row>
    <row r="2057" customFormat="false" ht="14.25" hidden="false" customHeight="false" outlineLevel="0" collapsed="false">
      <c r="A2057" s="1" t="n">
        <v>303</v>
      </c>
      <c r="B2057" s="1" t="s">
        <v>473</v>
      </c>
      <c r="C2057" s="143" t="n">
        <v>11490</v>
      </c>
      <c r="D2057" s="143" t="s">
        <v>65</v>
      </c>
      <c r="E2057" s="143" t="s">
        <v>479</v>
      </c>
      <c r="F2057" s="144" t="n">
        <v>200025889220</v>
      </c>
      <c r="G2057" s="144" t="s">
        <v>371</v>
      </c>
      <c r="H2057" s="144" t="n">
        <v>67</v>
      </c>
      <c r="I2057" s="144" t="s">
        <v>148</v>
      </c>
      <c r="J2057" s="6" t="n">
        <v>45057.2049189815</v>
      </c>
      <c r="K2057" s="1" t="n">
        <v>3</v>
      </c>
      <c r="L2057" s="144" t="n">
        <v>67</v>
      </c>
      <c r="M2057" s="1" t="n">
        <v>59</v>
      </c>
      <c r="N2057" s="1" t="n">
        <v>59</v>
      </c>
      <c r="O2057" s="149" t="n">
        <v>13</v>
      </c>
    </row>
    <row r="2058" customFormat="false" ht="14.25" hidden="false" customHeight="false" outlineLevel="0" collapsed="false">
      <c r="A2058" s="1" t="n">
        <v>178</v>
      </c>
      <c r="B2058" s="1" t="s">
        <v>475</v>
      </c>
      <c r="C2058" s="143" t="s">
        <v>52</v>
      </c>
      <c r="D2058" s="143" t="s">
        <v>53</v>
      </c>
      <c r="E2058" s="143" t="s">
        <v>479</v>
      </c>
      <c r="F2058" s="144" t="n">
        <v>200025889220</v>
      </c>
      <c r="G2058" s="144" t="s">
        <v>371</v>
      </c>
      <c r="H2058" s="144" t="n">
        <v>67</v>
      </c>
      <c r="I2058" s="144" t="s">
        <v>148</v>
      </c>
      <c r="J2058" s="151" t="n">
        <v>45057.224837963</v>
      </c>
      <c r="K2058" s="1" t="n">
        <v>1</v>
      </c>
      <c r="L2058" s="144" t="n">
        <v>67</v>
      </c>
      <c r="M2058" s="1" t="n">
        <v>59</v>
      </c>
      <c r="N2058" s="1" t="n">
        <v>59</v>
      </c>
      <c r="O2058" s="149" t="n">
        <v>14</v>
      </c>
    </row>
    <row r="2059" customFormat="false" ht="14.25" hidden="false" customHeight="false" outlineLevel="0" collapsed="false">
      <c r="A2059" s="1" t="n">
        <v>41</v>
      </c>
      <c r="B2059" s="1" t="s">
        <v>490</v>
      </c>
      <c r="C2059" s="143" t="n">
        <v>11171</v>
      </c>
      <c r="D2059" s="143" t="s">
        <v>74</v>
      </c>
      <c r="E2059" s="143" t="s">
        <v>479</v>
      </c>
      <c r="F2059" s="144" t="n">
        <v>200025889220</v>
      </c>
      <c r="G2059" s="144" t="s">
        <v>371</v>
      </c>
      <c r="H2059" s="144" t="n">
        <v>67</v>
      </c>
      <c r="I2059" s="144" t="s">
        <v>148</v>
      </c>
      <c r="J2059" s="6" t="n">
        <v>45072.6659606482</v>
      </c>
      <c r="K2059" s="1" t="n">
        <v>2</v>
      </c>
      <c r="L2059" s="144" t="n">
        <v>67</v>
      </c>
      <c r="M2059" s="1" t="n">
        <v>59</v>
      </c>
      <c r="N2059" s="1" t="n">
        <v>59</v>
      </c>
      <c r="O2059" s="149" t="n">
        <v>15</v>
      </c>
    </row>
    <row r="2060" customFormat="false" ht="14.25" hidden="false" customHeight="false" outlineLevel="0" collapsed="false">
      <c r="A2060" s="1" t="n">
        <v>249</v>
      </c>
      <c r="B2060" s="1" t="s">
        <v>473</v>
      </c>
      <c r="C2060" s="143" t="n">
        <v>11490</v>
      </c>
      <c r="D2060" s="143" t="s">
        <v>65</v>
      </c>
      <c r="E2060" s="143" t="s">
        <v>479</v>
      </c>
      <c r="F2060" s="144" t="n">
        <v>200025888272</v>
      </c>
      <c r="G2060" s="144" t="s">
        <v>190</v>
      </c>
      <c r="H2060" s="144" t="n">
        <v>9</v>
      </c>
      <c r="I2060" s="144" t="s">
        <v>148</v>
      </c>
      <c r="J2060" s="151" t="n">
        <v>45056.8946527778</v>
      </c>
      <c r="K2060" s="1" t="n">
        <v>1</v>
      </c>
      <c r="L2060" s="144" t="n">
        <v>9</v>
      </c>
      <c r="M2060" s="1" t="n">
        <v>60</v>
      </c>
      <c r="N2060" s="1" t="n">
        <v>60</v>
      </c>
      <c r="O2060" s="149" t="n">
        <v>1</v>
      </c>
    </row>
    <row r="2061" customFormat="false" ht="14.25" hidden="false" customHeight="false" outlineLevel="0" collapsed="false">
      <c r="A2061" s="1" t="n">
        <v>250</v>
      </c>
      <c r="B2061" s="1" t="s">
        <v>473</v>
      </c>
      <c r="C2061" s="143" t="n">
        <v>11490</v>
      </c>
      <c r="D2061" s="143" t="s">
        <v>65</v>
      </c>
      <c r="E2061" s="143" t="s">
        <v>479</v>
      </c>
      <c r="F2061" s="144" t="n">
        <v>200025888272</v>
      </c>
      <c r="G2061" s="144" t="s">
        <v>190</v>
      </c>
      <c r="H2061" s="144" t="n">
        <v>9</v>
      </c>
      <c r="I2061" s="144" t="s">
        <v>148</v>
      </c>
      <c r="J2061" s="151" t="n">
        <v>45056.8946643519</v>
      </c>
      <c r="K2061" s="1" t="n">
        <v>1</v>
      </c>
      <c r="L2061" s="144" t="n">
        <v>9</v>
      </c>
      <c r="M2061" s="1" t="n">
        <v>60</v>
      </c>
      <c r="N2061" s="1" t="n">
        <v>60</v>
      </c>
      <c r="O2061" s="149" t="n">
        <v>2</v>
      </c>
    </row>
    <row r="2062" customFormat="false" ht="14.25" hidden="false" customHeight="false" outlineLevel="0" collapsed="false">
      <c r="A2062" s="1" t="n">
        <v>295</v>
      </c>
      <c r="B2062" s="1" t="s">
        <v>473</v>
      </c>
      <c r="C2062" s="143" t="n">
        <v>11490</v>
      </c>
      <c r="D2062" s="143" t="s">
        <v>65</v>
      </c>
      <c r="E2062" s="143" t="s">
        <v>479</v>
      </c>
      <c r="F2062" s="144" t="n">
        <v>200025888272</v>
      </c>
      <c r="G2062" s="144" t="s">
        <v>190</v>
      </c>
      <c r="H2062" s="144" t="n">
        <v>9</v>
      </c>
      <c r="I2062" s="144" t="s">
        <v>148</v>
      </c>
      <c r="J2062" s="151" t="n">
        <v>45057.1400231481</v>
      </c>
      <c r="K2062" s="1" t="n">
        <v>2</v>
      </c>
      <c r="L2062" s="144" t="n">
        <v>9</v>
      </c>
      <c r="M2062" s="1" t="n">
        <v>60</v>
      </c>
      <c r="N2062" s="1" t="n">
        <v>60</v>
      </c>
      <c r="O2062" s="149" t="n">
        <v>3</v>
      </c>
    </row>
    <row r="2063" customFormat="false" ht="14.25" hidden="false" customHeight="false" outlineLevel="0" collapsed="false">
      <c r="A2063" s="1" t="n">
        <v>79</v>
      </c>
      <c r="B2063" s="1" t="s">
        <v>490</v>
      </c>
      <c r="C2063" s="143" t="n">
        <v>11171</v>
      </c>
      <c r="D2063" s="143" t="s">
        <v>74</v>
      </c>
      <c r="E2063" s="143" t="s">
        <v>479</v>
      </c>
      <c r="F2063" s="144" t="n">
        <v>200025888272</v>
      </c>
      <c r="G2063" s="144" t="s">
        <v>190</v>
      </c>
      <c r="H2063" s="144" t="n">
        <v>9</v>
      </c>
      <c r="I2063" s="144" t="s">
        <v>148</v>
      </c>
      <c r="J2063" s="151" t="n">
        <v>45073.6861689815</v>
      </c>
      <c r="K2063" s="1" t="n">
        <v>2</v>
      </c>
      <c r="L2063" s="144" t="n">
        <v>9</v>
      </c>
      <c r="M2063" s="1" t="n">
        <v>60</v>
      </c>
      <c r="N2063" s="1" t="n">
        <v>60</v>
      </c>
      <c r="O2063" s="149" t="n">
        <v>4</v>
      </c>
    </row>
    <row r="2064" customFormat="false" ht="14.25" hidden="false" customHeight="false" outlineLevel="0" collapsed="false">
      <c r="A2064" s="1" t="n">
        <v>80</v>
      </c>
      <c r="B2064" s="1" t="s">
        <v>490</v>
      </c>
      <c r="C2064" s="143" t="n">
        <v>11171</v>
      </c>
      <c r="D2064" s="143" t="s">
        <v>74</v>
      </c>
      <c r="E2064" s="143" t="s">
        <v>479</v>
      </c>
      <c r="F2064" s="144" t="n">
        <v>200025888272</v>
      </c>
      <c r="G2064" s="144" t="s">
        <v>190</v>
      </c>
      <c r="H2064" s="144" t="n">
        <v>9</v>
      </c>
      <c r="I2064" s="144" t="s">
        <v>148</v>
      </c>
      <c r="J2064" s="151" t="n">
        <v>45073.6864583333</v>
      </c>
      <c r="K2064" s="1" t="n">
        <v>3</v>
      </c>
      <c r="L2064" s="144" t="n">
        <v>9</v>
      </c>
      <c r="M2064" s="1" t="n">
        <v>60</v>
      </c>
      <c r="N2064" s="1" t="n">
        <v>60</v>
      </c>
      <c r="O2064" s="149" t="n">
        <v>5</v>
      </c>
    </row>
    <row r="2065" customFormat="false" ht="14.25" hidden="false" customHeight="false" outlineLevel="0" collapsed="false">
      <c r="A2065" s="1" t="n">
        <v>87</v>
      </c>
      <c r="B2065" s="1" t="s">
        <v>490</v>
      </c>
      <c r="C2065" s="143" t="n">
        <v>11171</v>
      </c>
      <c r="D2065" s="143" t="s">
        <v>74</v>
      </c>
      <c r="E2065" s="143" t="s">
        <v>479</v>
      </c>
      <c r="F2065" s="144" t="n">
        <v>200025888272</v>
      </c>
      <c r="G2065" s="144" t="s">
        <v>190</v>
      </c>
      <c r="H2065" s="144" t="n">
        <v>9</v>
      </c>
      <c r="I2065" s="144" t="s">
        <v>148</v>
      </c>
      <c r="J2065" s="151" t="n">
        <v>45073.7576736111</v>
      </c>
      <c r="K2065" s="1" t="n">
        <v>2</v>
      </c>
      <c r="L2065" s="144" t="n">
        <v>9</v>
      </c>
      <c r="M2065" s="1" t="n">
        <v>60</v>
      </c>
      <c r="N2065" s="1" t="n">
        <v>60</v>
      </c>
      <c r="O2065" s="149" t="n">
        <v>6</v>
      </c>
    </row>
    <row r="2066" customFormat="false" ht="14.25" hidden="false" customHeight="false" outlineLevel="0" collapsed="false">
      <c r="A2066" s="1" t="n">
        <v>88</v>
      </c>
      <c r="B2066" s="1" t="s">
        <v>490</v>
      </c>
      <c r="C2066" s="143" t="n">
        <v>11171</v>
      </c>
      <c r="D2066" s="143" t="s">
        <v>74</v>
      </c>
      <c r="E2066" s="143" t="s">
        <v>479</v>
      </c>
      <c r="F2066" s="144" t="n">
        <v>200025888272</v>
      </c>
      <c r="G2066" s="144" t="s">
        <v>190</v>
      </c>
      <c r="H2066" s="144" t="n">
        <v>9</v>
      </c>
      <c r="I2066" s="144" t="s">
        <v>148</v>
      </c>
      <c r="J2066" s="151" t="n">
        <v>45073.7578587963</v>
      </c>
      <c r="K2066" s="1" t="n">
        <v>3</v>
      </c>
      <c r="L2066" s="144" t="n">
        <v>9</v>
      </c>
      <c r="M2066" s="1" t="n">
        <v>60</v>
      </c>
      <c r="N2066" s="1" t="n">
        <v>60</v>
      </c>
      <c r="O2066" s="149" t="n">
        <v>7</v>
      </c>
    </row>
    <row r="2067" customFormat="false" ht="14.25" hidden="false" customHeight="false" outlineLevel="0" collapsed="false">
      <c r="A2067" s="1" t="n">
        <v>89</v>
      </c>
      <c r="B2067" s="1" t="s">
        <v>490</v>
      </c>
      <c r="C2067" s="143" t="n">
        <v>11171</v>
      </c>
      <c r="D2067" s="143" t="s">
        <v>74</v>
      </c>
      <c r="E2067" s="143" t="s">
        <v>479</v>
      </c>
      <c r="F2067" s="144" t="n">
        <v>200025888272</v>
      </c>
      <c r="G2067" s="144" t="s">
        <v>190</v>
      </c>
      <c r="H2067" s="144" t="n">
        <v>9</v>
      </c>
      <c r="I2067" s="144" t="s">
        <v>148</v>
      </c>
      <c r="J2067" s="151" t="n">
        <v>45073.7584259259</v>
      </c>
      <c r="K2067" s="1" t="n">
        <v>1</v>
      </c>
      <c r="L2067" s="144" t="n">
        <v>9</v>
      </c>
      <c r="M2067" s="1" t="n">
        <v>60</v>
      </c>
      <c r="N2067" s="1" t="n">
        <v>60</v>
      </c>
      <c r="O2067" s="149" t="n">
        <v>8</v>
      </c>
    </row>
    <row r="2068" customFormat="false" ht="14.25" hidden="false" customHeight="false" outlineLevel="0" collapsed="false">
      <c r="A2068" s="1" t="n">
        <v>165</v>
      </c>
      <c r="B2068" s="1" t="s">
        <v>478</v>
      </c>
      <c r="C2068" s="143" t="n">
        <v>21265</v>
      </c>
      <c r="D2068" s="143" t="s">
        <v>76</v>
      </c>
      <c r="E2068" s="143" t="s">
        <v>479</v>
      </c>
      <c r="F2068" s="144" t="n">
        <v>200025888272</v>
      </c>
      <c r="G2068" s="144" t="s">
        <v>190</v>
      </c>
      <c r="H2068" s="144" t="n">
        <v>9</v>
      </c>
      <c r="I2068" s="144" t="s">
        <v>148</v>
      </c>
      <c r="J2068" s="151" t="n">
        <v>45073.8515393519</v>
      </c>
      <c r="K2068" s="1" t="n">
        <v>2</v>
      </c>
      <c r="L2068" s="144" t="n">
        <v>9</v>
      </c>
      <c r="M2068" s="1" t="n">
        <v>60</v>
      </c>
      <c r="N2068" s="1" t="n">
        <v>60</v>
      </c>
      <c r="O2068" s="149" t="n">
        <v>9</v>
      </c>
    </row>
    <row r="2069" customFormat="false" ht="14.25" hidden="false" customHeight="false" outlineLevel="0" collapsed="false">
      <c r="A2069" s="1" t="n">
        <v>170</v>
      </c>
      <c r="B2069" s="1" t="s">
        <v>478</v>
      </c>
      <c r="C2069" s="143" t="n">
        <v>21265</v>
      </c>
      <c r="D2069" s="143" t="s">
        <v>76</v>
      </c>
      <c r="E2069" s="143" t="s">
        <v>479</v>
      </c>
      <c r="F2069" s="144" t="n">
        <v>200025888272</v>
      </c>
      <c r="G2069" s="144" t="s">
        <v>190</v>
      </c>
      <c r="H2069" s="144" t="n">
        <v>9</v>
      </c>
      <c r="I2069" s="144" t="s">
        <v>148</v>
      </c>
      <c r="J2069" s="151" t="n">
        <v>45073.8912037037</v>
      </c>
      <c r="K2069" s="1" t="n">
        <v>2</v>
      </c>
      <c r="L2069" s="144" t="n">
        <v>9</v>
      </c>
      <c r="M2069" s="1" t="n">
        <v>60</v>
      </c>
      <c r="N2069" s="1" t="n">
        <v>60</v>
      </c>
      <c r="O2069" s="149" t="n">
        <v>10</v>
      </c>
    </row>
    <row r="2070" customFormat="false" ht="14.25" hidden="false" customHeight="false" outlineLevel="0" collapsed="false">
      <c r="A2070" s="1" t="n">
        <v>174</v>
      </c>
      <c r="B2070" s="1" t="s">
        <v>478</v>
      </c>
      <c r="C2070" s="143" t="n">
        <v>21265</v>
      </c>
      <c r="D2070" s="143" t="s">
        <v>76</v>
      </c>
      <c r="E2070" s="143" t="s">
        <v>479</v>
      </c>
      <c r="F2070" s="144" t="n">
        <v>200025888272</v>
      </c>
      <c r="G2070" s="144" t="s">
        <v>190</v>
      </c>
      <c r="H2070" s="144" t="n">
        <v>9</v>
      </c>
      <c r="I2070" s="144" t="s">
        <v>148</v>
      </c>
      <c r="J2070" s="151" t="n">
        <v>45073.9365046296</v>
      </c>
      <c r="K2070" s="1" t="n">
        <v>1</v>
      </c>
      <c r="L2070" s="144" t="n">
        <v>9</v>
      </c>
      <c r="M2070" s="1" t="n">
        <v>60</v>
      </c>
      <c r="N2070" s="1" t="n">
        <v>60</v>
      </c>
      <c r="O2070" s="149" t="n">
        <v>11</v>
      </c>
    </row>
    <row r="2071" customFormat="false" ht="14.25" hidden="false" customHeight="false" outlineLevel="0" collapsed="false">
      <c r="A2071" s="1" t="n">
        <v>175</v>
      </c>
      <c r="B2071" s="1" t="s">
        <v>478</v>
      </c>
      <c r="C2071" s="143" t="n">
        <v>21265</v>
      </c>
      <c r="D2071" s="143" t="s">
        <v>76</v>
      </c>
      <c r="E2071" s="143" t="s">
        <v>479</v>
      </c>
      <c r="F2071" s="144" t="n">
        <v>200025888272</v>
      </c>
      <c r="G2071" s="144" t="s">
        <v>190</v>
      </c>
      <c r="H2071" s="144" t="n">
        <v>9</v>
      </c>
      <c r="I2071" s="144" t="s">
        <v>148</v>
      </c>
      <c r="J2071" s="151" t="n">
        <v>45073.9365393519</v>
      </c>
      <c r="K2071" s="1" t="n">
        <v>0</v>
      </c>
      <c r="L2071" s="144" t="n">
        <v>9</v>
      </c>
      <c r="M2071" s="1" t="n">
        <v>60</v>
      </c>
      <c r="N2071" s="1" t="n">
        <v>60</v>
      </c>
      <c r="O2071" s="149" t="n">
        <v>12</v>
      </c>
    </row>
    <row r="2072" customFormat="false" ht="14.25" hidden="false" customHeight="false" outlineLevel="0" collapsed="false">
      <c r="A2072" s="1" t="n">
        <v>110</v>
      </c>
      <c r="B2072" s="1" t="s">
        <v>490</v>
      </c>
      <c r="C2072" s="143" t="n">
        <v>11171</v>
      </c>
      <c r="D2072" s="143" t="s">
        <v>74</v>
      </c>
      <c r="E2072" s="143" t="s">
        <v>479</v>
      </c>
      <c r="F2072" s="144" t="n">
        <v>200025888272</v>
      </c>
      <c r="G2072" s="144" t="s">
        <v>190</v>
      </c>
      <c r="H2072" s="144" t="n">
        <v>9</v>
      </c>
      <c r="I2072" s="144" t="s">
        <v>148</v>
      </c>
      <c r="J2072" s="151" t="n">
        <v>45073.9787615741</v>
      </c>
      <c r="K2072" s="1" t="n">
        <v>0</v>
      </c>
      <c r="L2072" s="144" t="n">
        <v>9</v>
      </c>
      <c r="M2072" s="1" t="n">
        <v>60</v>
      </c>
      <c r="N2072" s="1" t="n">
        <v>60</v>
      </c>
      <c r="O2072" s="149" t="n">
        <v>13</v>
      </c>
    </row>
    <row r="2073" customFormat="false" ht="14.25" hidden="false" customHeight="false" outlineLevel="0" collapsed="false">
      <c r="A2073" s="1" t="n">
        <v>183</v>
      </c>
      <c r="B2073" s="1" t="s">
        <v>478</v>
      </c>
      <c r="C2073" s="143" t="n">
        <v>21265</v>
      </c>
      <c r="D2073" s="143" t="s">
        <v>76</v>
      </c>
      <c r="E2073" s="143" t="s">
        <v>479</v>
      </c>
      <c r="F2073" s="144" t="n">
        <v>200025888272</v>
      </c>
      <c r="G2073" s="144" t="s">
        <v>190</v>
      </c>
      <c r="H2073" s="144" t="n">
        <v>9</v>
      </c>
      <c r="I2073" s="144" t="s">
        <v>148</v>
      </c>
      <c r="J2073" s="151" t="n">
        <v>45073.9803125</v>
      </c>
      <c r="K2073" s="1" t="n">
        <v>1</v>
      </c>
      <c r="L2073" s="144" t="n">
        <v>9</v>
      </c>
      <c r="M2073" s="1" t="n">
        <v>60</v>
      </c>
      <c r="N2073" s="1" t="n">
        <v>60</v>
      </c>
      <c r="O2073" s="149" t="n">
        <v>14</v>
      </c>
    </row>
    <row r="2074" customFormat="false" ht="14.25" hidden="false" customHeight="false" outlineLevel="0" collapsed="false">
      <c r="A2074" s="1" t="n">
        <v>184</v>
      </c>
      <c r="B2074" s="1" t="s">
        <v>478</v>
      </c>
      <c r="C2074" s="143" t="n">
        <v>21265</v>
      </c>
      <c r="D2074" s="143" t="s">
        <v>76</v>
      </c>
      <c r="E2074" s="143" t="s">
        <v>479</v>
      </c>
      <c r="F2074" s="144" t="n">
        <v>200025888272</v>
      </c>
      <c r="G2074" s="144" t="s">
        <v>190</v>
      </c>
      <c r="H2074" s="144" t="n">
        <v>9</v>
      </c>
      <c r="I2074" s="144" t="s">
        <v>148</v>
      </c>
      <c r="J2074" s="151" t="n">
        <v>45073.980787037</v>
      </c>
      <c r="K2074" s="1" t="n">
        <v>5</v>
      </c>
      <c r="L2074" s="144" t="n">
        <v>9</v>
      </c>
      <c r="M2074" s="1" t="n">
        <v>60</v>
      </c>
      <c r="N2074" s="1" t="n">
        <v>60</v>
      </c>
      <c r="O2074" s="149" t="n">
        <v>15</v>
      </c>
    </row>
    <row r="2075" customFormat="false" ht="14.25" hidden="false" customHeight="false" outlineLevel="0" collapsed="false">
      <c r="A2075" s="1" t="n">
        <v>185</v>
      </c>
      <c r="B2075" s="1" t="s">
        <v>478</v>
      </c>
      <c r="C2075" s="143" t="n">
        <v>21265</v>
      </c>
      <c r="D2075" s="143" t="s">
        <v>76</v>
      </c>
      <c r="E2075" s="143" t="s">
        <v>479</v>
      </c>
      <c r="F2075" s="144" t="n">
        <v>200025888272</v>
      </c>
      <c r="G2075" s="144" t="s">
        <v>190</v>
      </c>
      <c r="H2075" s="144" t="n">
        <v>9</v>
      </c>
      <c r="I2075" s="144" t="s">
        <v>148</v>
      </c>
      <c r="J2075" s="151" t="n">
        <v>45073.9930787037</v>
      </c>
      <c r="K2075" s="1" t="n">
        <v>6</v>
      </c>
      <c r="L2075" s="144" t="n">
        <v>9</v>
      </c>
      <c r="M2075" s="1" t="n">
        <v>60</v>
      </c>
      <c r="N2075" s="1" t="n">
        <v>60</v>
      </c>
      <c r="O2075" s="149" t="n">
        <v>16</v>
      </c>
    </row>
    <row r="2076" customFormat="false" ht="14.25" hidden="false" customHeight="false" outlineLevel="0" collapsed="false">
      <c r="A2076" s="1" t="n">
        <v>186</v>
      </c>
      <c r="B2076" s="1" t="s">
        <v>478</v>
      </c>
      <c r="C2076" s="143" t="n">
        <v>21265</v>
      </c>
      <c r="D2076" s="143" t="s">
        <v>76</v>
      </c>
      <c r="E2076" s="143" t="s">
        <v>479</v>
      </c>
      <c r="F2076" s="144" t="n">
        <v>200025888272</v>
      </c>
      <c r="G2076" s="144" t="s">
        <v>190</v>
      </c>
      <c r="H2076" s="144" t="n">
        <v>9</v>
      </c>
      <c r="I2076" s="144" t="s">
        <v>148</v>
      </c>
      <c r="J2076" s="151" t="n">
        <v>45073.9940625</v>
      </c>
      <c r="K2076" s="1" t="n">
        <v>1</v>
      </c>
      <c r="L2076" s="144" t="n">
        <v>9</v>
      </c>
      <c r="M2076" s="1" t="n">
        <v>60</v>
      </c>
      <c r="N2076" s="1" t="n">
        <v>60</v>
      </c>
      <c r="O2076" s="149" t="n">
        <v>17</v>
      </c>
    </row>
    <row r="2077" customFormat="false" ht="14.25" hidden="false" customHeight="false" outlineLevel="0" collapsed="false">
      <c r="A2077" s="1" t="n">
        <v>187</v>
      </c>
      <c r="B2077" s="1" t="s">
        <v>478</v>
      </c>
      <c r="C2077" s="143" t="n">
        <v>21265</v>
      </c>
      <c r="D2077" s="143" t="s">
        <v>76</v>
      </c>
      <c r="E2077" s="143" t="s">
        <v>479</v>
      </c>
      <c r="F2077" s="144" t="n">
        <v>200025888272</v>
      </c>
      <c r="G2077" s="144" t="s">
        <v>190</v>
      </c>
      <c r="H2077" s="144" t="n">
        <v>9</v>
      </c>
      <c r="I2077" s="144" t="s">
        <v>148</v>
      </c>
      <c r="J2077" s="151" t="n">
        <v>45073.9977083333</v>
      </c>
      <c r="K2077" s="1" t="n">
        <v>2</v>
      </c>
      <c r="L2077" s="144" t="n">
        <v>9</v>
      </c>
      <c r="M2077" s="1" t="n">
        <v>60</v>
      </c>
      <c r="N2077" s="1" t="n">
        <v>60</v>
      </c>
      <c r="O2077" s="149" t="n">
        <v>18</v>
      </c>
    </row>
    <row r="2078" customFormat="false" ht="14.25" hidden="false" customHeight="false" outlineLevel="0" collapsed="false">
      <c r="A2078" s="1" t="n">
        <v>188</v>
      </c>
      <c r="B2078" s="1" t="s">
        <v>478</v>
      </c>
      <c r="C2078" s="143" t="n">
        <v>21265</v>
      </c>
      <c r="D2078" s="143" t="s">
        <v>76</v>
      </c>
      <c r="E2078" s="143" t="s">
        <v>479</v>
      </c>
      <c r="F2078" s="144" t="n">
        <v>200025888272</v>
      </c>
      <c r="G2078" s="144" t="s">
        <v>190</v>
      </c>
      <c r="H2078" s="144" t="n">
        <v>9</v>
      </c>
      <c r="I2078" s="144" t="s">
        <v>148</v>
      </c>
      <c r="J2078" s="151" t="n">
        <v>45073.9980439815</v>
      </c>
      <c r="K2078" s="1" t="n">
        <v>2</v>
      </c>
      <c r="L2078" s="144" t="n">
        <v>9</v>
      </c>
      <c r="M2078" s="1" t="n">
        <v>60</v>
      </c>
      <c r="N2078" s="1" t="n">
        <v>60</v>
      </c>
      <c r="O2078" s="149" t="n">
        <v>19</v>
      </c>
    </row>
    <row r="2079" customFormat="false" ht="14.25" hidden="false" customHeight="false" outlineLevel="0" collapsed="false">
      <c r="A2079" s="1" t="n">
        <v>189</v>
      </c>
      <c r="B2079" s="1" t="s">
        <v>478</v>
      </c>
      <c r="C2079" s="143" t="n">
        <v>21265</v>
      </c>
      <c r="D2079" s="143" t="s">
        <v>76</v>
      </c>
      <c r="E2079" s="143" t="s">
        <v>479</v>
      </c>
      <c r="F2079" s="144" t="n">
        <v>200025888272</v>
      </c>
      <c r="G2079" s="144" t="s">
        <v>190</v>
      </c>
      <c r="H2079" s="144" t="n">
        <v>9</v>
      </c>
      <c r="I2079" s="144" t="s">
        <v>148</v>
      </c>
      <c r="J2079" s="151" t="n">
        <v>45073.9986226852</v>
      </c>
      <c r="K2079" s="1" t="n">
        <v>2</v>
      </c>
      <c r="L2079" s="144" t="n">
        <v>9</v>
      </c>
      <c r="M2079" s="1" t="n">
        <v>60</v>
      </c>
      <c r="N2079" s="1" t="n">
        <v>60</v>
      </c>
      <c r="O2079" s="149" t="n">
        <v>20</v>
      </c>
    </row>
    <row r="2080" customFormat="false" ht="14.25" hidden="false" customHeight="false" outlineLevel="0" collapsed="false">
      <c r="A2080" s="1" t="n">
        <v>190</v>
      </c>
      <c r="B2080" s="1" t="s">
        <v>478</v>
      </c>
      <c r="C2080" s="143" t="n">
        <v>21265</v>
      </c>
      <c r="D2080" s="143" t="s">
        <v>76</v>
      </c>
      <c r="E2080" s="143" t="s">
        <v>479</v>
      </c>
      <c r="F2080" s="144" t="n">
        <v>200025888272</v>
      </c>
      <c r="G2080" s="144" t="s">
        <v>190</v>
      </c>
      <c r="H2080" s="144" t="n">
        <v>9</v>
      </c>
      <c r="I2080" s="144" t="s">
        <v>148</v>
      </c>
      <c r="J2080" s="151" t="n">
        <v>45074.0163194445</v>
      </c>
      <c r="K2080" s="1" t="n">
        <v>1</v>
      </c>
      <c r="L2080" s="144" t="n">
        <v>9</v>
      </c>
      <c r="M2080" s="1" t="n">
        <v>60</v>
      </c>
      <c r="N2080" s="1" t="n">
        <v>60</v>
      </c>
      <c r="O2080" s="149" t="n">
        <v>21</v>
      </c>
    </row>
    <row r="2081" customFormat="false" ht="14.25" hidden="false" customHeight="false" outlineLevel="0" collapsed="false">
      <c r="A2081" s="1" t="n">
        <v>191</v>
      </c>
      <c r="B2081" s="1" t="s">
        <v>478</v>
      </c>
      <c r="C2081" s="143" t="n">
        <v>21265</v>
      </c>
      <c r="D2081" s="143" t="s">
        <v>76</v>
      </c>
      <c r="E2081" s="143" t="s">
        <v>479</v>
      </c>
      <c r="F2081" s="144" t="n">
        <v>200025888272</v>
      </c>
      <c r="G2081" s="144" t="s">
        <v>190</v>
      </c>
      <c r="H2081" s="144" t="n">
        <v>9</v>
      </c>
      <c r="I2081" s="144" t="s">
        <v>148</v>
      </c>
      <c r="J2081" s="151" t="n">
        <v>45074.0167708333</v>
      </c>
      <c r="K2081" s="1" t="n">
        <v>1</v>
      </c>
      <c r="L2081" s="144" t="n">
        <v>9</v>
      </c>
      <c r="M2081" s="1" t="n">
        <v>60</v>
      </c>
      <c r="N2081" s="1" t="n">
        <v>60</v>
      </c>
      <c r="O2081" s="149" t="n">
        <v>22</v>
      </c>
    </row>
    <row r="2082" customFormat="false" ht="14.25" hidden="false" customHeight="false" outlineLevel="0" collapsed="false">
      <c r="A2082" s="1" t="n">
        <v>192</v>
      </c>
      <c r="B2082" s="1" t="s">
        <v>478</v>
      </c>
      <c r="C2082" s="143" t="n">
        <v>21265</v>
      </c>
      <c r="D2082" s="143" t="s">
        <v>76</v>
      </c>
      <c r="E2082" s="143" t="s">
        <v>479</v>
      </c>
      <c r="F2082" s="144" t="n">
        <v>200025888272</v>
      </c>
      <c r="G2082" s="144" t="s">
        <v>190</v>
      </c>
      <c r="H2082" s="144" t="n">
        <v>9</v>
      </c>
      <c r="I2082" s="144" t="s">
        <v>148</v>
      </c>
      <c r="J2082" s="151" t="n">
        <v>45074.0171990741</v>
      </c>
      <c r="K2082" s="1" t="n">
        <v>1</v>
      </c>
      <c r="L2082" s="144" t="n">
        <v>9</v>
      </c>
      <c r="M2082" s="1" t="n">
        <v>60</v>
      </c>
      <c r="N2082" s="1" t="n">
        <v>60</v>
      </c>
      <c r="O2082" s="149" t="n">
        <v>23</v>
      </c>
    </row>
    <row r="2083" customFormat="false" ht="14.25" hidden="false" customHeight="false" outlineLevel="0" collapsed="false">
      <c r="A2083" s="1" t="n">
        <v>193</v>
      </c>
      <c r="B2083" s="1" t="s">
        <v>478</v>
      </c>
      <c r="C2083" s="143" t="n">
        <v>21265</v>
      </c>
      <c r="D2083" s="143" t="s">
        <v>76</v>
      </c>
      <c r="E2083" s="143" t="s">
        <v>479</v>
      </c>
      <c r="F2083" s="144" t="n">
        <v>200025888272</v>
      </c>
      <c r="G2083" s="144" t="s">
        <v>190</v>
      </c>
      <c r="H2083" s="144" t="n">
        <v>9</v>
      </c>
      <c r="I2083" s="144" t="s">
        <v>148</v>
      </c>
      <c r="J2083" s="151" t="n">
        <v>45074.0180439815</v>
      </c>
      <c r="K2083" s="1" t="n">
        <v>2</v>
      </c>
      <c r="L2083" s="144" t="n">
        <v>9</v>
      </c>
      <c r="M2083" s="1" t="n">
        <v>60</v>
      </c>
      <c r="N2083" s="1" t="n">
        <v>60</v>
      </c>
      <c r="O2083" s="149" t="n">
        <v>24</v>
      </c>
    </row>
    <row r="2084" customFormat="false" ht="14.25" hidden="false" customHeight="false" outlineLevel="0" collapsed="false">
      <c r="A2084" s="1" t="n">
        <v>194</v>
      </c>
      <c r="B2084" s="1" t="s">
        <v>478</v>
      </c>
      <c r="C2084" s="143" t="n">
        <v>21265</v>
      </c>
      <c r="D2084" s="143" t="s">
        <v>76</v>
      </c>
      <c r="E2084" s="143" t="s">
        <v>479</v>
      </c>
      <c r="F2084" s="144" t="n">
        <v>200025888272</v>
      </c>
      <c r="G2084" s="144" t="s">
        <v>190</v>
      </c>
      <c r="H2084" s="144" t="n">
        <v>9</v>
      </c>
      <c r="I2084" s="144" t="s">
        <v>148</v>
      </c>
      <c r="J2084" s="151" t="n">
        <v>45074.0180555556</v>
      </c>
      <c r="K2084" s="1" t="n">
        <v>1</v>
      </c>
      <c r="L2084" s="144" t="n">
        <v>9</v>
      </c>
      <c r="M2084" s="1" t="n">
        <v>60</v>
      </c>
      <c r="N2084" s="1" t="n">
        <v>60</v>
      </c>
      <c r="O2084" s="149" t="n">
        <v>25</v>
      </c>
    </row>
    <row r="2085" customFormat="false" ht="14.25" hidden="false" customHeight="false" outlineLevel="0" collapsed="false">
      <c r="A2085" s="1" t="n">
        <v>195</v>
      </c>
      <c r="B2085" s="1" t="s">
        <v>478</v>
      </c>
      <c r="C2085" s="143" t="n">
        <v>21265</v>
      </c>
      <c r="D2085" s="143" t="s">
        <v>76</v>
      </c>
      <c r="E2085" s="143" t="s">
        <v>479</v>
      </c>
      <c r="F2085" s="144" t="n">
        <v>200025888272</v>
      </c>
      <c r="G2085" s="144" t="s">
        <v>190</v>
      </c>
      <c r="H2085" s="144" t="n">
        <v>9</v>
      </c>
      <c r="I2085" s="144" t="s">
        <v>148</v>
      </c>
      <c r="J2085" s="151" t="n">
        <v>45074.0185648148</v>
      </c>
      <c r="K2085" s="1" t="n">
        <v>1</v>
      </c>
      <c r="L2085" s="144" t="n">
        <v>9</v>
      </c>
      <c r="M2085" s="1" t="n">
        <v>60</v>
      </c>
      <c r="N2085" s="1" t="n">
        <v>60</v>
      </c>
      <c r="O2085" s="149" t="n">
        <v>26</v>
      </c>
    </row>
    <row r="2086" customFormat="false" ht="14.25" hidden="false" customHeight="false" outlineLevel="0" collapsed="false">
      <c r="A2086" s="1" t="n">
        <v>196</v>
      </c>
      <c r="B2086" s="1" t="s">
        <v>478</v>
      </c>
      <c r="C2086" s="143" t="n">
        <v>21265</v>
      </c>
      <c r="D2086" s="143" t="s">
        <v>76</v>
      </c>
      <c r="E2086" s="143" t="s">
        <v>479</v>
      </c>
      <c r="F2086" s="144" t="n">
        <v>200025888272</v>
      </c>
      <c r="G2086" s="144" t="s">
        <v>190</v>
      </c>
      <c r="H2086" s="144" t="n">
        <v>9</v>
      </c>
      <c r="I2086" s="144" t="s">
        <v>148</v>
      </c>
      <c r="J2086" s="151" t="n">
        <v>45074.1005208333</v>
      </c>
      <c r="K2086" s="1" t="n">
        <v>0</v>
      </c>
      <c r="L2086" s="144" t="n">
        <v>9</v>
      </c>
      <c r="M2086" s="1" t="n">
        <v>60</v>
      </c>
      <c r="N2086" s="1" t="n">
        <v>60</v>
      </c>
      <c r="O2086" s="149" t="n">
        <v>27</v>
      </c>
    </row>
    <row r="2087" customFormat="false" ht="14.25" hidden="false" customHeight="false" outlineLevel="0" collapsed="false">
      <c r="A2087" s="1" t="n">
        <v>140</v>
      </c>
      <c r="B2087" s="1" t="s">
        <v>490</v>
      </c>
      <c r="C2087" s="143" t="n">
        <v>11171</v>
      </c>
      <c r="D2087" s="143" t="s">
        <v>74</v>
      </c>
      <c r="E2087" s="143" t="s">
        <v>479</v>
      </c>
      <c r="F2087" s="144" t="n">
        <v>200025888272</v>
      </c>
      <c r="G2087" s="144" t="s">
        <v>190</v>
      </c>
      <c r="H2087" s="144" t="n">
        <v>9</v>
      </c>
      <c r="I2087" s="144" t="s">
        <v>148</v>
      </c>
      <c r="J2087" s="151" t="n">
        <v>45074.1244907407</v>
      </c>
      <c r="K2087" s="1" t="n">
        <v>1</v>
      </c>
      <c r="L2087" s="144" t="n">
        <v>9</v>
      </c>
      <c r="M2087" s="1" t="n">
        <v>60</v>
      </c>
      <c r="N2087" s="1" t="n">
        <v>60</v>
      </c>
      <c r="O2087" s="149" t="n">
        <v>28</v>
      </c>
    </row>
    <row r="2088" customFormat="false" ht="14.25" hidden="false" customHeight="false" outlineLevel="0" collapsed="false">
      <c r="A2088" s="1" t="n">
        <v>141</v>
      </c>
      <c r="B2088" s="1" t="s">
        <v>490</v>
      </c>
      <c r="C2088" s="143" t="n">
        <v>11171</v>
      </c>
      <c r="D2088" s="143" t="s">
        <v>74</v>
      </c>
      <c r="E2088" s="143" t="s">
        <v>479</v>
      </c>
      <c r="F2088" s="144" t="n">
        <v>200025888272</v>
      </c>
      <c r="G2088" s="144" t="s">
        <v>190</v>
      </c>
      <c r="H2088" s="144" t="n">
        <v>9</v>
      </c>
      <c r="I2088" s="144" t="s">
        <v>148</v>
      </c>
      <c r="J2088" s="151" t="n">
        <v>45074.127974537</v>
      </c>
      <c r="K2088" s="1" t="n">
        <v>1</v>
      </c>
      <c r="L2088" s="144" t="n">
        <v>9</v>
      </c>
      <c r="M2088" s="1" t="n">
        <v>60</v>
      </c>
      <c r="N2088" s="1" t="n">
        <v>60</v>
      </c>
      <c r="O2088" s="149" t="n">
        <v>29</v>
      </c>
    </row>
    <row r="2089" customFormat="false" ht="14.25" hidden="false" customHeight="false" outlineLevel="0" collapsed="false">
      <c r="A2089" s="1" t="n">
        <v>200</v>
      </c>
      <c r="B2089" s="1" t="s">
        <v>478</v>
      </c>
      <c r="C2089" s="143" t="n">
        <v>21265</v>
      </c>
      <c r="D2089" s="143" t="s">
        <v>76</v>
      </c>
      <c r="E2089" s="143" t="s">
        <v>479</v>
      </c>
      <c r="F2089" s="144" t="n">
        <v>200025888272</v>
      </c>
      <c r="G2089" s="144" t="s">
        <v>190</v>
      </c>
      <c r="H2089" s="144" t="n">
        <v>9</v>
      </c>
      <c r="I2089" s="144" t="s">
        <v>148</v>
      </c>
      <c r="J2089" s="151" t="n">
        <v>45074.1484722222</v>
      </c>
      <c r="K2089" s="1" t="n">
        <v>1</v>
      </c>
      <c r="L2089" s="144" t="n">
        <v>9</v>
      </c>
      <c r="M2089" s="1" t="n">
        <v>60</v>
      </c>
      <c r="N2089" s="1" t="n">
        <v>60</v>
      </c>
      <c r="O2089" s="149" t="n">
        <v>30</v>
      </c>
    </row>
    <row r="2090" customFormat="false" ht="14.25" hidden="false" customHeight="false" outlineLevel="0" collapsed="false">
      <c r="A2090" s="1" t="n">
        <v>201</v>
      </c>
      <c r="B2090" s="1" t="s">
        <v>478</v>
      </c>
      <c r="C2090" s="143" t="n">
        <v>21265</v>
      </c>
      <c r="D2090" s="143" t="s">
        <v>76</v>
      </c>
      <c r="E2090" s="143" t="s">
        <v>479</v>
      </c>
      <c r="F2090" s="144" t="n">
        <v>200025888272</v>
      </c>
      <c r="G2090" s="144" t="s">
        <v>190</v>
      </c>
      <c r="H2090" s="144" t="n">
        <v>9</v>
      </c>
      <c r="I2090" s="144" t="s">
        <v>148</v>
      </c>
      <c r="J2090" s="151" t="n">
        <v>45074.149224537</v>
      </c>
      <c r="K2090" s="1" t="n">
        <v>1</v>
      </c>
      <c r="L2090" s="144" t="n">
        <v>9</v>
      </c>
      <c r="M2090" s="1" t="n">
        <v>60</v>
      </c>
      <c r="N2090" s="1" t="n">
        <v>60</v>
      </c>
      <c r="O2090" s="149" t="n">
        <v>31</v>
      </c>
    </row>
    <row r="2091" customFormat="false" ht="14.25" hidden="false" customHeight="false" outlineLevel="0" collapsed="false">
      <c r="A2091" s="1" t="n">
        <v>202</v>
      </c>
      <c r="B2091" s="1" t="s">
        <v>478</v>
      </c>
      <c r="C2091" s="143" t="n">
        <v>21265</v>
      </c>
      <c r="D2091" s="143" t="s">
        <v>76</v>
      </c>
      <c r="E2091" s="143" t="s">
        <v>479</v>
      </c>
      <c r="F2091" s="144" t="n">
        <v>200025888272</v>
      </c>
      <c r="G2091" s="144" t="s">
        <v>190</v>
      </c>
      <c r="H2091" s="144" t="n">
        <v>9</v>
      </c>
      <c r="I2091" s="144" t="s">
        <v>148</v>
      </c>
      <c r="J2091" s="151" t="n">
        <v>45074.149837963</v>
      </c>
      <c r="K2091" s="1" t="n">
        <v>1</v>
      </c>
      <c r="L2091" s="144" t="n">
        <v>9</v>
      </c>
      <c r="M2091" s="1" t="n">
        <v>60</v>
      </c>
      <c r="N2091" s="1" t="n">
        <v>60</v>
      </c>
      <c r="O2091" s="149" t="n">
        <v>32</v>
      </c>
    </row>
    <row r="2092" customFormat="false" ht="14.25" hidden="false" customHeight="false" outlineLevel="0" collapsed="false">
      <c r="A2092" s="1" t="n">
        <v>203</v>
      </c>
      <c r="B2092" s="1" t="s">
        <v>478</v>
      </c>
      <c r="C2092" s="143" t="n">
        <v>21265</v>
      </c>
      <c r="D2092" s="143" t="s">
        <v>76</v>
      </c>
      <c r="E2092" s="143" t="s">
        <v>479</v>
      </c>
      <c r="F2092" s="144" t="n">
        <v>200025888272</v>
      </c>
      <c r="G2092" s="144" t="s">
        <v>190</v>
      </c>
      <c r="H2092" s="144" t="n">
        <v>9</v>
      </c>
      <c r="I2092" s="144" t="s">
        <v>148</v>
      </c>
      <c r="J2092" s="151" t="n">
        <v>45074.1503356482</v>
      </c>
      <c r="K2092" s="1" t="n">
        <v>1</v>
      </c>
      <c r="L2092" s="144" t="n">
        <v>9</v>
      </c>
      <c r="M2092" s="1" t="n">
        <v>60</v>
      </c>
      <c r="N2092" s="1" t="n">
        <v>60</v>
      </c>
      <c r="O2092" s="149" t="n">
        <v>33</v>
      </c>
    </row>
    <row r="2093" customFormat="false" ht="14.25" hidden="false" customHeight="false" outlineLevel="0" collapsed="false">
      <c r="A2093" s="1" t="n">
        <v>204</v>
      </c>
      <c r="B2093" s="1" t="s">
        <v>478</v>
      </c>
      <c r="C2093" s="143" t="n">
        <v>21265</v>
      </c>
      <c r="D2093" s="143" t="s">
        <v>76</v>
      </c>
      <c r="E2093" s="143" t="s">
        <v>479</v>
      </c>
      <c r="F2093" s="144" t="n">
        <v>200025888272</v>
      </c>
      <c r="G2093" s="144" t="s">
        <v>190</v>
      </c>
      <c r="H2093" s="144" t="n">
        <v>9</v>
      </c>
      <c r="I2093" s="144" t="s">
        <v>148</v>
      </c>
      <c r="J2093" s="151" t="n">
        <v>45074.2023148148</v>
      </c>
      <c r="K2093" s="1" t="n">
        <v>1</v>
      </c>
      <c r="L2093" s="144" t="n">
        <v>9</v>
      </c>
      <c r="M2093" s="1" t="n">
        <v>60</v>
      </c>
      <c r="N2093" s="1" t="n">
        <v>60</v>
      </c>
      <c r="O2093" s="149" t="n">
        <v>34</v>
      </c>
    </row>
    <row r="2094" customFormat="false" ht="14.25" hidden="false" customHeight="false" outlineLevel="0" collapsed="false">
      <c r="A2094" s="1" t="n">
        <v>205</v>
      </c>
      <c r="B2094" s="1" t="s">
        <v>478</v>
      </c>
      <c r="C2094" s="143" t="n">
        <v>21265</v>
      </c>
      <c r="D2094" s="143" t="s">
        <v>76</v>
      </c>
      <c r="E2094" s="143" t="s">
        <v>479</v>
      </c>
      <c r="F2094" s="144" t="n">
        <v>200025888272</v>
      </c>
      <c r="G2094" s="144" t="s">
        <v>190</v>
      </c>
      <c r="H2094" s="144" t="n">
        <v>9</v>
      </c>
      <c r="I2094" s="144" t="s">
        <v>148</v>
      </c>
      <c r="J2094" s="151" t="n">
        <v>45074.2027662037</v>
      </c>
      <c r="K2094" s="1" t="n">
        <v>3</v>
      </c>
      <c r="L2094" s="144" t="n">
        <v>9</v>
      </c>
      <c r="M2094" s="1" t="n">
        <v>60</v>
      </c>
      <c r="N2094" s="1" t="n">
        <v>60</v>
      </c>
      <c r="O2094" s="149" t="n">
        <v>35</v>
      </c>
    </row>
    <row r="2095" customFormat="false" ht="14.25" hidden="false" customHeight="false" outlineLevel="0" collapsed="false">
      <c r="A2095" s="1" t="n">
        <v>162</v>
      </c>
      <c r="B2095" s="1" t="s">
        <v>490</v>
      </c>
      <c r="C2095" s="143" t="n">
        <v>11171</v>
      </c>
      <c r="D2095" s="143" t="s">
        <v>74</v>
      </c>
      <c r="E2095" s="143" t="s">
        <v>479</v>
      </c>
      <c r="F2095" s="144" t="n">
        <v>200025888272</v>
      </c>
      <c r="G2095" s="144" t="s">
        <v>190</v>
      </c>
      <c r="H2095" s="144" t="n">
        <v>9</v>
      </c>
      <c r="I2095" s="144" t="s">
        <v>148</v>
      </c>
      <c r="J2095" s="151" t="n">
        <v>45074.3441550926</v>
      </c>
      <c r="K2095" s="1" t="n">
        <v>2</v>
      </c>
      <c r="L2095" s="144" t="n">
        <v>9</v>
      </c>
      <c r="M2095" s="1" t="n">
        <v>60</v>
      </c>
      <c r="N2095" s="1" t="n">
        <v>60</v>
      </c>
      <c r="O2095" s="149" t="n">
        <v>36</v>
      </c>
    </row>
    <row r="2096" customFormat="false" ht="14.25" hidden="false" customHeight="false" outlineLevel="0" collapsed="false">
      <c r="A2096" s="1" t="n">
        <v>163</v>
      </c>
      <c r="B2096" s="1" t="s">
        <v>490</v>
      </c>
      <c r="C2096" s="143" t="n">
        <v>11171</v>
      </c>
      <c r="D2096" s="143" t="s">
        <v>74</v>
      </c>
      <c r="E2096" s="143" t="s">
        <v>479</v>
      </c>
      <c r="F2096" s="144" t="n">
        <v>200025888272</v>
      </c>
      <c r="G2096" s="144" t="s">
        <v>190</v>
      </c>
      <c r="H2096" s="144" t="n">
        <v>9</v>
      </c>
      <c r="I2096" s="144" t="s">
        <v>148</v>
      </c>
      <c r="J2096" s="151" t="n">
        <v>45074.353125</v>
      </c>
      <c r="K2096" s="1" t="n">
        <v>1</v>
      </c>
      <c r="L2096" s="144" t="n">
        <v>9</v>
      </c>
      <c r="M2096" s="1" t="n">
        <v>60</v>
      </c>
      <c r="N2096" s="1" t="n">
        <v>60</v>
      </c>
      <c r="O2096" s="149" t="n">
        <v>37</v>
      </c>
    </row>
    <row r="2097" customFormat="false" ht="14.25" hidden="false" customHeight="false" outlineLevel="0" collapsed="false">
      <c r="A2097" s="1" t="n">
        <v>164</v>
      </c>
      <c r="B2097" s="1" t="s">
        <v>490</v>
      </c>
      <c r="C2097" s="143" t="n">
        <v>11171</v>
      </c>
      <c r="D2097" s="143" t="s">
        <v>74</v>
      </c>
      <c r="E2097" s="143" t="s">
        <v>479</v>
      </c>
      <c r="F2097" s="144" t="n">
        <v>200025888272</v>
      </c>
      <c r="G2097" s="144" t="s">
        <v>190</v>
      </c>
      <c r="H2097" s="144" t="n">
        <v>9</v>
      </c>
      <c r="I2097" s="144" t="s">
        <v>148</v>
      </c>
      <c r="J2097" s="151" t="n">
        <v>45074.4268518519</v>
      </c>
      <c r="K2097" s="1" t="n">
        <v>1</v>
      </c>
      <c r="L2097" s="144" t="n">
        <v>9</v>
      </c>
      <c r="M2097" s="1" t="n">
        <v>60</v>
      </c>
      <c r="N2097" s="1" t="n">
        <v>60</v>
      </c>
      <c r="O2097" s="149" t="n">
        <v>38</v>
      </c>
    </row>
    <row r="2098" customFormat="false" ht="14.25" hidden="false" customHeight="false" outlineLevel="0" collapsed="false">
      <c r="A2098" s="1" t="n">
        <v>165</v>
      </c>
      <c r="B2098" s="1" t="s">
        <v>490</v>
      </c>
      <c r="C2098" s="143" t="n">
        <v>11171</v>
      </c>
      <c r="D2098" s="143" t="s">
        <v>74</v>
      </c>
      <c r="E2098" s="143" t="s">
        <v>479</v>
      </c>
      <c r="F2098" s="144" t="n">
        <v>200025888272</v>
      </c>
      <c r="G2098" s="144" t="s">
        <v>190</v>
      </c>
      <c r="H2098" s="144" t="n">
        <v>9</v>
      </c>
      <c r="I2098" s="144" t="s">
        <v>148</v>
      </c>
      <c r="J2098" s="151" t="n">
        <v>45074.4270601852</v>
      </c>
      <c r="K2098" s="1" t="n">
        <v>0</v>
      </c>
      <c r="L2098" s="144" t="n">
        <v>9</v>
      </c>
      <c r="M2098" s="1" t="n">
        <v>60</v>
      </c>
      <c r="N2098" s="1" t="n">
        <v>60</v>
      </c>
      <c r="O2098" s="149" t="n">
        <v>39</v>
      </c>
    </row>
    <row r="2099" customFormat="false" ht="14.25" hidden="false" customHeight="false" outlineLevel="0" collapsed="false">
      <c r="A2099" s="1" t="n">
        <v>166</v>
      </c>
      <c r="B2099" s="1" t="s">
        <v>490</v>
      </c>
      <c r="C2099" s="143" t="n">
        <v>11171</v>
      </c>
      <c r="D2099" s="143" t="s">
        <v>74</v>
      </c>
      <c r="E2099" s="143" t="s">
        <v>479</v>
      </c>
      <c r="F2099" s="144" t="n">
        <v>200025888272</v>
      </c>
      <c r="G2099" s="144" t="s">
        <v>190</v>
      </c>
      <c r="H2099" s="144" t="n">
        <v>9</v>
      </c>
      <c r="I2099" s="144" t="s">
        <v>148</v>
      </c>
      <c r="J2099" s="151" t="n">
        <v>45074.4272569444</v>
      </c>
      <c r="K2099" s="1" t="n">
        <v>3</v>
      </c>
      <c r="L2099" s="144" t="n">
        <v>9</v>
      </c>
      <c r="M2099" s="1" t="n">
        <v>60</v>
      </c>
      <c r="N2099" s="1" t="n">
        <v>60</v>
      </c>
      <c r="O2099" s="149" t="n">
        <v>40</v>
      </c>
    </row>
    <row r="2100" customFormat="false" ht="14.25" hidden="false" customHeight="false" outlineLevel="0" collapsed="false">
      <c r="A2100" s="1" t="n">
        <v>251</v>
      </c>
      <c r="B2100" s="1" t="s">
        <v>473</v>
      </c>
      <c r="C2100" s="143" t="n">
        <v>11490</v>
      </c>
      <c r="D2100" s="143" t="s">
        <v>65</v>
      </c>
      <c r="E2100" s="143" t="s">
        <v>479</v>
      </c>
      <c r="F2100" s="144" t="n">
        <v>200025888987</v>
      </c>
      <c r="G2100" s="144" t="s">
        <v>374</v>
      </c>
      <c r="H2100" s="144" t="n">
        <v>73</v>
      </c>
      <c r="I2100" s="144" t="s">
        <v>148</v>
      </c>
      <c r="J2100" s="6" t="n">
        <v>45056.9009490741</v>
      </c>
      <c r="K2100" s="1" t="n">
        <v>2</v>
      </c>
      <c r="L2100" s="144" t="n">
        <v>73</v>
      </c>
      <c r="M2100" s="1" t="n">
        <v>61</v>
      </c>
      <c r="N2100" s="1" t="n">
        <v>61</v>
      </c>
      <c r="O2100" s="149" t="n">
        <v>1</v>
      </c>
    </row>
    <row r="2101" customFormat="false" ht="14.25" hidden="false" customHeight="false" outlineLevel="0" collapsed="false">
      <c r="A2101" s="1" t="n">
        <v>271</v>
      </c>
      <c r="B2101" s="1" t="s">
        <v>473</v>
      </c>
      <c r="C2101" s="143" t="n">
        <v>11490</v>
      </c>
      <c r="D2101" s="143" t="s">
        <v>65</v>
      </c>
      <c r="E2101" s="143" t="s">
        <v>479</v>
      </c>
      <c r="F2101" s="144" t="n">
        <v>200025888987</v>
      </c>
      <c r="G2101" s="144" t="s">
        <v>374</v>
      </c>
      <c r="H2101" s="144" t="n">
        <v>73</v>
      </c>
      <c r="I2101" s="144" t="s">
        <v>148</v>
      </c>
      <c r="J2101" s="6" t="n">
        <v>45056.9574189815</v>
      </c>
      <c r="K2101" s="1" t="n">
        <v>1</v>
      </c>
      <c r="L2101" s="144" t="n">
        <v>73</v>
      </c>
      <c r="M2101" s="1" t="n">
        <v>61</v>
      </c>
      <c r="N2101" s="1" t="n">
        <v>61</v>
      </c>
      <c r="O2101" s="149" t="n">
        <v>2</v>
      </c>
    </row>
    <row r="2102" customFormat="false" ht="14.25" hidden="false" customHeight="false" outlineLevel="0" collapsed="false">
      <c r="A2102" s="1" t="n">
        <v>272</v>
      </c>
      <c r="B2102" s="1" t="s">
        <v>473</v>
      </c>
      <c r="C2102" s="143" t="n">
        <v>11490</v>
      </c>
      <c r="D2102" s="143" t="s">
        <v>65</v>
      </c>
      <c r="E2102" s="143" t="s">
        <v>479</v>
      </c>
      <c r="F2102" s="144" t="n">
        <v>200025888987</v>
      </c>
      <c r="G2102" s="144" t="s">
        <v>374</v>
      </c>
      <c r="H2102" s="144" t="n">
        <v>73</v>
      </c>
      <c r="I2102" s="144" t="s">
        <v>148</v>
      </c>
      <c r="J2102" s="6" t="n">
        <v>45056.9581365741</v>
      </c>
      <c r="K2102" s="1" t="n">
        <v>2</v>
      </c>
      <c r="L2102" s="144" t="n">
        <v>73</v>
      </c>
      <c r="M2102" s="1" t="n">
        <v>61</v>
      </c>
      <c r="N2102" s="1" t="n">
        <v>61</v>
      </c>
      <c r="O2102" s="149" t="n">
        <v>3</v>
      </c>
    </row>
    <row r="2103" customFormat="false" ht="14.25" hidden="false" customHeight="false" outlineLevel="0" collapsed="false">
      <c r="A2103" s="1" t="n">
        <v>307</v>
      </c>
      <c r="B2103" s="1" t="s">
        <v>473</v>
      </c>
      <c r="C2103" s="143" t="n">
        <v>11490</v>
      </c>
      <c r="D2103" s="143" t="s">
        <v>65</v>
      </c>
      <c r="E2103" s="143" t="s">
        <v>479</v>
      </c>
      <c r="F2103" s="144" t="n">
        <v>200025888987</v>
      </c>
      <c r="G2103" s="144" t="s">
        <v>374</v>
      </c>
      <c r="H2103" s="144" t="n">
        <v>73</v>
      </c>
      <c r="I2103" s="144" t="s">
        <v>148</v>
      </c>
      <c r="J2103" s="6" t="n">
        <v>45057.2312615741</v>
      </c>
      <c r="K2103" s="1" t="n">
        <v>1</v>
      </c>
      <c r="L2103" s="144" t="n">
        <v>73</v>
      </c>
      <c r="M2103" s="1" t="n">
        <v>61</v>
      </c>
      <c r="N2103" s="1" t="n">
        <v>61</v>
      </c>
      <c r="O2103" s="149" t="n">
        <v>4</v>
      </c>
    </row>
    <row r="2104" customFormat="false" ht="14.25" hidden="false" customHeight="false" outlineLevel="0" collapsed="false">
      <c r="A2104" s="1" t="n">
        <v>308</v>
      </c>
      <c r="B2104" s="1" t="s">
        <v>473</v>
      </c>
      <c r="C2104" s="143" t="n">
        <v>11490</v>
      </c>
      <c r="D2104" s="143" t="s">
        <v>65</v>
      </c>
      <c r="E2104" s="143" t="s">
        <v>479</v>
      </c>
      <c r="F2104" s="144" t="n">
        <v>200025888987</v>
      </c>
      <c r="G2104" s="144" t="s">
        <v>374</v>
      </c>
      <c r="H2104" s="144" t="n">
        <v>73</v>
      </c>
      <c r="I2104" s="144" t="s">
        <v>148</v>
      </c>
      <c r="J2104" s="6" t="n">
        <v>45057.232349537</v>
      </c>
      <c r="K2104" s="1" t="n">
        <v>7</v>
      </c>
      <c r="L2104" s="144" t="n">
        <v>73</v>
      </c>
      <c r="M2104" s="1" t="n">
        <v>61</v>
      </c>
      <c r="N2104" s="1" t="n">
        <v>61</v>
      </c>
      <c r="O2104" s="149" t="n">
        <v>5</v>
      </c>
    </row>
    <row r="2105" customFormat="false" ht="14.25" hidden="false" customHeight="false" outlineLevel="0" collapsed="false">
      <c r="A2105" s="1" t="n">
        <v>274</v>
      </c>
      <c r="B2105" s="1" t="s">
        <v>473</v>
      </c>
      <c r="C2105" s="143" t="n">
        <v>11490</v>
      </c>
      <c r="D2105" s="143" t="s">
        <v>65</v>
      </c>
      <c r="E2105" s="143" t="s">
        <v>479</v>
      </c>
      <c r="F2105" s="144" t="n">
        <v>200025889255</v>
      </c>
      <c r="G2105" s="144" t="s">
        <v>184</v>
      </c>
      <c r="H2105" s="144" t="n">
        <v>8</v>
      </c>
      <c r="I2105" s="144" t="s">
        <v>148</v>
      </c>
      <c r="J2105" s="151" t="n">
        <v>45057.0065625</v>
      </c>
      <c r="K2105" s="1" t="n">
        <v>1</v>
      </c>
      <c r="L2105" s="144" t="n">
        <v>8</v>
      </c>
      <c r="M2105" s="1" t="n">
        <v>62</v>
      </c>
      <c r="N2105" s="1" t="n">
        <v>62</v>
      </c>
      <c r="O2105" s="149" t="n">
        <v>1</v>
      </c>
    </row>
    <row r="2106" customFormat="false" ht="14.25" hidden="false" customHeight="false" outlineLevel="0" collapsed="false">
      <c r="A2106" s="1" t="n">
        <v>275</v>
      </c>
      <c r="B2106" s="1" t="s">
        <v>473</v>
      </c>
      <c r="C2106" s="143" t="n">
        <v>11490</v>
      </c>
      <c r="D2106" s="143" t="s">
        <v>65</v>
      </c>
      <c r="E2106" s="143" t="s">
        <v>479</v>
      </c>
      <c r="F2106" s="144" t="n">
        <v>200025889255</v>
      </c>
      <c r="G2106" s="144" t="s">
        <v>184</v>
      </c>
      <c r="H2106" s="144" t="n">
        <v>8</v>
      </c>
      <c r="I2106" s="144" t="s">
        <v>148</v>
      </c>
      <c r="J2106" s="151" t="n">
        <v>45057.0077893519</v>
      </c>
      <c r="K2106" s="1" t="n">
        <v>2</v>
      </c>
      <c r="L2106" s="144" t="n">
        <v>8</v>
      </c>
      <c r="M2106" s="1" t="n">
        <v>62</v>
      </c>
      <c r="N2106" s="1" t="n">
        <v>62</v>
      </c>
      <c r="O2106" s="149" t="n">
        <v>2</v>
      </c>
    </row>
    <row r="2107" customFormat="false" ht="14.25" hidden="false" customHeight="false" outlineLevel="0" collapsed="false">
      <c r="A2107" s="1" t="n">
        <v>184</v>
      </c>
      <c r="B2107" s="1" t="s">
        <v>475</v>
      </c>
      <c r="C2107" s="143" t="s">
        <v>52</v>
      </c>
      <c r="D2107" s="143" t="s">
        <v>53</v>
      </c>
      <c r="E2107" s="143" t="s">
        <v>474</v>
      </c>
      <c r="F2107" s="144" t="n">
        <v>200025889255</v>
      </c>
      <c r="G2107" s="144" t="s">
        <v>184</v>
      </c>
      <c r="H2107" s="144" t="n">
        <v>8</v>
      </c>
      <c r="I2107" s="144" t="s">
        <v>148</v>
      </c>
      <c r="J2107" s="151" t="n">
        <v>45057.3385648148</v>
      </c>
      <c r="K2107" s="1" t="n">
        <v>1</v>
      </c>
      <c r="L2107" s="144" t="n">
        <v>8</v>
      </c>
      <c r="M2107" s="1" t="n">
        <v>62</v>
      </c>
      <c r="N2107" s="1" t="n">
        <v>62</v>
      </c>
      <c r="O2107" s="149" t="n">
        <v>3</v>
      </c>
    </row>
    <row r="2108" customFormat="false" ht="14.25" hidden="false" customHeight="false" outlineLevel="0" collapsed="false">
      <c r="A2108" s="1" t="n">
        <v>276</v>
      </c>
      <c r="B2108" s="1" t="s">
        <v>473</v>
      </c>
      <c r="C2108" s="143" t="n">
        <v>11490</v>
      </c>
      <c r="D2108" s="143" t="s">
        <v>65</v>
      </c>
      <c r="E2108" s="143" t="s">
        <v>479</v>
      </c>
      <c r="F2108" s="144" t="n">
        <v>200025889257</v>
      </c>
      <c r="G2108" s="144" t="s">
        <v>175</v>
      </c>
      <c r="H2108" s="144" t="n">
        <v>6</v>
      </c>
      <c r="I2108" s="144" t="s">
        <v>148</v>
      </c>
      <c r="J2108" s="151" t="n">
        <v>45057.0264699074</v>
      </c>
      <c r="K2108" s="1" t="n">
        <v>2</v>
      </c>
      <c r="L2108" s="144" t="n">
        <v>6</v>
      </c>
      <c r="M2108" s="1" t="n">
        <v>63</v>
      </c>
      <c r="N2108" s="1" t="n">
        <v>63</v>
      </c>
      <c r="O2108" s="149" t="n">
        <v>1</v>
      </c>
    </row>
    <row r="2109" customFormat="false" ht="14.25" hidden="false" customHeight="false" outlineLevel="0" collapsed="false">
      <c r="A2109" s="1" t="n">
        <v>277</v>
      </c>
      <c r="B2109" s="1" t="s">
        <v>473</v>
      </c>
      <c r="C2109" s="143" t="n">
        <v>11490</v>
      </c>
      <c r="D2109" s="143" t="s">
        <v>65</v>
      </c>
      <c r="E2109" s="143" t="s">
        <v>479</v>
      </c>
      <c r="F2109" s="144" t="n">
        <v>200025889257</v>
      </c>
      <c r="G2109" s="144" t="s">
        <v>175</v>
      </c>
      <c r="H2109" s="144" t="n">
        <v>6</v>
      </c>
      <c r="I2109" s="144" t="s">
        <v>148</v>
      </c>
      <c r="J2109" s="151" t="n">
        <v>45057.0270601852</v>
      </c>
      <c r="K2109" s="1" t="n">
        <v>1</v>
      </c>
      <c r="L2109" s="144" t="n">
        <v>6</v>
      </c>
      <c r="M2109" s="1" t="n">
        <v>63</v>
      </c>
      <c r="N2109" s="1" t="n">
        <v>63</v>
      </c>
      <c r="O2109" s="149" t="n">
        <v>2</v>
      </c>
    </row>
    <row r="2110" customFormat="false" ht="14.25" hidden="false" customHeight="false" outlineLevel="0" collapsed="false">
      <c r="A2110" s="1" t="n">
        <v>304</v>
      </c>
      <c r="B2110" s="1" t="s">
        <v>473</v>
      </c>
      <c r="C2110" s="143" t="n">
        <v>11490</v>
      </c>
      <c r="D2110" s="143" t="s">
        <v>65</v>
      </c>
      <c r="E2110" s="143" t="s">
        <v>479</v>
      </c>
      <c r="F2110" s="144" t="n">
        <v>200025889257</v>
      </c>
      <c r="G2110" s="144" t="s">
        <v>175</v>
      </c>
      <c r="H2110" s="144" t="n">
        <v>6</v>
      </c>
      <c r="I2110" s="144" t="s">
        <v>148</v>
      </c>
      <c r="J2110" s="151" t="n">
        <v>45057.2249421296</v>
      </c>
      <c r="K2110" s="1" t="n">
        <v>2</v>
      </c>
      <c r="L2110" s="144" t="n">
        <v>6</v>
      </c>
      <c r="M2110" s="1" t="n">
        <v>63</v>
      </c>
      <c r="N2110" s="1" t="n">
        <v>63</v>
      </c>
      <c r="O2110" s="149" t="n">
        <v>3</v>
      </c>
    </row>
    <row r="2111" customFormat="false" ht="14.25" hidden="false" customHeight="false" outlineLevel="0" collapsed="false">
      <c r="A2111" s="1" t="n">
        <v>305</v>
      </c>
      <c r="B2111" s="1" t="s">
        <v>473</v>
      </c>
      <c r="C2111" s="143" t="n">
        <v>11490</v>
      </c>
      <c r="D2111" s="143" t="s">
        <v>65</v>
      </c>
      <c r="E2111" s="143" t="s">
        <v>479</v>
      </c>
      <c r="F2111" s="144" t="n">
        <v>200025889257</v>
      </c>
      <c r="G2111" s="144" t="s">
        <v>175</v>
      </c>
      <c r="H2111" s="144" t="n">
        <v>6</v>
      </c>
      <c r="I2111" s="144" t="s">
        <v>148</v>
      </c>
      <c r="J2111" s="151" t="n">
        <v>45057.2253125</v>
      </c>
      <c r="K2111" s="1" t="n">
        <v>3</v>
      </c>
      <c r="L2111" s="144" t="n">
        <v>6</v>
      </c>
      <c r="M2111" s="1" t="n">
        <v>63</v>
      </c>
      <c r="N2111" s="1" t="n">
        <v>63</v>
      </c>
      <c r="O2111" s="149" t="n">
        <v>4</v>
      </c>
    </row>
    <row r="2112" customFormat="false" ht="14.25" hidden="false" customHeight="false" outlineLevel="0" collapsed="false">
      <c r="A2112" s="1" t="n">
        <v>306</v>
      </c>
      <c r="B2112" s="1" t="s">
        <v>473</v>
      </c>
      <c r="C2112" s="143" t="n">
        <v>11490</v>
      </c>
      <c r="D2112" s="143" t="s">
        <v>65</v>
      </c>
      <c r="E2112" s="143" t="s">
        <v>479</v>
      </c>
      <c r="F2112" s="144" t="n">
        <v>200025889257</v>
      </c>
      <c r="G2112" s="144" t="s">
        <v>175</v>
      </c>
      <c r="H2112" s="144" t="n">
        <v>6</v>
      </c>
      <c r="I2112" s="144" t="s">
        <v>148</v>
      </c>
      <c r="J2112" s="151" t="n">
        <v>45057.2253240741</v>
      </c>
      <c r="K2112" s="1" t="n">
        <v>3</v>
      </c>
      <c r="L2112" s="144" t="n">
        <v>6</v>
      </c>
      <c r="M2112" s="1" t="n">
        <v>63</v>
      </c>
      <c r="N2112" s="1" t="n">
        <v>63</v>
      </c>
      <c r="O2112" s="149" t="n">
        <v>5</v>
      </c>
    </row>
    <row r="2113" customFormat="false" ht="14.25" hidden="false" customHeight="false" outlineLevel="0" collapsed="false">
      <c r="A2113" s="1" t="n">
        <v>278</v>
      </c>
      <c r="B2113" s="1" t="s">
        <v>473</v>
      </c>
      <c r="C2113" s="143" t="n">
        <v>11490</v>
      </c>
      <c r="D2113" s="143" t="s">
        <v>65</v>
      </c>
      <c r="E2113" s="143" t="s">
        <v>479</v>
      </c>
      <c r="F2113" s="144" t="n">
        <v>200025889262</v>
      </c>
      <c r="G2113" s="144" t="s">
        <v>339</v>
      </c>
      <c r="H2113" s="144" t="n">
        <v>55</v>
      </c>
      <c r="I2113" s="144" t="s">
        <v>148</v>
      </c>
      <c r="J2113" s="6" t="n">
        <v>45057.0456481481</v>
      </c>
      <c r="K2113" s="1" t="n">
        <v>2</v>
      </c>
      <c r="L2113" s="144" t="n">
        <v>55</v>
      </c>
      <c r="M2113" s="1" t="n">
        <v>64</v>
      </c>
      <c r="N2113" s="1" t="n">
        <v>64</v>
      </c>
      <c r="O2113" s="149" t="n">
        <v>1</v>
      </c>
    </row>
    <row r="2114" customFormat="false" ht="14.25" hidden="false" customHeight="false" outlineLevel="0" collapsed="false">
      <c r="A2114" s="1" t="n">
        <v>38</v>
      </c>
      <c r="B2114" s="1" t="s">
        <v>478</v>
      </c>
      <c r="C2114" s="143" t="n">
        <v>11171</v>
      </c>
      <c r="D2114" s="143" t="s">
        <v>74</v>
      </c>
      <c r="E2114" s="143" t="s">
        <v>479</v>
      </c>
      <c r="F2114" s="144" t="n">
        <v>200025889262</v>
      </c>
      <c r="G2114" s="144" t="s">
        <v>339</v>
      </c>
      <c r="H2114" s="144" t="n">
        <v>55</v>
      </c>
      <c r="I2114" s="144" t="s">
        <v>148</v>
      </c>
      <c r="J2114" s="6" t="n">
        <v>45057.4960532407</v>
      </c>
      <c r="K2114" s="1" t="n">
        <v>5</v>
      </c>
      <c r="L2114" s="144" t="n">
        <v>55</v>
      </c>
      <c r="M2114" s="1" t="n">
        <v>64</v>
      </c>
      <c r="N2114" s="1" t="n">
        <v>64</v>
      </c>
      <c r="O2114" s="149" t="n">
        <v>2</v>
      </c>
    </row>
    <row r="2115" customFormat="false" ht="14.25" hidden="false" customHeight="false" outlineLevel="0" collapsed="false">
      <c r="A2115" s="1" t="n">
        <v>9</v>
      </c>
      <c r="B2115" s="153" t="s">
        <v>496</v>
      </c>
      <c r="C2115" s="154" t="s">
        <v>68</v>
      </c>
      <c r="D2115" s="154" t="s">
        <v>64</v>
      </c>
      <c r="E2115" s="154" t="s">
        <v>479</v>
      </c>
      <c r="F2115" s="154" t="s">
        <v>504</v>
      </c>
      <c r="G2115" s="144" t="s">
        <v>339</v>
      </c>
      <c r="H2115" s="144" t="n">
        <v>55</v>
      </c>
      <c r="I2115" s="144" t="s">
        <v>148</v>
      </c>
      <c r="J2115" s="6" t="n">
        <v>45066.4579050926</v>
      </c>
      <c r="K2115" s="1" t="n">
        <v>1</v>
      </c>
      <c r="L2115" s="144" t="n">
        <v>55</v>
      </c>
      <c r="M2115" s="1" t="n">
        <v>64</v>
      </c>
      <c r="N2115" s="1" t="n">
        <v>64</v>
      </c>
      <c r="O2115" s="149" t="n">
        <v>3</v>
      </c>
    </row>
    <row r="2116" customFormat="false" ht="14.25" hidden="false" customHeight="false" outlineLevel="0" collapsed="false">
      <c r="A2116" s="1" t="n">
        <v>281</v>
      </c>
      <c r="B2116" s="1" t="s">
        <v>473</v>
      </c>
      <c r="C2116" s="143" t="n">
        <v>11490</v>
      </c>
      <c r="D2116" s="143" t="s">
        <v>65</v>
      </c>
      <c r="E2116" s="143" t="s">
        <v>479</v>
      </c>
      <c r="F2116" s="144" t="n">
        <v>200025889372</v>
      </c>
      <c r="G2116" s="144" t="s">
        <v>410</v>
      </c>
      <c r="H2116" s="144" t="n">
        <v>93</v>
      </c>
      <c r="I2116" s="144" t="s">
        <v>148</v>
      </c>
      <c r="J2116" s="6" t="n">
        <v>45057.0849074074</v>
      </c>
      <c r="K2116" s="1" t="n">
        <v>2</v>
      </c>
      <c r="L2116" s="144" t="n">
        <v>93</v>
      </c>
      <c r="M2116" s="1" t="n">
        <v>65</v>
      </c>
      <c r="N2116" s="1" t="n">
        <v>65</v>
      </c>
      <c r="O2116" s="149" t="n">
        <v>1</v>
      </c>
    </row>
    <row r="2117" customFormat="false" ht="14.25" hidden="false" customHeight="false" outlineLevel="0" collapsed="false">
      <c r="A2117" s="1" t="n">
        <v>282</v>
      </c>
      <c r="B2117" s="1" t="s">
        <v>473</v>
      </c>
      <c r="C2117" s="143" t="n">
        <v>11490</v>
      </c>
      <c r="D2117" s="143" t="s">
        <v>65</v>
      </c>
      <c r="E2117" s="143" t="s">
        <v>479</v>
      </c>
      <c r="F2117" s="144" t="n">
        <v>200025889372</v>
      </c>
      <c r="G2117" s="144" t="s">
        <v>410</v>
      </c>
      <c r="H2117" s="144" t="n">
        <v>93</v>
      </c>
      <c r="I2117" s="144" t="s">
        <v>148</v>
      </c>
      <c r="J2117" s="6" t="n">
        <v>45057.0850231481</v>
      </c>
      <c r="K2117" s="1" t="n">
        <v>2</v>
      </c>
      <c r="L2117" s="144" t="n">
        <v>93</v>
      </c>
      <c r="M2117" s="1" t="n">
        <v>65</v>
      </c>
      <c r="N2117" s="1" t="n">
        <v>65</v>
      </c>
      <c r="O2117" s="149" t="n">
        <v>2</v>
      </c>
    </row>
    <row r="2118" customFormat="false" ht="14.25" hidden="false" customHeight="false" outlineLevel="0" collapsed="false">
      <c r="A2118" s="1" t="n">
        <v>296</v>
      </c>
      <c r="B2118" s="1" t="s">
        <v>473</v>
      </c>
      <c r="C2118" s="143" t="n">
        <v>11490</v>
      </c>
      <c r="D2118" s="143" t="s">
        <v>65</v>
      </c>
      <c r="E2118" s="143" t="s">
        <v>479</v>
      </c>
      <c r="F2118" s="144" t="n">
        <v>200025889372</v>
      </c>
      <c r="G2118" s="144" t="s">
        <v>410</v>
      </c>
      <c r="H2118" s="144" t="n">
        <v>93</v>
      </c>
      <c r="I2118" s="144" t="s">
        <v>148</v>
      </c>
      <c r="J2118" s="6" t="n">
        <v>45057.1821180556</v>
      </c>
      <c r="K2118" s="1" t="n">
        <v>1</v>
      </c>
      <c r="L2118" s="144" t="n">
        <v>93</v>
      </c>
      <c r="M2118" s="1" t="n">
        <v>65</v>
      </c>
      <c r="N2118" s="1" t="n">
        <v>65</v>
      </c>
      <c r="O2118" s="149" t="n">
        <v>3</v>
      </c>
    </row>
    <row r="2119" customFormat="false" ht="14.25" hidden="false" customHeight="false" outlineLevel="0" collapsed="false">
      <c r="A2119" s="1" t="n">
        <v>285</v>
      </c>
      <c r="B2119" s="1" t="s">
        <v>473</v>
      </c>
      <c r="C2119" s="143" t="n">
        <v>11490</v>
      </c>
      <c r="D2119" s="143" t="s">
        <v>65</v>
      </c>
      <c r="E2119" s="143" t="s">
        <v>479</v>
      </c>
      <c r="F2119" s="144" t="n">
        <v>200025888181</v>
      </c>
      <c r="G2119" s="144" t="s">
        <v>160</v>
      </c>
      <c r="H2119" s="144" t="n">
        <v>100</v>
      </c>
      <c r="I2119" s="144" t="s">
        <v>148</v>
      </c>
      <c r="J2119" s="151" t="n">
        <v>45057.1067476852</v>
      </c>
      <c r="K2119" s="1" t="n">
        <v>1</v>
      </c>
      <c r="L2119" s="144" t="n">
        <v>100</v>
      </c>
      <c r="M2119" s="1" t="n">
        <v>66</v>
      </c>
      <c r="N2119" s="1" t="n">
        <v>66</v>
      </c>
      <c r="O2119" s="149" t="n">
        <v>1</v>
      </c>
    </row>
    <row r="2120" customFormat="false" ht="14.25" hidden="false" customHeight="false" outlineLevel="0" collapsed="false">
      <c r="A2120" s="1" t="n">
        <v>286</v>
      </c>
      <c r="B2120" s="1" t="s">
        <v>473</v>
      </c>
      <c r="C2120" s="143" t="n">
        <v>11490</v>
      </c>
      <c r="D2120" s="143" t="s">
        <v>65</v>
      </c>
      <c r="E2120" s="143" t="s">
        <v>479</v>
      </c>
      <c r="F2120" s="144" t="n">
        <v>200025888181</v>
      </c>
      <c r="G2120" s="144" t="s">
        <v>160</v>
      </c>
      <c r="H2120" s="144" t="n">
        <v>100</v>
      </c>
      <c r="I2120" s="144" t="s">
        <v>148</v>
      </c>
      <c r="J2120" s="151" t="n">
        <v>45057.1075810185</v>
      </c>
      <c r="K2120" s="1" t="n">
        <v>3</v>
      </c>
      <c r="L2120" s="144" t="n">
        <v>100</v>
      </c>
      <c r="M2120" s="1" t="n">
        <v>66</v>
      </c>
      <c r="N2120" s="1" t="n">
        <v>66</v>
      </c>
      <c r="O2120" s="149" t="n">
        <v>2</v>
      </c>
    </row>
    <row r="2121" customFormat="false" ht="14.25" hidden="false" customHeight="false" outlineLevel="0" collapsed="false">
      <c r="A2121" s="1" t="n">
        <v>287</v>
      </c>
      <c r="B2121" s="1" t="s">
        <v>473</v>
      </c>
      <c r="C2121" s="143" t="n">
        <v>11490</v>
      </c>
      <c r="D2121" s="143" t="s">
        <v>65</v>
      </c>
      <c r="E2121" s="143" t="s">
        <v>479</v>
      </c>
      <c r="F2121" s="144" t="n">
        <v>200025888181</v>
      </c>
      <c r="G2121" s="144" t="s">
        <v>160</v>
      </c>
      <c r="H2121" s="144" t="n">
        <v>100</v>
      </c>
      <c r="I2121" s="144" t="s">
        <v>148</v>
      </c>
      <c r="J2121" s="151" t="n">
        <v>45057.1096643519</v>
      </c>
      <c r="K2121" s="1" t="n">
        <v>3</v>
      </c>
      <c r="L2121" s="144" t="n">
        <v>100</v>
      </c>
      <c r="M2121" s="1" t="n">
        <v>66</v>
      </c>
      <c r="N2121" s="1" t="n">
        <v>66</v>
      </c>
      <c r="O2121" s="149" t="n">
        <v>3</v>
      </c>
    </row>
    <row r="2122" customFormat="false" ht="14.25" hidden="false" customHeight="false" outlineLevel="0" collapsed="false">
      <c r="A2122" s="1" t="n">
        <v>34</v>
      </c>
      <c r="B2122" s="1" t="s">
        <v>475</v>
      </c>
      <c r="C2122" s="143" t="n">
        <v>21265</v>
      </c>
      <c r="D2122" s="143" t="s">
        <v>76</v>
      </c>
      <c r="E2122" s="143" t="s">
        <v>479</v>
      </c>
      <c r="F2122" s="144" t="n">
        <v>200025888181</v>
      </c>
      <c r="G2122" s="144" t="s">
        <v>160</v>
      </c>
      <c r="H2122" s="144" t="n">
        <v>100</v>
      </c>
      <c r="I2122" s="144" t="s">
        <v>148</v>
      </c>
      <c r="J2122" s="151" t="n">
        <v>45082.4874884259</v>
      </c>
      <c r="K2122" s="1" t="n">
        <v>1</v>
      </c>
      <c r="L2122" s="144" t="n">
        <v>100</v>
      </c>
      <c r="M2122" s="1" t="n">
        <v>66</v>
      </c>
      <c r="N2122" s="1" t="n">
        <v>66</v>
      </c>
      <c r="O2122" s="149" t="n">
        <v>4</v>
      </c>
    </row>
    <row r="2123" customFormat="false" ht="14.25" hidden="false" customHeight="false" outlineLevel="0" collapsed="false">
      <c r="A2123" s="1" t="n">
        <v>297</v>
      </c>
      <c r="B2123" s="1" t="s">
        <v>473</v>
      </c>
      <c r="C2123" s="143" t="n">
        <v>11490</v>
      </c>
      <c r="D2123" s="143" t="s">
        <v>65</v>
      </c>
      <c r="E2123" s="143" t="s">
        <v>479</v>
      </c>
      <c r="F2123" s="144" t="n">
        <v>200025888205</v>
      </c>
      <c r="G2123" s="144" t="s">
        <v>166</v>
      </c>
      <c r="H2123" s="144" t="n">
        <v>99</v>
      </c>
      <c r="I2123" s="144" t="s">
        <v>148</v>
      </c>
      <c r="J2123" s="151" t="n">
        <v>45057.1947685185</v>
      </c>
      <c r="K2123" s="1" t="n">
        <v>2</v>
      </c>
      <c r="L2123" s="144" t="n">
        <v>99</v>
      </c>
      <c r="M2123" s="1" t="n">
        <v>67</v>
      </c>
      <c r="N2123" s="1" t="n">
        <v>67</v>
      </c>
      <c r="O2123" s="149" t="n">
        <v>1</v>
      </c>
    </row>
    <row r="2124" customFormat="false" ht="14.25" hidden="false" customHeight="false" outlineLevel="0" collapsed="false">
      <c r="A2124" s="1" t="n">
        <v>173</v>
      </c>
      <c r="B2124" s="1" t="s">
        <v>475</v>
      </c>
      <c r="C2124" s="143" t="s">
        <v>52</v>
      </c>
      <c r="D2124" s="143" t="s">
        <v>53</v>
      </c>
      <c r="E2124" s="143" t="s">
        <v>479</v>
      </c>
      <c r="F2124" s="144" t="n">
        <v>200025888864</v>
      </c>
      <c r="G2124" s="144" t="s">
        <v>395</v>
      </c>
      <c r="H2124" s="144" t="n">
        <v>82</v>
      </c>
      <c r="I2124" s="144" t="s">
        <v>148</v>
      </c>
      <c r="J2124" s="151" t="n">
        <v>45057.1954166667</v>
      </c>
      <c r="K2124" s="1" t="n">
        <v>2</v>
      </c>
      <c r="L2124" s="144" t="n">
        <v>82</v>
      </c>
      <c r="M2124" s="1" t="n">
        <v>68</v>
      </c>
      <c r="N2124" s="1" t="n">
        <v>68</v>
      </c>
      <c r="O2124" s="149" t="n">
        <v>1</v>
      </c>
    </row>
    <row r="2125" customFormat="false" ht="14.25" hidden="false" customHeight="false" outlineLevel="0" collapsed="false">
      <c r="A2125" s="1" t="n">
        <v>14</v>
      </c>
      <c r="B2125" s="1" t="s">
        <v>475</v>
      </c>
      <c r="C2125" s="143" t="n">
        <v>21265</v>
      </c>
      <c r="D2125" s="143" t="s">
        <v>76</v>
      </c>
      <c r="E2125" s="143" t="s">
        <v>479</v>
      </c>
      <c r="F2125" s="144" t="n">
        <v>200025888864</v>
      </c>
      <c r="G2125" s="144" t="s">
        <v>395</v>
      </c>
      <c r="H2125" s="144" t="n">
        <v>82</v>
      </c>
      <c r="I2125" s="144" t="s">
        <v>148</v>
      </c>
      <c r="J2125" s="6" t="n">
        <v>45077.4291435185</v>
      </c>
      <c r="K2125" s="1" t="n">
        <v>0</v>
      </c>
      <c r="L2125" s="144" t="n">
        <v>82</v>
      </c>
      <c r="M2125" s="1" t="n">
        <v>68</v>
      </c>
      <c r="N2125" s="1" t="n">
        <v>68</v>
      </c>
      <c r="O2125" s="149" t="n">
        <v>2</v>
      </c>
    </row>
    <row r="2126" customFormat="false" ht="14.25" hidden="false" customHeight="false" outlineLevel="0" collapsed="false">
      <c r="A2126" s="1" t="n">
        <v>310</v>
      </c>
      <c r="B2126" s="1" t="s">
        <v>473</v>
      </c>
      <c r="C2126" s="143" t="n">
        <v>11490</v>
      </c>
      <c r="D2126" s="143" t="s">
        <v>65</v>
      </c>
      <c r="E2126" s="143" t="s">
        <v>479</v>
      </c>
      <c r="F2126" s="144" t="n">
        <v>200025888560</v>
      </c>
      <c r="G2126" s="144" t="s">
        <v>299</v>
      </c>
      <c r="H2126" s="144" t="n">
        <v>41</v>
      </c>
      <c r="I2126" s="144" t="s">
        <v>148</v>
      </c>
      <c r="J2126" s="151" t="n">
        <v>45057.2664814815</v>
      </c>
      <c r="K2126" s="1" t="n">
        <v>1</v>
      </c>
      <c r="L2126" s="144" t="n">
        <v>41</v>
      </c>
      <c r="M2126" s="1" t="n">
        <v>69</v>
      </c>
      <c r="N2126" s="1" t="n">
        <v>69</v>
      </c>
      <c r="O2126" s="149" t="n">
        <v>1</v>
      </c>
    </row>
    <row r="2127" customFormat="false" ht="14.25" hidden="false" customHeight="false" outlineLevel="0" collapsed="false">
      <c r="A2127" s="1" t="n">
        <v>315</v>
      </c>
      <c r="B2127" s="1" t="s">
        <v>473</v>
      </c>
      <c r="C2127" s="143" t="n">
        <v>11490</v>
      </c>
      <c r="D2127" s="143" t="s">
        <v>65</v>
      </c>
      <c r="E2127" s="143" t="s">
        <v>479</v>
      </c>
      <c r="F2127" s="144" t="n">
        <v>200025888560</v>
      </c>
      <c r="G2127" s="144" t="s">
        <v>299</v>
      </c>
      <c r="H2127" s="144" t="n">
        <v>41</v>
      </c>
      <c r="I2127" s="144" t="s">
        <v>148</v>
      </c>
      <c r="J2127" s="151" t="n">
        <v>45057.317962963</v>
      </c>
      <c r="K2127" s="1" t="n">
        <v>0</v>
      </c>
      <c r="L2127" s="144" t="n">
        <v>41</v>
      </c>
      <c r="M2127" s="1" t="n">
        <v>69</v>
      </c>
      <c r="N2127" s="1" t="n">
        <v>69</v>
      </c>
      <c r="O2127" s="149" t="n">
        <v>2</v>
      </c>
    </row>
    <row r="2128" customFormat="false" ht="14.25" hidden="false" customHeight="false" outlineLevel="0" collapsed="false">
      <c r="A2128" s="1" t="n">
        <v>316</v>
      </c>
      <c r="B2128" s="1" t="s">
        <v>473</v>
      </c>
      <c r="C2128" s="143" t="n">
        <v>11490</v>
      </c>
      <c r="D2128" s="143" t="s">
        <v>65</v>
      </c>
      <c r="E2128" s="143" t="s">
        <v>479</v>
      </c>
      <c r="F2128" s="144" t="n">
        <v>200025888560</v>
      </c>
      <c r="G2128" s="144" t="s">
        <v>299</v>
      </c>
      <c r="H2128" s="144" t="n">
        <v>41</v>
      </c>
      <c r="I2128" s="144" t="s">
        <v>148</v>
      </c>
      <c r="J2128" s="151" t="n">
        <v>45057.3179861111</v>
      </c>
      <c r="K2128" s="1" t="n">
        <v>1</v>
      </c>
      <c r="L2128" s="144" t="n">
        <v>41</v>
      </c>
      <c r="M2128" s="1" t="n">
        <v>69</v>
      </c>
      <c r="N2128" s="1" t="n">
        <v>69</v>
      </c>
      <c r="O2128" s="149" t="n">
        <v>3</v>
      </c>
    </row>
    <row r="2129" customFormat="false" ht="14.25" hidden="false" customHeight="false" outlineLevel="0" collapsed="false">
      <c r="A2129" s="1" t="n">
        <v>317</v>
      </c>
      <c r="B2129" s="1" t="s">
        <v>473</v>
      </c>
      <c r="C2129" s="143" t="n">
        <v>11490</v>
      </c>
      <c r="D2129" s="143" t="s">
        <v>65</v>
      </c>
      <c r="E2129" s="143" t="s">
        <v>479</v>
      </c>
      <c r="F2129" s="144" t="n">
        <v>200025888560</v>
      </c>
      <c r="G2129" s="144" t="s">
        <v>299</v>
      </c>
      <c r="H2129" s="144" t="n">
        <v>41</v>
      </c>
      <c r="I2129" s="144" t="s">
        <v>148</v>
      </c>
      <c r="J2129" s="151" t="n">
        <v>45057.3187847222</v>
      </c>
      <c r="K2129" s="1" t="n">
        <v>2</v>
      </c>
      <c r="L2129" s="144" t="n">
        <v>41</v>
      </c>
      <c r="M2129" s="1" t="n">
        <v>69</v>
      </c>
      <c r="N2129" s="1" t="n">
        <v>69</v>
      </c>
      <c r="O2129" s="149" t="n">
        <v>4</v>
      </c>
    </row>
    <row r="2130" customFormat="false" ht="14.25" hidden="false" customHeight="false" outlineLevel="0" collapsed="false">
      <c r="A2130" s="1" t="n">
        <v>240</v>
      </c>
      <c r="B2130" s="1" t="s">
        <v>477</v>
      </c>
      <c r="C2130" s="143" t="n">
        <v>11171</v>
      </c>
      <c r="D2130" s="143" t="s">
        <v>74</v>
      </c>
      <c r="E2130" s="143" t="s">
        <v>474</v>
      </c>
      <c r="F2130" s="144" t="n">
        <v>200025888560</v>
      </c>
      <c r="G2130" s="144" t="s">
        <v>299</v>
      </c>
      <c r="H2130" s="144" t="n">
        <v>41</v>
      </c>
      <c r="I2130" s="144" t="s">
        <v>148</v>
      </c>
      <c r="J2130" s="152" t="n">
        <v>45079.5089583333</v>
      </c>
      <c r="K2130" s="1" t="n">
        <v>9</v>
      </c>
      <c r="L2130" s="144" t="n">
        <v>41</v>
      </c>
      <c r="M2130" s="1" t="n">
        <v>69</v>
      </c>
      <c r="N2130" s="1" t="n">
        <v>69</v>
      </c>
      <c r="O2130" s="149" t="n">
        <v>5</v>
      </c>
    </row>
    <row r="2131" customFormat="false" ht="14.25" hidden="false" customHeight="false" outlineLevel="0" collapsed="false">
      <c r="A2131" s="1" t="n">
        <v>242</v>
      </c>
      <c r="B2131" s="1" t="s">
        <v>477</v>
      </c>
      <c r="C2131" s="143" t="n">
        <v>11171</v>
      </c>
      <c r="D2131" s="143" t="s">
        <v>74</v>
      </c>
      <c r="E2131" s="143" t="s">
        <v>474</v>
      </c>
      <c r="F2131" s="144" t="n">
        <v>200025888560</v>
      </c>
      <c r="G2131" s="144" t="s">
        <v>299</v>
      </c>
      <c r="H2131" s="144" t="n">
        <v>41</v>
      </c>
      <c r="I2131" s="144" t="s">
        <v>148</v>
      </c>
      <c r="J2131" s="152" t="n">
        <v>45079.5949074074</v>
      </c>
      <c r="K2131" s="1" t="n">
        <v>0</v>
      </c>
      <c r="L2131" s="144" t="n">
        <v>41</v>
      </c>
      <c r="M2131" s="1" t="n">
        <v>69</v>
      </c>
      <c r="N2131" s="1" t="n">
        <v>69</v>
      </c>
      <c r="O2131" s="149" t="n">
        <v>6</v>
      </c>
    </row>
    <row r="2132" customFormat="false" ht="14.25" hidden="false" customHeight="false" outlineLevel="0" collapsed="false">
      <c r="A2132" s="1" t="n">
        <v>7</v>
      </c>
      <c r="B2132" s="1" t="s">
        <v>475</v>
      </c>
      <c r="C2132" s="143" t="s">
        <v>52</v>
      </c>
      <c r="D2132" s="143" t="s">
        <v>53</v>
      </c>
      <c r="E2132" s="143" t="s">
        <v>479</v>
      </c>
      <c r="F2132" s="144" t="n">
        <v>200025888560</v>
      </c>
      <c r="G2132" s="144" t="s">
        <v>299</v>
      </c>
      <c r="H2132" s="144" t="n">
        <v>41</v>
      </c>
      <c r="I2132" s="144" t="s">
        <v>148</v>
      </c>
      <c r="J2132" s="6" t="n">
        <v>45088.7950347222</v>
      </c>
      <c r="K2132" s="1" t="n">
        <v>7</v>
      </c>
      <c r="L2132" s="144" t="n">
        <v>41</v>
      </c>
      <c r="M2132" s="1" t="n">
        <v>69</v>
      </c>
      <c r="N2132" s="1" t="n">
        <v>69</v>
      </c>
      <c r="O2132" s="149" t="n">
        <v>7</v>
      </c>
    </row>
    <row r="2133" customFormat="false" ht="14.25" hidden="false" customHeight="false" outlineLevel="0" collapsed="false">
      <c r="A2133" s="1" t="n">
        <v>40</v>
      </c>
      <c r="B2133" s="1" t="s">
        <v>478</v>
      </c>
      <c r="C2133" s="143" t="n">
        <v>11171</v>
      </c>
      <c r="D2133" s="143" t="s">
        <v>74</v>
      </c>
      <c r="E2133" s="143" t="s">
        <v>479</v>
      </c>
      <c r="F2133" s="144" t="n">
        <v>200025889145</v>
      </c>
      <c r="G2133" s="144" t="s">
        <v>292</v>
      </c>
      <c r="H2133" s="144" t="n">
        <v>40</v>
      </c>
      <c r="I2133" s="144" t="s">
        <v>148</v>
      </c>
      <c r="J2133" s="6" t="n">
        <v>45057.73</v>
      </c>
      <c r="K2133" s="1" t="n">
        <v>1</v>
      </c>
      <c r="L2133" s="144" t="n">
        <v>40</v>
      </c>
      <c r="M2133" s="1" t="n">
        <v>70</v>
      </c>
      <c r="N2133" s="1" t="n">
        <v>70</v>
      </c>
      <c r="O2133" s="149" t="n">
        <v>1</v>
      </c>
    </row>
    <row r="2134" customFormat="false" ht="14.25" hidden="false" customHeight="false" outlineLevel="0" collapsed="false">
      <c r="A2134" s="1" t="n">
        <v>43</v>
      </c>
      <c r="B2134" s="1" t="s">
        <v>478</v>
      </c>
      <c r="C2134" s="143" t="n">
        <v>11171</v>
      </c>
      <c r="D2134" s="143" t="s">
        <v>74</v>
      </c>
      <c r="E2134" s="143" t="s">
        <v>479</v>
      </c>
      <c r="F2134" s="144" t="n">
        <v>200025889145</v>
      </c>
      <c r="G2134" s="144" t="s">
        <v>292</v>
      </c>
      <c r="H2134" s="144" t="n">
        <v>40</v>
      </c>
      <c r="I2134" s="144" t="s">
        <v>148</v>
      </c>
      <c r="J2134" s="6" t="n">
        <v>45057.7911342593</v>
      </c>
      <c r="K2134" s="1" t="n">
        <v>2</v>
      </c>
      <c r="L2134" s="144" t="n">
        <v>40</v>
      </c>
      <c r="M2134" s="1" t="n">
        <v>70</v>
      </c>
      <c r="N2134" s="1" t="n">
        <v>70</v>
      </c>
      <c r="O2134" s="149" t="n">
        <v>2</v>
      </c>
    </row>
    <row r="2135" customFormat="false" ht="14.25" hidden="false" customHeight="false" outlineLevel="0" collapsed="false">
      <c r="A2135" s="1" t="n">
        <v>41</v>
      </c>
      <c r="B2135" s="1" t="s">
        <v>478</v>
      </c>
      <c r="C2135" s="143" t="n">
        <v>11171</v>
      </c>
      <c r="D2135" s="143" t="s">
        <v>74</v>
      </c>
      <c r="E2135" s="143" t="s">
        <v>479</v>
      </c>
      <c r="F2135" s="144" t="n">
        <v>200025888896</v>
      </c>
      <c r="G2135" s="144" t="s">
        <v>404</v>
      </c>
      <c r="H2135" s="144" t="n">
        <v>86</v>
      </c>
      <c r="I2135" s="144" t="s">
        <v>148</v>
      </c>
      <c r="J2135" s="6" t="n">
        <v>45057.7657291667</v>
      </c>
      <c r="K2135" s="1" t="n">
        <v>2</v>
      </c>
      <c r="L2135" s="144" t="n">
        <v>86</v>
      </c>
      <c r="M2135" s="1" t="n">
        <v>71</v>
      </c>
      <c r="N2135" s="1" t="n">
        <v>71</v>
      </c>
      <c r="O2135" s="149" t="n">
        <v>1</v>
      </c>
    </row>
    <row r="2136" customFormat="false" ht="14.25" hidden="false" customHeight="false" outlineLevel="0" collapsed="false">
      <c r="A2136" s="1" t="n">
        <v>42</v>
      </c>
      <c r="B2136" s="1" t="s">
        <v>478</v>
      </c>
      <c r="C2136" s="143" t="n">
        <v>11171</v>
      </c>
      <c r="D2136" s="143" t="s">
        <v>74</v>
      </c>
      <c r="E2136" s="143" t="s">
        <v>479</v>
      </c>
      <c r="F2136" s="144" t="n">
        <v>200025888473</v>
      </c>
      <c r="G2136" s="144" t="s">
        <v>228</v>
      </c>
      <c r="H2136" s="144" t="n">
        <v>22</v>
      </c>
      <c r="I2136" s="144" t="s">
        <v>148</v>
      </c>
      <c r="J2136" s="151" t="n">
        <v>45057.7718981481</v>
      </c>
      <c r="K2136" s="1" t="n">
        <v>0</v>
      </c>
      <c r="L2136" s="144" t="n">
        <v>22</v>
      </c>
      <c r="M2136" s="1" t="n">
        <v>72</v>
      </c>
      <c r="N2136" s="1" t="n">
        <v>72</v>
      </c>
      <c r="O2136" s="149" t="n">
        <v>1</v>
      </c>
    </row>
    <row r="2137" customFormat="false" ht="14.25" hidden="false" customHeight="false" outlineLevel="0" collapsed="false">
      <c r="A2137" s="1" t="n">
        <v>532</v>
      </c>
      <c r="B2137" s="1" t="s">
        <v>473</v>
      </c>
      <c r="C2137" s="143" t="n">
        <v>11490</v>
      </c>
      <c r="D2137" s="143" t="s">
        <v>65</v>
      </c>
      <c r="E2137" s="143" t="s">
        <v>479</v>
      </c>
      <c r="F2137" s="144" t="n">
        <v>200025888473</v>
      </c>
      <c r="G2137" s="144" t="s">
        <v>228</v>
      </c>
      <c r="H2137" s="144" t="n">
        <v>22</v>
      </c>
      <c r="I2137" s="144" t="s">
        <v>148</v>
      </c>
      <c r="J2137" s="151" t="n">
        <v>45058.3926273148</v>
      </c>
      <c r="K2137" s="1" t="n">
        <v>3</v>
      </c>
      <c r="L2137" s="144" t="n">
        <v>22</v>
      </c>
      <c r="M2137" s="1" t="n">
        <v>72</v>
      </c>
      <c r="N2137" s="1" t="n">
        <v>72</v>
      </c>
      <c r="O2137" s="149" t="n">
        <v>2</v>
      </c>
    </row>
    <row r="2138" customFormat="false" ht="14.25" hidden="false" customHeight="false" outlineLevel="0" collapsed="false">
      <c r="A2138" s="1" t="n">
        <v>533</v>
      </c>
      <c r="B2138" s="1" t="s">
        <v>473</v>
      </c>
      <c r="C2138" s="143" t="n">
        <v>11490</v>
      </c>
      <c r="D2138" s="143" t="s">
        <v>65</v>
      </c>
      <c r="E2138" s="143" t="s">
        <v>479</v>
      </c>
      <c r="F2138" s="144" t="n">
        <v>200025888473</v>
      </c>
      <c r="G2138" s="144" t="s">
        <v>228</v>
      </c>
      <c r="H2138" s="144" t="n">
        <v>22</v>
      </c>
      <c r="I2138" s="144" t="s">
        <v>148</v>
      </c>
      <c r="J2138" s="151" t="n">
        <v>45058.3928125</v>
      </c>
      <c r="K2138" s="1" t="n">
        <v>1</v>
      </c>
      <c r="L2138" s="144" t="n">
        <v>22</v>
      </c>
      <c r="M2138" s="1" t="n">
        <v>72</v>
      </c>
      <c r="N2138" s="1" t="n">
        <v>72</v>
      </c>
      <c r="O2138" s="149" t="n">
        <v>3</v>
      </c>
    </row>
    <row r="2139" customFormat="false" ht="14.25" hidden="false" customHeight="false" outlineLevel="0" collapsed="false">
      <c r="A2139" s="1" t="n">
        <v>534</v>
      </c>
      <c r="B2139" s="1" t="s">
        <v>473</v>
      </c>
      <c r="C2139" s="143" t="n">
        <v>11490</v>
      </c>
      <c r="D2139" s="143" t="s">
        <v>65</v>
      </c>
      <c r="E2139" s="143" t="s">
        <v>479</v>
      </c>
      <c r="F2139" s="144" t="n">
        <v>200025888473</v>
      </c>
      <c r="G2139" s="144" t="s">
        <v>228</v>
      </c>
      <c r="H2139" s="144" t="n">
        <v>22</v>
      </c>
      <c r="I2139" s="144" t="s">
        <v>148</v>
      </c>
      <c r="J2139" s="151" t="n">
        <v>45058.3930208333</v>
      </c>
      <c r="K2139" s="1" t="n">
        <v>2</v>
      </c>
      <c r="L2139" s="144" t="n">
        <v>22</v>
      </c>
      <c r="M2139" s="1" t="n">
        <v>72</v>
      </c>
      <c r="N2139" s="1" t="n">
        <v>72</v>
      </c>
      <c r="O2139" s="149" t="n">
        <v>4</v>
      </c>
    </row>
    <row r="2140" customFormat="false" ht="14.25" hidden="false" customHeight="false" outlineLevel="0" collapsed="false">
      <c r="A2140" s="1" t="n">
        <v>206</v>
      </c>
      <c r="B2140" s="1" t="s">
        <v>478</v>
      </c>
      <c r="C2140" s="143" t="n">
        <v>21265</v>
      </c>
      <c r="D2140" s="143" t="s">
        <v>76</v>
      </c>
      <c r="E2140" s="143" t="s">
        <v>479</v>
      </c>
      <c r="F2140" s="144" t="n">
        <v>200025888473</v>
      </c>
      <c r="G2140" s="144" t="s">
        <v>228</v>
      </c>
      <c r="H2140" s="144" t="n">
        <v>22</v>
      </c>
      <c r="I2140" s="144" t="s">
        <v>148</v>
      </c>
      <c r="J2140" s="151" t="n">
        <v>45074.4743981482</v>
      </c>
      <c r="K2140" s="1" t="n">
        <v>1</v>
      </c>
      <c r="L2140" s="144" t="n">
        <v>22</v>
      </c>
      <c r="M2140" s="1" t="n">
        <v>72</v>
      </c>
      <c r="N2140" s="1" t="n">
        <v>72</v>
      </c>
      <c r="O2140" s="149" t="n">
        <v>5</v>
      </c>
    </row>
    <row r="2141" customFormat="false" ht="14.25" hidden="false" customHeight="false" outlineLevel="0" collapsed="false">
      <c r="A2141" s="1" t="n">
        <v>207</v>
      </c>
      <c r="B2141" s="1" t="s">
        <v>478</v>
      </c>
      <c r="C2141" s="143" t="n">
        <v>21265</v>
      </c>
      <c r="D2141" s="143" t="s">
        <v>76</v>
      </c>
      <c r="E2141" s="143" t="s">
        <v>479</v>
      </c>
      <c r="F2141" s="144" t="n">
        <v>200025888473</v>
      </c>
      <c r="G2141" s="144" t="s">
        <v>228</v>
      </c>
      <c r="H2141" s="144" t="n">
        <v>22</v>
      </c>
      <c r="I2141" s="144" t="s">
        <v>148</v>
      </c>
      <c r="J2141" s="151" t="n">
        <v>45074.4749537037</v>
      </c>
      <c r="K2141" s="1" t="n">
        <v>3</v>
      </c>
      <c r="L2141" s="144" t="n">
        <v>22</v>
      </c>
      <c r="M2141" s="1" t="n">
        <v>72</v>
      </c>
      <c r="N2141" s="1" t="n">
        <v>72</v>
      </c>
      <c r="O2141" s="149" t="n">
        <v>6</v>
      </c>
    </row>
    <row r="2142" customFormat="false" ht="14.25" hidden="false" customHeight="false" outlineLevel="0" collapsed="false">
      <c r="A2142" s="1" t="n">
        <v>208</v>
      </c>
      <c r="B2142" s="1" t="s">
        <v>478</v>
      </c>
      <c r="C2142" s="143" t="n">
        <v>21265</v>
      </c>
      <c r="D2142" s="143" t="s">
        <v>76</v>
      </c>
      <c r="E2142" s="143" t="s">
        <v>479</v>
      </c>
      <c r="F2142" s="144" t="n">
        <v>200025888473</v>
      </c>
      <c r="G2142" s="144" t="s">
        <v>228</v>
      </c>
      <c r="H2142" s="144" t="n">
        <v>22</v>
      </c>
      <c r="I2142" s="144" t="s">
        <v>148</v>
      </c>
      <c r="J2142" s="151" t="n">
        <v>45074.4751041667</v>
      </c>
      <c r="K2142" s="1" t="n">
        <v>1</v>
      </c>
      <c r="L2142" s="144" t="n">
        <v>22</v>
      </c>
      <c r="M2142" s="1" t="n">
        <v>72</v>
      </c>
      <c r="N2142" s="1" t="n">
        <v>72</v>
      </c>
      <c r="O2142" s="149" t="n">
        <v>7</v>
      </c>
    </row>
    <row r="2143" customFormat="false" ht="14.25" hidden="false" customHeight="false" outlineLevel="0" collapsed="false">
      <c r="A2143" s="1" t="n">
        <v>209</v>
      </c>
      <c r="B2143" s="1" t="s">
        <v>478</v>
      </c>
      <c r="C2143" s="143" t="n">
        <v>21265</v>
      </c>
      <c r="D2143" s="143" t="s">
        <v>76</v>
      </c>
      <c r="E2143" s="143" t="s">
        <v>479</v>
      </c>
      <c r="F2143" s="144" t="n">
        <v>200025888473</v>
      </c>
      <c r="G2143" s="144" t="s">
        <v>228</v>
      </c>
      <c r="H2143" s="144" t="n">
        <v>22</v>
      </c>
      <c r="I2143" s="144" t="s">
        <v>148</v>
      </c>
      <c r="J2143" s="151" t="n">
        <v>45074.4753356481</v>
      </c>
      <c r="K2143" s="1" t="n">
        <v>0</v>
      </c>
      <c r="L2143" s="144" t="n">
        <v>22</v>
      </c>
      <c r="M2143" s="1" t="n">
        <v>72</v>
      </c>
      <c r="N2143" s="1" t="n">
        <v>72</v>
      </c>
      <c r="O2143" s="149" t="n">
        <v>8</v>
      </c>
    </row>
    <row r="2144" customFormat="false" ht="14.25" hidden="false" customHeight="false" outlineLevel="0" collapsed="false">
      <c r="A2144" s="1" t="n">
        <v>210</v>
      </c>
      <c r="B2144" s="1" t="s">
        <v>478</v>
      </c>
      <c r="C2144" s="143" t="n">
        <v>21265</v>
      </c>
      <c r="D2144" s="143" t="s">
        <v>76</v>
      </c>
      <c r="E2144" s="143" t="s">
        <v>479</v>
      </c>
      <c r="F2144" s="144" t="n">
        <v>200025888473</v>
      </c>
      <c r="G2144" s="144" t="s">
        <v>228</v>
      </c>
      <c r="H2144" s="144" t="n">
        <v>22</v>
      </c>
      <c r="I2144" s="144" t="s">
        <v>148</v>
      </c>
      <c r="J2144" s="151" t="n">
        <v>45074.4755902778</v>
      </c>
      <c r="K2144" s="1" t="n">
        <v>1</v>
      </c>
      <c r="L2144" s="144" t="n">
        <v>22</v>
      </c>
      <c r="M2144" s="1" t="n">
        <v>72</v>
      </c>
      <c r="N2144" s="1" t="n">
        <v>72</v>
      </c>
      <c r="O2144" s="149" t="n">
        <v>9</v>
      </c>
    </row>
    <row r="2145" customFormat="false" ht="14.25" hidden="false" customHeight="false" outlineLevel="0" collapsed="false">
      <c r="A2145" s="1" t="n">
        <v>211</v>
      </c>
      <c r="B2145" s="1" t="s">
        <v>478</v>
      </c>
      <c r="C2145" s="143" t="n">
        <v>21265</v>
      </c>
      <c r="D2145" s="143" t="s">
        <v>76</v>
      </c>
      <c r="E2145" s="143" t="s">
        <v>479</v>
      </c>
      <c r="F2145" s="144" t="n">
        <v>200025888473</v>
      </c>
      <c r="G2145" s="144" t="s">
        <v>228</v>
      </c>
      <c r="H2145" s="144" t="n">
        <v>22</v>
      </c>
      <c r="I2145" s="144" t="s">
        <v>148</v>
      </c>
      <c r="J2145" s="151" t="n">
        <v>45074.4765509259</v>
      </c>
      <c r="K2145" s="1" t="n">
        <v>1</v>
      </c>
      <c r="L2145" s="144" t="n">
        <v>22</v>
      </c>
      <c r="M2145" s="1" t="n">
        <v>72</v>
      </c>
      <c r="N2145" s="1" t="n">
        <v>72</v>
      </c>
      <c r="O2145" s="149" t="n">
        <v>10</v>
      </c>
    </row>
    <row r="2146" customFormat="false" ht="14.25" hidden="false" customHeight="false" outlineLevel="0" collapsed="false">
      <c r="A2146" s="1" t="n">
        <v>212</v>
      </c>
      <c r="B2146" s="1" t="s">
        <v>478</v>
      </c>
      <c r="C2146" s="143" t="n">
        <v>21265</v>
      </c>
      <c r="D2146" s="143" t="s">
        <v>76</v>
      </c>
      <c r="E2146" s="143" t="s">
        <v>479</v>
      </c>
      <c r="F2146" s="144" t="n">
        <v>200025888473</v>
      </c>
      <c r="G2146" s="144" t="s">
        <v>228</v>
      </c>
      <c r="H2146" s="144" t="n">
        <v>22</v>
      </c>
      <c r="I2146" s="144" t="s">
        <v>148</v>
      </c>
      <c r="J2146" s="151" t="n">
        <v>45074.477662037</v>
      </c>
      <c r="K2146" s="1" t="n">
        <v>1</v>
      </c>
      <c r="L2146" s="144" t="n">
        <v>22</v>
      </c>
      <c r="M2146" s="1" t="n">
        <v>72</v>
      </c>
      <c r="N2146" s="1" t="n">
        <v>72</v>
      </c>
      <c r="O2146" s="149" t="n">
        <v>11</v>
      </c>
    </row>
    <row r="2147" customFormat="false" ht="14.25" hidden="false" customHeight="false" outlineLevel="0" collapsed="false">
      <c r="A2147" s="1" t="n">
        <v>213</v>
      </c>
      <c r="B2147" s="1" t="s">
        <v>478</v>
      </c>
      <c r="C2147" s="143" t="n">
        <v>21265</v>
      </c>
      <c r="D2147" s="143" t="s">
        <v>76</v>
      </c>
      <c r="E2147" s="143" t="s">
        <v>479</v>
      </c>
      <c r="F2147" s="144" t="n">
        <v>200025888473</v>
      </c>
      <c r="G2147" s="144" t="s">
        <v>228</v>
      </c>
      <c r="H2147" s="144" t="n">
        <v>22</v>
      </c>
      <c r="I2147" s="144" t="s">
        <v>148</v>
      </c>
      <c r="J2147" s="151" t="n">
        <v>45074.4783217593</v>
      </c>
      <c r="K2147" s="1" t="n">
        <v>1</v>
      </c>
      <c r="L2147" s="144" t="n">
        <v>22</v>
      </c>
      <c r="M2147" s="1" t="n">
        <v>72</v>
      </c>
      <c r="N2147" s="1" t="n">
        <v>72</v>
      </c>
      <c r="O2147" s="149" t="n">
        <v>12</v>
      </c>
    </row>
    <row r="2148" customFormat="false" ht="14.25" hidden="false" customHeight="false" outlineLevel="0" collapsed="false">
      <c r="A2148" s="1" t="n">
        <v>214</v>
      </c>
      <c r="B2148" s="1" t="s">
        <v>478</v>
      </c>
      <c r="C2148" s="143" t="n">
        <v>21265</v>
      </c>
      <c r="D2148" s="143" t="s">
        <v>76</v>
      </c>
      <c r="E2148" s="143" t="s">
        <v>479</v>
      </c>
      <c r="F2148" s="144" t="n">
        <v>200025888473</v>
      </c>
      <c r="G2148" s="144" t="s">
        <v>228</v>
      </c>
      <c r="H2148" s="144" t="n">
        <v>22</v>
      </c>
      <c r="I2148" s="144" t="s">
        <v>148</v>
      </c>
      <c r="J2148" s="151" t="n">
        <v>45074.4786226852</v>
      </c>
      <c r="K2148" s="1" t="n">
        <v>2</v>
      </c>
      <c r="L2148" s="144" t="n">
        <v>22</v>
      </c>
      <c r="M2148" s="1" t="n">
        <v>72</v>
      </c>
      <c r="N2148" s="1" t="n">
        <v>72</v>
      </c>
      <c r="O2148" s="149" t="n">
        <v>13</v>
      </c>
    </row>
    <row r="2149" customFormat="false" ht="14.25" hidden="false" customHeight="false" outlineLevel="0" collapsed="false">
      <c r="A2149" s="1" t="n">
        <v>215</v>
      </c>
      <c r="B2149" s="1" t="s">
        <v>478</v>
      </c>
      <c r="C2149" s="143" t="n">
        <v>21265</v>
      </c>
      <c r="D2149" s="143" t="s">
        <v>76</v>
      </c>
      <c r="E2149" s="143" t="s">
        <v>479</v>
      </c>
      <c r="F2149" s="144" t="n">
        <v>200025888473</v>
      </c>
      <c r="G2149" s="144" t="s">
        <v>228</v>
      </c>
      <c r="H2149" s="144" t="n">
        <v>22</v>
      </c>
      <c r="I2149" s="144" t="s">
        <v>148</v>
      </c>
      <c r="J2149" s="151" t="n">
        <v>45074.479224537</v>
      </c>
      <c r="K2149" s="1" t="n">
        <v>3</v>
      </c>
      <c r="L2149" s="144" t="n">
        <v>22</v>
      </c>
      <c r="M2149" s="1" t="n">
        <v>72</v>
      </c>
      <c r="N2149" s="1" t="n">
        <v>72</v>
      </c>
      <c r="O2149" s="149" t="n">
        <v>14</v>
      </c>
    </row>
    <row r="2150" customFormat="false" ht="14.25" hidden="false" customHeight="false" outlineLevel="0" collapsed="false">
      <c r="A2150" s="1" t="n">
        <v>168</v>
      </c>
      <c r="B2150" s="1" t="s">
        <v>490</v>
      </c>
      <c r="C2150" s="143" t="n">
        <v>11171</v>
      </c>
      <c r="D2150" s="143" t="s">
        <v>74</v>
      </c>
      <c r="E2150" s="143" t="s">
        <v>479</v>
      </c>
      <c r="F2150" s="144" t="n">
        <v>200025888473</v>
      </c>
      <c r="G2150" s="144" t="s">
        <v>228</v>
      </c>
      <c r="H2150" s="144" t="n">
        <v>22</v>
      </c>
      <c r="I2150" s="144" t="s">
        <v>148</v>
      </c>
      <c r="J2150" s="151" t="n">
        <v>45074.5087152778</v>
      </c>
      <c r="K2150" s="1" t="n">
        <v>2</v>
      </c>
      <c r="L2150" s="144" t="n">
        <v>22</v>
      </c>
      <c r="M2150" s="1" t="n">
        <v>72</v>
      </c>
      <c r="N2150" s="1" t="n">
        <v>72</v>
      </c>
      <c r="O2150" s="149" t="n">
        <v>15</v>
      </c>
    </row>
    <row r="2151" customFormat="false" ht="14.25" hidden="false" customHeight="false" outlineLevel="0" collapsed="false">
      <c r="A2151" s="1" t="n">
        <v>169</v>
      </c>
      <c r="B2151" s="1" t="s">
        <v>490</v>
      </c>
      <c r="C2151" s="143" t="n">
        <v>11171</v>
      </c>
      <c r="D2151" s="143" t="s">
        <v>74</v>
      </c>
      <c r="E2151" s="143" t="s">
        <v>479</v>
      </c>
      <c r="F2151" s="144" t="n">
        <v>200025888473</v>
      </c>
      <c r="G2151" s="144" t="s">
        <v>228</v>
      </c>
      <c r="H2151" s="144" t="n">
        <v>22</v>
      </c>
      <c r="I2151" s="144" t="s">
        <v>148</v>
      </c>
      <c r="J2151" s="151" t="n">
        <v>45074.5126041667</v>
      </c>
      <c r="K2151" s="1" t="n">
        <v>1</v>
      </c>
      <c r="L2151" s="144" t="n">
        <v>22</v>
      </c>
      <c r="M2151" s="1" t="n">
        <v>72</v>
      </c>
      <c r="N2151" s="1" t="n">
        <v>72</v>
      </c>
      <c r="O2151" s="149" t="n">
        <v>16</v>
      </c>
    </row>
    <row r="2152" customFormat="false" ht="14.25" hidden="false" customHeight="false" outlineLevel="0" collapsed="false">
      <c r="A2152" s="1" t="n">
        <v>170</v>
      </c>
      <c r="B2152" s="1" t="s">
        <v>490</v>
      </c>
      <c r="C2152" s="143" t="n">
        <v>11171</v>
      </c>
      <c r="D2152" s="143" t="s">
        <v>74</v>
      </c>
      <c r="E2152" s="143" t="s">
        <v>479</v>
      </c>
      <c r="F2152" s="144" t="n">
        <v>200025888473</v>
      </c>
      <c r="G2152" s="144" t="s">
        <v>228</v>
      </c>
      <c r="H2152" s="144" t="n">
        <v>22</v>
      </c>
      <c r="I2152" s="144" t="s">
        <v>148</v>
      </c>
      <c r="J2152" s="151" t="n">
        <v>45074.5130555556</v>
      </c>
      <c r="K2152" s="1" t="n">
        <v>2</v>
      </c>
      <c r="L2152" s="144" t="n">
        <v>22</v>
      </c>
      <c r="M2152" s="1" t="n">
        <v>72</v>
      </c>
      <c r="N2152" s="1" t="n">
        <v>72</v>
      </c>
      <c r="O2152" s="149" t="n">
        <v>17</v>
      </c>
    </row>
    <row r="2153" customFormat="false" ht="14.25" hidden="false" customHeight="false" outlineLevel="0" collapsed="false">
      <c r="A2153" s="1" t="n">
        <v>171</v>
      </c>
      <c r="B2153" s="1" t="s">
        <v>490</v>
      </c>
      <c r="C2153" s="143" t="n">
        <v>11171</v>
      </c>
      <c r="D2153" s="143" t="s">
        <v>74</v>
      </c>
      <c r="E2153" s="143" t="s">
        <v>479</v>
      </c>
      <c r="F2153" s="144" t="n">
        <v>200025888473</v>
      </c>
      <c r="G2153" s="144" t="s">
        <v>228</v>
      </c>
      <c r="H2153" s="144" t="n">
        <v>22</v>
      </c>
      <c r="I2153" s="144" t="s">
        <v>148</v>
      </c>
      <c r="J2153" s="151" t="n">
        <v>45074.5131712963</v>
      </c>
      <c r="K2153" s="1" t="n">
        <v>0</v>
      </c>
      <c r="L2153" s="144" t="n">
        <v>22</v>
      </c>
      <c r="M2153" s="1" t="n">
        <v>72</v>
      </c>
      <c r="N2153" s="1" t="n">
        <v>72</v>
      </c>
      <c r="O2153" s="149" t="n">
        <v>18</v>
      </c>
    </row>
    <row r="2154" customFormat="false" ht="14.25" hidden="false" customHeight="false" outlineLevel="0" collapsed="false">
      <c r="A2154" s="1" t="n">
        <v>172</v>
      </c>
      <c r="B2154" s="1" t="s">
        <v>490</v>
      </c>
      <c r="C2154" s="143" t="n">
        <v>11171</v>
      </c>
      <c r="D2154" s="143" t="s">
        <v>74</v>
      </c>
      <c r="E2154" s="143" t="s">
        <v>479</v>
      </c>
      <c r="F2154" s="144" t="n">
        <v>200025888473</v>
      </c>
      <c r="G2154" s="144" t="s">
        <v>228</v>
      </c>
      <c r="H2154" s="144" t="n">
        <v>22</v>
      </c>
      <c r="I2154" s="144" t="s">
        <v>148</v>
      </c>
      <c r="J2154" s="151" t="n">
        <v>45074.5165162037</v>
      </c>
      <c r="K2154" s="1" t="n">
        <v>15</v>
      </c>
      <c r="L2154" s="144" t="n">
        <v>22</v>
      </c>
      <c r="M2154" s="1" t="n">
        <v>72</v>
      </c>
      <c r="N2154" s="1" t="n">
        <v>72</v>
      </c>
      <c r="O2154" s="149" t="n">
        <v>19</v>
      </c>
    </row>
    <row r="2155" customFormat="false" ht="14.25" hidden="false" customHeight="false" outlineLevel="0" collapsed="false">
      <c r="A2155" s="1" t="n">
        <v>173</v>
      </c>
      <c r="B2155" s="1" t="s">
        <v>490</v>
      </c>
      <c r="C2155" s="143" t="n">
        <v>11171</v>
      </c>
      <c r="D2155" s="143" t="s">
        <v>74</v>
      </c>
      <c r="E2155" s="143" t="s">
        <v>479</v>
      </c>
      <c r="F2155" s="144" t="n">
        <v>200025888473</v>
      </c>
      <c r="G2155" s="144" t="s">
        <v>228</v>
      </c>
      <c r="H2155" s="144" t="n">
        <v>22</v>
      </c>
      <c r="I2155" s="144" t="s">
        <v>148</v>
      </c>
      <c r="J2155" s="151" t="n">
        <v>45074.5209143519</v>
      </c>
      <c r="K2155" s="1" t="n">
        <v>1</v>
      </c>
      <c r="L2155" s="144" t="n">
        <v>22</v>
      </c>
      <c r="M2155" s="1" t="n">
        <v>72</v>
      </c>
      <c r="N2155" s="1" t="n">
        <v>72</v>
      </c>
      <c r="O2155" s="149" t="n">
        <v>20</v>
      </c>
    </row>
    <row r="2156" customFormat="false" ht="14.25" hidden="false" customHeight="false" outlineLevel="0" collapsed="false">
      <c r="A2156" s="1" t="n">
        <v>174</v>
      </c>
      <c r="B2156" s="1" t="s">
        <v>490</v>
      </c>
      <c r="C2156" s="143" t="n">
        <v>11171</v>
      </c>
      <c r="D2156" s="143" t="s">
        <v>74</v>
      </c>
      <c r="E2156" s="143" t="s">
        <v>479</v>
      </c>
      <c r="F2156" s="144" t="n">
        <v>200025888473</v>
      </c>
      <c r="G2156" s="144" t="s">
        <v>228</v>
      </c>
      <c r="H2156" s="144" t="n">
        <v>22</v>
      </c>
      <c r="I2156" s="144" t="s">
        <v>148</v>
      </c>
      <c r="J2156" s="151" t="n">
        <v>45074.548125</v>
      </c>
      <c r="K2156" s="1" t="n">
        <v>2</v>
      </c>
      <c r="L2156" s="144" t="n">
        <v>22</v>
      </c>
      <c r="M2156" s="1" t="n">
        <v>72</v>
      </c>
      <c r="N2156" s="1" t="n">
        <v>72</v>
      </c>
      <c r="O2156" s="149" t="n">
        <v>21</v>
      </c>
    </row>
    <row r="2157" customFormat="false" ht="14.25" hidden="false" customHeight="false" outlineLevel="0" collapsed="false">
      <c r="A2157" s="1" t="n">
        <v>175</v>
      </c>
      <c r="B2157" s="1" t="s">
        <v>490</v>
      </c>
      <c r="C2157" s="143" t="n">
        <v>11171</v>
      </c>
      <c r="D2157" s="143" t="s">
        <v>74</v>
      </c>
      <c r="E2157" s="143" t="s">
        <v>479</v>
      </c>
      <c r="F2157" s="144" t="n">
        <v>200025888473</v>
      </c>
      <c r="G2157" s="144" t="s">
        <v>228</v>
      </c>
      <c r="H2157" s="144" t="n">
        <v>22</v>
      </c>
      <c r="I2157" s="144" t="s">
        <v>148</v>
      </c>
      <c r="J2157" s="151" t="n">
        <v>45074.5483217593</v>
      </c>
      <c r="K2157" s="1" t="n">
        <v>2</v>
      </c>
      <c r="L2157" s="144" t="n">
        <v>22</v>
      </c>
      <c r="M2157" s="1" t="n">
        <v>72</v>
      </c>
      <c r="N2157" s="1" t="n">
        <v>72</v>
      </c>
      <c r="O2157" s="149" t="n">
        <v>22</v>
      </c>
    </row>
    <row r="2158" customFormat="false" ht="14.25" hidden="false" customHeight="false" outlineLevel="0" collapsed="false">
      <c r="A2158" s="1" t="n">
        <v>176</v>
      </c>
      <c r="B2158" s="1" t="s">
        <v>490</v>
      </c>
      <c r="C2158" s="143" t="n">
        <v>11171</v>
      </c>
      <c r="D2158" s="143" t="s">
        <v>74</v>
      </c>
      <c r="E2158" s="143" t="s">
        <v>479</v>
      </c>
      <c r="F2158" s="144" t="n">
        <v>200025888473</v>
      </c>
      <c r="G2158" s="144" t="s">
        <v>228</v>
      </c>
      <c r="H2158" s="144" t="n">
        <v>22</v>
      </c>
      <c r="I2158" s="144" t="s">
        <v>148</v>
      </c>
      <c r="J2158" s="151" t="n">
        <v>45074.5520833333</v>
      </c>
      <c r="K2158" s="1" t="n">
        <v>0</v>
      </c>
      <c r="L2158" s="144" t="n">
        <v>22</v>
      </c>
      <c r="M2158" s="1" t="n">
        <v>72</v>
      </c>
      <c r="N2158" s="1" t="n">
        <v>72</v>
      </c>
      <c r="O2158" s="149" t="n">
        <v>23</v>
      </c>
    </row>
    <row r="2159" customFormat="false" ht="14.25" hidden="false" customHeight="false" outlineLevel="0" collapsed="false">
      <c r="A2159" s="1" t="n">
        <v>177</v>
      </c>
      <c r="B2159" s="1" t="s">
        <v>490</v>
      </c>
      <c r="C2159" s="143" t="n">
        <v>11171</v>
      </c>
      <c r="D2159" s="143" t="s">
        <v>74</v>
      </c>
      <c r="E2159" s="143" t="s">
        <v>479</v>
      </c>
      <c r="F2159" s="144" t="n">
        <v>200025888473</v>
      </c>
      <c r="G2159" s="144" t="s">
        <v>228</v>
      </c>
      <c r="H2159" s="144" t="n">
        <v>22</v>
      </c>
      <c r="I2159" s="144" t="s">
        <v>148</v>
      </c>
      <c r="J2159" s="151" t="n">
        <v>45074.5522106482</v>
      </c>
      <c r="K2159" s="1" t="n">
        <v>4</v>
      </c>
      <c r="L2159" s="144" t="n">
        <v>22</v>
      </c>
      <c r="M2159" s="1" t="n">
        <v>72</v>
      </c>
      <c r="N2159" s="1" t="n">
        <v>72</v>
      </c>
      <c r="O2159" s="149" t="n">
        <v>24</v>
      </c>
    </row>
    <row r="2160" customFormat="false" ht="14.25" hidden="false" customHeight="false" outlineLevel="0" collapsed="false">
      <c r="A2160" s="1" t="n">
        <v>178</v>
      </c>
      <c r="B2160" s="1" t="s">
        <v>490</v>
      </c>
      <c r="C2160" s="143" t="n">
        <v>11171</v>
      </c>
      <c r="D2160" s="143" t="s">
        <v>74</v>
      </c>
      <c r="E2160" s="143" t="s">
        <v>479</v>
      </c>
      <c r="F2160" s="144" t="n">
        <v>200025888473</v>
      </c>
      <c r="G2160" s="144" t="s">
        <v>228</v>
      </c>
      <c r="H2160" s="144" t="n">
        <v>22</v>
      </c>
      <c r="I2160" s="144" t="s">
        <v>148</v>
      </c>
      <c r="J2160" s="151" t="n">
        <v>45074.5927083333</v>
      </c>
      <c r="K2160" s="1" t="n">
        <v>1</v>
      </c>
      <c r="L2160" s="144" t="n">
        <v>22</v>
      </c>
      <c r="M2160" s="1" t="n">
        <v>72</v>
      </c>
      <c r="N2160" s="1" t="n">
        <v>72</v>
      </c>
      <c r="O2160" s="149" t="n">
        <v>25</v>
      </c>
    </row>
    <row r="2161" customFormat="false" ht="14.25" hidden="false" customHeight="false" outlineLevel="0" collapsed="false">
      <c r="A2161" s="1" t="n">
        <v>179</v>
      </c>
      <c r="B2161" s="1" t="s">
        <v>490</v>
      </c>
      <c r="C2161" s="143" t="n">
        <v>11171</v>
      </c>
      <c r="D2161" s="143" t="s">
        <v>74</v>
      </c>
      <c r="E2161" s="143" t="s">
        <v>479</v>
      </c>
      <c r="F2161" s="144" t="n">
        <v>200025888473</v>
      </c>
      <c r="G2161" s="144" t="s">
        <v>228</v>
      </c>
      <c r="H2161" s="144" t="n">
        <v>22</v>
      </c>
      <c r="I2161" s="144" t="s">
        <v>148</v>
      </c>
      <c r="J2161" s="151" t="n">
        <v>45074.5940972222</v>
      </c>
      <c r="K2161" s="1" t="n">
        <v>0</v>
      </c>
      <c r="L2161" s="144" t="n">
        <v>22</v>
      </c>
      <c r="M2161" s="1" t="n">
        <v>72</v>
      </c>
      <c r="N2161" s="1" t="n">
        <v>72</v>
      </c>
      <c r="O2161" s="149" t="n">
        <v>26</v>
      </c>
    </row>
    <row r="2162" customFormat="false" ht="14.25" hidden="false" customHeight="false" outlineLevel="0" collapsed="false">
      <c r="A2162" s="1" t="n">
        <v>180</v>
      </c>
      <c r="B2162" s="1" t="s">
        <v>490</v>
      </c>
      <c r="C2162" s="143" t="n">
        <v>11171</v>
      </c>
      <c r="D2162" s="143" t="s">
        <v>74</v>
      </c>
      <c r="E2162" s="143" t="s">
        <v>479</v>
      </c>
      <c r="F2162" s="144" t="n">
        <v>200025888473</v>
      </c>
      <c r="G2162" s="144" t="s">
        <v>228</v>
      </c>
      <c r="H2162" s="144" t="n">
        <v>22</v>
      </c>
      <c r="I2162" s="144" t="s">
        <v>148</v>
      </c>
      <c r="J2162" s="151" t="n">
        <v>45074.5958217593</v>
      </c>
      <c r="K2162" s="1" t="n">
        <v>2</v>
      </c>
      <c r="L2162" s="144" t="n">
        <v>22</v>
      </c>
      <c r="M2162" s="1" t="n">
        <v>72</v>
      </c>
      <c r="N2162" s="1" t="n">
        <v>72</v>
      </c>
      <c r="O2162" s="149" t="n">
        <v>27</v>
      </c>
    </row>
    <row r="2163" customFormat="false" ht="14.25" hidden="false" customHeight="false" outlineLevel="0" collapsed="false">
      <c r="A2163" s="1" t="n">
        <v>181</v>
      </c>
      <c r="B2163" s="1" t="s">
        <v>490</v>
      </c>
      <c r="C2163" s="143" t="n">
        <v>11171</v>
      </c>
      <c r="D2163" s="143" t="s">
        <v>74</v>
      </c>
      <c r="E2163" s="143" t="s">
        <v>479</v>
      </c>
      <c r="F2163" s="144" t="n">
        <v>200025888473</v>
      </c>
      <c r="G2163" s="144" t="s">
        <v>228</v>
      </c>
      <c r="H2163" s="144" t="n">
        <v>22</v>
      </c>
      <c r="I2163" s="144" t="s">
        <v>148</v>
      </c>
      <c r="J2163" s="151" t="n">
        <v>45074.6673958333</v>
      </c>
      <c r="K2163" s="1" t="n">
        <v>3</v>
      </c>
      <c r="L2163" s="144" t="n">
        <v>22</v>
      </c>
      <c r="M2163" s="1" t="n">
        <v>72</v>
      </c>
      <c r="N2163" s="1" t="n">
        <v>72</v>
      </c>
      <c r="O2163" s="149" t="n">
        <v>28</v>
      </c>
    </row>
    <row r="2164" customFormat="false" ht="14.25" hidden="false" customHeight="false" outlineLevel="0" collapsed="false">
      <c r="A2164" s="1" t="n">
        <v>182</v>
      </c>
      <c r="B2164" s="1" t="s">
        <v>490</v>
      </c>
      <c r="C2164" s="143" t="n">
        <v>11171</v>
      </c>
      <c r="D2164" s="143" t="s">
        <v>74</v>
      </c>
      <c r="E2164" s="143" t="s">
        <v>479</v>
      </c>
      <c r="F2164" s="144" t="n">
        <v>200025888473</v>
      </c>
      <c r="G2164" s="144" t="s">
        <v>228</v>
      </c>
      <c r="H2164" s="144" t="n">
        <v>22</v>
      </c>
      <c r="I2164" s="144" t="s">
        <v>148</v>
      </c>
      <c r="J2164" s="151" t="n">
        <v>45074.6689930556</v>
      </c>
      <c r="K2164" s="1" t="n">
        <v>6</v>
      </c>
      <c r="L2164" s="144" t="n">
        <v>22</v>
      </c>
      <c r="M2164" s="1" t="n">
        <v>72</v>
      </c>
      <c r="N2164" s="1" t="n">
        <v>72</v>
      </c>
      <c r="O2164" s="149" t="n">
        <v>29</v>
      </c>
    </row>
    <row r="2165" customFormat="false" ht="14.25" hidden="false" customHeight="false" outlineLevel="0" collapsed="false">
      <c r="A2165" s="1" t="n">
        <v>184</v>
      </c>
      <c r="B2165" s="1" t="s">
        <v>490</v>
      </c>
      <c r="C2165" s="143" t="n">
        <v>11171</v>
      </c>
      <c r="D2165" s="143" t="s">
        <v>74</v>
      </c>
      <c r="E2165" s="143" t="s">
        <v>479</v>
      </c>
      <c r="F2165" s="144" t="n">
        <v>200025888473</v>
      </c>
      <c r="G2165" s="144" t="s">
        <v>228</v>
      </c>
      <c r="H2165" s="144" t="n">
        <v>22</v>
      </c>
      <c r="I2165" s="144" t="s">
        <v>148</v>
      </c>
      <c r="J2165" s="151" t="n">
        <v>45074.7345023148</v>
      </c>
      <c r="K2165" s="1" t="n">
        <v>3</v>
      </c>
      <c r="L2165" s="144" t="n">
        <v>22</v>
      </c>
      <c r="M2165" s="1" t="n">
        <v>72</v>
      </c>
      <c r="N2165" s="1" t="n">
        <v>72</v>
      </c>
      <c r="O2165" s="149" t="n">
        <v>30</v>
      </c>
    </row>
    <row r="2166" customFormat="false" ht="14.25" hidden="false" customHeight="false" outlineLevel="0" collapsed="false">
      <c r="A2166" s="1" t="n">
        <v>185</v>
      </c>
      <c r="B2166" s="1" t="s">
        <v>490</v>
      </c>
      <c r="C2166" s="143" t="n">
        <v>11171</v>
      </c>
      <c r="D2166" s="143" t="s">
        <v>74</v>
      </c>
      <c r="E2166" s="143" t="s">
        <v>479</v>
      </c>
      <c r="F2166" s="144" t="n">
        <v>200025888473</v>
      </c>
      <c r="G2166" s="144" t="s">
        <v>228</v>
      </c>
      <c r="H2166" s="144" t="n">
        <v>22</v>
      </c>
      <c r="I2166" s="144" t="s">
        <v>148</v>
      </c>
      <c r="J2166" s="151" t="n">
        <v>45074.7659953704</v>
      </c>
      <c r="K2166" s="1" t="n">
        <v>1</v>
      </c>
      <c r="L2166" s="144" t="n">
        <v>22</v>
      </c>
      <c r="M2166" s="1" t="n">
        <v>72</v>
      </c>
      <c r="N2166" s="1" t="n">
        <v>72</v>
      </c>
      <c r="O2166" s="149" t="n">
        <v>31</v>
      </c>
    </row>
    <row r="2167" customFormat="false" ht="14.25" hidden="false" customHeight="false" outlineLevel="0" collapsed="false">
      <c r="A2167" s="1" t="n">
        <v>186</v>
      </c>
      <c r="B2167" s="1" t="s">
        <v>490</v>
      </c>
      <c r="C2167" s="143" t="n">
        <v>11171</v>
      </c>
      <c r="D2167" s="143" t="s">
        <v>74</v>
      </c>
      <c r="E2167" s="143" t="s">
        <v>479</v>
      </c>
      <c r="F2167" s="144" t="n">
        <v>200025888473</v>
      </c>
      <c r="G2167" s="144" t="s">
        <v>228</v>
      </c>
      <c r="H2167" s="144" t="n">
        <v>22</v>
      </c>
      <c r="I2167" s="144" t="s">
        <v>148</v>
      </c>
      <c r="J2167" s="151" t="n">
        <v>45074.7663194445</v>
      </c>
      <c r="K2167" s="1" t="n">
        <v>1</v>
      </c>
      <c r="L2167" s="144" t="n">
        <v>22</v>
      </c>
      <c r="M2167" s="1" t="n">
        <v>72</v>
      </c>
      <c r="N2167" s="1" t="n">
        <v>72</v>
      </c>
      <c r="O2167" s="149" t="n">
        <v>32</v>
      </c>
    </row>
    <row r="2168" customFormat="false" ht="14.25" hidden="false" customHeight="false" outlineLevel="0" collapsed="false">
      <c r="A2168" s="1" t="n">
        <v>187</v>
      </c>
      <c r="B2168" s="1" t="s">
        <v>490</v>
      </c>
      <c r="C2168" s="143" t="n">
        <v>11171</v>
      </c>
      <c r="D2168" s="143" t="s">
        <v>74</v>
      </c>
      <c r="E2168" s="143" t="s">
        <v>479</v>
      </c>
      <c r="F2168" s="144" t="n">
        <v>200025888473</v>
      </c>
      <c r="G2168" s="144" t="s">
        <v>228</v>
      </c>
      <c r="H2168" s="144" t="n">
        <v>22</v>
      </c>
      <c r="I2168" s="144" t="s">
        <v>148</v>
      </c>
      <c r="J2168" s="151" t="n">
        <v>45074.766412037</v>
      </c>
      <c r="K2168" s="1" t="n">
        <v>2</v>
      </c>
      <c r="L2168" s="144" t="n">
        <v>22</v>
      </c>
      <c r="M2168" s="1" t="n">
        <v>72</v>
      </c>
      <c r="N2168" s="1" t="n">
        <v>72</v>
      </c>
      <c r="O2168" s="149" t="n">
        <v>33</v>
      </c>
    </row>
    <row r="2169" customFormat="false" ht="14.25" hidden="false" customHeight="false" outlineLevel="0" collapsed="false">
      <c r="A2169" s="1" t="n">
        <v>189</v>
      </c>
      <c r="B2169" s="1" t="s">
        <v>490</v>
      </c>
      <c r="C2169" s="143" t="n">
        <v>11171</v>
      </c>
      <c r="D2169" s="143" t="s">
        <v>74</v>
      </c>
      <c r="E2169" s="143" t="s">
        <v>479</v>
      </c>
      <c r="F2169" s="144" t="n">
        <v>200025888473</v>
      </c>
      <c r="G2169" s="144" t="s">
        <v>228</v>
      </c>
      <c r="H2169" s="144" t="n">
        <v>22</v>
      </c>
      <c r="I2169" s="144" t="s">
        <v>148</v>
      </c>
      <c r="J2169" s="151" t="n">
        <v>45074.7887384259</v>
      </c>
      <c r="K2169" s="1" t="n">
        <v>1</v>
      </c>
      <c r="L2169" s="144" t="n">
        <v>22</v>
      </c>
      <c r="M2169" s="1" t="n">
        <v>72</v>
      </c>
      <c r="N2169" s="1" t="n">
        <v>72</v>
      </c>
      <c r="O2169" s="149" t="n">
        <v>34</v>
      </c>
    </row>
    <row r="2170" customFormat="false" ht="14.25" hidden="false" customHeight="false" outlineLevel="0" collapsed="false">
      <c r="A2170" s="1" t="n">
        <v>190</v>
      </c>
      <c r="B2170" s="1" t="s">
        <v>490</v>
      </c>
      <c r="C2170" s="143" t="n">
        <v>11171</v>
      </c>
      <c r="D2170" s="143" t="s">
        <v>74</v>
      </c>
      <c r="E2170" s="143" t="s">
        <v>479</v>
      </c>
      <c r="F2170" s="144" t="n">
        <v>200025888473</v>
      </c>
      <c r="G2170" s="144" t="s">
        <v>228</v>
      </c>
      <c r="H2170" s="144" t="n">
        <v>22</v>
      </c>
      <c r="I2170" s="144" t="s">
        <v>148</v>
      </c>
      <c r="J2170" s="151" t="n">
        <v>45074.7889699074</v>
      </c>
      <c r="K2170" s="1" t="n">
        <v>6</v>
      </c>
      <c r="L2170" s="144" t="n">
        <v>22</v>
      </c>
      <c r="M2170" s="1" t="n">
        <v>72</v>
      </c>
      <c r="N2170" s="1" t="n">
        <v>72</v>
      </c>
      <c r="O2170" s="149" t="n">
        <v>35</v>
      </c>
    </row>
    <row r="2171" customFormat="false" ht="14.25" hidden="false" customHeight="false" outlineLevel="0" collapsed="false">
      <c r="A2171" s="1" t="n">
        <v>191</v>
      </c>
      <c r="B2171" s="1" t="s">
        <v>490</v>
      </c>
      <c r="C2171" s="143" t="n">
        <v>11171</v>
      </c>
      <c r="D2171" s="143" t="s">
        <v>74</v>
      </c>
      <c r="E2171" s="143" t="s">
        <v>479</v>
      </c>
      <c r="F2171" s="144" t="n">
        <v>200025888473</v>
      </c>
      <c r="G2171" s="144" t="s">
        <v>228</v>
      </c>
      <c r="H2171" s="144" t="n">
        <v>22</v>
      </c>
      <c r="I2171" s="144" t="s">
        <v>148</v>
      </c>
      <c r="J2171" s="151" t="n">
        <v>45074.8578703704</v>
      </c>
      <c r="K2171" s="1" t="n">
        <v>3</v>
      </c>
      <c r="L2171" s="144" t="n">
        <v>22</v>
      </c>
      <c r="M2171" s="1" t="n">
        <v>72</v>
      </c>
      <c r="N2171" s="1" t="n">
        <v>72</v>
      </c>
      <c r="O2171" s="149" t="n">
        <v>36</v>
      </c>
    </row>
    <row r="2172" customFormat="false" ht="14.25" hidden="false" customHeight="false" outlineLevel="0" collapsed="false">
      <c r="A2172" s="1" t="n">
        <v>192</v>
      </c>
      <c r="B2172" s="1" t="s">
        <v>490</v>
      </c>
      <c r="C2172" s="143" t="n">
        <v>11171</v>
      </c>
      <c r="D2172" s="143" t="s">
        <v>74</v>
      </c>
      <c r="E2172" s="143" t="s">
        <v>479</v>
      </c>
      <c r="F2172" s="144" t="n">
        <v>200025888473</v>
      </c>
      <c r="G2172" s="144" t="s">
        <v>228</v>
      </c>
      <c r="H2172" s="144" t="n">
        <v>22</v>
      </c>
      <c r="I2172" s="144" t="s">
        <v>148</v>
      </c>
      <c r="J2172" s="151" t="n">
        <v>45074.8578935185</v>
      </c>
      <c r="K2172" s="1" t="n">
        <v>3</v>
      </c>
      <c r="L2172" s="144" t="n">
        <v>22</v>
      </c>
      <c r="M2172" s="1" t="n">
        <v>72</v>
      </c>
      <c r="N2172" s="1" t="n">
        <v>72</v>
      </c>
      <c r="O2172" s="149" t="n">
        <v>37</v>
      </c>
    </row>
    <row r="2173" customFormat="false" ht="14.25" hidden="false" customHeight="false" outlineLevel="0" collapsed="false">
      <c r="A2173" s="1" t="n">
        <v>193</v>
      </c>
      <c r="B2173" s="1" t="s">
        <v>490</v>
      </c>
      <c r="C2173" s="143" t="n">
        <v>11171</v>
      </c>
      <c r="D2173" s="143" t="s">
        <v>74</v>
      </c>
      <c r="E2173" s="143" t="s">
        <v>479</v>
      </c>
      <c r="F2173" s="144" t="n">
        <v>200025888473</v>
      </c>
      <c r="G2173" s="144" t="s">
        <v>228</v>
      </c>
      <c r="H2173" s="144" t="n">
        <v>22</v>
      </c>
      <c r="I2173" s="144" t="s">
        <v>148</v>
      </c>
      <c r="J2173" s="151" t="n">
        <v>45074.8603587963</v>
      </c>
      <c r="K2173" s="1" t="n">
        <v>0</v>
      </c>
      <c r="L2173" s="144" t="n">
        <v>22</v>
      </c>
      <c r="M2173" s="1" t="n">
        <v>72</v>
      </c>
      <c r="N2173" s="1" t="n">
        <v>72</v>
      </c>
      <c r="O2173" s="149" t="n">
        <v>38</v>
      </c>
    </row>
    <row r="2174" customFormat="false" ht="14.25" hidden="false" customHeight="false" outlineLevel="0" collapsed="false">
      <c r="A2174" s="1" t="n">
        <v>194</v>
      </c>
      <c r="B2174" s="1" t="s">
        <v>490</v>
      </c>
      <c r="C2174" s="143" t="n">
        <v>11171</v>
      </c>
      <c r="D2174" s="143" t="s">
        <v>74</v>
      </c>
      <c r="E2174" s="143" t="s">
        <v>479</v>
      </c>
      <c r="F2174" s="144" t="n">
        <v>200025888473</v>
      </c>
      <c r="G2174" s="144" t="s">
        <v>228</v>
      </c>
      <c r="H2174" s="144" t="n">
        <v>22</v>
      </c>
      <c r="I2174" s="144" t="s">
        <v>148</v>
      </c>
      <c r="J2174" s="151" t="n">
        <v>45074.8605671296</v>
      </c>
      <c r="K2174" s="1" t="n">
        <v>2</v>
      </c>
      <c r="L2174" s="144" t="n">
        <v>22</v>
      </c>
      <c r="M2174" s="1" t="n">
        <v>72</v>
      </c>
      <c r="N2174" s="1" t="n">
        <v>72</v>
      </c>
      <c r="O2174" s="149" t="n">
        <v>39</v>
      </c>
    </row>
    <row r="2175" customFormat="false" ht="14.25" hidden="false" customHeight="false" outlineLevel="0" collapsed="false">
      <c r="A2175" s="1" t="n">
        <v>195</v>
      </c>
      <c r="B2175" s="1" t="s">
        <v>490</v>
      </c>
      <c r="C2175" s="143" t="n">
        <v>11171</v>
      </c>
      <c r="D2175" s="143" t="s">
        <v>74</v>
      </c>
      <c r="E2175" s="143" t="s">
        <v>479</v>
      </c>
      <c r="F2175" s="144" t="n">
        <v>200025888473</v>
      </c>
      <c r="G2175" s="144" t="s">
        <v>228</v>
      </c>
      <c r="H2175" s="144" t="n">
        <v>22</v>
      </c>
      <c r="I2175" s="144" t="s">
        <v>148</v>
      </c>
      <c r="J2175" s="151" t="n">
        <v>45074.8609722222</v>
      </c>
      <c r="K2175" s="1" t="n">
        <v>1</v>
      </c>
      <c r="L2175" s="144" t="n">
        <v>22</v>
      </c>
      <c r="M2175" s="1" t="n">
        <v>72</v>
      </c>
      <c r="N2175" s="1" t="n">
        <v>72</v>
      </c>
      <c r="O2175" s="149" t="n">
        <v>40</v>
      </c>
    </row>
    <row r="2176" customFormat="false" ht="14.25" hidden="false" customHeight="false" outlineLevel="0" collapsed="false">
      <c r="A2176" s="1" t="n">
        <v>196</v>
      </c>
      <c r="B2176" s="1" t="s">
        <v>490</v>
      </c>
      <c r="C2176" s="143" t="n">
        <v>11171</v>
      </c>
      <c r="D2176" s="143" t="s">
        <v>74</v>
      </c>
      <c r="E2176" s="143" t="s">
        <v>479</v>
      </c>
      <c r="F2176" s="144" t="n">
        <v>200025888473</v>
      </c>
      <c r="G2176" s="144" t="s">
        <v>228</v>
      </c>
      <c r="H2176" s="144" t="n">
        <v>22</v>
      </c>
      <c r="I2176" s="144" t="s">
        <v>148</v>
      </c>
      <c r="J2176" s="151" t="n">
        <v>45074.861099537</v>
      </c>
      <c r="K2176" s="1" t="n">
        <v>5</v>
      </c>
      <c r="L2176" s="144" t="n">
        <v>22</v>
      </c>
      <c r="M2176" s="1" t="n">
        <v>72</v>
      </c>
      <c r="N2176" s="1" t="n">
        <v>72</v>
      </c>
      <c r="O2176" s="149" t="n">
        <v>41</v>
      </c>
    </row>
    <row r="2177" customFormat="false" ht="14.25" hidden="false" customHeight="false" outlineLevel="0" collapsed="false">
      <c r="A2177" s="1" t="n">
        <v>255</v>
      </c>
      <c r="B2177" s="1" t="s">
        <v>478</v>
      </c>
      <c r="C2177" s="143" t="n">
        <v>21265</v>
      </c>
      <c r="D2177" s="143" t="s">
        <v>76</v>
      </c>
      <c r="E2177" s="143" t="s">
        <v>479</v>
      </c>
      <c r="F2177" s="144" t="n">
        <v>200025888473</v>
      </c>
      <c r="G2177" s="144" t="s">
        <v>228</v>
      </c>
      <c r="H2177" s="144" t="n">
        <v>22</v>
      </c>
      <c r="I2177" s="144" t="s">
        <v>148</v>
      </c>
      <c r="J2177" s="151" t="n">
        <v>45074.867337963</v>
      </c>
      <c r="K2177" s="1" t="n">
        <v>1</v>
      </c>
      <c r="L2177" s="144" t="n">
        <v>22</v>
      </c>
      <c r="M2177" s="1" t="n">
        <v>72</v>
      </c>
      <c r="N2177" s="1" t="n">
        <v>72</v>
      </c>
      <c r="O2177" s="149" t="n">
        <v>42</v>
      </c>
    </row>
    <row r="2178" customFormat="false" ht="14.25" hidden="false" customHeight="false" outlineLevel="0" collapsed="false">
      <c r="A2178" s="1" t="n">
        <v>211</v>
      </c>
      <c r="B2178" s="1" t="s">
        <v>490</v>
      </c>
      <c r="C2178" s="143" t="n">
        <v>11171</v>
      </c>
      <c r="D2178" s="143" t="s">
        <v>74</v>
      </c>
      <c r="E2178" s="143" t="s">
        <v>479</v>
      </c>
      <c r="F2178" s="144" t="n">
        <v>200025888473</v>
      </c>
      <c r="G2178" s="144" t="s">
        <v>228</v>
      </c>
      <c r="H2178" s="144" t="n">
        <v>22</v>
      </c>
      <c r="I2178" s="144" t="s">
        <v>148</v>
      </c>
      <c r="J2178" s="151" t="n">
        <v>45074.9383217593</v>
      </c>
      <c r="K2178" s="1" t="n">
        <v>0</v>
      </c>
      <c r="L2178" s="144" t="n">
        <v>22</v>
      </c>
      <c r="M2178" s="1" t="n">
        <v>72</v>
      </c>
      <c r="N2178" s="1" t="n">
        <v>72</v>
      </c>
      <c r="O2178" s="149" t="n">
        <v>43</v>
      </c>
    </row>
    <row r="2179" customFormat="false" ht="14.25" hidden="false" customHeight="false" outlineLevel="0" collapsed="false">
      <c r="A2179" s="1" t="n">
        <v>212</v>
      </c>
      <c r="B2179" s="1" t="s">
        <v>490</v>
      </c>
      <c r="C2179" s="143" t="n">
        <v>11171</v>
      </c>
      <c r="D2179" s="143" t="s">
        <v>74</v>
      </c>
      <c r="E2179" s="143" t="s">
        <v>479</v>
      </c>
      <c r="F2179" s="144" t="n">
        <v>200025888473</v>
      </c>
      <c r="G2179" s="144" t="s">
        <v>228</v>
      </c>
      <c r="H2179" s="144" t="n">
        <v>22</v>
      </c>
      <c r="I2179" s="144" t="s">
        <v>148</v>
      </c>
      <c r="J2179" s="151" t="n">
        <v>45074.9383680556</v>
      </c>
      <c r="K2179" s="1" t="n">
        <v>0</v>
      </c>
      <c r="L2179" s="144" t="n">
        <v>22</v>
      </c>
      <c r="M2179" s="1" t="n">
        <v>72</v>
      </c>
      <c r="N2179" s="1" t="n">
        <v>72</v>
      </c>
      <c r="O2179" s="149" t="n">
        <v>44</v>
      </c>
    </row>
    <row r="2180" customFormat="false" ht="14.25" hidden="false" customHeight="false" outlineLevel="0" collapsed="false">
      <c r="A2180" s="1" t="n">
        <v>213</v>
      </c>
      <c r="B2180" s="1" t="s">
        <v>490</v>
      </c>
      <c r="C2180" s="143" t="n">
        <v>11171</v>
      </c>
      <c r="D2180" s="143" t="s">
        <v>74</v>
      </c>
      <c r="E2180" s="143" t="s">
        <v>479</v>
      </c>
      <c r="F2180" s="144" t="n">
        <v>200025888473</v>
      </c>
      <c r="G2180" s="144" t="s">
        <v>228</v>
      </c>
      <c r="H2180" s="144" t="n">
        <v>22</v>
      </c>
      <c r="I2180" s="144" t="s">
        <v>148</v>
      </c>
      <c r="J2180" s="151" t="n">
        <v>45074.9897337963</v>
      </c>
      <c r="K2180" s="1" t="n">
        <v>2</v>
      </c>
      <c r="L2180" s="144" t="n">
        <v>22</v>
      </c>
      <c r="M2180" s="1" t="n">
        <v>72</v>
      </c>
      <c r="N2180" s="1" t="n">
        <v>72</v>
      </c>
      <c r="O2180" s="149" t="n">
        <v>45</v>
      </c>
    </row>
    <row r="2181" customFormat="false" ht="14.25" hidden="false" customHeight="false" outlineLevel="0" collapsed="false">
      <c r="A2181" s="1" t="n">
        <v>214</v>
      </c>
      <c r="B2181" s="1" t="s">
        <v>490</v>
      </c>
      <c r="C2181" s="143" t="n">
        <v>11171</v>
      </c>
      <c r="D2181" s="143" t="s">
        <v>74</v>
      </c>
      <c r="E2181" s="143" t="s">
        <v>479</v>
      </c>
      <c r="F2181" s="144" t="n">
        <v>200025888473</v>
      </c>
      <c r="G2181" s="144" t="s">
        <v>228</v>
      </c>
      <c r="H2181" s="144" t="n">
        <v>22</v>
      </c>
      <c r="I2181" s="144" t="s">
        <v>148</v>
      </c>
      <c r="J2181" s="151" t="n">
        <v>45074.9902314815</v>
      </c>
      <c r="K2181" s="1" t="n">
        <v>2</v>
      </c>
      <c r="L2181" s="144" t="n">
        <v>22</v>
      </c>
      <c r="M2181" s="1" t="n">
        <v>72</v>
      </c>
      <c r="N2181" s="1" t="n">
        <v>72</v>
      </c>
      <c r="O2181" s="149" t="n">
        <v>46</v>
      </c>
    </row>
    <row r="2182" customFormat="false" ht="14.25" hidden="false" customHeight="false" outlineLevel="0" collapsed="false">
      <c r="A2182" s="1" t="n">
        <v>215</v>
      </c>
      <c r="B2182" s="1" t="s">
        <v>490</v>
      </c>
      <c r="C2182" s="143" t="n">
        <v>11171</v>
      </c>
      <c r="D2182" s="143" t="s">
        <v>74</v>
      </c>
      <c r="E2182" s="143" t="s">
        <v>479</v>
      </c>
      <c r="F2182" s="144" t="n">
        <v>200025888473</v>
      </c>
      <c r="G2182" s="144" t="s">
        <v>228</v>
      </c>
      <c r="H2182" s="144" t="n">
        <v>22</v>
      </c>
      <c r="I2182" s="144" t="s">
        <v>148</v>
      </c>
      <c r="J2182" s="151" t="n">
        <v>45074.9903125</v>
      </c>
      <c r="K2182" s="1" t="n">
        <v>1</v>
      </c>
      <c r="L2182" s="144" t="n">
        <v>22</v>
      </c>
      <c r="M2182" s="1" t="n">
        <v>72</v>
      </c>
      <c r="N2182" s="1" t="n">
        <v>72</v>
      </c>
      <c r="O2182" s="149" t="n">
        <v>47</v>
      </c>
    </row>
    <row r="2183" customFormat="false" ht="14.25" hidden="false" customHeight="false" outlineLevel="0" collapsed="false">
      <c r="A2183" s="1" t="n">
        <v>216</v>
      </c>
      <c r="B2183" s="1" t="s">
        <v>490</v>
      </c>
      <c r="C2183" s="143" t="n">
        <v>11171</v>
      </c>
      <c r="D2183" s="143" t="s">
        <v>74</v>
      </c>
      <c r="E2183" s="143" t="s">
        <v>479</v>
      </c>
      <c r="F2183" s="144" t="n">
        <v>200025888473</v>
      </c>
      <c r="G2183" s="144" t="s">
        <v>228</v>
      </c>
      <c r="H2183" s="144" t="n">
        <v>22</v>
      </c>
      <c r="I2183" s="144" t="s">
        <v>148</v>
      </c>
      <c r="J2183" s="151" t="n">
        <v>45074.9905092593</v>
      </c>
      <c r="K2183" s="1" t="n">
        <v>0</v>
      </c>
      <c r="L2183" s="144" t="n">
        <v>22</v>
      </c>
      <c r="M2183" s="1" t="n">
        <v>72</v>
      </c>
      <c r="N2183" s="1" t="n">
        <v>72</v>
      </c>
      <c r="O2183" s="149" t="n">
        <v>48</v>
      </c>
    </row>
    <row r="2184" customFormat="false" ht="14.25" hidden="false" customHeight="false" outlineLevel="0" collapsed="false">
      <c r="A2184" s="1" t="n">
        <v>217</v>
      </c>
      <c r="B2184" s="1" t="s">
        <v>490</v>
      </c>
      <c r="C2184" s="143" t="n">
        <v>11171</v>
      </c>
      <c r="D2184" s="143" t="s">
        <v>74</v>
      </c>
      <c r="E2184" s="143" t="s">
        <v>479</v>
      </c>
      <c r="F2184" s="144" t="n">
        <v>200025888473</v>
      </c>
      <c r="G2184" s="144" t="s">
        <v>228</v>
      </c>
      <c r="H2184" s="144" t="n">
        <v>22</v>
      </c>
      <c r="I2184" s="144" t="s">
        <v>148</v>
      </c>
      <c r="J2184" s="151" t="n">
        <v>45074.9934490741</v>
      </c>
      <c r="K2184" s="1" t="n">
        <v>2</v>
      </c>
      <c r="L2184" s="144" t="n">
        <v>22</v>
      </c>
      <c r="M2184" s="1" t="n">
        <v>72</v>
      </c>
      <c r="N2184" s="1" t="n">
        <v>72</v>
      </c>
      <c r="O2184" s="149" t="n">
        <v>49</v>
      </c>
    </row>
    <row r="2185" customFormat="false" ht="14.25" hidden="false" customHeight="false" outlineLevel="0" collapsed="false">
      <c r="A2185" s="1" t="n">
        <v>282</v>
      </c>
      <c r="B2185" s="1" t="s">
        <v>478</v>
      </c>
      <c r="C2185" s="143" t="n">
        <v>21265</v>
      </c>
      <c r="D2185" s="143" t="s">
        <v>76</v>
      </c>
      <c r="E2185" s="143" t="s">
        <v>479</v>
      </c>
      <c r="F2185" s="144" t="n">
        <v>200025888473</v>
      </c>
      <c r="G2185" s="144" t="s">
        <v>228</v>
      </c>
      <c r="H2185" s="144" t="n">
        <v>22</v>
      </c>
      <c r="I2185" s="144" t="s">
        <v>148</v>
      </c>
      <c r="J2185" s="151" t="n">
        <v>45075.0905439815</v>
      </c>
      <c r="K2185" s="1" t="n">
        <v>1</v>
      </c>
      <c r="L2185" s="144" t="n">
        <v>22</v>
      </c>
      <c r="M2185" s="1" t="n">
        <v>72</v>
      </c>
      <c r="N2185" s="1" t="n">
        <v>72</v>
      </c>
      <c r="O2185" s="149" t="n">
        <v>50</v>
      </c>
    </row>
    <row r="2186" customFormat="false" ht="14.25" hidden="false" customHeight="false" outlineLevel="0" collapsed="false">
      <c r="A2186" s="1" t="n">
        <v>283</v>
      </c>
      <c r="B2186" s="1" t="s">
        <v>478</v>
      </c>
      <c r="C2186" s="143" t="n">
        <v>21265</v>
      </c>
      <c r="D2186" s="143" t="s">
        <v>76</v>
      </c>
      <c r="E2186" s="143" t="s">
        <v>479</v>
      </c>
      <c r="F2186" s="144" t="n">
        <v>200025888473</v>
      </c>
      <c r="G2186" s="144" t="s">
        <v>228</v>
      </c>
      <c r="H2186" s="144" t="n">
        <v>22</v>
      </c>
      <c r="I2186" s="144" t="s">
        <v>148</v>
      </c>
      <c r="J2186" s="151" t="n">
        <v>45075.0906828704</v>
      </c>
      <c r="K2186" s="1" t="n">
        <v>1</v>
      </c>
      <c r="L2186" s="144" t="n">
        <v>22</v>
      </c>
      <c r="M2186" s="1" t="n">
        <v>72</v>
      </c>
      <c r="N2186" s="1" t="n">
        <v>72</v>
      </c>
      <c r="O2186" s="149" t="n">
        <v>51</v>
      </c>
    </row>
    <row r="2187" customFormat="false" ht="14.25" hidden="false" customHeight="false" outlineLevel="0" collapsed="false">
      <c r="A2187" s="1" t="n">
        <v>284</v>
      </c>
      <c r="B2187" s="1" t="s">
        <v>478</v>
      </c>
      <c r="C2187" s="143" t="n">
        <v>21265</v>
      </c>
      <c r="D2187" s="143" t="s">
        <v>76</v>
      </c>
      <c r="E2187" s="143" t="s">
        <v>479</v>
      </c>
      <c r="F2187" s="144" t="n">
        <v>200025888473</v>
      </c>
      <c r="G2187" s="144" t="s">
        <v>228</v>
      </c>
      <c r="H2187" s="144" t="n">
        <v>22</v>
      </c>
      <c r="I2187" s="144" t="s">
        <v>148</v>
      </c>
      <c r="J2187" s="151" t="n">
        <v>45075.0913541667</v>
      </c>
      <c r="K2187" s="1" t="n">
        <v>3</v>
      </c>
      <c r="L2187" s="144" t="n">
        <v>22</v>
      </c>
      <c r="M2187" s="1" t="n">
        <v>72</v>
      </c>
      <c r="N2187" s="1" t="n">
        <v>72</v>
      </c>
      <c r="O2187" s="149" t="n">
        <v>52</v>
      </c>
    </row>
    <row r="2188" customFormat="false" ht="14.25" hidden="false" customHeight="false" outlineLevel="0" collapsed="false">
      <c r="A2188" s="1" t="n">
        <v>44</v>
      </c>
      <c r="B2188" s="1" t="s">
        <v>478</v>
      </c>
      <c r="C2188" s="143" t="n">
        <v>11171</v>
      </c>
      <c r="D2188" s="143" t="s">
        <v>74</v>
      </c>
      <c r="E2188" s="143" t="s">
        <v>479</v>
      </c>
      <c r="F2188" s="144" t="n">
        <v>200025888980</v>
      </c>
      <c r="G2188" s="144" t="s">
        <v>255</v>
      </c>
      <c r="H2188" s="144" t="n">
        <v>30</v>
      </c>
      <c r="I2188" s="144" t="s">
        <v>148</v>
      </c>
      <c r="J2188" s="6" t="n">
        <v>45057.8678009259</v>
      </c>
      <c r="K2188" s="1" t="n">
        <v>1</v>
      </c>
      <c r="L2188" s="144" t="n">
        <v>30</v>
      </c>
      <c r="M2188" s="1" t="n">
        <v>73</v>
      </c>
      <c r="N2188" s="1" t="n">
        <v>73</v>
      </c>
      <c r="O2188" s="149" t="n">
        <v>1</v>
      </c>
    </row>
    <row r="2189" customFormat="false" ht="14.25" hidden="false" customHeight="false" outlineLevel="0" collapsed="false">
      <c r="A2189" s="1" t="n">
        <v>47</v>
      </c>
      <c r="B2189" s="1" t="s">
        <v>478</v>
      </c>
      <c r="C2189" s="143" t="n">
        <v>11171</v>
      </c>
      <c r="D2189" s="143" t="s">
        <v>74</v>
      </c>
      <c r="E2189" s="143" t="s">
        <v>479</v>
      </c>
      <c r="F2189" s="144" t="n">
        <v>200025888980</v>
      </c>
      <c r="G2189" s="144" t="s">
        <v>255</v>
      </c>
      <c r="H2189" s="144" t="n">
        <v>30</v>
      </c>
      <c r="I2189" s="144" t="s">
        <v>148</v>
      </c>
      <c r="J2189" s="6" t="n">
        <v>45057.9157523148</v>
      </c>
      <c r="K2189" s="1" t="n">
        <v>1</v>
      </c>
      <c r="L2189" s="144" t="n">
        <v>30</v>
      </c>
      <c r="M2189" s="1" t="n">
        <v>73</v>
      </c>
      <c r="N2189" s="1" t="n">
        <v>73</v>
      </c>
      <c r="O2189" s="149" t="n">
        <v>2</v>
      </c>
    </row>
    <row r="2190" customFormat="false" ht="14.25" hidden="false" customHeight="false" outlineLevel="0" collapsed="false">
      <c r="A2190" s="1" t="n">
        <v>278</v>
      </c>
      <c r="B2190" s="1" t="s">
        <v>478</v>
      </c>
      <c r="C2190" s="143" t="n">
        <v>21265</v>
      </c>
      <c r="D2190" s="143" t="s">
        <v>76</v>
      </c>
      <c r="E2190" s="143" t="s">
        <v>479</v>
      </c>
      <c r="F2190" s="144" t="n">
        <v>200025888980</v>
      </c>
      <c r="G2190" s="144" t="s">
        <v>255</v>
      </c>
      <c r="H2190" s="144" t="n">
        <v>30</v>
      </c>
      <c r="I2190" s="144" t="s">
        <v>148</v>
      </c>
      <c r="J2190" s="6" t="n">
        <v>45075.0726967593</v>
      </c>
      <c r="K2190" s="1" t="n">
        <v>3</v>
      </c>
      <c r="L2190" s="144" t="n">
        <v>30</v>
      </c>
      <c r="M2190" s="1" t="n">
        <v>73</v>
      </c>
      <c r="N2190" s="1" t="n">
        <v>73</v>
      </c>
      <c r="O2190" s="149" t="n">
        <v>3</v>
      </c>
    </row>
    <row r="2191" customFormat="false" ht="14.25" hidden="false" customHeight="false" outlineLevel="0" collapsed="false">
      <c r="A2191" s="1" t="n">
        <v>279</v>
      </c>
      <c r="B2191" s="1" t="s">
        <v>478</v>
      </c>
      <c r="C2191" s="143" t="n">
        <v>21265</v>
      </c>
      <c r="D2191" s="143" t="s">
        <v>76</v>
      </c>
      <c r="E2191" s="143" t="s">
        <v>479</v>
      </c>
      <c r="F2191" s="144" t="n">
        <v>200025888980</v>
      </c>
      <c r="G2191" s="144" t="s">
        <v>255</v>
      </c>
      <c r="H2191" s="144" t="n">
        <v>30</v>
      </c>
      <c r="I2191" s="144" t="s">
        <v>148</v>
      </c>
      <c r="J2191" s="6" t="n">
        <v>45075.0734143519</v>
      </c>
      <c r="K2191" s="1" t="n">
        <v>0</v>
      </c>
      <c r="L2191" s="144" t="n">
        <v>30</v>
      </c>
      <c r="M2191" s="1" t="n">
        <v>73</v>
      </c>
      <c r="N2191" s="1" t="n">
        <v>73</v>
      </c>
      <c r="O2191" s="149" t="n">
        <v>4</v>
      </c>
    </row>
    <row r="2192" customFormat="false" ht="14.25" hidden="false" customHeight="false" outlineLevel="0" collapsed="false">
      <c r="A2192" s="1" t="n">
        <v>280</v>
      </c>
      <c r="B2192" s="1" t="s">
        <v>478</v>
      </c>
      <c r="C2192" s="143" t="n">
        <v>21265</v>
      </c>
      <c r="D2192" s="143" t="s">
        <v>76</v>
      </c>
      <c r="E2192" s="143" t="s">
        <v>479</v>
      </c>
      <c r="F2192" s="144" t="n">
        <v>200025888980</v>
      </c>
      <c r="G2192" s="144" t="s">
        <v>255</v>
      </c>
      <c r="H2192" s="144" t="n">
        <v>30</v>
      </c>
      <c r="I2192" s="144" t="s">
        <v>148</v>
      </c>
      <c r="J2192" s="6" t="n">
        <v>45075.0740162037</v>
      </c>
      <c r="K2192" s="1" t="n">
        <v>2</v>
      </c>
      <c r="L2192" s="144" t="n">
        <v>30</v>
      </c>
      <c r="M2192" s="1" t="n">
        <v>73</v>
      </c>
      <c r="N2192" s="1" t="n">
        <v>73</v>
      </c>
      <c r="O2192" s="149" t="n">
        <v>5</v>
      </c>
    </row>
    <row r="2193" customFormat="false" ht="14.25" hidden="false" customHeight="false" outlineLevel="0" collapsed="false">
      <c r="A2193" s="1" t="n">
        <v>281</v>
      </c>
      <c r="B2193" s="1" t="s">
        <v>478</v>
      </c>
      <c r="C2193" s="143" t="n">
        <v>21265</v>
      </c>
      <c r="D2193" s="143" t="s">
        <v>76</v>
      </c>
      <c r="E2193" s="143" t="s">
        <v>479</v>
      </c>
      <c r="F2193" s="144" t="n">
        <v>200025888980</v>
      </c>
      <c r="G2193" s="144" t="s">
        <v>255</v>
      </c>
      <c r="H2193" s="144" t="n">
        <v>30</v>
      </c>
      <c r="I2193" s="144" t="s">
        <v>148</v>
      </c>
      <c r="J2193" s="6" t="n">
        <v>45075.0740509259</v>
      </c>
      <c r="K2193" s="1" t="n">
        <v>2</v>
      </c>
      <c r="L2193" s="144" t="n">
        <v>30</v>
      </c>
      <c r="M2193" s="1" t="n">
        <v>73</v>
      </c>
      <c r="N2193" s="1" t="n">
        <v>73</v>
      </c>
      <c r="O2193" s="149" t="n">
        <v>6</v>
      </c>
    </row>
    <row r="2194" customFormat="false" ht="14.25" hidden="false" customHeight="false" outlineLevel="0" collapsed="false">
      <c r="A2194" s="1" t="n">
        <v>245</v>
      </c>
      <c r="B2194" s="1" t="s">
        <v>490</v>
      </c>
      <c r="C2194" s="143" t="n">
        <v>11171</v>
      </c>
      <c r="D2194" s="143" t="s">
        <v>74</v>
      </c>
      <c r="E2194" s="143" t="s">
        <v>479</v>
      </c>
      <c r="F2194" s="144" t="n">
        <v>200025888980</v>
      </c>
      <c r="G2194" s="144" t="s">
        <v>255</v>
      </c>
      <c r="H2194" s="144" t="n">
        <v>30</v>
      </c>
      <c r="I2194" s="144" t="s">
        <v>148</v>
      </c>
      <c r="J2194" s="6" t="n">
        <v>45075.0912731482</v>
      </c>
      <c r="K2194" s="1" t="n">
        <v>0</v>
      </c>
      <c r="L2194" s="144" t="n">
        <v>30</v>
      </c>
      <c r="M2194" s="1" t="n">
        <v>73</v>
      </c>
      <c r="N2194" s="1" t="n">
        <v>73</v>
      </c>
      <c r="O2194" s="149" t="n">
        <v>7</v>
      </c>
    </row>
    <row r="2195" customFormat="false" ht="14.25" hidden="false" customHeight="false" outlineLevel="0" collapsed="false">
      <c r="A2195" s="1" t="n">
        <v>285</v>
      </c>
      <c r="B2195" s="1" t="s">
        <v>478</v>
      </c>
      <c r="C2195" s="143" t="n">
        <v>21265</v>
      </c>
      <c r="D2195" s="143" t="s">
        <v>76</v>
      </c>
      <c r="E2195" s="143" t="s">
        <v>479</v>
      </c>
      <c r="F2195" s="144" t="n">
        <v>200025888980</v>
      </c>
      <c r="G2195" s="144" t="s">
        <v>255</v>
      </c>
      <c r="H2195" s="144" t="n">
        <v>30</v>
      </c>
      <c r="I2195" s="144" t="s">
        <v>148</v>
      </c>
      <c r="J2195" s="6" t="n">
        <v>45075.1059259259</v>
      </c>
      <c r="K2195" s="1" t="n">
        <v>1</v>
      </c>
      <c r="L2195" s="144" t="n">
        <v>30</v>
      </c>
      <c r="M2195" s="1" t="n">
        <v>73</v>
      </c>
      <c r="N2195" s="1" t="n">
        <v>73</v>
      </c>
      <c r="O2195" s="149" t="n">
        <v>8</v>
      </c>
    </row>
    <row r="2196" customFormat="false" ht="14.25" hidden="false" customHeight="false" outlineLevel="0" collapsed="false">
      <c r="A2196" s="1" t="n">
        <v>247</v>
      </c>
      <c r="B2196" s="1" t="s">
        <v>490</v>
      </c>
      <c r="C2196" s="143" t="n">
        <v>11171</v>
      </c>
      <c r="D2196" s="143" t="s">
        <v>74</v>
      </c>
      <c r="E2196" s="143" t="s">
        <v>479</v>
      </c>
      <c r="F2196" s="144" t="n">
        <v>200025888980</v>
      </c>
      <c r="G2196" s="144" t="s">
        <v>255</v>
      </c>
      <c r="H2196" s="144" t="n">
        <v>30</v>
      </c>
      <c r="I2196" s="144" t="s">
        <v>148</v>
      </c>
      <c r="J2196" s="6" t="n">
        <v>45075.1363773148</v>
      </c>
      <c r="K2196" s="1" t="n">
        <v>1</v>
      </c>
      <c r="L2196" s="144" t="n">
        <v>30</v>
      </c>
      <c r="M2196" s="1" t="n">
        <v>73</v>
      </c>
      <c r="N2196" s="1" t="n">
        <v>73</v>
      </c>
      <c r="O2196" s="149" t="n">
        <v>9</v>
      </c>
    </row>
    <row r="2197" customFormat="false" ht="14.25" hidden="false" customHeight="false" outlineLevel="0" collapsed="false">
      <c r="A2197" s="1" t="n">
        <v>248</v>
      </c>
      <c r="B2197" s="1" t="s">
        <v>490</v>
      </c>
      <c r="C2197" s="143" t="n">
        <v>11171</v>
      </c>
      <c r="D2197" s="143" t="s">
        <v>74</v>
      </c>
      <c r="E2197" s="143" t="s">
        <v>479</v>
      </c>
      <c r="F2197" s="144" t="n">
        <v>200025888980</v>
      </c>
      <c r="G2197" s="144" t="s">
        <v>255</v>
      </c>
      <c r="H2197" s="144" t="n">
        <v>30</v>
      </c>
      <c r="I2197" s="144" t="s">
        <v>148</v>
      </c>
      <c r="J2197" s="6" t="n">
        <v>45075.1365046296</v>
      </c>
      <c r="K2197" s="1" t="n">
        <v>2</v>
      </c>
      <c r="L2197" s="144" t="n">
        <v>30</v>
      </c>
      <c r="M2197" s="1" t="n">
        <v>73</v>
      </c>
      <c r="N2197" s="1" t="n">
        <v>73</v>
      </c>
      <c r="O2197" s="149" t="n">
        <v>10</v>
      </c>
    </row>
    <row r="2198" customFormat="false" ht="14.25" hidden="false" customHeight="false" outlineLevel="0" collapsed="false">
      <c r="A2198" s="1" t="n">
        <v>249</v>
      </c>
      <c r="B2198" s="1" t="s">
        <v>490</v>
      </c>
      <c r="C2198" s="143" t="n">
        <v>11171</v>
      </c>
      <c r="D2198" s="143" t="s">
        <v>74</v>
      </c>
      <c r="E2198" s="143" t="s">
        <v>479</v>
      </c>
      <c r="F2198" s="144" t="n">
        <v>200025888980</v>
      </c>
      <c r="G2198" s="144" t="s">
        <v>255</v>
      </c>
      <c r="H2198" s="144" t="n">
        <v>30</v>
      </c>
      <c r="I2198" s="144" t="s">
        <v>148</v>
      </c>
      <c r="J2198" s="6" t="n">
        <v>45075.1366550926</v>
      </c>
      <c r="K2198" s="1" t="n">
        <v>1</v>
      </c>
      <c r="L2198" s="144" t="n">
        <v>30</v>
      </c>
      <c r="M2198" s="1" t="n">
        <v>73</v>
      </c>
      <c r="N2198" s="1" t="n">
        <v>73</v>
      </c>
      <c r="O2198" s="149" t="n">
        <v>11</v>
      </c>
    </row>
    <row r="2199" customFormat="false" ht="14.25" hidden="false" customHeight="false" outlineLevel="0" collapsed="false">
      <c r="A2199" s="1" t="n">
        <v>250</v>
      </c>
      <c r="B2199" s="1" t="s">
        <v>490</v>
      </c>
      <c r="C2199" s="143" t="n">
        <v>11171</v>
      </c>
      <c r="D2199" s="143" t="s">
        <v>74</v>
      </c>
      <c r="E2199" s="143" t="s">
        <v>479</v>
      </c>
      <c r="F2199" s="144" t="n">
        <v>200025888980</v>
      </c>
      <c r="G2199" s="144" t="s">
        <v>255</v>
      </c>
      <c r="H2199" s="144" t="n">
        <v>30</v>
      </c>
      <c r="I2199" s="144" t="s">
        <v>148</v>
      </c>
      <c r="J2199" s="6" t="n">
        <v>45075.1368518519</v>
      </c>
      <c r="K2199" s="1" t="n">
        <v>2</v>
      </c>
      <c r="L2199" s="144" t="n">
        <v>30</v>
      </c>
      <c r="M2199" s="1" t="n">
        <v>73</v>
      </c>
      <c r="N2199" s="1" t="n">
        <v>73</v>
      </c>
      <c r="O2199" s="149" t="n">
        <v>12</v>
      </c>
    </row>
    <row r="2200" customFormat="false" ht="14.25" hidden="false" customHeight="false" outlineLevel="0" collapsed="false">
      <c r="A2200" s="1" t="n">
        <v>287</v>
      </c>
      <c r="B2200" s="1" t="s">
        <v>478</v>
      </c>
      <c r="C2200" s="143" t="n">
        <v>21265</v>
      </c>
      <c r="D2200" s="143" t="s">
        <v>76</v>
      </c>
      <c r="E2200" s="143" t="s">
        <v>479</v>
      </c>
      <c r="F2200" s="144" t="n">
        <v>200025888980</v>
      </c>
      <c r="G2200" s="144" t="s">
        <v>255</v>
      </c>
      <c r="H2200" s="144" t="n">
        <v>30</v>
      </c>
      <c r="I2200" s="144" t="s">
        <v>148</v>
      </c>
      <c r="J2200" s="6" t="n">
        <v>45075.1576967593</v>
      </c>
      <c r="K2200" s="1" t="n">
        <v>2</v>
      </c>
      <c r="L2200" s="144" t="n">
        <v>30</v>
      </c>
      <c r="M2200" s="1" t="n">
        <v>73</v>
      </c>
      <c r="N2200" s="1" t="n">
        <v>73</v>
      </c>
      <c r="O2200" s="149" t="n">
        <v>13</v>
      </c>
    </row>
    <row r="2201" customFormat="false" ht="14.25" hidden="false" customHeight="false" outlineLevel="0" collapsed="false">
      <c r="A2201" s="1" t="n">
        <v>288</v>
      </c>
      <c r="B2201" s="1" t="s">
        <v>478</v>
      </c>
      <c r="C2201" s="143" t="n">
        <v>21265</v>
      </c>
      <c r="D2201" s="143" t="s">
        <v>76</v>
      </c>
      <c r="E2201" s="143" t="s">
        <v>479</v>
      </c>
      <c r="F2201" s="144" t="n">
        <v>200025888980</v>
      </c>
      <c r="G2201" s="144" t="s">
        <v>255</v>
      </c>
      <c r="H2201" s="144" t="n">
        <v>30</v>
      </c>
      <c r="I2201" s="144" t="s">
        <v>148</v>
      </c>
      <c r="J2201" s="6" t="n">
        <v>45075.1579166667</v>
      </c>
      <c r="K2201" s="1" t="n">
        <v>1</v>
      </c>
      <c r="L2201" s="144" t="n">
        <v>30</v>
      </c>
      <c r="M2201" s="1" t="n">
        <v>73</v>
      </c>
      <c r="N2201" s="1" t="n">
        <v>73</v>
      </c>
      <c r="O2201" s="149" t="n">
        <v>14</v>
      </c>
    </row>
    <row r="2202" customFormat="false" ht="14.25" hidden="false" customHeight="false" outlineLevel="0" collapsed="false">
      <c r="A2202" s="1" t="n">
        <v>289</v>
      </c>
      <c r="B2202" s="1" t="s">
        <v>478</v>
      </c>
      <c r="C2202" s="143" t="n">
        <v>21265</v>
      </c>
      <c r="D2202" s="143" t="s">
        <v>76</v>
      </c>
      <c r="E2202" s="143" t="s">
        <v>479</v>
      </c>
      <c r="F2202" s="144" t="n">
        <v>200025888980</v>
      </c>
      <c r="G2202" s="144" t="s">
        <v>255</v>
      </c>
      <c r="H2202" s="144" t="n">
        <v>30</v>
      </c>
      <c r="I2202" s="144" t="s">
        <v>148</v>
      </c>
      <c r="J2202" s="6" t="n">
        <v>45075.2194097222</v>
      </c>
      <c r="K2202" s="1" t="n">
        <v>0</v>
      </c>
      <c r="L2202" s="144" t="n">
        <v>30</v>
      </c>
      <c r="M2202" s="1" t="n">
        <v>73</v>
      </c>
      <c r="N2202" s="1" t="n">
        <v>73</v>
      </c>
      <c r="O2202" s="149" t="n">
        <v>15</v>
      </c>
    </row>
    <row r="2203" customFormat="false" ht="14.25" hidden="false" customHeight="false" outlineLevel="0" collapsed="false">
      <c r="A2203" s="1" t="n">
        <v>290</v>
      </c>
      <c r="B2203" s="1" t="s">
        <v>478</v>
      </c>
      <c r="C2203" s="143" t="n">
        <v>21265</v>
      </c>
      <c r="D2203" s="143" t="s">
        <v>76</v>
      </c>
      <c r="E2203" s="143" t="s">
        <v>479</v>
      </c>
      <c r="F2203" s="144" t="n">
        <v>200025888980</v>
      </c>
      <c r="G2203" s="144" t="s">
        <v>255</v>
      </c>
      <c r="H2203" s="144" t="n">
        <v>30</v>
      </c>
      <c r="I2203" s="144" t="s">
        <v>148</v>
      </c>
      <c r="J2203" s="6" t="n">
        <v>45075.2198842593</v>
      </c>
      <c r="K2203" s="1" t="n">
        <v>0</v>
      </c>
      <c r="L2203" s="144" t="n">
        <v>30</v>
      </c>
      <c r="M2203" s="1" t="n">
        <v>73</v>
      </c>
      <c r="N2203" s="1" t="n">
        <v>73</v>
      </c>
      <c r="O2203" s="149" t="n">
        <v>16</v>
      </c>
    </row>
    <row r="2204" customFormat="false" ht="14.25" hidden="false" customHeight="false" outlineLevel="0" collapsed="false">
      <c r="A2204" s="1" t="n">
        <v>291</v>
      </c>
      <c r="B2204" s="1" t="s">
        <v>478</v>
      </c>
      <c r="C2204" s="143" t="n">
        <v>21265</v>
      </c>
      <c r="D2204" s="143" t="s">
        <v>76</v>
      </c>
      <c r="E2204" s="143" t="s">
        <v>479</v>
      </c>
      <c r="F2204" s="144" t="n">
        <v>200025888980</v>
      </c>
      <c r="G2204" s="144" t="s">
        <v>255</v>
      </c>
      <c r="H2204" s="144" t="n">
        <v>30</v>
      </c>
      <c r="I2204" s="144" t="s">
        <v>148</v>
      </c>
      <c r="J2204" s="6" t="n">
        <v>45075.2210300926</v>
      </c>
      <c r="K2204" s="1" t="n">
        <v>0</v>
      </c>
      <c r="L2204" s="144" t="n">
        <v>30</v>
      </c>
      <c r="M2204" s="1" t="n">
        <v>73</v>
      </c>
      <c r="N2204" s="1" t="n">
        <v>73</v>
      </c>
      <c r="O2204" s="149" t="n">
        <v>17</v>
      </c>
    </row>
    <row r="2205" customFormat="false" ht="14.25" hidden="false" customHeight="false" outlineLevel="0" collapsed="false">
      <c r="A2205" s="1" t="n">
        <v>292</v>
      </c>
      <c r="B2205" s="1" t="s">
        <v>478</v>
      </c>
      <c r="C2205" s="143" t="n">
        <v>21265</v>
      </c>
      <c r="D2205" s="143" t="s">
        <v>76</v>
      </c>
      <c r="E2205" s="143" t="s">
        <v>479</v>
      </c>
      <c r="F2205" s="144" t="n">
        <v>200025888980</v>
      </c>
      <c r="G2205" s="144" t="s">
        <v>255</v>
      </c>
      <c r="H2205" s="144" t="n">
        <v>30</v>
      </c>
      <c r="I2205" s="144" t="s">
        <v>148</v>
      </c>
      <c r="J2205" s="6" t="n">
        <v>45075.2212152778</v>
      </c>
      <c r="K2205" s="1" t="n">
        <v>0</v>
      </c>
      <c r="L2205" s="144" t="n">
        <v>30</v>
      </c>
      <c r="M2205" s="1" t="n">
        <v>73</v>
      </c>
      <c r="N2205" s="1" t="n">
        <v>73</v>
      </c>
      <c r="O2205" s="149" t="n">
        <v>18</v>
      </c>
    </row>
    <row r="2206" customFormat="false" ht="14.25" hidden="false" customHeight="false" outlineLevel="0" collapsed="false">
      <c r="A2206" s="1" t="n">
        <v>293</v>
      </c>
      <c r="B2206" s="1" t="s">
        <v>478</v>
      </c>
      <c r="C2206" s="143" t="n">
        <v>21265</v>
      </c>
      <c r="D2206" s="143" t="s">
        <v>76</v>
      </c>
      <c r="E2206" s="143" t="s">
        <v>479</v>
      </c>
      <c r="F2206" s="144" t="n">
        <v>200025888980</v>
      </c>
      <c r="G2206" s="144" t="s">
        <v>255</v>
      </c>
      <c r="H2206" s="144" t="n">
        <v>30</v>
      </c>
      <c r="I2206" s="144" t="s">
        <v>148</v>
      </c>
      <c r="J2206" s="6" t="n">
        <v>45075.2216782407</v>
      </c>
      <c r="K2206" s="1" t="n">
        <v>1</v>
      </c>
      <c r="L2206" s="144" t="n">
        <v>30</v>
      </c>
      <c r="M2206" s="1" t="n">
        <v>73</v>
      </c>
      <c r="N2206" s="1" t="n">
        <v>73</v>
      </c>
      <c r="O2206" s="149" t="n">
        <v>19</v>
      </c>
    </row>
    <row r="2207" customFormat="false" ht="14.25" hidden="false" customHeight="false" outlineLevel="0" collapsed="false">
      <c r="A2207" s="1" t="n">
        <v>282</v>
      </c>
      <c r="B2207" s="1" t="s">
        <v>490</v>
      </c>
      <c r="C2207" s="143" t="n">
        <v>11171</v>
      </c>
      <c r="D2207" s="143" t="s">
        <v>74</v>
      </c>
      <c r="E2207" s="143" t="s">
        <v>479</v>
      </c>
      <c r="F2207" s="144" t="n">
        <v>200025888980</v>
      </c>
      <c r="G2207" s="144" t="s">
        <v>255</v>
      </c>
      <c r="H2207" s="144" t="n">
        <v>30</v>
      </c>
      <c r="I2207" s="144" t="s">
        <v>148</v>
      </c>
      <c r="J2207" s="6" t="n">
        <v>45075.2476157407</v>
      </c>
      <c r="K2207" s="1" t="n">
        <v>3</v>
      </c>
      <c r="L2207" s="144" t="n">
        <v>30</v>
      </c>
      <c r="M2207" s="1" t="n">
        <v>73</v>
      </c>
      <c r="N2207" s="1" t="n">
        <v>73</v>
      </c>
      <c r="O2207" s="149" t="n">
        <v>20</v>
      </c>
    </row>
    <row r="2208" customFormat="false" ht="14.25" hidden="false" customHeight="false" outlineLevel="0" collapsed="false">
      <c r="A2208" s="1" t="n">
        <v>298</v>
      </c>
      <c r="B2208" s="1" t="s">
        <v>478</v>
      </c>
      <c r="C2208" s="143" t="n">
        <v>21265</v>
      </c>
      <c r="D2208" s="143" t="s">
        <v>76</v>
      </c>
      <c r="E2208" s="143" t="s">
        <v>479</v>
      </c>
      <c r="F2208" s="144" t="n">
        <v>200025888980</v>
      </c>
      <c r="G2208" s="144" t="s">
        <v>255</v>
      </c>
      <c r="H2208" s="144" t="n">
        <v>30</v>
      </c>
      <c r="I2208" s="144" t="s">
        <v>148</v>
      </c>
      <c r="J2208" s="6" t="n">
        <v>45075.3445949074</v>
      </c>
      <c r="K2208" s="1" t="n">
        <v>1</v>
      </c>
      <c r="L2208" s="144" t="n">
        <v>30</v>
      </c>
      <c r="M2208" s="1" t="n">
        <v>73</v>
      </c>
      <c r="N2208" s="1" t="n">
        <v>73</v>
      </c>
      <c r="O2208" s="149" t="n">
        <v>21</v>
      </c>
    </row>
    <row r="2209" customFormat="false" ht="14.25" hidden="false" customHeight="false" outlineLevel="0" collapsed="false">
      <c r="A2209" s="1" t="n">
        <v>299</v>
      </c>
      <c r="B2209" s="1" t="s">
        <v>478</v>
      </c>
      <c r="C2209" s="143" t="n">
        <v>21265</v>
      </c>
      <c r="D2209" s="143" t="s">
        <v>76</v>
      </c>
      <c r="E2209" s="143" t="s">
        <v>479</v>
      </c>
      <c r="F2209" s="144" t="n">
        <v>200025888980</v>
      </c>
      <c r="G2209" s="144" t="s">
        <v>255</v>
      </c>
      <c r="H2209" s="144" t="n">
        <v>30</v>
      </c>
      <c r="I2209" s="144" t="s">
        <v>148</v>
      </c>
      <c r="J2209" s="6" t="n">
        <v>45075.3452199074</v>
      </c>
      <c r="K2209" s="1" t="n">
        <v>0</v>
      </c>
      <c r="L2209" s="144" t="n">
        <v>30</v>
      </c>
      <c r="M2209" s="1" t="n">
        <v>73</v>
      </c>
      <c r="N2209" s="1" t="n">
        <v>73</v>
      </c>
      <c r="O2209" s="149" t="n">
        <v>22</v>
      </c>
    </row>
    <row r="2210" customFormat="false" ht="14.25" hidden="false" customHeight="false" outlineLevel="0" collapsed="false">
      <c r="A2210" s="1" t="n">
        <v>300</v>
      </c>
      <c r="B2210" s="1" t="s">
        <v>478</v>
      </c>
      <c r="C2210" s="143" t="n">
        <v>21265</v>
      </c>
      <c r="D2210" s="143" t="s">
        <v>76</v>
      </c>
      <c r="E2210" s="143" t="s">
        <v>479</v>
      </c>
      <c r="F2210" s="144" t="n">
        <v>200025888980</v>
      </c>
      <c r="G2210" s="144" t="s">
        <v>255</v>
      </c>
      <c r="H2210" s="144" t="n">
        <v>30</v>
      </c>
      <c r="I2210" s="144" t="s">
        <v>148</v>
      </c>
      <c r="J2210" s="6" t="n">
        <v>45075.3474537037</v>
      </c>
      <c r="K2210" s="1" t="n">
        <v>1</v>
      </c>
      <c r="L2210" s="144" t="n">
        <v>30</v>
      </c>
      <c r="M2210" s="1" t="n">
        <v>73</v>
      </c>
      <c r="N2210" s="1" t="n">
        <v>73</v>
      </c>
      <c r="O2210" s="149" t="n">
        <v>23</v>
      </c>
    </row>
    <row r="2211" customFormat="false" ht="14.25" hidden="false" customHeight="false" outlineLevel="0" collapsed="false">
      <c r="A2211" s="1" t="n">
        <v>301</v>
      </c>
      <c r="B2211" s="1" t="s">
        <v>478</v>
      </c>
      <c r="C2211" s="143" t="n">
        <v>21265</v>
      </c>
      <c r="D2211" s="143" t="s">
        <v>76</v>
      </c>
      <c r="E2211" s="143" t="s">
        <v>479</v>
      </c>
      <c r="F2211" s="144" t="n">
        <v>200025888980</v>
      </c>
      <c r="G2211" s="144" t="s">
        <v>255</v>
      </c>
      <c r="H2211" s="144" t="n">
        <v>30</v>
      </c>
      <c r="I2211" s="144" t="s">
        <v>148</v>
      </c>
      <c r="J2211" s="6" t="n">
        <v>45075.3490393519</v>
      </c>
      <c r="K2211" s="1" t="n">
        <v>1</v>
      </c>
      <c r="L2211" s="144" t="n">
        <v>30</v>
      </c>
      <c r="M2211" s="1" t="n">
        <v>73</v>
      </c>
      <c r="N2211" s="1" t="n">
        <v>73</v>
      </c>
      <c r="O2211" s="149" t="n">
        <v>24</v>
      </c>
    </row>
    <row r="2212" customFormat="false" ht="14.25" hidden="false" customHeight="false" outlineLevel="0" collapsed="false">
      <c r="A2212" s="1" t="n">
        <v>302</v>
      </c>
      <c r="B2212" s="1" t="s">
        <v>478</v>
      </c>
      <c r="C2212" s="143" t="n">
        <v>21265</v>
      </c>
      <c r="D2212" s="143" t="s">
        <v>76</v>
      </c>
      <c r="E2212" s="143" t="s">
        <v>479</v>
      </c>
      <c r="F2212" s="144" t="n">
        <v>200025888980</v>
      </c>
      <c r="G2212" s="144" t="s">
        <v>255</v>
      </c>
      <c r="H2212" s="144" t="n">
        <v>30</v>
      </c>
      <c r="I2212" s="144" t="s">
        <v>148</v>
      </c>
      <c r="J2212" s="6" t="n">
        <v>45075.3492013889</v>
      </c>
      <c r="K2212" s="1" t="n">
        <v>0</v>
      </c>
      <c r="L2212" s="144" t="n">
        <v>30</v>
      </c>
      <c r="M2212" s="1" t="n">
        <v>73</v>
      </c>
      <c r="N2212" s="1" t="n">
        <v>73</v>
      </c>
      <c r="O2212" s="149" t="n">
        <v>25</v>
      </c>
    </row>
    <row r="2213" customFormat="false" ht="14.25" hidden="false" customHeight="false" outlineLevel="0" collapsed="false">
      <c r="A2213" s="1" t="n">
        <v>285</v>
      </c>
      <c r="B2213" s="1" t="s">
        <v>490</v>
      </c>
      <c r="C2213" s="143" t="n">
        <v>11171</v>
      </c>
      <c r="D2213" s="143" t="s">
        <v>74</v>
      </c>
      <c r="E2213" s="143" t="s">
        <v>479</v>
      </c>
      <c r="F2213" s="144" t="n">
        <v>200025888980</v>
      </c>
      <c r="G2213" s="144" t="s">
        <v>255</v>
      </c>
      <c r="H2213" s="144" t="n">
        <v>30</v>
      </c>
      <c r="I2213" s="144" t="s">
        <v>148</v>
      </c>
      <c r="J2213" s="6" t="n">
        <v>45075.4209606481</v>
      </c>
      <c r="K2213" s="1" t="n">
        <v>2</v>
      </c>
      <c r="L2213" s="144" t="n">
        <v>30</v>
      </c>
      <c r="M2213" s="1" t="n">
        <v>73</v>
      </c>
      <c r="N2213" s="1" t="n">
        <v>73</v>
      </c>
      <c r="O2213" s="149" t="n">
        <v>26</v>
      </c>
    </row>
    <row r="2214" customFormat="false" ht="14.25" hidden="false" customHeight="false" outlineLevel="0" collapsed="false">
      <c r="A2214" s="1" t="n">
        <v>1</v>
      </c>
      <c r="B2214" s="1" t="s">
        <v>475</v>
      </c>
      <c r="C2214" s="143" t="s">
        <v>52</v>
      </c>
      <c r="D2214" s="143" t="s">
        <v>53</v>
      </c>
      <c r="E2214" s="143" t="s">
        <v>479</v>
      </c>
      <c r="F2214" s="144" t="n">
        <v>200025888980</v>
      </c>
      <c r="G2214" s="144" t="s">
        <v>255</v>
      </c>
      <c r="H2214" s="144" t="n">
        <v>30</v>
      </c>
      <c r="I2214" s="144" t="s">
        <v>148</v>
      </c>
      <c r="J2214" s="6" t="n">
        <v>45084.6544560185</v>
      </c>
      <c r="K2214" s="1" t="n">
        <v>1</v>
      </c>
      <c r="L2214" s="144" t="n">
        <v>30</v>
      </c>
      <c r="M2214" s="1" t="n">
        <v>73</v>
      </c>
      <c r="N2214" s="1" t="n">
        <v>73</v>
      </c>
      <c r="O2214" s="149" t="n">
        <v>27</v>
      </c>
    </row>
    <row r="2215" customFormat="false" ht="14.25" hidden="false" customHeight="false" outlineLevel="0" collapsed="false">
      <c r="A2215" s="1" t="n">
        <v>6</v>
      </c>
      <c r="B2215" s="1" t="s">
        <v>475</v>
      </c>
      <c r="C2215" s="143" t="s">
        <v>52</v>
      </c>
      <c r="D2215" s="143" t="s">
        <v>53</v>
      </c>
      <c r="E2215" s="143" t="s">
        <v>479</v>
      </c>
      <c r="F2215" s="144" t="n">
        <v>200025888980</v>
      </c>
      <c r="G2215" s="144" t="s">
        <v>255</v>
      </c>
      <c r="H2215" s="144" t="n">
        <v>30</v>
      </c>
      <c r="I2215" s="144" t="s">
        <v>148</v>
      </c>
      <c r="J2215" s="6" t="n">
        <v>45088.5160416667</v>
      </c>
      <c r="K2215" s="1" t="n">
        <v>1</v>
      </c>
      <c r="L2215" s="144" t="n">
        <v>30</v>
      </c>
      <c r="M2215" s="1" t="n">
        <v>73</v>
      </c>
      <c r="N2215" s="1" t="n">
        <v>73</v>
      </c>
      <c r="O2215" s="149" t="n">
        <v>28</v>
      </c>
    </row>
    <row r="2216" customFormat="false" ht="14.25" hidden="false" customHeight="false" outlineLevel="0" collapsed="false">
      <c r="A2216" s="1" t="n">
        <v>7</v>
      </c>
      <c r="B2216" s="1" t="s">
        <v>488</v>
      </c>
      <c r="C2216" s="143" t="n">
        <v>91601</v>
      </c>
      <c r="D2216" s="143" t="s">
        <v>64</v>
      </c>
      <c r="E2216" s="143" t="s">
        <v>479</v>
      </c>
      <c r="F2216" s="144" t="n">
        <v>200025888726</v>
      </c>
      <c r="G2216" s="144" t="s">
        <v>356</v>
      </c>
      <c r="H2216" s="144" t="n">
        <v>62</v>
      </c>
      <c r="I2216" s="144" t="s">
        <v>148</v>
      </c>
      <c r="J2216" s="6" t="n">
        <v>45059.764837963</v>
      </c>
      <c r="K2216" s="1" t="n">
        <v>1</v>
      </c>
      <c r="L2216" s="144" t="n">
        <v>62</v>
      </c>
      <c r="M2216" s="1" t="n">
        <v>74</v>
      </c>
      <c r="N2216" s="1" t="n">
        <v>74</v>
      </c>
      <c r="O2216" s="149" t="n">
        <v>1</v>
      </c>
    </row>
    <row r="2217" customFormat="false" ht="14.25" hidden="false" customHeight="false" outlineLevel="0" collapsed="false">
      <c r="A2217" s="1" t="n">
        <v>8</v>
      </c>
      <c r="B2217" s="1" t="s">
        <v>488</v>
      </c>
      <c r="C2217" s="143" t="n">
        <v>91601</v>
      </c>
      <c r="D2217" s="143" t="s">
        <v>64</v>
      </c>
      <c r="E2217" s="143" t="s">
        <v>479</v>
      </c>
      <c r="F2217" s="144" t="n">
        <v>200025888726</v>
      </c>
      <c r="G2217" s="144" t="s">
        <v>356</v>
      </c>
      <c r="H2217" s="144" t="n">
        <v>62</v>
      </c>
      <c r="I2217" s="144" t="s">
        <v>148</v>
      </c>
      <c r="J2217" s="6" t="n">
        <v>45059.7650925926</v>
      </c>
      <c r="K2217" s="1" t="n">
        <v>2</v>
      </c>
      <c r="L2217" s="144" t="n">
        <v>62</v>
      </c>
      <c r="M2217" s="1" t="n">
        <v>74</v>
      </c>
      <c r="N2217" s="1" t="n">
        <v>74</v>
      </c>
      <c r="O2217" s="149" t="n">
        <v>2</v>
      </c>
    </row>
    <row r="2218" customFormat="false" ht="14.25" hidden="false" customHeight="false" outlineLevel="0" collapsed="false">
      <c r="A2218" s="1" t="n">
        <v>9</v>
      </c>
      <c r="B2218" s="1" t="s">
        <v>499</v>
      </c>
      <c r="C2218" s="143" t="n">
        <v>11490</v>
      </c>
      <c r="D2218" s="143" t="s">
        <v>65</v>
      </c>
      <c r="E2218" s="143" t="s">
        <v>479</v>
      </c>
      <c r="F2218" s="144" t="n">
        <v>200025889267</v>
      </c>
      <c r="G2218" s="144" t="s">
        <v>314</v>
      </c>
      <c r="H2218" s="144" t="n">
        <v>46</v>
      </c>
      <c r="I2218" s="144" t="s">
        <v>148</v>
      </c>
      <c r="J2218" s="6" t="n">
        <v>45061.4124652778</v>
      </c>
      <c r="K2218" s="1" t="n">
        <v>1</v>
      </c>
      <c r="L2218" s="144" t="n">
        <v>46</v>
      </c>
      <c r="M2218" s="1" t="n">
        <v>75</v>
      </c>
      <c r="N2218" s="1" t="n">
        <v>75</v>
      </c>
      <c r="O2218" s="149" t="n">
        <v>1</v>
      </c>
    </row>
    <row r="2219" customFormat="false" ht="14.25" hidden="false" customHeight="false" outlineLevel="0" collapsed="false">
      <c r="A2219" s="1" t="n">
        <v>56</v>
      </c>
      <c r="B2219" s="1" t="s">
        <v>478</v>
      </c>
      <c r="C2219" s="143" t="n">
        <v>21265</v>
      </c>
      <c r="D2219" s="143" t="s">
        <v>76</v>
      </c>
      <c r="E2219" s="143" t="s">
        <v>479</v>
      </c>
      <c r="F2219" s="144" t="n">
        <v>200025888677</v>
      </c>
      <c r="G2219" s="144" t="s">
        <v>219</v>
      </c>
      <c r="H2219" s="144" t="n">
        <v>18</v>
      </c>
      <c r="I2219" s="144" t="s">
        <v>148</v>
      </c>
      <c r="J2219" s="151" t="n">
        <v>45066.4247453704</v>
      </c>
      <c r="K2219" s="1" t="n">
        <v>1</v>
      </c>
      <c r="L2219" s="144" t="n">
        <v>18</v>
      </c>
      <c r="M2219" s="1" t="n">
        <v>76</v>
      </c>
      <c r="N2219" s="1" t="n">
        <v>76</v>
      </c>
      <c r="O2219" s="149" t="n">
        <v>1</v>
      </c>
    </row>
    <row r="2220" customFormat="false" ht="14.25" hidden="false" customHeight="false" outlineLevel="0" collapsed="false">
      <c r="A2220" s="1" t="n">
        <v>8</v>
      </c>
      <c r="B2220" s="153" t="s">
        <v>496</v>
      </c>
      <c r="C2220" s="154" t="s">
        <v>68</v>
      </c>
      <c r="D2220" s="154" t="s">
        <v>64</v>
      </c>
      <c r="E2220" s="154" t="s">
        <v>479</v>
      </c>
      <c r="F2220" s="154" t="s">
        <v>505</v>
      </c>
      <c r="G2220" s="144" t="s">
        <v>150</v>
      </c>
      <c r="H2220" s="144" t="n">
        <v>1</v>
      </c>
      <c r="I2220" s="144" t="s">
        <v>148</v>
      </c>
      <c r="J2220" s="151" t="n">
        <v>45066.430474537</v>
      </c>
      <c r="K2220" s="1" t="n">
        <v>2</v>
      </c>
      <c r="L2220" s="144" t="n">
        <v>1</v>
      </c>
      <c r="M2220" s="1" t="n">
        <v>77</v>
      </c>
      <c r="N2220" s="1" t="n">
        <v>77</v>
      </c>
      <c r="O2220" s="149" t="n">
        <v>1</v>
      </c>
    </row>
    <row r="2221" customFormat="false" ht="14.25" hidden="false" customHeight="false" outlineLevel="0" collapsed="false">
      <c r="A2221" s="1" t="n">
        <v>134</v>
      </c>
      <c r="B2221" s="1" t="s">
        <v>478</v>
      </c>
      <c r="C2221" s="143" t="n">
        <v>21265</v>
      </c>
      <c r="D2221" s="143" t="s">
        <v>76</v>
      </c>
      <c r="E2221" s="143" t="s">
        <v>479</v>
      </c>
      <c r="F2221" s="144" t="n">
        <v>200025888844</v>
      </c>
      <c r="G2221" s="144" t="s">
        <v>150</v>
      </c>
      <c r="H2221" s="144" t="n">
        <v>1</v>
      </c>
      <c r="I2221" s="144" t="s">
        <v>148</v>
      </c>
      <c r="J2221" s="151" t="n">
        <v>45073.5646180556</v>
      </c>
      <c r="K2221" s="1" t="n">
        <v>3</v>
      </c>
      <c r="L2221" s="144" t="n">
        <v>1</v>
      </c>
      <c r="M2221" s="144" t="n">
        <v>77</v>
      </c>
      <c r="N2221" s="144" t="n">
        <v>77</v>
      </c>
      <c r="O2221" s="149" t="n">
        <v>2</v>
      </c>
    </row>
    <row r="2222" customFormat="false" ht="14.25" hidden="false" customHeight="false" outlineLevel="0" collapsed="false">
      <c r="A2222" s="1" t="n">
        <v>135</v>
      </c>
      <c r="B2222" s="1" t="s">
        <v>478</v>
      </c>
      <c r="C2222" s="143" t="n">
        <v>21265</v>
      </c>
      <c r="D2222" s="143" t="s">
        <v>76</v>
      </c>
      <c r="E2222" s="143" t="s">
        <v>479</v>
      </c>
      <c r="F2222" s="144" t="n">
        <v>200025888844</v>
      </c>
      <c r="G2222" s="144" t="s">
        <v>150</v>
      </c>
      <c r="H2222" s="144" t="n">
        <v>1</v>
      </c>
      <c r="I2222" s="144" t="s">
        <v>148</v>
      </c>
      <c r="J2222" s="151" t="n">
        <v>45073.5648842593</v>
      </c>
      <c r="K2222" s="1" t="n">
        <v>5</v>
      </c>
      <c r="L2222" s="144" t="n">
        <v>1</v>
      </c>
      <c r="M2222" s="144" t="n">
        <v>77</v>
      </c>
      <c r="N2222" s="144" t="n">
        <v>77</v>
      </c>
      <c r="O2222" s="149" t="n">
        <v>3</v>
      </c>
    </row>
    <row r="2223" customFormat="false" ht="14.25" hidden="false" customHeight="false" outlineLevel="0" collapsed="false">
      <c r="A2223" s="1" t="n">
        <v>136</v>
      </c>
      <c r="B2223" s="1" t="s">
        <v>478</v>
      </c>
      <c r="C2223" s="143" t="n">
        <v>21265</v>
      </c>
      <c r="D2223" s="143" t="s">
        <v>76</v>
      </c>
      <c r="E2223" s="143" t="s">
        <v>479</v>
      </c>
      <c r="F2223" s="144" t="n">
        <v>200025888844</v>
      </c>
      <c r="G2223" s="144" t="s">
        <v>150</v>
      </c>
      <c r="H2223" s="144" t="n">
        <v>1</v>
      </c>
      <c r="I2223" s="144" t="s">
        <v>148</v>
      </c>
      <c r="J2223" s="151" t="n">
        <v>45073.5665277778</v>
      </c>
      <c r="K2223" s="1" t="n">
        <v>0</v>
      </c>
      <c r="L2223" s="144" t="n">
        <v>1</v>
      </c>
      <c r="M2223" s="144" t="n">
        <v>77</v>
      </c>
      <c r="N2223" s="144" t="n">
        <v>77</v>
      </c>
      <c r="O2223" s="149" t="n">
        <v>4</v>
      </c>
    </row>
    <row r="2224" customFormat="false" ht="14.25" hidden="false" customHeight="false" outlineLevel="0" collapsed="false">
      <c r="A2224" s="1" t="n">
        <v>137</v>
      </c>
      <c r="B2224" s="1" t="s">
        <v>478</v>
      </c>
      <c r="C2224" s="143" t="n">
        <v>21265</v>
      </c>
      <c r="D2224" s="143" t="s">
        <v>76</v>
      </c>
      <c r="E2224" s="143" t="s">
        <v>479</v>
      </c>
      <c r="F2224" s="144" t="n">
        <v>200025888844</v>
      </c>
      <c r="G2224" s="144" t="s">
        <v>150</v>
      </c>
      <c r="H2224" s="144" t="n">
        <v>1</v>
      </c>
      <c r="I2224" s="144" t="s">
        <v>148</v>
      </c>
      <c r="J2224" s="151" t="n">
        <v>45073.5666435185</v>
      </c>
      <c r="K2224" s="1" t="n">
        <v>2</v>
      </c>
      <c r="L2224" s="144" t="n">
        <v>1</v>
      </c>
      <c r="M2224" s="144" t="n">
        <v>77</v>
      </c>
      <c r="N2224" s="144" t="n">
        <v>77</v>
      </c>
      <c r="O2224" s="149" t="n">
        <v>5</v>
      </c>
    </row>
    <row r="2225" customFormat="false" ht="14.25" hidden="false" customHeight="false" outlineLevel="0" collapsed="false">
      <c r="A2225" s="1" t="n">
        <v>138</v>
      </c>
      <c r="B2225" s="1" t="s">
        <v>478</v>
      </c>
      <c r="C2225" s="143" t="n">
        <v>21265</v>
      </c>
      <c r="D2225" s="143" t="s">
        <v>76</v>
      </c>
      <c r="E2225" s="143" t="s">
        <v>479</v>
      </c>
      <c r="F2225" s="144" t="n">
        <v>200025888844</v>
      </c>
      <c r="G2225" s="144" t="s">
        <v>150</v>
      </c>
      <c r="H2225" s="144" t="n">
        <v>1</v>
      </c>
      <c r="I2225" s="144" t="s">
        <v>148</v>
      </c>
      <c r="J2225" s="151" t="n">
        <v>45073.5676736111</v>
      </c>
      <c r="K2225" s="1" t="n">
        <v>4</v>
      </c>
      <c r="L2225" s="144" t="n">
        <v>1</v>
      </c>
      <c r="M2225" s="144" t="n">
        <v>77</v>
      </c>
      <c r="N2225" s="144" t="n">
        <v>77</v>
      </c>
      <c r="O2225" s="149" t="n">
        <v>6</v>
      </c>
    </row>
    <row r="2226" customFormat="false" ht="14.25" hidden="false" customHeight="false" outlineLevel="0" collapsed="false">
      <c r="A2226" s="1" t="n">
        <v>139</v>
      </c>
      <c r="B2226" s="1" t="s">
        <v>478</v>
      </c>
      <c r="C2226" s="143" t="n">
        <v>21265</v>
      </c>
      <c r="D2226" s="143" t="s">
        <v>76</v>
      </c>
      <c r="E2226" s="143" t="s">
        <v>479</v>
      </c>
      <c r="F2226" s="144" t="n">
        <v>200025888844</v>
      </c>
      <c r="G2226" s="144" t="s">
        <v>150</v>
      </c>
      <c r="H2226" s="144" t="n">
        <v>1</v>
      </c>
      <c r="I2226" s="144" t="s">
        <v>148</v>
      </c>
      <c r="J2226" s="151" t="n">
        <v>45073.5748148148</v>
      </c>
      <c r="K2226" s="1" t="n">
        <v>5</v>
      </c>
      <c r="L2226" s="144" t="n">
        <v>1</v>
      </c>
      <c r="M2226" s="144" t="n">
        <v>77</v>
      </c>
      <c r="N2226" s="144" t="n">
        <v>77</v>
      </c>
      <c r="O2226" s="149" t="n">
        <v>7</v>
      </c>
    </row>
    <row r="2227" customFormat="false" ht="14.25" hidden="false" customHeight="false" outlineLevel="0" collapsed="false">
      <c r="A2227" s="1" t="n">
        <v>140</v>
      </c>
      <c r="B2227" s="1" t="s">
        <v>478</v>
      </c>
      <c r="C2227" s="143" t="n">
        <v>21265</v>
      </c>
      <c r="D2227" s="143" t="s">
        <v>76</v>
      </c>
      <c r="E2227" s="143" t="s">
        <v>479</v>
      </c>
      <c r="F2227" s="144" t="n">
        <v>200025888844</v>
      </c>
      <c r="G2227" s="144" t="s">
        <v>150</v>
      </c>
      <c r="H2227" s="144" t="n">
        <v>1</v>
      </c>
      <c r="I2227" s="144" t="s">
        <v>148</v>
      </c>
      <c r="J2227" s="151" t="n">
        <v>45073.5750347222</v>
      </c>
      <c r="K2227" s="1" t="n">
        <v>2</v>
      </c>
      <c r="L2227" s="144" t="n">
        <v>1</v>
      </c>
      <c r="M2227" s="144" t="n">
        <v>77</v>
      </c>
      <c r="N2227" s="144" t="n">
        <v>77</v>
      </c>
      <c r="O2227" s="149" t="n">
        <v>8</v>
      </c>
    </row>
    <row r="2228" customFormat="false" ht="14.25" hidden="false" customHeight="false" outlineLevel="0" collapsed="false">
      <c r="A2228" s="1" t="n">
        <v>141</v>
      </c>
      <c r="B2228" s="1" t="s">
        <v>478</v>
      </c>
      <c r="C2228" s="143" t="n">
        <v>21265</v>
      </c>
      <c r="D2228" s="143" t="s">
        <v>76</v>
      </c>
      <c r="E2228" s="143" t="s">
        <v>479</v>
      </c>
      <c r="F2228" s="144" t="n">
        <v>200025888844</v>
      </c>
      <c r="G2228" s="144" t="s">
        <v>150</v>
      </c>
      <c r="H2228" s="144" t="n">
        <v>1</v>
      </c>
      <c r="I2228" s="144" t="s">
        <v>148</v>
      </c>
      <c r="J2228" s="151" t="n">
        <v>45073.5995949074</v>
      </c>
      <c r="K2228" s="1" t="n">
        <v>1</v>
      </c>
      <c r="L2228" s="144" t="n">
        <v>1</v>
      </c>
      <c r="M2228" s="144" t="n">
        <v>77</v>
      </c>
      <c r="N2228" s="144" t="n">
        <v>77</v>
      </c>
      <c r="O2228" s="149" t="n">
        <v>9</v>
      </c>
    </row>
    <row r="2229" customFormat="false" ht="14.25" hidden="false" customHeight="false" outlineLevel="0" collapsed="false">
      <c r="A2229" s="1" t="n">
        <v>142</v>
      </c>
      <c r="B2229" s="1" t="s">
        <v>478</v>
      </c>
      <c r="C2229" s="143" t="n">
        <v>21265</v>
      </c>
      <c r="D2229" s="143" t="s">
        <v>76</v>
      </c>
      <c r="E2229" s="143" t="s">
        <v>479</v>
      </c>
      <c r="F2229" s="144" t="n">
        <v>200025888844</v>
      </c>
      <c r="G2229" s="144" t="s">
        <v>150</v>
      </c>
      <c r="H2229" s="144" t="n">
        <v>1</v>
      </c>
      <c r="I2229" s="144" t="s">
        <v>148</v>
      </c>
      <c r="J2229" s="151" t="n">
        <v>45073.5999652778</v>
      </c>
      <c r="K2229" s="1" t="n">
        <v>1</v>
      </c>
      <c r="L2229" s="144" t="n">
        <v>1</v>
      </c>
      <c r="M2229" s="144" t="n">
        <v>77</v>
      </c>
      <c r="N2229" s="144" t="n">
        <v>77</v>
      </c>
      <c r="O2229" s="149" t="n">
        <v>10</v>
      </c>
    </row>
    <row r="2230" customFormat="false" ht="14.25" hidden="false" customHeight="false" outlineLevel="0" collapsed="false">
      <c r="A2230" s="1" t="n">
        <v>143</v>
      </c>
      <c r="B2230" s="1" t="s">
        <v>478</v>
      </c>
      <c r="C2230" s="143" t="n">
        <v>21265</v>
      </c>
      <c r="D2230" s="143" t="s">
        <v>76</v>
      </c>
      <c r="E2230" s="143" t="s">
        <v>479</v>
      </c>
      <c r="F2230" s="144" t="n">
        <v>200025888844</v>
      </c>
      <c r="G2230" s="144" t="s">
        <v>150</v>
      </c>
      <c r="H2230" s="144" t="n">
        <v>1</v>
      </c>
      <c r="I2230" s="144" t="s">
        <v>148</v>
      </c>
      <c r="J2230" s="151" t="n">
        <v>45073.6005555556</v>
      </c>
      <c r="K2230" s="1" t="n">
        <v>1</v>
      </c>
      <c r="L2230" s="144" t="n">
        <v>1</v>
      </c>
      <c r="M2230" s="144" t="n">
        <v>77</v>
      </c>
      <c r="N2230" s="144" t="n">
        <v>77</v>
      </c>
      <c r="O2230" s="149" t="n">
        <v>11</v>
      </c>
    </row>
    <row r="2231" customFormat="false" ht="14.25" hidden="false" customHeight="false" outlineLevel="0" collapsed="false">
      <c r="A2231" s="1" t="n">
        <v>144</v>
      </c>
      <c r="B2231" s="1" t="s">
        <v>478</v>
      </c>
      <c r="C2231" s="143" t="n">
        <v>21265</v>
      </c>
      <c r="D2231" s="143" t="s">
        <v>76</v>
      </c>
      <c r="E2231" s="143" t="s">
        <v>479</v>
      </c>
      <c r="F2231" s="144" t="n">
        <v>200025888844</v>
      </c>
      <c r="G2231" s="144" t="s">
        <v>150</v>
      </c>
      <c r="H2231" s="144" t="n">
        <v>1</v>
      </c>
      <c r="I2231" s="144" t="s">
        <v>148</v>
      </c>
      <c r="J2231" s="151" t="n">
        <v>45073.6008912037</v>
      </c>
      <c r="K2231" s="1" t="n">
        <v>2</v>
      </c>
      <c r="L2231" s="144" t="n">
        <v>1</v>
      </c>
      <c r="M2231" s="144" t="n">
        <v>77</v>
      </c>
      <c r="N2231" s="144" t="n">
        <v>77</v>
      </c>
      <c r="O2231" s="149" t="n">
        <v>12</v>
      </c>
    </row>
    <row r="2232" customFormat="false" ht="14.25" hidden="false" customHeight="false" outlineLevel="0" collapsed="false">
      <c r="A2232" s="1" t="n">
        <v>146</v>
      </c>
      <c r="B2232" s="1" t="s">
        <v>478</v>
      </c>
      <c r="C2232" s="143" t="n">
        <v>21265</v>
      </c>
      <c r="D2232" s="143" t="s">
        <v>76</v>
      </c>
      <c r="E2232" s="143" t="s">
        <v>479</v>
      </c>
      <c r="F2232" s="144" t="n">
        <v>200025888844</v>
      </c>
      <c r="G2232" s="144" t="s">
        <v>150</v>
      </c>
      <c r="H2232" s="144" t="n">
        <v>1</v>
      </c>
      <c r="I2232" s="144" t="s">
        <v>148</v>
      </c>
      <c r="J2232" s="151" t="n">
        <v>45073.6121875</v>
      </c>
      <c r="K2232" s="1" t="n">
        <v>2</v>
      </c>
      <c r="L2232" s="144" t="n">
        <v>1</v>
      </c>
      <c r="M2232" s="144" t="n">
        <v>77</v>
      </c>
      <c r="N2232" s="144" t="n">
        <v>77</v>
      </c>
      <c r="O2232" s="149" t="n">
        <v>13</v>
      </c>
    </row>
    <row r="2233" customFormat="false" ht="14.25" hidden="false" customHeight="false" outlineLevel="0" collapsed="false">
      <c r="A2233" s="1" t="n">
        <v>147</v>
      </c>
      <c r="B2233" s="1" t="s">
        <v>478</v>
      </c>
      <c r="C2233" s="143" t="n">
        <v>21265</v>
      </c>
      <c r="D2233" s="143" t="s">
        <v>76</v>
      </c>
      <c r="E2233" s="143" t="s">
        <v>479</v>
      </c>
      <c r="F2233" s="144" t="n">
        <v>200025888844</v>
      </c>
      <c r="G2233" s="144" t="s">
        <v>150</v>
      </c>
      <c r="H2233" s="144" t="n">
        <v>1</v>
      </c>
      <c r="I2233" s="144" t="s">
        <v>148</v>
      </c>
      <c r="J2233" s="151" t="n">
        <v>45073.6202546296</v>
      </c>
      <c r="K2233" s="1" t="n">
        <v>2</v>
      </c>
      <c r="L2233" s="144" t="n">
        <v>1</v>
      </c>
      <c r="M2233" s="144" t="n">
        <v>77</v>
      </c>
      <c r="N2233" s="144" t="n">
        <v>77</v>
      </c>
      <c r="O2233" s="149" t="n">
        <v>14</v>
      </c>
    </row>
    <row r="2234" customFormat="false" ht="14.25" hidden="false" customHeight="false" outlineLevel="0" collapsed="false">
      <c r="A2234" s="1" t="n">
        <v>148</v>
      </c>
      <c r="B2234" s="1" t="s">
        <v>478</v>
      </c>
      <c r="C2234" s="143" t="n">
        <v>21265</v>
      </c>
      <c r="D2234" s="143" t="s">
        <v>76</v>
      </c>
      <c r="E2234" s="143" t="s">
        <v>479</v>
      </c>
      <c r="F2234" s="144" t="n">
        <v>200025888844</v>
      </c>
      <c r="G2234" s="144" t="s">
        <v>150</v>
      </c>
      <c r="H2234" s="144" t="n">
        <v>1</v>
      </c>
      <c r="I2234" s="144" t="s">
        <v>148</v>
      </c>
      <c r="J2234" s="151" t="n">
        <v>45073.623125</v>
      </c>
      <c r="K2234" s="1" t="n">
        <v>1</v>
      </c>
      <c r="L2234" s="144" t="n">
        <v>1</v>
      </c>
      <c r="M2234" s="144" t="n">
        <v>77</v>
      </c>
      <c r="N2234" s="144" t="n">
        <v>77</v>
      </c>
      <c r="O2234" s="149" t="n">
        <v>15</v>
      </c>
    </row>
    <row r="2235" customFormat="false" ht="14.25" hidden="false" customHeight="false" outlineLevel="0" collapsed="false">
      <c r="A2235" s="1" t="n">
        <v>149</v>
      </c>
      <c r="B2235" s="1" t="s">
        <v>478</v>
      </c>
      <c r="C2235" s="143" t="n">
        <v>21265</v>
      </c>
      <c r="D2235" s="143" t="s">
        <v>76</v>
      </c>
      <c r="E2235" s="143" t="s">
        <v>479</v>
      </c>
      <c r="F2235" s="144" t="n">
        <v>200025888844</v>
      </c>
      <c r="G2235" s="144" t="s">
        <v>150</v>
      </c>
      <c r="H2235" s="144" t="n">
        <v>1</v>
      </c>
      <c r="I2235" s="144" t="s">
        <v>148</v>
      </c>
      <c r="J2235" s="151" t="n">
        <v>45073.6538773148</v>
      </c>
      <c r="K2235" s="1" t="n">
        <v>2</v>
      </c>
      <c r="L2235" s="144" t="n">
        <v>1</v>
      </c>
      <c r="M2235" s="144" t="n">
        <v>77</v>
      </c>
      <c r="N2235" s="144" t="n">
        <v>77</v>
      </c>
      <c r="O2235" s="149" t="n">
        <v>16</v>
      </c>
    </row>
    <row r="2236" customFormat="false" ht="14.25" hidden="false" customHeight="false" outlineLevel="0" collapsed="false">
      <c r="A2236" s="1" t="n">
        <v>150</v>
      </c>
      <c r="B2236" s="1" t="s">
        <v>478</v>
      </c>
      <c r="C2236" s="143" t="n">
        <v>21265</v>
      </c>
      <c r="D2236" s="143" t="s">
        <v>76</v>
      </c>
      <c r="E2236" s="143" t="s">
        <v>479</v>
      </c>
      <c r="F2236" s="144" t="n">
        <v>200025888844</v>
      </c>
      <c r="G2236" s="144" t="s">
        <v>150</v>
      </c>
      <c r="H2236" s="144" t="n">
        <v>1</v>
      </c>
      <c r="I2236" s="144" t="s">
        <v>148</v>
      </c>
      <c r="J2236" s="151" t="n">
        <v>45073.6548263889</v>
      </c>
      <c r="K2236" s="1" t="n">
        <v>3</v>
      </c>
      <c r="L2236" s="144" t="n">
        <v>1</v>
      </c>
      <c r="M2236" s="144" t="n">
        <v>77</v>
      </c>
      <c r="N2236" s="144" t="n">
        <v>77</v>
      </c>
      <c r="O2236" s="149" t="n">
        <v>17</v>
      </c>
    </row>
    <row r="2237" customFormat="false" ht="14.25" hidden="false" customHeight="false" outlineLevel="0" collapsed="false">
      <c r="A2237" s="1" t="n">
        <v>152</v>
      </c>
      <c r="B2237" s="1" t="s">
        <v>478</v>
      </c>
      <c r="C2237" s="143" t="n">
        <v>21265</v>
      </c>
      <c r="D2237" s="143" t="s">
        <v>76</v>
      </c>
      <c r="E2237" s="143" t="s">
        <v>479</v>
      </c>
      <c r="F2237" s="144" t="n">
        <v>200025888844</v>
      </c>
      <c r="G2237" s="144" t="s">
        <v>150</v>
      </c>
      <c r="H2237" s="144" t="n">
        <v>1</v>
      </c>
      <c r="I2237" s="144" t="s">
        <v>148</v>
      </c>
      <c r="J2237" s="151" t="n">
        <v>45073.7113541667</v>
      </c>
      <c r="K2237" s="1" t="n">
        <v>1</v>
      </c>
      <c r="L2237" s="144" t="n">
        <v>1</v>
      </c>
      <c r="M2237" s="144" t="n">
        <v>77</v>
      </c>
      <c r="N2237" s="144" t="n">
        <v>77</v>
      </c>
      <c r="O2237" s="149" t="n">
        <v>18</v>
      </c>
    </row>
    <row r="2238" customFormat="false" ht="14.25" hidden="false" customHeight="false" outlineLevel="0" collapsed="false">
      <c r="A2238" s="1" t="n">
        <v>153</v>
      </c>
      <c r="B2238" s="1" t="s">
        <v>478</v>
      </c>
      <c r="C2238" s="143" t="n">
        <v>21265</v>
      </c>
      <c r="D2238" s="143" t="s">
        <v>76</v>
      </c>
      <c r="E2238" s="143" t="s">
        <v>479</v>
      </c>
      <c r="F2238" s="144" t="n">
        <v>200025888844</v>
      </c>
      <c r="G2238" s="144" t="s">
        <v>150</v>
      </c>
      <c r="H2238" s="144" t="n">
        <v>1</v>
      </c>
      <c r="I2238" s="144" t="s">
        <v>148</v>
      </c>
      <c r="J2238" s="151" t="n">
        <v>45073.7118171296</v>
      </c>
      <c r="K2238" s="1" t="n">
        <v>1</v>
      </c>
      <c r="L2238" s="144" t="n">
        <v>1</v>
      </c>
      <c r="M2238" s="144" t="n">
        <v>77</v>
      </c>
      <c r="N2238" s="144" t="n">
        <v>77</v>
      </c>
      <c r="O2238" s="149" t="n">
        <v>19</v>
      </c>
    </row>
    <row r="2239" customFormat="false" ht="14.25" hidden="false" customHeight="false" outlineLevel="0" collapsed="false">
      <c r="A2239" s="1" t="n">
        <v>154</v>
      </c>
      <c r="B2239" s="1" t="s">
        <v>478</v>
      </c>
      <c r="C2239" s="143" t="n">
        <v>21265</v>
      </c>
      <c r="D2239" s="143" t="s">
        <v>76</v>
      </c>
      <c r="E2239" s="143" t="s">
        <v>479</v>
      </c>
      <c r="F2239" s="144" t="n">
        <v>200025888844</v>
      </c>
      <c r="G2239" s="144" t="s">
        <v>150</v>
      </c>
      <c r="H2239" s="144" t="n">
        <v>1</v>
      </c>
      <c r="I2239" s="144" t="s">
        <v>148</v>
      </c>
      <c r="J2239" s="151" t="n">
        <v>45073.7125925926</v>
      </c>
      <c r="K2239" s="1" t="n">
        <v>2</v>
      </c>
      <c r="L2239" s="144" t="n">
        <v>1</v>
      </c>
      <c r="M2239" s="144" t="n">
        <v>77</v>
      </c>
      <c r="N2239" s="144" t="n">
        <v>77</v>
      </c>
      <c r="O2239" s="149" t="n">
        <v>20</v>
      </c>
    </row>
    <row r="2240" customFormat="false" ht="14.25" hidden="false" customHeight="false" outlineLevel="0" collapsed="false">
      <c r="A2240" s="1" t="n">
        <v>155</v>
      </c>
      <c r="B2240" s="1" t="s">
        <v>478</v>
      </c>
      <c r="C2240" s="143" t="n">
        <v>21265</v>
      </c>
      <c r="D2240" s="143" t="s">
        <v>76</v>
      </c>
      <c r="E2240" s="143" t="s">
        <v>479</v>
      </c>
      <c r="F2240" s="144" t="n">
        <v>200025888844</v>
      </c>
      <c r="G2240" s="144" t="s">
        <v>150</v>
      </c>
      <c r="H2240" s="144" t="n">
        <v>1</v>
      </c>
      <c r="I2240" s="144" t="s">
        <v>148</v>
      </c>
      <c r="J2240" s="151" t="n">
        <v>45073.7129398148</v>
      </c>
      <c r="K2240" s="1" t="n">
        <v>0</v>
      </c>
      <c r="L2240" s="144" t="n">
        <v>1</v>
      </c>
      <c r="M2240" s="144" t="n">
        <v>77</v>
      </c>
      <c r="N2240" s="144" t="n">
        <v>77</v>
      </c>
      <c r="O2240" s="149" t="n">
        <v>21</v>
      </c>
    </row>
    <row r="2241" customFormat="false" ht="14.25" hidden="false" customHeight="false" outlineLevel="0" collapsed="false">
      <c r="A2241" s="1" t="n">
        <v>156</v>
      </c>
      <c r="B2241" s="1" t="s">
        <v>478</v>
      </c>
      <c r="C2241" s="143" t="n">
        <v>21265</v>
      </c>
      <c r="D2241" s="143" t="s">
        <v>76</v>
      </c>
      <c r="E2241" s="143" t="s">
        <v>479</v>
      </c>
      <c r="F2241" s="144" t="n">
        <v>200025888844</v>
      </c>
      <c r="G2241" s="144" t="s">
        <v>150</v>
      </c>
      <c r="H2241" s="144" t="n">
        <v>1</v>
      </c>
      <c r="I2241" s="144" t="s">
        <v>148</v>
      </c>
      <c r="J2241" s="151" t="n">
        <v>45073.7146875</v>
      </c>
      <c r="K2241" s="1" t="n">
        <v>2</v>
      </c>
      <c r="L2241" s="144" t="n">
        <v>1</v>
      </c>
      <c r="M2241" s="144" t="n">
        <v>77</v>
      </c>
      <c r="N2241" s="144" t="n">
        <v>77</v>
      </c>
      <c r="O2241" s="149" t="n">
        <v>22</v>
      </c>
    </row>
    <row r="2242" customFormat="false" ht="14.25" hidden="false" customHeight="false" outlineLevel="0" collapsed="false">
      <c r="A2242" s="1" t="n">
        <v>157</v>
      </c>
      <c r="B2242" s="1" t="s">
        <v>478</v>
      </c>
      <c r="C2242" s="143" t="n">
        <v>21265</v>
      </c>
      <c r="D2242" s="143" t="s">
        <v>76</v>
      </c>
      <c r="E2242" s="143" t="s">
        <v>479</v>
      </c>
      <c r="F2242" s="144" t="n">
        <v>200025888844</v>
      </c>
      <c r="G2242" s="144" t="s">
        <v>150</v>
      </c>
      <c r="H2242" s="144" t="n">
        <v>1</v>
      </c>
      <c r="I2242" s="144" t="s">
        <v>148</v>
      </c>
      <c r="J2242" s="151" t="n">
        <v>45073.7153587963</v>
      </c>
      <c r="K2242" s="1" t="n">
        <v>1</v>
      </c>
      <c r="L2242" s="144" t="n">
        <v>1</v>
      </c>
      <c r="M2242" s="144" t="n">
        <v>77</v>
      </c>
      <c r="N2242" s="144" t="n">
        <v>77</v>
      </c>
      <c r="O2242" s="149" t="n">
        <v>23</v>
      </c>
    </row>
    <row r="2243" customFormat="false" ht="14.25" hidden="false" customHeight="false" outlineLevel="0" collapsed="false">
      <c r="A2243" s="1" t="n">
        <v>158</v>
      </c>
      <c r="B2243" s="1" t="s">
        <v>478</v>
      </c>
      <c r="C2243" s="143" t="n">
        <v>21265</v>
      </c>
      <c r="D2243" s="143" t="s">
        <v>76</v>
      </c>
      <c r="E2243" s="143" t="s">
        <v>479</v>
      </c>
      <c r="F2243" s="144" t="n">
        <v>200025888844</v>
      </c>
      <c r="G2243" s="144" t="s">
        <v>150</v>
      </c>
      <c r="H2243" s="144" t="n">
        <v>1</v>
      </c>
      <c r="I2243" s="144" t="s">
        <v>148</v>
      </c>
      <c r="J2243" s="151" t="n">
        <v>45073.7155902778</v>
      </c>
      <c r="K2243" s="1" t="n">
        <v>2</v>
      </c>
      <c r="L2243" s="144" t="n">
        <v>1</v>
      </c>
      <c r="M2243" s="144" t="n">
        <v>77</v>
      </c>
      <c r="N2243" s="144" t="n">
        <v>77</v>
      </c>
      <c r="O2243" s="149" t="n">
        <v>24</v>
      </c>
    </row>
    <row r="2244" customFormat="false" ht="14.25" hidden="false" customHeight="false" outlineLevel="0" collapsed="false">
      <c r="A2244" s="1" t="n">
        <v>86</v>
      </c>
      <c r="B2244" s="1" t="s">
        <v>490</v>
      </c>
      <c r="C2244" s="143" t="n">
        <v>11171</v>
      </c>
      <c r="D2244" s="143" t="s">
        <v>74</v>
      </c>
      <c r="E2244" s="143" t="s">
        <v>479</v>
      </c>
      <c r="F2244" s="144" t="n">
        <v>200025888844</v>
      </c>
      <c r="G2244" s="144" t="s">
        <v>150</v>
      </c>
      <c r="H2244" s="144" t="n">
        <v>1</v>
      </c>
      <c r="I2244" s="144" t="s">
        <v>148</v>
      </c>
      <c r="J2244" s="151" t="n">
        <v>45073.7283449074</v>
      </c>
      <c r="K2244" s="1" t="n">
        <v>1</v>
      </c>
      <c r="L2244" s="144" t="n">
        <v>1</v>
      </c>
      <c r="M2244" s="144" t="n">
        <v>77</v>
      </c>
      <c r="N2244" s="144" t="n">
        <v>77</v>
      </c>
      <c r="O2244" s="149" t="n">
        <v>25</v>
      </c>
    </row>
    <row r="2245" customFormat="false" ht="14.25" hidden="false" customHeight="false" outlineLevel="0" collapsed="false">
      <c r="A2245" s="1" t="n">
        <v>92</v>
      </c>
      <c r="B2245" s="1" t="s">
        <v>490</v>
      </c>
      <c r="C2245" s="143" t="n">
        <v>11171</v>
      </c>
      <c r="D2245" s="143" t="s">
        <v>74</v>
      </c>
      <c r="E2245" s="143" t="s">
        <v>479</v>
      </c>
      <c r="F2245" s="144" t="n">
        <v>200025888844</v>
      </c>
      <c r="G2245" s="144" t="s">
        <v>150</v>
      </c>
      <c r="H2245" s="144" t="n">
        <v>1</v>
      </c>
      <c r="I2245" s="144" t="s">
        <v>148</v>
      </c>
      <c r="J2245" s="151" t="n">
        <v>45073.761400463</v>
      </c>
      <c r="K2245" s="1" t="n">
        <v>5</v>
      </c>
      <c r="L2245" s="144" t="n">
        <v>1</v>
      </c>
      <c r="M2245" s="144" t="n">
        <v>77</v>
      </c>
      <c r="N2245" s="144" t="n">
        <v>77</v>
      </c>
      <c r="O2245" s="149" t="n">
        <v>26</v>
      </c>
    </row>
    <row r="2246" customFormat="false" ht="14.25" hidden="false" customHeight="false" outlineLevel="0" collapsed="false">
      <c r="A2246" s="1" t="n">
        <v>93</v>
      </c>
      <c r="B2246" s="1" t="s">
        <v>490</v>
      </c>
      <c r="C2246" s="143" t="n">
        <v>11171</v>
      </c>
      <c r="D2246" s="143" t="s">
        <v>74</v>
      </c>
      <c r="E2246" s="143" t="s">
        <v>479</v>
      </c>
      <c r="F2246" s="144" t="n">
        <v>200025888844</v>
      </c>
      <c r="G2246" s="144" t="s">
        <v>150</v>
      </c>
      <c r="H2246" s="144" t="n">
        <v>1</v>
      </c>
      <c r="I2246" s="144" t="s">
        <v>148</v>
      </c>
      <c r="J2246" s="151" t="n">
        <v>45073.7616203704</v>
      </c>
      <c r="K2246" s="1" t="n">
        <v>1</v>
      </c>
      <c r="L2246" s="144" t="n">
        <v>1</v>
      </c>
      <c r="M2246" s="144" t="n">
        <v>77</v>
      </c>
      <c r="N2246" s="144" t="n">
        <v>77</v>
      </c>
      <c r="O2246" s="149" t="n">
        <v>27</v>
      </c>
    </row>
    <row r="2247" customFormat="false" ht="14.25" hidden="false" customHeight="false" outlineLevel="0" collapsed="false">
      <c r="A2247" s="1" t="n">
        <v>160</v>
      </c>
      <c r="B2247" s="1" t="s">
        <v>478</v>
      </c>
      <c r="C2247" s="143" t="n">
        <v>21265</v>
      </c>
      <c r="D2247" s="143" t="s">
        <v>76</v>
      </c>
      <c r="E2247" s="143" t="s">
        <v>479</v>
      </c>
      <c r="F2247" s="144" t="n">
        <v>200025888844</v>
      </c>
      <c r="G2247" s="144" t="s">
        <v>150</v>
      </c>
      <c r="H2247" s="144" t="n">
        <v>1</v>
      </c>
      <c r="I2247" s="144" t="s">
        <v>148</v>
      </c>
      <c r="J2247" s="151" t="n">
        <v>45073.8415972222</v>
      </c>
      <c r="K2247" s="1" t="n">
        <v>2</v>
      </c>
      <c r="L2247" s="144" t="n">
        <v>1</v>
      </c>
      <c r="M2247" s="144" t="n">
        <v>77</v>
      </c>
      <c r="N2247" s="144" t="n">
        <v>77</v>
      </c>
      <c r="O2247" s="149" t="n">
        <v>28</v>
      </c>
    </row>
    <row r="2248" customFormat="false" ht="14.25" hidden="false" customHeight="false" outlineLevel="0" collapsed="false">
      <c r="A2248" s="1" t="n">
        <v>161</v>
      </c>
      <c r="B2248" s="1" t="s">
        <v>478</v>
      </c>
      <c r="C2248" s="143" t="n">
        <v>21265</v>
      </c>
      <c r="D2248" s="143" t="s">
        <v>76</v>
      </c>
      <c r="E2248" s="143" t="s">
        <v>479</v>
      </c>
      <c r="F2248" s="144" t="n">
        <v>200025888844</v>
      </c>
      <c r="G2248" s="144" t="s">
        <v>150</v>
      </c>
      <c r="H2248" s="144" t="n">
        <v>1</v>
      </c>
      <c r="I2248" s="144" t="s">
        <v>148</v>
      </c>
      <c r="J2248" s="151" t="n">
        <v>45073.8419444444</v>
      </c>
      <c r="K2248" s="1" t="n">
        <v>1</v>
      </c>
      <c r="L2248" s="144" t="n">
        <v>1</v>
      </c>
      <c r="M2248" s="144" t="n">
        <v>77</v>
      </c>
      <c r="N2248" s="144" t="n">
        <v>77</v>
      </c>
      <c r="O2248" s="149" t="n">
        <v>29</v>
      </c>
    </row>
    <row r="2249" customFormat="false" ht="14.25" hidden="false" customHeight="false" outlineLevel="0" collapsed="false">
      <c r="A2249" s="1" t="n">
        <v>162</v>
      </c>
      <c r="B2249" s="1" t="s">
        <v>478</v>
      </c>
      <c r="C2249" s="143" t="n">
        <v>21265</v>
      </c>
      <c r="D2249" s="143" t="s">
        <v>76</v>
      </c>
      <c r="E2249" s="143" t="s">
        <v>479</v>
      </c>
      <c r="F2249" s="144" t="n">
        <v>200025888844</v>
      </c>
      <c r="G2249" s="144" t="s">
        <v>150</v>
      </c>
      <c r="H2249" s="144" t="n">
        <v>1</v>
      </c>
      <c r="I2249" s="144" t="s">
        <v>148</v>
      </c>
      <c r="J2249" s="151" t="n">
        <v>45073.8433217593</v>
      </c>
      <c r="K2249" s="1" t="n">
        <v>3</v>
      </c>
      <c r="L2249" s="144" t="n">
        <v>1</v>
      </c>
      <c r="M2249" s="144" t="n">
        <v>77</v>
      </c>
      <c r="N2249" s="144" t="n">
        <v>77</v>
      </c>
      <c r="O2249" s="149" t="n">
        <v>30</v>
      </c>
    </row>
    <row r="2250" customFormat="false" ht="14.25" hidden="false" customHeight="false" outlineLevel="0" collapsed="false">
      <c r="A2250" s="1" t="n">
        <v>163</v>
      </c>
      <c r="B2250" s="1" t="s">
        <v>478</v>
      </c>
      <c r="C2250" s="143" t="n">
        <v>21265</v>
      </c>
      <c r="D2250" s="143" t="s">
        <v>76</v>
      </c>
      <c r="E2250" s="143" t="s">
        <v>479</v>
      </c>
      <c r="F2250" s="144" t="n">
        <v>200025888844</v>
      </c>
      <c r="G2250" s="144" t="s">
        <v>150</v>
      </c>
      <c r="H2250" s="144" t="n">
        <v>1</v>
      </c>
      <c r="I2250" s="144" t="s">
        <v>148</v>
      </c>
      <c r="J2250" s="151" t="n">
        <v>45073.8446527778</v>
      </c>
      <c r="K2250" s="1" t="n">
        <v>1</v>
      </c>
      <c r="L2250" s="144" t="n">
        <v>1</v>
      </c>
      <c r="M2250" s="144" t="n">
        <v>77</v>
      </c>
      <c r="N2250" s="144" t="n">
        <v>77</v>
      </c>
      <c r="O2250" s="149" t="n">
        <v>31</v>
      </c>
    </row>
    <row r="2251" customFormat="false" ht="14.25" hidden="false" customHeight="false" outlineLevel="0" collapsed="false">
      <c r="A2251" s="1" t="n">
        <v>164</v>
      </c>
      <c r="B2251" s="1" t="s">
        <v>478</v>
      </c>
      <c r="C2251" s="143" t="n">
        <v>21265</v>
      </c>
      <c r="D2251" s="143" t="s">
        <v>76</v>
      </c>
      <c r="E2251" s="143" t="s">
        <v>479</v>
      </c>
      <c r="F2251" s="144" t="n">
        <v>200025888844</v>
      </c>
      <c r="G2251" s="144" t="s">
        <v>150</v>
      </c>
      <c r="H2251" s="144" t="n">
        <v>1</v>
      </c>
      <c r="I2251" s="144" t="s">
        <v>148</v>
      </c>
      <c r="J2251" s="151" t="n">
        <v>45073.8462037037</v>
      </c>
      <c r="K2251" s="1" t="n">
        <v>1</v>
      </c>
      <c r="L2251" s="144" t="n">
        <v>1</v>
      </c>
      <c r="M2251" s="144" t="n">
        <v>77</v>
      </c>
      <c r="N2251" s="144" t="n">
        <v>77</v>
      </c>
      <c r="O2251" s="149" t="n">
        <v>32</v>
      </c>
    </row>
    <row r="2252" customFormat="false" ht="14.25" hidden="false" customHeight="false" outlineLevel="0" collapsed="false">
      <c r="A2252" s="1" t="n">
        <v>95</v>
      </c>
      <c r="B2252" s="1" t="s">
        <v>490</v>
      </c>
      <c r="C2252" s="143" t="n">
        <v>11171</v>
      </c>
      <c r="D2252" s="143" t="s">
        <v>74</v>
      </c>
      <c r="E2252" s="143" t="s">
        <v>479</v>
      </c>
      <c r="F2252" s="144" t="n">
        <v>200025888844</v>
      </c>
      <c r="G2252" s="144" t="s">
        <v>150</v>
      </c>
      <c r="H2252" s="144" t="n">
        <v>1</v>
      </c>
      <c r="I2252" s="144" t="s">
        <v>148</v>
      </c>
      <c r="J2252" s="151" t="n">
        <v>45073.8490393519</v>
      </c>
      <c r="K2252" s="1" t="n">
        <v>0</v>
      </c>
      <c r="L2252" s="144" t="n">
        <v>1</v>
      </c>
      <c r="M2252" s="144" t="n">
        <v>77</v>
      </c>
      <c r="N2252" s="144" t="n">
        <v>77</v>
      </c>
      <c r="O2252" s="149" t="n">
        <v>33</v>
      </c>
    </row>
    <row r="2253" customFormat="false" ht="14.25" hidden="false" customHeight="false" outlineLevel="0" collapsed="false">
      <c r="A2253" s="1" t="n">
        <v>96</v>
      </c>
      <c r="B2253" s="1" t="s">
        <v>490</v>
      </c>
      <c r="C2253" s="143" t="n">
        <v>11171</v>
      </c>
      <c r="D2253" s="143" t="s">
        <v>74</v>
      </c>
      <c r="E2253" s="143" t="s">
        <v>479</v>
      </c>
      <c r="F2253" s="144" t="n">
        <v>200025888844</v>
      </c>
      <c r="G2253" s="144" t="s">
        <v>150</v>
      </c>
      <c r="H2253" s="144" t="n">
        <v>1</v>
      </c>
      <c r="I2253" s="144" t="s">
        <v>148</v>
      </c>
      <c r="J2253" s="151" t="n">
        <v>45073.8547916667</v>
      </c>
      <c r="K2253" s="1" t="n">
        <v>2</v>
      </c>
      <c r="L2253" s="144" t="n">
        <v>1</v>
      </c>
      <c r="M2253" s="144" t="n">
        <v>77</v>
      </c>
      <c r="N2253" s="144" t="n">
        <v>77</v>
      </c>
      <c r="O2253" s="149" t="n">
        <v>34</v>
      </c>
    </row>
    <row r="2254" customFormat="false" ht="14.25" hidden="false" customHeight="false" outlineLevel="0" collapsed="false">
      <c r="A2254" s="1" t="n">
        <v>97</v>
      </c>
      <c r="B2254" s="1" t="s">
        <v>490</v>
      </c>
      <c r="C2254" s="143" t="n">
        <v>11171</v>
      </c>
      <c r="D2254" s="143" t="s">
        <v>74</v>
      </c>
      <c r="E2254" s="143" t="s">
        <v>479</v>
      </c>
      <c r="F2254" s="144" t="n">
        <v>200025888844</v>
      </c>
      <c r="G2254" s="144" t="s">
        <v>150</v>
      </c>
      <c r="H2254" s="144" t="n">
        <v>1</v>
      </c>
      <c r="I2254" s="144" t="s">
        <v>148</v>
      </c>
      <c r="J2254" s="151" t="n">
        <v>45073.8565856482</v>
      </c>
      <c r="K2254" s="1" t="n">
        <v>1</v>
      </c>
      <c r="L2254" s="144" t="n">
        <v>1</v>
      </c>
      <c r="M2254" s="144" t="n">
        <v>77</v>
      </c>
      <c r="N2254" s="144" t="n">
        <v>77</v>
      </c>
      <c r="O2254" s="149" t="n">
        <v>35</v>
      </c>
    </row>
    <row r="2255" customFormat="false" ht="14.25" hidden="false" customHeight="false" outlineLevel="0" collapsed="false">
      <c r="A2255" s="1" t="n">
        <v>166</v>
      </c>
      <c r="B2255" s="1" t="s">
        <v>478</v>
      </c>
      <c r="C2255" s="143" t="n">
        <v>21265</v>
      </c>
      <c r="D2255" s="143" t="s">
        <v>76</v>
      </c>
      <c r="E2255" s="143" t="s">
        <v>479</v>
      </c>
      <c r="F2255" s="144" t="n">
        <v>200025888844</v>
      </c>
      <c r="G2255" s="144" t="s">
        <v>150</v>
      </c>
      <c r="H2255" s="144" t="n">
        <v>1</v>
      </c>
      <c r="I2255" s="144" t="s">
        <v>148</v>
      </c>
      <c r="J2255" s="151" t="n">
        <v>45073.8607060185</v>
      </c>
      <c r="K2255" s="1" t="n">
        <v>1</v>
      </c>
      <c r="L2255" s="144" t="n">
        <v>1</v>
      </c>
      <c r="M2255" s="144" t="n">
        <v>77</v>
      </c>
      <c r="N2255" s="144" t="n">
        <v>77</v>
      </c>
      <c r="O2255" s="149" t="n">
        <v>36</v>
      </c>
    </row>
    <row r="2256" customFormat="false" ht="14.25" hidden="false" customHeight="false" outlineLevel="0" collapsed="false">
      <c r="A2256" s="1" t="n">
        <v>167</v>
      </c>
      <c r="B2256" s="1" t="s">
        <v>478</v>
      </c>
      <c r="C2256" s="143" t="n">
        <v>21265</v>
      </c>
      <c r="D2256" s="143" t="s">
        <v>76</v>
      </c>
      <c r="E2256" s="143" t="s">
        <v>479</v>
      </c>
      <c r="F2256" s="144" t="n">
        <v>200025888844</v>
      </c>
      <c r="G2256" s="144" t="s">
        <v>150</v>
      </c>
      <c r="H2256" s="144" t="n">
        <v>1</v>
      </c>
      <c r="I2256" s="144" t="s">
        <v>148</v>
      </c>
      <c r="J2256" s="151" t="n">
        <v>45073.862037037</v>
      </c>
      <c r="K2256" s="1" t="n">
        <v>1</v>
      </c>
      <c r="L2256" s="144" t="n">
        <v>1</v>
      </c>
      <c r="M2256" s="144" t="n">
        <v>77</v>
      </c>
      <c r="N2256" s="144" t="n">
        <v>77</v>
      </c>
      <c r="O2256" s="149" t="n">
        <v>37</v>
      </c>
    </row>
    <row r="2257" customFormat="false" ht="14.25" hidden="false" customHeight="false" outlineLevel="0" collapsed="false">
      <c r="A2257" s="1" t="n">
        <v>99</v>
      </c>
      <c r="B2257" s="1" t="s">
        <v>490</v>
      </c>
      <c r="C2257" s="143" t="n">
        <v>11171</v>
      </c>
      <c r="D2257" s="143" t="s">
        <v>74</v>
      </c>
      <c r="E2257" s="143" t="s">
        <v>479</v>
      </c>
      <c r="F2257" s="144" t="n">
        <v>200025888844</v>
      </c>
      <c r="G2257" s="144" t="s">
        <v>150</v>
      </c>
      <c r="H2257" s="144" t="n">
        <v>1</v>
      </c>
      <c r="I2257" s="144" t="s">
        <v>148</v>
      </c>
      <c r="J2257" s="151" t="n">
        <v>45073.8866435185</v>
      </c>
      <c r="K2257" s="1" t="n">
        <v>3</v>
      </c>
      <c r="L2257" s="144" t="n">
        <v>1</v>
      </c>
      <c r="M2257" s="144" t="n">
        <v>77</v>
      </c>
      <c r="N2257" s="144" t="n">
        <v>77</v>
      </c>
      <c r="O2257" s="149" t="n">
        <v>38</v>
      </c>
    </row>
    <row r="2258" customFormat="false" ht="14.25" hidden="false" customHeight="false" outlineLevel="0" collapsed="false">
      <c r="A2258" s="1" t="n">
        <v>100</v>
      </c>
      <c r="B2258" s="1" t="s">
        <v>490</v>
      </c>
      <c r="C2258" s="143" t="n">
        <v>11171</v>
      </c>
      <c r="D2258" s="143" t="s">
        <v>74</v>
      </c>
      <c r="E2258" s="143" t="s">
        <v>479</v>
      </c>
      <c r="F2258" s="144" t="n">
        <v>200025888844</v>
      </c>
      <c r="G2258" s="144" t="s">
        <v>150</v>
      </c>
      <c r="H2258" s="144" t="n">
        <v>1</v>
      </c>
      <c r="I2258" s="144" t="s">
        <v>148</v>
      </c>
      <c r="J2258" s="151" t="n">
        <v>45073.8890393519</v>
      </c>
      <c r="K2258" s="1" t="n">
        <v>2</v>
      </c>
      <c r="L2258" s="144" t="n">
        <v>1</v>
      </c>
      <c r="M2258" s="144" t="n">
        <v>77</v>
      </c>
      <c r="N2258" s="144" t="n">
        <v>77</v>
      </c>
      <c r="O2258" s="149" t="n">
        <v>39</v>
      </c>
    </row>
    <row r="2259" customFormat="false" ht="14.25" hidden="false" customHeight="false" outlineLevel="0" collapsed="false">
      <c r="A2259" s="1" t="n">
        <v>101</v>
      </c>
      <c r="B2259" s="1" t="s">
        <v>490</v>
      </c>
      <c r="C2259" s="143" t="n">
        <v>11171</v>
      </c>
      <c r="D2259" s="143" t="s">
        <v>74</v>
      </c>
      <c r="E2259" s="143" t="s">
        <v>479</v>
      </c>
      <c r="F2259" s="144" t="n">
        <v>200025888844</v>
      </c>
      <c r="G2259" s="144" t="s">
        <v>150</v>
      </c>
      <c r="H2259" s="144" t="n">
        <v>1</v>
      </c>
      <c r="I2259" s="144" t="s">
        <v>148</v>
      </c>
      <c r="J2259" s="151" t="n">
        <v>45073.8912384259</v>
      </c>
      <c r="K2259" s="1" t="n">
        <v>2</v>
      </c>
      <c r="L2259" s="144" t="n">
        <v>1</v>
      </c>
      <c r="M2259" s="144" t="n">
        <v>77</v>
      </c>
      <c r="N2259" s="144" t="n">
        <v>77</v>
      </c>
      <c r="O2259" s="149" t="n">
        <v>40</v>
      </c>
    </row>
    <row r="2260" customFormat="false" ht="14.25" hidden="false" customHeight="false" outlineLevel="0" collapsed="false">
      <c r="A2260" s="1" t="n">
        <v>102</v>
      </c>
      <c r="B2260" s="1" t="s">
        <v>490</v>
      </c>
      <c r="C2260" s="143" t="n">
        <v>11171</v>
      </c>
      <c r="D2260" s="143" t="s">
        <v>74</v>
      </c>
      <c r="E2260" s="143" t="s">
        <v>479</v>
      </c>
      <c r="F2260" s="144" t="n">
        <v>200025888844</v>
      </c>
      <c r="G2260" s="144" t="s">
        <v>150</v>
      </c>
      <c r="H2260" s="144" t="n">
        <v>1</v>
      </c>
      <c r="I2260" s="144" t="s">
        <v>148</v>
      </c>
      <c r="J2260" s="151" t="n">
        <v>45073.9194328704</v>
      </c>
      <c r="K2260" s="1" t="n">
        <v>0</v>
      </c>
      <c r="L2260" s="144" t="n">
        <v>1</v>
      </c>
      <c r="M2260" s="144" t="n">
        <v>77</v>
      </c>
      <c r="N2260" s="144" t="n">
        <v>77</v>
      </c>
      <c r="O2260" s="149" t="n">
        <v>41</v>
      </c>
    </row>
    <row r="2261" customFormat="false" ht="14.25" hidden="false" customHeight="false" outlineLevel="0" collapsed="false">
      <c r="A2261" s="1" t="n">
        <v>103</v>
      </c>
      <c r="B2261" s="1" t="s">
        <v>490</v>
      </c>
      <c r="C2261" s="143" t="n">
        <v>11171</v>
      </c>
      <c r="D2261" s="143" t="s">
        <v>74</v>
      </c>
      <c r="E2261" s="143" t="s">
        <v>479</v>
      </c>
      <c r="F2261" s="144" t="n">
        <v>200025888844</v>
      </c>
      <c r="G2261" s="144" t="s">
        <v>150</v>
      </c>
      <c r="H2261" s="144" t="n">
        <v>1</v>
      </c>
      <c r="I2261" s="144" t="s">
        <v>148</v>
      </c>
      <c r="J2261" s="151" t="n">
        <v>45073.9377314815</v>
      </c>
      <c r="K2261" s="1" t="n">
        <v>4</v>
      </c>
      <c r="L2261" s="144" t="n">
        <v>1</v>
      </c>
      <c r="M2261" s="144" t="n">
        <v>77</v>
      </c>
      <c r="N2261" s="144" t="n">
        <v>77</v>
      </c>
      <c r="O2261" s="149" t="n">
        <v>42</v>
      </c>
    </row>
    <row r="2262" customFormat="false" ht="14.25" hidden="false" customHeight="false" outlineLevel="0" collapsed="false">
      <c r="A2262" s="1" t="n">
        <v>104</v>
      </c>
      <c r="B2262" s="1" t="s">
        <v>490</v>
      </c>
      <c r="C2262" s="143" t="n">
        <v>11171</v>
      </c>
      <c r="D2262" s="143" t="s">
        <v>74</v>
      </c>
      <c r="E2262" s="143" t="s">
        <v>479</v>
      </c>
      <c r="F2262" s="144" t="n">
        <v>200025888844</v>
      </c>
      <c r="G2262" s="144" t="s">
        <v>150</v>
      </c>
      <c r="H2262" s="144" t="n">
        <v>1</v>
      </c>
      <c r="I2262" s="144" t="s">
        <v>148</v>
      </c>
      <c r="J2262" s="151" t="n">
        <v>45073.9378587963</v>
      </c>
      <c r="K2262" s="1" t="n">
        <v>3</v>
      </c>
      <c r="L2262" s="144" t="n">
        <v>1</v>
      </c>
      <c r="M2262" s="144" t="n">
        <v>77</v>
      </c>
      <c r="N2262" s="144" t="n">
        <v>77</v>
      </c>
      <c r="O2262" s="149" t="n">
        <v>43</v>
      </c>
    </row>
    <row r="2263" customFormat="false" ht="14.25" hidden="false" customHeight="false" outlineLevel="0" collapsed="false">
      <c r="A2263" s="1" t="n">
        <v>105</v>
      </c>
      <c r="B2263" s="1" t="s">
        <v>490</v>
      </c>
      <c r="C2263" s="143" t="n">
        <v>11171</v>
      </c>
      <c r="D2263" s="143" t="s">
        <v>74</v>
      </c>
      <c r="E2263" s="143" t="s">
        <v>479</v>
      </c>
      <c r="F2263" s="144" t="n">
        <v>200025888844</v>
      </c>
      <c r="G2263" s="144" t="s">
        <v>150</v>
      </c>
      <c r="H2263" s="144" t="n">
        <v>1</v>
      </c>
      <c r="I2263" s="144" t="s">
        <v>148</v>
      </c>
      <c r="J2263" s="151" t="n">
        <v>45073.9380439815</v>
      </c>
      <c r="K2263" s="1" t="n">
        <v>1</v>
      </c>
      <c r="L2263" s="144" t="n">
        <v>1</v>
      </c>
      <c r="M2263" s="144" t="n">
        <v>77</v>
      </c>
      <c r="N2263" s="144" t="n">
        <v>77</v>
      </c>
      <c r="O2263" s="149" t="n">
        <v>44</v>
      </c>
    </row>
    <row r="2264" customFormat="false" ht="14.25" hidden="false" customHeight="false" outlineLevel="0" collapsed="false">
      <c r="A2264" s="1" t="n">
        <v>106</v>
      </c>
      <c r="B2264" s="1" t="s">
        <v>490</v>
      </c>
      <c r="C2264" s="143" t="n">
        <v>11171</v>
      </c>
      <c r="D2264" s="143" t="s">
        <v>74</v>
      </c>
      <c r="E2264" s="143" t="s">
        <v>479</v>
      </c>
      <c r="F2264" s="144" t="n">
        <v>200025888844</v>
      </c>
      <c r="G2264" s="144" t="s">
        <v>150</v>
      </c>
      <c r="H2264" s="144" t="n">
        <v>1</v>
      </c>
      <c r="I2264" s="144" t="s">
        <v>148</v>
      </c>
      <c r="J2264" s="151" t="n">
        <v>45073.9675462963</v>
      </c>
      <c r="K2264" s="1" t="n">
        <v>2</v>
      </c>
      <c r="L2264" s="144" t="n">
        <v>1</v>
      </c>
      <c r="M2264" s="144" t="n">
        <v>77</v>
      </c>
      <c r="N2264" s="144" t="n">
        <v>77</v>
      </c>
      <c r="O2264" s="149" t="n">
        <v>45</v>
      </c>
    </row>
    <row r="2265" customFormat="false" ht="14.25" hidden="false" customHeight="false" outlineLevel="0" collapsed="false">
      <c r="A2265" s="1" t="n">
        <v>107</v>
      </c>
      <c r="B2265" s="1" t="s">
        <v>490</v>
      </c>
      <c r="C2265" s="143" t="n">
        <v>11171</v>
      </c>
      <c r="D2265" s="143" t="s">
        <v>74</v>
      </c>
      <c r="E2265" s="143" t="s">
        <v>479</v>
      </c>
      <c r="F2265" s="144" t="n">
        <v>200025888844</v>
      </c>
      <c r="G2265" s="144" t="s">
        <v>150</v>
      </c>
      <c r="H2265" s="144" t="n">
        <v>1</v>
      </c>
      <c r="I2265" s="144" t="s">
        <v>148</v>
      </c>
      <c r="J2265" s="151" t="n">
        <v>45073.9751157407</v>
      </c>
      <c r="K2265" s="1" t="n">
        <v>2</v>
      </c>
      <c r="L2265" s="144" t="n">
        <v>1</v>
      </c>
      <c r="M2265" s="144" t="n">
        <v>77</v>
      </c>
      <c r="N2265" s="144" t="n">
        <v>77</v>
      </c>
      <c r="O2265" s="149" t="n">
        <v>46</v>
      </c>
    </row>
    <row r="2266" customFormat="false" ht="14.25" hidden="false" customHeight="false" outlineLevel="0" collapsed="false">
      <c r="A2266" s="1" t="n">
        <v>108</v>
      </c>
      <c r="B2266" s="1" t="s">
        <v>490</v>
      </c>
      <c r="C2266" s="143" t="n">
        <v>11171</v>
      </c>
      <c r="D2266" s="143" t="s">
        <v>74</v>
      </c>
      <c r="E2266" s="143" t="s">
        <v>479</v>
      </c>
      <c r="F2266" s="144" t="n">
        <v>200025888844</v>
      </c>
      <c r="G2266" s="144" t="s">
        <v>150</v>
      </c>
      <c r="H2266" s="144" t="n">
        <v>1</v>
      </c>
      <c r="I2266" s="144" t="s">
        <v>148</v>
      </c>
      <c r="J2266" s="151" t="n">
        <v>45073.9755324074</v>
      </c>
      <c r="K2266" s="1" t="n">
        <v>3</v>
      </c>
      <c r="L2266" s="144" t="n">
        <v>1</v>
      </c>
      <c r="M2266" s="144" t="n">
        <v>77</v>
      </c>
      <c r="N2266" s="144" t="n">
        <v>77</v>
      </c>
      <c r="O2266" s="149" t="n">
        <v>47</v>
      </c>
    </row>
    <row r="2267" customFormat="false" ht="14.25" hidden="false" customHeight="false" outlineLevel="0" collapsed="false">
      <c r="A2267" s="1" t="n">
        <v>109</v>
      </c>
      <c r="B2267" s="1" t="s">
        <v>490</v>
      </c>
      <c r="C2267" s="143" t="n">
        <v>11171</v>
      </c>
      <c r="D2267" s="143" t="s">
        <v>74</v>
      </c>
      <c r="E2267" s="143" t="s">
        <v>479</v>
      </c>
      <c r="F2267" s="144" t="n">
        <v>200025888844</v>
      </c>
      <c r="G2267" s="144" t="s">
        <v>150</v>
      </c>
      <c r="H2267" s="144" t="n">
        <v>1</v>
      </c>
      <c r="I2267" s="144" t="s">
        <v>148</v>
      </c>
      <c r="J2267" s="151" t="n">
        <v>45073.9757986111</v>
      </c>
      <c r="K2267" s="1" t="n">
        <v>4</v>
      </c>
      <c r="L2267" s="144" t="n">
        <v>1</v>
      </c>
      <c r="M2267" s="144" t="n">
        <v>77</v>
      </c>
      <c r="N2267" s="144" t="n">
        <v>77</v>
      </c>
      <c r="O2267" s="149" t="n">
        <v>48</v>
      </c>
    </row>
    <row r="2268" customFormat="false" ht="14.25" hidden="false" customHeight="false" outlineLevel="0" collapsed="false">
      <c r="A2268" s="1" t="n">
        <v>111</v>
      </c>
      <c r="B2268" s="1" t="s">
        <v>490</v>
      </c>
      <c r="C2268" s="143" t="n">
        <v>11171</v>
      </c>
      <c r="D2268" s="143" t="s">
        <v>74</v>
      </c>
      <c r="E2268" s="143" t="s">
        <v>479</v>
      </c>
      <c r="F2268" s="144" t="n">
        <v>200025888844</v>
      </c>
      <c r="G2268" s="144" t="s">
        <v>150</v>
      </c>
      <c r="H2268" s="144" t="n">
        <v>1</v>
      </c>
      <c r="I2268" s="144" t="s">
        <v>148</v>
      </c>
      <c r="J2268" s="151" t="n">
        <v>45073.9797222222</v>
      </c>
      <c r="K2268" s="1" t="n">
        <v>1</v>
      </c>
      <c r="L2268" s="144" t="n">
        <v>1</v>
      </c>
      <c r="M2268" s="144" t="n">
        <v>77</v>
      </c>
      <c r="N2268" s="144" t="n">
        <v>77</v>
      </c>
      <c r="O2268" s="149" t="n">
        <v>49</v>
      </c>
    </row>
    <row r="2269" customFormat="false" ht="14.25" hidden="false" customHeight="false" outlineLevel="0" collapsed="false">
      <c r="A2269" s="1" t="n">
        <v>112</v>
      </c>
      <c r="B2269" s="1" t="s">
        <v>490</v>
      </c>
      <c r="C2269" s="143" t="n">
        <v>11171</v>
      </c>
      <c r="D2269" s="143" t="s">
        <v>74</v>
      </c>
      <c r="E2269" s="143" t="s">
        <v>479</v>
      </c>
      <c r="F2269" s="144" t="n">
        <v>200025888844</v>
      </c>
      <c r="G2269" s="144" t="s">
        <v>150</v>
      </c>
      <c r="H2269" s="144" t="n">
        <v>1</v>
      </c>
      <c r="I2269" s="144" t="s">
        <v>148</v>
      </c>
      <c r="J2269" s="151" t="n">
        <v>45073.9804976852</v>
      </c>
      <c r="K2269" s="1" t="n">
        <v>4</v>
      </c>
      <c r="L2269" s="144" t="n">
        <v>1</v>
      </c>
      <c r="M2269" s="144" t="n">
        <v>77</v>
      </c>
      <c r="N2269" s="144" t="n">
        <v>77</v>
      </c>
      <c r="O2269" s="149" t="n">
        <v>50</v>
      </c>
    </row>
    <row r="2270" customFormat="false" ht="14.25" hidden="false" customHeight="false" outlineLevel="0" collapsed="false">
      <c r="A2270" s="1" t="n">
        <v>113</v>
      </c>
      <c r="B2270" s="1" t="s">
        <v>490</v>
      </c>
      <c r="C2270" s="143" t="n">
        <v>11171</v>
      </c>
      <c r="D2270" s="143" t="s">
        <v>74</v>
      </c>
      <c r="E2270" s="143" t="s">
        <v>479</v>
      </c>
      <c r="F2270" s="144" t="n">
        <v>200025888844</v>
      </c>
      <c r="G2270" s="144" t="s">
        <v>150</v>
      </c>
      <c r="H2270" s="144" t="n">
        <v>1</v>
      </c>
      <c r="I2270" s="144" t="s">
        <v>148</v>
      </c>
      <c r="J2270" s="151" t="n">
        <v>45073.9806365741</v>
      </c>
      <c r="K2270" s="1" t="n">
        <v>2</v>
      </c>
      <c r="L2270" s="144" t="n">
        <v>1</v>
      </c>
      <c r="M2270" s="144" t="n">
        <v>77</v>
      </c>
      <c r="N2270" s="144" t="n">
        <v>77</v>
      </c>
      <c r="O2270" s="149" t="n">
        <v>51</v>
      </c>
    </row>
    <row r="2271" customFormat="false" ht="14.25" hidden="false" customHeight="false" outlineLevel="0" collapsed="false">
      <c r="A2271" s="1" t="n">
        <v>114</v>
      </c>
      <c r="B2271" s="1" t="s">
        <v>490</v>
      </c>
      <c r="C2271" s="143" t="n">
        <v>11171</v>
      </c>
      <c r="D2271" s="143" t="s">
        <v>74</v>
      </c>
      <c r="E2271" s="143" t="s">
        <v>479</v>
      </c>
      <c r="F2271" s="144" t="n">
        <v>200025888844</v>
      </c>
      <c r="G2271" s="144" t="s">
        <v>150</v>
      </c>
      <c r="H2271" s="144" t="n">
        <v>1</v>
      </c>
      <c r="I2271" s="144" t="s">
        <v>148</v>
      </c>
      <c r="J2271" s="151" t="n">
        <v>45073.9990509259</v>
      </c>
      <c r="K2271" s="1" t="n">
        <v>1</v>
      </c>
      <c r="L2271" s="144" t="n">
        <v>1</v>
      </c>
      <c r="M2271" s="144" t="n">
        <v>77</v>
      </c>
      <c r="N2271" s="144" t="n">
        <v>77</v>
      </c>
      <c r="O2271" s="149" t="n">
        <v>52</v>
      </c>
    </row>
    <row r="2272" customFormat="false" ht="14.25" hidden="false" customHeight="false" outlineLevel="0" collapsed="false">
      <c r="A2272" s="1" t="n">
        <v>115</v>
      </c>
      <c r="B2272" s="1" t="s">
        <v>490</v>
      </c>
      <c r="C2272" s="143" t="n">
        <v>11171</v>
      </c>
      <c r="D2272" s="143" t="s">
        <v>74</v>
      </c>
      <c r="E2272" s="143" t="s">
        <v>479</v>
      </c>
      <c r="F2272" s="144" t="n">
        <v>200025888844</v>
      </c>
      <c r="G2272" s="144" t="s">
        <v>150</v>
      </c>
      <c r="H2272" s="144" t="n">
        <v>1</v>
      </c>
      <c r="I2272" s="144" t="s">
        <v>148</v>
      </c>
      <c r="J2272" s="151" t="n">
        <v>45074</v>
      </c>
      <c r="K2272" s="1" t="n">
        <v>2</v>
      </c>
      <c r="L2272" s="144" t="n">
        <v>1</v>
      </c>
      <c r="M2272" s="144" t="n">
        <v>77</v>
      </c>
      <c r="N2272" s="144" t="n">
        <v>77</v>
      </c>
      <c r="O2272" s="149" t="n">
        <v>53</v>
      </c>
    </row>
    <row r="2273" customFormat="false" ht="14.25" hidden="false" customHeight="false" outlineLevel="0" collapsed="false">
      <c r="A2273" s="1" t="n">
        <v>116</v>
      </c>
      <c r="B2273" s="1" t="s">
        <v>490</v>
      </c>
      <c r="C2273" s="143" t="n">
        <v>11171</v>
      </c>
      <c r="D2273" s="143" t="s">
        <v>74</v>
      </c>
      <c r="E2273" s="143" t="s">
        <v>479</v>
      </c>
      <c r="F2273" s="144" t="n">
        <v>200025888844</v>
      </c>
      <c r="G2273" s="144" t="s">
        <v>150</v>
      </c>
      <c r="H2273" s="144" t="n">
        <v>1</v>
      </c>
      <c r="I2273" s="144" t="s">
        <v>148</v>
      </c>
      <c r="J2273" s="151" t="n">
        <v>45074.0064351852</v>
      </c>
      <c r="K2273" s="1" t="n">
        <v>2</v>
      </c>
      <c r="L2273" s="144" t="n">
        <v>1</v>
      </c>
      <c r="M2273" s="144" t="n">
        <v>77</v>
      </c>
      <c r="N2273" s="144" t="n">
        <v>77</v>
      </c>
      <c r="O2273" s="149" t="n">
        <v>54</v>
      </c>
    </row>
    <row r="2274" customFormat="false" ht="14.25" hidden="false" customHeight="false" outlineLevel="0" collapsed="false">
      <c r="A2274" s="1" t="n">
        <v>122</v>
      </c>
      <c r="B2274" s="1" t="s">
        <v>490</v>
      </c>
      <c r="C2274" s="143" t="n">
        <v>11171</v>
      </c>
      <c r="D2274" s="143" t="s">
        <v>74</v>
      </c>
      <c r="E2274" s="143" t="s">
        <v>479</v>
      </c>
      <c r="F2274" s="144" t="n">
        <v>200025888844</v>
      </c>
      <c r="G2274" s="144" t="s">
        <v>150</v>
      </c>
      <c r="H2274" s="144" t="n">
        <v>1</v>
      </c>
      <c r="I2274" s="144" t="s">
        <v>148</v>
      </c>
      <c r="J2274" s="151" t="n">
        <v>45074.0289930556</v>
      </c>
      <c r="K2274" s="1" t="n">
        <v>2</v>
      </c>
      <c r="L2274" s="144" t="n">
        <v>1</v>
      </c>
      <c r="M2274" s="144" t="n">
        <v>77</v>
      </c>
      <c r="N2274" s="144" t="n">
        <v>77</v>
      </c>
      <c r="O2274" s="149" t="n">
        <v>55</v>
      </c>
    </row>
    <row r="2275" customFormat="false" ht="14.25" hidden="false" customHeight="false" outlineLevel="0" collapsed="false">
      <c r="A2275" s="1" t="n">
        <v>123</v>
      </c>
      <c r="B2275" s="1" t="s">
        <v>490</v>
      </c>
      <c r="C2275" s="143" t="n">
        <v>11171</v>
      </c>
      <c r="D2275" s="143" t="s">
        <v>74</v>
      </c>
      <c r="E2275" s="143" t="s">
        <v>479</v>
      </c>
      <c r="F2275" s="144" t="n">
        <v>200025888844</v>
      </c>
      <c r="G2275" s="144" t="s">
        <v>150</v>
      </c>
      <c r="H2275" s="144" t="n">
        <v>1</v>
      </c>
      <c r="I2275" s="144" t="s">
        <v>148</v>
      </c>
      <c r="J2275" s="151" t="n">
        <v>45074.0296412037</v>
      </c>
      <c r="K2275" s="1" t="n">
        <v>4</v>
      </c>
      <c r="L2275" s="144" t="n">
        <v>1</v>
      </c>
      <c r="M2275" s="144" t="n">
        <v>77</v>
      </c>
      <c r="N2275" s="144" t="n">
        <v>77</v>
      </c>
      <c r="O2275" s="149" t="n">
        <v>56</v>
      </c>
    </row>
    <row r="2276" customFormat="false" ht="14.25" hidden="false" customHeight="false" outlineLevel="0" collapsed="false">
      <c r="A2276" s="1" t="n">
        <v>124</v>
      </c>
      <c r="B2276" s="1" t="s">
        <v>490</v>
      </c>
      <c r="C2276" s="143" t="n">
        <v>11171</v>
      </c>
      <c r="D2276" s="143" t="s">
        <v>74</v>
      </c>
      <c r="E2276" s="143" t="s">
        <v>479</v>
      </c>
      <c r="F2276" s="144" t="n">
        <v>200025888844</v>
      </c>
      <c r="G2276" s="144" t="s">
        <v>150</v>
      </c>
      <c r="H2276" s="144" t="n">
        <v>1</v>
      </c>
      <c r="I2276" s="144" t="s">
        <v>148</v>
      </c>
      <c r="J2276" s="151" t="n">
        <v>45074.0299074074</v>
      </c>
      <c r="K2276" s="1" t="n">
        <v>2</v>
      </c>
      <c r="L2276" s="144" t="n">
        <v>1</v>
      </c>
      <c r="M2276" s="144" t="n">
        <v>77</v>
      </c>
      <c r="N2276" s="144" t="n">
        <v>77</v>
      </c>
      <c r="O2276" s="149" t="n">
        <v>57</v>
      </c>
    </row>
    <row r="2277" customFormat="false" ht="14.25" hidden="false" customHeight="false" outlineLevel="0" collapsed="false">
      <c r="A2277" s="1" t="n">
        <v>125</v>
      </c>
      <c r="B2277" s="1" t="s">
        <v>490</v>
      </c>
      <c r="C2277" s="143" t="n">
        <v>11171</v>
      </c>
      <c r="D2277" s="143" t="s">
        <v>74</v>
      </c>
      <c r="E2277" s="143" t="s">
        <v>479</v>
      </c>
      <c r="F2277" s="144" t="n">
        <v>200025888844</v>
      </c>
      <c r="G2277" s="144" t="s">
        <v>150</v>
      </c>
      <c r="H2277" s="144" t="n">
        <v>1</v>
      </c>
      <c r="I2277" s="144" t="s">
        <v>148</v>
      </c>
      <c r="J2277" s="151" t="n">
        <v>45074.0300694444</v>
      </c>
      <c r="K2277" s="1" t="n">
        <v>2</v>
      </c>
      <c r="L2277" s="144" t="n">
        <v>1</v>
      </c>
      <c r="M2277" s="144" t="n">
        <v>77</v>
      </c>
      <c r="N2277" s="144" t="n">
        <v>77</v>
      </c>
      <c r="O2277" s="149" t="n">
        <v>58</v>
      </c>
    </row>
    <row r="2278" customFormat="false" ht="14.25" hidden="false" customHeight="false" outlineLevel="0" collapsed="false">
      <c r="A2278" s="1" t="n">
        <v>126</v>
      </c>
      <c r="B2278" s="1" t="s">
        <v>490</v>
      </c>
      <c r="C2278" s="143" t="n">
        <v>11171</v>
      </c>
      <c r="D2278" s="143" t="s">
        <v>74</v>
      </c>
      <c r="E2278" s="143" t="s">
        <v>479</v>
      </c>
      <c r="F2278" s="144" t="n">
        <v>200025888844</v>
      </c>
      <c r="G2278" s="144" t="s">
        <v>150</v>
      </c>
      <c r="H2278" s="144" t="n">
        <v>1</v>
      </c>
      <c r="I2278" s="144" t="s">
        <v>148</v>
      </c>
      <c r="J2278" s="151" t="n">
        <v>45074.0316782407</v>
      </c>
      <c r="K2278" s="1" t="n">
        <v>2</v>
      </c>
      <c r="L2278" s="144" t="n">
        <v>1</v>
      </c>
      <c r="M2278" s="144" t="n">
        <v>77</v>
      </c>
      <c r="N2278" s="144" t="n">
        <v>77</v>
      </c>
      <c r="O2278" s="149" t="n">
        <v>59</v>
      </c>
    </row>
    <row r="2279" customFormat="false" ht="14.25" hidden="false" customHeight="false" outlineLevel="0" collapsed="false">
      <c r="A2279" s="1" t="n">
        <v>127</v>
      </c>
      <c r="B2279" s="1" t="s">
        <v>490</v>
      </c>
      <c r="C2279" s="143" t="n">
        <v>11171</v>
      </c>
      <c r="D2279" s="143" t="s">
        <v>74</v>
      </c>
      <c r="E2279" s="143" t="s">
        <v>479</v>
      </c>
      <c r="F2279" s="144" t="n">
        <v>200025888844</v>
      </c>
      <c r="G2279" s="144" t="s">
        <v>150</v>
      </c>
      <c r="H2279" s="144" t="n">
        <v>1</v>
      </c>
      <c r="I2279" s="144" t="s">
        <v>148</v>
      </c>
      <c r="J2279" s="151" t="n">
        <v>45074.0349768519</v>
      </c>
      <c r="K2279" s="1" t="n">
        <v>2</v>
      </c>
      <c r="L2279" s="144" t="n">
        <v>1</v>
      </c>
      <c r="M2279" s="144" t="n">
        <v>77</v>
      </c>
      <c r="N2279" s="144" t="n">
        <v>77</v>
      </c>
      <c r="O2279" s="149" t="n">
        <v>60</v>
      </c>
    </row>
    <row r="2280" customFormat="false" ht="14.25" hidden="false" customHeight="false" outlineLevel="0" collapsed="false">
      <c r="A2280" s="1" t="n">
        <v>128</v>
      </c>
      <c r="B2280" s="1" t="s">
        <v>490</v>
      </c>
      <c r="C2280" s="143" t="n">
        <v>11171</v>
      </c>
      <c r="D2280" s="143" t="s">
        <v>74</v>
      </c>
      <c r="E2280" s="143" t="s">
        <v>479</v>
      </c>
      <c r="F2280" s="144" t="n">
        <v>200025888844</v>
      </c>
      <c r="G2280" s="144" t="s">
        <v>150</v>
      </c>
      <c r="H2280" s="144" t="n">
        <v>1</v>
      </c>
      <c r="I2280" s="144" t="s">
        <v>148</v>
      </c>
      <c r="J2280" s="151" t="n">
        <v>45074.0378703704</v>
      </c>
      <c r="K2280" s="1" t="n">
        <v>2</v>
      </c>
      <c r="L2280" s="144" t="n">
        <v>1</v>
      </c>
      <c r="M2280" s="144" t="n">
        <v>77</v>
      </c>
      <c r="N2280" s="144" t="n">
        <v>77</v>
      </c>
      <c r="O2280" s="149" t="n">
        <v>61</v>
      </c>
    </row>
    <row r="2281" customFormat="false" ht="14.25" hidden="false" customHeight="false" outlineLevel="0" collapsed="false">
      <c r="A2281" s="1" t="n">
        <v>129</v>
      </c>
      <c r="B2281" s="1" t="s">
        <v>490</v>
      </c>
      <c r="C2281" s="143" t="n">
        <v>11171</v>
      </c>
      <c r="D2281" s="143" t="s">
        <v>74</v>
      </c>
      <c r="E2281" s="143" t="s">
        <v>479</v>
      </c>
      <c r="F2281" s="144" t="n">
        <v>200025888844</v>
      </c>
      <c r="G2281" s="144" t="s">
        <v>150</v>
      </c>
      <c r="H2281" s="144" t="n">
        <v>1</v>
      </c>
      <c r="I2281" s="144" t="s">
        <v>148</v>
      </c>
      <c r="J2281" s="151" t="n">
        <v>45074.0405208333</v>
      </c>
      <c r="K2281" s="1" t="n">
        <v>1</v>
      </c>
      <c r="L2281" s="144" t="n">
        <v>1</v>
      </c>
      <c r="M2281" s="144" t="n">
        <v>77</v>
      </c>
      <c r="N2281" s="144" t="n">
        <v>77</v>
      </c>
      <c r="O2281" s="149" t="n">
        <v>62</v>
      </c>
    </row>
    <row r="2282" customFormat="false" ht="14.25" hidden="false" customHeight="false" outlineLevel="0" collapsed="false">
      <c r="A2282" s="1" t="n">
        <v>130</v>
      </c>
      <c r="B2282" s="1" t="s">
        <v>490</v>
      </c>
      <c r="C2282" s="143" t="n">
        <v>11171</v>
      </c>
      <c r="D2282" s="143" t="s">
        <v>74</v>
      </c>
      <c r="E2282" s="143" t="s">
        <v>479</v>
      </c>
      <c r="F2282" s="144" t="n">
        <v>200025888844</v>
      </c>
      <c r="G2282" s="144" t="s">
        <v>150</v>
      </c>
      <c r="H2282" s="144" t="n">
        <v>1</v>
      </c>
      <c r="I2282" s="144" t="s">
        <v>148</v>
      </c>
      <c r="J2282" s="151" t="n">
        <v>45074.0415393519</v>
      </c>
      <c r="K2282" s="1" t="n">
        <v>1</v>
      </c>
      <c r="L2282" s="144" t="n">
        <v>1</v>
      </c>
      <c r="M2282" s="144" t="n">
        <v>77</v>
      </c>
      <c r="N2282" s="144" t="n">
        <v>77</v>
      </c>
      <c r="O2282" s="149" t="n">
        <v>63</v>
      </c>
    </row>
    <row r="2283" customFormat="false" ht="14.25" hidden="false" customHeight="false" outlineLevel="0" collapsed="false">
      <c r="A2283" s="1" t="n">
        <v>131</v>
      </c>
      <c r="B2283" s="1" t="s">
        <v>490</v>
      </c>
      <c r="C2283" s="143" t="n">
        <v>11171</v>
      </c>
      <c r="D2283" s="143" t="s">
        <v>74</v>
      </c>
      <c r="E2283" s="143" t="s">
        <v>479</v>
      </c>
      <c r="F2283" s="144" t="n">
        <v>200025888844</v>
      </c>
      <c r="G2283" s="144" t="s">
        <v>150</v>
      </c>
      <c r="H2283" s="144" t="n">
        <v>1</v>
      </c>
      <c r="I2283" s="144" t="s">
        <v>148</v>
      </c>
      <c r="J2283" s="151" t="n">
        <v>45074.0440162037</v>
      </c>
      <c r="K2283" s="1" t="n">
        <v>2</v>
      </c>
      <c r="L2283" s="144" t="n">
        <v>1</v>
      </c>
      <c r="M2283" s="144" t="n">
        <v>77</v>
      </c>
      <c r="N2283" s="144" t="n">
        <v>77</v>
      </c>
      <c r="O2283" s="149" t="n">
        <v>64</v>
      </c>
    </row>
    <row r="2284" customFormat="false" ht="14.25" hidden="false" customHeight="false" outlineLevel="0" collapsed="false">
      <c r="A2284" s="1" t="n">
        <v>132</v>
      </c>
      <c r="B2284" s="1" t="s">
        <v>490</v>
      </c>
      <c r="C2284" s="143" t="n">
        <v>11171</v>
      </c>
      <c r="D2284" s="143" t="s">
        <v>74</v>
      </c>
      <c r="E2284" s="143" t="s">
        <v>479</v>
      </c>
      <c r="F2284" s="144" t="n">
        <v>200025888844</v>
      </c>
      <c r="G2284" s="144" t="s">
        <v>150</v>
      </c>
      <c r="H2284" s="144" t="n">
        <v>1</v>
      </c>
      <c r="I2284" s="144" t="s">
        <v>148</v>
      </c>
      <c r="J2284" s="151" t="n">
        <v>45074.0442013889</v>
      </c>
      <c r="K2284" s="1" t="n">
        <v>2</v>
      </c>
      <c r="L2284" s="144" t="n">
        <v>1</v>
      </c>
      <c r="M2284" s="144" t="n">
        <v>77</v>
      </c>
      <c r="N2284" s="144" t="n">
        <v>77</v>
      </c>
      <c r="O2284" s="149" t="n">
        <v>65</v>
      </c>
    </row>
    <row r="2285" customFormat="false" ht="14.25" hidden="false" customHeight="false" outlineLevel="0" collapsed="false">
      <c r="A2285" s="1" t="n">
        <v>133</v>
      </c>
      <c r="B2285" s="1" t="s">
        <v>490</v>
      </c>
      <c r="C2285" s="143" t="n">
        <v>11171</v>
      </c>
      <c r="D2285" s="143" t="s">
        <v>74</v>
      </c>
      <c r="E2285" s="143" t="s">
        <v>479</v>
      </c>
      <c r="F2285" s="144" t="n">
        <v>200025888844</v>
      </c>
      <c r="G2285" s="144" t="s">
        <v>150</v>
      </c>
      <c r="H2285" s="144" t="n">
        <v>1</v>
      </c>
      <c r="I2285" s="144" t="s">
        <v>148</v>
      </c>
      <c r="J2285" s="151" t="n">
        <v>45074.0443055556</v>
      </c>
      <c r="K2285" s="1" t="n">
        <v>1</v>
      </c>
      <c r="L2285" s="144" t="n">
        <v>1</v>
      </c>
      <c r="M2285" s="144" t="n">
        <v>77</v>
      </c>
      <c r="N2285" s="144" t="n">
        <v>77</v>
      </c>
      <c r="O2285" s="149" t="n">
        <v>66</v>
      </c>
    </row>
    <row r="2286" customFormat="false" ht="14.25" hidden="false" customHeight="false" outlineLevel="0" collapsed="false">
      <c r="A2286" s="1" t="n">
        <v>134</v>
      </c>
      <c r="B2286" s="1" t="s">
        <v>490</v>
      </c>
      <c r="C2286" s="143" t="n">
        <v>11171</v>
      </c>
      <c r="D2286" s="143" t="s">
        <v>74</v>
      </c>
      <c r="E2286" s="143" t="s">
        <v>479</v>
      </c>
      <c r="F2286" s="144" t="n">
        <v>200025888844</v>
      </c>
      <c r="G2286" s="144" t="s">
        <v>150</v>
      </c>
      <c r="H2286" s="144" t="n">
        <v>1</v>
      </c>
      <c r="I2286" s="144" t="s">
        <v>148</v>
      </c>
      <c r="J2286" s="151" t="n">
        <v>45074.0622222222</v>
      </c>
      <c r="K2286" s="1" t="n">
        <v>0</v>
      </c>
      <c r="L2286" s="144" t="n">
        <v>1</v>
      </c>
      <c r="M2286" s="144" t="n">
        <v>77</v>
      </c>
      <c r="N2286" s="144" t="n">
        <v>77</v>
      </c>
      <c r="O2286" s="149" t="n">
        <v>67</v>
      </c>
    </row>
    <row r="2287" customFormat="false" ht="14.25" hidden="false" customHeight="false" outlineLevel="0" collapsed="false">
      <c r="A2287" s="1" t="n">
        <v>135</v>
      </c>
      <c r="B2287" s="1" t="s">
        <v>490</v>
      </c>
      <c r="C2287" s="143" t="n">
        <v>11171</v>
      </c>
      <c r="D2287" s="143" t="s">
        <v>74</v>
      </c>
      <c r="E2287" s="143" t="s">
        <v>479</v>
      </c>
      <c r="F2287" s="144" t="n">
        <v>200025888844</v>
      </c>
      <c r="G2287" s="144" t="s">
        <v>150</v>
      </c>
      <c r="H2287" s="144" t="n">
        <v>1</v>
      </c>
      <c r="I2287" s="144" t="s">
        <v>148</v>
      </c>
      <c r="J2287" s="151" t="n">
        <v>45074.0637384259</v>
      </c>
      <c r="K2287" s="1" t="n">
        <v>3</v>
      </c>
      <c r="L2287" s="144" t="n">
        <v>1</v>
      </c>
      <c r="M2287" s="144" t="n">
        <v>77</v>
      </c>
      <c r="N2287" s="144" t="n">
        <v>77</v>
      </c>
      <c r="O2287" s="149" t="n">
        <v>68</v>
      </c>
    </row>
    <row r="2288" customFormat="false" ht="14.25" hidden="false" customHeight="false" outlineLevel="0" collapsed="false">
      <c r="A2288" s="1" t="n">
        <v>136</v>
      </c>
      <c r="B2288" s="1" t="s">
        <v>490</v>
      </c>
      <c r="C2288" s="143" t="n">
        <v>11171</v>
      </c>
      <c r="D2288" s="143" t="s">
        <v>74</v>
      </c>
      <c r="E2288" s="143" t="s">
        <v>479</v>
      </c>
      <c r="F2288" s="144" t="n">
        <v>200025888844</v>
      </c>
      <c r="G2288" s="144" t="s">
        <v>150</v>
      </c>
      <c r="H2288" s="144" t="n">
        <v>1</v>
      </c>
      <c r="I2288" s="144" t="s">
        <v>148</v>
      </c>
      <c r="J2288" s="151" t="n">
        <v>45074.0639351852</v>
      </c>
      <c r="K2288" s="1" t="n">
        <v>3</v>
      </c>
      <c r="L2288" s="144" t="n">
        <v>1</v>
      </c>
      <c r="M2288" s="144" t="n">
        <v>77</v>
      </c>
      <c r="N2288" s="144" t="n">
        <v>77</v>
      </c>
      <c r="O2288" s="149" t="n">
        <v>69</v>
      </c>
    </row>
    <row r="2289" customFormat="false" ht="14.25" hidden="false" customHeight="false" outlineLevel="0" collapsed="false">
      <c r="A2289" s="1" t="n">
        <v>137</v>
      </c>
      <c r="B2289" s="1" t="s">
        <v>490</v>
      </c>
      <c r="C2289" s="143" t="n">
        <v>11171</v>
      </c>
      <c r="D2289" s="143" t="s">
        <v>74</v>
      </c>
      <c r="E2289" s="143" t="s">
        <v>479</v>
      </c>
      <c r="F2289" s="144" t="n">
        <v>200025888844</v>
      </c>
      <c r="G2289" s="144" t="s">
        <v>150</v>
      </c>
      <c r="H2289" s="144" t="n">
        <v>1</v>
      </c>
      <c r="I2289" s="144" t="s">
        <v>148</v>
      </c>
      <c r="J2289" s="151" t="n">
        <v>45074.064212963</v>
      </c>
      <c r="K2289" s="1" t="n">
        <v>1</v>
      </c>
      <c r="L2289" s="144" t="n">
        <v>1</v>
      </c>
      <c r="M2289" s="144" t="n">
        <v>77</v>
      </c>
      <c r="N2289" s="144" t="n">
        <v>77</v>
      </c>
      <c r="O2289" s="149" t="n">
        <v>70</v>
      </c>
    </row>
    <row r="2290" customFormat="false" ht="14.25" hidden="false" customHeight="false" outlineLevel="0" collapsed="false">
      <c r="A2290" s="1" t="n">
        <v>138</v>
      </c>
      <c r="B2290" s="1" t="s">
        <v>490</v>
      </c>
      <c r="C2290" s="143" t="n">
        <v>11171</v>
      </c>
      <c r="D2290" s="143" t="s">
        <v>74</v>
      </c>
      <c r="E2290" s="143" t="s">
        <v>479</v>
      </c>
      <c r="F2290" s="144" t="n">
        <v>200025888844</v>
      </c>
      <c r="G2290" s="144" t="s">
        <v>150</v>
      </c>
      <c r="H2290" s="144" t="n">
        <v>1</v>
      </c>
      <c r="I2290" s="144" t="s">
        <v>148</v>
      </c>
      <c r="J2290" s="151" t="n">
        <v>45074.0658217593</v>
      </c>
      <c r="K2290" s="1" t="n">
        <v>2</v>
      </c>
      <c r="L2290" s="144" t="n">
        <v>1</v>
      </c>
      <c r="M2290" s="144" t="n">
        <v>77</v>
      </c>
      <c r="N2290" s="144" t="n">
        <v>77</v>
      </c>
      <c r="O2290" s="149" t="n">
        <v>71</v>
      </c>
    </row>
    <row r="2291" customFormat="false" ht="14.25" hidden="false" customHeight="false" outlineLevel="0" collapsed="false">
      <c r="A2291" s="1" t="n">
        <v>139</v>
      </c>
      <c r="B2291" s="1" t="s">
        <v>490</v>
      </c>
      <c r="C2291" s="143" t="n">
        <v>11171</v>
      </c>
      <c r="D2291" s="143" t="s">
        <v>74</v>
      </c>
      <c r="E2291" s="143" t="s">
        <v>479</v>
      </c>
      <c r="F2291" s="144" t="n">
        <v>200025888844</v>
      </c>
      <c r="G2291" s="144" t="s">
        <v>150</v>
      </c>
      <c r="H2291" s="144" t="n">
        <v>1</v>
      </c>
      <c r="I2291" s="144" t="s">
        <v>148</v>
      </c>
      <c r="J2291" s="151" t="n">
        <v>45074.0661921296</v>
      </c>
      <c r="K2291" s="1" t="n">
        <v>1</v>
      </c>
      <c r="L2291" s="144" t="n">
        <v>1</v>
      </c>
      <c r="M2291" s="144" t="n">
        <v>77</v>
      </c>
      <c r="N2291" s="144" t="n">
        <v>77</v>
      </c>
      <c r="O2291" s="149" t="n">
        <v>72</v>
      </c>
    </row>
    <row r="2292" customFormat="false" ht="14.25" hidden="false" customHeight="false" outlineLevel="0" collapsed="false">
      <c r="A2292" s="1" t="n">
        <v>143</v>
      </c>
      <c r="B2292" s="1" t="s">
        <v>490</v>
      </c>
      <c r="C2292" s="143" t="n">
        <v>11171</v>
      </c>
      <c r="D2292" s="143" t="s">
        <v>74</v>
      </c>
      <c r="E2292" s="143" t="s">
        <v>479</v>
      </c>
      <c r="F2292" s="144" t="n">
        <v>200025888844</v>
      </c>
      <c r="G2292" s="144" t="s">
        <v>150</v>
      </c>
      <c r="H2292" s="144" t="n">
        <v>1</v>
      </c>
      <c r="I2292" s="144" t="s">
        <v>148</v>
      </c>
      <c r="J2292" s="151" t="n">
        <v>45074.1301157407</v>
      </c>
      <c r="K2292" s="1" t="n">
        <v>0</v>
      </c>
      <c r="L2292" s="144" t="n">
        <v>1</v>
      </c>
      <c r="M2292" s="144" t="n">
        <v>77</v>
      </c>
      <c r="N2292" s="144" t="n">
        <v>77</v>
      </c>
      <c r="O2292" s="149" t="n">
        <v>73</v>
      </c>
    </row>
    <row r="2293" customFormat="false" ht="14.25" hidden="false" customHeight="false" outlineLevel="0" collapsed="false">
      <c r="A2293" s="1" t="n">
        <v>144</v>
      </c>
      <c r="B2293" s="1" t="s">
        <v>490</v>
      </c>
      <c r="C2293" s="143" t="n">
        <v>11171</v>
      </c>
      <c r="D2293" s="143" t="s">
        <v>74</v>
      </c>
      <c r="E2293" s="143" t="s">
        <v>479</v>
      </c>
      <c r="F2293" s="144" t="n">
        <v>200025888844</v>
      </c>
      <c r="G2293" s="144" t="s">
        <v>150</v>
      </c>
      <c r="H2293" s="144" t="n">
        <v>1</v>
      </c>
      <c r="I2293" s="144" t="s">
        <v>148</v>
      </c>
      <c r="J2293" s="151" t="n">
        <v>45074.1325578704</v>
      </c>
      <c r="K2293" s="1" t="n">
        <v>3</v>
      </c>
      <c r="L2293" s="144" t="n">
        <v>1</v>
      </c>
      <c r="M2293" s="144" t="n">
        <v>77</v>
      </c>
      <c r="N2293" s="144" t="n">
        <v>77</v>
      </c>
      <c r="O2293" s="149" t="n">
        <v>74</v>
      </c>
    </row>
    <row r="2294" customFormat="false" ht="14.25" hidden="false" customHeight="false" outlineLevel="0" collapsed="false">
      <c r="A2294" s="1" t="n">
        <v>145</v>
      </c>
      <c r="B2294" s="1" t="s">
        <v>490</v>
      </c>
      <c r="C2294" s="143" t="n">
        <v>11171</v>
      </c>
      <c r="D2294" s="143" t="s">
        <v>74</v>
      </c>
      <c r="E2294" s="143" t="s">
        <v>479</v>
      </c>
      <c r="F2294" s="144" t="n">
        <v>200025888844</v>
      </c>
      <c r="G2294" s="144" t="s">
        <v>150</v>
      </c>
      <c r="H2294" s="144" t="n">
        <v>1</v>
      </c>
      <c r="I2294" s="144" t="s">
        <v>148</v>
      </c>
      <c r="J2294" s="151" t="n">
        <v>45074.1330439815</v>
      </c>
      <c r="K2294" s="1" t="n">
        <v>2</v>
      </c>
      <c r="L2294" s="144" t="n">
        <v>1</v>
      </c>
      <c r="M2294" s="144" t="n">
        <v>77</v>
      </c>
      <c r="N2294" s="144" t="n">
        <v>77</v>
      </c>
      <c r="O2294" s="149" t="n">
        <v>75</v>
      </c>
    </row>
    <row r="2295" customFormat="false" ht="14.25" hidden="false" customHeight="false" outlineLevel="0" collapsed="false">
      <c r="A2295" s="1" t="n">
        <v>146</v>
      </c>
      <c r="B2295" s="1" t="s">
        <v>490</v>
      </c>
      <c r="C2295" s="143" t="n">
        <v>11171</v>
      </c>
      <c r="D2295" s="143" t="s">
        <v>74</v>
      </c>
      <c r="E2295" s="143" t="s">
        <v>479</v>
      </c>
      <c r="F2295" s="144" t="n">
        <v>200025888844</v>
      </c>
      <c r="G2295" s="144" t="s">
        <v>150</v>
      </c>
      <c r="H2295" s="144" t="n">
        <v>1</v>
      </c>
      <c r="I2295" s="144" t="s">
        <v>148</v>
      </c>
      <c r="J2295" s="151" t="n">
        <v>45074.1331828704</v>
      </c>
      <c r="K2295" s="1" t="n">
        <v>1</v>
      </c>
      <c r="L2295" s="144" t="n">
        <v>1</v>
      </c>
      <c r="M2295" s="144" t="n">
        <v>77</v>
      </c>
      <c r="N2295" s="144" t="n">
        <v>77</v>
      </c>
      <c r="O2295" s="149" t="n">
        <v>76</v>
      </c>
    </row>
    <row r="2296" customFormat="false" ht="14.25" hidden="false" customHeight="false" outlineLevel="0" collapsed="false">
      <c r="A2296" s="1" t="n">
        <v>147</v>
      </c>
      <c r="B2296" s="1" t="s">
        <v>490</v>
      </c>
      <c r="C2296" s="143" t="n">
        <v>11171</v>
      </c>
      <c r="D2296" s="143" t="s">
        <v>74</v>
      </c>
      <c r="E2296" s="143" t="s">
        <v>479</v>
      </c>
      <c r="F2296" s="144" t="n">
        <v>200025888844</v>
      </c>
      <c r="G2296" s="144" t="s">
        <v>150</v>
      </c>
      <c r="H2296" s="144" t="n">
        <v>1</v>
      </c>
      <c r="I2296" s="144" t="s">
        <v>148</v>
      </c>
      <c r="J2296" s="151" t="n">
        <v>45074.1990162037</v>
      </c>
      <c r="K2296" s="1" t="n">
        <v>2</v>
      </c>
      <c r="L2296" s="144" t="n">
        <v>1</v>
      </c>
      <c r="M2296" s="144" t="n">
        <v>77</v>
      </c>
      <c r="N2296" s="144" t="n">
        <v>77</v>
      </c>
      <c r="O2296" s="149" t="n">
        <v>77</v>
      </c>
    </row>
    <row r="2297" customFormat="false" ht="14.25" hidden="false" customHeight="false" outlineLevel="0" collapsed="false">
      <c r="A2297" s="1" t="n">
        <v>148</v>
      </c>
      <c r="B2297" s="1" t="s">
        <v>490</v>
      </c>
      <c r="C2297" s="143" t="n">
        <v>11171</v>
      </c>
      <c r="D2297" s="143" t="s">
        <v>74</v>
      </c>
      <c r="E2297" s="143" t="s">
        <v>479</v>
      </c>
      <c r="F2297" s="144" t="n">
        <v>200025888844</v>
      </c>
      <c r="G2297" s="144" t="s">
        <v>150</v>
      </c>
      <c r="H2297" s="144" t="n">
        <v>1</v>
      </c>
      <c r="I2297" s="144" t="s">
        <v>148</v>
      </c>
      <c r="J2297" s="151" t="n">
        <v>45074.1990393519</v>
      </c>
      <c r="K2297" s="1" t="n">
        <v>4</v>
      </c>
      <c r="L2297" s="144" t="n">
        <v>1</v>
      </c>
      <c r="M2297" s="144" t="n">
        <v>77</v>
      </c>
      <c r="N2297" s="144" t="n">
        <v>77</v>
      </c>
      <c r="O2297" s="149" t="n">
        <v>78</v>
      </c>
    </row>
    <row r="2298" customFormat="false" ht="14.25" hidden="false" customHeight="false" outlineLevel="0" collapsed="false">
      <c r="A2298" s="1" t="n">
        <v>149</v>
      </c>
      <c r="B2298" s="1" t="s">
        <v>490</v>
      </c>
      <c r="C2298" s="143" t="n">
        <v>11171</v>
      </c>
      <c r="D2298" s="143" t="s">
        <v>74</v>
      </c>
      <c r="E2298" s="143" t="s">
        <v>479</v>
      </c>
      <c r="F2298" s="144" t="n">
        <v>200025888844</v>
      </c>
      <c r="G2298" s="144" t="s">
        <v>150</v>
      </c>
      <c r="H2298" s="144" t="n">
        <v>1</v>
      </c>
      <c r="I2298" s="144" t="s">
        <v>148</v>
      </c>
      <c r="J2298" s="151" t="n">
        <v>45074.2051041667</v>
      </c>
      <c r="K2298" s="1" t="n">
        <v>5</v>
      </c>
      <c r="L2298" s="144" t="n">
        <v>1</v>
      </c>
      <c r="M2298" s="144" t="n">
        <v>77</v>
      </c>
      <c r="N2298" s="144" t="n">
        <v>77</v>
      </c>
      <c r="O2298" s="149" t="n">
        <v>79</v>
      </c>
    </row>
    <row r="2299" customFormat="false" ht="14.25" hidden="false" customHeight="false" outlineLevel="0" collapsed="false">
      <c r="A2299" s="1" t="n">
        <v>150</v>
      </c>
      <c r="B2299" s="1" t="s">
        <v>490</v>
      </c>
      <c r="C2299" s="143" t="n">
        <v>11171</v>
      </c>
      <c r="D2299" s="143" t="s">
        <v>74</v>
      </c>
      <c r="E2299" s="143" t="s">
        <v>479</v>
      </c>
      <c r="F2299" s="144" t="n">
        <v>200025888844</v>
      </c>
      <c r="G2299" s="144" t="s">
        <v>150</v>
      </c>
      <c r="H2299" s="144" t="n">
        <v>1</v>
      </c>
      <c r="I2299" s="144" t="s">
        <v>148</v>
      </c>
      <c r="J2299" s="151" t="n">
        <v>45074.2053125</v>
      </c>
      <c r="K2299" s="1" t="n">
        <v>1</v>
      </c>
      <c r="L2299" s="144" t="n">
        <v>1</v>
      </c>
      <c r="M2299" s="144" t="n">
        <v>77</v>
      </c>
      <c r="N2299" s="144" t="n">
        <v>77</v>
      </c>
      <c r="O2299" s="149" t="n">
        <v>80</v>
      </c>
    </row>
    <row r="2300" customFormat="false" ht="14.25" hidden="false" customHeight="false" outlineLevel="0" collapsed="false">
      <c r="A2300" s="1" t="n">
        <v>153</v>
      </c>
      <c r="B2300" s="1" t="s">
        <v>490</v>
      </c>
      <c r="C2300" s="143" t="n">
        <v>11171</v>
      </c>
      <c r="D2300" s="143" t="s">
        <v>74</v>
      </c>
      <c r="E2300" s="143" t="s">
        <v>479</v>
      </c>
      <c r="F2300" s="144" t="n">
        <v>200025888844</v>
      </c>
      <c r="G2300" s="144" t="s">
        <v>150</v>
      </c>
      <c r="H2300" s="144" t="n">
        <v>1</v>
      </c>
      <c r="I2300" s="144" t="s">
        <v>148</v>
      </c>
      <c r="J2300" s="151" t="n">
        <v>45074.3298958333</v>
      </c>
      <c r="K2300" s="1" t="n">
        <v>3</v>
      </c>
      <c r="L2300" s="144" t="n">
        <v>1</v>
      </c>
      <c r="M2300" s="144" t="n">
        <v>77</v>
      </c>
      <c r="N2300" s="144" t="n">
        <v>77</v>
      </c>
      <c r="O2300" s="149" t="n">
        <v>81</v>
      </c>
    </row>
    <row r="2301" customFormat="false" ht="14.25" hidden="false" customHeight="false" outlineLevel="0" collapsed="false">
      <c r="A2301" s="1" t="n">
        <v>154</v>
      </c>
      <c r="B2301" s="1" t="s">
        <v>490</v>
      </c>
      <c r="C2301" s="143" t="n">
        <v>11171</v>
      </c>
      <c r="D2301" s="143" t="s">
        <v>74</v>
      </c>
      <c r="E2301" s="143" t="s">
        <v>479</v>
      </c>
      <c r="F2301" s="144" t="n">
        <v>200025888844</v>
      </c>
      <c r="G2301" s="144" t="s">
        <v>150</v>
      </c>
      <c r="H2301" s="144" t="n">
        <v>1</v>
      </c>
      <c r="I2301" s="144" t="s">
        <v>148</v>
      </c>
      <c r="J2301" s="151" t="n">
        <v>45074.3302314815</v>
      </c>
      <c r="K2301" s="1" t="n">
        <v>0</v>
      </c>
      <c r="L2301" s="144" t="n">
        <v>1</v>
      </c>
      <c r="M2301" s="144" t="n">
        <v>77</v>
      </c>
      <c r="N2301" s="144" t="n">
        <v>77</v>
      </c>
      <c r="O2301" s="149" t="n">
        <v>82</v>
      </c>
    </row>
    <row r="2302" customFormat="false" ht="14.25" hidden="false" customHeight="false" outlineLevel="0" collapsed="false">
      <c r="A2302" s="1" t="n">
        <v>155</v>
      </c>
      <c r="B2302" s="1" t="s">
        <v>490</v>
      </c>
      <c r="C2302" s="143" t="n">
        <v>11171</v>
      </c>
      <c r="D2302" s="143" t="s">
        <v>74</v>
      </c>
      <c r="E2302" s="143" t="s">
        <v>479</v>
      </c>
      <c r="F2302" s="144" t="n">
        <v>200025888844</v>
      </c>
      <c r="G2302" s="144" t="s">
        <v>150</v>
      </c>
      <c r="H2302" s="144" t="n">
        <v>1</v>
      </c>
      <c r="I2302" s="144" t="s">
        <v>148</v>
      </c>
      <c r="J2302" s="151" t="n">
        <v>45074.3313888889</v>
      </c>
      <c r="K2302" s="1" t="n">
        <v>1</v>
      </c>
      <c r="L2302" s="144" t="n">
        <v>1</v>
      </c>
      <c r="M2302" s="144" t="n">
        <v>77</v>
      </c>
      <c r="N2302" s="144" t="n">
        <v>77</v>
      </c>
      <c r="O2302" s="149" t="n">
        <v>83</v>
      </c>
    </row>
    <row r="2303" customFormat="false" ht="14.25" hidden="false" customHeight="false" outlineLevel="0" collapsed="false">
      <c r="A2303" s="1" t="n">
        <v>156</v>
      </c>
      <c r="B2303" s="1" t="s">
        <v>490</v>
      </c>
      <c r="C2303" s="143" t="n">
        <v>11171</v>
      </c>
      <c r="D2303" s="143" t="s">
        <v>74</v>
      </c>
      <c r="E2303" s="143" t="s">
        <v>479</v>
      </c>
      <c r="F2303" s="144" t="n">
        <v>200025888844</v>
      </c>
      <c r="G2303" s="144" t="s">
        <v>150</v>
      </c>
      <c r="H2303" s="144" t="n">
        <v>1</v>
      </c>
      <c r="I2303" s="144" t="s">
        <v>148</v>
      </c>
      <c r="J2303" s="151" t="n">
        <v>45074.3325462963</v>
      </c>
      <c r="K2303" s="1" t="n">
        <v>2</v>
      </c>
      <c r="L2303" s="144" t="n">
        <v>1</v>
      </c>
      <c r="M2303" s="144" t="n">
        <v>77</v>
      </c>
      <c r="N2303" s="144" t="n">
        <v>77</v>
      </c>
      <c r="O2303" s="149" t="n">
        <v>84</v>
      </c>
    </row>
    <row r="2304" customFormat="false" ht="14.25" hidden="false" customHeight="false" outlineLevel="0" collapsed="false">
      <c r="A2304" s="1" t="n">
        <v>157</v>
      </c>
      <c r="B2304" s="1" t="s">
        <v>490</v>
      </c>
      <c r="C2304" s="143" t="n">
        <v>11171</v>
      </c>
      <c r="D2304" s="143" t="s">
        <v>74</v>
      </c>
      <c r="E2304" s="143" t="s">
        <v>479</v>
      </c>
      <c r="F2304" s="144" t="n">
        <v>200025888844</v>
      </c>
      <c r="G2304" s="144" t="s">
        <v>150</v>
      </c>
      <c r="H2304" s="144" t="n">
        <v>1</v>
      </c>
      <c r="I2304" s="144" t="s">
        <v>148</v>
      </c>
      <c r="J2304" s="151" t="n">
        <v>45074.332962963</v>
      </c>
      <c r="K2304" s="1" t="n">
        <v>0</v>
      </c>
      <c r="L2304" s="144" t="n">
        <v>1</v>
      </c>
      <c r="M2304" s="144" t="n">
        <v>77</v>
      </c>
      <c r="N2304" s="144" t="n">
        <v>77</v>
      </c>
      <c r="O2304" s="149" t="n">
        <v>85</v>
      </c>
    </row>
    <row r="2305" customFormat="false" ht="14.25" hidden="false" customHeight="false" outlineLevel="0" collapsed="false">
      <c r="A2305" s="1" t="n">
        <v>158</v>
      </c>
      <c r="B2305" s="1" t="s">
        <v>490</v>
      </c>
      <c r="C2305" s="143" t="n">
        <v>11171</v>
      </c>
      <c r="D2305" s="143" t="s">
        <v>74</v>
      </c>
      <c r="E2305" s="143" t="s">
        <v>479</v>
      </c>
      <c r="F2305" s="144" t="n">
        <v>200025888844</v>
      </c>
      <c r="G2305" s="144" t="s">
        <v>150</v>
      </c>
      <c r="H2305" s="144" t="n">
        <v>1</v>
      </c>
      <c r="I2305" s="144" t="s">
        <v>148</v>
      </c>
      <c r="J2305" s="151" t="n">
        <v>45074.3330787037</v>
      </c>
      <c r="K2305" s="1" t="n">
        <v>2</v>
      </c>
      <c r="L2305" s="144" t="n">
        <v>1</v>
      </c>
      <c r="M2305" s="144" t="n">
        <v>77</v>
      </c>
      <c r="N2305" s="144" t="n">
        <v>77</v>
      </c>
      <c r="O2305" s="149" t="n">
        <v>86</v>
      </c>
    </row>
    <row r="2306" customFormat="false" ht="14.25" hidden="false" customHeight="false" outlineLevel="0" collapsed="false">
      <c r="A2306" s="1" t="n">
        <v>159</v>
      </c>
      <c r="B2306" s="1" t="s">
        <v>490</v>
      </c>
      <c r="C2306" s="143" t="n">
        <v>11171</v>
      </c>
      <c r="D2306" s="143" t="s">
        <v>74</v>
      </c>
      <c r="E2306" s="143" t="s">
        <v>479</v>
      </c>
      <c r="F2306" s="144" t="n">
        <v>200025888844</v>
      </c>
      <c r="G2306" s="144" t="s">
        <v>150</v>
      </c>
      <c r="H2306" s="144" t="n">
        <v>1</v>
      </c>
      <c r="I2306" s="144" t="s">
        <v>148</v>
      </c>
      <c r="J2306" s="151" t="n">
        <v>45074.3366435185</v>
      </c>
      <c r="K2306" s="1" t="n">
        <v>0</v>
      </c>
      <c r="L2306" s="144" t="n">
        <v>1</v>
      </c>
      <c r="M2306" s="144" t="n">
        <v>77</v>
      </c>
      <c r="N2306" s="144" t="n">
        <v>77</v>
      </c>
      <c r="O2306" s="149" t="n">
        <v>87</v>
      </c>
    </row>
    <row r="2307" customFormat="false" ht="14.25" hidden="false" customHeight="false" outlineLevel="0" collapsed="false">
      <c r="A2307" s="1" t="n">
        <v>160</v>
      </c>
      <c r="B2307" s="1" t="s">
        <v>490</v>
      </c>
      <c r="C2307" s="143" t="n">
        <v>11171</v>
      </c>
      <c r="D2307" s="143" t="s">
        <v>74</v>
      </c>
      <c r="E2307" s="143" t="s">
        <v>479</v>
      </c>
      <c r="F2307" s="144" t="n">
        <v>200025888844</v>
      </c>
      <c r="G2307" s="144" t="s">
        <v>150</v>
      </c>
      <c r="H2307" s="144" t="n">
        <v>1</v>
      </c>
      <c r="I2307" s="144" t="s">
        <v>148</v>
      </c>
      <c r="J2307" s="151" t="n">
        <v>45074.3375925926</v>
      </c>
      <c r="K2307" s="1" t="n">
        <v>1</v>
      </c>
      <c r="L2307" s="144" t="n">
        <v>1</v>
      </c>
      <c r="M2307" s="144" t="n">
        <v>77</v>
      </c>
      <c r="N2307" s="144" t="n">
        <v>77</v>
      </c>
      <c r="O2307" s="149" t="n">
        <v>88</v>
      </c>
    </row>
    <row r="2308" customFormat="false" ht="14.25" hidden="false" customHeight="false" outlineLevel="0" collapsed="false">
      <c r="A2308" s="1" t="n">
        <v>161</v>
      </c>
      <c r="B2308" s="1" t="s">
        <v>490</v>
      </c>
      <c r="C2308" s="143" t="n">
        <v>11171</v>
      </c>
      <c r="D2308" s="143" t="s">
        <v>74</v>
      </c>
      <c r="E2308" s="143" t="s">
        <v>479</v>
      </c>
      <c r="F2308" s="144" t="n">
        <v>200025888844</v>
      </c>
      <c r="G2308" s="144" t="s">
        <v>150</v>
      </c>
      <c r="H2308" s="144" t="n">
        <v>1</v>
      </c>
      <c r="I2308" s="144" t="s">
        <v>148</v>
      </c>
      <c r="J2308" s="151" t="n">
        <v>45074.3381597222</v>
      </c>
      <c r="K2308" s="1" t="n">
        <v>0</v>
      </c>
      <c r="L2308" s="144" t="n">
        <v>1</v>
      </c>
      <c r="M2308" s="144" t="n">
        <v>77</v>
      </c>
      <c r="N2308" s="144" t="n">
        <v>77</v>
      </c>
      <c r="O2308" s="149" t="n">
        <v>89</v>
      </c>
    </row>
    <row r="2309" customFormat="false" ht="14.25" hidden="false" customHeight="false" outlineLevel="0" collapsed="false">
      <c r="A2309" s="1" t="n">
        <v>10</v>
      </c>
      <c r="B2309" s="153" t="s">
        <v>496</v>
      </c>
      <c r="C2309" s="154" t="s">
        <v>68</v>
      </c>
      <c r="D2309" s="154" t="s">
        <v>64</v>
      </c>
      <c r="E2309" s="154" t="s">
        <v>479</v>
      </c>
      <c r="F2309" s="154" t="s">
        <v>506</v>
      </c>
      <c r="G2309" s="144" t="s">
        <v>212</v>
      </c>
      <c r="H2309" s="144" t="n">
        <v>17</v>
      </c>
      <c r="I2309" s="144" t="s">
        <v>148</v>
      </c>
      <c r="J2309" s="151" t="n">
        <v>45066.7146412037</v>
      </c>
      <c r="K2309" s="1" t="n">
        <v>0</v>
      </c>
      <c r="L2309" s="144" t="n">
        <v>17</v>
      </c>
      <c r="M2309" s="1" t="n">
        <v>78</v>
      </c>
      <c r="N2309" s="1" t="n">
        <v>78</v>
      </c>
      <c r="O2309" s="149" t="n">
        <v>1</v>
      </c>
    </row>
    <row r="2310" customFormat="false" ht="14.25" hidden="false" customHeight="false" outlineLevel="0" collapsed="false">
      <c r="A2310" s="1" t="n">
        <v>27</v>
      </c>
      <c r="B2310" s="1" t="s">
        <v>475</v>
      </c>
      <c r="C2310" s="143" t="n">
        <v>21265</v>
      </c>
      <c r="D2310" s="143" t="s">
        <v>76</v>
      </c>
      <c r="E2310" s="143" t="s">
        <v>479</v>
      </c>
      <c r="F2310" s="144" t="n">
        <v>200025889052</v>
      </c>
      <c r="G2310" s="144" t="s">
        <v>212</v>
      </c>
      <c r="H2310" s="144" t="n">
        <v>17</v>
      </c>
      <c r="I2310" s="144" t="s">
        <v>148</v>
      </c>
      <c r="J2310" s="151" t="n">
        <v>45082.3394560185</v>
      </c>
      <c r="K2310" s="1" t="n">
        <v>3</v>
      </c>
      <c r="L2310" s="144" t="n">
        <v>17</v>
      </c>
      <c r="M2310" s="1" t="n">
        <v>78</v>
      </c>
      <c r="N2310" s="1" t="n">
        <v>78</v>
      </c>
      <c r="O2310" s="149" t="n">
        <v>1</v>
      </c>
    </row>
    <row r="2311" customFormat="false" ht="14.25" hidden="false" customHeight="false" outlineLevel="0" collapsed="false">
      <c r="A2311" s="1" t="n">
        <v>33</v>
      </c>
      <c r="B2311" s="1" t="s">
        <v>476</v>
      </c>
      <c r="C2311" s="143" t="n">
        <v>11490</v>
      </c>
      <c r="D2311" s="143" t="s">
        <v>65</v>
      </c>
      <c r="E2311" s="143" t="s">
        <v>474</v>
      </c>
      <c r="F2311" s="144" t="n">
        <v>200025888256</v>
      </c>
      <c r="G2311" s="144" t="s">
        <v>203</v>
      </c>
      <c r="H2311" s="144" t="n">
        <v>85</v>
      </c>
      <c r="I2311" s="144" t="s">
        <v>152</v>
      </c>
      <c r="J2311" s="151" t="n">
        <v>45067.4845023148</v>
      </c>
      <c r="K2311" s="1" t="n">
        <v>2</v>
      </c>
      <c r="L2311" s="144" t="n">
        <v>85</v>
      </c>
      <c r="M2311" s="1" t="n">
        <v>79</v>
      </c>
      <c r="N2311" s="1" t="n">
        <v>79</v>
      </c>
      <c r="O2311" s="149" t="n">
        <v>2</v>
      </c>
    </row>
    <row r="2312" customFormat="false" ht="14.25" hidden="false" customHeight="false" outlineLevel="0" collapsed="false">
      <c r="A2312" s="1" t="n">
        <v>190</v>
      </c>
      <c r="B2312" s="1" t="s">
        <v>477</v>
      </c>
      <c r="C2312" s="143" t="s">
        <v>52</v>
      </c>
      <c r="D2312" s="143" t="s">
        <v>53</v>
      </c>
      <c r="E2312" s="143" t="s">
        <v>474</v>
      </c>
      <c r="F2312" s="144" t="n">
        <v>200025888256</v>
      </c>
      <c r="G2312" s="144" t="s">
        <v>203</v>
      </c>
      <c r="H2312" s="144" t="n">
        <v>85</v>
      </c>
      <c r="I2312" s="144" t="s">
        <v>152</v>
      </c>
      <c r="J2312" s="152" t="n">
        <v>45074.8490625</v>
      </c>
      <c r="K2312" s="1" t="n">
        <v>3</v>
      </c>
      <c r="L2312" s="144" t="n">
        <v>85</v>
      </c>
      <c r="M2312" s="1" t="n">
        <v>79</v>
      </c>
      <c r="N2312" s="1" t="n">
        <v>79</v>
      </c>
      <c r="O2312" s="149" t="n">
        <v>3</v>
      </c>
    </row>
    <row r="2313" customFormat="false" ht="14.25" hidden="false" customHeight="false" outlineLevel="0" collapsed="false">
      <c r="A2313" s="1" t="n">
        <v>191</v>
      </c>
      <c r="B2313" s="1" t="s">
        <v>477</v>
      </c>
      <c r="C2313" s="143" t="s">
        <v>52</v>
      </c>
      <c r="D2313" s="143" t="s">
        <v>53</v>
      </c>
      <c r="E2313" s="143" t="s">
        <v>474</v>
      </c>
      <c r="F2313" s="144" t="n">
        <v>200025888256</v>
      </c>
      <c r="G2313" s="144" t="s">
        <v>203</v>
      </c>
      <c r="H2313" s="144" t="n">
        <v>85</v>
      </c>
      <c r="I2313" s="144" t="s">
        <v>152</v>
      </c>
      <c r="J2313" s="152" t="n">
        <v>45074.8490972222</v>
      </c>
      <c r="K2313" s="1" t="n">
        <v>2</v>
      </c>
      <c r="L2313" s="144" t="n">
        <v>85</v>
      </c>
      <c r="M2313" s="1" t="n">
        <v>79</v>
      </c>
      <c r="N2313" s="1" t="n">
        <v>79</v>
      </c>
      <c r="O2313" s="149" t="n">
        <v>4</v>
      </c>
    </row>
    <row r="2314" customFormat="false" ht="14.25" hidden="false" customHeight="false" outlineLevel="0" collapsed="false">
      <c r="A2314" s="1" t="n">
        <v>219</v>
      </c>
      <c r="B2314" s="1" t="s">
        <v>477</v>
      </c>
      <c r="C2314" s="143" t="s">
        <v>52</v>
      </c>
      <c r="D2314" s="143" t="s">
        <v>53</v>
      </c>
      <c r="E2314" s="143" t="s">
        <v>474</v>
      </c>
      <c r="F2314" s="144" t="n">
        <v>200025888256</v>
      </c>
      <c r="G2314" s="144" t="s">
        <v>203</v>
      </c>
      <c r="H2314" s="144" t="n">
        <v>85</v>
      </c>
      <c r="I2314" s="144" t="s">
        <v>152</v>
      </c>
      <c r="J2314" s="152" t="n">
        <v>45075.3577199074</v>
      </c>
      <c r="K2314" s="1" t="n">
        <v>2</v>
      </c>
      <c r="L2314" s="144" t="n">
        <v>85</v>
      </c>
      <c r="M2314" s="1" t="n">
        <v>79</v>
      </c>
      <c r="N2314" s="1" t="n">
        <v>79</v>
      </c>
      <c r="O2314" s="149" t="n">
        <v>5</v>
      </c>
    </row>
    <row r="2315" customFormat="false" ht="14.25" hidden="false" customHeight="false" outlineLevel="0" collapsed="false">
      <c r="A2315" s="1" t="n">
        <v>220</v>
      </c>
      <c r="B2315" s="1" t="s">
        <v>477</v>
      </c>
      <c r="C2315" s="143" t="s">
        <v>52</v>
      </c>
      <c r="D2315" s="143" t="s">
        <v>53</v>
      </c>
      <c r="E2315" s="143" t="s">
        <v>474</v>
      </c>
      <c r="F2315" s="144" t="n">
        <v>200025888256</v>
      </c>
      <c r="G2315" s="144" t="s">
        <v>203</v>
      </c>
      <c r="H2315" s="144" t="n">
        <v>85</v>
      </c>
      <c r="I2315" s="144" t="s">
        <v>152</v>
      </c>
      <c r="J2315" s="152" t="n">
        <v>45075.3578587963</v>
      </c>
      <c r="K2315" s="1" t="n">
        <v>1</v>
      </c>
      <c r="L2315" s="144" t="n">
        <v>85</v>
      </c>
      <c r="M2315" s="1" t="n">
        <v>79</v>
      </c>
      <c r="N2315" s="1" t="n">
        <v>79</v>
      </c>
      <c r="O2315" s="149" t="n">
        <v>6</v>
      </c>
    </row>
    <row r="2316" customFormat="false" ht="14.25" hidden="false" customHeight="false" outlineLevel="0" collapsed="false">
      <c r="A2316" s="1" t="n">
        <v>221</v>
      </c>
      <c r="B2316" s="1" t="s">
        <v>477</v>
      </c>
      <c r="C2316" s="143" t="s">
        <v>52</v>
      </c>
      <c r="D2316" s="143" t="s">
        <v>53</v>
      </c>
      <c r="E2316" s="143" t="s">
        <v>474</v>
      </c>
      <c r="F2316" s="144" t="n">
        <v>200025888256</v>
      </c>
      <c r="G2316" s="144" t="s">
        <v>203</v>
      </c>
      <c r="H2316" s="144" t="n">
        <v>85</v>
      </c>
      <c r="I2316" s="144" t="s">
        <v>152</v>
      </c>
      <c r="J2316" s="152" t="n">
        <v>45075.35875</v>
      </c>
      <c r="K2316" s="1" t="n">
        <v>0</v>
      </c>
      <c r="L2316" s="144" t="n">
        <v>85</v>
      </c>
      <c r="M2316" s="1" t="n">
        <v>79</v>
      </c>
      <c r="N2316" s="1" t="n">
        <v>79</v>
      </c>
      <c r="O2316" s="149" t="n">
        <v>7</v>
      </c>
    </row>
    <row r="2317" customFormat="false" ht="14.25" hidden="false" customHeight="false" outlineLevel="0" collapsed="false">
      <c r="A2317" s="1" t="n">
        <v>222</v>
      </c>
      <c r="B2317" s="1" t="s">
        <v>477</v>
      </c>
      <c r="C2317" s="143" t="s">
        <v>52</v>
      </c>
      <c r="D2317" s="143" t="s">
        <v>53</v>
      </c>
      <c r="E2317" s="143" t="s">
        <v>474</v>
      </c>
      <c r="F2317" s="144" t="n">
        <v>200025888256</v>
      </c>
      <c r="G2317" s="144" t="s">
        <v>203</v>
      </c>
      <c r="H2317" s="144" t="n">
        <v>85</v>
      </c>
      <c r="I2317" s="144" t="s">
        <v>152</v>
      </c>
      <c r="J2317" s="152" t="n">
        <v>45075.358912037</v>
      </c>
      <c r="K2317" s="1" t="n">
        <v>1</v>
      </c>
      <c r="L2317" s="144" t="n">
        <v>85</v>
      </c>
      <c r="M2317" s="1" t="n">
        <v>79</v>
      </c>
      <c r="N2317" s="1" t="n">
        <v>79</v>
      </c>
      <c r="O2317" s="149" t="n">
        <v>8</v>
      </c>
    </row>
    <row r="2318" customFormat="false" ht="14.25" hidden="false" customHeight="false" outlineLevel="0" collapsed="false">
      <c r="A2318" s="1" t="n">
        <v>223</v>
      </c>
      <c r="B2318" s="1" t="s">
        <v>477</v>
      </c>
      <c r="C2318" s="143" t="s">
        <v>52</v>
      </c>
      <c r="D2318" s="143" t="s">
        <v>53</v>
      </c>
      <c r="E2318" s="143" t="s">
        <v>474</v>
      </c>
      <c r="F2318" s="144" t="n">
        <v>200025888256</v>
      </c>
      <c r="G2318" s="144" t="s">
        <v>203</v>
      </c>
      <c r="H2318" s="144" t="n">
        <v>85</v>
      </c>
      <c r="I2318" s="144" t="s">
        <v>152</v>
      </c>
      <c r="J2318" s="152" t="n">
        <v>45075.3595138889</v>
      </c>
      <c r="K2318" s="1" t="n">
        <v>3</v>
      </c>
      <c r="L2318" s="144" t="n">
        <v>85</v>
      </c>
      <c r="M2318" s="1" t="n">
        <v>79</v>
      </c>
      <c r="N2318" s="1" t="n">
        <v>79</v>
      </c>
      <c r="O2318" s="149" t="n">
        <v>9</v>
      </c>
    </row>
    <row r="2319" customFormat="false" ht="14.25" hidden="false" customHeight="false" outlineLevel="0" collapsed="false">
      <c r="A2319" s="1" t="n">
        <v>224</v>
      </c>
      <c r="B2319" s="1" t="s">
        <v>477</v>
      </c>
      <c r="C2319" s="143" t="s">
        <v>52</v>
      </c>
      <c r="D2319" s="143" t="s">
        <v>53</v>
      </c>
      <c r="E2319" s="143" t="s">
        <v>474</v>
      </c>
      <c r="F2319" s="144" t="n">
        <v>200025888256</v>
      </c>
      <c r="G2319" s="144" t="s">
        <v>203</v>
      </c>
      <c r="H2319" s="144" t="n">
        <v>85</v>
      </c>
      <c r="I2319" s="144" t="s">
        <v>152</v>
      </c>
      <c r="J2319" s="152" t="n">
        <v>45075.3597453704</v>
      </c>
      <c r="K2319" s="1" t="n">
        <v>2</v>
      </c>
      <c r="L2319" s="144" t="n">
        <v>85</v>
      </c>
      <c r="M2319" s="1" t="n">
        <v>79</v>
      </c>
      <c r="N2319" s="1" t="n">
        <v>79</v>
      </c>
      <c r="O2319" s="149" t="n">
        <v>10</v>
      </c>
    </row>
    <row r="2320" customFormat="false" ht="14.25" hidden="false" customHeight="false" outlineLevel="0" collapsed="false">
      <c r="A2320" s="1" t="n">
        <v>225</v>
      </c>
      <c r="B2320" s="1" t="s">
        <v>477</v>
      </c>
      <c r="C2320" s="143" t="s">
        <v>52</v>
      </c>
      <c r="D2320" s="143" t="s">
        <v>53</v>
      </c>
      <c r="E2320" s="143" t="s">
        <v>474</v>
      </c>
      <c r="F2320" s="144" t="n">
        <v>200025888256</v>
      </c>
      <c r="G2320" s="144" t="s">
        <v>203</v>
      </c>
      <c r="H2320" s="144" t="n">
        <v>85</v>
      </c>
      <c r="I2320" s="144" t="s">
        <v>152</v>
      </c>
      <c r="J2320" s="152" t="n">
        <v>45075.3597569445</v>
      </c>
      <c r="K2320" s="1" t="n">
        <v>0</v>
      </c>
      <c r="L2320" s="144" t="n">
        <v>85</v>
      </c>
      <c r="M2320" s="1" t="n">
        <v>79</v>
      </c>
      <c r="N2320" s="1" t="n">
        <v>79</v>
      </c>
      <c r="O2320" s="149" t="n">
        <v>11</v>
      </c>
    </row>
    <row r="2321" customFormat="false" ht="14.25" hidden="false" customHeight="false" outlineLevel="0" collapsed="false">
      <c r="A2321" s="1" t="n">
        <v>226</v>
      </c>
      <c r="B2321" s="1" t="s">
        <v>477</v>
      </c>
      <c r="C2321" s="143" t="s">
        <v>52</v>
      </c>
      <c r="D2321" s="143" t="s">
        <v>53</v>
      </c>
      <c r="E2321" s="143" t="s">
        <v>474</v>
      </c>
      <c r="F2321" s="144" t="n">
        <v>200025888256</v>
      </c>
      <c r="G2321" s="144" t="s">
        <v>203</v>
      </c>
      <c r="H2321" s="144" t="n">
        <v>85</v>
      </c>
      <c r="I2321" s="144" t="s">
        <v>152</v>
      </c>
      <c r="J2321" s="152" t="n">
        <v>45075.3600810185</v>
      </c>
      <c r="K2321" s="1" t="n">
        <v>1</v>
      </c>
      <c r="L2321" s="144" t="n">
        <v>85</v>
      </c>
      <c r="M2321" s="1" t="n">
        <v>79</v>
      </c>
      <c r="N2321" s="1" t="n">
        <v>79</v>
      </c>
      <c r="O2321" s="149" t="n">
        <v>12</v>
      </c>
    </row>
    <row r="2322" customFormat="false" ht="14.25" hidden="false" customHeight="false" outlineLevel="0" collapsed="false">
      <c r="A2322" s="1" t="n">
        <v>227</v>
      </c>
      <c r="B2322" s="1" t="s">
        <v>477</v>
      </c>
      <c r="C2322" s="143" t="s">
        <v>52</v>
      </c>
      <c r="D2322" s="143" t="s">
        <v>53</v>
      </c>
      <c r="E2322" s="143" t="s">
        <v>474</v>
      </c>
      <c r="F2322" s="144" t="n">
        <v>200025888256</v>
      </c>
      <c r="G2322" s="144" t="s">
        <v>203</v>
      </c>
      <c r="H2322" s="144" t="n">
        <v>85</v>
      </c>
      <c r="I2322" s="144" t="s">
        <v>152</v>
      </c>
      <c r="J2322" s="152" t="n">
        <v>45075.3606828704</v>
      </c>
      <c r="K2322" s="1" t="n">
        <v>0</v>
      </c>
      <c r="L2322" s="144" t="n">
        <v>85</v>
      </c>
      <c r="M2322" s="1" t="n">
        <v>79</v>
      </c>
      <c r="N2322" s="1" t="n">
        <v>79</v>
      </c>
      <c r="O2322" s="149" t="n">
        <v>13</v>
      </c>
    </row>
    <row r="2323" customFormat="false" ht="14.25" hidden="false" customHeight="false" outlineLevel="0" collapsed="false">
      <c r="A2323" s="1" t="n">
        <v>228</v>
      </c>
      <c r="B2323" s="1" t="s">
        <v>477</v>
      </c>
      <c r="C2323" s="143" t="s">
        <v>52</v>
      </c>
      <c r="D2323" s="143" t="s">
        <v>53</v>
      </c>
      <c r="E2323" s="143" t="s">
        <v>474</v>
      </c>
      <c r="F2323" s="144" t="n">
        <v>200025888256</v>
      </c>
      <c r="G2323" s="144" t="s">
        <v>203</v>
      </c>
      <c r="H2323" s="144" t="n">
        <v>85</v>
      </c>
      <c r="I2323" s="144" t="s">
        <v>152</v>
      </c>
      <c r="J2323" s="152" t="n">
        <v>45075.3615277778</v>
      </c>
      <c r="K2323" s="1" t="n">
        <v>1</v>
      </c>
      <c r="L2323" s="144" t="n">
        <v>85</v>
      </c>
      <c r="M2323" s="1" t="n">
        <v>79</v>
      </c>
      <c r="N2323" s="1" t="n">
        <v>79</v>
      </c>
      <c r="O2323" s="149" t="n">
        <v>14</v>
      </c>
    </row>
    <row r="2324" customFormat="false" ht="14.25" hidden="false" customHeight="false" outlineLevel="0" collapsed="false">
      <c r="A2324" s="1" t="n">
        <v>229</v>
      </c>
      <c r="B2324" s="1" t="s">
        <v>477</v>
      </c>
      <c r="C2324" s="143" t="s">
        <v>52</v>
      </c>
      <c r="D2324" s="143" t="s">
        <v>53</v>
      </c>
      <c r="E2324" s="143" t="s">
        <v>474</v>
      </c>
      <c r="F2324" s="144" t="n">
        <v>200025888256</v>
      </c>
      <c r="G2324" s="144" t="s">
        <v>203</v>
      </c>
      <c r="H2324" s="144" t="n">
        <v>85</v>
      </c>
      <c r="I2324" s="144" t="s">
        <v>152</v>
      </c>
      <c r="J2324" s="152" t="n">
        <v>45075.3620023148</v>
      </c>
      <c r="K2324" s="1" t="n">
        <v>1</v>
      </c>
      <c r="L2324" s="144" t="n">
        <v>85</v>
      </c>
      <c r="M2324" s="1" t="n">
        <v>79</v>
      </c>
      <c r="N2324" s="1" t="n">
        <v>79</v>
      </c>
      <c r="O2324" s="149" t="n">
        <v>15</v>
      </c>
    </row>
    <row r="2325" customFormat="false" ht="14.25" hidden="false" customHeight="false" outlineLevel="0" collapsed="false">
      <c r="A2325" s="1" t="n">
        <v>230</v>
      </c>
      <c r="B2325" s="1" t="s">
        <v>477</v>
      </c>
      <c r="C2325" s="143" t="s">
        <v>52</v>
      </c>
      <c r="D2325" s="143" t="s">
        <v>53</v>
      </c>
      <c r="E2325" s="143" t="s">
        <v>474</v>
      </c>
      <c r="F2325" s="144" t="n">
        <v>200025888256</v>
      </c>
      <c r="G2325" s="144" t="s">
        <v>203</v>
      </c>
      <c r="H2325" s="144" t="n">
        <v>85</v>
      </c>
      <c r="I2325" s="144" t="s">
        <v>152</v>
      </c>
      <c r="J2325" s="152" t="n">
        <v>45075.3626736111</v>
      </c>
      <c r="K2325" s="1" t="n">
        <v>1</v>
      </c>
      <c r="L2325" s="144" t="n">
        <v>85</v>
      </c>
      <c r="M2325" s="1" t="n">
        <v>79</v>
      </c>
      <c r="N2325" s="1" t="n">
        <v>79</v>
      </c>
      <c r="O2325" s="149" t="n">
        <v>16</v>
      </c>
    </row>
    <row r="2326" customFormat="false" ht="14.25" hidden="false" customHeight="false" outlineLevel="0" collapsed="false">
      <c r="A2326" s="1" t="n">
        <v>231</v>
      </c>
      <c r="B2326" s="1" t="s">
        <v>477</v>
      </c>
      <c r="C2326" s="143" t="s">
        <v>52</v>
      </c>
      <c r="D2326" s="143" t="s">
        <v>53</v>
      </c>
      <c r="E2326" s="143" t="s">
        <v>474</v>
      </c>
      <c r="F2326" s="144" t="n">
        <v>200025888256</v>
      </c>
      <c r="G2326" s="144" t="s">
        <v>203</v>
      </c>
      <c r="H2326" s="144" t="n">
        <v>85</v>
      </c>
      <c r="I2326" s="144" t="s">
        <v>152</v>
      </c>
      <c r="J2326" s="152" t="n">
        <v>45075.3629398148</v>
      </c>
      <c r="K2326" s="1" t="n">
        <v>1</v>
      </c>
      <c r="L2326" s="144" t="n">
        <v>85</v>
      </c>
      <c r="M2326" s="1" t="n">
        <v>79</v>
      </c>
      <c r="N2326" s="1" t="n">
        <v>79</v>
      </c>
      <c r="O2326" s="149" t="n">
        <v>17</v>
      </c>
    </row>
    <row r="2327" customFormat="false" ht="14.25" hidden="false" customHeight="false" outlineLevel="0" collapsed="false">
      <c r="A2327" s="1" t="n">
        <v>8</v>
      </c>
      <c r="B2327" s="1" t="s">
        <v>477</v>
      </c>
      <c r="C2327" s="143" t="s">
        <v>52</v>
      </c>
      <c r="D2327" s="143" t="s">
        <v>53</v>
      </c>
      <c r="E2327" s="143" t="s">
        <v>474</v>
      </c>
      <c r="F2327" s="144" t="n">
        <v>200025889163</v>
      </c>
      <c r="G2327" s="144" t="s">
        <v>276</v>
      </c>
      <c r="H2327" s="144" t="n">
        <v>35</v>
      </c>
      <c r="I2327" s="144" t="s">
        <v>148</v>
      </c>
      <c r="J2327" s="152" t="n">
        <v>45071.701099537</v>
      </c>
      <c r="K2327" s="1" t="n">
        <v>2</v>
      </c>
      <c r="L2327" s="144" t="n">
        <v>35</v>
      </c>
      <c r="M2327" s="1" t="n">
        <v>80</v>
      </c>
      <c r="N2327" s="1" t="n">
        <v>80</v>
      </c>
      <c r="O2327" s="149" t="n">
        <v>1</v>
      </c>
    </row>
    <row r="2328" customFormat="false" ht="14.25" hidden="false" customHeight="false" outlineLevel="0" collapsed="false">
      <c r="A2328" s="1" t="n">
        <v>183</v>
      </c>
      <c r="B2328" s="1" t="s">
        <v>490</v>
      </c>
      <c r="C2328" s="143" t="n">
        <v>11171</v>
      </c>
      <c r="D2328" s="143" t="s">
        <v>74</v>
      </c>
      <c r="E2328" s="143" t="s">
        <v>479</v>
      </c>
      <c r="F2328" s="144" t="n">
        <v>200025889163</v>
      </c>
      <c r="G2328" s="144" t="s">
        <v>276</v>
      </c>
      <c r="H2328" s="144" t="n">
        <v>35</v>
      </c>
      <c r="I2328" s="144" t="s">
        <v>148</v>
      </c>
      <c r="J2328" s="6" t="n">
        <v>45074.6731365741</v>
      </c>
      <c r="K2328" s="1" t="n">
        <v>2</v>
      </c>
      <c r="L2328" s="144" t="n">
        <v>35</v>
      </c>
      <c r="M2328" s="1" t="n">
        <v>80</v>
      </c>
      <c r="N2328" s="1" t="n">
        <v>80</v>
      </c>
      <c r="O2328" s="149" t="n">
        <v>2</v>
      </c>
    </row>
    <row r="2329" customFormat="false" ht="14.25" hidden="false" customHeight="false" outlineLevel="0" collapsed="false">
      <c r="A2329" s="1" t="n">
        <v>197</v>
      </c>
      <c r="B2329" s="1" t="s">
        <v>490</v>
      </c>
      <c r="C2329" s="143" t="n">
        <v>11171</v>
      </c>
      <c r="D2329" s="143" t="s">
        <v>74</v>
      </c>
      <c r="E2329" s="143" t="s">
        <v>479</v>
      </c>
      <c r="F2329" s="144" t="n">
        <v>200025889163</v>
      </c>
      <c r="G2329" s="144" t="s">
        <v>276</v>
      </c>
      <c r="H2329" s="144" t="n">
        <v>35</v>
      </c>
      <c r="I2329" s="144" t="s">
        <v>148</v>
      </c>
      <c r="J2329" s="6" t="n">
        <v>45074.8668981481</v>
      </c>
      <c r="K2329" s="1" t="n">
        <v>2</v>
      </c>
      <c r="L2329" s="144" t="n">
        <v>35</v>
      </c>
      <c r="M2329" s="1" t="n">
        <v>80</v>
      </c>
      <c r="N2329" s="1" t="n">
        <v>80</v>
      </c>
      <c r="O2329" s="149" t="n">
        <v>3</v>
      </c>
    </row>
    <row r="2330" customFormat="false" ht="14.25" hidden="false" customHeight="false" outlineLevel="0" collapsed="false">
      <c r="A2330" s="1" t="n">
        <v>256</v>
      </c>
      <c r="B2330" s="1" t="s">
        <v>478</v>
      </c>
      <c r="C2330" s="143" t="n">
        <v>21265</v>
      </c>
      <c r="D2330" s="143" t="s">
        <v>76</v>
      </c>
      <c r="E2330" s="143" t="s">
        <v>479</v>
      </c>
      <c r="F2330" s="144" t="n">
        <v>200025889163</v>
      </c>
      <c r="G2330" s="144" t="s">
        <v>276</v>
      </c>
      <c r="H2330" s="144" t="n">
        <v>35</v>
      </c>
      <c r="I2330" s="144" t="s">
        <v>148</v>
      </c>
      <c r="J2330" s="6" t="n">
        <v>45074.8992013889</v>
      </c>
      <c r="K2330" s="1" t="n">
        <v>4</v>
      </c>
      <c r="L2330" s="144" t="n">
        <v>35</v>
      </c>
      <c r="M2330" s="1" t="n">
        <v>80</v>
      </c>
      <c r="N2330" s="1" t="n">
        <v>80</v>
      </c>
      <c r="O2330" s="149" t="n">
        <v>4</v>
      </c>
    </row>
    <row r="2331" customFormat="false" ht="14.25" hidden="false" customHeight="false" outlineLevel="0" collapsed="false">
      <c r="A2331" s="1" t="n">
        <v>257</v>
      </c>
      <c r="B2331" s="1" t="s">
        <v>478</v>
      </c>
      <c r="C2331" s="143" t="n">
        <v>21265</v>
      </c>
      <c r="D2331" s="143" t="s">
        <v>76</v>
      </c>
      <c r="E2331" s="143" t="s">
        <v>479</v>
      </c>
      <c r="F2331" s="144" t="n">
        <v>200025889163</v>
      </c>
      <c r="G2331" s="144" t="s">
        <v>276</v>
      </c>
      <c r="H2331" s="144" t="n">
        <v>35</v>
      </c>
      <c r="I2331" s="144" t="s">
        <v>148</v>
      </c>
      <c r="J2331" s="6" t="n">
        <v>45074.8993865741</v>
      </c>
      <c r="K2331" s="1" t="n">
        <v>2</v>
      </c>
      <c r="L2331" s="144" t="n">
        <v>35</v>
      </c>
      <c r="M2331" s="1" t="n">
        <v>80</v>
      </c>
      <c r="N2331" s="1" t="n">
        <v>80</v>
      </c>
      <c r="O2331" s="149" t="n">
        <v>5</v>
      </c>
    </row>
    <row r="2332" customFormat="false" ht="14.25" hidden="false" customHeight="false" outlineLevel="0" collapsed="false">
      <c r="A2332" s="1" t="n">
        <v>258</v>
      </c>
      <c r="B2332" s="1" t="s">
        <v>478</v>
      </c>
      <c r="C2332" s="143" t="n">
        <v>21265</v>
      </c>
      <c r="D2332" s="143" t="s">
        <v>76</v>
      </c>
      <c r="E2332" s="143" t="s">
        <v>479</v>
      </c>
      <c r="F2332" s="144" t="n">
        <v>200025889163</v>
      </c>
      <c r="G2332" s="144" t="s">
        <v>276</v>
      </c>
      <c r="H2332" s="144" t="n">
        <v>35</v>
      </c>
      <c r="I2332" s="144" t="s">
        <v>148</v>
      </c>
      <c r="J2332" s="6" t="n">
        <v>45074.9006365741</v>
      </c>
      <c r="K2332" s="1" t="n">
        <v>2</v>
      </c>
      <c r="L2332" s="144" t="n">
        <v>35</v>
      </c>
      <c r="M2332" s="1" t="n">
        <v>80</v>
      </c>
      <c r="N2332" s="1" t="n">
        <v>80</v>
      </c>
      <c r="O2332" s="149" t="n">
        <v>6</v>
      </c>
    </row>
    <row r="2333" customFormat="false" ht="14.25" hidden="false" customHeight="false" outlineLevel="0" collapsed="false">
      <c r="A2333" s="1" t="n">
        <v>259</v>
      </c>
      <c r="B2333" s="1" t="s">
        <v>478</v>
      </c>
      <c r="C2333" s="143" t="n">
        <v>21265</v>
      </c>
      <c r="D2333" s="143" t="s">
        <v>76</v>
      </c>
      <c r="E2333" s="143" t="s">
        <v>479</v>
      </c>
      <c r="F2333" s="144" t="n">
        <v>200025889163</v>
      </c>
      <c r="G2333" s="144" t="s">
        <v>276</v>
      </c>
      <c r="H2333" s="144" t="n">
        <v>35</v>
      </c>
      <c r="I2333" s="144" t="s">
        <v>148</v>
      </c>
      <c r="J2333" s="6" t="n">
        <v>45074.9006597222</v>
      </c>
      <c r="K2333" s="1" t="n">
        <v>2</v>
      </c>
      <c r="L2333" s="144" t="n">
        <v>35</v>
      </c>
      <c r="M2333" s="1" t="n">
        <v>80</v>
      </c>
      <c r="N2333" s="1" t="n">
        <v>80</v>
      </c>
      <c r="O2333" s="149" t="n">
        <v>7</v>
      </c>
    </row>
    <row r="2334" customFormat="false" ht="14.25" hidden="false" customHeight="false" outlineLevel="0" collapsed="false">
      <c r="A2334" s="1" t="n">
        <v>260</v>
      </c>
      <c r="B2334" s="1" t="s">
        <v>478</v>
      </c>
      <c r="C2334" s="143" t="n">
        <v>21265</v>
      </c>
      <c r="D2334" s="143" t="s">
        <v>76</v>
      </c>
      <c r="E2334" s="143" t="s">
        <v>479</v>
      </c>
      <c r="F2334" s="144" t="n">
        <v>200025889163</v>
      </c>
      <c r="G2334" s="144" t="s">
        <v>276</v>
      </c>
      <c r="H2334" s="144" t="n">
        <v>35</v>
      </c>
      <c r="I2334" s="144" t="s">
        <v>148</v>
      </c>
      <c r="J2334" s="6" t="n">
        <v>45074.9009259259</v>
      </c>
      <c r="K2334" s="1" t="n">
        <v>2</v>
      </c>
      <c r="L2334" s="144" t="n">
        <v>35</v>
      </c>
      <c r="M2334" s="1" t="n">
        <v>80</v>
      </c>
      <c r="N2334" s="1" t="n">
        <v>80</v>
      </c>
      <c r="O2334" s="149" t="n">
        <v>8</v>
      </c>
    </row>
    <row r="2335" customFormat="false" ht="14.25" hidden="false" customHeight="false" outlineLevel="0" collapsed="false">
      <c r="A2335" s="1" t="n">
        <v>261</v>
      </c>
      <c r="B2335" s="1" t="s">
        <v>478</v>
      </c>
      <c r="C2335" s="143" t="n">
        <v>21265</v>
      </c>
      <c r="D2335" s="143" t="s">
        <v>76</v>
      </c>
      <c r="E2335" s="143" t="s">
        <v>479</v>
      </c>
      <c r="F2335" s="144" t="n">
        <v>200025889163</v>
      </c>
      <c r="G2335" s="144" t="s">
        <v>276</v>
      </c>
      <c r="H2335" s="144" t="n">
        <v>35</v>
      </c>
      <c r="I2335" s="144" t="s">
        <v>148</v>
      </c>
      <c r="J2335" s="6" t="n">
        <v>45074.9012037037</v>
      </c>
      <c r="K2335" s="1" t="n">
        <v>0</v>
      </c>
      <c r="L2335" s="144" t="n">
        <v>35</v>
      </c>
      <c r="M2335" s="1" t="n">
        <v>80</v>
      </c>
      <c r="N2335" s="1" t="n">
        <v>80</v>
      </c>
      <c r="O2335" s="149" t="n">
        <v>9</v>
      </c>
    </row>
    <row r="2336" customFormat="false" ht="14.25" hidden="false" customHeight="false" outlineLevel="0" collapsed="false">
      <c r="A2336" s="1" t="n">
        <v>262</v>
      </c>
      <c r="B2336" s="1" t="s">
        <v>478</v>
      </c>
      <c r="C2336" s="143" t="n">
        <v>21265</v>
      </c>
      <c r="D2336" s="143" t="s">
        <v>76</v>
      </c>
      <c r="E2336" s="143" t="s">
        <v>479</v>
      </c>
      <c r="F2336" s="144" t="n">
        <v>200025889163</v>
      </c>
      <c r="G2336" s="144" t="s">
        <v>276</v>
      </c>
      <c r="H2336" s="144" t="n">
        <v>35</v>
      </c>
      <c r="I2336" s="144" t="s">
        <v>148</v>
      </c>
      <c r="J2336" s="6" t="n">
        <v>45074.901400463</v>
      </c>
      <c r="K2336" s="1" t="n">
        <v>2</v>
      </c>
      <c r="L2336" s="144" t="n">
        <v>35</v>
      </c>
      <c r="M2336" s="1" t="n">
        <v>80</v>
      </c>
      <c r="N2336" s="1" t="n">
        <v>80</v>
      </c>
      <c r="O2336" s="149" t="n">
        <v>10</v>
      </c>
    </row>
    <row r="2337" customFormat="false" ht="14.25" hidden="false" customHeight="false" outlineLevel="0" collapsed="false">
      <c r="A2337" s="1" t="n">
        <v>263</v>
      </c>
      <c r="B2337" s="1" t="s">
        <v>478</v>
      </c>
      <c r="C2337" s="143" t="n">
        <v>21265</v>
      </c>
      <c r="D2337" s="143" t="s">
        <v>76</v>
      </c>
      <c r="E2337" s="143" t="s">
        <v>479</v>
      </c>
      <c r="F2337" s="144" t="n">
        <v>200025889163</v>
      </c>
      <c r="G2337" s="144" t="s">
        <v>276</v>
      </c>
      <c r="H2337" s="144" t="n">
        <v>35</v>
      </c>
      <c r="I2337" s="144" t="s">
        <v>148</v>
      </c>
      <c r="J2337" s="6" t="n">
        <v>45074.9016087963</v>
      </c>
      <c r="K2337" s="1" t="n">
        <v>2</v>
      </c>
      <c r="L2337" s="144" t="n">
        <v>35</v>
      </c>
      <c r="M2337" s="1" t="n">
        <v>80</v>
      </c>
      <c r="N2337" s="1" t="n">
        <v>80</v>
      </c>
      <c r="O2337" s="149" t="n">
        <v>11</v>
      </c>
    </row>
    <row r="2338" customFormat="false" ht="14.25" hidden="false" customHeight="false" outlineLevel="0" collapsed="false">
      <c r="A2338" s="1" t="n">
        <v>264</v>
      </c>
      <c r="B2338" s="1" t="s">
        <v>478</v>
      </c>
      <c r="C2338" s="143" t="n">
        <v>21265</v>
      </c>
      <c r="D2338" s="143" t="s">
        <v>76</v>
      </c>
      <c r="E2338" s="143" t="s">
        <v>479</v>
      </c>
      <c r="F2338" s="144" t="n">
        <v>200025889163</v>
      </c>
      <c r="G2338" s="144" t="s">
        <v>276</v>
      </c>
      <c r="H2338" s="144" t="n">
        <v>35</v>
      </c>
      <c r="I2338" s="144" t="s">
        <v>148</v>
      </c>
      <c r="J2338" s="6" t="n">
        <v>45074.9017476852</v>
      </c>
      <c r="K2338" s="1" t="n">
        <v>1</v>
      </c>
      <c r="L2338" s="144" t="n">
        <v>35</v>
      </c>
      <c r="M2338" s="1" t="n">
        <v>80</v>
      </c>
      <c r="N2338" s="1" t="n">
        <v>80</v>
      </c>
      <c r="O2338" s="149" t="n">
        <v>12</v>
      </c>
    </row>
    <row r="2339" customFormat="false" ht="14.25" hidden="false" customHeight="false" outlineLevel="0" collapsed="false">
      <c r="A2339" s="1" t="n">
        <v>265</v>
      </c>
      <c r="B2339" s="1" t="s">
        <v>478</v>
      </c>
      <c r="C2339" s="143" t="n">
        <v>21265</v>
      </c>
      <c r="D2339" s="143" t="s">
        <v>76</v>
      </c>
      <c r="E2339" s="143" t="s">
        <v>479</v>
      </c>
      <c r="F2339" s="144" t="n">
        <v>200025889163</v>
      </c>
      <c r="G2339" s="144" t="s">
        <v>276</v>
      </c>
      <c r="H2339" s="144" t="n">
        <v>35</v>
      </c>
      <c r="I2339" s="144" t="s">
        <v>148</v>
      </c>
      <c r="J2339" s="6" t="n">
        <v>45074.902025463</v>
      </c>
      <c r="K2339" s="1" t="n">
        <v>1</v>
      </c>
      <c r="L2339" s="144" t="n">
        <v>35</v>
      </c>
      <c r="M2339" s="1" t="n">
        <v>80</v>
      </c>
      <c r="N2339" s="1" t="n">
        <v>80</v>
      </c>
      <c r="O2339" s="149" t="n">
        <v>13</v>
      </c>
    </row>
    <row r="2340" customFormat="false" ht="14.25" hidden="false" customHeight="false" outlineLevel="0" collapsed="false">
      <c r="A2340" s="1" t="n">
        <v>266</v>
      </c>
      <c r="B2340" s="1" t="s">
        <v>478</v>
      </c>
      <c r="C2340" s="143" t="n">
        <v>21265</v>
      </c>
      <c r="D2340" s="143" t="s">
        <v>76</v>
      </c>
      <c r="E2340" s="143" t="s">
        <v>479</v>
      </c>
      <c r="F2340" s="144" t="n">
        <v>200025889163</v>
      </c>
      <c r="G2340" s="144" t="s">
        <v>276</v>
      </c>
      <c r="H2340" s="144" t="n">
        <v>35</v>
      </c>
      <c r="I2340" s="144" t="s">
        <v>148</v>
      </c>
      <c r="J2340" s="6" t="n">
        <v>45074.9023958333</v>
      </c>
      <c r="K2340" s="1" t="n">
        <v>1</v>
      </c>
      <c r="L2340" s="144" t="n">
        <v>35</v>
      </c>
      <c r="M2340" s="1" t="n">
        <v>80</v>
      </c>
      <c r="N2340" s="1" t="n">
        <v>80</v>
      </c>
      <c r="O2340" s="149" t="n">
        <v>14</v>
      </c>
    </row>
    <row r="2341" customFormat="false" ht="14.25" hidden="false" customHeight="false" outlineLevel="0" collapsed="false">
      <c r="A2341" s="1" t="n">
        <v>267</v>
      </c>
      <c r="B2341" s="1" t="s">
        <v>478</v>
      </c>
      <c r="C2341" s="143" t="n">
        <v>21265</v>
      </c>
      <c r="D2341" s="143" t="s">
        <v>76</v>
      </c>
      <c r="E2341" s="143" t="s">
        <v>479</v>
      </c>
      <c r="F2341" s="144" t="n">
        <v>200025889163</v>
      </c>
      <c r="G2341" s="144" t="s">
        <v>276</v>
      </c>
      <c r="H2341" s="144" t="n">
        <v>35</v>
      </c>
      <c r="I2341" s="144" t="s">
        <v>148</v>
      </c>
      <c r="J2341" s="6" t="n">
        <v>45074.9027546296</v>
      </c>
      <c r="K2341" s="1" t="n">
        <v>3</v>
      </c>
      <c r="L2341" s="144" t="n">
        <v>35</v>
      </c>
      <c r="M2341" s="1" t="n">
        <v>80</v>
      </c>
      <c r="N2341" s="1" t="n">
        <v>80</v>
      </c>
      <c r="O2341" s="149" t="n">
        <v>15</v>
      </c>
    </row>
    <row r="2342" customFormat="false" ht="14.25" hidden="false" customHeight="false" outlineLevel="0" collapsed="false">
      <c r="A2342" s="1" t="n">
        <v>268</v>
      </c>
      <c r="B2342" s="1" t="s">
        <v>478</v>
      </c>
      <c r="C2342" s="143" t="n">
        <v>21265</v>
      </c>
      <c r="D2342" s="143" t="s">
        <v>76</v>
      </c>
      <c r="E2342" s="143" t="s">
        <v>479</v>
      </c>
      <c r="F2342" s="144" t="n">
        <v>200025889163</v>
      </c>
      <c r="G2342" s="144" t="s">
        <v>276</v>
      </c>
      <c r="H2342" s="144" t="n">
        <v>35</v>
      </c>
      <c r="I2342" s="144" t="s">
        <v>148</v>
      </c>
      <c r="J2342" s="6" t="n">
        <v>45074.9030902778</v>
      </c>
      <c r="K2342" s="1" t="n">
        <v>2</v>
      </c>
      <c r="L2342" s="144" t="n">
        <v>35</v>
      </c>
      <c r="M2342" s="1" t="n">
        <v>80</v>
      </c>
      <c r="N2342" s="1" t="n">
        <v>80</v>
      </c>
      <c r="O2342" s="149" t="n">
        <v>16</v>
      </c>
    </row>
    <row r="2343" customFormat="false" ht="14.25" hidden="false" customHeight="false" outlineLevel="0" collapsed="false">
      <c r="A2343" s="1" t="n">
        <v>269</v>
      </c>
      <c r="B2343" s="1" t="s">
        <v>478</v>
      </c>
      <c r="C2343" s="143" t="n">
        <v>21265</v>
      </c>
      <c r="D2343" s="143" t="s">
        <v>76</v>
      </c>
      <c r="E2343" s="143" t="s">
        <v>479</v>
      </c>
      <c r="F2343" s="144" t="n">
        <v>200025889163</v>
      </c>
      <c r="G2343" s="144" t="s">
        <v>276</v>
      </c>
      <c r="H2343" s="144" t="n">
        <v>35</v>
      </c>
      <c r="I2343" s="144" t="s">
        <v>148</v>
      </c>
      <c r="J2343" s="6" t="n">
        <v>45074.9033449074</v>
      </c>
      <c r="K2343" s="1" t="n">
        <v>1</v>
      </c>
      <c r="L2343" s="144" t="n">
        <v>35</v>
      </c>
      <c r="M2343" s="1" t="n">
        <v>80</v>
      </c>
      <c r="N2343" s="1" t="n">
        <v>80</v>
      </c>
      <c r="O2343" s="149" t="n">
        <v>17</v>
      </c>
    </row>
    <row r="2344" customFormat="false" ht="14.25" hidden="false" customHeight="false" outlineLevel="0" collapsed="false">
      <c r="A2344" s="1" t="n">
        <v>270</v>
      </c>
      <c r="B2344" s="1" t="s">
        <v>478</v>
      </c>
      <c r="C2344" s="143" t="n">
        <v>21265</v>
      </c>
      <c r="D2344" s="143" t="s">
        <v>76</v>
      </c>
      <c r="E2344" s="143" t="s">
        <v>479</v>
      </c>
      <c r="F2344" s="144" t="n">
        <v>200025889163</v>
      </c>
      <c r="G2344" s="144" t="s">
        <v>276</v>
      </c>
      <c r="H2344" s="144" t="n">
        <v>35</v>
      </c>
      <c r="I2344" s="144" t="s">
        <v>148</v>
      </c>
      <c r="J2344" s="6" t="n">
        <v>45074.9348726852</v>
      </c>
      <c r="K2344" s="1" t="n">
        <v>1</v>
      </c>
      <c r="L2344" s="144" t="n">
        <v>35</v>
      </c>
      <c r="M2344" s="1" t="n">
        <v>80</v>
      </c>
      <c r="N2344" s="1" t="n">
        <v>80</v>
      </c>
      <c r="O2344" s="149" t="n">
        <v>18</v>
      </c>
    </row>
    <row r="2345" customFormat="false" ht="14.25" hidden="false" customHeight="false" outlineLevel="0" collapsed="false">
      <c r="A2345" s="1" t="n">
        <v>271</v>
      </c>
      <c r="B2345" s="1" t="s">
        <v>478</v>
      </c>
      <c r="C2345" s="143" t="n">
        <v>21265</v>
      </c>
      <c r="D2345" s="143" t="s">
        <v>76</v>
      </c>
      <c r="E2345" s="143" t="s">
        <v>479</v>
      </c>
      <c r="F2345" s="144" t="n">
        <v>200025889163</v>
      </c>
      <c r="G2345" s="144" t="s">
        <v>276</v>
      </c>
      <c r="H2345" s="144" t="n">
        <v>35</v>
      </c>
      <c r="I2345" s="144" t="s">
        <v>148</v>
      </c>
      <c r="J2345" s="6" t="n">
        <v>45074.9356597222</v>
      </c>
      <c r="K2345" s="1" t="n">
        <v>2</v>
      </c>
      <c r="L2345" s="144" t="n">
        <v>35</v>
      </c>
      <c r="M2345" s="1" t="n">
        <v>80</v>
      </c>
      <c r="N2345" s="1" t="n">
        <v>80</v>
      </c>
      <c r="O2345" s="149" t="n">
        <v>19</v>
      </c>
    </row>
    <row r="2346" customFormat="false" ht="14.25" hidden="false" customHeight="false" outlineLevel="0" collapsed="false">
      <c r="A2346" s="1" t="n">
        <v>272</v>
      </c>
      <c r="B2346" s="1" t="s">
        <v>478</v>
      </c>
      <c r="C2346" s="143" t="n">
        <v>21265</v>
      </c>
      <c r="D2346" s="143" t="s">
        <v>76</v>
      </c>
      <c r="E2346" s="143" t="s">
        <v>479</v>
      </c>
      <c r="F2346" s="144" t="n">
        <v>200025889163</v>
      </c>
      <c r="G2346" s="144" t="s">
        <v>276</v>
      </c>
      <c r="H2346" s="144" t="n">
        <v>35</v>
      </c>
      <c r="I2346" s="144" t="s">
        <v>148</v>
      </c>
      <c r="J2346" s="6" t="n">
        <v>45074.936400463</v>
      </c>
      <c r="K2346" s="1" t="n">
        <v>1</v>
      </c>
      <c r="L2346" s="144" t="n">
        <v>35</v>
      </c>
      <c r="M2346" s="1" t="n">
        <v>80</v>
      </c>
      <c r="N2346" s="1" t="n">
        <v>80</v>
      </c>
      <c r="O2346" s="149" t="n">
        <v>20</v>
      </c>
    </row>
    <row r="2347" customFormat="false" ht="14.25" hidden="false" customHeight="false" outlineLevel="0" collapsed="false">
      <c r="A2347" s="1" t="n">
        <v>274</v>
      </c>
      <c r="B2347" s="1" t="s">
        <v>478</v>
      </c>
      <c r="C2347" s="143" t="n">
        <v>21265</v>
      </c>
      <c r="D2347" s="143" t="s">
        <v>76</v>
      </c>
      <c r="E2347" s="143" t="s">
        <v>479</v>
      </c>
      <c r="F2347" s="144" t="n">
        <v>200025889163</v>
      </c>
      <c r="G2347" s="144" t="s">
        <v>276</v>
      </c>
      <c r="H2347" s="144" t="n">
        <v>35</v>
      </c>
      <c r="I2347" s="144" t="s">
        <v>148</v>
      </c>
      <c r="J2347" s="6" t="n">
        <v>45074.9750694444</v>
      </c>
      <c r="K2347" s="1" t="n">
        <v>4</v>
      </c>
      <c r="L2347" s="144" t="n">
        <v>35</v>
      </c>
      <c r="M2347" s="1" t="n">
        <v>80</v>
      </c>
      <c r="N2347" s="1" t="n">
        <v>80</v>
      </c>
      <c r="O2347" s="149" t="n">
        <v>21</v>
      </c>
    </row>
    <row r="2348" customFormat="false" ht="14.25" hidden="false" customHeight="false" outlineLevel="0" collapsed="false">
      <c r="A2348" s="1" t="n">
        <v>275</v>
      </c>
      <c r="B2348" s="1" t="s">
        <v>478</v>
      </c>
      <c r="C2348" s="143" t="n">
        <v>21265</v>
      </c>
      <c r="D2348" s="143" t="s">
        <v>76</v>
      </c>
      <c r="E2348" s="143" t="s">
        <v>479</v>
      </c>
      <c r="F2348" s="144" t="n">
        <v>200025889163</v>
      </c>
      <c r="G2348" s="144" t="s">
        <v>276</v>
      </c>
      <c r="H2348" s="144" t="n">
        <v>35</v>
      </c>
      <c r="I2348" s="144" t="s">
        <v>148</v>
      </c>
      <c r="J2348" s="6" t="n">
        <v>45074.9753819444</v>
      </c>
      <c r="K2348" s="1" t="n">
        <v>4</v>
      </c>
      <c r="L2348" s="144" t="n">
        <v>35</v>
      </c>
      <c r="M2348" s="1" t="n">
        <v>80</v>
      </c>
      <c r="N2348" s="1" t="n">
        <v>80</v>
      </c>
      <c r="O2348" s="149" t="n">
        <v>22</v>
      </c>
    </row>
    <row r="2349" customFormat="false" ht="14.25" hidden="false" customHeight="false" outlineLevel="0" collapsed="false">
      <c r="A2349" s="1" t="n">
        <v>218</v>
      </c>
      <c r="B2349" s="1" t="s">
        <v>490</v>
      </c>
      <c r="C2349" s="143" t="n">
        <v>11171</v>
      </c>
      <c r="D2349" s="143" t="s">
        <v>74</v>
      </c>
      <c r="E2349" s="143" t="s">
        <v>479</v>
      </c>
      <c r="F2349" s="144" t="n">
        <v>200025889163</v>
      </c>
      <c r="G2349" s="144" t="s">
        <v>276</v>
      </c>
      <c r="H2349" s="144" t="n">
        <v>35</v>
      </c>
      <c r="I2349" s="144" t="s">
        <v>148</v>
      </c>
      <c r="J2349" s="6" t="n">
        <v>45074.9964351852</v>
      </c>
      <c r="K2349" s="1" t="n">
        <v>3</v>
      </c>
      <c r="L2349" s="144" t="n">
        <v>35</v>
      </c>
      <c r="M2349" s="1" t="n">
        <v>80</v>
      </c>
      <c r="N2349" s="1" t="n">
        <v>80</v>
      </c>
      <c r="O2349" s="149" t="n">
        <v>23</v>
      </c>
    </row>
    <row r="2350" customFormat="false" ht="14.25" hidden="false" customHeight="false" outlineLevel="0" collapsed="false">
      <c r="A2350" s="1" t="n">
        <v>219</v>
      </c>
      <c r="B2350" s="1" t="s">
        <v>490</v>
      </c>
      <c r="C2350" s="143" t="n">
        <v>11171</v>
      </c>
      <c r="D2350" s="143" t="s">
        <v>74</v>
      </c>
      <c r="E2350" s="143" t="s">
        <v>479</v>
      </c>
      <c r="F2350" s="144" t="n">
        <v>200025889163</v>
      </c>
      <c r="G2350" s="144" t="s">
        <v>276</v>
      </c>
      <c r="H2350" s="144" t="n">
        <v>35</v>
      </c>
      <c r="I2350" s="144" t="s">
        <v>148</v>
      </c>
      <c r="J2350" s="6" t="n">
        <v>45074.9968518519</v>
      </c>
      <c r="K2350" s="1" t="n">
        <v>1</v>
      </c>
      <c r="L2350" s="144" t="n">
        <v>35</v>
      </c>
      <c r="M2350" s="1" t="n">
        <v>80</v>
      </c>
      <c r="N2350" s="1" t="n">
        <v>80</v>
      </c>
      <c r="O2350" s="149" t="n">
        <v>24</v>
      </c>
    </row>
    <row r="2351" customFormat="false" ht="14.25" hidden="false" customHeight="false" outlineLevel="0" collapsed="false">
      <c r="A2351" s="1" t="n">
        <v>220</v>
      </c>
      <c r="B2351" s="1" t="s">
        <v>490</v>
      </c>
      <c r="C2351" s="143" t="n">
        <v>11171</v>
      </c>
      <c r="D2351" s="143" t="s">
        <v>74</v>
      </c>
      <c r="E2351" s="143" t="s">
        <v>479</v>
      </c>
      <c r="F2351" s="144" t="n">
        <v>200025889163</v>
      </c>
      <c r="G2351" s="144" t="s">
        <v>276</v>
      </c>
      <c r="H2351" s="144" t="n">
        <v>35</v>
      </c>
      <c r="I2351" s="144" t="s">
        <v>148</v>
      </c>
      <c r="J2351" s="6" t="n">
        <v>45075.005</v>
      </c>
      <c r="K2351" s="1" t="n">
        <v>1</v>
      </c>
      <c r="L2351" s="144" t="n">
        <v>35</v>
      </c>
      <c r="M2351" s="1" t="n">
        <v>80</v>
      </c>
      <c r="N2351" s="1" t="n">
        <v>80</v>
      </c>
      <c r="O2351" s="149" t="n">
        <v>25</v>
      </c>
    </row>
    <row r="2352" customFormat="false" ht="14.25" hidden="false" customHeight="false" outlineLevel="0" collapsed="false">
      <c r="A2352" s="1" t="n">
        <v>221</v>
      </c>
      <c r="B2352" s="1" t="s">
        <v>490</v>
      </c>
      <c r="C2352" s="143" t="n">
        <v>11171</v>
      </c>
      <c r="D2352" s="143" t="s">
        <v>74</v>
      </c>
      <c r="E2352" s="143" t="s">
        <v>479</v>
      </c>
      <c r="F2352" s="144" t="n">
        <v>200025889163</v>
      </c>
      <c r="G2352" s="144" t="s">
        <v>276</v>
      </c>
      <c r="H2352" s="144" t="n">
        <v>35</v>
      </c>
      <c r="I2352" s="144" t="s">
        <v>148</v>
      </c>
      <c r="J2352" s="6" t="n">
        <v>45075.0054050926</v>
      </c>
      <c r="K2352" s="1" t="n">
        <v>2</v>
      </c>
      <c r="L2352" s="144" t="n">
        <v>35</v>
      </c>
      <c r="M2352" s="1" t="n">
        <v>80</v>
      </c>
      <c r="N2352" s="1" t="n">
        <v>80</v>
      </c>
      <c r="O2352" s="149" t="n">
        <v>26</v>
      </c>
    </row>
    <row r="2353" customFormat="false" ht="14.25" hidden="false" customHeight="false" outlineLevel="0" collapsed="false">
      <c r="A2353" s="1" t="n">
        <v>222</v>
      </c>
      <c r="B2353" s="1" t="s">
        <v>490</v>
      </c>
      <c r="C2353" s="143" t="n">
        <v>11171</v>
      </c>
      <c r="D2353" s="143" t="s">
        <v>74</v>
      </c>
      <c r="E2353" s="143" t="s">
        <v>479</v>
      </c>
      <c r="F2353" s="144" t="n">
        <v>200025889163</v>
      </c>
      <c r="G2353" s="144" t="s">
        <v>276</v>
      </c>
      <c r="H2353" s="144" t="n">
        <v>35</v>
      </c>
      <c r="I2353" s="144" t="s">
        <v>148</v>
      </c>
      <c r="J2353" s="6" t="n">
        <v>45075.0056712963</v>
      </c>
      <c r="K2353" s="1" t="n">
        <v>3</v>
      </c>
      <c r="L2353" s="144" t="n">
        <v>35</v>
      </c>
      <c r="M2353" s="1" t="n">
        <v>80</v>
      </c>
      <c r="N2353" s="1" t="n">
        <v>80</v>
      </c>
      <c r="O2353" s="149" t="n">
        <v>27</v>
      </c>
    </row>
    <row r="2354" customFormat="false" ht="14.25" hidden="false" customHeight="false" outlineLevel="0" collapsed="false">
      <c r="A2354" s="1" t="n">
        <v>223</v>
      </c>
      <c r="B2354" s="1" t="s">
        <v>490</v>
      </c>
      <c r="C2354" s="143" t="n">
        <v>11171</v>
      </c>
      <c r="D2354" s="143" t="s">
        <v>74</v>
      </c>
      <c r="E2354" s="143" t="s">
        <v>479</v>
      </c>
      <c r="F2354" s="144" t="n">
        <v>200025889163</v>
      </c>
      <c r="G2354" s="144" t="s">
        <v>276</v>
      </c>
      <c r="H2354" s="144" t="n">
        <v>35</v>
      </c>
      <c r="I2354" s="144" t="s">
        <v>148</v>
      </c>
      <c r="J2354" s="6" t="n">
        <v>45075.0060763889</v>
      </c>
      <c r="K2354" s="1" t="n">
        <v>3</v>
      </c>
      <c r="L2354" s="144" t="n">
        <v>35</v>
      </c>
      <c r="M2354" s="1" t="n">
        <v>80</v>
      </c>
      <c r="N2354" s="1" t="n">
        <v>80</v>
      </c>
      <c r="O2354" s="149" t="n">
        <v>28</v>
      </c>
    </row>
    <row r="2355" customFormat="false" ht="14.25" hidden="false" customHeight="false" outlineLevel="0" collapsed="false">
      <c r="A2355" s="1" t="n">
        <v>224</v>
      </c>
      <c r="B2355" s="1" t="s">
        <v>490</v>
      </c>
      <c r="C2355" s="143" t="n">
        <v>11171</v>
      </c>
      <c r="D2355" s="143" t="s">
        <v>74</v>
      </c>
      <c r="E2355" s="143" t="s">
        <v>479</v>
      </c>
      <c r="F2355" s="144" t="n">
        <v>200025889163</v>
      </c>
      <c r="G2355" s="144" t="s">
        <v>276</v>
      </c>
      <c r="H2355" s="144" t="n">
        <v>35</v>
      </c>
      <c r="I2355" s="144" t="s">
        <v>148</v>
      </c>
      <c r="J2355" s="6" t="n">
        <v>45075.0063773148</v>
      </c>
      <c r="K2355" s="1" t="n">
        <v>3</v>
      </c>
      <c r="L2355" s="144" t="n">
        <v>35</v>
      </c>
      <c r="M2355" s="1" t="n">
        <v>80</v>
      </c>
      <c r="N2355" s="1" t="n">
        <v>80</v>
      </c>
      <c r="O2355" s="149" t="n">
        <v>29</v>
      </c>
    </row>
    <row r="2356" customFormat="false" ht="14.25" hidden="false" customHeight="false" outlineLevel="0" collapsed="false">
      <c r="A2356" s="1" t="n">
        <v>225</v>
      </c>
      <c r="B2356" s="1" t="s">
        <v>490</v>
      </c>
      <c r="C2356" s="143" t="n">
        <v>11171</v>
      </c>
      <c r="D2356" s="143" t="s">
        <v>74</v>
      </c>
      <c r="E2356" s="143" t="s">
        <v>479</v>
      </c>
      <c r="F2356" s="144" t="n">
        <v>200025889163</v>
      </c>
      <c r="G2356" s="144" t="s">
        <v>276</v>
      </c>
      <c r="H2356" s="144" t="n">
        <v>35</v>
      </c>
      <c r="I2356" s="144" t="s">
        <v>148</v>
      </c>
      <c r="J2356" s="6" t="n">
        <v>45075.0073032407</v>
      </c>
      <c r="K2356" s="1" t="n">
        <v>4</v>
      </c>
      <c r="L2356" s="144" t="n">
        <v>35</v>
      </c>
      <c r="M2356" s="1" t="n">
        <v>80</v>
      </c>
      <c r="N2356" s="1" t="n">
        <v>80</v>
      </c>
      <c r="O2356" s="149" t="n">
        <v>30</v>
      </c>
    </row>
    <row r="2357" customFormat="false" ht="14.25" hidden="false" customHeight="false" outlineLevel="0" collapsed="false">
      <c r="A2357" s="1" t="n">
        <v>226</v>
      </c>
      <c r="B2357" s="1" t="s">
        <v>490</v>
      </c>
      <c r="C2357" s="143" t="n">
        <v>11171</v>
      </c>
      <c r="D2357" s="143" t="s">
        <v>74</v>
      </c>
      <c r="E2357" s="143" t="s">
        <v>479</v>
      </c>
      <c r="F2357" s="144" t="n">
        <v>200025889163</v>
      </c>
      <c r="G2357" s="144" t="s">
        <v>276</v>
      </c>
      <c r="H2357" s="144" t="n">
        <v>35</v>
      </c>
      <c r="I2357" s="144" t="s">
        <v>148</v>
      </c>
      <c r="J2357" s="6" t="n">
        <v>45075.0080671296</v>
      </c>
      <c r="K2357" s="1" t="n">
        <v>2</v>
      </c>
      <c r="L2357" s="144" t="n">
        <v>35</v>
      </c>
      <c r="M2357" s="1" t="n">
        <v>80</v>
      </c>
      <c r="N2357" s="1" t="n">
        <v>80</v>
      </c>
      <c r="O2357" s="149" t="n">
        <v>31</v>
      </c>
    </row>
    <row r="2358" customFormat="false" ht="14.25" hidden="false" customHeight="false" outlineLevel="0" collapsed="false">
      <c r="A2358" s="1" t="n">
        <v>227</v>
      </c>
      <c r="B2358" s="1" t="s">
        <v>490</v>
      </c>
      <c r="C2358" s="143" t="n">
        <v>11171</v>
      </c>
      <c r="D2358" s="143" t="s">
        <v>74</v>
      </c>
      <c r="E2358" s="143" t="s">
        <v>479</v>
      </c>
      <c r="F2358" s="144" t="n">
        <v>200025889163</v>
      </c>
      <c r="G2358" s="144" t="s">
        <v>276</v>
      </c>
      <c r="H2358" s="144" t="n">
        <v>35</v>
      </c>
      <c r="I2358" s="144" t="s">
        <v>148</v>
      </c>
      <c r="J2358" s="6" t="n">
        <v>45075.008287037</v>
      </c>
      <c r="K2358" s="1" t="n">
        <v>1</v>
      </c>
      <c r="L2358" s="144" t="n">
        <v>35</v>
      </c>
      <c r="M2358" s="1" t="n">
        <v>80</v>
      </c>
      <c r="N2358" s="1" t="n">
        <v>80</v>
      </c>
      <c r="O2358" s="149" t="n">
        <v>32</v>
      </c>
    </row>
    <row r="2359" customFormat="false" ht="14.25" hidden="false" customHeight="false" outlineLevel="0" collapsed="false">
      <c r="A2359" s="1" t="n">
        <v>228</v>
      </c>
      <c r="B2359" s="1" t="s">
        <v>490</v>
      </c>
      <c r="C2359" s="143" t="n">
        <v>11171</v>
      </c>
      <c r="D2359" s="143" t="s">
        <v>74</v>
      </c>
      <c r="E2359" s="143" t="s">
        <v>479</v>
      </c>
      <c r="F2359" s="144" t="n">
        <v>200025889163</v>
      </c>
      <c r="G2359" s="144" t="s">
        <v>276</v>
      </c>
      <c r="H2359" s="144" t="n">
        <v>35</v>
      </c>
      <c r="I2359" s="144" t="s">
        <v>148</v>
      </c>
      <c r="J2359" s="6" t="n">
        <v>45075.0086574074</v>
      </c>
      <c r="K2359" s="1" t="n">
        <v>1</v>
      </c>
      <c r="L2359" s="144" t="n">
        <v>35</v>
      </c>
      <c r="M2359" s="1" t="n">
        <v>80</v>
      </c>
      <c r="N2359" s="1" t="n">
        <v>80</v>
      </c>
      <c r="O2359" s="149" t="n">
        <v>33</v>
      </c>
    </row>
    <row r="2360" customFormat="false" ht="14.25" hidden="false" customHeight="false" outlineLevel="0" collapsed="false">
      <c r="A2360" s="1" t="n">
        <v>229</v>
      </c>
      <c r="B2360" s="1" t="s">
        <v>490</v>
      </c>
      <c r="C2360" s="143" t="n">
        <v>11171</v>
      </c>
      <c r="D2360" s="143" t="s">
        <v>74</v>
      </c>
      <c r="E2360" s="143" t="s">
        <v>479</v>
      </c>
      <c r="F2360" s="144" t="n">
        <v>200025889163</v>
      </c>
      <c r="G2360" s="144" t="s">
        <v>276</v>
      </c>
      <c r="H2360" s="144" t="n">
        <v>35</v>
      </c>
      <c r="I2360" s="144" t="s">
        <v>148</v>
      </c>
      <c r="J2360" s="6" t="n">
        <v>45075.0089467593</v>
      </c>
      <c r="K2360" s="1" t="n">
        <v>3</v>
      </c>
      <c r="L2360" s="144" t="n">
        <v>35</v>
      </c>
      <c r="M2360" s="1" t="n">
        <v>80</v>
      </c>
      <c r="N2360" s="1" t="n">
        <v>80</v>
      </c>
      <c r="O2360" s="149" t="n">
        <v>34</v>
      </c>
    </row>
    <row r="2361" customFormat="false" ht="14.25" hidden="false" customHeight="false" outlineLevel="0" collapsed="false">
      <c r="A2361" s="1" t="n">
        <v>230</v>
      </c>
      <c r="B2361" s="1" t="s">
        <v>490</v>
      </c>
      <c r="C2361" s="143" t="n">
        <v>11171</v>
      </c>
      <c r="D2361" s="143" t="s">
        <v>74</v>
      </c>
      <c r="E2361" s="143" t="s">
        <v>479</v>
      </c>
      <c r="F2361" s="144" t="n">
        <v>200025889163</v>
      </c>
      <c r="G2361" s="144" t="s">
        <v>276</v>
      </c>
      <c r="H2361" s="144" t="n">
        <v>35</v>
      </c>
      <c r="I2361" s="144" t="s">
        <v>148</v>
      </c>
      <c r="J2361" s="6" t="n">
        <v>45075.0092013889</v>
      </c>
      <c r="K2361" s="1" t="n">
        <v>1</v>
      </c>
      <c r="L2361" s="144" t="n">
        <v>35</v>
      </c>
      <c r="M2361" s="1" t="n">
        <v>80</v>
      </c>
      <c r="N2361" s="1" t="n">
        <v>80</v>
      </c>
      <c r="O2361" s="149" t="n">
        <v>35</v>
      </c>
    </row>
    <row r="2362" customFormat="false" ht="14.25" hidden="false" customHeight="false" outlineLevel="0" collapsed="false">
      <c r="A2362" s="1" t="n">
        <v>231</v>
      </c>
      <c r="B2362" s="1" t="s">
        <v>490</v>
      </c>
      <c r="C2362" s="143" t="n">
        <v>11171</v>
      </c>
      <c r="D2362" s="143" t="s">
        <v>74</v>
      </c>
      <c r="E2362" s="143" t="s">
        <v>479</v>
      </c>
      <c r="F2362" s="144" t="n">
        <v>200025889163</v>
      </c>
      <c r="G2362" s="144" t="s">
        <v>276</v>
      </c>
      <c r="H2362" s="144" t="n">
        <v>35</v>
      </c>
      <c r="I2362" s="144" t="s">
        <v>148</v>
      </c>
      <c r="J2362" s="6" t="n">
        <v>45075.0124652778</v>
      </c>
      <c r="K2362" s="1" t="n">
        <v>2</v>
      </c>
      <c r="L2362" s="144" t="n">
        <v>35</v>
      </c>
      <c r="M2362" s="1" t="n">
        <v>80</v>
      </c>
      <c r="N2362" s="1" t="n">
        <v>80</v>
      </c>
      <c r="O2362" s="149" t="n">
        <v>36</v>
      </c>
    </row>
    <row r="2363" customFormat="false" ht="14.25" hidden="false" customHeight="false" outlineLevel="0" collapsed="false">
      <c r="A2363" s="1" t="n">
        <v>232</v>
      </c>
      <c r="B2363" s="1" t="s">
        <v>490</v>
      </c>
      <c r="C2363" s="143" t="n">
        <v>11171</v>
      </c>
      <c r="D2363" s="143" t="s">
        <v>74</v>
      </c>
      <c r="E2363" s="143" t="s">
        <v>479</v>
      </c>
      <c r="F2363" s="144" t="n">
        <v>200025889163</v>
      </c>
      <c r="G2363" s="144" t="s">
        <v>276</v>
      </c>
      <c r="H2363" s="144" t="n">
        <v>35</v>
      </c>
      <c r="I2363" s="144" t="s">
        <v>148</v>
      </c>
      <c r="J2363" s="6" t="n">
        <v>45075.0275231482</v>
      </c>
      <c r="K2363" s="1" t="n">
        <v>2</v>
      </c>
      <c r="L2363" s="144" t="n">
        <v>35</v>
      </c>
      <c r="M2363" s="1" t="n">
        <v>80</v>
      </c>
      <c r="N2363" s="1" t="n">
        <v>80</v>
      </c>
      <c r="O2363" s="149" t="n">
        <v>37</v>
      </c>
    </row>
    <row r="2364" customFormat="false" ht="14.25" hidden="false" customHeight="false" outlineLevel="0" collapsed="false">
      <c r="A2364" s="1" t="n">
        <v>233</v>
      </c>
      <c r="B2364" s="1" t="s">
        <v>490</v>
      </c>
      <c r="C2364" s="143" t="n">
        <v>11171</v>
      </c>
      <c r="D2364" s="143" t="s">
        <v>74</v>
      </c>
      <c r="E2364" s="143" t="s">
        <v>479</v>
      </c>
      <c r="F2364" s="144" t="n">
        <v>200025889163</v>
      </c>
      <c r="G2364" s="144" t="s">
        <v>276</v>
      </c>
      <c r="H2364" s="144" t="n">
        <v>35</v>
      </c>
      <c r="I2364" s="144" t="s">
        <v>148</v>
      </c>
      <c r="J2364" s="6" t="n">
        <v>45075.0301736111</v>
      </c>
      <c r="K2364" s="1" t="n">
        <v>3</v>
      </c>
      <c r="L2364" s="144" t="n">
        <v>35</v>
      </c>
      <c r="M2364" s="1" t="n">
        <v>80</v>
      </c>
      <c r="N2364" s="1" t="n">
        <v>80</v>
      </c>
      <c r="O2364" s="149" t="n">
        <v>38</v>
      </c>
    </row>
    <row r="2365" customFormat="false" ht="14.25" hidden="false" customHeight="false" outlineLevel="0" collapsed="false">
      <c r="A2365" s="1" t="n">
        <v>234</v>
      </c>
      <c r="B2365" s="1" t="s">
        <v>490</v>
      </c>
      <c r="C2365" s="143" t="n">
        <v>11171</v>
      </c>
      <c r="D2365" s="143" t="s">
        <v>74</v>
      </c>
      <c r="E2365" s="143" t="s">
        <v>479</v>
      </c>
      <c r="F2365" s="144" t="n">
        <v>200025889163</v>
      </c>
      <c r="G2365" s="144" t="s">
        <v>276</v>
      </c>
      <c r="H2365" s="144" t="n">
        <v>35</v>
      </c>
      <c r="I2365" s="144" t="s">
        <v>148</v>
      </c>
      <c r="J2365" s="6" t="n">
        <v>45075.0308101852</v>
      </c>
      <c r="K2365" s="1" t="n">
        <v>5</v>
      </c>
      <c r="L2365" s="144" t="n">
        <v>35</v>
      </c>
      <c r="M2365" s="1" t="n">
        <v>80</v>
      </c>
      <c r="N2365" s="1" t="n">
        <v>80</v>
      </c>
      <c r="O2365" s="149" t="n">
        <v>39</v>
      </c>
    </row>
    <row r="2366" customFormat="false" ht="14.25" hidden="false" customHeight="false" outlineLevel="0" collapsed="false">
      <c r="A2366" s="1" t="n">
        <v>235</v>
      </c>
      <c r="B2366" s="1" t="s">
        <v>490</v>
      </c>
      <c r="C2366" s="143" t="n">
        <v>11171</v>
      </c>
      <c r="D2366" s="143" t="s">
        <v>74</v>
      </c>
      <c r="E2366" s="143" t="s">
        <v>479</v>
      </c>
      <c r="F2366" s="144" t="n">
        <v>200025889163</v>
      </c>
      <c r="G2366" s="144" t="s">
        <v>276</v>
      </c>
      <c r="H2366" s="144" t="n">
        <v>35</v>
      </c>
      <c r="I2366" s="144" t="s">
        <v>148</v>
      </c>
      <c r="J2366" s="6" t="n">
        <v>45075.0325462963</v>
      </c>
      <c r="K2366" s="1" t="n">
        <v>1</v>
      </c>
      <c r="L2366" s="144" t="n">
        <v>35</v>
      </c>
      <c r="M2366" s="1" t="n">
        <v>80</v>
      </c>
      <c r="N2366" s="1" t="n">
        <v>80</v>
      </c>
      <c r="O2366" s="149" t="n">
        <v>40</v>
      </c>
    </row>
    <row r="2367" customFormat="false" ht="14.25" hidden="false" customHeight="false" outlineLevel="0" collapsed="false">
      <c r="A2367" s="1" t="n">
        <v>236</v>
      </c>
      <c r="B2367" s="1" t="s">
        <v>490</v>
      </c>
      <c r="C2367" s="143" t="n">
        <v>11171</v>
      </c>
      <c r="D2367" s="143" t="s">
        <v>74</v>
      </c>
      <c r="E2367" s="143" t="s">
        <v>479</v>
      </c>
      <c r="F2367" s="144" t="n">
        <v>200025889163</v>
      </c>
      <c r="G2367" s="144" t="s">
        <v>276</v>
      </c>
      <c r="H2367" s="144" t="n">
        <v>35</v>
      </c>
      <c r="I2367" s="144" t="s">
        <v>148</v>
      </c>
      <c r="J2367" s="6" t="n">
        <v>45075.0333912037</v>
      </c>
      <c r="K2367" s="1" t="n">
        <v>1</v>
      </c>
      <c r="L2367" s="144" t="n">
        <v>35</v>
      </c>
      <c r="M2367" s="1" t="n">
        <v>80</v>
      </c>
      <c r="N2367" s="1" t="n">
        <v>80</v>
      </c>
      <c r="O2367" s="149" t="n">
        <v>41</v>
      </c>
    </row>
    <row r="2368" customFormat="false" ht="14.25" hidden="false" customHeight="false" outlineLevel="0" collapsed="false">
      <c r="A2368" s="1" t="n">
        <v>237</v>
      </c>
      <c r="B2368" s="1" t="s">
        <v>490</v>
      </c>
      <c r="C2368" s="143" t="n">
        <v>11171</v>
      </c>
      <c r="D2368" s="143" t="s">
        <v>74</v>
      </c>
      <c r="E2368" s="143" t="s">
        <v>479</v>
      </c>
      <c r="F2368" s="144" t="n">
        <v>200025889163</v>
      </c>
      <c r="G2368" s="144" t="s">
        <v>276</v>
      </c>
      <c r="H2368" s="144" t="n">
        <v>35</v>
      </c>
      <c r="I2368" s="144" t="s">
        <v>148</v>
      </c>
      <c r="J2368" s="6" t="n">
        <v>45075.0335185185</v>
      </c>
      <c r="K2368" s="1" t="n">
        <v>1</v>
      </c>
      <c r="L2368" s="144" t="n">
        <v>35</v>
      </c>
      <c r="M2368" s="1" t="n">
        <v>80</v>
      </c>
      <c r="N2368" s="1" t="n">
        <v>80</v>
      </c>
      <c r="O2368" s="149" t="n">
        <v>42</v>
      </c>
    </row>
    <row r="2369" customFormat="false" ht="14.25" hidden="false" customHeight="false" outlineLevel="0" collapsed="false">
      <c r="A2369" s="1" t="n">
        <v>238</v>
      </c>
      <c r="B2369" s="1" t="s">
        <v>490</v>
      </c>
      <c r="C2369" s="143" t="n">
        <v>11171</v>
      </c>
      <c r="D2369" s="143" t="s">
        <v>74</v>
      </c>
      <c r="E2369" s="143" t="s">
        <v>479</v>
      </c>
      <c r="F2369" s="144" t="n">
        <v>200025889163</v>
      </c>
      <c r="G2369" s="144" t="s">
        <v>276</v>
      </c>
      <c r="H2369" s="144" t="n">
        <v>35</v>
      </c>
      <c r="I2369" s="144" t="s">
        <v>148</v>
      </c>
      <c r="J2369" s="6" t="n">
        <v>45075.0816203704</v>
      </c>
      <c r="K2369" s="1" t="n">
        <v>2</v>
      </c>
      <c r="L2369" s="144" t="n">
        <v>35</v>
      </c>
      <c r="M2369" s="1" t="n">
        <v>80</v>
      </c>
      <c r="N2369" s="1" t="n">
        <v>80</v>
      </c>
      <c r="O2369" s="149" t="n">
        <v>43</v>
      </c>
    </row>
    <row r="2370" customFormat="false" ht="14.25" hidden="false" customHeight="false" outlineLevel="0" collapsed="false">
      <c r="A2370" s="1" t="n">
        <v>239</v>
      </c>
      <c r="B2370" s="1" t="s">
        <v>490</v>
      </c>
      <c r="C2370" s="143" t="n">
        <v>11171</v>
      </c>
      <c r="D2370" s="143" t="s">
        <v>74</v>
      </c>
      <c r="E2370" s="143" t="s">
        <v>479</v>
      </c>
      <c r="F2370" s="144" t="n">
        <v>200025889163</v>
      </c>
      <c r="G2370" s="144" t="s">
        <v>276</v>
      </c>
      <c r="H2370" s="144" t="n">
        <v>35</v>
      </c>
      <c r="I2370" s="144" t="s">
        <v>148</v>
      </c>
      <c r="J2370" s="6" t="n">
        <v>45075.082349537</v>
      </c>
      <c r="K2370" s="1" t="n">
        <v>2</v>
      </c>
      <c r="L2370" s="144" t="n">
        <v>35</v>
      </c>
      <c r="M2370" s="1" t="n">
        <v>80</v>
      </c>
      <c r="N2370" s="1" t="n">
        <v>80</v>
      </c>
      <c r="O2370" s="149" t="n">
        <v>44</v>
      </c>
    </row>
    <row r="2371" customFormat="false" ht="14.25" hidden="false" customHeight="false" outlineLevel="0" collapsed="false">
      <c r="A2371" s="1" t="n">
        <v>240</v>
      </c>
      <c r="B2371" s="1" t="s">
        <v>490</v>
      </c>
      <c r="C2371" s="143" t="n">
        <v>11171</v>
      </c>
      <c r="D2371" s="143" t="s">
        <v>74</v>
      </c>
      <c r="E2371" s="143" t="s">
        <v>479</v>
      </c>
      <c r="F2371" s="144" t="n">
        <v>200025889163</v>
      </c>
      <c r="G2371" s="144" t="s">
        <v>276</v>
      </c>
      <c r="H2371" s="144" t="n">
        <v>35</v>
      </c>
      <c r="I2371" s="144" t="s">
        <v>148</v>
      </c>
      <c r="J2371" s="6" t="n">
        <v>45075.0831481482</v>
      </c>
      <c r="K2371" s="1" t="n">
        <v>1</v>
      </c>
      <c r="L2371" s="144" t="n">
        <v>35</v>
      </c>
      <c r="M2371" s="1" t="n">
        <v>80</v>
      </c>
      <c r="N2371" s="1" t="n">
        <v>80</v>
      </c>
      <c r="O2371" s="149" t="n">
        <v>45</v>
      </c>
    </row>
    <row r="2372" customFormat="false" ht="14.25" hidden="false" customHeight="false" outlineLevel="0" collapsed="false">
      <c r="A2372" s="1" t="n">
        <v>241</v>
      </c>
      <c r="B2372" s="1" t="s">
        <v>490</v>
      </c>
      <c r="C2372" s="143" t="n">
        <v>11171</v>
      </c>
      <c r="D2372" s="143" t="s">
        <v>74</v>
      </c>
      <c r="E2372" s="143" t="s">
        <v>479</v>
      </c>
      <c r="F2372" s="144" t="n">
        <v>200025889163</v>
      </c>
      <c r="G2372" s="144" t="s">
        <v>276</v>
      </c>
      <c r="H2372" s="144" t="n">
        <v>35</v>
      </c>
      <c r="I2372" s="144" t="s">
        <v>148</v>
      </c>
      <c r="J2372" s="6" t="n">
        <v>45075.0861111111</v>
      </c>
      <c r="K2372" s="1" t="n">
        <v>2</v>
      </c>
      <c r="L2372" s="144" t="n">
        <v>35</v>
      </c>
      <c r="M2372" s="1" t="n">
        <v>80</v>
      </c>
      <c r="N2372" s="1" t="n">
        <v>80</v>
      </c>
      <c r="O2372" s="149" t="n">
        <v>46</v>
      </c>
    </row>
    <row r="2373" customFormat="false" ht="14.25" hidden="false" customHeight="false" outlineLevel="0" collapsed="false">
      <c r="A2373" s="1" t="n">
        <v>242</v>
      </c>
      <c r="B2373" s="1" t="s">
        <v>490</v>
      </c>
      <c r="C2373" s="143" t="n">
        <v>11171</v>
      </c>
      <c r="D2373" s="143" t="s">
        <v>74</v>
      </c>
      <c r="E2373" s="143" t="s">
        <v>479</v>
      </c>
      <c r="F2373" s="144" t="n">
        <v>200025889163</v>
      </c>
      <c r="G2373" s="144" t="s">
        <v>276</v>
      </c>
      <c r="H2373" s="144" t="n">
        <v>35</v>
      </c>
      <c r="I2373" s="144" t="s">
        <v>148</v>
      </c>
      <c r="J2373" s="6" t="n">
        <v>45075.0865162037</v>
      </c>
      <c r="K2373" s="1" t="n">
        <v>6</v>
      </c>
      <c r="L2373" s="144" t="n">
        <v>35</v>
      </c>
      <c r="M2373" s="1" t="n">
        <v>80</v>
      </c>
      <c r="N2373" s="1" t="n">
        <v>80</v>
      </c>
      <c r="O2373" s="149" t="n">
        <v>47</v>
      </c>
    </row>
    <row r="2374" customFormat="false" ht="14.25" hidden="false" customHeight="false" outlineLevel="0" collapsed="false">
      <c r="A2374" s="1" t="n">
        <v>243</v>
      </c>
      <c r="B2374" s="1" t="s">
        <v>490</v>
      </c>
      <c r="C2374" s="143" t="n">
        <v>11171</v>
      </c>
      <c r="D2374" s="143" t="s">
        <v>74</v>
      </c>
      <c r="E2374" s="143" t="s">
        <v>479</v>
      </c>
      <c r="F2374" s="144" t="n">
        <v>200025889163</v>
      </c>
      <c r="G2374" s="144" t="s">
        <v>276</v>
      </c>
      <c r="H2374" s="144" t="n">
        <v>35</v>
      </c>
      <c r="I2374" s="144" t="s">
        <v>148</v>
      </c>
      <c r="J2374" s="6" t="n">
        <v>45075.0874537037</v>
      </c>
      <c r="K2374" s="1" t="n">
        <v>6</v>
      </c>
      <c r="L2374" s="144" t="n">
        <v>35</v>
      </c>
      <c r="M2374" s="1" t="n">
        <v>80</v>
      </c>
      <c r="N2374" s="1" t="n">
        <v>80</v>
      </c>
      <c r="O2374" s="149" t="n">
        <v>48</v>
      </c>
    </row>
    <row r="2375" customFormat="false" ht="14.25" hidden="false" customHeight="false" outlineLevel="0" collapsed="false">
      <c r="A2375" s="1" t="n">
        <v>244</v>
      </c>
      <c r="B2375" s="1" t="s">
        <v>490</v>
      </c>
      <c r="C2375" s="143" t="n">
        <v>11171</v>
      </c>
      <c r="D2375" s="143" t="s">
        <v>74</v>
      </c>
      <c r="E2375" s="143" t="s">
        <v>479</v>
      </c>
      <c r="F2375" s="144" t="n">
        <v>200025889163</v>
      </c>
      <c r="G2375" s="144" t="s">
        <v>276</v>
      </c>
      <c r="H2375" s="144" t="n">
        <v>35</v>
      </c>
      <c r="I2375" s="144" t="s">
        <v>148</v>
      </c>
      <c r="J2375" s="6" t="n">
        <v>45075.090625</v>
      </c>
      <c r="K2375" s="1" t="n">
        <v>1</v>
      </c>
      <c r="L2375" s="144" t="n">
        <v>35</v>
      </c>
      <c r="M2375" s="1" t="n">
        <v>80</v>
      </c>
      <c r="N2375" s="1" t="n">
        <v>80</v>
      </c>
      <c r="O2375" s="149" t="n">
        <v>49</v>
      </c>
    </row>
    <row r="2376" customFormat="false" ht="14.25" hidden="false" customHeight="false" outlineLevel="0" collapsed="false">
      <c r="A2376" s="1" t="n">
        <v>246</v>
      </c>
      <c r="B2376" s="1" t="s">
        <v>490</v>
      </c>
      <c r="C2376" s="143" t="n">
        <v>11171</v>
      </c>
      <c r="D2376" s="143" t="s">
        <v>74</v>
      </c>
      <c r="E2376" s="143" t="s">
        <v>479</v>
      </c>
      <c r="F2376" s="144" t="n">
        <v>200025889163</v>
      </c>
      <c r="G2376" s="144" t="s">
        <v>276</v>
      </c>
      <c r="H2376" s="144" t="n">
        <v>35</v>
      </c>
      <c r="I2376" s="144" t="s">
        <v>148</v>
      </c>
      <c r="J2376" s="6" t="n">
        <v>45075.0921990741</v>
      </c>
      <c r="K2376" s="1" t="n">
        <v>1</v>
      </c>
      <c r="L2376" s="144" t="n">
        <v>35</v>
      </c>
      <c r="M2376" s="1" t="n">
        <v>80</v>
      </c>
      <c r="N2376" s="1" t="n">
        <v>80</v>
      </c>
      <c r="O2376" s="149" t="n">
        <v>50</v>
      </c>
    </row>
    <row r="2377" customFormat="false" ht="14.25" hidden="false" customHeight="false" outlineLevel="0" collapsed="false">
      <c r="A2377" s="1" t="n">
        <v>253</v>
      </c>
      <c r="B2377" s="1" t="s">
        <v>490</v>
      </c>
      <c r="C2377" s="143" t="n">
        <v>11171</v>
      </c>
      <c r="D2377" s="143" t="s">
        <v>74</v>
      </c>
      <c r="E2377" s="143" t="s">
        <v>479</v>
      </c>
      <c r="F2377" s="144" t="n">
        <v>200025889163</v>
      </c>
      <c r="G2377" s="144" t="s">
        <v>276</v>
      </c>
      <c r="H2377" s="144" t="n">
        <v>35</v>
      </c>
      <c r="I2377" s="144" t="s">
        <v>148</v>
      </c>
      <c r="J2377" s="6" t="n">
        <v>45075.1524074074</v>
      </c>
      <c r="K2377" s="1" t="n">
        <v>7</v>
      </c>
      <c r="L2377" s="144" t="n">
        <v>35</v>
      </c>
      <c r="M2377" s="1" t="n">
        <v>80</v>
      </c>
      <c r="N2377" s="1" t="n">
        <v>80</v>
      </c>
      <c r="O2377" s="149" t="n">
        <v>51</v>
      </c>
    </row>
    <row r="2378" customFormat="false" ht="14.25" hidden="false" customHeight="false" outlineLevel="0" collapsed="false">
      <c r="A2378" s="1" t="n">
        <v>254</v>
      </c>
      <c r="B2378" s="1" t="s">
        <v>490</v>
      </c>
      <c r="C2378" s="143" t="n">
        <v>11171</v>
      </c>
      <c r="D2378" s="143" t="s">
        <v>74</v>
      </c>
      <c r="E2378" s="143" t="s">
        <v>479</v>
      </c>
      <c r="F2378" s="144" t="n">
        <v>200025889163</v>
      </c>
      <c r="G2378" s="144" t="s">
        <v>276</v>
      </c>
      <c r="H2378" s="144" t="n">
        <v>35</v>
      </c>
      <c r="I2378" s="144" t="s">
        <v>148</v>
      </c>
      <c r="J2378" s="6" t="n">
        <v>45075.1529398148</v>
      </c>
      <c r="K2378" s="1" t="n">
        <v>0</v>
      </c>
      <c r="L2378" s="144" t="n">
        <v>35</v>
      </c>
      <c r="M2378" s="1" t="n">
        <v>80</v>
      </c>
      <c r="N2378" s="1" t="n">
        <v>80</v>
      </c>
      <c r="O2378" s="149" t="n">
        <v>52</v>
      </c>
    </row>
    <row r="2379" customFormat="false" ht="14.25" hidden="false" customHeight="false" outlineLevel="0" collapsed="false">
      <c r="A2379" s="1" t="n">
        <v>255</v>
      </c>
      <c r="B2379" s="1" t="s">
        <v>490</v>
      </c>
      <c r="C2379" s="143" t="n">
        <v>11171</v>
      </c>
      <c r="D2379" s="143" t="s">
        <v>74</v>
      </c>
      <c r="E2379" s="143" t="s">
        <v>479</v>
      </c>
      <c r="F2379" s="144" t="n">
        <v>200025889163</v>
      </c>
      <c r="G2379" s="144" t="s">
        <v>276</v>
      </c>
      <c r="H2379" s="144" t="n">
        <v>35</v>
      </c>
      <c r="I2379" s="144" t="s">
        <v>148</v>
      </c>
      <c r="J2379" s="6" t="n">
        <v>45075.1546527778</v>
      </c>
      <c r="K2379" s="1" t="n">
        <v>3</v>
      </c>
      <c r="L2379" s="144" t="n">
        <v>35</v>
      </c>
      <c r="M2379" s="1" t="n">
        <v>80</v>
      </c>
      <c r="N2379" s="1" t="n">
        <v>80</v>
      </c>
      <c r="O2379" s="149" t="n">
        <v>53</v>
      </c>
    </row>
    <row r="2380" customFormat="false" ht="14.25" hidden="false" customHeight="false" outlineLevel="0" collapsed="false">
      <c r="A2380" s="1" t="n">
        <v>256</v>
      </c>
      <c r="B2380" s="1" t="s">
        <v>490</v>
      </c>
      <c r="C2380" s="143" t="n">
        <v>11171</v>
      </c>
      <c r="D2380" s="143" t="s">
        <v>74</v>
      </c>
      <c r="E2380" s="143" t="s">
        <v>479</v>
      </c>
      <c r="F2380" s="144" t="n">
        <v>200025889163</v>
      </c>
      <c r="G2380" s="144" t="s">
        <v>276</v>
      </c>
      <c r="H2380" s="144" t="n">
        <v>35</v>
      </c>
      <c r="I2380" s="144" t="s">
        <v>148</v>
      </c>
      <c r="J2380" s="6" t="n">
        <v>45075.1551967593</v>
      </c>
      <c r="K2380" s="1" t="n">
        <v>1</v>
      </c>
      <c r="L2380" s="144" t="n">
        <v>35</v>
      </c>
      <c r="M2380" s="1" t="n">
        <v>80</v>
      </c>
      <c r="N2380" s="1" t="n">
        <v>80</v>
      </c>
      <c r="O2380" s="149" t="n">
        <v>54</v>
      </c>
    </row>
    <row r="2381" customFormat="false" ht="14.25" hidden="false" customHeight="false" outlineLevel="0" collapsed="false">
      <c r="A2381" s="1" t="n">
        <v>257</v>
      </c>
      <c r="B2381" s="1" t="s">
        <v>490</v>
      </c>
      <c r="C2381" s="143" t="n">
        <v>11171</v>
      </c>
      <c r="D2381" s="143" t="s">
        <v>74</v>
      </c>
      <c r="E2381" s="143" t="s">
        <v>479</v>
      </c>
      <c r="F2381" s="144" t="n">
        <v>200025889163</v>
      </c>
      <c r="G2381" s="144" t="s">
        <v>276</v>
      </c>
      <c r="H2381" s="144" t="n">
        <v>35</v>
      </c>
      <c r="I2381" s="144" t="s">
        <v>148</v>
      </c>
      <c r="J2381" s="6" t="n">
        <v>45075.1555439815</v>
      </c>
      <c r="K2381" s="1" t="n">
        <v>2</v>
      </c>
      <c r="L2381" s="144" t="n">
        <v>35</v>
      </c>
      <c r="M2381" s="1" t="n">
        <v>80</v>
      </c>
      <c r="N2381" s="1" t="n">
        <v>80</v>
      </c>
      <c r="O2381" s="149" t="n">
        <v>55</v>
      </c>
    </row>
    <row r="2382" customFormat="false" ht="14.25" hidden="false" customHeight="false" outlineLevel="0" collapsed="false">
      <c r="A2382" s="1" t="n">
        <v>258</v>
      </c>
      <c r="B2382" s="1" t="s">
        <v>490</v>
      </c>
      <c r="C2382" s="143" t="n">
        <v>11171</v>
      </c>
      <c r="D2382" s="143" t="s">
        <v>74</v>
      </c>
      <c r="E2382" s="143" t="s">
        <v>479</v>
      </c>
      <c r="F2382" s="144" t="n">
        <v>200025889163</v>
      </c>
      <c r="G2382" s="144" t="s">
        <v>276</v>
      </c>
      <c r="H2382" s="144" t="n">
        <v>35</v>
      </c>
      <c r="I2382" s="144" t="s">
        <v>148</v>
      </c>
      <c r="J2382" s="6" t="n">
        <v>45075.1575462963</v>
      </c>
      <c r="K2382" s="1" t="n">
        <v>1</v>
      </c>
      <c r="L2382" s="144" t="n">
        <v>35</v>
      </c>
      <c r="M2382" s="1" t="n">
        <v>80</v>
      </c>
      <c r="N2382" s="1" t="n">
        <v>80</v>
      </c>
      <c r="O2382" s="149" t="n">
        <v>56</v>
      </c>
    </row>
    <row r="2383" customFormat="false" ht="14.25" hidden="false" customHeight="false" outlineLevel="0" collapsed="false">
      <c r="A2383" s="1" t="n">
        <v>259</v>
      </c>
      <c r="B2383" s="1" t="s">
        <v>490</v>
      </c>
      <c r="C2383" s="143" t="n">
        <v>11171</v>
      </c>
      <c r="D2383" s="143" t="s">
        <v>74</v>
      </c>
      <c r="E2383" s="143" t="s">
        <v>479</v>
      </c>
      <c r="F2383" s="144" t="n">
        <v>200025889163</v>
      </c>
      <c r="G2383" s="144" t="s">
        <v>276</v>
      </c>
      <c r="H2383" s="144" t="n">
        <v>35</v>
      </c>
      <c r="I2383" s="144" t="s">
        <v>148</v>
      </c>
      <c r="J2383" s="6" t="n">
        <v>45075.1575694445</v>
      </c>
      <c r="K2383" s="1" t="n">
        <v>1</v>
      </c>
      <c r="L2383" s="144" t="n">
        <v>35</v>
      </c>
      <c r="M2383" s="1" t="n">
        <v>80</v>
      </c>
      <c r="N2383" s="1" t="n">
        <v>80</v>
      </c>
      <c r="O2383" s="149" t="n">
        <v>57</v>
      </c>
    </row>
    <row r="2384" customFormat="false" ht="14.25" hidden="false" customHeight="false" outlineLevel="0" collapsed="false">
      <c r="A2384" s="1" t="n">
        <v>267</v>
      </c>
      <c r="B2384" s="1" t="s">
        <v>490</v>
      </c>
      <c r="C2384" s="143" t="n">
        <v>11171</v>
      </c>
      <c r="D2384" s="143" t="s">
        <v>74</v>
      </c>
      <c r="E2384" s="143" t="s">
        <v>479</v>
      </c>
      <c r="F2384" s="144" t="n">
        <v>200025889163</v>
      </c>
      <c r="G2384" s="144" t="s">
        <v>276</v>
      </c>
      <c r="H2384" s="144" t="n">
        <v>35</v>
      </c>
      <c r="I2384" s="144" t="s">
        <v>148</v>
      </c>
      <c r="J2384" s="6" t="n">
        <v>45075.2143171296</v>
      </c>
      <c r="K2384" s="1" t="n">
        <v>0</v>
      </c>
      <c r="L2384" s="144" t="n">
        <v>35</v>
      </c>
      <c r="M2384" s="1" t="n">
        <v>80</v>
      </c>
      <c r="N2384" s="1" t="n">
        <v>80</v>
      </c>
      <c r="O2384" s="149" t="n">
        <v>58</v>
      </c>
    </row>
    <row r="2385" customFormat="false" ht="14.25" hidden="false" customHeight="false" outlineLevel="0" collapsed="false">
      <c r="A2385" s="1" t="n">
        <v>268</v>
      </c>
      <c r="B2385" s="1" t="s">
        <v>490</v>
      </c>
      <c r="C2385" s="143" t="n">
        <v>11171</v>
      </c>
      <c r="D2385" s="143" t="s">
        <v>74</v>
      </c>
      <c r="E2385" s="143" t="s">
        <v>479</v>
      </c>
      <c r="F2385" s="144" t="n">
        <v>200025889163</v>
      </c>
      <c r="G2385" s="144" t="s">
        <v>276</v>
      </c>
      <c r="H2385" s="144" t="n">
        <v>35</v>
      </c>
      <c r="I2385" s="144" t="s">
        <v>148</v>
      </c>
      <c r="J2385" s="6" t="n">
        <v>45075.2179976852</v>
      </c>
      <c r="K2385" s="1" t="n">
        <v>1</v>
      </c>
      <c r="L2385" s="144" t="n">
        <v>35</v>
      </c>
      <c r="M2385" s="1" t="n">
        <v>80</v>
      </c>
      <c r="N2385" s="1" t="n">
        <v>80</v>
      </c>
      <c r="O2385" s="149" t="n">
        <v>59</v>
      </c>
    </row>
    <row r="2386" customFormat="false" ht="14.25" hidden="false" customHeight="false" outlineLevel="0" collapsed="false">
      <c r="A2386" s="1" t="n">
        <v>269</v>
      </c>
      <c r="B2386" s="1" t="s">
        <v>490</v>
      </c>
      <c r="C2386" s="143" t="n">
        <v>11171</v>
      </c>
      <c r="D2386" s="143" t="s">
        <v>74</v>
      </c>
      <c r="E2386" s="143" t="s">
        <v>479</v>
      </c>
      <c r="F2386" s="144" t="n">
        <v>200025889163</v>
      </c>
      <c r="G2386" s="144" t="s">
        <v>276</v>
      </c>
      <c r="H2386" s="144" t="n">
        <v>35</v>
      </c>
      <c r="I2386" s="144" t="s">
        <v>148</v>
      </c>
      <c r="J2386" s="6" t="n">
        <v>45075.2187384259</v>
      </c>
      <c r="K2386" s="1" t="n">
        <v>1</v>
      </c>
      <c r="L2386" s="144" t="n">
        <v>35</v>
      </c>
      <c r="M2386" s="1" t="n">
        <v>80</v>
      </c>
      <c r="N2386" s="1" t="n">
        <v>80</v>
      </c>
      <c r="O2386" s="149" t="n">
        <v>60</v>
      </c>
    </row>
    <row r="2387" customFormat="false" ht="14.25" hidden="false" customHeight="false" outlineLevel="0" collapsed="false">
      <c r="A2387" s="1" t="n">
        <v>270</v>
      </c>
      <c r="B2387" s="1" t="s">
        <v>490</v>
      </c>
      <c r="C2387" s="143" t="n">
        <v>11171</v>
      </c>
      <c r="D2387" s="143" t="s">
        <v>74</v>
      </c>
      <c r="E2387" s="143" t="s">
        <v>479</v>
      </c>
      <c r="F2387" s="144" t="n">
        <v>200025889163</v>
      </c>
      <c r="G2387" s="144" t="s">
        <v>276</v>
      </c>
      <c r="H2387" s="144" t="n">
        <v>35</v>
      </c>
      <c r="I2387" s="144" t="s">
        <v>148</v>
      </c>
      <c r="J2387" s="6" t="n">
        <v>45075.2190740741</v>
      </c>
      <c r="K2387" s="1" t="n">
        <v>1</v>
      </c>
      <c r="L2387" s="144" t="n">
        <v>35</v>
      </c>
      <c r="M2387" s="1" t="n">
        <v>80</v>
      </c>
      <c r="N2387" s="1" t="n">
        <v>80</v>
      </c>
      <c r="O2387" s="149" t="n">
        <v>61</v>
      </c>
    </row>
    <row r="2388" customFormat="false" ht="14.25" hidden="false" customHeight="false" outlineLevel="0" collapsed="false">
      <c r="A2388" s="1" t="n">
        <v>271</v>
      </c>
      <c r="B2388" s="1" t="s">
        <v>490</v>
      </c>
      <c r="C2388" s="143" t="n">
        <v>11171</v>
      </c>
      <c r="D2388" s="143" t="s">
        <v>74</v>
      </c>
      <c r="E2388" s="143" t="s">
        <v>479</v>
      </c>
      <c r="F2388" s="144" t="n">
        <v>200025889163</v>
      </c>
      <c r="G2388" s="144" t="s">
        <v>276</v>
      </c>
      <c r="H2388" s="144" t="n">
        <v>35</v>
      </c>
      <c r="I2388" s="144" t="s">
        <v>148</v>
      </c>
      <c r="J2388" s="6" t="n">
        <v>45075.2194328704</v>
      </c>
      <c r="K2388" s="1" t="n">
        <v>3</v>
      </c>
      <c r="L2388" s="144" t="n">
        <v>35</v>
      </c>
      <c r="M2388" s="1" t="n">
        <v>80</v>
      </c>
      <c r="N2388" s="1" t="n">
        <v>80</v>
      </c>
      <c r="O2388" s="149" t="n">
        <v>62</v>
      </c>
    </row>
    <row r="2389" customFormat="false" ht="14.25" hidden="false" customHeight="false" outlineLevel="0" collapsed="false">
      <c r="A2389" s="1" t="n">
        <v>272</v>
      </c>
      <c r="B2389" s="1" t="s">
        <v>490</v>
      </c>
      <c r="C2389" s="143" t="n">
        <v>11171</v>
      </c>
      <c r="D2389" s="143" t="s">
        <v>74</v>
      </c>
      <c r="E2389" s="143" t="s">
        <v>479</v>
      </c>
      <c r="F2389" s="144" t="n">
        <v>200025889163</v>
      </c>
      <c r="G2389" s="144" t="s">
        <v>276</v>
      </c>
      <c r="H2389" s="144" t="n">
        <v>35</v>
      </c>
      <c r="I2389" s="144" t="s">
        <v>148</v>
      </c>
      <c r="J2389" s="6" t="n">
        <v>45075.221875</v>
      </c>
      <c r="K2389" s="1" t="n">
        <v>2</v>
      </c>
      <c r="L2389" s="144" t="n">
        <v>35</v>
      </c>
      <c r="M2389" s="1" t="n">
        <v>80</v>
      </c>
      <c r="N2389" s="1" t="n">
        <v>80</v>
      </c>
      <c r="O2389" s="149" t="n">
        <v>63</v>
      </c>
    </row>
    <row r="2390" customFormat="false" ht="14.25" hidden="false" customHeight="false" outlineLevel="0" collapsed="false">
      <c r="A2390" s="1" t="n">
        <v>273</v>
      </c>
      <c r="B2390" s="1" t="s">
        <v>490</v>
      </c>
      <c r="C2390" s="143" t="n">
        <v>11171</v>
      </c>
      <c r="D2390" s="143" t="s">
        <v>74</v>
      </c>
      <c r="E2390" s="143" t="s">
        <v>479</v>
      </c>
      <c r="F2390" s="144" t="n">
        <v>200025889163</v>
      </c>
      <c r="G2390" s="144" t="s">
        <v>276</v>
      </c>
      <c r="H2390" s="144" t="n">
        <v>35</v>
      </c>
      <c r="I2390" s="144" t="s">
        <v>148</v>
      </c>
      <c r="J2390" s="6" t="n">
        <v>45075.2234375</v>
      </c>
      <c r="K2390" s="1" t="n">
        <v>1</v>
      </c>
      <c r="L2390" s="144" t="n">
        <v>35</v>
      </c>
      <c r="M2390" s="1" t="n">
        <v>80</v>
      </c>
      <c r="N2390" s="1" t="n">
        <v>80</v>
      </c>
      <c r="O2390" s="149" t="n">
        <v>64</v>
      </c>
    </row>
    <row r="2391" customFormat="false" ht="14.25" hidden="false" customHeight="false" outlineLevel="0" collapsed="false">
      <c r="A2391" s="1" t="n">
        <v>274</v>
      </c>
      <c r="B2391" s="1" t="s">
        <v>490</v>
      </c>
      <c r="C2391" s="143" t="n">
        <v>11171</v>
      </c>
      <c r="D2391" s="143" t="s">
        <v>74</v>
      </c>
      <c r="E2391" s="143" t="s">
        <v>479</v>
      </c>
      <c r="F2391" s="144" t="n">
        <v>200025889163</v>
      </c>
      <c r="G2391" s="144" t="s">
        <v>276</v>
      </c>
      <c r="H2391" s="144" t="n">
        <v>35</v>
      </c>
      <c r="I2391" s="144" t="s">
        <v>148</v>
      </c>
      <c r="J2391" s="6" t="n">
        <v>45075.2239699074</v>
      </c>
      <c r="K2391" s="1" t="n">
        <v>1</v>
      </c>
      <c r="L2391" s="144" t="n">
        <v>35</v>
      </c>
      <c r="M2391" s="1" t="n">
        <v>80</v>
      </c>
      <c r="N2391" s="1" t="n">
        <v>80</v>
      </c>
      <c r="O2391" s="149" t="n">
        <v>65</v>
      </c>
    </row>
    <row r="2392" customFormat="false" ht="14.25" hidden="false" customHeight="false" outlineLevel="0" collapsed="false">
      <c r="A2392" s="1" t="n">
        <v>275</v>
      </c>
      <c r="B2392" s="1" t="s">
        <v>490</v>
      </c>
      <c r="C2392" s="143" t="n">
        <v>11171</v>
      </c>
      <c r="D2392" s="143" t="s">
        <v>74</v>
      </c>
      <c r="E2392" s="143" t="s">
        <v>479</v>
      </c>
      <c r="F2392" s="144" t="n">
        <v>200025889163</v>
      </c>
      <c r="G2392" s="144" t="s">
        <v>276</v>
      </c>
      <c r="H2392" s="144" t="n">
        <v>35</v>
      </c>
      <c r="I2392" s="144" t="s">
        <v>148</v>
      </c>
      <c r="J2392" s="6" t="n">
        <v>45075.2279166667</v>
      </c>
      <c r="K2392" s="1" t="n">
        <v>1</v>
      </c>
      <c r="L2392" s="144" t="n">
        <v>35</v>
      </c>
      <c r="M2392" s="1" t="n">
        <v>80</v>
      </c>
      <c r="N2392" s="1" t="n">
        <v>80</v>
      </c>
      <c r="O2392" s="149" t="n">
        <v>66</v>
      </c>
    </row>
    <row r="2393" customFormat="false" ht="14.25" hidden="false" customHeight="false" outlineLevel="0" collapsed="false">
      <c r="A2393" s="1" t="n">
        <v>276</v>
      </c>
      <c r="B2393" s="1" t="s">
        <v>490</v>
      </c>
      <c r="C2393" s="143" t="n">
        <v>11171</v>
      </c>
      <c r="D2393" s="143" t="s">
        <v>74</v>
      </c>
      <c r="E2393" s="143" t="s">
        <v>479</v>
      </c>
      <c r="F2393" s="144" t="n">
        <v>200025889163</v>
      </c>
      <c r="G2393" s="144" t="s">
        <v>276</v>
      </c>
      <c r="H2393" s="144" t="n">
        <v>35</v>
      </c>
      <c r="I2393" s="144" t="s">
        <v>148</v>
      </c>
      <c r="J2393" s="6" t="n">
        <v>45075.2282175926</v>
      </c>
      <c r="K2393" s="1" t="n">
        <v>1</v>
      </c>
      <c r="L2393" s="144" t="n">
        <v>35</v>
      </c>
      <c r="M2393" s="1" t="n">
        <v>80</v>
      </c>
      <c r="N2393" s="1" t="n">
        <v>80</v>
      </c>
      <c r="O2393" s="149" t="n">
        <v>67</v>
      </c>
    </row>
    <row r="2394" customFormat="false" ht="14.25" hidden="false" customHeight="false" outlineLevel="0" collapsed="false">
      <c r="A2394" s="1" t="n">
        <v>277</v>
      </c>
      <c r="B2394" s="1" t="s">
        <v>490</v>
      </c>
      <c r="C2394" s="143" t="n">
        <v>11171</v>
      </c>
      <c r="D2394" s="143" t="s">
        <v>74</v>
      </c>
      <c r="E2394" s="143" t="s">
        <v>479</v>
      </c>
      <c r="F2394" s="144" t="n">
        <v>200025889163</v>
      </c>
      <c r="G2394" s="144" t="s">
        <v>276</v>
      </c>
      <c r="H2394" s="144" t="n">
        <v>35</v>
      </c>
      <c r="I2394" s="144" t="s">
        <v>148</v>
      </c>
      <c r="J2394" s="6" t="n">
        <v>45075.2283796296</v>
      </c>
      <c r="K2394" s="1" t="n">
        <v>1</v>
      </c>
      <c r="L2394" s="144" t="n">
        <v>35</v>
      </c>
      <c r="M2394" s="1" t="n">
        <v>80</v>
      </c>
      <c r="N2394" s="1" t="n">
        <v>80</v>
      </c>
      <c r="O2394" s="149" t="n">
        <v>68</v>
      </c>
    </row>
    <row r="2395" customFormat="false" ht="14.25" hidden="false" customHeight="false" outlineLevel="0" collapsed="false">
      <c r="A2395" s="1" t="n">
        <v>278</v>
      </c>
      <c r="B2395" s="1" t="s">
        <v>490</v>
      </c>
      <c r="C2395" s="143" t="n">
        <v>11171</v>
      </c>
      <c r="D2395" s="143" t="s">
        <v>74</v>
      </c>
      <c r="E2395" s="143" t="s">
        <v>479</v>
      </c>
      <c r="F2395" s="144" t="n">
        <v>200025889163</v>
      </c>
      <c r="G2395" s="144" t="s">
        <v>276</v>
      </c>
      <c r="H2395" s="144" t="n">
        <v>35</v>
      </c>
      <c r="I2395" s="144" t="s">
        <v>148</v>
      </c>
      <c r="J2395" s="6" t="n">
        <v>45075.2287615741</v>
      </c>
      <c r="K2395" s="1" t="n">
        <v>1</v>
      </c>
      <c r="L2395" s="144" t="n">
        <v>35</v>
      </c>
      <c r="M2395" s="1" t="n">
        <v>80</v>
      </c>
      <c r="N2395" s="1" t="n">
        <v>80</v>
      </c>
      <c r="O2395" s="149" t="n">
        <v>69</v>
      </c>
    </row>
    <row r="2396" customFormat="false" ht="14.25" hidden="false" customHeight="false" outlineLevel="0" collapsed="false">
      <c r="A2396" s="1" t="n">
        <v>279</v>
      </c>
      <c r="B2396" s="1" t="s">
        <v>490</v>
      </c>
      <c r="C2396" s="143" t="n">
        <v>11171</v>
      </c>
      <c r="D2396" s="143" t="s">
        <v>74</v>
      </c>
      <c r="E2396" s="143" t="s">
        <v>479</v>
      </c>
      <c r="F2396" s="144" t="n">
        <v>200025889163</v>
      </c>
      <c r="G2396" s="144" t="s">
        <v>276</v>
      </c>
      <c r="H2396" s="144" t="n">
        <v>35</v>
      </c>
      <c r="I2396" s="144" t="s">
        <v>148</v>
      </c>
      <c r="J2396" s="6" t="n">
        <v>45075.229224537</v>
      </c>
      <c r="K2396" s="1" t="n">
        <v>1</v>
      </c>
      <c r="L2396" s="144" t="n">
        <v>35</v>
      </c>
      <c r="M2396" s="1" t="n">
        <v>80</v>
      </c>
      <c r="N2396" s="1" t="n">
        <v>80</v>
      </c>
      <c r="O2396" s="149" t="n">
        <v>70</v>
      </c>
    </row>
    <row r="2397" customFormat="false" ht="14.25" hidden="false" customHeight="false" outlineLevel="0" collapsed="false">
      <c r="A2397" s="1" t="n">
        <v>280</v>
      </c>
      <c r="B2397" s="1" t="s">
        <v>490</v>
      </c>
      <c r="C2397" s="143" t="n">
        <v>11171</v>
      </c>
      <c r="D2397" s="143" t="s">
        <v>74</v>
      </c>
      <c r="E2397" s="143" t="s">
        <v>479</v>
      </c>
      <c r="F2397" s="144" t="n">
        <v>200025889163</v>
      </c>
      <c r="G2397" s="144" t="s">
        <v>276</v>
      </c>
      <c r="H2397" s="144" t="n">
        <v>35</v>
      </c>
      <c r="I2397" s="144" t="s">
        <v>148</v>
      </c>
      <c r="J2397" s="6" t="n">
        <v>45075.2295601852</v>
      </c>
      <c r="K2397" s="1" t="n">
        <v>1</v>
      </c>
      <c r="L2397" s="144" t="n">
        <v>35</v>
      </c>
      <c r="M2397" s="1" t="n">
        <v>80</v>
      </c>
      <c r="N2397" s="1" t="n">
        <v>80</v>
      </c>
      <c r="O2397" s="149" t="n">
        <v>71</v>
      </c>
    </row>
    <row r="2398" customFormat="false" ht="14.25" hidden="false" customHeight="false" outlineLevel="0" collapsed="false">
      <c r="A2398" s="1" t="n">
        <v>294</v>
      </c>
      <c r="B2398" s="1" t="s">
        <v>478</v>
      </c>
      <c r="C2398" s="143" t="n">
        <v>21265</v>
      </c>
      <c r="D2398" s="143" t="s">
        <v>76</v>
      </c>
      <c r="E2398" s="143" t="s">
        <v>479</v>
      </c>
      <c r="F2398" s="144" t="n">
        <v>200025889163</v>
      </c>
      <c r="G2398" s="144" t="s">
        <v>276</v>
      </c>
      <c r="H2398" s="144" t="n">
        <v>35</v>
      </c>
      <c r="I2398" s="144" t="s">
        <v>148</v>
      </c>
      <c r="J2398" s="6" t="n">
        <v>45075.2469097222</v>
      </c>
      <c r="K2398" s="1" t="n">
        <v>1</v>
      </c>
      <c r="L2398" s="144" t="n">
        <v>35</v>
      </c>
      <c r="M2398" s="1" t="n">
        <v>80</v>
      </c>
      <c r="N2398" s="1" t="n">
        <v>80</v>
      </c>
      <c r="O2398" s="149" t="n">
        <v>72</v>
      </c>
    </row>
    <row r="2399" customFormat="false" ht="14.25" hidden="false" customHeight="false" outlineLevel="0" collapsed="false">
      <c r="A2399" s="1" t="n">
        <v>295</v>
      </c>
      <c r="B2399" s="1" t="s">
        <v>478</v>
      </c>
      <c r="C2399" s="143" t="n">
        <v>21265</v>
      </c>
      <c r="D2399" s="143" t="s">
        <v>76</v>
      </c>
      <c r="E2399" s="143" t="s">
        <v>479</v>
      </c>
      <c r="F2399" s="144" t="n">
        <v>200025889163</v>
      </c>
      <c r="G2399" s="144" t="s">
        <v>276</v>
      </c>
      <c r="H2399" s="144" t="n">
        <v>35</v>
      </c>
      <c r="I2399" s="144" t="s">
        <v>148</v>
      </c>
      <c r="J2399" s="6" t="n">
        <v>45075.2472916667</v>
      </c>
      <c r="K2399" s="1" t="n">
        <v>1</v>
      </c>
      <c r="L2399" s="144" t="n">
        <v>35</v>
      </c>
      <c r="M2399" s="1" t="n">
        <v>80</v>
      </c>
      <c r="N2399" s="1" t="n">
        <v>80</v>
      </c>
      <c r="O2399" s="149" t="n">
        <v>73</v>
      </c>
    </row>
    <row r="2400" customFormat="false" ht="14.25" hidden="false" customHeight="false" outlineLevel="0" collapsed="false">
      <c r="A2400" s="1" t="n">
        <v>296</v>
      </c>
      <c r="B2400" s="1" t="s">
        <v>478</v>
      </c>
      <c r="C2400" s="143" t="n">
        <v>21265</v>
      </c>
      <c r="D2400" s="143" t="s">
        <v>76</v>
      </c>
      <c r="E2400" s="143" t="s">
        <v>479</v>
      </c>
      <c r="F2400" s="144" t="n">
        <v>200025889163</v>
      </c>
      <c r="G2400" s="144" t="s">
        <v>276</v>
      </c>
      <c r="H2400" s="144" t="n">
        <v>35</v>
      </c>
      <c r="I2400" s="144" t="s">
        <v>148</v>
      </c>
      <c r="J2400" s="6" t="n">
        <v>45075.2473958333</v>
      </c>
      <c r="K2400" s="1" t="n">
        <v>2</v>
      </c>
      <c r="L2400" s="144" t="n">
        <v>35</v>
      </c>
      <c r="M2400" s="1" t="n">
        <v>80</v>
      </c>
      <c r="N2400" s="1" t="n">
        <v>80</v>
      </c>
      <c r="O2400" s="149" t="n">
        <v>74</v>
      </c>
    </row>
    <row r="2401" customFormat="false" ht="14.25" hidden="false" customHeight="false" outlineLevel="0" collapsed="false">
      <c r="A2401" s="1" t="n">
        <v>297</v>
      </c>
      <c r="B2401" s="1" t="s">
        <v>478</v>
      </c>
      <c r="C2401" s="143" t="n">
        <v>21265</v>
      </c>
      <c r="D2401" s="143" t="s">
        <v>76</v>
      </c>
      <c r="E2401" s="143" t="s">
        <v>479</v>
      </c>
      <c r="F2401" s="144" t="n">
        <v>200025889163</v>
      </c>
      <c r="G2401" s="144" t="s">
        <v>276</v>
      </c>
      <c r="H2401" s="144" t="n">
        <v>35</v>
      </c>
      <c r="I2401" s="144" t="s">
        <v>148</v>
      </c>
      <c r="J2401" s="6" t="n">
        <v>45075.2476967593</v>
      </c>
      <c r="K2401" s="1" t="n">
        <v>4</v>
      </c>
      <c r="L2401" s="144" t="n">
        <v>35</v>
      </c>
      <c r="M2401" s="1" t="n">
        <v>80</v>
      </c>
      <c r="N2401" s="1" t="n">
        <v>80</v>
      </c>
      <c r="O2401" s="149" t="n">
        <v>75</v>
      </c>
    </row>
    <row r="2402" customFormat="false" ht="14.25" hidden="false" customHeight="false" outlineLevel="0" collapsed="false">
      <c r="A2402" s="1" t="n">
        <v>32</v>
      </c>
      <c r="B2402" s="1" t="s">
        <v>475</v>
      </c>
      <c r="C2402" s="143" t="n">
        <v>21265</v>
      </c>
      <c r="D2402" s="143" t="s">
        <v>76</v>
      </c>
      <c r="E2402" s="143" t="s">
        <v>479</v>
      </c>
      <c r="F2402" s="144" t="n">
        <v>200025889163</v>
      </c>
      <c r="G2402" s="144" t="s">
        <v>276</v>
      </c>
      <c r="H2402" s="144" t="n">
        <v>35</v>
      </c>
      <c r="I2402" s="144" t="s">
        <v>148</v>
      </c>
      <c r="J2402" s="6" t="n">
        <v>45082.4797916667</v>
      </c>
      <c r="K2402" s="1" t="n">
        <v>1</v>
      </c>
      <c r="L2402" s="144" t="n">
        <v>35</v>
      </c>
      <c r="M2402" s="1" t="n">
        <v>80</v>
      </c>
      <c r="N2402" s="1" t="n">
        <v>80</v>
      </c>
      <c r="O2402" s="149" t="n">
        <v>76</v>
      </c>
    </row>
    <row r="2403" customFormat="false" ht="14.25" hidden="false" customHeight="false" outlineLevel="0" collapsed="false">
      <c r="A2403" s="1" t="n">
        <v>9</v>
      </c>
      <c r="B2403" s="1" t="s">
        <v>477</v>
      </c>
      <c r="C2403" s="143" t="s">
        <v>52</v>
      </c>
      <c r="D2403" s="143" t="s">
        <v>53</v>
      </c>
      <c r="E2403" s="143" t="s">
        <v>474</v>
      </c>
      <c r="F2403" s="144" t="n">
        <v>200025888913</v>
      </c>
      <c r="G2403" s="144" t="s">
        <v>429</v>
      </c>
      <c r="H2403" s="144" t="n">
        <v>97</v>
      </c>
      <c r="I2403" s="144" t="s">
        <v>152</v>
      </c>
      <c r="J2403" s="152" t="n">
        <v>45072.6098263889</v>
      </c>
      <c r="K2403" s="1" t="n">
        <v>1</v>
      </c>
      <c r="L2403" s="144" t="n">
        <v>97</v>
      </c>
      <c r="M2403" s="1" t="n">
        <v>81</v>
      </c>
      <c r="N2403" s="1" t="n">
        <v>81</v>
      </c>
      <c r="O2403" s="149" t="n">
        <v>1</v>
      </c>
    </row>
    <row r="2404" customFormat="false" ht="14.25" hidden="false" customHeight="false" outlineLevel="0" collapsed="false">
      <c r="A2404" s="1" t="n">
        <v>10</v>
      </c>
      <c r="B2404" s="1" t="s">
        <v>477</v>
      </c>
      <c r="C2404" s="143" t="s">
        <v>52</v>
      </c>
      <c r="D2404" s="143" t="s">
        <v>53</v>
      </c>
      <c r="E2404" s="143" t="s">
        <v>474</v>
      </c>
      <c r="F2404" s="144" t="n">
        <v>200025888913</v>
      </c>
      <c r="G2404" s="144" t="s">
        <v>429</v>
      </c>
      <c r="H2404" s="144" t="n">
        <v>97</v>
      </c>
      <c r="I2404" s="144" t="s">
        <v>152</v>
      </c>
      <c r="J2404" s="152" t="n">
        <v>45072.6099884259</v>
      </c>
      <c r="K2404" s="1" t="n">
        <v>1</v>
      </c>
      <c r="L2404" s="144" t="n">
        <v>97</v>
      </c>
      <c r="M2404" s="1" t="n">
        <v>81</v>
      </c>
      <c r="N2404" s="1" t="n">
        <v>81</v>
      </c>
      <c r="O2404" s="149" t="n">
        <v>2</v>
      </c>
    </row>
    <row r="2405" customFormat="false" ht="14.25" hidden="false" customHeight="false" outlineLevel="0" collapsed="false">
      <c r="A2405" s="1" t="n">
        <v>11</v>
      </c>
      <c r="B2405" s="1" t="s">
        <v>477</v>
      </c>
      <c r="C2405" s="143" t="s">
        <v>52</v>
      </c>
      <c r="D2405" s="143" t="s">
        <v>53</v>
      </c>
      <c r="E2405" s="143" t="s">
        <v>474</v>
      </c>
      <c r="F2405" s="144" t="n">
        <v>200025888913</v>
      </c>
      <c r="G2405" s="144" t="s">
        <v>429</v>
      </c>
      <c r="H2405" s="144" t="n">
        <v>97</v>
      </c>
      <c r="I2405" s="144" t="s">
        <v>152</v>
      </c>
      <c r="J2405" s="152" t="n">
        <v>45072.6270486111</v>
      </c>
      <c r="K2405" s="1" t="n">
        <v>1</v>
      </c>
      <c r="L2405" s="144" t="n">
        <v>97</v>
      </c>
      <c r="M2405" s="1" t="n">
        <v>81</v>
      </c>
      <c r="N2405" s="1" t="n">
        <v>81</v>
      </c>
      <c r="O2405" s="149" t="n">
        <v>3</v>
      </c>
    </row>
    <row r="2406" customFormat="false" ht="14.25" hidden="false" customHeight="false" outlineLevel="0" collapsed="false">
      <c r="A2406" s="1" t="n">
        <v>12</v>
      </c>
      <c r="B2406" s="1" t="s">
        <v>477</v>
      </c>
      <c r="C2406" s="143" t="s">
        <v>52</v>
      </c>
      <c r="D2406" s="143" t="s">
        <v>53</v>
      </c>
      <c r="E2406" s="143" t="s">
        <v>474</v>
      </c>
      <c r="F2406" s="144" t="n">
        <v>200025888913</v>
      </c>
      <c r="G2406" s="144" t="s">
        <v>429</v>
      </c>
      <c r="H2406" s="144" t="n">
        <v>97</v>
      </c>
      <c r="I2406" s="144" t="s">
        <v>152</v>
      </c>
      <c r="J2406" s="152" t="n">
        <v>45072.6270833333</v>
      </c>
      <c r="K2406" s="1" t="n">
        <v>1</v>
      </c>
      <c r="L2406" s="144" t="n">
        <v>97</v>
      </c>
      <c r="M2406" s="1" t="n">
        <v>81</v>
      </c>
      <c r="N2406" s="1" t="n">
        <v>81</v>
      </c>
      <c r="O2406" s="149" t="n">
        <v>4</v>
      </c>
    </row>
    <row r="2407" customFormat="false" ht="14.25" hidden="false" customHeight="false" outlineLevel="0" collapsed="false">
      <c r="A2407" s="1" t="n">
        <v>13</v>
      </c>
      <c r="B2407" s="1" t="s">
        <v>477</v>
      </c>
      <c r="C2407" s="143" t="s">
        <v>52</v>
      </c>
      <c r="D2407" s="143" t="s">
        <v>53</v>
      </c>
      <c r="E2407" s="143" t="s">
        <v>474</v>
      </c>
      <c r="F2407" s="144" t="n">
        <v>200025888913</v>
      </c>
      <c r="G2407" s="144" t="s">
        <v>429</v>
      </c>
      <c r="H2407" s="144" t="n">
        <v>97</v>
      </c>
      <c r="I2407" s="144" t="s">
        <v>152</v>
      </c>
      <c r="J2407" s="152" t="n">
        <v>45072.6271064815</v>
      </c>
      <c r="K2407" s="1" t="n">
        <v>1</v>
      </c>
      <c r="L2407" s="144" t="n">
        <v>97</v>
      </c>
      <c r="M2407" s="1" t="n">
        <v>81</v>
      </c>
      <c r="N2407" s="1" t="n">
        <v>81</v>
      </c>
      <c r="O2407" s="149" t="n">
        <v>5</v>
      </c>
    </row>
    <row r="2408" customFormat="false" ht="14.25" hidden="false" customHeight="false" outlineLevel="0" collapsed="false">
      <c r="A2408" s="1" t="n">
        <v>14</v>
      </c>
      <c r="B2408" s="1" t="s">
        <v>477</v>
      </c>
      <c r="C2408" s="143" t="s">
        <v>52</v>
      </c>
      <c r="D2408" s="143" t="s">
        <v>53</v>
      </c>
      <c r="E2408" s="143" t="s">
        <v>474</v>
      </c>
      <c r="F2408" s="144" t="n">
        <v>200025888913</v>
      </c>
      <c r="G2408" s="144" t="s">
        <v>429</v>
      </c>
      <c r="H2408" s="144" t="n">
        <v>97</v>
      </c>
      <c r="I2408" s="144" t="s">
        <v>152</v>
      </c>
      <c r="J2408" s="152" t="n">
        <v>45072.6274421296</v>
      </c>
      <c r="K2408" s="1" t="n">
        <v>2</v>
      </c>
      <c r="L2408" s="144" t="n">
        <v>97</v>
      </c>
      <c r="M2408" s="1" t="n">
        <v>81</v>
      </c>
      <c r="N2408" s="1" t="n">
        <v>81</v>
      </c>
      <c r="O2408" s="149" t="n">
        <v>6</v>
      </c>
    </row>
    <row r="2409" customFormat="false" ht="14.25" hidden="false" customHeight="false" outlineLevel="0" collapsed="false">
      <c r="A2409" s="1" t="n">
        <v>15</v>
      </c>
      <c r="B2409" s="1" t="s">
        <v>477</v>
      </c>
      <c r="C2409" s="143" t="s">
        <v>52</v>
      </c>
      <c r="D2409" s="143" t="s">
        <v>53</v>
      </c>
      <c r="E2409" s="143" t="s">
        <v>474</v>
      </c>
      <c r="F2409" s="144" t="n">
        <v>200025888913</v>
      </c>
      <c r="G2409" s="144" t="s">
        <v>429</v>
      </c>
      <c r="H2409" s="144" t="n">
        <v>97</v>
      </c>
      <c r="I2409" s="144" t="s">
        <v>152</v>
      </c>
      <c r="J2409" s="152" t="n">
        <v>45072.6276157407</v>
      </c>
      <c r="K2409" s="1" t="n">
        <v>3</v>
      </c>
      <c r="L2409" s="144" t="n">
        <v>97</v>
      </c>
      <c r="M2409" s="1" t="n">
        <v>81</v>
      </c>
      <c r="N2409" s="1" t="n">
        <v>81</v>
      </c>
      <c r="O2409" s="149" t="n">
        <v>7</v>
      </c>
    </row>
    <row r="2410" customFormat="false" ht="14.25" hidden="false" customHeight="false" outlineLevel="0" collapsed="false">
      <c r="A2410" s="1" t="n">
        <v>16</v>
      </c>
      <c r="B2410" s="1" t="s">
        <v>477</v>
      </c>
      <c r="C2410" s="143" t="s">
        <v>52</v>
      </c>
      <c r="D2410" s="143" t="s">
        <v>53</v>
      </c>
      <c r="E2410" s="143" t="s">
        <v>474</v>
      </c>
      <c r="F2410" s="144" t="n">
        <v>200025888913</v>
      </c>
      <c r="G2410" s="144" t="s">
        <v>429</v>
      </c>
      <c r="H2410" s="144" t="n">
        <v>97</v>
      </c>
      <c r="I2410" s="144" t="s">
        <v>152</v>
      </c>
      <c r="J2410" s="152" t="n">
        <v>45072.6277083333</v>
      </c>
      <c r="K2410" s="1" t="n">
        <v>2</v>
      </c>
      <c r="L2410" s="144" t="n">
        <v>97</v>
      </c>
      <c r="M2410" s="1" t="n">
        <v>81</v>
      </c>
      <c r="N2410" s="1" t="n">
        <v>81</v>
      </c>
      <c r="O2410" s="149" t="n">
        <v>8</v>
      </c>
    </row>
    <row r="2411" customFormat="false" ht="14.25" hidden="false" customHeight="false" outlineLevel="0" collapsed="false">
      <c r="A2411" s="1" t="n">
        <v>17</v>
      </c>
      <c r="B2411" s="1" t="s">
        <v>477</v>
      </c>
      <c r="C2411" s="143" t="s">
        <v>52</v>
      </c>
      <c r="D2411" s="143" t="s">
        <v>53</v>
      </c>
      <c r="E2411" s="143" t="s">
        <v>474</v>
      </c>
      <c r="F2411" s="144" t="n">
        <v>200025888913</v>
      </c>
      <c r="G2411" s="144" t="s">
        <v>429</v>
      </c>
      <c r="H2411" s="144" t="n">
        <v>97</v>
      </c>
      <c r="I2411" s="144" t="s">
        <v>152</v>
      </c>
      <c r="J2411" s="152" t="n">
        <v>45072.6278703704</v>
      </c>
      <c r="K2411" s="1" t="n">
        <v>1</v>
      </c>
      <c r="L2411" s="144" t="n">
        <v>97</v>
      </c>
      <c r="M2411" s="1" t="n">
        <v>81</v>
      </c>
      <c r="N2411" s="1" t="n">
        <v>81</v>
      </c>
      <c r="O2411" s="149" t="n">
        <v>9</v>
      </c>
    </row>
    <row r="2412" customFormat="false" ht="14.25" hidden="false" customHeight="false" outlineLevel="0" collapsed="false">
      <c r="A2412" s="1" t="n">
        <v>18</v>
      </c>
      <c r="B2412" s="1" t="s">
        <v>477</v>
      </c>
      <c r="C2412" s="143" t="s">
        <v>52</v>
      </c>
      <c r="D2412" s="143" t="s">
        <v>53</v>
      </c>
      <c r="E2412" s="143" t="s">
        <v>474</v>
      </c>
      <c r="F2412" s="144" t="n">
        <v>200025888913</v>
      </c>
      <c r="G2412" s="144" t="s">
        <v>429</v>
      </c>
      <c r="H2412" s="144" t="n">
        <v>97</v>
      </c>
      <c r="I2412" s="144" t="s">
        <v>152</v>
      </c>
      <c r="J2412" s="152" t="n">
        <v>45072.6279976852</v>
      </c>
      <c r="K2412" s="1" t="n">
        <v>5</v>
      </c>
      <c r="L2412" s="144" t="n">
        <v>97</v>
      </c>
      <c r="M2412" s="1" t="n">
        <v>81</v>
      </c>
      <c r="N2412" s="1" t="n">
        <v>81</v>
      </c>
      <c r="O2412" s="149" t="n">
        <v>10</v>
      </c>
    </row>
    <row r="2413" customFormat="false" ht="14.25" hidden="false" customHeight="false" outlineLevel="0" collapsed="false">
      <c r="A2413" s="1" t="n">
        <v>19</v>
      </c>
      <c r="B2413" s="1" t="s">
        <v>477</v>
      </c>
      <c r="C2413" s="143" t="s">
        <v>52</v>
      </c>
      <c r="D2413" s="143" t="s">
        <v>53</v>
      </c>
      <c r="E2413" s="143" t="s">
        <v>474</v>
      </c>
      <c r="F2413" s="144" t="n">
        <v>200025888913</v>
      </c>
      <c r="G2413" s="144" t="s">
        <v>429</v>
      </c>
      <c r="H2413" s="144" t="n">
        <v>97</v>
      </c>
      <c r="I2413" s="144" t="s">
        <v>152</v>
      </c>
      <c r="J2413" s="152" t="n">
        <v>45072.6281134259</v>
      </c>
      <c r="K2413" s="1" t="n">
        <v>0</v>
      </c>
      <c r="L2413" s="144" t="n">
        <v>97</v>
      </c>
      <c r="M2413" s="1" t="n">
        <v>81</v>
      </c>
      <c r="N2413" s="1" t="n">
        <v>81</v>
      </c>
      <c r="O2413" s="149" t="n">
        <v>11</v>
      </c>
    </row>
    <row r="2414" customFormat="false" ht="14.25" hidden="false" customHeight="false" outlineLevel="0" collapsed="false">
      <c r="A2414" s="1" t="n">
        <v>20</v>
      </c>
      <c r="B2414" s="1" t="s">
        <v>477</v>
      </c>
      <c r="C2414" s="143" t="s">
        <v>52</v>
      </c>
      <c r="D2414" s="143" t="s">
        <v>53</v>
      </c>
      <c r="E2414" s="143" t="s">
        <v>474</v>
      </c>
      <c r="F2414" s="144" t="n">
        <v>200025888913</v>
      </c>
      <c r="G2414" s="144" t="s">
        <v>429</v>
      </c>
      <c r="H2414" s="144" t="n">
        <v>97</v>
      </c>
      <c r="I2414" s="144" t="s">
        <v>152</v>
      </c>
      <c r="J2414" s="152" t="n">
        <v>45072.628275463</v>
      </c>
      <c r="K2414" s="1" t="n">
        <v>0</v>
      </c>
      <c r="L2414" s="144" t="n">
        <v>97</v>
      </c>
      <c r="M2414" s="1" t="n">
        <v>81</v>
      </c>
      <c r="N2414" s="1" t="n">
        <v>81</v>
      </c>
      <c r="O2414" s="149" t="n">
        <v>12</v>
      </c>
    </row>
    <row r="2415" customFormat="false" ht="14.25" hidden="false" customHeight="false" outlineLevel="0" collapsed="false">
      <c r="A2415" s="1" t="n">
        <v>21</v>
      </c>
      <c r="B2415" s="1" t="s">
        <v>477</v>
      </c>
      <c r="C2415" s="143" t="s">
        <v>52</v>
      </c>
      <c r="D2415" s="143" t="s">
        <v>53</v>
      </c>
      <c r="E2415" s="143" t="s">
        <v>474</v>
      </c>
      <c r="F2415" s="144" t="n">
        <v>200025888913</v>
      </c>
      <c r="G2415" s="144" t="s">
        <v>429</v>
      </c>
      <c r="H2415" s="144" t="n">
        <v>97</v>
      </c>
      <c r="I2415" s="144" t="s">
        <v>152</v>
      </c>
      <c r="J2415" s="152" t="n">
        <v>45072.6284375</v>
      </c>
      <c r="K2415" s="1" t="n">
        <v>1</v>
      </c>
      <c r="L2415" s="144" t="n">
        <v>97</v>
      </c>
      <c r="M2415" s="1" t="n">
        <v>81</v>
      </c>
      <c r="N2415" s="1" t="n">
        <v>81</v>
      </c>
      <c r="O2415" s="149" t="n">
        <v>13</v>
      </c>
    </row>
    <row r="2416" customFormat="false" ht="14.25" hidden="false" customHeight="false" outlineLevel="0" collapsed="false">
      <c r="A2416" s="1" t="n">
        <v>22</v>
      </c>
      <c r="B2416" s="1" t="s">
        <v>477</v>
      </c>
      <c r="C2416" s="143" t="s">
        <v>52</v>
      </c>
      <c r="D2416" s="143" t="s">
        <v>53</v>
      </c>
      <c r="E2416" s="143" t="s">
        <v>474</v>
      </c>
      <c r="F2416" s="144" t="n">
        <v>200025888913</v>
      </c>
      <c r="G2416" s="144" t="s">
        <v>429</v>
      </c>
      <c r="H2416" s="144" t="n">
        <v>97</v>
      </c>
      <c r="I2416" s="144" t="s">
        <v>152</v>
      </c>
      <c r="J2416" s="152" t="n">
        <v>45072.6287847222</v>
      </c>
      <c r="K2416" s="1" t="n">
        <v>5</v>
      </c>
      <c r="L2416" s="144" t="n">
        <v>97</v>
      </c>
      <c r="M2416" s="1" t="n">
        <v>81</v>
      </c>
      <c r="N2416" s="1" t="n">
        <v>81</v>
      </c>
      <c r="O2416" s="149" t="n">
        <v>14</v>
      </c>
    </row>
    <row r="2417" customFormat="false" ht="14.25" hidden="false" customHeight="false" outlineLevel="0" collapsed="false">
      <c r="A2417" s="1" t="n">
        <v>23</v>
      </c>
      <c r="B2417" s="1" t="s">
        <v>477</v>
      </c>
      <c r="C2417" s="143" t="s">
        <v>52</v>
      </c>
      <c r="D2417" s="143" t="s">
        <v>53</v>
      </c>
      <c r="E2417" s="143" t="s">
        <v>474</v>
      </c>
      <c r="F2417" s="144" t="n">
        <v>200025888913</v>
      </c>
      <c r="G2417" s="144" t="s">
        <v>429</v>
      </c>
      <c r="H2417" s="144" t="n">
        <v>97</v>
      </c>
      <c r="I2417" s="144" t="s">
        <v>152</v>
      </c>
      <c r="J2417" s="152" t="n">
        <v>45072.6288194444</v>
      </c>
      <c r="K2417" s="1" t="n">
        <v>1</v>
      </c>
      <c r="L2417" s="144" t="n">
        <v>97</v>
      </c>
      <c r="M2417" s="1" t="n">
        <v>81</v>
      </c>
      <c r="N2417" s="1" t="n">
        <v>81</v>
      </c>
      <c r="O2417" s="149" t="n">
        <v>15</v>
      </c>
    </row>
    <row r="2418" customFormat="false" ht="14.25" hidden="false" customHeight="false" outlineLevel="0" collapsed="false">
      <c r="A2418" s="1" t="n">
        <v>24</v>
      </c>
      <c r="B2418" s="1" t="s">
        <v>477</v>
      </c>
      <c r="C2418" s="143" t="s">
        <v>52</v>
      </c>
      <c r="D2418" s="143" t="s">
        <v>53</v>
      </c>
      <c r="E2418" s="143" t="s">
        <v>474</v>
      </c>
      <c r="F2418" s="144" t="n">
        <v>200025888913</v>
      </c>
      <c r="G2418" s="144" t="s">
        <v>429</v>
      </c>
      <c r="H2418" s="144" t="n">
        <v>97</v>
      </c>
      <c r="I2418" s="144" t="s">
        <v>152</v>
      </c>
      <c r="J2418" s="152" t="n">
        <v>45072.6290393519</v>
      </c>
      <c r="K2418" s="1" t="n">
        <v>3</v>
      </c>
      <c r="L2418" s="144" t="n">
        <v>97</v>
      </c>
      <c r="M2418" s="1" t="n">
        <v>81</v>
      </c>
      <c r="N2418" s="1" t="n">
        <v>81</v>
      </c>
      <c r="O2418" s="149" t="n">
        <v>16</v>
      </c>
    </row>
    <row r="2419" customFormat="false" ht="14.25" hidden="false" customHeight="false" outlineLevel="0" collapsed="false">
      <c r="A2419" s="1" t="n">
        <v>25</v>
      </c>
      <c r="B2419" s="1" t="s">
        <v>477</v>
      </c>
      <c r="C2419" s="143" t="s">
        <v>52</v>
      </c>
      <c r="D2419" s="143" t="s">
        <v>53</v>
      </c>
      <c r="E2419" s="143" t="s">
        <v>474</v>
      </c>
      <c r="F2419" s="144" t="n">
        <v>200025888913</v>
      </c>
      <c r="G2419" s="144" t="s">
        <v>429</v>
      </c>
      <c r="H2419" s="144" t="n">
        <v>97</v>
      </c>
      <c r="I2419" s="144" t="s">
        <v>152</v>
      </c>
      <c r="J2419" s="152" t="n">
        <v>45072.6291435185</v>
      </c>
      <c r="K2419" s="1" t="n">
        <v>2</v>
      </c>
      <c r="L2419" s="144" t="n">
        <v>97</v>
      </c>
      <c r="M2419" s="1" t="n">
        <v>81</v>
      </c>
      <c r="N2419" s="1" t="n">
        <v>81</v>
      </c>
      <c r="O2419" s="149" t="n">
        <v>17</v>
      </c>
    </row>
    <row r="2420" customFormat="false" ht="14.25" hidden="false" customHeight="false" outlineLevel="0" collapsed="false">
      <c r="A2420" s="1" t="n">
        <v>26</v>
      </c>
      <c r="B2420" s="1" t="s">
        <v>477</v>
      </c>
      <c r="C2420" s="143" t="s">
        <v>52</v>
      </c>
      <c r="D2420" s="143" t="s">
        <v>53</v>
      </c>
      <c r="E2420" s="143" t="s">
        <v>474</v>
      </c>
      <c r="F2420" s="144" t="n">
        <v>200025888913</v>
      </c>
      <c r="G2420" s="144" t="s">
        <v>429</v>
      </c>
      <c r="H2420" s="144" t="n">
        <v>97</v>
      </c>
      <c r="I2420" s="144" t="s">
        <v>152</v>
      </c>
      <c r="J2420" s="152" t="n">
        <v>45072.6297916667</v>
      </c>
      <c r="K2420" s="1" t="n">
        <v>3</v>
      </c>
      <c r="L2420" s="144" t="n">
        <v>97</v>
      </c>
      <c r="M2420" s="1" t="n">
        <v>81</v>
      </c>
      <c r="N2420" s="1" t="n">
        <v>81</v>
      </c>
      <c r="O2420" s="149" t="n">
        <v>18</v>
      </c>
    </row>
    <row r="2421" customFormat="false" ht="14.25" hidden="false" customHeight="false" outlineLevel="0" collapsed="false">
      <c r="A2421" s="1" t="n">
        <v>27</v>
      </c>
      <c r="B2421" s="1" t="s">
        <v>477</v>
      </c>
      <c r="C2421" s="143" t="s">
        <v>52</v>
      </c>
      <c r="D2421" s="143" t="s">
        <v>53</v>
      </c>
      <c r="E2421" s="143" t="s">
        <v>474</v>
      </c>
      <c r="F2421" s="144" t="n">
        <v>200025888913</v>
      </c>
      <c r="G2421" s="144" t="s">
        <v>429</v>
      </c>
      <c r="H2421" s="144" t="n">
        <v>97</v>
      </c>
      <c r="I2421" s="144" t="s">
        <v>152</v>
      </c>
      <c r="J2421" s="152" t="n">
        <v>45072.6306018519</v>
      </c>
      <c r="K2421" s="1" t="n">
        <v>1</v>
      </c>
      <c r="L2421" s="144" t="n">
        <v>97</v>
      </c>
      <c r="M2421" s="1" t="n">
        <v>81</v>
      </c>
      <c r="N2421" s="1" t="n">
        <v>81</v>
      </c>
      <c r="O2421" s="149" t="n">
        <v>19</v>
      </c>
    </row>
    <row r="2422" customFormat="false" ht="14.25" hidden="false" customHeight="false" outlineLevel="0" collapsed="false">
      <c r="A2422" s="1" t="n">
        <v>28</v>
      </c>
      <c r="B2422" s="1" t="s">
        <v>477</v>
      </c>
      <c r="C2422" s="143" t="s">
        <v>52</v>
      </c>
      <c r="D2422" s="143" t="s">
        <v>53</v>
      </c>
      <c r="E2422" s="143" t="s">
        <v>474</v>
      </c>
      <c r="F2422" s="144" t="n">
        <v>200025888913</v>
      </c>
      <c r="G2422" s="144" t="s">
        <v>429</v>
      </c>
      <c r="H2422" s="144" t="n">
        <v>97</v>
      </c>
      <c r="I2422" s="144" t="s">
        <v>152</v>
      </c>
      <c r="J2422" s="152" t="n">
        <v>45072.6309143519</v>
      </c>
      <c r="K2422" s="1" t="n">
        <v>1</v>
      </c>
      <c r="L2422" s="144" t="n">
        <v>97</v>
      </c>
      <c r="M2422" s="1" t="n">
        <v>81</v>
      </c>
      <c r="N2422" s="1" t="n">
        <v>81</v>
      </c>
      <c r="O2422" s="149" t="n">
        <v>20</v>
      </c>
    </row>
    <row r="2423" customFormat="false" ht="14.25" hidden="false" customHeight="false" outlineLevel="0" collapsed="false">
      <c r="A2423" s="1" t="n">
        <v>29</v>
      </c>
      <c r="B2423" s="1" t="s">
        <v>477</v>
      </c>
      <c r="C2423" s="143" t="s">
        <v>52</v>
      </c>
      <c r="D2423" s="143" t="s">
        <v>53</v>
      </c>
      <c r="E2423" s="143" t="s">
        <v>474</v>
      </c>
      <c r="F2423" s="144" t="n">
        <v>200025888913</v>
      </c>
      <c r="G2423" s="144" t="s">
        <v>429</v>
      </c>
      <c r="H2423" s="144" t="n">
        <v>97</v>
      </c>
      <c r="I2423" s="144" t="s">
        <v>152</v>
      </c>
      <c r="J2423" s="152" t="n">
        <v>45072.6313657407</v>
      </c>
      <c r="K2423" s="1" t="n">
        <v>1</v>
      </c>
      <c r="L2423" s="144" t="n">
        <v>97</v>
      </c>
      <c r="M2423" s="1" t="n">
        <v>81</v>
      </c>
      <c r="N2423" s="1" t="n">
        <v>81</v>
      </c>
      <c r="O2423" s="149" t="n">
        <v>21</v>
      </c>
    </row>
    <row r="2424" customFormat="false" ht="14.25" hidden="false" customHeight="false" outlineLevel="0" collapsed="false">
      <c r="A2424" s="1" t="n">
        <v>30</v>
      </c>
      <c r="B2424" s="1" t="s">
        <v>477</v>
      </c>
      <c r="C2424" s="143" t="s">
        <v>52</v>
      </c>
      <c r="D2424" s="143" t="s">
        <v>53</v>
      </c>
      <c r="E2424" s="143" t="s">
        <v>474</v>
      </c>
      <c r="F2424" s="144" t="n">
        <v>200025888913</v>
      </c>
      <c r="G2424" s="144" t="s">
        <v>429</v>
      </c>
      <c r="H2424" s="144" t="n">
        <v>97</v>
      </c>
      <c r="I2424" s="144" t="s">
        <v>152</v>
      </c>
      <c r="J2424" s="152" t="n">
        <v>45072.6319212963</v>
      </c>
      <c r="K2424" s="1" t="n">
        <v>2</v>
      </c>
      <c r="L2424" s="144" t="n">
        <v>97</v>
      </c>
      <c r="M2424" s="1" t="n">
        <v>81</v>
      </c>
      <c r="N2424" s="1" t="n">
        <v>81</v>
      </c>
      <c r="O2424" s="149" t="n">
        <v>22</v>
      </c>
    </row>
    <row r="2425" customFormat="false" ht="14.25" hidden="false" customHeight="false" outlineLevel="0" collapsed="false">
      <c r="A2425" s="1" t="n">
        <v>31</v>
      </c>
      <c r="B2425" s="1" t="s">
        <v>477</v>
      </c>
      <c r="C2425" s="143" t="s">
        <v>52</v>
      </c>
      <c r="D2425" s="143" t="s">
        <v>53</v>
      </c>
      <c r="E2425" s="143" t="s">
        <v>474</v>
      </c>
      <c r="F2425" s="144" t="n">
        <v>200025888913</v>
      </c>
      <c r="G2425" s="144" t="s">
        <v>429</v>
      </c>
      <c r="H2425" s="144" t="n">
        <v>97</v>
      </c>
      <c r="I2425" s="144" t="s">
        <v>152</v>
      </c>
      <c r="J2425" s="152" t="n">
        <v>45072.6320023148</v>
      </c>
      <c r="K2425" s="1" t="n">
        <v>0</v>
      </c>
      <c r="L2425" s="144" t="n">
        <v>97</v>
      </c>
      <c r="M2425" s="1" t="n">
        <v>81</v>
      </c>
      <c r="N2425" s="1" t="n">
        <v>81</v>
      </c>
      <c r="O2425" s="149" t="n">
        <v>23</v>
      </c>
    </row>
    <row r="2426" customFormat="false" ht="14.25" hidden="false" customHeight="false" outlineLevel="0" collapsed="false">
      <c r="A2426" s="1" t="n">
        <v>32</v>
      </c>
      <c r="B2426" s="1" t="s">
        <v>477</v>
      </c>
      <c r="C2426" s="143" t="s">
        <v>52</v>
      </c>
      <c r="D2426" s="143" t="s">
        <v>53</v>
      </c>
      <c r="E2426" s="143" t="s">
        <v>474</v>
      </c>
      <c r="F2426" s="144" t="n">
        <v>200025888913</v>
      </c>
      <c r="G2426" s="144" t="s">
        <v>429</v>
      </c>
      <c r="H2426" s="144" t="n">
        <v>97</v>
      </c>
      <c r="I2426" s="144" t="s">
        <v>152</v>
      </c>
      <c r="J2426" s="152" t="n">
        <v>45072.6324305556</v>
      </c>
      <c r="K2426" s="1" t="n">
        <v>6</v>
      </c>
      <c r="L2426" s="144" t="n">
        <v>97</v>
      </c>
      <c r="M2426" s="1" t="n">
        <v>81</v>
      </c>
      <c r="N2426" s="1" t="n">
        <v>81</v>
      </c>
      <c r="O2426" s="149" t="n">
        <v>24</v>
      </c>
    </row>
    <row r="2427" customFormat="false" ht="14.25" hidden="false" customHeight="false" outlineLevel="0" collapsed="false">
      <c r="A2427" s="1" t="n">
        <v>33</v>
      </c>
      <c r="B2427" s="1" t="s">
        <v>477</v>
      </c>
      <c r="C2427" s="143" t="s">
        <v>52</v>
      </c>
      <c r="D2427" s="143" t="s">
        <v>53</v>
      </c>
      <c r="E2427" s="143" t="s">
        <v>474</v>
      </c>
      <c r="F2427" s="144" t="n">
        <v>200025888913</v>
      </c>
      <c r="G2427" s="144" t="s">
        <v>429</v>
      </c>
      <c r="H2427" s="144" t="n">
        <v>97</v>
      </c>
      <c r="I2427" s="144" t="s">
        <v>152</v>
      </c>
      <c r="J2427" s="152" t="n">
        <v>45072.6325694444</v>
      </c>
      <c r="K2427" s="1" t="n">
        <v>3</v>
      </c>
      <c r="L2427" s="144" t="n">
        <v>97</v>
      </c>
      <c r="M2427" s="1" t="n">
        <v>81</v>
      </c>
      <c r="N2427" s="1" t="n">
        <v>81</v>
      </c>
      <c r="O2427" s="149" t="n">
        <v>25</v>
      </c>
    </row>
    <row r="2428" customFormat="false" ht="14.25" hidden="false" customHeight="false" outlineLevel="0" collapsed="false">
      <c r="A2428" s="1" t="n">
        <v>34</v>
      </c>
      <c r="B2428" s="1" t="s">
        <v>477</v>
      </c>
      <c r="C2428" s="143" t="s">
        <v>52</v>
      </c>
      <c r="D2428" s="143" t="s">
        <v>53</v>
      </c>
      <c r="E2428" s="143" t="s">
        <v>474</v>
      </c>
      <c r="F2428" s="144" t="n">
        <v>200025888913</v>
      </c>
      <c r="G2428" s="144" t="s">
        <v>429</v>
      </c>
      <c r="H2428" s="144" t="n">
        <v>97</v>
      </c>
      <c r="I2428" s="144" t="s">
        <v>152</v>
      </c>
      <c r="J2428" s="152" t="n">
        <v>45072.632650463</v>
      </c>
      <c r="K2428" s="1" t="n">
        <v>1</v>
      </c>
      <c r="L2428" s="144" t="n">
        <v>97</v>
      </c>
      <c r="M2428" s="1" t="n">
        <v>81</v>
      </c>
      <c r="N2428" s="1" t="n">
        <v>81</v>
      </c>
      <c r="O2428" s="149" t="n">
        <v>26</v>
      </c>
    </row>
    <row r="2429" customFormat="false" ht="14.25" hidden="false" customHeight="false" outlineLevel="0" collapsed="false">
      <c r="A2429" s="1" t="n">
        <v>35</v>
      </c>
      <c r="B2429" s="1" t="s">
        <v>477</v>
      </c>
      <c r="C2429" s="143" t="s">
        <v>52</v>
      </c>
      <c r="D2429" s="143" t="s">
        <v>53</v>
      </c>
      <c r="E2429" s="143" t="s">
        <v>474</v>
      </c>
      <c r="F2429" s="144" t="n">
        <v>200025888913</v>
      </c>
      <c r="G2429" s="144" t="s">
        <v>429</v>
      </c>
      <c r="H2429" s="144" t="n">
        <v>97</v>
      </c>
      <c r="I2429" s="144" t="s">
        <v>152</v>
      </c>
      <c r="J2429" s="152" t="n">
        <v>45072.6328125</v>
      </c>
      <c r="K2429" s="1" t="n">
        <v>0</v>
      </c>
      <c r="L2429" s="144" t="n">
        <v>97</v>
      </c>
      <c r="M2429" s="1" t="n">
        <v>81</v>
      </c>
      <c r="N2429" s="1" t="n">
        <v>81</v>
      </c>
      <c r="O2429" s="149" t="n">
        <v>27</v>
      </c>
    </row>
    <row r="2430" customFormat="false" ht="14.25" hidden="false" customHeight="false" outlineLevel="0" collapsed="false">
      <c r="A2430" s="1" t="n">
        <v>36</v>
      </c>
      <c r="B2430" s="1" t="s">
        <v>477</v>
      </c>
      <c r="C2430" s="143" t="s">
        <v>52</v>
      </c>
      <c r="D2430" s="143" t="s">
        <v>53</v>
      </c>
      <c r="E2430" s="143" t="s">
        <v>474</v>
      </c>
      <c r="F2430" s="144" t="n">
        <v>200025888913</v>
      </c>
      <c r="G2430" s="144" t="s">
        <v>429</v>
      </c>
      <c r="H2430" s="144" t="n">
        <v>97</v>
      </c>
      <c r="I2430" s="144" t="s">
        <v>152</v>
      </c>
      <c r="J2430" s="152" t="n">
        <v>45072.6329513889</v>
      </c>
      <c r="K2430" s="1" t="n">
        <v>1</v>
      </c>
      <c r="L2430" s="144" t="n">
        <v>97</v>
      </c>
      <c r="M2430" s="1" t="n">
        <v>81</v>
      </c>
      <c r="N2430" s="1" t="n">
        <v>81</v>
      </c>
      <c r="O2430" s="149" t="n">
        <v>28</v>
      </c>
    </row>
    <row r="2431" customFormat="false" ht="14.25" hidden="false" customHeight="false" outlineLevel="0" collapsed="false">
      <c r="A2431" s="1" t="n">
        <v>37</v>
      </c>
      <c r="B2431" s="1" t="s">
        <v>477</v>
      </c>
      <c r="C2431" s="143" t="s">
        <v>52</v>
      </c>
      <c r="D2431" s="143" t="s">
        <v>53</v>
      </c>
      <c r="E2431" s="143" t="s">
        <v>474</v>
      </c>
      <c r="F2431" s="144" t="n">
        <v>200025888913</v>
      </c>
      <c r="G2431" s="144" t="s">
        <v>429</v>
      </c>
      <c r="H2431" s="144" t="n">
        <v>97</v>
      </c>
      <c r="I2431" s="144" t="s">
        <v>152</v>
      </c>
      <c r="J2431" s="152" t="n">
        <v>45072.6330902778</v>
      </c>
      <c r="K2431" s="1" t="n">
        <v>0</v>
      </c>
      <c r="L2431" s="144" t="n">
        <v>97</v>
      </c>
      <c r="M2431" s="1" t="n">
        <v>81</v>
      </c>
      <c r="N2431" s="1" t="n">
        <v>81</v>
      </c>
      <c r="O2431" s="149" t="n">
        <v>29</v>
      </c>
    </row>
    <row r="2432" customFormat="false" ht="14.25" hidden="false" customHeight="false" outlineLevel="0" collapsed="false">
      <c r="A2432" s="1" t="n">
        <v>38</v>
      </c>
      <c r="B2432" s="1" t="s">
        <v>477</v>
      </c>
      <c r="C2432" s="143" t="s">
        <v>52</v>
      </c>
      <c r="D2432" s="143" t="s">
        <v>53</v>
      </c>
      <c r="E2432" s="143" t="s">
        <v>474</v>
      </c>
      <c r="F2432" s="144" t="n">
        <v>200025888913</v>
      </c>
      <c r="G2432" s="144" t="s">
        <v>429</v>
      </c>
      <c r="H2432" s="144" t="n">
        <v>97</v>
      </c>
      <c r="I2432" s="144" t="s">
        <v>152</v>
      </c>
      <c r="J2432" s="152" t="n">
        <v>45072.6331712963</v>
      </c>
      <c r="K2432" s="1" t="n">
        <v>4</v>
      </c>
      <c r="L2432" s="144" t="n">
        <v>97</v>
      </c>
      <c r="M2432" s="1" t="n">
        <v>81</v>
      </c>
      <c r="N2432" s="1" t="n">
        <v>81</v>
      </c>
      <c r="O2432" s="149" t="n">
        <v>30</v>
      </c>
    </row>
    <row r="2433" customFormat="false" ht="14.25" hidden="false" customHeight="false" outlineLevel="0" collapsed="false">
      <c r="A2433" s="1" t="n">
        <v>39</v>
      </c>
      <c r="B2433" s="1" t="s">
        <v>477</v>
      </c>
      <c r="C2433" s="143" t="s">
        <v>52</v>
      </c>
      <c r="D2433" s="143" t="s">
        <v>53</v>
      </c>
      <c r="E2433" s="143" t="s">
        <v>474</v>
      </c>
      <c r="F2433" s="144" t="n">
        <v>200025888913</v>
      </c>
      <c r="G2433" s="144" t="s">
        <v>429</v>
      </c>
      <c r="H2433" s="144" t="n">
        <v>97</v>
      </c>
      <c r="I2433" s="144" t="s">
        <v>152</v>
      </c>
      <c r="J2433" s="152" t="n">
        <v>45072.6333333333</v>
      </c>
      <c r="K2433" s="1" t="n">
        <v>2</v>
      </c>
      <c r="L2433" s="144" t="n">
        <v>97</v>
      </c>
      <c r="M2433" s="1" t="n">
        <v>81</v>
      </c>
      <c r="N2433" s="1" t="n">
        <v>81</v>
      </c>
      <c r="O2433" s="149" t="n">
        <v>31</v>
      </c>
    </row>
    <row r="2434" customFormat="false" ht="14.25" hidden="false" customHeight="false" outlineLevel="0" collapsed="false">
      <c r="A2434" s="1" t="n">
        <v>40</v>
      </c>
      <c r="B2434" s="1" t="s">
        <v>477</v>
      </c>
      <c r="C2434" s="143" t="s">
        <v>52</v>
      </c>
      <c r="D2434" s="143" t="s">
        <v>53</v>
      </c>
      <c r="E2434" s="143" t="s">
        <v>474</v>
      </c>
      <c r="F2434" s="144" t="n">
        <v>200025888913</v>
      </c>
      <c r="G2434" s="144" t="s">
        <v>429</v>
      </c>
      <c r="H2434" s="144" t="n">
        <v>97</v>
      </c>
      <c r="I2434" s="144" t="s">
        <v>152</v>
      </c>
      <c r="J2434" s="152" t="n">
        <v>45072.6334722222</v>
      </c>
      <c r="K2434" s="1" t="n">
        <v>1</v>
      </c>
      <c r="L2434" s="144" t="n">
        <v>97</v>
      </c>
      <c r="M2434" s="1" t="n">
        <v>81</v>
      </c>
      <c r="N2434" s="1" t="n">
        <v>81</v>
      </c>
      <c r="O2434" s="149" t="n">
        <v>32</v>
      </c>
    </row>
    <row r="2435" customFormat="false" ht="14.25" hidden="false" customHeight="false" outlineLevel="0" collapsed="false">
      <c r="A2435" s="1" t="n">
        <v>41</v>
      </c>
      <c r="B2435" s="1" t="s">
        <v>477</v>
      </c>
      <c r="C2435" s="143" t="s">
        <v>52</v>
      </c>
      <c r="D2435" s="143" t="s">
        <v>53</v>
      </c>
      <c r="E2435" s="143" t="s">
        <v>474</v>
      </c>
      <c r="F2435" s="144" t="n">
        <v>200025888913</v>
      </c>
      <c r="G2435" s="144" t="s">
        <v>429</v>
      </c>
      <c r="H2435" s="144" t="n">
        <v>97</v>
      </c>
      <c r="I2435" s="144" t="s">
        <v>152</v>
      </c>
      <c r="J2435" s="152" t="n">
        <v>45072.6336574074</v>
      </c>
      <c r="K2435" s="1" t="n">
        <v>1</v>
      </c>
      <c r="L2435" s="144" t="n">
        <v>97</v>
      </c>
      <c r="M2435" s="1" t="n">
        <v>81</v>
      </c>
      <c r="N2435" s="1" t="n">
        <v>81</v>
      </c>
      <c r="O2435" s="149" t="n">
        <v>33</v>
      </c>
    </row>
    <row r="2436" customFormat="false" ht="14.25" hidden="false" customHeight="false" outlineLevel="0" collapsed="false">
      <c r="A2436" s="1" t="n">
        <v>42</v>
      </c>
      <c r="B2436" s="1" t="s">
        <v>477</v>
      </c>
      <c r="C2436" s="143" t="s">
        <v>52</v>
      </c>
      <c r="D2436" s="143" t="s">
        <v>53</v>
      </c>
      <c r="E2436" s="143" t="s">
        <v>474</v>
      </c>
      <c r="F2436" s="144" t="n">
        <v>200025888913</v>
      </c>
      <c r="G2436" s="144" t="s">
        <v>429</v>
      </c>
      <c r="H2436" s="144" t="n">
        <v>97</v>
      </c>
      <c r="I2436" s="144" t="s">
        <v>152</v>
      </c>
      <c r="J2436" s="152" t="n">
        <v>45072.6337731482</v>
      </c>
      <c r="K2436" s="1" t="n">
        <v>2</v>
      </c>
      <c r="L2436" s="144" t="n">
        <v>97</v>
      </c>
      <c r="M2436" s="1" t="n">
        <v>81</v>
      </c>
      <c r="N2436" s="1" t="n">
        <v>81</v>
      </c>
      <c r="O2436" s="149" t="n">
        <v>34</v>
      </c>
    </row>
    <row r="2437" customFormat="false" ht="14.25" hidden="false" customHeight="false" outlineLevel="0" collapsed="false">
      <c r="A2437" s="1" t="n">
        <v>43</v>
      </c>
      <c r="B2437" s="1" t="s">
        <v>477</v>
      </c>
      <c r="C2437" s="143" t="s">
        <v>52</v>
      </c>
      <c r="D2437" s="143" t="s">
        <v>53</v>
      </c>
      <c r="E2437" s="143" t="s">
        <v>474</v>
      </c>
      <c r="F2437" s="144" t="n">
        <v>200025888913</v>
      </c>
      <c r="G2437" s="144" t="s">
        <v>429</v>
      </c>
      <c r="H2437" s="144" t="n">
        <v>97</v>
      </c>
      <c r="I2437" s="144" t="s">
        <v>152</v>
      </c>
      <c r="J2437" s="152" t="n">
        <v>45072.6339814815</v>
      </c>
      <c r="K2437" s="1" t="n">
        <v>2</v>
      </c>
      <c r="L2437" s="144" t="n">
        <v>97</v>
      </c>
      <c r="M2437" s="1" t="n">
        <v>81</v>
      </c>
      <c r="N2437" s="1" t="n">
        <v>81</v>
      </c>
      <c r="O2437" s="149" t="n">
        <v>35</v>
      </c>
    </row>
    <row r="2438" customFormat="false" ht="14.25" hidden="false" customHeight="false" outlineLevel="0" collapsed="false">
      <c r="A2438" s="1" t="n">
        <v>44</v>
      </c>
      <c r="B2438" s="1" t="s">
        <v>477</v>
      </c>
      <c r="C2438" s="143" t="s">
        <v>52</v>
      </c>
      <c r="D2438" s="143" t="s">
        <v>53</v>
      </c>
      <c r="E2438" s="143" t="s">
        <v>474</v>
      </c>
      <c r="F2438" s="144" t="n">
        <v>200025888913</v>
      </c>
      <c r="G2438" s="144" t="s">
        <v>429</v>
      </c>
      <c r="H2438" s="144" t="n">
        <v>97</v>
      </c>
      <c r="I2438" s="144" t="s">
        <v>152</v>
      </c>
      <c r="J2438" s="152" t="n">
        <v>45072.6341203704</v>
      </c>
      <c r="K2438" s="1" t="n">
        <v>0</v>
      </c>
      <c r="L2438" s="144" t="n">
        <v>97</v>
      </c>
      <c r="M2438" s="1" t="n">
        <v>81</v>
      </c>
      <c r="N2438" s="1" t="n">
        <v>81</v>
      </c>
      <c r="O2438" s="149" t="n">
        <v>36</v>
      </c>
    </row>
    <row r="2439" customFormat="false" ht="14.25" hidden="false" customHeight="false" outlineLevel="0" collapsed="false">
      <c r="A2439" s="1" t="n">
        <v>45</v>
      </c>
      <c r="B2439" s="1" t="s">
        <v>477</v>
      </c>
      <c r="C2439" s="143" t="s">
        <v>52</v>
      </c>
      <c r="D2439" s="143" t="s">
        <v>53</v>
      </c>
      <c r="E2439" s="143" t="s">
        <v>474</v>
      </c>
      <c r="F2439" s="144" t="n">
        <v>200025888913</v>
      </c>
      <c r="G2439" s="144" t="s">
        <v>429</v>
      </c>
      <c r="H2439" s="144" t="n">
        <v>97</v>
      </c>
      <c r="I2439" s="144" t="s">
        <v>152</v>
      </c>
      <c r="J2439" s="152" t="n">
        <v>45072.6343402778</v>
      </c>
      <c r="K2439" s="1" t="n">
        <v>3</v>
      </c>
      <c r="L2439" s="144" t="n">
        <v>97</v>
      </c>
      <c r="M2439" s="1" t="n">
        <v>81</v>
      </c>
      <c r="N2439" s="1" t="n">
        <v>81</v>
      </c>
      <c r="O2439" s="149" t="n">
        <v>37</v>
      </c>
    </row>
    <row r="2440" customFormat="false" ht="14.25" hidden="false" customHeight="false" outlineLevel="0" collapsed="false">
      <c r="A2440" s="1" t="n">
        <v>46</v>
      </c>
      <c r="B2440" s="1" t="s">
        <v>477</v>
      </c>
      <c r="C2440" s="143" t="s">
        <v>52</v>
      </c>
      <c r="D2440" s="143" t="s">
        <v>53</v>
      </c>
      <c r="E2440" s="143" t="s">
        <v>474</v>
      </c>
      <c r="F2440" s="144" t="n">
        <v>200025888913</v>
      </c>
      <c r="G2440" s="144" t="s">
        <v>429</v>
      </c>
      <c r="H2440" s="144" t="n">
        <v>97</v>
      </c>
      <c r="I2440" s="144" t="s">
        <v>152</v>
      </c>
      <c r="J2440" s="152" t="n">
        <v>45072.6352314815</v>
      </c>
      <c r="K2440" s="1" t="n">
        <v>2</v>
      </c>
      <c r="L2440" s="144" t="n">
        <v>97</v>
      </c>
      <c r="M2440" s="1" t="n">
        <v>81</v>
      </c>
      <c r="N2440" s="1" t="n">
        <v>81</v>
      </c>
      <c r="O2440" s="149" t="n">
        <v>38</v>
      </c>
    </row>
    <row r="2441" customFormat="false" ht="14.25" hidden="false" customHeight="false" outlineLevel="0" collapsed="false">
      <c r="A2441" s="1" t="n">
        <v>47</v>
      </c>
      <c r="B2441" s="1" t="s">
        <v>477</v>
      </c>
      <c r="C2441" s="143" t="s">
        <v>52</v>
      </c>
      <c r="D2441" s="143" t="s">
        <v>53</v>
      </c>
      <c r="E2441" s="143" t="s">
        <v>474</v>
      </c>
      <c r="F2441" s="144" t="n">
        <v>200025888913</v>
      </c>
      <c r="G2441" s="144" t="s">
        <v>429</v>
      </c>
      <c r="H2441" s="144" t="n">
        <v>97</v>
      </c>
      <c r="I2441" s="144" t="s">
        <v>152</v>
      </c>
      <c r="J2441" s="152" t="n">
        <v>45072.6353472222</v>
      </c>
      <c r="K2441" s="1" t="n">
        <v>2</v>
      </c>
      <c r="L2441" s="144" t="n">
        <v>97</v>
      </c>
      <c r="M2441" s="1" t="n">
        <v>81</v>
      </c>
      <c r="N2441" s="1" t="n">
        <v>81</v>
      </c>
      <c r="O2441" s="149" t="n">
        <v>39</v>
      </c>
    </row>
    <row r="2442" customFormat="false" ht="14.25" hidden="false" customHeight="false" outlineLevel="0" collapsed="false">
      <c r="A2442" s="1" t="n">
        <v>48</v>
      </c>
      <c r="B2442" s="1" t="s">
        <v>477</v>
      </c>
      <c r="C2442" s="143" t="s">
        <v>52</v>
      </c>
      <c r="D2442" s="143" t="s">
        <v>53</v>
      </c>
      <c r="E2442" s="143" t="s">
        <v>474</v>
      </c>
      <c r="F2442" s="144" t="n">
        <v>200025888913</v>
      </c>
      <c r="G2442" s="144" t="s">
        <v>429</v>
      </c>
      <c r="H2442" s="144" t="n">
        <v>97</v>
      </c>
      <c r="I2442" s="144" t="s">
        <v>152</v>
      </c>
      <c r="J2442" s="152" t="n">
        <v>45072.6354282407</v>
      </c>
      <c r="K2442" s="1" t="n">
        <v>2</v>
      </c>
      <c r="L2442" s="144" t="n">
        <v>97</v>
      </c>
      <c r="M2442" s="1" t="n">
        <v>81</v>
      </c>
      <c r="N2442" s="1" t="n">
        <v>81</v>
      </c>
      <c r="O2442" s="149" t="n">
        <v>40</v>
      </c>
    </row>
    <row r="2443" customFormat="false" ht="14.25" hidden="false" customHeight="false" outlineLevel="0" collapsed="false">
      <c r="A2443" s="1" t="n">
        <v>49</v>
      </c>
      <c r="B2443" s="1" t="s">
        <v>477</v>
      </c>
      <c r="C2443" s="143" t="s">
        <v>52</v>
      </c>
      <c r="D2443" s="143" t="s">
        <v>53</v>
      </c>
      <c r="E2443" s="143" t="s">
        <v>474</v>
      </c>
      <c r="F2443" s="144" t="n">
        <v>200025888913</v>
      </c>
      <c r="G2443" s="144" t="s">
        <v>429</v>
      </c>
      <c r="H2443" s="144" t="n">
        <v>97</v>
      </c>
      <c r="I2443" s="144" t="s">
        <v>152</v>
      </c>
      <c r="J2443" s="152" t="n">
        <v>45072.6355208333</v>
      </c>
      <c r="K2443" s="1" t="n">
        <v>1</v>
      </c>
      <c r="L2443" s="144" t="n">
        <v>97</v>
      </c>
      <c r="M2443" s="1" t="n">
        <v>81</v>
      </c>
      <c r="N2443" s="1" t="n">
        <v>81</v>
      </c>
      <c r="O2443" s="149" t="n">
        <v>41</v>
      </c>
    </row>
    <row r="2444" customFormat="false" ht="14.25" hidden="false" customHeight="false" outlineLevel="0" collapsed="false">
      <c r="A2444" s="1" t="n">
        <v>50</v>
      </c>
      <c r="B2444" s="1" t="s">
        <v>477</v>
      </c>
      <c r="C2444" s="143" t="s">
        <v>52</v>
      </c>
      <c r="D2444" s="143" t="s">
        <v>53</v>
      </c>
      <c r="E2444" s="143" t="s">
        <v>474</v>
      </c>
      <c r="F2444" s="144" t="n">
        <v>200025888913</v>
      </c>
      <c r="G2444" s="144" t="s">
        <v>429</v>
      </c>
      <c r="H2444" s="144" t="n">
        <v>97</v>
      </c>
      <c r="I2444" s="144" t="s">
        <v>152</v>
      </c>
      <c r="J2444" s="152" t="n">
        <v>45072.6355555556</v>
      </c>
      <c r="K2444" s="1" t="n">
        <v>7</v>
      </c>
      <c r="L2444" s="144" t="n">
        <v>97</v>
      </c>
      <c r="M2444" s="1" t="n">
        <v>81</v>
      </c>
      <c r="N2444" s="1" t="n">
        <v>81</v>
      </c>
      <c r="O2444" s="149" t="n">
        <v>42</v>
      </c>
    </row>
    <row r="2445" customFormat="false" ht="14.25" hidden="false" customHeight="false" outlineLevel="0" collapsed="false">
      <c r="A2445" s="1" t="n">
        <v>51</v>
      </c>
      <c r="B2445" s="1" t="s">
        <v>477</v>
      </c>
      <c r="C2445" s="143" t="s">
        <v>52</v>
      </c>
      <c r="D2445" s="143" t="s">
        <v>53</v>
      </c>
      <c r="E2445" s="143" t="s">
        <v>474</v>
      </c>
      <c r="F2445" s="144" t="n">
        <v>200025888913</v>
      </c>
      <c r="G2445" s="144" t="s">
        <v>429</v>
      </c>
      <c r="H2445" s="144" t="n">
        <v>97</v>
      </c>
      <c r="I2445" s="144" t="s">
        <v>152</v>
      </c>
      <c r="J2445" s="152" t="n">
        <v>45072.6356365741</v>
      </c>
      <c r="K2445" s="1" t="n">
        <v>1</v>
      </c>
      <c r="L2445" s="144" t="n">
        <v>97</v>
      </c>
      <c r="M2445" s="1" t="n">
        <v>81</v>
      </c>
      <c r="N2445" s="1" t="n">
        <v>81</v>
      </c>
      <c r="O2445" s="149" t="n">
        <v>43</v>
      </c>
    </row>
    <row r="2446" customFormat="false" ht="14.25" hidden="false" customHeight="false" outlineLevel="0" collapsed="false">
      <c r="A2446" s="1" t="n">
        <v>52</v>
      </c>
      <c r="B2446" s="1" t="s">
        <v>477</v>
      </c>
      <c r="C2446" s="143" t="s">
        <v>52</v>
      </c>
      <c r="D2446" s="143" t="s">
        <v>53</v>
      </c>
      <c r="E2446" s="143" t="s">
        <v>474</v>
      </c>
      <c r="F2446" s="144" t="n">
        <v>200025888913</v>
      </c>
      <c r="G2446" s="144" t="s">
        <v>429</v>
      </c>
      <c r="H2446" s="144" t="n">
        <v>97</v>
      </c>
      <c r="I2446" s="144" t="s">
        <v>152</v>
      </c>
      <c r="J2446" s="152" t="n">
        <v>45072.6357638889</v>
      </c>
      <c r="K2446" s="1" t="n">
        <v>1</v>
      </c>
      <c r="L2446" s="144" t="n">
        <v>97</v>
      </c>
      <c r="M2446" s="1" t="n">
        <v>81</v>
      </c>
      <c r="N2446" s="1" t="n">
        <v>81</v>
      </c>
      <c r="O2446" s="149" t="n">
        <v>44</v>
      </c>
    </row>
    <row r="2447" customFormat="false" ht="14.25" hidden="false" customHeight="false" outlineLevel="0" collapsed="false">
      <c r="A2447" s="1" t="n">
        <v>53</v>
      </c>
      <c r="B2447" s="1" t="s">
        <v>477</v>
      </c>
      <c r="C2447" s="143" t="s">
        <v>52</v>
      </c>
      <c r="D2447" s="143" t="s">
        <v>53</v>
      </c>
      <c r="E2447" s="143" t="s">
        <v>474</v>
      </c>
      <c r="F2447" s="144" t="n">
        <v>200025888913</v>
      </c>
      <c r="G2447" s="144" t="s">
        <v>429</v>
      </c>
      <c r="H2447" s="144" t="n">
        <v>97</v>
      </c>
      <c r="I2447" s="144" t="s">
        <v>152</v>
      </c>
      <c r="J2447" s="152" t="n">
        <v>45072.6362962963</v>
      </c>
      <c r="K2447" s="1" t="n">
        <v>2</v>
      </c>
      <c r="L2447" s="144" t="n">
        <v>97</v>
      </c>
      <c r="M2447" s="1" t="n">
        <v>81</v>
      </c>
      <c r="N2447" s="1" t="n">
        <v>81</v>
      </c>
      <c r="O2447" s="149" t="n">
        <v>45</v>
      </c>
    </row>
    <row r="2448" customFormat="false" ht="14.25" hidden="false" customHeight="false" outlineLevel="0" collapsed="false">
      <c r="A2448" s="1" t="n">
        <v>54</v>
      </c>
      <c r="B2448" s="1" t="s">
        <v>477</v>
      </c>
      <c r="C2448" s="143" t="s">
        <v>52</v>
      </c>
      <c r="D2448" s="143" t="s">
        <v>53</v>
      </c>
      <c r="E2448" s="143" t="s">
        <v>474</v>
      </c>
      <c r="F2448" s="144" t="n">
        <v>200025888913</v>
      </c>
      <c r="G2448" s="144" t="s">
        <v>429</v>
      </c>
      <c r="H2448" s="144" t="n">
        <v>97</v>
      </c>
      <c r="I2448" s="144" t="s">
        <v>152</v>
      </c>
      <c r="J2448" s="152" t="n">
        <v>45072.6366435185</v>
      </c>
      <c r="K2448" s="1" t="n">
        <v>1</v>
      </c>
      <c r="L2448" s="144" t="n">
        <v>97</v>
      </c>
      <c r="M2448" s="1" t="n">
        <v>81</v>
      </c>
      <c r="N2448" s="1" t="n">
        <v>81</v>
      </c>
      <c r="O2448" s="149" t="n">
        <v>46</v>
      </c>
    </row>
    <row r="2449" customFormat="false" ht="14.25" hidden="false" customHeight="false" outlineLevel="0" collapsed="false">
      <c r="A2449" s="1" t="n">
        <v>55</v>
      </c>
      <c r="B2449" s="1" t="s">
        <v>477</v>
      </c>
      <c r="C2449" s="143" t="s">
        <v>52</v>
      </c>
      <c r="D2449" s="143" t="s">
        <v>53</v>
      </c>
      <c r="E2449" s="143" t="s">
        <v>474</v>
      </c>
      <c r="F2449" s="144" t="n">
        <v>200025888913</v>
      </c>
      <c r="G2449" s="144" t="s">
        <v>429</v>
      </c>
      <c r="H2449" s="144" t="n">
        <v>97</v>
      </c>
      <c r="I2449" s="144" t="s">
        <v>152</v>
      </c>
      <c r="J2449" s="152" t="n">
        <v>45072.6369097222</v>
      </c>
      <c r="K2449" s="1" t="n">
        <v>0</v>
      </c>
      <c r="L2449" s="144" t="n">
        <v>97</v>
      </c>
      <c r="M2449" s="1" t="n">
        <v>81</v>
      </c>
      <c r="N2449" s="1" t="n">
        <v>81</v>
      </c>
      <c r="O2449" s="149" t="n">
        <v>47</v>
      </c>
    </row>
    <row r="2450" customFormat="false" ht="14.25" hidden="false" customHeight="false" outlineLevel="0" collapsed="false">
      <c r="A2450" s="1" t="n">
        <v>56</v>
      </c>
      <c r="B2450" s="1" t="s">
        <v>477</v>
      </c>
      <c r="C2450" s="143" t="s">
        <v>52</v>
      </c>
      <c r="D2450" s="143" t="s">
        <v>53</v>
      </c>
      <c r="E2450" s="143" t="s">
        <v>474</v>
      </c>
      <c r="F2450" s="144" t="n">
        <v>200025888913</v>
      </c>
      <c r="G2450" s="144" t="s">
        <v>429</v>
      </c>
      <c r="H2450" s="144" t="n">
        <v>97</v>
      </c>
      <c r="I2450" s="144" t="s">
        <v>152</v>
      </c>
      <c r="J2450" s="152" t="n">
        <v>45072.6370601852</v>
      </c>
      <c r="K2450" s="1" t="n">
        <v>3</v>
      </c>
      <c r="L2450" s="144" t="n">
        <v>97</v>
      </c>
      <c r="M2450" s="1" t="n">
        <v>81</v>
      </c>
      <c r="N2450" s="1" t="n">
        <v>81</v>
      </c>
      <c r="O2450" s="149" t="n">
        <v>48</v>
      </c>
    </row>
    <row r="2451" customFormat="false" ht="14.25" hidden="false" customHeight="false" outlineLevel="0" collapsed="false">
      <c r="A2451" s="1" t="n">
        <v>57</v>
      </c>
      <c r="B2451" s="1" t="s">
        <v>477</v>
      </c>
      <c r="C2451" s="143" t="s">
        <v>52</v>
      </c>
      <c r="D2451" s="143" t="s">
        <v>53</v>
      </c>
      <c r="E2451" s="143" t="s">
        <v>474</v>
      </c>
      <c r="F2451" s="144" t="n">
        <v>200025888913</v>
      </c>
      <c r="G2451" s="144" t="s">
        <v>429</v>
      </c>
      <c r="H2451" s="144" t="n">
        <v>97</v>
      </c>
      <c r="I2451" s="144" t="s">
        <v>152</v>
      </c>
      <c r="J2451" s="152" t="n">
        <v>45072.6371412037</v>
      </c>
      <c r="K2451" s="1" t="n">
        <v>1</v>
      </c>
      <c r="L2451" s="144" t="n">
        <v>97</v>
      </c>
      <c r="M2451" s="1" t="n">
        <v>81</v>
      </c>
      <c r="N2451" s="1" t="n">
        <v>81</v>
      </c>
      <c r="O2451" s="149" t="n">
        <v>49</v>
      </c>
    </row>
    <row r="2452" customFormat="false" ht="14.25" hidden="false" customHeight="false" outlineLevel="0" collapsed="false">
      <c r="A2452" s="1" t="n">
        <v>58</v>
      </c>
      <c r="B2452" s="1" t="s">
        <v>477</v>
      </c>
      <c r="C2452" s="143" t="s">
        <v>52</v>
      </c>
      <c r="D2452" s="143" t="s">
        <v>53</v>
      </c>
      <c r="E2452" s="143" t="s">
        <v>474</v>
      </c>
      <c r="F2452" s="144" t="n">
        <v>200025888913</v>
      </c>
      <c r="G2452" s="144" t="s">
        <v>429</v>
      </c>
      <c r="H2452" s="144" t="n">
        <v>97</v>
      </c>
      <c r="I2452" s="144" t="s">
        <v>152</v>
      </c>
      <c r="J2452" s="152" t="n">
        <v>45072.6372453704</v>
      </c>
      <c r="K2452" s="1" t="n">
        <v>1</v>
      </c>
      <c r="L2452" s="144" t="n">
        <v>97</v>
      </c>
      <c r="M2452" s="1" t="n">
        <v>81</v>
      </c>
      <c r="N2452" s="1" t="n">
        <v>81</v>
      </c>
      <c r="O2452" s="149" t="n">
        <v>50</v>
      </c>
    </row>
    <row r="2453" customFormat="false" ht="14.25" hidden="false" customHeight="false" outlineLevel="0" collapsed="false">
      <c r="A2453" s="1" t="n">
        <v>59</v>
      </c>
      <c r="B2453" s="1" t="s">
        <v>477</v>
      </c>
      <c r="C2453" s="143" t="s">
        <v>52</v>
      </c>
      <c r="D2453" s="143" t="s">
        <v>53</v>
      </c>
      <c r="E2453" s="143" t="s">
        <v>474</v>
      </c>
      <c r="F2453" s="144" t="n">
        <v>200025888913</v>
      </c>
      <c r="G2453" s="144" t="s">
        <v>429</v>
      </c>
      <c r="H2453" s="144" t="n">
        <v>97</v>
      </c>
      <c r="I2453" s="144" t="s">
        <v>152</v>
      </c>
      <c r="J2453" s="152" t="n">
        <v>45072.6373958333</v>
      </c>
      <c r="K2453" s="1" t="n">
        <v>2</v>
      </c>
      <c r="L2453" s="144" t="n">
        <v>97</v>
      </c>
      <c r="M2453" s="1" t="n">
        <v>81</v>
      </c>
      <c r="N2453" s="1" t="n">
        <v>81</v>
      </c>
      <c r="O2453" s="149" t="n">
        <v>51</v>
      </c>
    </row>
    <row r="2454" customFormat="false" ht="14.25" hidden="false" customHeight="false" outlineLevel="0" collapsed="false">
      <c r="A2454" s="1" t="n">
        <v>60</v>
      </c>
      <c r="B2454" s="1" t="s">
        <v>477</v>
      </c>
      <c r="C2454" s="143" t="s">
        <v>52</v>
      </c>
      <c r="D2454" s="143" t="s">
        <v>53</v>
      </c>
      <c r="E2454" s="143" t="s">
        <v>474</v>
      </c>
      <c r="F2454" s="144" t="n">
        <v>200025888913</v>
      </c>
      <c r="G2454" s="144" t="s">
        <v>429</v>
      </c>
      <c r="H2454" s="144" t="n">
        <v>97</v>
      </c>
      <c r="I2454" s="144" t="s">
        <v>152</v>
      </c>
      <c r="J2454" s="152" t="n">
        <v>45072.6375115741</v>
      </c>
      <c r="K2454" s="1" t="n">
        <v>4</v>
      </c>
      <c r="L2454" s="144" t="n">
        <v>97</v>
      </c>
      <c r="M2454" s="1" t="n">
        <v>81</v>
      </c>
      <c r="N2454" s="1" t="n">
        <v>81</v>
      </c>
      <c r="O2454" s="149" t="n">
        <v>52</v>
      </c>
    </row>
    <row r="2455" customFormat="false" ht="14.25" hidden="false" customHeight="false" outlineLevel="0" collapsed="false">
      <c r="A2455" s="1" t="n">
        <v>61</v>
      </c>
      <c r="B2455" s="1" t="s">
        <v>477</v>
      </c>
      <c r="C2455" s="143" t="s">
        <v>52</v>
      </c>
      <c r="D2455" s="143" t="s">
        <v>53</v>
      </c>
      <c r="E2455" s="143" t="s">
        <v>474</v>
      </c>
      <c r="F2455" s="144" t="n">
        <v>200025888913</v>
      </c>
      <c r="G2455" s="144" t="s">
        <v>429</v>
      </c>
      <c r="H2455" s="144" t="n">
        <v>97</v>
      </c>
      <c r="I2455" s="144" t="s">
        <v>152</v>
      </c>
      <c r="J2455" s="152" t="n">
        <v>45072.637662037</v>
      </c>
      <c r="K2455" s="1" t="n">
        <v>1</v>
      </c>
      <c r="L2455" s="144" t="n">
        <v>97</v>
      </c>
      <c r="M2455" s="1" t="n">
        <v>81</v>
      </c>
      <c r="N2455" s="1" t="n">
        <v>81</v>
      </c>
      <c r="O2455" s="149" t="n">
        <v>53</v>
      </c>
    </row>
    <row r="2456" customFormat="false" ht="14.25" hidden="false" customHeight="false" outlineLevel="0" collapsed="false">
      <c r="A2456" s="1" t="n">
        <v>62</v>
      </c>
      <c r="B2456" s="1" t="s">
        <v>477</v>
      </c>
      <c r="C2456" s="143" t="s">
        <v>52</v>
      </c>
      <c r="D2456" s="143" t="s">
        <v>53</v>
      </c>
      <c r="E2456" s="143" t="s">
        <v>474</v>
      </c>
      <c r="F2456" s="144" t="n">
        <v>200025888913</v>
      </c>
      <c r="G2456" s="144" t="s">
        <v>429</v>
      </c>
      <c r="H2456" s="144" t="n">
        <v>97</v>
      </c>
      <c r="I2456" s="144" t="s">
        <v>152</v>
      </c>
      <c r="J2456" s="152" t="n">
        <v>45072.637974537</v>
      </c>
      <c r="K2456" s="1" t="n">
        <v>3</v>
      </c>
      <c r="L2456" s="144" t="n">
        <v>97</v>
      </c>
      <c r="M2456" s="1" t="n">
        <v>81</v>
      </c>
      <c r="N2456" s="1" t="n">
        <v>81</v>
      </c>
      <c r="O2456" s="149" t="n">
        <v>54</v>
      </c>
    </row>
    <row r="2457" customFormat="false" ht="14.25" hidden="false" customHeight="false" outlineLevel="0" collapsed="false">
      <c r="A2457" s="1" t="n">
        <v>63</v>
      </c>
      <c r="B2457" s="1" t="s">
        <v>477</v>
      </c>
      <c r="C2457" s="143" t="s">
        <v>52</v>
      </c>
      <c r="D2457" s="143" t="s">
        <v>53</v>
      </c>
      <c r="E2457" s="143" t="s">
        <v>474</v>
      </c>
      <c r="F2457" s="144" t="n">
        <v>200025888913</v>
      </c>
      <c r="G2457" s="144" t="s">
        <v>429</v>
      </c>
      <c r="H2457" s="144" t="n">
        <v>97</v>
      </c>
      <c r="I2457" s="144" t="s">
        <v>152</v>
      </c>
      <c r="J2457" s="152" t="n">
        <v>45072.6625462963</v>
      </c>
      <c r="K2457" s="1" t="n">
        <v>2</v>
      </c>
      <c r="L2457" s="144" t="n">
        <v>97</v>
      </c>
      <c r="M2457" s="1" t="n">
        <v>81</v>
      </c>
      <c r="N2457" s="1" t="n">
        <v>81</v>
      </c>
      <c r="O2457" s="149" t="n">
        <v>55</v>
      </c>
    </row>
    <row r="2458" customFormat="false" ht="14.25" hidden="false" customHeight="false" outlineLevel="0" collapsed="false">
      <c r="A2458" s="1" t="n">
        <v>64</v>
      </c>
      <c r="B2458" s="1" t="s">
        <v>477</v>
      </c>
      <c r="C2458" s="143" t="s">
        <v>52</v>
      </c>
      <c r="D2458" s="143" t="s">
        <v>53</v>
      </c>
      <c r="E2458" s="143" t="s">
        <v>474</v>
      </c>
      <c r="F2458" s="144" t="n">
        <v>200025888913</v>
      </c>
      <c r="G2458" s="144" t="s">
        <v>429</v>
      </c>
      <c r="H2458" s="144" t="n">
        <v>97</v>
      </c>
      <c r="I2458" s="144" t="s">
        <v>152</v>
      </c>
      <c r="J2458" s="152" t="n">
        <v>45072.6638194444</v>
      </c>
      <c r="K2458" s="1" t="n">
        <v>2</v>
      </c>
      <c r="L2458" s="144" t="n">
        <v>97</v>
      </c>
      <c r="M2458" s="1" t="n">
        <v>81</v>
      </c>
      <c r="N2458" s="1" t="n">
        <v>81</v>
      </c>
      <c r="O2458" s="149" t="n">
        <v>56</v>
      </c>
    </row>
    <row r="2459" customFormat="false" ht="14.25" hidden="false" customHeight="false" outlineLevel="0" collapsed="false">
      <c r="A2459" s="1" t="n">
        <v>65</v>
      </c>
      <c r="B2459" s="1" t="s">
        <v>477</v>
      </c>
      <c r="C2459" s="143" t="s">
        <v>52</v>
      </c>
      <c r="D2459" s="143" t="s">
        <v>53</v>
      </c>
      <c r="E2459" s="143" t="s">
        <v>474</v>
      </c>
      <c r="F2459" s="144" t="n">
        <v>200025888913</v>
      </c>
      <c r="G2459" s="144" t="s">
        <v>429</v>
      </c>
      <c r="H2459" s="144" t="n">
        <v>97</v>
      </c>
      <c r="I2459" s="144" t="s">
        <v>152</v>
      </c>
      <c r="J2459" s="152" t="n">
        <v>45072.6673611111</v>
      </c>
      <c r="K2459" s="1" t="n">
        <v>3</v>
      </c>
      <c r="L2459" s="144" t="n">
        <v>97</v>
      </c>
      <c r="M2459" s="1" t="n">
        <v>81</v>
      </c>
      <c r="N2459" s="1" t="n">
        <v>81</v>
      </c>
      <c r="O2459" s="149" t="n">
        <v>57</v>
      </c>
    </row>
    <row r="2460" customFormat="false" ht="14.25" hidden="false" customHeight="false" outlineLevel="0" collapsed="false">
      <c r="A2460" s="1" t="n">
        <v>66</v>
      </c>
      <c r="B2460" s="1" t="s">
        <v>477</v>
      </c>
      <c r="C2460" s="143" t="s">
        <v>52</v>
      </c>
      <c r="D2460" s="143" t="s">
        <v>53</v>
      </c>
      <c r="E2460" s="143" t="s">
        <v>474</v>
      </c>
      <c r="F2460" s="144" t="n">
        <v>200025888913</v>
      </c>
      <c r="G2460" s="144" t="s">
        <v>429</v>
      </c>
      <c r="H2460" s="144" t="n">
        <v>97</v>
      </c>
      <c r="I2460" s="144" t="s">
        <v>152</v>
      </c>
      <c r="J2460" s="152" t="n">
        <v>45072.6676736111</v>
      </c>
      <c r="K2460" s="1" t="n">
        <v>2</v>
      </c>
      <c r="L2460" s="144" t="n">
        <v>97</v>
      </c>
      <c r="M2460" s="1" t="n">
        <v>81</v>
      </c>
      <c r="N2460" s="1" t="n">
        <v>81</v>
      </c>
      <c r="O2460" s="149" t="n">
        <v>58</v>
      </c>
    </row>
    <row r="2461" customFormat="false" ht="14.25" hidden="false" customHeight="false" outlineLevel="0" collapsed="false">
      <c r="A2461" s="1" t="n">
        <v>67</v>
      </c>
      <c r="B2461" s="1" t="s">
        <v>477</v>
      </c>
      <c r="C2461" s="143" t="s">
        <v>52</v>
      </c>
      <c r="D2461" s="143" t="s">
        <v>53</v>
      </c>
      <c r="E2461" s="143" t="s">
        <v>474</v>
      </c>
      <c r="F2461" s="144" t="n">
        <v>200025888913</v>
      </c>
      <c r="G2461" s="144" t="s">
        <v>429</v>
      </c>
      <c r="H2461" s="144" t="n">
        <v>97</v>
      </c>
      <c r="I2461" s="144" t="s">
        <v>152</v>
      </c>
      <c r="J2461" s="152" t="n">
        <v>45072.6682523148</v>
      </c>
      <c r="K2461" s="1" t="n">
        <v>2</v>
      </c>
      <c r="L2461" s="144" t="n">
        <v>97</v>
      </c>
      <c r="M2461" s="1" t="n">
        <v>81</v>
      </c>
      <c r="N2461" s="1" t="n">
        <v>81</v>
      </c>
      <c r="O2461" s="149" t="n">
        <v>59</v>
      </c>
    </row>
    <row r="2462" customFormat="false" ht="14.25" hidden="false" customHeight="false" outlineLevel="0" collapsed="false">
      <c r="A2462" s="1" t="n">
        <v>68</v>
      </c>
      <c r="B2462" s="1" t="s">
        <v>477</v>
      </c>
      <c r="C2462" s="143" t="s">
        <v>52</v>
      </c>
      <c r="D2462" s="143" t="s">
        <v>53</v>
      </c>
      <c r="E2462" s="143" t="s">
        <v>474</v>
      </c>
      <c r="F2462" s="144" t="n">
        <v>200025888913</v>
      </c>
      <c r="G2462" s="144" t="s">
        <v>429</v>
      </c>
      <c r="H2462" s="144" t="n">
        <v>97</v>
      </c>
      <c r="I2462" s="144" t="s">
        <v>152</v>
      </c>
      <c r="J2462" s="152" t="n">
        <v>45072.668587963</v>
      </c>
      <c r="K2462" s="1" t="n">
        <v>1</v>
      </c>
      <c r="L2462" s="144" t="n">
        <v>97</v>
      </c>
      <c r="M2462" s="1" t="n">
        <v>81</v>
      </c>
      <c r="N2462" s="1" t="n">
        <v>81</v>
      </c>
      <c r="O2462" s="149" t="n">
        <v>60</v>
      </c>
    </row>
    <row r="2463" customFormat="false" ht="14.25" hidden="false" customHeight="false" outlineLevel="0" collapsed="false">
      <c r="A2463" s="1" t="n">
        <v>69</v>
      </c>
      <c r="B2463" s="1" t="s">
        <v>477</v>
      </c>
      <c r="C2463" s="143" t="s">
        <v>52</v>
      </c>
      <c r="D2463" s="143" t="s">
        <v>53</v>
      </c>
      <c r="E2463" s="143" t="s">
        <v>474</v>
      </c>
      <c r="F2463" s="144" t="n">
        <v>200025888913</v>
      </c>
      <c r="G2463" s="144" t="s">
        <v>429</v>
      </c>
      <c r="H2463" s="144" t="n">
        <v>97</v>
      </c>
      <c r="I2463" s="144" t="s">
        <v>152</v>
      </c>
      <c r="J2463" s="152" t="n">
        <v>45072.6692824074</v>
      </c>
      <c r="K2463" s="1" t="n">
        <v>2</v>
      </c>
      <c r="L2463" s="144" t="n">
        <v>97</v>
      </c>
      <c r="M2463" s="1" t="n">
        <v>81</v>
      </c>
      <c r="N2463" s="1" t="n">
        <v>81</v>
      </c>
      <c r="O2463" s="149" t="n">
        <v>61</v>
      </c>
    </row>
    <row r="2464" customFormat="false" ht="14.25" hidden="false" customHeight="false" outlineLevel="0" collapsed="false">
      <c r="A2464" s="1" t="n">
        <v>70</v>
      </c>
      <c r="B2464" s="1" t="s">
        <v>477</v>
      </c>
      <c r="C2464" s="143" t="s">
        <v>52</v>
      </c>
      <c r="D2464" s="143" t="s">
        <v>53</v>
      </c>
      <c r="E2464" s="143" t="s">
        <v>474</v>
      </c>
      <c r="F2464" s="144" t="n">
        <v>200025888913</v>
      </c>
      <c r="G2464" s="144" t="s">
        <v>429</v>
      </c>
      <c r="H2464" s="144" t="n">
        <v>97</v>
      </c>
      <c r="I2464" s="144" t="s">
        <v>152</v>
      </c>
      <c r="J2464" s="152" t="n">
        <v>45072.6694328704</v>
      </c>
      <c r="K2464" s="1" t="n">
        <v>2</v>
      </c>
      <c r="L2464" s="144" t="n">
        <v>97</v>
      </c>
      <c r="M2464" s="1" t="n">
        <v>81</v>
      </c>
      <c r="N2464" s="1" t="n">
        <v>81</v>
      </c>
      <c r="O2464" s="149" t="n">
        <v>62</v>
      </c>
    </row>
    <row r="2465" customFormat="false" ht="14.25" hidden="false" customHeight="false" outlineLevel="0" collapsed="false">
      <c r="A2465" s="1" t="n">
        <v>71</v>
      </c>
      <c r="B2465" s="1" t="s">
        <v>477</v>
      </c>
      <c r="C2465" s="143" t="s">
        <v>52</v>
      </c>
      <c r="D2465" s="143" t="s">
        <v>53</v>
      </c>
      <c r="E2465" s="143" t="s">
        <v>474</v>
      </c>
      <c r="F2465" s="144" t="n">
        <v>200025888913</v>
      </c>
      <c r="G2465" s="144" t="s">
        <v>429</v>
      </c>
      <c r="H2465" s="144" t="n">
        <v>97</v>
      </c>
      <c r="I2465" s="144" t="s">
        <v>152</v>
      </c>
      <c r="J2465" s="152" t="n">
        <v>45072.6695949074</v>
      </c>
      <c r="K2465" s="1" t="n">
        <v>2</v>
      </c>
      <c r="L2465" s="144" t="n">
        <v>97</v>
      </c>
      <c r="M2465" s="1" t="n">
        <v>81</v>
      </c>
      <c r="N2465" s="1" t="n">
        <v>81</v>
      </c>
      <c r="O2465" s="149" t="n">
        <v>63</v>
      </c>
    </row>
    <row r="2466" customFormat="false" ht="14.25" hidden="false" customHeight="false" outlineLevel="0" collapsed="false">
      <c r="A2466" s="1" t="n">
        <v>72</v>
      </c>
      <c r="B2466" s="1" t="s">
        <v>477</v>
      </c>
      <c r="C2466" s="143" t="s">
        <v>52</v>
      </c>
      <c r="D2466" s="143" t="s">
        <v>53</v>
      </c>
      <c r="E2466" s="143" t="s">
        <v>474</v>
      </c>
      <c r="F2466" s="144" t="n">
        <v>200025888913</v>
      </c>
      <c r="G2466" s="144" t="s">
        <v>429</v>
      </c>
      <c r="H2466" s="144" t="n">
        <v>97</v>
      </c>
      <c r="I2466" s="144" t="s">
        <v>152</v>
      </c>
      <c r="J2466" s="152" t="n">
        <v>45072.670150463</v>
      </c>
      <c r="K2466" s="1" t="n">
        <v>3</v>
      </c>
      <c r="L2466" s="144" t="n">
        <v>97</v>
      </c>
      <c r="M2466" s="1" t="n">
        <v>81</v>
      </c>
      <c r="N2466" s="1" t="n">
        <v>81</v>
      </c>
      <c r="O2466" s="149" t="n">
        <v>64</v>
      </c>
    </row>
    <row r="2467" customFormat="false" ht="14.25" hidden="false" customHeight="false" outlineLevel="0" collapsed="false">
      <c r="A2467" s="1" t="n">
        <v>73</v>
      </c>
      <c r="B2467" s="1" t="s">
        <v>477</v>
      </c>
      <c r="C2467" s="143" t="s">
        <v>52</v>
      </c>
      <c r="D2467" s="143" t="s">
        <v>53</v>
      </c>
      <c r="E2467" s="143" t="s">
        <v>474</v>
      </c>
      <c r="F2467" s="144" t="n">
        <v>200025888913</v>
      </c>
      <c r="G2467" s="144" t="s">
        <v>429</v>
      </c>
      <c r="H2467" s="144" t="n">
        <v>97</v>
      </c>
      <c r="I2467" s="144" t="s">
        <v>152</v>
      </c>
      <c r="J2467" s="152" t="n">
        <v>45072.6705324074</v>
      </c>
      <c r="K2467" s="1" t="n">
        <v>2</v>
      </c>
      <c r="L2467" s="144" t="n">
        <v>97</v>
      </c>
      <c r="M2467" s="1" t="n">
        <v>81</v>
      </c>
      <c r="N2467" s="1" t="n">
        <v>81</v>
      </c>
      <c r="O2467" s="149" t="n">
        <v>65</v>
      </c>
    </row>
    <row r="2468" customFormat="false" ht="14.25" hidden="false" customHeight="false" outlineLevel="0" collapsed="false">
      <c r="A2468" s="1" t="n">
        <v>74</v>
      </c>
      <c r="B2468" s="1" t="s">
        <v>477</v>
      </c>
      <c r="C2468" s="143" t="s">
        <v>52</v>
      </c>
      <c r="D2468" s="143" t="s">
        <v>53</v>
      </c>
      <c r="E2468" s="143" t="s">
        <v>474</v>
      </c>
      <c r="F2468" s="144" t="n">
        <v>200025888913</v>
      </c>
      <c r="G2468" s="144" t="s">
        <v>429</v>
      </c>
      <c r="H2468" s="144" t="n">
        <v>97</v>
      </c>
      <c r="I2468" s="144" t="s">
        <v>152</v>
      </c>
      <c r="J2468" s="152" t="n">
        <v>45072.6709375</v>
      </c>
      <c r="K2468" s="1" t="n">
        <v>1</v>
      </c>
      <c r="L2468" s="144" t="n">
        <v>97</v>
      </c>
      <c r="M2468" s="1" t="n">
        <v>81</v>
      </c>
      <c r="N2468" s="1" t="n">
        <v>81</v>
      </c>
      <c r="O2468" s="149" t="n">
        <v>66</v>
      </c>
    </row>
    <row r="2469" customFormat="false" ht="14.25" hidden="false" customHeight="false" outlineLevel="0" collapsed="false">
      <c r="A2469" s="1" t="n">
        <v>75</v>
      </c>
      <c r="B2469" s="1" t="s">
        <v>477</v>
      </c>
      <c r="C2469" s="143" t="s">
        <v>52</v>
      </c>
      <c r="D2469" s="143" t="s">
        <v>53</v>
      </c>
      <c r="E2469" s="143" t="s">
        <v>474</v>
      </c>
      <c r="F2469" s="144" t="n">
        <v>200025888913</v>
      </c>
      <c r="G2469" s="144" t="s">
        <v>429</v>
      </c>
      <c r="H2469" s="144" t="n">
        <v>97</v>
      </c>
      <c r="I2469" s="144" t="s">
        <v>152</v>
      </c>
      <c r="J2469" s="152" t="n">
        <v>45072.671099537</v>
      </c>
      <c r="K2469" s="1" t="n">
        <v>2</v>
      </c>
      <c r="L2469" s="144" t="n">
        <v>97</v>
      </c>
      <c r="M2469" s="1" t="n">
        <v>81</v>
      </c>
      <c r="N2469" s="1" t="n">
        <v>81</v>
      </c>
      <c r="O2469" s="149" t="n">
        <v>67</v>
      </c>
    </row>
    <row r="2470" customFormat="false" ht="14.25" hidden="false" customHeight="false" outlineLevel="0" collapsed="false">
      <c r="A2470" s="1" t="n">
        <v>76</v>
      </c>
      <c r="B2470" s="1" t="s">
        <v>477</v>
      </c>
      <c r="C2470" s="143" t="s">
        <v>52</v>
      </c>
      <c r="D2470" s="143" t="s">
        <v>53</v>
      </c>
      <c r="E2470" s="143" t="s">
        <v>474</v>
      </c>
      <c r="F2470" s="144" t="n">
        <v>200025888913</v>
      </c>
      <c r="G2470" s="144" t="s">
        <v>429</v>
      </c>
      <c r="H2470" s="144" t="n">
        <v>97</v>
      </c>
      <c r="I2470" s="144" t="s">
        <v>152</v>
      </c>
      <c r="J2470" s="152" t="n">
        <v>45072.6714236111</v>
      </c>
      <c r="K2470" s="1" t="n">
        <v>1</v>
      </c>
      <c r="L2470" s="144" t="n">
        <v>97</v>
      </c>
      <c r="M2470" s="1" t="n">
        <v>81</v>
      </c>
      <c r="N2470" s="1" t="n">
        <v>81</v>
      </c>
      <c r="O2470" s="149" t="n">
        <v>68</v>
      </c>
    </row>
    <row r="2471" customFormat="false" ht="14.25" hidden="false" customHeight="false" outlineLevel="0" collapsed="false">
      <c r="A2471" s="1" t="n">
        <v>77</v>
      </c>
      <c r="B2471" s="1" t="s">
        <v>477</v>
      </c>
      <c r="C2471" s="143" t="s">
        <v>52</v>
      </c>
      <c r="D2471" s="143" t="s">
        <v>53</v>
      </c>
      <c r="E2471" s="143" t="s">
        <v>474</v>
      </c>
      <c r="F2471" s="144" t="n">
        <v>200025888913</v>
      </c>
      <c r="G2471" s="144" t="s">
        <v>429</v>
      </c>
      <c r="H2471" s="144" t="n">
        <v>97</v>
      </c>
      <c r="I2471" s="144" t="s">
        <v>152</v>
      </c>
      <c r="J2471" s="152" t="n">
        <v>45072.6752546296</v>
      </c>
      <c r="K2471" s="1" t="n">
        <v>1</v>
      </c>
      <c r="L2471" s="144" t="n">
        <v>97</v>
      </c>
      <c r="M2471" s="1" t="n">
        <v>81</v>
      </c>
      <c r="N2471" s="1" t="n">
        <v>81</v>
      </c>
      <c r="O2471" s="149" t="n">
        <v>69</v>
      </c>
    </row>
    <row r="2472" customFormat="false" ht="14.25" hidden="false" customHeight="false" outlineLevel="0" collapsed="false">
      <c r="A2472" s="1" t="n">
        <v>78</v>
      </c>
      <c r="B2472" s="1" t="s">
        <v>477</v>
      </c>
      <c r="C2472" s="143" t="s">
        <v>52</v>
      </c>
      <c r="D2472" s="143" t="s">
        <v>53</v>
      </c>
      <c r="E2472" s="143" t="s">
        <v>474</v>
      </c>
      <c r="F2472" s="144" t="n">
        <v>200025888913</v>
      </c>
      <c r="G2472" s="144" t="s">
        <v>429</v>
      </c>
      <c r="H2472" s="144" t="n">
        <v>97</v>
      </c>
      <c r="I2472" s="144" t="s">
        <v>152</v>
      </c>
      <c r="J2472" s="152" t="n">
        <v>45072.6754861111</v>
      </c>
      <c r="K2472" s="1" t="n">
        <v>2</v>
      </c>
      <c r="L2472" s="144" t="n">
        <v>97</v>
      </c>
      <c r="M2472" s="1" t="n">
        <v>81</v>
      </c>
      <c r="N2472" s="1" t="n">
        <v>81</v>
      </c>
      <c r="O2472" s="149" t="n">
        <v>70</v>
      </c>
    </row>
    <row r="2473" customFormat="false" ht="14.25" hidden="false" customHeight="false" outlineLevel="0" collapsed="false">
      <c r="A2473" s="1" t="n">
        <v>79</v>
      </c>
      <c r="B2473" s="1" t="s">
        <v>477</v>
      </c>
      <c r="C2473" s="143" t="s">
        <v>52</v>
      </c>
      <c r="D2473" s="143" t="s">
        <v>53</v>
      </c>
      <c r="E2473" s="143" t="s">
        <v>474</v>
      </c>
      <c r="F2473" s="144" t="n">
        <v>200025888913</v>
      </c>
      <c r="G2473" s="144" t="s">
        <v>429</v>
      </c>
      <c r="H2473" s="144" t="n">
        <v>97</v>
      </c>
      <c r="I2473" s="144" t="s">
        <v>152</v>
      </c>
      <c r="J2473" s="152" t="n">
        <v>45072.6756712963</v>
      </c>
      <c r="K2473" s="1" t="n">
        <v>1</v>
      </c>
      <c r="L2473" s="144" t="n">
        <v>97</v>
      </c>
      <c r="M2473" s="1" t="n">
        <v>81</v>
      </c>
      <c r="N2473" s="1" t="n">
        <v>81</v>
      </c>
      <c r="O2473" s="149" t="n">
        <v>71</v>
      </c>
    </row>
    <row r="2474" customFormat="false" ht="14.25" hidden="false" customHeight="false" outlineLevel="0" collapsed="false">
      <c r="A2474" s="1" t="n">
        <v>80</v>
      </c>
      <c r="B2474" s="1" t="s">
        <v>477</v>
      </c>
      <c r="C2474" s="143" t="s">
        <v>52</v>
      </c>
      <c r="D2474" s="143" t="s">
        <v>53</v>
      </c>
      <c r="E2474" s="143" t="s">
        <v>474</v>
      </c>
      <c r="F2474" s="144" t="n">
        <v>200025888913</v>
      </c>
      <c r="G2474" s="144" t="s">
        <v>429</v>
      </c>
      <c r="H2474" s="144" t="n">
        <v>97</v>
      </c>
      <c r="I2474" s="144" t="s">
        <v>152</v>
      </c>
      <c r="J2474" s="152" t="n">
        <v>45072.6760532407</v>
      </c>
      <c r="K2474" s="1" t="n">
        <v>2</v>
      </c>
      <c r="L2474" s="144" t="n">
        <v>97</v>
      </c>
      <c r="M2474" s="1" t="n">
        <v>81</v>
      </c>
      <c r="N2474" s="1" t="n">
        <v>81</v>
      </c>
      <c r="O2474" s="149" t="n">
        <v>72</v>
      </c>
    </row>
    <row r="2475" customFormat="false" ht="14.25" hidden="false" customHeight="false" outlineLevel="0" collapsed="false">
      <c r="A2475" s="1" t="n">
        <v>81</v>
      </c>
      <c r="B2475" s="1" t="s">
        <v>477</v>
      </c>
      <c r="C2475" s="143" t="s">
        <v>52</v>
      </c>
      <c r="D2475" s="143" t="s">
        <v>53</v>
      </c>
      <c r="E2475" s="143" t="s">
        <v>474</v>
      </c>
      <c r="F2475" s="144" t="n">
        <v>200025888913</v>
      </c>
      <c r="G2475" s="144" t="s">
        <v>429</v>
      </c>
      <c r="H2475" s="144" t="n">
        <v>97</v>
      </c>
      <c r="I2475" s="144" t="s">
        <v>152</v>
      </c>
      <c r="J2475" s="152" t="n">
        <v>45072.6762037037</v>
      </c>
      <c r="K2475" s="1" t="n">
        <v>1</v>
      </c>
      <c r="L2475" s="144" t="n">
        <v>97</v>
      </c>
      <c r="M2475" s="1" t="n">
        <v>81</v>
      </c>
      <c r="N2475" s="1" t="n">
        <v>81</v>
      </c>
      <c r="O2475" s="149" t="n">
        <v>73</v>
      </c>
    </row>
    <row r="2476" customFormat="false" ht="14.25" hidden="false" customHeight="false" outlineLevel="0" collapsed="false">
      <c r="A2476" s="1" t="n">
        <v>82</v>
      </c>
      <c r="B2476" s="1" t="s">
        <v>477</v>
      </c>
      <c r="C2476" s="143" t="s">
        <v>52</v>
      </c>
      <c r="D2476" s="143" t="s">
        <v>53</v>
      </c>
      <c r="E2476" s="143" t="s">
        <v>474</v>
      </c>
      <c r="F2476" s="144" t="n">
        <v>200025888913</v>
      </c>
      <c r="G2476" s="144" t="s">
        <v>429</v>
      </c>
      <c r="H2476" s="144" t="n">
        <v>97</v>
      </c>
      <c r="I2476" s="144" t="s">
        <v>152</v>
      </c>
      <c r="J2476" s="152" t="n">
        <v>45072.6827546296</v>
      </c>
      <c r="K2476" s="1" t="n">
        <v>3</v>
      </c>
      <c r="L2476" s="144" t="n">
        <v>97</v>
      </c>
      <c r="M2476" s="1" t="n">
        <v>81</v>
      </c>
      <c r="N2476" s="1" t="n">
        <v>81</v>
      </c>
      <c r="O2476" s="149" t="n">
        <v>74</v>
      </c>
    </row>
    <row r="2477" customFormat="false" ht="14.25" hidden="false" customHeight="false" outlineLevel="0" collapsed="false">
      <c r="A2477" s="1" t="n">
        <v>83</v>
      </c>
      <c r="B2477" s="1" t="s">
        <v>477</v>
      </c>
      <c r="C2477" s="143" t="s">
        <v>52</v>
      </c>
      <c r="D2477" s="143" t="s">
        <v>53</v>
      </c>
      <c r="E2477" s="143" t="s">
        <v>474</v>
      </c>
      <c r="F2477" s="144" t="n">
        <v>200025888913</v>
      </c>
      <c r="G2477" s="144" t="s">
        <v>429</v>
      </c>
      <c r="H2477" s="144" t="n">
        <v>97</v>
      </c>
      <c r="I2477" s="144" t="s">
        <v>152</v>
      </c>
      <c r="J2477" s="152" t="n">
        <v>45072.6843518519</v>
      </c>
      <c r="K2477" s="1" t="n">
        <v>2</v>
      </c>
      <c r="L2477" s="144" t="n">
        <v>97</v>
      </c>
      <c r="M2477" s="1" t="n">
        <v>81</v>
      </c>
      <c r="N2477" s="1" t="n">
        <v>81</v>
      </c>
      <c r="O2477" s="149" t="n">
        <v>75</v>
      </c>
    </row>
    <row r="2478" customFormat="false" ht="14.25" hidden="false" customHeight="false" outlineLevel="0" collapsed="false">
      <c r="A2478" s="1" t="n">
        <v>84</v>
      </c>
      <c r="B2478" s="1" t="s">
        <v>477</v>
      </c>
      <c r="C2478" s="143" t="s">
        <v>52</v>
      </c>
      <c r="D2478" s="143" t="s">
        <v>53</v>
      </c>
      <c r="E2478" s="143" t="s">
        <v>474</v>
      </c>
      <c r="F2478" s="144" t="n">
        <v>200025888913</v>
      </c>
      <c r="G2478" s="144" t="s">
        <v>429</v>
      </c>
      <c r="H2478" s="144" t="n">
        <v>97</v>
      </c>
      <c r="I2478" s="144" t="s">
        <v>152</v>
      </c>
      <c r="J2478" s="152" t="n">
        <v>45072.6845601852</v>
      </c>
      <c r="K2478" s="1" t="n">
        <v>2</v>
      </c>
      <c r="L2478" s="144" t="n">
        <v>97</v>
      </c>
      <c r="M2478" s="1" t="n">
        <v>81</v>
      </c>
      <c r="N2478" s="1" t="n">
        <v>81</v>
      </c>
      <c r="O2478" s="149" t="n">
        <v>76</v>
      </c>
    </row>
    <row r="2479" customFormat="false" ht="14.25" hidden="false" customHeight="false" outlineLevel="0" collapsed="false">
      <c r="A2479" s="1" t="n">
        <v>85</v>
      </c>
      <c r="B2479" s="1" t="s">
        <v>477</v>
      </c>
      <c r="C2479" s="143" t="s">
        <v>52</v>
      </c>
      <c r="D2479" s="143" t="s">
        <v>53</v>
      </c>
      <c r="E2479" s="143" t="s">
        <v>474</v>
      </c>
      <c r="F2479" s="144" t="n">
        <v>200025888913</v>
      </c>
      <c r="G2479" s="144" t="s">
        <v>429</v>
      </c>
      <c r="H2479" s="144" t="n">
        <v>97</v>
      </c>
      <c r="I2479" s="144" t="s">
        <v>152</v>
      </c>
      <c r="J2479" s="152" t="n">
        <v>45072.6846990741</v>
      </c>
      <c r="K2479" s="1" t="n">
        <v>1</v>
      </c>
      <c r="L2479" s="144" t="n">
        <v>97</v>
      </c>
      <c r="M2479" s="1" t="n">
        <v>81</v>
      </c>
      <c r="N2479" s="1" t="n">
        <v>81</v>
      </c>
      <c r="O2479" s="149" t="n">
        <v>77</v>
      </c>
    </row>
    <row r="2480" customFormat="false" ht="14.25" hidden="false" customHeight="false" outlineLevel="0" collapsed="false">
      <c r="A2480" s="1" t="n">
        <v>86</v>
      </c>
      <c r="B2480" s="1" t="s">
        <v>477</v>
      </c>
      <c r="C2480" s="143" t="s">
        <v>52</v>
      </c>
      <c r="D2480" s="143" t="s">
        <v>53</v>
      </c>
      <c r="E2480" s="143" t="s">
        <v>474</v>
      </c>
      <c r="F2480" s="144" t="n">
        <v>200025888913</v>
      </c>
      <c r="G2480" s="144" t="s">
        <v>429</v>
      </c>
      <c r="H2480" s="144" t="n">
        <v>97</v>
      </c>
      <c r="I2480" s="144" t="s">
        <v>152</v>
      </c>
      <c r="J2480" s="152" t="n">
        <v>45072.6847222222</v>
      </c>
      <c r="K2480" s="1" t="n">
        <v>3</v>
      </c>
      <c r="L2480" s="144" t="n">
        <v>97</v>
      </c>
      <c r="M2480" s="1" t="n">
        <v>81</v>
      </c>
      <c r="N2480" s="1" t="n">
        <v>81</v>
      </c>
      <c r="O2480" s="149" t="n">
        <v>78</v>
      </c>
    </row>
    <row r="2481" customFormat="false" ht="14.25" hidden="false" customHeight="false" outlineLevel="0" collapsed="false">
      <c r="A2481" s="1" t="n">
        <v>87</v>
      </c>
      <c r="B2481" s="1" t="s">
        <v>477</v>
      </c>
      <c r="C2481" s="143" t="s">
        <v>52</v>
      </c>
      <c r="D2481" s="143" t="s">
        <v>53</v>
      </c>
      <c r="E2481" s="143" t="s">
        <v>474</v>
      </c>
      <c r="F2481" s="144" t="n">
        <v>200025888913</v>
      </c>
      <c r="G2481" s="144" t="s">
        <v>429</v>
      </c>
      <c r="H2481" s="144" t="n">
        <v>97</v>
      </c>
      <c r="I2481" s="144" t="s">
        <v>152</v>
      </c>
      <c r="J2481" s="152" t="n">
        <v>45072.6980208333</v>
      </c>
      <c r="K2481" s="1" t="n">
        <v>2</v>
      </c>
      <c r="L2481" s="144" t="n">
        <v>97</v>
      </c>
      <c r="M2481" s="1" t="n">
        <v>81</v>
      </c>
      <c r="N2481" s="1" t="n">
        <v>81</v>
      </c>
      <c r="O2481" s="149" t="n">
        <v>79</v>
      </c>
    </row>
    <row r="2482" customFormat="false" ht="14.25" hidden="false" customHeight="false" outlineLevel="0" collapsed="false">
      <c r="A2482" s="1" t="n">
        <v>88</v>
      </c>
      <c r="B2482" s="1" t="s">
        <v>477</v>
      </c>
      <c r="C2482" s="143" t="s">
        <v>52</v>
      </c>
      <c r="D2482" s="143" t="s">
        <v>53</v>
      </c>
      <c r="E2482" s="143" t="s">
        <v>474</v>
      </c>
      <c r="F2482" s="144" t="n">
        <v>200025888913</v>
      </c>
      <c r="G2482" s="144" t="s">
        <v>429</v>
      </c>
      <c r="H2482" s="144" t="n">
        <v>97</v>
      </c>
      <c r="I2482" s="144" t="s">
        <v>152</v>
      </c>
      <c r="J2482" s="152" t="n">
        <v>45072.6981944444</v>
      </c>
      <c r="K2482" s="1" t="n">
        <v>2</v>
      </c>
      <c r="L2482" s="144" t="n">
        <v>97</v>
      </c>
      <c r="M2482" s="1" t="n">
        <v>81</v>
      </c>
      <c r="N2482" s="1" t="n">
        <v>81</v>
      </c>
      <c r="O2482" s="149" t="n">
        <v>80</v>
      </c>
    </row>
    <row r="2483" customFormat="false" ht="14.25" hidden="false" customHeight="false" outlineLevel="0" collapsed="false">
      <c r="A2483" s="1" t="n">
        <v>89</v>
      </c>
      <c r="B2483" s="1" t="s">
        <v>477</v>
      </c>
      <c r="C2483" s="143" t="s">
        <v>52</v>
      </c>
      <c r="D2483" s="143" t="s">
        <v>53</v>
      </c>
      <c r="E2483" s="143" t="s">
        <v>474</v>
      </c>
      <c r="F2483" s="144" t="n">
        <v>200025888913</v>
      </c>
      <c r="G2483" s="144" t="s">
        <v>429</v>
      </c>
      <c r="H2483" s="144" t="n">
        <v>97</v>
      </c>
      <c r="I2483" s="144" t="s">
        <v>152</v>
      </c>
      <c r="J2483" s="152" t="n">
        <v>45072.6983680556</v>
      </c>
      <c r="K2483" s="1" t="n">
        <v>2</v>
      </c>
      <c r="L2483" s="144" t="n">
        <v>97</v>
      </c>
      <c r="M2483" s="1" t="n">
        <v>81</v>
      </c>
      <c r="N2483" s="1" t="n">
        <v>81</v>
      </c>
      <c r="O2483" s="149" t="n">
        <v>81</v>
      </c>
    </row>
    <row r="2484" customFormat="false" ht="14.25" hidden="false" customHeight="false" outlineLevel="0" collapsed="false">
      <c r="A2484" s="1" t="n">
        <v>90</v>
      </c>
      <c r="B2484" s="1" t="s">
        <v>477</v>
      </c>
      <c r="C2484" s="143" t="s">
        <v>52</v>
      </c>
      <c r="D2484" s="143" t="s">
        <v>53</v>
      </c>
      <c r="E2484" s="143" t="s">
        <v>474</v>
      </c>
      <c r="F2484" s="144" t="n">
        <v>200025888913</v>
      </c>
      <c r="G2484" s="144" t="s">
        <v>429</v>
      </c>
      <c r="H2484" s="144" t="n">
        <v>97</v>
      </c>
      <c r="I2484" s="144" t="s">
        <v>152</v>
      </c>
      <c r="J2484" s="152" t="n">
        <v>45072.6985069444</v>
      </c>
      <c r="K2484" s="1" t="n">
        <v>2</v>
      </c>
      <c r="L2484" s="144" t="n">
        <v>97</v>
      </c>
      <c r="M2484" s="1" t="n">
        <v>81</v>
      </c>
      <c r="N2484" s="1" t="n">
        <v>81</v>
      </c>
      <c r="O2484" s="149" t="n">
        <v>82</v>
      </c>
    </row>
    <row r="2485" customFormat="false" ht="14.25" hidden="false" customHeight="false" outlineLevel="0" collapsed="false">
      <c r="A2485" s="1" t="n">
        <v>91</v>
      </c>
      <c r="B2485" s="1" t="s">
        <v>477</v>
      </c>
      <c r="C2485" s="143" t="s">
        <v>52</v>
      </c>
      <c r="D2485" s="143" t="s">
        <v>53</v>
      </c>
      <c r="E2485" s="143" t="s">
        <v>474</v>
      </c>
      <c r="F2485" s="144" t="n">
        <v>200025888913</v>
      </c>
      <c r="G2485" s="144" t="s">
        <v>429</v>
      </c>
      <c r="H2485" s="144" t="n">
        <v>97</v>
      </c>
      <c r="I2485" s="144" t="s">
        <v>152</v>
      </c>
      <c r="J2485" s="152" t="n">
        <v>45072.6987962963</v>
      </c>
      <c r="K2485" s="1" t="n">
        <v>2</v>
      </c>
      <c r="L2485" s="144" t="n">
        <v>97</v>
      </c>
      <c r="M2485" s="1" t="n">
        <v>81</v>
      </c>
      <c r="N2485" s="1" t="n">
        <v>81</v>
      </c>
      <c r="O2485" s="149" t="n">
        <v>83</v>
      </c>
    </row>
    <row r="2486" customFormat="false" ht="14.25" hidden="false" customHeight="false" outlineLevel="0" collapsed="false">
      <c r="A2486" s="1" t="n">
        <v>92</v>
      </c>
      <c r="B2486" s="1" t="s">
        <v>477</v>
      </c>
      <c r="C2486" s="143" t="s">
        <v>52</v>
      </c>
      <c r="D2486" s="143" t="s">
        <v>53</v>
      </c>
      <c r="E2486" s="143" t="s">
        <v>474</v>
      </c>
      <c r="F2486" s="144" t="n">
        <v>200025888913</v>
      </c>
      <c r="G2486" s="144" t="s">
        <v>429</v>
      </c>
      <c r="H2486" s="144" t="n">
        <v>97</v>
      </c>
      <c r="I2486" s="144" t="s">
        <v>152</v>
      </c>
      <c r="J2486" s="152" t="n">
        <v>45072.6987962963</v>
      </c>
      <c r="K2486" s="1" t="n">
        <v>1</v>
      </c>
      <c r="L2486" s="144" t="n">
        <v>97</v>
      </c>
      <c r="M2486" s="1" t="n">
        <v>81</v>
      </c>
      <c r="N2486" s="1" t="n">
        <v>81</v>
      </c>
      <c r="O2486" s="149" t="n">
        <v>84</v>
      </c>
    </row>
    <row r="2487" customFormat="false" ht="14.25" hidden="false" customHeight="false" outlineLevel="0" collapsed="false">
      <c r="A2487" s="1" t="n">
        <v>93</v>
      </c>
      <c r="B2487" s="1" t="s">
        <v>477</v>
      </c>
      <c r="C2487" s="143" t="s">
        <v>52</v>
      </c>
      <c r="D2487" s="143" t="s">
        <v>53</v>
      </c>
      <c r="E2487" s="143" t="s">
        <v>474</v>
      </c>
      <c r="F2487" s="144" t="n">
        <v>200025888913</v>
      </c>
      <c r="G2487" s="144" t="s">
        <v>429</v>
      </c>
      <c r="H2487" s="144" t="n">
        <v>97</v>
      </c>
      <c r="I2487" s="144" t="s">
        <v>152</v>
      </c>
      <c r="J2487" s="152" t="n">
        <v>45072.6991087963</v>
      </c>
      <c r="K2487" s="1" t="n">
        <v>2</v>
      </c>
      <c r="L2487" s="144" t="n">
        <v>97</v>
      </c>
      <c r="M2487" s="1" t="n">
        <v>81</v>
      </c>
      <c r="N2487" s="1" t="n">
        <v>81</v>
      </c>
      <c r="O2487" s="149" t="n">
        <v>85</v>
      </c>
    </row>
    <row r="2488" customFormat="false" ht="14.25" hidden="false" customHeight="false" outlineLevel="0" collapsed="false">
      <c r="A2488" s="1" t="n">
        <v>94</v>
      </c>
      <c r="B2488" s="1" t="s">
        <v>477</v>
      </c>
      <c r="C2488" s="143" t="s">
        <v>52</v>
      </c>
      <c r="D2488" s="143" t="s">
        <v>53</v>
      </c>
      <c r="E2488" s="143" t="s">
        <v>474</v>
      </c>
      <c r="F2488" s="144" t="n">
        <v>200025888913</v>
      </c>
      <c r="G2488" s="144" t="s">
        <v>429</v>
      </c>
      <c r="H2488" s="144" t="n">
        <v>97</v>
      </c>
      <c r="I2488" s="144" t="s">
        <v>152</v>
      </c>
      <c r="J2488" s="152" t="n">
        <v>45072.6992013889</v>
      </c>
      <c r="K2488" s="1" t="n">
        <v>1</v>
      </c>
      <c r="L2488" s="144" t="n">
        <v>97</v>
      </c>
      <c r="M2488" s="1" t="n">
        <v>81</v>
      </c>
      <c r="N2488" s="1" t="n">
        <v>81</v>
      </c>
      <c r="O2488" s="149" t="n">
        <v>86</v>
      </c>
    </row>
    <row r="2489" customFormat="false" ht="14.25" hidden="false" customHeight="false" outlineLevel="0" collapsed="false">
      <c r="A2489" s="1" t="n">
        <v>95</v>
      </c>
      <c r="B2489" s="1" t="s">
        <v>477</v>
      </c>
      <c r="C2489" s="143" t="s">
        <v>52</v>
      </c>
      <c r="D2489" s="143" t="s">
        <v>53</v>
      </c>
      <c r="E2489" s="143" t="s">
        <v>474</v>
      </c>
      <c r="F2489" s="144" t="n">
        <v>200025888913</v>
      </c>
      <c r="G2489" s="144" t="s">
        <v>429</v>
      </c>
      <c r="H2489" s="144" t="n">
        <v>97</v>
      </c>
      <c r="I2489" s="144" t="s">
        <v>152</v>
      </c>
      <c r="J2489" s="152" t="n">
        <v>45072.6993287037</v>
      </c>
      <c r="K2489" s="1" t="n">
        <v>1</v>
      </c>
      <c r="L2489" s="144" t="n">
        <v>97</v>
      </c>
      <c r="M2489" s="1" t="n">
        <v>81</v>
      </c>
      <c r="N2489" s="1" t="n">
        <v>81</v>
      </c>
      <c r="O2489" s="149" t="n">
        <v>87</v>
      </c>
    </row>
    <row r="2490" customFormat="false" ht="14.25" hidden="false" customHeight="false" outlineLevel="0" collapsed="false">
      <c r="A2490" s="1" t="n">
        <v>96</v>
      </c>
      <c r="B2490" s="1" t="s">
        <v>477</v>
      </c>
      <c r="C2490" s="143" t="s">
        <v>52</v>
      </c>
      <c r="D2490" s="143" t="s">
        <v>53</v>
      </c>
      <c r="E2490" s="143" t="s">
        <v>474</v>
      </c>
      <c r="F2490" s="144" t="n">
        <v>200025888913</v>
      </c>
      <c r="G2490" s="144" t="s">
        <v>429</v>
      </c>
      <c r="H2490" s="144" t="n">
        <v>97</v>
      </c>
      <c r="I2490" s="144" t="s">
        <v>152</v>
      </c>
      <c r="J2490" s="152" t="n">
        <v>45072.7384606482</v>
      </c>
      <c r="K2490" s="1" t="n">
        <v>2</v>
      </c>
      <c r="L2490" s="144" t="n">
        <v>97</v>
      </c>
      <c r="M2490" s="1" t="n">
        <v>81</v>
      </c>
      <c r="N2490" s="1" t="n">
        <v>81</v>
      </c>
      <c r="O2490" s="149" t="n">
        <v>88</v>
      </c>
    </row>
    <row r="2491" customFormat="false" ht="14.25" hidden="false" customHeight="false" outlineLevel="0" collapsed="false">
      <c r="A2491" s="1" t="n">
        <v>97</v>
      </c>
      <c r="B2491" s="1" t="s">
        <v>477</v>
      </c>
      <c r="C2491" s="143" t="s">
        <v>52</v>
      </c>
      <c r="D2491" s="143" t="s">
        <v>53</v>
      </c>
      <c r="E2491" s="143" t="s">
        <v>474</v>
      </c>
      <c r="F2491" s="144" t="n">
        <v>200025888913</v>
      </c>
      <c r="G2491" s="144" t="s">
        <v>429</v>
      </c>
      <c r="H2491" s="144" t="n">
        <v>97</v>
      </c>
      <c r="I2491" s="144" t="s">
        <v>152</v>
      </c>
      <c r="J2491" s="152" t="n">
        <v>45072.7395601852</v>
      </c>
      <c r="K2491" s="1" t="n">
        <v>1</v>
      </c>
      <c r="L2491" s="144" t="n">
        <v>97</v>
      </c>
      <c r="M2491" s="1" t="n">
        <v>81</v>
      </c>
      <c r="N2491" s="1" t="n">
        <v>81</v>
      </c>
      <c r="O2491" s="149" t="n">
        <v>89</v>
      </c>
    </row>
    <row r="2492" customFormat="false" ht="14.25" hidden="false" customHeight="false" outlineLevel="0" collapsed="false">
      <c r="A2492" s="1" t="n">
        <v>98</v>
      </c>
      <c r="B2492" s="1" t="s">
        <v>477</v>
      </c>
      <c r="C2492" s="143" t="s">
        <v>52</v>
      </c>
      <c r="D2492" s="143" t="s">
        <v>53</v>
      </c>
      <c r="E2492" s="143" t="s">
        <v>474</v>
      </c>
      <c r="F2492" s="144" t="n">
        <v>200025888913</v>
      </c>
      <c r="G2492" s="144" t="s">
        <v>429</v>
      </c>
      <c r="H2492" s="144" t="n">
        <v>97</v>
      </c>
      <c r="I2492" s="144" t="s">
        <v>152</v>
      </c>
      <c r="J2492" s="152" t="n">
        <v>45072.7401967593</v>
      </c>
      <c r="K2492" s="1" t="n">
        <v>3</v>
      </c>
      <c r="L2492" s="144" t="n">
        <v>97</v>
      </c>
      <c r="M2492" s="1" t="n">
        <v>81</v>
      </c>
      <c r="N2492" s="1" t="n">
        <v>81</v>
      </c>
      <c r="O2492" s="149" t="n">
        <v>90</v>
      </c>
    </row>
    <row r="2493" customFormat="false" ht="14.25" hidden="false" customHeight="false" outlineLevel="0" collapsed="false">
      <c r="A2493" s="1" t="n">
        <v>99</v>
      </c>
      <c r="B2493" s="1" t="s">
        <v>477</v>
      </c>
      <c r="C2493" s="143" t="s">
        <v>52</v>
      </c>
      <c r="D2493" s="143" t="s">
        <v>53</v>
      </c>
      <c r="E2493" s="143" t="s">
        <v>474</v>
      </c>
      <c r="F2493" s="144" t="n">
        <v>200025888913</v>
      </c>
      <c r="G2493" s="144" t="s">
        <v>429</v>
      </c>
      <c r="H2493" s="144" t="n">
        <v>97</v>
      </c>
      <c r="I2493" s="144" t="s">
        <v>152</v>
      </c>
      <c r="J2493" s="152" t="n">
        <v>45072.7428819445</v>
      </c>
      <c r="K2493" s="1" t="n">
        <v>2</v>
      </c>
      <c r="L2493" s="144" t="n">
        <v>97</v>
      </c>
      <c r="M2493" s="1" t="n">
        <v>81</v>
      </c>
      <c r="N2493" s="1" t="n">
        <v>81</v>
      </c>
      <c r="O2493" s="149" t="n">
        <v>91</v>
      </c>
    </row>
    <row r="2494" customFormat="false" ht="14.25" hidden="false" customHeight="false" outlineLevel="0" collapsed="false">
      <c r="A2494" s="1" t="n">
        <v>100</v>
      </c>
      <c r="B2494" s="1" t="s">
        <v>477</v>
      </c>
      <c r="C2494" s="143" t="s">
        <v>52</v>
      </c>
      <c r="D2494" s="143" t="s">
        <v>53</v>
      </c>
      <c r="E2494" s="143" t="s">
        <v>474</v>
      </c>
      <c r="F2494" s="144" t="n">
        <v>200025888913</v>
      </c>
      <c r="G2494" s="144" t="s">
        <v>429</v>
      </c>
      <c r="H2494" s="144" t="n">
        <v>97</v>
      </c>
      <c r="I2494" s="144" t="s">
        <v>152</v>
      </c>
      <c r="J2494" s="152" t="n">
        <v>45072.743287037</v>
      </c>
      <c r="K2494" s="1" t="n">
        <v>0</v>
      </c>
      <c r="L2494" s="144" t="n">
        <v>97</v>
      </c>
      <c r="M2494" s="1" t="n">
        <v>81</v>
      </c>
      <c r="N2494" s="1" t="n">
        <v>81</v>
      </c>
      <c r="O2494" s="149" t="n">
        <v>92</v>
      </c>
    </row>
    <row r="2495" customFormat="false" ht="14.25" hidden="false" customHeight="false" outlineLevel="0" collapsed="false">
      <c r="A2495" s="1" t="n">
        <v>101</v>
      </c>
      <c r="B2495" s="1" t="s">
        <v>477</v>
      </c>
      <c r="C2495" s="143" t="s">
        <v>52</v>
      </c>
      <c r="D2495" s="143" t="s">
        <v>53</v>
      </c>
      <c r="E2495" s="143" t="s">
        <v>474</v>
      </c>
      <c r="F2495" s="144" t="n">
        <v>200025888913</v>
      </c>
      <c r="G2495" s="144" t="s">
        <v>429</v>
      </c>
      <c r="H2495" s="144" t="n">
        <v>97</v>
      </c>
      <c r="I2495" s="144" t="s">
        <v>152</v>
      </c>
      <c r="J2495" s="152" t="n">
        <v>45072.7436689815</v>
      </c>
      <c r="K2495" s="1" t="n">
        <v>3</v>
      </c>
      <c r="L2495" s="144" t="n">
        <v>97</v>
      </c>
      <c r="M2495" s="1" t="n">
        <v>81</v>
      </c>
      <c r="N2495" s="1" t="n">
        <v>81</v>
      </c>
      <c r="O2495" s="149" t="n">
        <v>93</v>
      </c>
    </row>
    <row r="2496" customFormat="false" ht="14.25" hidden="false" customHeight="false" outlineLevel="0" collapsed="false">
      <c r="A2496" s="1" t="n">
        <v>102</v>
      </c>
      <c r="B2496" s="1" t="s">
        <v>477</v>
      </c>
      <c r="C2496" s="143" t="s">
        <v>52</v>
      </c>
      <c r="D2496" s="143" t="s">
        <v>53</v>
      </c>
      <c r="E2496" s="143" t="s">
        <v>474</v>
      </c>
      <c r="F2496" s="144" t="n">
        <v>200025888913</v>
      </c>
      <c r="G2496" s="144" t="s">
        <v>429</v>
      </c>
      <c r="H2496" s="144" t="n">
        <v>97</v>
      </c>
      <c r="I2496" s="144" t="s">
        <v>152</v>
      </c>
      <c r="J2496" s="152" t="n">
        <v>45072.7439699074</v>
      </c>
      <c r="K2496" s="1" t="n">
        <v>0</v>
      </c>
      <c r="L2496" s="144" t="n">
        <v>97</v>
      </c>
      <c r="M2496" s="1" t="n">
        <v>81</v>
      </c>
      <c r="N2496" s="1" t="n">
        <v>81</v>
      </c>
      <c r="O2496" s="149" t="n">
        <v>94</v>
      </c>
    </row>
    <row r="2497" customFormat="false" ht="14.25" hidden="false" customHeight="false" outlineLevel="0" collapsed="false">
      <c r="A2497" s="1" t="n">
        <v>103</v>
      </c>
      <c r="B2497" s="1" t="s">
        <v>477</v>
      </c>
      <c r="C2497" s="143" t="s">
        <v>52</v>
      </c>
      <c r="D2497" s="143" t="s">
        <v>53</v>
      </c>
      <c r="E2497" s="143" t="s">
        <v>474</v>
      </c>
      <c r="F2497" s="144" t="n">
        <v>200025888913</v>
      </c>
      <c r="G2497" s="144" t="s">
        <v>429</v>
      </c>
      <c r="H2497" s="144" t="n">
        <v>97</v>
      </c>
      <c r="I2497" s="144" t="s">
        <v>152</v>
      </c>
      <c r="J2497" s="152" t="n">
        <v>45072.7440509259</v>
      </c>
      <c r="K2497" s="1" t="n">
        <v>1</v>
      </c>
      <c r="L2497" s="144" t="n">
        <v>97</v>
      </c>
      <c r="M2497" s="1" t="n">
        <v>81</v>
      </c>
      <c r="N2497" s="1" t="n">
        <v>81</v>
      </c>
      <c r="O2497" s="149" t="n">
        <v>95</v>
      </c>
    </row>
    <row r="2498" customFormat="false" ht="14.25" hidden="false" customHeight="false" outlineLevel="0" collapsed="false">
      <c r="A2498" s="1" t="n">
        <v>104</v>
      </c>
      <c r="B2498" s="1" t="s">
        <v>477</v>
      </c>
      <c r="C2498" s="143" t="s">
        <v>52</v>
      </c>
      <c r="D2498" s="143" t="s">
        <v>53</v>
      </c>
      <c r="E2498" s="143" t="s">
        <v>474</v>
      </c>
      <c r="F2498" s="144" t="n">
        <v>200025888913</v>
      </c>
      <c r="G2498" s="144" t="s">
        <v>429</v>
      </c>
      <c r="H2498" s="144" t="n">
        <v>97</v>
      </c>
      <c r="I2498" s="144" t="s">
        <v>152</v>
      </c>
      <c r="J2498" s="152" t="n">
        <v>45072.7441782407</v>
      </c>
      <c r="K2498" s="1" t="n">
        <v>2</v>
      </c>
      <c r="L2498" s="144" t="n">
        <v>97</v>
      </c>
      <c r="M2498" s="1" t="n">
        <v>81</v>
      </c>
      <c r="N2498" s="1" t="n">
        <v>81</v>
      </c>
      <c r="O2498" s="149" t="n">
        <v>96</v>
      </c>
    </row>
    <row r="2499" customFormat="false" ht="14.25" hidden="false" customHeight="false" outlineLevel="0" collapsed="false">
      <c r="A2499" s="1" t="n">
        <v>105</v>
      </c>
      <c r="B2499" s="1" t="s">
        <v>477</v>
      </c>
      <c r="C2499" s="143" t="s">
        <v>52</v>
      </c>
      <c r="D2499" s="143" t="s">
        <v>53</v>
      </c>
      <c r="E2499" s="143" t="s">
        <v>474</v>
      </c>
      <c r="F2499" s="144" t="n">
        <v>200025888913</v>
      </c>
      <c r="G2499" s="144" t="s">
        <v>429</v>
      </c>
      <c r="H2499" s="144" t="n">
        <v>97</v>
      </c>
      <c r="I2499" s="144" t="s">
        <v>152</v>
      </c>
      <c r="J2499" s="152" t="n">
        <v>45072.7442013889</v>
      </c>
      <c r="K2499" s="1" t="n">
        <v>2</v>
      </c>
      <c r="L2499" s="144" t="n">
        <v>97</v>
      </c>
      <c r="M2499" s="1" t="n">
        <v>81</v>
      </c>
      <c r="N2499" s="1" t="n">
        <v>81</v>
      </c>
      <c r="O2499" s="149" t="n">
        <v>97</v>
      </c>
    </row>
    <row r="2500" customFormat="false" ht="14.25" hidden="false" customHeight="false" outlineLevel="0" collapsed="false">
      <c r="A2500" s="1" t="n">
        <v>106</v>
      </c>
      <c r="B2500" s="1" t="s">
        <v>477</v>
      </c>
      <c r="C2500" s="143" t="s">
        <v>52</v>
      </c>
      <c r="D2500" s="143" t="s">
        <v>53</v>
      </c>
      <c r="E2500" s="143" t="s">
        <v>474</v>
      </c>
      <c r="F2500" s="144" t="n">
        <v>200025888913</v>
      </c>
      <c r="G2500" s="144" t="s">
        <v>429</v>
      </c>
      <c r="H2500" s="144" t="n">
        <v>97</v>
      </c>
      <c r="I2500" s="144" t="s">
        <v>152</v>
      </c>
      <c r="J2500" s="152" t="n">
        <v>45072.7442939815</v>
      </c>
      <c r="K2500" s="1" t="n">
        <v>1</v>
      </c>
      <c r="L2500" s="144" t="n">
        <v>97</v>
      </c>
      <c r="M2500" s="1" t="n">
        <v>81</v>
      </c>
      <c r="N2500" s="1" t="n">
        <v>81</v>
      </c>
      <c r="O2500" s="149" t="n">
        <v>98</v>
      </c>
    </row>
    <row r="2501" customFormat="false" ht="14.25" hidden="false" customHeight="false" outlineLevel="0" collapsed="false">
      <c r="A2501" s="1" t="n">
        <v>107</v>
      </c>
      <c r="B2501" s="1" t="s">
        <v>477</v>
      </c>
      <c r="C2501" s="143" t="s">
        <v>52</v>
      </c>
      <c r="D2501" s="143" t="s">
        <v>53</v>
      </c>
      <c r="E2501" s="143" t="s">
        <v>474</v>
      </c>
      <c r="F2501" s="144" t="n">
        <v>200025888913</v>
      </c>
      <c r="G2501" s="144" t="s">
        <v>429</v>
      </c>
      <c r="H2501" s="144" t="n">
        <v>97</v>
      </c>
      <c r="I2501" s="144" t="s">
        <v>152</v>
      </c>
      <c r="J2501" s="152" t="n">
        <v>45072.7456365741</v>
      </c>
      <c r="K2501" s="1" t="n">
        <v>1</v>
      </c>
      <c r="L2501" s="144" t="n">
        <v>97</v>
      </c>
      <c r="M2501" s="1" t="n">
        <v>81</v>
      </c>
      <c r="N2501" s="1" t="n">
        <v>81</v>
      </c>
      <c r="O2501" s="149" t="n">
        <v>99</v>
      </c>
    </row>
    <row r="2502" customFormat="false" ht="14.25" hidden="false" customHeight="false" outlineLevel="0" collapsed="false">
      <c r="A2502" s="1" t="n">
        <v>108</v>
      </c>
      <c r="B2502" s="1" t="s">
        <v>477</v>
      </c>
      <c r="C2502" s="143" t="s">
        <v>52</v>
      </c>
      <c r="D2502" s="143" t="s">
        <v>53</v>
      </c>
      <c r="E2502" s="143" t="s">
        <v>474</v>
      </c>
      <c r="F2502" s="144" t="n">
        <v>200025888913</v>
      </c>
      <c r="G2502" s="144" t="s">
        <v>429</v>
      </c>
      <c r="H2502" s="144" t="n">
        <v>97</v>
      </c>
      <c r="I2502" s="144" t="s">
        <v>152</v>
      </c>
      <c r="J2502" s="152" t="n">
        <v>45072.7459837963</v>
      </c>
      <c r="K2502" s="1" t="n">
        <v>5</v>
      </c>
      <c r="L2502" s="144" t="n">
        <v>97</v>
      </c>
      <c r="M2502" s="1" t="n">
        <v>81</v>
      </c>
      <c r="N2502" s="1" t="n">
        <v>81</v>
      </c>
      <c r="O2502" s="149" t="n">
        <v>100</v>
      </c>
    </row>
    <row r="2503" customFormat="false" ht="14.25" hidden="false" customHeight="false" outlineLevel="0" collapsed="false">
      <c r="A2503" s="1" t="n">
        <v>109</v>
      </c>
      <c r="B2503" s="1" t="s">
        <v>477</v>
      </c>
      <c r="C2503" s="143" t="s">
        <v>52</v>
      </c>
      <c r="D2503" s="143" t="s">
        <v>53</v>
      </c>
      <c r="E2503" s="143" t="s">
        <v>474</v>
      </c>
      <c r="F2503" s="144" t="n">
        <v>200025888913</v>
      </c>
      <c r="G2503" s="144" t="s">
        <v>429</v>
      </c>
      <c r="H2503" s="144" t="n">
        <v>97</v>
      </c>
      <c r="I2503" s="144" t="s">
        <v>152</v>
      </c>
      <c r="J2503" s="152" t="n">
        <v>45072.746412037</v>
      </c>
      <c r="K2503" s="1" t="n">
        <v>2</v>
      </c>
      <c r="L2503" s="144" t="n">
        <v>97</v>
      </c>
      <c r="M2503" s="1" t="n">
        <v>81</v>
      </c>
      <c r="N2503" s="1" t="n">
        <v>81</v>
      </c>
      <c r="O2503" s="149" t="n">
        <v>101</v>
      </c>
    </row>
    <row r="2504" customFormat="false" ht="14.25" hidden="false" customHeight="false" outlineLevel="0" collapsed="false">
      <c r="A2504" s="1" t="n">
        <v>110</v>
      </c>
      <c r="B2504" s="1" t="s">
        <v>477</v>
      </c>
      <c r="C2504" s="143" t="s">
        <v>52</v>
      </c>
      <c r="D2504" s="143" t="s">
        <v>53</v>
      </c>
      <c r="E2504" s="143" t="s">
        <v>474</v>
      </c>
      <c r="F2504" s="144" t="n">
        <v>200025888913</v>
      </c>
      <c r="G2504" s="144" t="s">
        <v>429</v>
      </c>
      <c r="H2504" s="144" t="n">
        <v>97</v>
      </c>
      <c r="I2504" s="144" t="s">
        <v>152</v>
      </c>
      <c r="J2504" s="152" t="n">
        <v>45072.7465277778</v>
      </c>
      <c r="K2504" s="1" t="n">
        <v>2</v>
      </c>
      <c r="L2504" s="144" t="n">
        <v>97</v>
      </c>
      <c r="M2504" s="1" t="n">
        <v>81</v>
      </c>
      <c r="N2504" s="1" t="n">
        <v>81</v>
      </c>
      <c r="O2504" s="149" t="n">
        <v>102</v>
      </c>
    </row>
    <row r="2505" customFormat="false" ht="14.25" hidden="false" customHeight="false" outlineLevel="0" collapsed="false">
      <c r="A2505" s="1" t="n">
        <v>111</v>
      </c>
      <c r="B2505" s="1" t="s">
        <v>477</v>
      </c>
      <c r="C2505" s="143" t="s">
        <v>52</v>
      </c>
      <c r="D2505" s="143" t="s">
        <v>53</v>
      </c>
      <c r="E2505" s="143" t="s">
        <v>474</v>
      </c>
      <c r="F2505" s="144" t="n">
        <v>200025888913</v>
      </c>
      <c r="G2505" s="144" t="s">
        <v>429</v>
      </c>
      <c r="H2505" s="144" t="n">
        <v>97</v>
      </c>
      <c r="I2505" s="144" t="s">
        <v>152</v>
      </c>
      <c r="J2505" s="152" t="n">
        <v>45072.7467361111</v>
      </c>
      <c r="K2505" s="1" t="n">
        <v>1</v>
      </c>
      <c r="L2505" s="144" t="n">
        <v>97</v>
      </c>
      <c r="M2505" s="1" t="n">
        <v>81</v>
      </c>
      <c r="N2505" s="1" t="n">
        <v>81</v>
      </c>
      <c r="O2505" s="149" t="n">
        <v>103</v>
      </c>
    </row>
    <row r="2506" customFormat="false" ht="14.25" hidden="false" customHeight="false" outlineLevel="0" collapsed="false">
      <c r="A2506" s="1" t="n">
        <v>42</v>
      </c>
      <c r="B2506" s="1" t="s">
        <v>490</v>
      </c>
      <c r="C2506" s="143" t="n">
        <v>11171</v>
      </c>
      <c r="D2506" s="143" t="s">
        <v>74</v>
      </c>
      <c r="E2506" s="143" t="s">
        <v>479</v>
      </c>
      <c r="F2506" s="144" t="n">
        <v>200025888662</v>
      </c>
      <c r="G2506" s="144" t="s">
        <v>365</v>
      </c>
      <c r="H2506" s="144" t="n">
        <v>66</v>
      </c>
      <c r="I2506" s="144" t="s">
        <v>148</v>
      </c>
      <c r="J2506" s="6" t="n">
        <v>45072.7212037037</v>
      </c>
      <c r="K2506" s="1" t="n">
        <v>4</v>
      </c>
      <c r="L2506" s="144" t="n">
        <v>66</v>
      </c>
      <c r="M2506" s="1" t="n">
        <v>82</v>
      </c>
      <c r="N2506" s="1" t="n">
        <v>82</v>
      </c>
      <c r="O2506" s="149" t="n">
        <v>1</v>
      </c>
    </row>
    <row r="2507" customFormat="false" ht="14.25" hidden="false" customHeight="false" outlineLevel="0" collapsed="false">
      <c r="A2507" s="1" t="n">
        <v>59</v>
      </c>
      <c r="B2507" s="1" t="s">
        <v>478</v>
      </c>
      <c r="C2507" s="143" t="n">
        <v>21265</v>
      </c>
      <c r="D2507" s="143" t="s">
        <v>76</v>
      </c>
      <c r="E2507" s="143" t="s">
        <v>479</v>
      </c>
      <c r="F2507" s="144" t="n">
        <v>200025888662</v>
      </c>
      <c r="G2507" s="144" t="s">
        <v>365</v>
      </c>
      <c r="H2507" s="144" t="n">
        <v>66</v>
      </c>
      <c r="I2507" s="144" t="s">
        <v>148</v>
      </c>
      <c r="J2507" s="6" t="n">
        <v>45072.7240740741</v>
      </c>
      <c r="K2507" s="1" t="n">
        <v>1</v>
      </c>
      <c r="L2507" s="144" t="n">
        <v>66</v>
      </c>
      <c r="M2507" s="1" t="n">
        <v>82</v>
      </c>
      <c r="N2507" s="1" t="n">
        <v>82</v>
      </c>
      <c r="O2507" s="149" t="n">
        <v>2</v>
      </c>
    </row>
    <row r="2508" customFormat="false" ht="14.25" hidden="false" customHeight="false" outlineLevel="0" collapsed="false">
      <c r="A2508" s="1" t="n">
        <v>60</v>
      </c>
      <c r="B2508" s="1" t="s">
        <v>478</v>
      </c>
      <c r="C2508" s="143" t="n">
        <v>21265</v>
      </c>
      <c r="D2508" s="143" t="s">
        <v>76</v>
      </c>
      <c r="E2508" s="143" t="s">
        <v>479</v>
      </c>
      <c r="F2508" s="144" t="n">
        <v>200025888662</v>
      </c>
      <c r="G2508" s="144" t="s">
        <v>365</v>
      </c>
      <c r="H2508" s="144" t="n">
        <v>66</v>
      </c>
      <c r="I2508" s="144" t="s">
        <v>148</v>
      </c>
      <c r="J2508" s="6" t="n">
        <v>45072.7278009259</v>
      </c>
      <c r="K2508" s="1" t="n">
        <v>2</v>
      </c>
      <c r="L2508" s="144" t="n">
        <v>66</v>
      </c>
      <c r="M2508" s="1" t="n">
        <v>82</v>
      </c>
      <c r="N2508" s="1" t="n">
        <v>82</v>
      </c>
      <c r="O2508" s="149" t="n">
        <v>3</v>
      </c>
    </row>
    <row r="2509" customFormat="false" ht="14.25" hidden="false" customHeight="false" outlineLevel="0" collapsed="false">
      <c r="A2509" s="1" t="n">
        <v>61</v>
      </c>
      <c r="B2509" s="1" t="s">
        <v>478</v>
      </c>
      <c r="C2509" s="143" t="n">
        <v>21265</v>
      </c>
      <c r="D2509" s="143" t="s">
        <v>76</v>
      </c>
      <c r="E2509" s="143" t="s">
        <v>479</v>
      </c>
      <c r="F2509" s="144" t="n">
        <v>200025888662</v>
      </c>
      <c r="G2509" s="144" t="s">
        <v>365</v>
      </c>
      <c r="H2509" s="144" t="n">
        <v>66</v>
      </c>
      <c r="I2509" s="144" t="s">
        <v>148</v>
      </c>
      <c r="J2509" s="6" t="n">
        <v>45072.7368055556</v>
      </c>
      <c r="K2509" s="1" t="n">
        <v>2</v>
      </c>
      <c r="L2509" s="144" t="n">
        <v>66</v>
      </c>
      <c r="M2509" s="1" t="n">
        <v>82</v>
      </c>
      <c r="N2509" s="1" t="n">
        <v>82</v>
      </c>
      <c r="O2509" s="149" t="n">
        <v>4</v>
      </c>
    </row>
    <row r="2510" customFormat="false" ht="14.25" hidden="false" customHeight="false" outlineLevel="0" collapsed="false">
      <c r="A2510" s="1" t="n">
        <v>62</v>
      </c>
      <c r="B2510" s="1" t="s">
        <v>478</v>
      </c>
      <c r="C2510" s="143" t="n">
        <v>21265</v>
      </c>
      <c r="D2510" s="143" t="s">
        <v>76</v>
      </c>
      <c r="E2510" s="143" t="s">
        <v>479</v>
      </c>
      <c r="F2510" s="144" t="n">
        <v>200025888662</v>
      </c>
      <c r="G2510" s="144" t="s">
        <v>365</v>
      </c>
      <c r="H2510" s="144" t="n">
        <v>66</v>
      </c>
      <c r="I2510" s="144" t="s">
        <v>148</v>
      </c>
      <c r="J2510" s="6" t="n">
        <v>45072.7368981482</v>
      </c>
      <c r="K2510" s="1" t="n">
        <v>0</v>
      </c>
      <c r="L2510" s="144" t="n">
        <v>66</v>
      </c>
      <c r="M2510" s="1" t="n">
        <v>82</v>
      </c>
      <c r="N2510" s="1" t="n">
        <v>82</v>
      </c>
      <c r="O2510" s="149" t="n">
        <v>5</v>
      </c>
    </row>
    <row r="2511" customFormat="false" ht="14.25" hidden="false" customHeight="false" outlineLevel="0" collapsed="false">
      <c r="A2511" s="1" t="n">
        <v>63</v>
      </c>
      <c r="B2511" s="1" t="s">
        <v>478</v>
      </c>
      <c r="C2511" s="143" t="n">
        <v>21265</v>
      </c>
      <c r="D2511" s="143" t="s">
        <v>76</v>
      </c>
      <c r="E2511" s="143" t="s">
        <v>479</v>
      </c>
      <c r="F2511" s="144" t="n">
        <v>200025888662</v>
      </c>
      <c r="G2511" s="144" t="s">
        <v>365</v>
      </c>
      <c r="H2511" s="144" t="n">
        <v>66</v>
      </c>
      <c r="I2511" s="144" t="s">
        <v>148</v>
      </c>
      <c r="J2511" s="6" t="n">
        <v>45072.7370486111</v>
      </c>
      <c r="K2511" s="1" t="n">
        <v>2</v>
      </c>
      <c r="L2511" s="144" t="n">
        <v>66</v>
      </c>
      <c r="M2511" s="1" t="n">
        <v>82</v>
      </c>
      <c r="N2511" s="1" t="n">
        <v>82</v>
      </c>
      <c r="O2511" s="149" t="n">
        <v>6</v>
      </c>
    </row>
    <row r="2512" customFormat="false" ht="14.25" hidden="false" customHeight="false" outlineLevel="0" collapsed="false">
      <c r="A2512" s="1" t="n">
        <v>64</v>
      </c>
      <c r="B2512" s="1" t="s">
        <v>478</v>
      </c>
      <c r="C2512" s="143" t="n">
        <v>21265</v>
      </c>
      <c r="D2512" s="143" t="s">
        <v>76</v>
      </c>
      <c r="E2512" s="143" t="s">
        <v>479</v>
      </c>
      <c r="F2512" s="144" t="n">
        <v>200025888662</v>
      </c>
      <c r="G2512" s="144" t="s">
        <v>365</v>
      </c>
      <c r="H2512" s="144" t="n">
        <v>66</v>
      </c>
      <c r="I2512" s="144" t="s">
        <v>148</v>
      </c>
      <c r="J2512" s="6" t="n">
        <v>45072.7371759259</v>
      </c>
      <c r="K2512" s="1" t="n">
        <v>0</v>
      </c>
      <c r="L2512" s="144" t="n">
        <v>66</v>
      </c>
      <c r="M2512" s="1" t="n">
        <v>82</v>
      </c>
      <c r="N2512" s="1" t="n">
        <v>82</v>
      </c>
      <c r="O2512" s="149" t="n">
        <v>7</v>
      </c>
    </row>
    <row r="2513" customFormat="false" ht="14.25" hidden="false" customHeight="false" outlineLevel="0" collapsed="false">
      <c r="A2513" s="1" t="n">
        <v>65</v>
      </c>
      <c r="B2513" s="1" t="s">
        <v>478</v>
      </c>
      <c r="C2513" s="143" t="n">
        <v>21265</v>
      </c>
      <c r="D2513" s="143" t="s">
        <v>76</v>
      </c>
      <c r="E2513" s="143" t="s">
        <v>479</v>
      </c>
      <c r="F2513" s="144" t="n">
        <v>200025888662</v>
      </c>
      <c r="G2513" s="144" t="s">
        <v>365</v>
      </c>
      <c r="H2513" s="144" t="n">
        <v>66</v>
      </c>
      <c r="I2513" s="144" t="s">
        <v>148</v>
      </c>
      <c r="J2513" s="6" t="n">
        <v>45072.7373611111</v>
      </c>
      <c r="K2513" s="1" t="n">
        <v>1</v>
      </c>
      <c r="L2513" s="144" t="n">
        <v>66</v>
      </c>
      <c r="M2513" s="1" t="n">
        <v>82</v>
      </c>
      <c r="N2513" s="1" t="n">
        <v>82</v>
      </c>
      <c r="O2513" s="149" t="n">
        <v>8</v>
      </c>
    </row>
    <row r="2514" customFormat="false" ht="14.25" hidden="false" customHeight="false" outlineLevel="0" collapsed="false">
      <c r="A2514" s="1" t="n">
        <v>66</v>
      </c>
      <c r="B2514" s="1" t="s">
        <v>478</v>
      </c>
      <c r="C2514" s="143" t="n">
        <v>21265</v>
      </c>
      <c r="D2514" s="143" t="s">
        <v>76</v>
      </c>
      <c r="E2514" s="143" t="s">
        <v>479</v>
      </c>
      <c r="F2514" s="144" t="n">
        <v>200025888662</v>
      </c>
      <c r="G2514" s="144" t="s">
        <v>365</v>
      </c>
      <c r="H2514" s="144" t="n">
        <v>66</v>
      </c>
      <c r="I2514" s="144" t="s">
        <v>148</v>
      </c>
      <c r="J2514" s="6" t="n">
        <v>45072.737662037</v>
      </c>
      <c r="K2514" s="1" t="n">
        <v>2</v>
      </c>
      <c r="L2514" s="144" t="n">
        <v>66</v>
      </c>
      <c r="M2514" s="1" t="n">
        <v>82</v>
      </c>
      <c r="N2514" s="1" t="n">
        <v>82</v>
      </c>
      <c r="O2514" s="149" t="n">
        <v>9</v>
      </c>
    </row>
    <row r="2515" customFormat="false" ht="14.25" hidden="false" customHeight="false" outlineLevel="0" collapsed="false">
      <c r="A2515" s="1" t="n">
        <v>67</v>
      </c>
      <c r="B2515" s="1" t="s">
        <v>478</v>
      </c>
      <c r="C2515" s="143" t="n">
        <v>21265</v>
      </c>
      <c r="D2515" s="143" t="s">
        <v>76</v>
      </c>
      <c r="E2515" s="143" t="s">
        <v>479</v>
      </c>
      <c r="F2515" s="144" t="n">
        <v>200025888662</v>
      </c>
      <c r="G2515" s="144" t="s">
        <v>365</v>
      </c>
      <c r="H2515" s="144" t="n">
        <v>66</v>
      </c>
      <c r="I2515" s="144" t="s">
        <v>148</v>
      </c>
      <c r="J2515" s="6" t="n">
        <v>45072.7512037037</v>
      </c>
      <c r="K2515" s="1" t="n">
        <v>4</v>
      </c>
      <c r="L2515" s="144" t="n">
        <v>66</v>
      </c>
      <c r="M2515" s="1" t="n">
        <v>82</v>
      </c>
      <c r="N2515" s="1" t="n">
        <v>82</v>
      </c>
      <c r="O2515" s="149" t="n">
        <v>10</v>
      </c>
    </row>
    <row r="2516" customFormat="false" ht="14.25" hidden="false" customHeight="false" outlineLevel="0" collapsed="false">
      <c r="A2516" s="1" t="n">
        <v>68</v>
      </c>
      <c r="B2516" s="1" t="s">
        <v>478</v>
      </c>
      <c r="C2516" s="143" t="n">
        <v>21265</v>
      </c>
      <c r="D2516" s="143" t="s">
        <v>76</v>
      </c>
      <c r="E2516" s="143" t="s">
        <v>479</v>
      </c>
      <c r="F2516" s="144" t="n">
        <v>200025888662</v>
      </c>
      <c r="G2516" s="144" t="s">
        <v>365</v>
      </c>
      <c r="H2516" s="144" t="n">
        <v>66</v>
      </c>
      <c r="I2516" s="144" t="s">
        <v>148</v>
      </c>
      <c r="J2516" s="6" t="n">
        <v>45072.7622222222</v>
      </c>
      <c r="K2516" s="1" t="n">
        <v>2</v>
      </c>
      <c r="L2516" s="144" t="n">
        <v>66</v>
      </c>
      <c r="M2516" s="1" t="n">
        <v>82</v>
      </c>
      <c r="N2516" s="1" t="n">
        <v>82</v>
      </c>
      <c r="O2516" s="149" t="n">
        <v>11</v>
      </c>
    </row>
    <row r="2517" customFormat="false" ht="14.25" hidden="false" customHeight="false" outlineLevel="0" collapsed="false">
      <c r="A2517" s="1" t="n">
        <v>69</v>
      </c>
      <c r="B2517" s="1" t="s">
        <v>478</v>
      </c>
      <c r="C2517" s="143" t="n">
        <v>21265</v>
      </c>
      <c r="D2517" s="143" t="s">
        <v>76</v>
      </c>
      <c r="E2517" s="143" t="s">
        <v>479</v>
      </c>
      <c r="F2517" s="144" t="n">
        <v>200025888662</v>
      </c>
      <c r="G2517" s="144" t="s">
        <v>365</v>
      </c>
      <c r="H2517" s="144" t="n">
        <v>66</v>
      </c>
      <c r="I2517" s="144" t="s">
        <v>148</v>
      </c>
      <c r="J2517" s="6" t="n">
        <v>45072.7624884259</v>
      </c>
      <c r="K2517" s="1" t="n">
        <v>0</v>
      </c>
      <c r="L2517" s="144" t="n">
        <v>66</v>
      </c>
      <c r="M2517" s="1" t="n">
        <v>82</v>
      </c>
      <c r="N2517" s="1" t="n">
        <v>82</v>
      </c>
      <c r="O2517" s="149" t="n">
        <v>12</v>
      </c>
    </row>
    <row r="2518" customFormat="false" ht="14.25" hidden="false" customHeight="false" outlineLevel="0" collapsed="false">
      <c r="A2518" s="1" t="n">
        <v>70</v>
      </c>
      <c r="B2518" s="1" t="s">
        <v>478</v>
      </c>
      <c r="C2518" s="143" t="n">
        <v>21265</v>
      </c>
      <c r="D2518" s="143" t="s">
        <v>76</v>
      </c>
      <c r="E2518" s="143" t="s">
        <v>479</v>
      </c>
      <c r="F2518" s="144" t="n">
        <v>200025888662</v>
      </c>
      <c r="G2518" s="144" t="s">
        <v>365</v>
      </c>
      <c r="H2518" s="144" t="n">
        <v>66</v>
      </c>
      <c r="I2518" s="144" t="s">
        <v>148</v>
      </c>
      <c r="J2518" s="6" t="n">
        <v>45072.7626041667</v>
      </c>
      <c r="K2518" s="1" t="n">
        <v>3</v>
      </c>
      <c r="L2518" s="144" t="n">
        <v>66</v>
      </c>
      <c r="M2518" s="1" t="n">
        <v>82</v>
      </c>
      <c r="N2518" s="1" t="n">
        <v>82</v>
      </c>
      <c r="O2518" s="149" t="n">
        <v>13</v>
      </c>
    </row>
    <row r="2519" customFormat="false" ht="14.25" hidden="false" customHeight="false" outlineLevel="0" collapsed="false">
      <c r="A2519" s="1" t="n">
        <v>71</v>
      </c>
      <c r="B2519" s="1" t="s">
        <v>478</v>
      </c>
      <c r="C2519" s="143" t="n">
        <v>21265</v>
      </c>
      <c r="D2519" s="143" t="s">
        <v>76</v>
      </c>
      <c r="E2519" s="143" t="s">
        <v>479</v>
      </c>
      <c r="F2519" s="144" t="n">
        <v>200025888662</v>
      </c>
      <c r="G2519" s="144" t="s">
        <v>365</v>
      </c>
      <c r="H2519" s="144" t="n">
        <v>66</v>
      </c>
      <c r="I2519" s="144" t="s">
        <v>148</v>
      </c>
      <c r="J2519" s="6" t="n">
        <v>45072.7630902778</v>
      </c>
      <c r="K2519" s="1" t="n">
        <v>2</v>
      </c>
      <c r="L2519" s="144" t="n">
        <v>66</v>
      </c>
      <c r="M2519" s="1" t="n">
        <v>82</v>
      </c>
      <c r="N2519" s="1" t="n">
        <v>82</v>
      </c>
      <c r="O2519" s="149" t="n">
        <v>14</v>
      </c>
    </row>
    <row r="2520" customFormat="false" ht="14.25" hidden="false" customHeight="false" outlineLevel="0" collapsed="false">
      <c r="A2520" s="1" t="n">
        <v>72</v>
      </c>
      <c r="B2520" s="1" t="s">
        <v>478</v>
      </c>
      <c r="C2520" s="143" t="n">
        <v>21265</v>
      </c>
      <c r="D2520" s="143" t="s">
        <v>76</v>
      </c>
      <c r="E2520" s="143" t="s">
        <v>479</v>
      </c>
      <c r="F2520" s="144" t="n">
        <v>200025888662</v>
      </c>
      <c r="G2520" s="144" t="s">
        <v>365</v>
      </c>
      <c r="H2520" s="144" t="n">
        <v>66</v>
      </c>
      <c r="I2520" s="144" t="s">
        <v>148</v>
      </c>
      <c r="J2520" s="6" t="n">
        <v>45072.776087963</v>
      </c>
      <c r="K2520" s="1" t="n">
        <v>0</v>
      </c>
      <c r="L2520" s="144" t="n">
        <v>66</v>
      </c>
      <c r="M2520" s="1" t="n">
        <v>82</v>
      </c>
      <c r="N2520" s="1" t="n">
        <v>82</v>
      </c>
      <c r="O2520" s="149" t="n">
        <v>15</v>
      </c>
    </row>
    <row r="2521" customFormat="false" ht="14.25" hidden="false" customHeight="false" outlineLevel="0" collapsed="false">
      <c r="A2521" s="1" t="n">
        <v>73</v>
      </c>
      <c r="B2521" s="1" t="s">
        <v>478</v>
      </c>
      <c r="C2521" s="143" t="n">
        <v>21265</v>
      </c>
      <c r="D2521" s="143" t="s">
        <v>76</v>
      </c>
      <c r="E2521" s="143" t="s">
        <v>479</v>
      </c>
      <c r="F2521" s="144" t="n">
        <v>200025888662</v>
      </c>
      <c r="G2521" s="144" t="s">
        <v>365</v>
      </c>
      <c r="H2521" s="144" t="n">
        <v>66</v>
      </c>
      <c r="I2521" s="144" t="s">
        <v>148</v>
      </c>
      <c r="J2521" s="6" t="n">
        <v>45072.8088888889</v>
      </c>
      <c r="K2521" s="1" t="n">
        <v>1</v>
      </c>
      <c r="L2521" s="144" t="n">
        <v>66</v>
      </c>
      <c r="M2521" s="1" t="n">
        <v>82</v>
      </c>
      <c r="N2521" s="1" t="n">
        <v>82</v>
      </c>
      <c r="O2521" s="149" t="n">
        <v>16</v>
      </c>
    </row>
    <row r="2522" customFormat="false" ht="14.25" hidden="false" customHeight="false" outlineLevel="0" collapsed="false">
      <c r="A2522" s="1" t="n">
        <v>74</v>
      </c>
      <c r="B2522" s="1" t="s">
        <v>478</v>
      </c>
      <c r="C2522" s="143" t="n">
        <v>21265</v>
      </c>
      <c r="D2522" s="143" t="s">
        <v>76</v>
      </c>
      <c r="E2522" s="143" t="s">
        <v>479</v>
      </c>
      <c r="F2522" s="144" t="n">
        <v>200025888662</v>
      </c>
      <c r="G2522" s="144" t="s">
        <v>365</v>
      </c>
      <c r="H2522" s="144" t="n">
        <v>66</v>
      </c>
      <c r="I2522" s="144" t="s">
        <v>148</v>
      </c>
      <c r="J2522" s="6" t="n">
        <v>45072.8090856482</v>
      </c>
      <c r="K2522" s="1" t="n">
        <v>2</v>
      </c>
      <c r="L2522" s="144" t="n">
        <v>66</v>
      </c>
      <c r="M2522" s="1" t="n">
        <v>82</v>
      </c>
      <c r="N2522" s="1" t="n">
        <v>82</v>
      </c>
      <c r="O2522" s="149" t="n">
        <v>17</v>
      </c>
    </row>
    <row r="2523" customFormat="false" ht="14.25" hidden="false" customHeight="false" outlineLevel="0" collapsed="false">
      <c r="A2523" s="1" t="n">
        <v>75</v>
      </c>
      <c r="B2523" s="1" t="s">
        <v>478</v>
      </c>
      <c r="C2523" s="143" t="n">
        <v>21265</v>
      </c>
      <c r="D2523" s="143" t="s">
        <v>76</v>
      </c>
      <c r="E2523" s="143" t="s">
        <v>479</v>
      </c>
      <c r="F2523" s="144" t="n">
        <v>200025888662</v>
      </c>
      <c r="G2523" s="144" t="s">
        <v>365</v>
      </c>
      <c r="H2523" s="144" t="n">
        <v>66</v>
      </c>
      <c r="I2523" s="144" t="s">
        <v>148</v>
      </c>
      <c r="J2523" s="6" t="n">
        <v>45072.8094791667</v>
      </c>
      <c r="K2523" s="1" t="n">
        <v>1</v>
      </c>
      <c r="L2523" s="144" t="n">
        <v>66</v>
      </c>
      <c r="M2523" s="1" t="n">
        <v>82</v>
      </c>
      <c r="N2523" s="1" t="n">
        <v>82</v>
      </c>
      <c r="O2523" s="149" t="n">
        <v>18</v>
      </c>
    </row>
    <row r="2524" customFormat="false" ht="14.25" hidden="false" customHeight="false" outlineLevel="0" collapsed="false">
      <c r="A2524" s="1" t="n">
        <v>76</v>
      </c>
      <c r="B2524" s="1" t="s">
        <v>478</v>
      </c>
      <c r="C2524" s="143" t="n">
        <v>21265</v>
      </c>
      <c r="D2524" s="143" t="s">
        <v>76</v>
      </c>
      <c r="E2524" s="143" t="s">
        <v>479</v>
      </c>
      <c r="F2524" s="144" t="n">
        <v>200025888662</v>
      </c>
      <c r="G2524" s="144" t="s">
        <v>365</v>
      </c>
      <c r="H2524" s="144" t="n">
        <v>66</v>
      </c>
      <c r="I2524" s="144" t="s">
        <v>148</v>
      </c>
      <c r="J2524" s="6" t="n">
        <v>45072.8249074074</v>
      </c>
      <c r="K2524" s="1" t="n">
        <v>2</v>
      </c>
      <c r="L2524" s="144" t="n">
        <v>66</v>
      </c>
      <c r="M2524" s="1" t="n">
        <v>82</v>
      </c>
      <c r="N2524" s="1" t="n">
        <v>82</v>
      </c>
      <c r="O2524" s="149" t="n">
        <v>19</v>
      </c>
    </row>
    <row r="2525" customFormat="false" ht="14.25" hidden="false" customHeight="false" outlineLevel="0" collapsed="false">
      <c r="A2525" s="1" t="n">
        <v>77</v>
      </c>
      <c r="B2525" s="1" t="s">
        <v>478</v>
      </c>
      <c r="C2525" s="143" t="n">
        <v>21265</v>
      </c>
      <c r="D2525" s="143" t="s">
        <v>76</v>
      </c>
      <c r="E2525" s="143" t="s">
        <v>479</v>
      </c>
      <c r="F2525" s="144" t="n">
        <v>200025888662</v>
      </c>
      <c r="G2525" s="144" t="s">
        <v>365</v>
      </c>
      <c r="H2525" s="144" t="n">
        <v>66</v>
      </c>
      <c r="I2525" s="144" t="s">
        <v>148</v>
      </c>
      <c r="J2525" s="6" t="n">
        <v>45072.8252546296</v>
      </c>
      <c r="K2525" s="1" t="n">
        <v>1</v>
      </c>
      <c r="L2525" s="144" t="n">
        <v>66</v>
      </c>
      <c r="M2525" s="1" t="n">
        <v>82</v>
      </c>
      <c r="N2525" s="1" t="n">
        <v>82</v>
      </c>
      <c r="O2525" s="149" t="n">
        <v>20</v>
      </c>
    </row>
    <row r="2526" customFormat="false" ht="14.25" hidden="false" customHeight="false" outlineLevel="0" collapsed="false">
      <c r="A2526" s="1" t="n">
        <v>78</v>
      </c>
      <c r="B2526" s="1" t="s">
        <v>478</v>
      </c>
      <c r="C2526" s="143" t="n">
        <v>21265</v>
      </c>
      <c r="D2526" s="143" t="s">
        <v>76</v>
      </c>
      <c r="E2526" s="143" t="s">
        <v>479</v>
      </c>
      <c r="F2526" s="144" t="n">
        <v>200025888662</v>
      </c>
      <c r="G2526" s="144" t="s">
        <v>365</v>
      </c>
      <c r="H2526" s="144" t="n">
        <v>66</v>
      </c>
      <c r="I2526" s="144" t="s">
        <v>148</v>
      </c>
      <c r="J2526" s="6" t="n">
        <v>45072.825462963</v>
      </c>
      <c r="K2526" s="1" t="n">
        <v>1</v>
      </c>
      <c r="L2526" s="144" t="n">
        <v>66</v>
      </c>
      <c r="M2526" s="1" t="n">
        <v>82</v>
      </c>
      <c r="N2526" s="1" t="n">
        <v>82</v>
      </c>
      <c r="O2526" s="149" t="n">
        <v>21</v>
      </c>
    </row>
    <row r="2527" customFormat="false" ht="14.25" hidden="false" customHeight="false" outlineLevel="0" collapsed="false">
      <c r="A2527" s="1" t="n">
        <v>79</v>
      </c>
      <c r="B2527" s="1" t="s">
        <v>478</v>
      </c>
      <c r="C2527" s="143" t="n">
        <v>21265</v>
      </c>
      <c r="D2527" s="143" t="s">
        <v>76</v>
      </c>
      <c r="E2527" s="143" t="s">
        <v>479</v>
      </c>
      <c r="F2527" s="144" t="n">
        <v>200025888662</v>
      </c>
      <c r="G2527" s="144" t="s">
        <v>365</v>
      </c>
      <c r="H2527" s="144" t="n">
        <v>66</v>
      </c>
      <c r="I2527" s="144" t="s">
        <v>148</v>
      </c>
      <c r="J2527" s="6" t="n">
        <v>45072.8256365741</v>
      </c>
      <c r="K2527" s="1" t="n">
        <v>2</v>
      </c>
      <c r="L2527" s="144" t="n">
        <v>66</v>
      </c>
      <c r="M2527" s="1" t="n">
        <v>82</v>
      </c>
      <c r="N2527" s="1" t="n">
        <v>82</v>
      </c>
      <c r="O2527" s="149" t="n">
        <v>22</v>
      </c>
    </row>
    <row r="2528" customFormat="false" ht="14.25" hidden="false" customHeight="false" outlineLevel="0" collapsed="false">
      <c r="A2528" s="1" t="n">
        <v>80</v>
      </c>
      <c r="B2528" s="1" t="s">
        <v>478</v>
      </c>
      <c r="C2528" s="143" t="n">
        <v>21265</v>
      </c>
      <c r="D2528" s="143" t="s">
        <v>76</v>
      </c>
      <c r="E2528" s="143" t="s">
        <v>479</v>
      </c>
      <c r="F2528" s="144" t="n">
        <v>200025888662</v>
      </c>
      <c r="G2528" s="144" t="s">
        <v>365</v>
      </c>
      <c r="H2528" s="144" t="n">
        <v>66</v>
      </c>
      <c r="I2528" s="144" t="s">
        <v>148</v>
      </c>
      <c r="J2528" s="6" t="n">
        <v>45072.840462963</v>
      </c>
      <c r="K2528" s="1" t="n">
        <v>1</v>
      </c>
      <c r="L2528" s="144" t="n">
        <v>66</v>
      </c>
      <c r="M2528" s="1" t="n">
        <v>82</v>
      </c>
      <c r="N2528" s="1" t="n">
        <v>82</v>
      </c>
      <c r="O2528" s="149" t="n">
        <v>23</v>
      </c>
    </row>
    <row r="2529" customFormat="false" ht="14.25" hidden="false" customHeight="false" outlineLevel="0" collapsed="false">
      <c r="A2529" s="1" t="n">
        <v>81</v>
      </c>
      <c r="B2529" s="1" t="s">
        <v>478</v>
      </c>
      <c r="C2529" s="143" t="n">
        <v>21265</v>
      </c>
      <c r="D2529" s="143" t="s">
        <v>76</v>
      </c>
      <c r="E2529" s="143" t="s">
        <v>479</v>
      </c>
      <c r="F2529" s="144" t="n">
        <v>200025888662</v>
      </c>
      <c r="G2529" s="144" t="s">
        <v>365</v>
      </c>
      <c r="H2529" s="144" t="n">
        <v>66</v>
      </c>
      <c r="I2529" s="144" t="s">
        <v>148</v>
      </c>
      <c r="J2529" s="6" t="n">
        <v>45072.8559953704</v>
      </c>
      <c r="K2529" s="1" t="n">
        <v>1</v>
      </c>
      <c r="L2529" s="144" t="n">
        <v>66</v>
      </c>
      <c r="M2529" s="1" t="n">
        <v>82</v>
      </c>
      <c r="N2529" s="1" t="n">
        <v>82</v>
      </c>
      <c r="O2529" s="149" t="n">
        <v>24</v>
      </c>
    </row>
    <row r="2530" customFormat="false" ht="14.25" hidden="false" customHeight="false" outlineLevel="0" collapsed="false">
      <c r="A2530" s="1" t="n">
        <v>82</v>
      </c>
      <c r="B2530" s="1" t="s">
        <v>478</v>
      </c>
      <c r="C2530" s="143" t="n">
        <v>21265</v>
      </c>
      <c r="D2530" s="143" t="s">
        <v>76</v>
      </c>
      <c r="E2530" s="143" t="s">
        <v>479</v>
      </c>
      <c r="F2530" s="144" t="n">
        <v>200025888662</v>
      </c>
      <c r="G2530" s="144" t="s">
        <v>365</v>
      </c>
      <c r="H2530" s="144" t="n">
        <v>66</v>
      </c>
      <c r="I2530" s="144" t="s">
        <v>148</v>
      </c>
      <c r="J2530" s="6" t="n">
        <v>45072.8563425926</v>
      </c>
      <c r="K2530" s="1" t="n">
        <v>3</v>
      </c>
      <c r="L2530" s="144" t="n">
        <v>66</v>
      </c>
      <c r="M2530" s="1" t="n">
        <v>82</v>
      </c>
      <c r="N2530" s="1" t="n">
        <v>82</v>
      </c>
      <c r="O2530" s="149" t="n">
        <v>25</v>
      </c>
    </row>
    <row r="2531" customFormat="false" ht="14.25" hidden="false" customHeight="false" outlineLevel="0" collapsed="false">
      <c r="A2531" s="1" t="n">
        <v>83</v>
      </c>
      <c r="B2531" s="1" t="s">
        <v>478</v>
      </c>
      <c r="C2531" s="143" t="n">
        <v>21265</v>
      </c>
      <c r="D2531" s="143" t="s">
        <v>76</v>
      </c>
      <c r="E2531" s="143" t="s">
        <v>479</v>
      </c>
      <c r="F2531" s="144" t="n">
        <v>200025888662</v>
      </c>
      <c r="G2531" s="144" t="s">
        <v>365</v>
      </c>
      <c r="H2531" s="144" t="n">
        <v>66</v>
      </c>
      <c r="I2531" s="144" t="s">
        <v>148</v>
      </c>
      <c r="J2531" s="6" t="n">
        <v>45072.8753819445</v>
      </c>
      <c r="K2531" s="1" t="n">
        <v>2</v>
      </c>
      <c r="L2531" s="144" t="n">
        <v>66</v>
      </c>
      <c r="M2531" s="1" t="n">
        <v>82</v>
      </c>
      <c r="N2531" s="1" t="n">
        <v>82</v>
      </c>
      <c r="O2531" s="149" t="n">
        <v>26</v>
      </c>
    </row>
    <row r="2532" customFormat="false" ht="14.25" hidden="false" customHeight="false" outlineLevel="0" collapsed="false">
      <c r="A2532" s="1" t="n">
        <v>84</v>
      </c>
      <c r="B2532" s="1" t="s">
        <v>478</v>
      </c>
      <c r="C2532" s="143" t="n">
        <v>21265</v>
      </c>
      <c r="D2532" s="143" t="s">
        <v>76</v>
      </c>
      <c r="E2532" s="143" t="s">
        <v>479</v>
      </c>
      <c r="F2532" s="144" t="n">
        <v>200025888662</v>
      </c>
      <c r="G2532" s="144" t="s">
        <v>365</v>
      </c>
      <c r="H2532" s="144" t="n">
        <v>66</v>
      </c>
      <c r="I2532" s="144" t="s">
        <v>148</v>
      </c>
      <c r="J2532" s="6" t="n">
        <v>45072.8757407407</v>
      </c>
      <c r="K2532" s="1" t="n">
        <v>2</v>
      </c>
      <c r="L2532" s="144" t="n">
        <v>66</v>
      </c>
      <c r="M2532" s="1" t="n">
        <v>82</v>
      </c>
      <c r="N2532" s="1" t="n">
        <v>82</v>
      </c>
      <c r="O2532" s="149" t="n">
        <v>27</v>
      </c>
    </row>
    <row r="2533" customFormat="false" ht="14.25" hidden="false" customHeight="false" outlineLevel="0" collapsed="false">
      <c r="A2533" s="1" t="n">
        <v>85</v>
      </c>
      <c r="B2533" s="1" t="s">
        <v>478</v>
      </c>
      <c r="C2533" s="143" t="n">
        <v>21265</v>
      </c>
      <c r="D2533" s="143" t="s">
        <v>76</v>
      </c>
      <c r="E2533" s="143" t="s">
        <v>479</v>
      </c>
      <c r="F2533" s="144" t="n">
        <v>200025888662</v>
      </c>
      <c r="G2533" s="144" t="s">
        <v>365</v>
      </c>
      <c r="H2533" s="144" t="n">
        <v>66</v>
      </c>
      <c r="I2533" s="144" t="s">
        <v>148</v>
      </c>
      <c r="J2533" s="6" t="n">
        <v>45072.8764351852</v>
      </c>
      <c r="K2533" s="1" t="n">
        <v>2</v>
      </c>
      <c r="L2533" s="144" t="n">
        <v>66</v>
      </c>
      <c r="M2533" s="1" t="n">
        <v>82</v>
      </c>
      <c r="N2533" s="1" t="n">
        <v>82</v>
      </c>
      <c r="O2533" s="149" t="n">
        <v>28</v>
      </c>
    </row>
    <row r="2534" customFormat="false" ht="14.25" hidden="false" customHeight="false" outlineLevel="0" collapsed="false">
      <c r="A2534" s="1" t="n">
        <v>86</v>
      </c>
      <c r="B2534" s="1" t="s">
        <v>478</v>
      </c>
      <c r="C2534" s="143" t="n">
        <v>21265</v>
      </c>
      <c r="D2534" s="143" t="s">
        <v>76</v>
      </c>
      <c r="E2534" s="143" t="s">
        <v>479</v>
      </c>
      <c r="F2534" s="144" t="n">
        <v>200025888662</v>
      </c>
      <c r="G2534" s="144" t="s">
        <v>365</v>
      </c>
      <c r="H2534" s="144" t="n">
        <v>66</v>
      </c>
      <c r="I2534" s="144" t="s">
        <v>148</v>
      </c>
      <c r="J2534" s="6" t="n">
        <v>45072.8767361111</v>
      </c>
      <c r="K2534" s="1" t="n">
        <v>2</v>
      </c>
      <c r="L2534" s="144" t="n">
        <v>66</v>
      </c>
      <c r="M2534" s="1" t="n">
        <v>82</v>
      </c>
      <c r="N2534" s="1" t="n">
        <v>82</v>
      </c>
      <c r="O2534" s="149" t="n">
        <v>29</v>
      </c>
    </row>
    <row r="2535" customFormat="false" ht="14.25" hidden="false" customHeight="false" outlineLevel="0" collapsed="false">
      <c r="A2535" s="1" t="n">
        <v>87</v>
      </c>
      <c r="B2535" s="1" t="s">
        <v>478</v>
      </c>
      <c r="C2535" s="143" t="n">
        <v>21265</v>
      </c>
      <c r="D2535" s="143" t="s">
        <v>76</v>
      </c>
      <c r="E2535" s="143" t="s">
        <v>479</v>
      </c>
      <c r="F2535" s="144" t="n">
        <v>200025888662</v>
      </c>
      <c r="G2535" s="144" t="s">
        <v>365</v>
      </c>
      <c r="H2535" s="144" t="n">
        <v>66</v>
      </c>
      <c r="I2535" s="144" t="s">
        <v>148</v>
      </c>
      <c r="J2535" s="6" t="n">
        <v>45072.8774884259</v>
      </c>
      <c r="K2535" s="1" t="n">
        <v>2</v>
      </c>
      <c r="L2535" s="144" t="n">
        <v>66</v>
      </c>
      <c r="M2535" s="1" t="n">
        <v>82</v>
      </c>
      <c r="N2535" s="1" t="n">
        <v>82</v>
      </c>
      <c r="O2535" s="149" t="n">
        <v>30</v>
      </c>
    </row>
    <row r="2536" customFormat="false" ht="14.25" hidden="false" customHeight="false" outlineLevel="0" collapsed="false">
      <c r="A2536" s="1" t="n">
        <v>88</v>
      </c>
      <c r="B2536" s="1" t="s">
        <v>478</v>
      </c>
      <c r="C2536" s="143" t="n">
        <v>21265</v>
      </c>
      <c r="D2536" s="143" t="s">
        <v>76</v>
      </c>
      <c r="E2536" s="143" t="s">
        <v>479</v>
      </c>
      <c r="F2536" s="144" t="n">
        <v>200025888662</v>
      </c>
      <c r="G2536" s="144" t="s">
        <v>365</v>
      </c>
      <c r="H2536" s="144" t="n">
        <v>66</v>
      </c>
      <c r="I2536" s="144" t="s">
        <v>148</v>
      </c>
      <c r="J2536" s="6" t="n">
        <v>45072.8929861111</v>
      </c>
      <c r="K2536" s="1" t="n">
        <v>6</v>
      </c>
      <c r="L2536" s="144" t="n">
        <v>66</v>
      </c>
      <c r="M2536" s="1" t="n">
        <v>82</v>
      </c>
      <c r="N2536" s="1" t="n">
        <v>82</v>
      </c>
      <c r="O2536" s="149" t="n">
        <v>31</v>
      </c>
    </row>
    <row r="2537" customFormat="false" ht="14.25" hidden="false" customHeight="false" outlineLevel="0" collapsed="false">
      <c r="A2537" s="1" t="n">
        <v>89</v>
      </c>
      <c r="B2537" s="1" t="s">
        <v>478</v>
      </c>
      <c r="C2537" s="143" t="n">
        <v>21265</v>
      </c>
      <c r="D2537" s="143" t="s">
        <v>76</v>
      </c>
      <c r="E2537" s="143" t="s">
        <v>479</v>
      </c>
      <c r="F2537" s="144" t="n">
        <v>200025888662</v>
      </c>
      <c r="G2537" s="144" t="s">
        <v>365</v>
      </c>
      <c r="H2537" s="144" t="n">
        <v>66</v>
      </c>
      <c r="I2537" s="144" t="s">
        <v>148</v>
      </c>
      <c r="J2537" s="6" t="n">
        <v>45072.8933449074</v>
      </c>
      <c r="K2537" s="1" t="n">
        <v>1</v>
      </c>
      <c r="L2537" s="144" t="n">
        <v>66</v>
      </c>
      <c r="M2537" s="1" t="n">
        <v>82</v>
      </c>
      <c r="N2537" s="1" t="n">
        <v>82</v>
      </c>
      <c r="O2537" s="149" t="n">
        <v>32</v>
      </c>
    </row>
    <row r="2538" customFormat="false" ht="14.25" hidden="false" customHeight="false" outlineLevel="0" collapsed="false">
      <c r="A2538" s="1" t="n">
        <v>90</v>
      </c>
      <c r="B2538" s="1" t="s">
        <v>478</v>
      </c>
      <c r="C2538" s="143" t="n">
        <v>21265</v>
      </c>
      <c r="D2538" s="143" t="s">
        <v>76</v>
      </c>
      <c r="E2538" s="143" t="s">
        <v>479</v>
      </c>
      <c r="F2538" s="144" t="n">
        <v>200025888662</v>
      </c>
      <c r="G2538" s="144" t="s">
        <v>365</v>
      </c>
      <c r="H2538" s="144" t="n">
        <v>66</v>
      </c>
      <c r="I2538" s="144" t="s">
        <v>148</v>
      </c>
      <c r="J2538" s="6" t="n">
        <v>45072.9115740741</v>
      </c>
      <c r="K2538" s="1" t="n">
        <v>1</v>
      </c>
      <c r="L2538" s="144" t="n">
        <v>66</v>
      </c>
      <c r="M2538" s="1" t="n">
        <v>82</v>
      </c>
      <c r="N2538" s="1" t="n">
        <v>82</v>
      </c>
      <c r="O2538" s="149" t="n">
        <v>33</v>
      </c>
    </row>
    <row r="2539" customFormat="false" ht="14.25" hidden="false" customHeight="false" outlineLevel="0" collapsed="false">
      <c r="A2539" s="1" t="n">
        <v>91</v>
      </c>
      <c r="B2539" s="1" t="s">
        <v>478</v>
      </c>
      <c r="C2539" s="143" t="n">
        <v>21265</v>
      </c>
      <c r="D2539" s="143" t="s">
        <v>76</v>
      </c>
      <c r="E2539" s="143" t="s">
        <v>479</v>
      </c>
      <c r="F2539" s="144" t="n">
        <v>200025888662</v>
      </c>
      <c r="G2539" s="144" t="s">
        <v>365</v>
      </c>
      <c r="H2539" s="144" t="n">
        <v>66</v>
      </c>
      <c r="I2539" s="144" t="s">
        <v>148</v>
      </c>
      <c r="J2539" s="6" t="n">
        <v>45072.9120601852</v>
      </c>
      <c r="K2539" s="1" t="n">
        <v>3</v>
      </c>
      <c r="L2539" s="144" t="n">
        <v>66</v>
      </c>
      <c r="M2539" s="1" t="n">
        <v>82</v>
      </c>
      <c r="N2539" s="1" t="n">
        <v>82</v>
      </c>
      <c r="O2539" s="149" t="n">
        <v>34</v>
      </c>
    </row>
    <row r="2540" customFormat="false" ht="14.25" hidden="false" customHeight="false" outlineLevel="0" collapsed="false">
      <c r="A2540" s="1" t="n">
        <v>92</v>
      </c>
      <c r="B2540" s="1" t="s">
        <v>478</v>
      </c>
      <c r="C2540" s="143" t="n">
        <v>21265</v>
      </c>
      <c r="D2540" s="143" t="s">
        <v>76</v>
      </c>
      <c r="E2540" s="143" t="s">
        <v>479</v>
      </c>
      <c r="F2540" s="144" t="n">
        <v>200025888662</v>
      </c>
      <c r="G2540" s="144" t="s">
        <v>365</v>
      </c>
      <c r="H2540" s="144" t="n">
        <v>66</v>
      </c>
      <c r="I2540" s="144" t="s">
        <v>148</v>
      </c>
      <c r="J2540" s="6" t="n">
        <v>45072.9275347222</v>
      </c>
      <c r="K2540" s="1" t="n">
        <v>3</v>
      </c>
      <c r="L2540" s="144" t="n">
        <v>66</v>
      </c>
      <c r="M2540" s="1" t="n">
        <v>82</v>
      </c>
      <c r="N2540" s="1" t="n">
        <v>82</v>
      </c>
      <c r="O2540" s="149" t="n">
        <v>35</v>
      </c>
    </row>
    <row r="2541" customFormat="false" ht="14.25" hidden="false" customHeight="false" outlineLevel="0" collapsed="false">
      <c r="A2541" s="1" t="n">
        <v>93</v>
      </c>
      <c r="B2541" s="1" t="s">
        <v>478</v>
      </c>
      <c r="C2541" s="143" t="n">
        <v>21265</v>
      </c>
      <c r="D2541" s="143" t="s">
        <v>76</v>
      </c>
      <c r="E2541" s="143" t="s">
        <v>479</v>
      </c>
      <c r="F2541" s="144" t="n">
        <v>200025888662</v>
      </c>
      <c r="G2541" s="144" t="s">
        <v>365</v>
      </c>
      <c r="H2541" s="144" t="n">
        <v>66</v>
      </c>
      <c r="I2541" s="144" t="s">
        <v>148</v>
      </c>
      <c r="J2541" s="6" t="n">
        <v>45072.927974537</v>
      </c>
      <c r="K2541" s="1" t="n">
        <v>0</v>
      </c>
      <c r="L2541" s="144" t="n">
        <v>66</v>
      </c>
      <c r="M2541" s="1" t="n">
        <v>82</v>
      </c>
      <c r="N2541" s="1" t="n">
        <v>82</v>
      </c>
      <c r="O2541" s="149" t="n">
        <v>36</v>
      </c>
    </row>
    <row r="2542" customFormat="false" ht="14.25" hidden="false" customHeight="false" outlineLevel="0" collapsed="false">
      <c r="A2542" s="1" t="n">
        <v>94</v>
      </c>
      <c r="B2542" s="1" t="s">
        <v>478</v>
      </c>
      <c r="C2542" s="143" t="n">
        <v>21265</v>
      </c>
      <c r="D2542" s="143" t="s">
        <v>76</v>
      </c>
      <c r="E2542" s="143" t="s">
        <v>479</v>
      </c>
      <c r="F2542" s="144" t="n">
        <v>200025888662</v>
      </c>
      <c r="G2542" s="144" t="s">
        <v>365</v>
      </c>
      <c r="H2542" s="144" t="n">
        <v>66</v>
      </c>
      <c r="I2542" s="144" t="s">
        <v>148</v>
      </c>
      <c r="J2542" s="6" t="n">
        <v>45072.9283449074</v>
      </c>
      <c r="K2542" s="1" t="n">
        <v>4</v>
      </c>
      <c r="L2542" s="144" t="n">
        <v>66</v>
      </c>
      <c r="M2542" s="1" t="n">
        <v>82</v>
      </c>
      <c r="N2542" s="1" t="n">
        <v>82</v>
      </c>
      <c r="O2542" s="149" t="n">
        <v>37</v>
      </c>
    </row>
    <row r="2543" customFormat="false" ht="14.25" hidden="false" customHeight="false" outlineLevel="0" collapsed="false">
      <c r="A2543" s="1" t="n">
        <v>95</v>
      </c>
      <c r="B2543" s="1" t="s">
        <v>478</v>
      </c>
      <c r="C2543" s="143" t="n">
        <v>21265</v>
      </c>
      <c r="D2543" s="143" t="s">
        <v>76</v>
      </c>
      <c r="E2543" s="143" t="s">
        <v>479</v>
      </c>
      <c r="F2543" s="144" t="n">
        <v>200025888662</v>
      </c>
      <c r="G2543" s="144" t="s">
        <v>365</v>
      </c>
      <c r="H2543" s="144" t="n">
        <v>66</v>
      </c>
      <c r="I2543" s="144" t="s">
        <v>148</v>
      </c>
      <c r="J2543" s="6" t="n">
        <v>45072.9287268519</v>
      </c>
      <c r="K2543" s="1" t="n">
        <v>1</v>
      </c>
      <c r="L2543" s="144" t="n">
        <v>66</v>
      </c>
      <c r="M2543" s="1" t="n">
        <v>82</v>
      </c>
      <c r="N2543" s="1" t="n">
        <v>82</v>
      </c>
      <c r="O2543" s="149" t="n">
        <v>38</v>
      </c>
    </row>
    <row r="2544" customFormat="false" ht="14.25" hidden="false" customHeight="false" outlineLevel="0" collapsed="false">
      <c r="A2544" s="1" t="n">
        <v>96</v>
      </c>
      <c r="B2544" s="1" t="s">
        <v>478</v>
      </c>
      <c r="C2544" s="143" t="n">
        <v>21265</v>
      </c>
      <c r="D2544" s="143" t="s">
        <v>76</v>
      </c>
      <c r="E2544" s="143" t="s">
        <v>479</v>
      </c>
      <c r="F2544" s="144" t="n">
        <v>200025888662</v>
      </c>
      <c r="G2544" s="144" t="s">
        <v>365</v>
      </c>
      <c r="H2544" s="144" t="n">
        <v>66</v>
      </c>
      <c r="I2544" s="144" t="s">
        <v>148</v>
      </c>
      <c r="J2544" s="6" t="n">
        <v>45072.9621875</v>
      </c>
      <c r="K2544" s="1" t="n">
        <v>1</v>
      </c>
      <c r="L2544" s="144" t="n">
        <v>66</v>
      </c>
      <c r="M2544" s="1" t="n">
        <v>82</v>
      </c>
      <c r="N2544" s="1" t="n">
        <v>82</v>
      </c>
      <c r="O2544" s="149" t="n">
        <v>39</v>
      </c>
    </row>
    <row r="2545" customFormat="false" ht="14.25" hidden="false" customHeight="false" outlineLevel="0" collapsed="false">
      <c r="A2545" s="1" t="n">
        <v>97</v>
      </c>
      <c r="B2545" s="1" t="s">
        <v>478</v>
      </c>
      <c r="C2545" s="143" t="n">
        <v>21265</v>
      </c>
      <c r="D2545" s="143" t="s">
        <v>76</v>
      </c>
      <c r="E2545" s="143" t="s">
        <v>479</v>
      </c>
      <c r="F2545" s="144" t="n">
        <v>200025888662</v>
      </c>
      <c r="G2545" s="144" t="s">
        <v>365</v>
      </c>
      <c r="H2545" s="144" t="n">
        <v>66</v>
      </c>
      <c r="I2545" s="144" t="s">
        <v>148</v>
      </c>
      <c r="J2545" s="6" t="n">
        <v>45072.9627314815</v>
      </c>
      <c r="K2545" s="1" t="n">
        <v>1</v>
      </c>
      <c r="L2545" s="144" t="n">
        <v>66</v>
      </c>
      <c r="M2545" s="1" t="n">
        <v>82</v>
      </c>
      <c r="N2545" s="1" t="n">
        <v>82</v>
      </c>
      <c r="O2545" s="149" t="n">
        <v>40</v>
      </c>
    </row>
    <row r="2546" customFormat="false" ht="14.25" hidden="false" customHeight="false" outlineLevel="0" collapsed="false">
      <c r="A2546" s="1" t="n">
        <v>98</v>
      </c>
      <c r="B2546" s="1" t="s">
        <v>478</v>
      </c>
      <c r="C2546" s="143" t="n">
        <v>21265</v>
      </c>
      <c r="D2546" s="143" t="s">
        <v>76</v>
      </c>
      <c r="E2546" s="143" t="s">
        <v>479</v>
      </c>
      <c r="F2546" s="144" t="n">
        <v>200025888662</v>
      </c>
      <c r="G2546" s="144" t="s">
        <v>365</v>
      </c>
      <c r="H2546" s="144" t="n">
        <v>66</v>
      </c>
      <c r="I2546" s="144" t="s">
        <v>148</v>
      </c>
      <c r="J2546" s="6" t="n">
        <v>45072.9630092593</v>
      </c>
      <c r="K2546" s="1" t="n">
        <v>2</v>
      </c>
      <c r="L2546" s="144" t="n">
        <v>66</v>
      </c>
      <c r="M2546" s="1" t="n">
        <v>82</v>
      </c>
      <c r="N2546" s="1" t="n">
        <v>82</v>
      </c>
      <c r="O2546" s="149" t="n">
        <v>41</v>
      </c>
    </row>
    <row r="2547" customFormat="false" ht="14.25" hidden="false" customHeight="false" outlineLevel="0" collapsed="false">
      <c r="A2547" s="1" t="n">
        <v>99</v>
      </c>
      <c r="B2547" s="1" t="s">
        <v>478</v>
      </c>
      <c r="C2547" s="143" t="n">
        <v>21265</v>
      </c>
      <c r="D2547" s="143" t="s">
        <v>76</v>
      </c>
      <c r="E2547" s="143" t="s">
        <v>479</v>
      </c>
      <c r="F2547" s="144" t="n">
        <v>200025888662</v>
      </c>
      <c r="G2547" s="144" t="s">
        <v>365</v>
      </c>
      <c r="H2547" s="144" t="n">
        <v>66</v>
      </c>
      <c r="I2547" s="144" t="s">
        <v>148</v>
      </c>
      <c r="J2547" s="6" t="n">
        <v>45072.9937615741</v>
      </c>
      <c r="K2547" s="1" t="n">
        <v>2</v>
      </c>
      <c r="L2547" s="144" t="n">
        <v>66</v>
      </c>
      <c r="M2547" s="1" t="n">
        <v>82</v>
      </c>
      <c r="N2547" s="1" t="n">
        <v>82</v>
      </c>
      <c r="O2547" s="149" t="n">
        <v>42</v>
      </c>
    </row>
    <row r="2548" customFormat="false" ht="14.25" hidden="false" customHeight="false" outlineLevel="0" collapsed="false">
      <c r="A2548" s="1" t="n">
        <v>100</v>
      </c>
      <c r="B2548" s="1" t="s">
        <v>478</v>
      </c>
      <c r="C2548" s="143" t="n">
        <v>21265</v>
      </c>
      <c r="D2548" s="143" t="s">
        <v>76</v>
      </c>
      <c r="E2548" s="143" t="s">
        <v>479</v>
      </c>
      <c r="F2548" s="144" t="n">
        <v>200025888662</v>
      </c>
      <c r="G2548" s="144" t="s">
        <v>365</v>
      </c>
      <c r="H2548" s="144" t="n">
        <v>66</v>
      </c>
      <c r="I2548" s="144" t="s">
        <v>148</v>
      </c>
      <c r="J2548" s="6" t="n">
        <v>45072.9940277778</v>
      </c>
      <c r="K2548" s="1" t="n">
        <v>3</v>
      </c>
      <c r="L2548" s="144" t="n">
        <v>66</v>
      </c>
      <c r="M2548" s="1" t="n">
        <v>82</v>
      </c>
      <c r="N2548" s="1" t="n">
        <v>82</v>
      </c>
      <c r="O2548" s="149" t="n">
        <v>43</v>
      </c>
    </row>
    <row r="2549" customFormat="false" ht="14.25" hidden="false" customHeight="false" outlineLevel="0" collapsed="false">
      <c r="A2549" s="1" t="n">
        <v>101</v>
      </c>
      <c r="B2549" s="1" t="s">
        <v>478</v>
      </c>
      <c r="C2549" s="143" t="n">
        <v>21265</v>
      </c>
      <c r="D2549" s="143" t="s">
        <v>76</v>
      </c>
      <c r="E2549" s="143" t="s">
        <v>479</v>
      </c>
      <c r="F2549" s="144" t="n">
        <v>200025888662</v>
      </c>
      <c r="G2549" s="144" t="s">
        <v>365</v>
      </c>
      <c r="H2549" s="144" t="n">
        <v>66</v>
      </c>
      <c r="I2549" s="144" t="s">
        <v>148</v>
      </c>
      <c r="J2549" s="6" t="n">
        <v>45072.994537037</v>
      </c>
      <c r="K2549" s="1" t="n">
        <v>1</v>
      </c>
      <c r="L2549" s="144" t="n">
        <v>66</v>
      </c>
      <c r="M2549" s="1" t="n">
        <v>82</v>
      </c>
      <c r="N2549" s="1" t="n">
        <v>82</v>
      </c>
      <c r="O2549" s="149" t="n">
        <v>44</v>
      </c>
    </row>
    <row r="2550" customFormat="false" ht="14.25" hidden="false" customHeight="false" outlineLevel="0" collapsed="false">
      <c r="A2550" s="1" t="n">
        <v>102</v>
      </c>
      <c r="B2550" s="1" t="s">
        <v>478</v>
      </c>
      <c r="C2550" s="143" t="n">
        <v>21265</v>
      </c>
      <c r="D2550" s="143" t="s">
        <v>76</v>
      </c>
      <c r="E2550" s="143" t="s">
        <v>479</v>
      </c>
      <c r="F2550" s="144" t="n">
        <v>200025888662</v>
      </c>
      <c r="G2550" s="144" t="s">
        <v>365</v>
      </c>
      <c r="H2550" s="144" t="n">
        <v>66</v>
      </c>
      <c r="I2550" s="144" t="s">
        <v>148</v>
      </c>
      <c r="J2550" s="6" t="n">
        <v>45072.9950810185</v>
      </c>
      <c r="K2550" s="1" t="n">
        <v>1</v>
      </c>
      <c r="L2550" s="144" t="n">
        <v>66</v>
      </c>
      <c r="M2550" s="1" t="n">
        <v>82</v>
      </c>
      <c r="N2550" s="1" t="n">
        <v>82</v>
      </c>
      <c r="O2550" s="149" t="n">
        <v>45</v>
      </c>
    </row>
    <row r="2551" customFormat="false" ht="14.25" hidden="false" customHeight="false" outlineLevel="0" collapsed="false">
      <c r="A2551" s="1" t="n">
        <v>103</v>
      </c>
      <c r="B2551" s="1" t="s">
        <v>478</v>
      </c>
      <c r="C2551" s="143" t="n">
        <v>21265</v>
      </c>
      <c r="D2551" s="143" t="s">
        <v>76</v>
      </c>
      <c r="E2551" s="143" t="s">
        <v>479</v>
      </c>
      <c r="F2551" s="144" t="n">
        <v>200025888662</v>
      </c>
      <c r="G2551" s="144" t="s">
        <v>365</v>
      </c>
      <c r="H2551" s="144" t="n">
        <v>66</v>
      </c>
      <c r="I2551" s="144" t="s">
        <v>148</v>
      </c>
      <c r="J2551" s="6" t="n">
        <v>45072.9955324074</v>
      </c>
      <c r="K2551" s="1" t="n">
        <v>1</v>
      </c>
      <c r="L2551" s="144" t="n">
        <v>66</v>
      </c>
      <c r="M2551" s="1" t="n">
        <v>82</v>
      </c>
      <c r="N2551" s="1" t="n">
        <v>82</v>
      </c>
      <c r="O2551" s="149" t="n">
        <v>46</v>
      </c>
    </row>
    <row r="2552" customFormat="false" ht="14.25" hidden="false" customHeight="false" outlineLevel="0" collapsed="false">
      <c r="A2552" s="1" t="n">
        <v>104</v>
      </c>
      <c r="B2552" s="1" t="s">
        <v>478</v>
      </c>
      <c r="C2552" s="143" t="n">
        <v>21265</v>
      </c>
      <c r="D2552" s="143" t="s">
        <v>76</v>
      </c>
      <c r="E2552" s="143" t="s">
        <v>479</v>
      </c>
      <c r="F2552" s="144" t="n">
        <v>200025888662</v>
      </c>
      <c r="G2552" s="144" t="s">
        <v>365</v>
      </c>
      <c r="H2552" s="144" t="n">
        <v>66</v>
      </c>
      <c r="I2552" s="144" t="s">
        <v>148</v>
      </c>
      <c r="J2552" s="6" t="n">
        <v>45073.0211689815</v>
      </c>
      <c r="K2552" s="1" t="n">
        <v>1</v>
      </c>
      <c r="L2552" s="144" t="n">
        <v>66</v>
      </c>
      <c r="M2552" s="1" t="n">
        <v>82</v>
      </c>
      <c r="N2552" s="1" t="n">
        <v>82</v>
      </c>
      <c r="O2552" s="149" t="n">
        <v>47</v>
      </c>
    </row>
    <row r="2553" customFormat="false" ht="14.25" hidden="false" customHeight="false" outlineLevel="0" collapsed="false">
      <c r="A2553" s="1" t="n">
        <v>105</v>
      </c>
      <c r="B2553" s="1" t="s">
        <v>478</v>
      </c>
      <c r="C2553" s="143" t="n">
        <v>21265</v>
      </c>
      <c r="D2553" s="143" t="s">
        <v>76</v>
      </c>
      <c r="E2553" s="143" t="s">
        <v>479</v>
      </c>
      <c r="F2553" s="144" t="n">
        <v>200025888662</v>
      </c>
      <c r="G2553" s="144" t="s">
        <v>365</v>
      </c>
      <c r="H2553" s="144" t="n">
        <v>66</v>
      </c>
      <c r="I2553" s="144" t="s">
        <v>148</v>
      </c>
      <c r="J2553" s="6" t="n">
        <v>45073.0229398148</v>
      </c>
      <c r="K2553" s="1" t="n">
        <v>2</v>
      </c>
      <c r="L2553" s="144" t="n">
        <v>66</v>
      </c>
      <c r="M2553" s="1" t="n">
        <v>82</v>
      </c>
      <c r="N2553" s="1" t="n">
        <v>82</v>
      </c>
      <c r="O2553" s="149" t="n">
        <v>48</v>
      </c>
    </row>
    <row r="2554" customFormat="false" ht="14.25" hidden="false" customHeight="false" outlineLevel="0" collapsed="false">
      <c r="A2554" s="1" t="n">
        <v>106</v>
      </c>
      <c r="B2554" s="1" t="s">
        <v>478</v>
      </c>
      <c r="C2554" s="143" t="n">
        <v>21265</v>
      </c>
      <c r="D2554" s="143" t="s">
        <v>76</v>
      </c>
      <c r="E2554" s="143" t="s">
        <v>479</v>
      </c>
      <c r="F2554" s="144" t="n">
        <v>200025888662</v>
      </c>
      <c r="G2554" s="144" t="s">
        <v>365</v>
      </c>
      <c r="H2554" s="144" t="n">
        <v>66</v>
      </c>
      <c r="I2554" s="144" t="s">
        <v>148</v>
      </c>
      <c r="J2554" s="6" t="n">
        <v>45073.0353240741</v>
      </c>
      <c r="K2554" s="1" t="n">
        <v>0</v>
      </c>
      <c r="L2554" s="144" t="n">
        <v>66</v>
      </c>
      <c r="M2554" s="1" t="n">
        <v>82</v>
      </c>
      <c r="N2554" s="1" t="n">
        <v>82</v>
      </c>
      <c r="O2554" s="149" t="n">
        <v>49</v>
      </c>
    </row>
    <row r="2555" customFormat="false" ht="14.25" hidden="false" customHeight="false" outlineLevel="0" collapsed="false">
      <c r="A2555" s="1" t="n">
        <v>107</v>
      </c>
      <c r="B2555" s="1" t="s">
        <v>478</v>
      </c>
      <c r="C2555" s="143" t="n">
        <v>21265</v>
      </c>
      <c r="D2555" s="143" t="s">
        <v>76</v>
      </c>
      <c r="E2555" s="143" t="s">
        <v>479</v>
      </c>
      <c r="F2555" s="144" t="n">
        <v>200025888662</v>
      </c>
      <c r="G2555" s="144" t="s">
        <v>365</v>
      </c>
      <c r="H2555" s="144" t="n">
        <v>66</v>
      </c>
      <c r="I2555" s="144" t="s">
        <v>148</v>
      </c>
      <c r="J2555" s="6" t="n">
        <v>45073.0738888889</v>
      </c>
      <c r="K2555" s="1" t="n">
        <v>1</v>
      </c>
      <c r="L2555" s="144" t="n">
        <v>66</v>
      </c>
      <c r="M2555" s="1" t="n">
        <v>82</v>
      </c>
      <c r="N2555" s="1" t="n">
        <v>82</v>
      </c>
      <c r="O2555" s="149" t="n">
        <v>50</v>
      </c>
    </row>
    <row r="2556" customFormat="false" ht="14.25" hidden="false" customHeight="false" outlineLevel="0" collapsed="false">
      <c r="A2556" s="1" t="n">
        <v>108</v>
      </c>
      <c r="B2556" s="1" t="s">
        <v>478</v>
      </c>
      <c r="C2556" s="143" t="n">
        <v>21265</v>
      </c>
      <c r="D2556" s="143" t="s">
        <v>76</v>
      </c>
      <c r="E2556" s="143" t="s">
        <v>479</v>
      </c>
      <c r="F2556" s="144" t="n">
        <v>200025888662</v>
      </c>
      <c r="G2556" s="144" t="s">
        <v>365</v>
      </c>
      <c r="H2556" s="144" t="n">
        <v>66</v>
      </c>
      <c r="I2556" s="144" t="s">
        <v>148</v>
      </c>
      <c r="J2556" s="6" t="n">
        <v>45073.1187037037</v>
      </c>
      <c r="K2556" s="1" t="n">
        <v>1</v>
      </c>
      <c r="L2556" s="144" t="n">
        <v>66</v>
      </c>
      <c r="M2556" s="1" t="n">
        <v>82</v>
      </c>
      <c r="N2556" s="1" t="n">
        <v>82</v>
      </c>
      <c r="O2556" s="149" t="n">
        <v>51</v>
      </c>
    </row>
    <row r="2557" customFormat="false" ht="14.25" hidden="false" customHeight="false" outlineLevel="0" collapsed="false">
      <c r="A2557" s="1" t="n">
        <v>109</v>
      </c>
      <c r="B2557" s="1" t="s">
        <v>478</v>
      </c>
      <c r="C2557" s="143" t="n">
        <v>21265</v>
      </c>
      <c r="D2557" s="143" t="s">
        <v>76</v>
      </c>
      <c r="E2557" s="143" t="s">
        <v>479</v>
      </c>
      <c r="F2557" s="144" t="n">
        <v>200025888662</v>
      </c>
      <c r="G2557" s="144" t="s">
        <v>365</v>
      </c>
      <c r="H2557" s="144" t="n">
        <v>66</v>
      </c>
      <c r="I2557" s="144" t="s">
        <v>148</v>
      </c>
      <c r="J2557" s="6" t="n">
        <v>45073.1706828704</v>
      </c>
      <c r="K2557" s="1" t="n">
        <v>2</v>
      </c>
      <c r="L2557" s="144" t="n">
        <v>66</v>
      </c>
      <c r="M2557" s="1" t="n">
        <v>82</v>
      </c>
      <c r="N2557" s="1" t="n">
        <v>82</v>
      </c>
      <c r="O2557" s="149" t="n">
        <v>52</v>
      </c>
    </row>
    <row r="2558" customFormat="false" ht="14.25" hidden="false" customHeight="false" outlineLevel="0" collapsed="false">
      <c r="A2558" s="1" t="n">
        <v>110</v>
      </c>
      <c r="B2558" s="1" t="s">
        <v>478</v>
      </c>
      <c r="C2558" s="143" t="n">
        <v>21265</v>
      </c>
      <c r="D2558" s="143" t="s">
        <v>76</v>
      </c>
      <c r="E2558" s="143" t="s">
        <v>479</v>
      </c>
      <c r="F2558" s="144" t="n">
        <v>200025888662</v>
      </c>
      <c r="G2558" s="144" t="s">
        <v>365</v>
      </c>
      <c r="H2558" s="144" t="n">
        <v>66</v>
      </c>
      <c r="I2558" s="144" t="s">
        <v>148</v>
      </c>
      <c r="J2558" s="6" t="n">
        <v>45073.1712152778</v>
      </c>
      <c r="K2558" s="1" t="n">
        <v>1</v>
      </c>
      <c r="L2558" s="144" t="n">
        <v>66</v>
      </c>
      <c r="M2558" s="1" t="n">
        <v>82</v>
      </c>
      <c r="N2558" s="1" t="n">
        <v>82</v>
      </c>
      <c r="O2558" s="149" t="n">
        <v>53</v>
      </c>
    </row>
    <row r="2559" customFormat="false" ht="14.25" hidden="false" customHeight="false" outlineLevel="0" collapsed="false">
      <c r="A2559" s="1" t="n">
        <v>111</v>
      </c>
      <c r="B2559" s="1" t="s">
        <v>478</v>
      </c>
      <c r="C2559" s="143" t="n">
        <v>21265</v>
      </c>
      <c r="D2559" s="143" t="s">
        <v>76</v>
      </c>
      <c r="E2559" s="143" t="s">
        <v>479</v>
      </c>
      <c r="F2559" s="144" t="n">
        <v>200025888662</v>
      </c>
      <c r="G2559" s="144" t="s">
        <v>365</v>
      </c>
      <c r="H2559" s="144" t="n">
        <v>66</v>
      </c>
      <c r="I2559" s="144" t="s">
        <v>148</v>
      </c>
      <c r="J2559" s="6" t="n">
        <v>45073.1721296296</v>
      </c>
      <c r="K2559" s="1" t="n">
        <v>1</v>
      </c>
      <c r="L2559" s="144" t="n">
        <v>66</v>
      </c>
      <c r="M2559" s="1" t="n">
        <v>82</v>
      </c>
      <c r="N2559" s="1" t="n">
        <v>82</v>
      </c>
      <c r="O2559" s="149" t="n">
        <v>54</v>
      </c>
    </row>
    <row r="2560" customFormat="false" ht="14.25" hidden="false" customHeight="false" outlineLevel="0" collapsed="false">
      <c r="A2560" s="1" t="n">
        <v>112</v>
      </c>
      <c r="B2560" s="1" t="s">
        <v>478</v>
      </c>
      <c r="C2560" s="143" t="n">
        <v>21265</v>
      </c>
      <c r="D2560" s="143" t="s">
        <v>76</v>
      </c>
      <c r="E2560" s="143" t="s">
        <v>479</v>
      </c>
      <c r="F2560" s="144" t="n">
        <v>200025888662</v>
      </c>
      <c r="G2560" s="144" t="s">
        <v>365</v>
      </c>
      <c r="H2560" s="144" t="n">
        <v>66</v>
      </c>
      <c r="I2560" s="144" t="s">
        <v>148</v>
      </c>
      <c r="J2560" s="6" t="n">
        <v>45073.2472337963</v>
      </c>
      <c r="K2560" s="1" t="n">
        <v>2</v>
      </c>
      <c r="L2560" s="144" t="n">
        <v>66</v>
      </c>
      <c r="M2560" s="1" t="n">
        <v>82</v>
      </c>
      <c r="N2560" s="1" t="n">
        <v>82</v>
      </c>
      <c r="O2560" s="149" t="n">
        <v>55</v>
      </c>
    </row>
    <row r="2561" customFormat="false" ht="14.25" hidden="false" customHeight="false" outlineLevel="0" collapsed="false">
      <c r="A2561" s="1" t="n">
        <v>113</v>
      </c>
      <c r="B2561" s="1" t="s">
        <v>478</v>
      </c>
      <c r="C2561" s="143" t="n">
        <v>21265</v>
      </c>
      <c r="D2561" s="143" t="s">
        <v>76</v>
      </c>
      <c r="E2561" s="143" t="s">
        <v>479</v>
      </c>
      <c r="F2561" s="144" t="n">
        <v>200025888662</v>
      </c>
      <c r="G2561" s="144" t="s">
        <v>365</v>
      </c>
      <c r="H2561" s="144" t="n">
        <v>66</v>
      </c>
      <c r="I2561" s="144" t="s">
        <v>148</v>
      </c>
      <c r="J2561" s="6" t="n">
        <v>45073.2480787037</v>
      </c>
      <c r="K2561" s="1" t="n">
        <v>2</v>
      </c>
      <c r="L2561" s="144" t="n">
        <v>66</v>
      </c>
      <c r="M2561" s="1" t="n">
        <v>82</v>
      </c>
      <c r="N2561" s="1" t="n">
        <v>82</v>
      </c>
      <c r="O2561" s="149" t="n">
        <v>56</v>
      </c>
    </row>
    <row r="2562" customFormat="false" ht="14.25" hidden="false" customHeight="false" outlineLevel="0" collapsed="false">
      <c r="A2562" s="1" t="n">
        <v>114</v>
      </c>
      <c r="B2562" s="1" t="s">
        <v>478</v>
      </c>
      <c r="C2562" s="143" t="n">
        <v>21265</v>
      </c>
      <c r="D2562" s="143" t="s">
        <v>76</v>
      </c>
      <c r="E2562" s="143" t="s">
        <v>479</v>
      </c>
      <c r="F2562" s="144" t="n">
        <v>200025888662</v>
      </c>
      <c r="G2562" s="144" t="s">
        <v>365</v>
      </c>
      <c r="H2562" s="144" t="n">
        <v>66</v>
      </c>
      <c r="I2562" s="144" t="s">
        <v>148</v>
      </c>
      <c r="J2562" s="6" t="n">
        <v>45073.2815972222</v>
      </c>
      <c r="K2562" s="1" t="n">
        <v>1</v>
      </c>
      <c r="L2562" s="144" t="n">
        <v>66</v>
      </c>
      <c r="M2562" s="1" t="n">
        <v>82</v>
      </c>
      <c r="N2562" s="1" t="n">
        <v>82</v>
      </c>
      <c r="O2562" s="149" t="n">
        <v>57</v>
      </c>
    </row>
    <row r="2563" customFormat="false" ht="14.25" hidden="false" customHeight="false" outlineLevel="0" collapsed="false">
      <c r="A2563" s="1" t="n">
        <v>115</v>
      </c>
      <c r="B2563" s="1" t="s">
        <v>478</v>
      </c>
      <c r="C2563" s="143" t="n">
        <v>21265</v>
      </c>
      <c r="D2563" s="143" t="s">
        <v>76</v>
      </c>
      <c r="E2563" s="143" t="s">
        <v>479</v>
      </c>
      <c r="F2563" s="144" t="n">
        <v>200025888662</v>
      </c>
      <c r="G2563" s="144" t="s">
        <v>365</v>
      </c>
      <c r="H2563" s="144" t="n">
        <v>66</v>
      </c>
      <c r="I2563" s="144" t="s">
        <v>148</v>
      </c>
      <c r="J2563" s="6" t="n">
        <v>45073.2823958333</v>
      </c>
      <c r="K2563" s="1" t="n">
        <v>2</v>
      </c>
      <c r="L2563" s="144" t="n">
        <v>66</v>
      </c>
      <c r="M2563" s="1" t="n">
        <v>82</v>
      </c>
      <c r="N2563" s="1" t="n">
        <v>82</v>
      </c>
      <c r="O2563" s="149" t="n">
        <v>58</v>
      </c>
    </row>
    <row r="2564" customFormat="false" ht="14.25" hidden="false" customHeight="false" outlineLevel="0" collapsed="false">
      <c r="A2564" s="1" t="n">
        <v>116</v>
      </c>
      <c r="B2564" s="1" t="s">
        <v>478</v>
      </c>
      <c r="C2564" s="143" t="n">
        <v>21265</v>
      </c>
      <c r="D2564" s="143" t="s">
        <v>76</v>
      </c>
      <c r="E2564" s="143" t="s">
        <v>479</v>
      </c>
      <c r="F2564" s="144" t="n">
        <v>200025888662</v>
      </c>
      <c r="G2564" s="144" t="s">
        <v>365</v>
      </c>
      <c r="H2564" s="144" t="n">
        <v>66</v>
      </c>
      <c r="I2564" s="144" t="s">
        <v>148</v>
      </c>
      <c r="J2564" s="6" t="n">
        <v>45073.2827546296</v>
      </c>
      <c r="K2564" s="1" t="n">
        <v>1</v>
      </c>
      <c r="L2564" s="144" t="n">
        <v>66</v>
      </c>
      <c r="M2564" s="1" t="n">
        <v>82</v>
      </c>
      <c r="N2564" s="1" t="n">
        <v>82</v>
      </c>
      <c r="O2564" s="149" t="n">
        <v>59</v>
      </c>
    </row>
    <row r="2565" customFormat="false" ht="14.25" hidden="false" customHeight="false" outlineLevel="0" collapsed="false">
      <c r="A2565" s="1" t="n">
        <v>117</v>
      </c>
      <c r="B2565" s="1" t="s">
        <v>478</v>
      </c>
      <c r="C2565" s="143" t="n">
        <v>21265</v>
      </c>
      <c r="D2565" s="143" t="s">
        <v>76</v>
      </c>
      <c r="E2565" s="143" t="s">
        <v>479</v>
      </c>
      <c r="F2565" s="144" t="n">
        <v>200025888662</v>
      </c>
      <c r="G2565" s="144" t="s">
        <v>365</v>
      </c>
      <c r="H2565" s="144" t="n">
        <v>66</v>
      </c>
      <c r="I2565" s="144" t="s">
        <v>148</v>
      </c>
      <c r="J2565" s="6" t="n">
        <v>45073.3100115741</v>
      </c>
      <c r="K2565" s="1" t="n">
        <v>1</v>
      </c>
      <c r="L2565" s="144" t="n">
        <v>66</v>
      </c>
      <c r="M2565" s="1" t="n">
        <v>82</v>
      </c>
      <c r="N2565" s="1" t="n">
        <v>82</v>
      </c>
      <c r="O2565" s="149" t="n">
        <v>60</v>
      </c>
    </row>
    <row r="2566" customFormat="false" ht="14.25" hidden="false" customHeight="false" outlineLevel="0" collapsed="false">
      <c r="A2566" s="1" t="n">
        <v>118</v>
      </c>
      <c r="B2566" s="1" t="s">
        <v>478</v>
      </c>
      <c r="C2566" s="143" t="n">
        <v>21265</v>
      </c>
      <c r="D2566" s="143" t="s">
        <v>76</v>
      </c>
      <c r="E2566" s="143" t="s">
        <v>479</v>
      </c>
      <c r="F2566" s="144" t="n">
        <v>200025888662</v>
      </c>
      <c r="G2566" s="144" t="s">
        <v>365</v>
      </c>
      <c r="H2566" s="144" t="n">
        <v>66</v>
      </c>
      <c r="I2566" s="144" t="s">
        <v>148</v>
      </c>
      <c r="J2566" s="6" t="n">
        <v>45073.3102546296</v>
      </c>
      <c r="K2566" s="1" t="n">
        <v>3</v>
      </c>
      <c r="L2566" s="144" t="n">
        <v>66</v>
      </c>
      <c r="M2566" s="1" t="n">
        <v>82</v>
      </c>
      <c r="N2566" s="1" t="n">
        <v>82</v>
      </c>
      <c r="O2566" s="149" t="n">
        <v>61</v>
      </c>
    </row>
    <row r="2567" customFormat="false" ht="14.25" hidden="false" customHeight="false" outlineLevel="0" collapsed="false">
      <c r="A2567" s="1" t="n">
        <v>119</v>
      </c>
      <c r="B2567" s="1" t="s">
        <v>478</v>
      </c>
      <c r="C2567" s="143" t="n">
        <v>21265</v>
      </c>
      <c r="D2567" s="143" t="s">
        <v>76</v>
      </c>
      <c r="E2567" s="143" t="s">
        <v>479</v>
      </c>
      <c r="F2567" s="144" t="n">
        <v>200025888662</v>
      </c>
      <c r="G2567" s="144" t="s">
        <v>365</v>
      </c>
      <c r="H2567" s="144" t="n">
        <v>66</v>
      </c>
      <c r="I2567" s="144" t="s">
        <v>148</v>
      </c>
      <c r="J2567" s="6" t="n">
        <v>45073.3301736111</v>
      </c>
      <c r="K2567" s="1" t="n">
        <v>0</v>
      </c>
      <c r="L2567" s="144" t="n">
        <v>66</v>
      </c>
      <c r="M2567" s="1" t="n">
        <v>82</v>
      </c>
      <c r="N2567" s="1" t="n">
        <v>82</v>
      </c>
      <c r="O2567" s="149" t="n">
        <v>62</v>
      </c>
    </row>
    <row r="2568" customFormat="false" ht="14.25" hidden="false" customHeight="false" outlineLevel="0" collapsed="false">
      <c r="A2568" s="1" t="n">
        <v>120</v>
      </c>
      <c r="B2568" s="1" t="s">
        <v>478</v>
      </c>
      <c r="C2568" s="143" t="n">
        <v>21265</v>
      </c>
      <c r="D2568" s="143" t="s">
        <v>76</v>
      </c>
      <c r="E2568" s="143" t="s">
        <v>479</v>
      </c>
      <c r="F2568" s="144" t="n">
        <v>200025888662</v>
      </c>
      <c r="G2568" s="144" t="s">
        <v>365</v>
      </c>
      <c r="H2568" s="144" t="n">
        <v>66</v>
      </c>
      <c r="I2568" s="144" t="s">
        <v>148</v>
      </c>
      <c r="J2568" s="6" t="n">
        <v>45073.3433680556</v>
      </c>
      <c r="K2568" s="1" t="n">
        <v>1</v>
      </c>
      <c r="L2568" s="144" t="n">
        <v>66</v>
      </c>
      <c r="M2568" s="1" t="n">
        <v>82</v>
      </c>
      <c r="N2568" s="1" t="n">
        <v>82</v>
      </c>
      <c r="O2568" s="149" t="n">
        <v>63</v>
      </c>
    </row>
    <row r="2569" customFormat="false" ht="14.25" hidden="false" customHeight="false" outlineLevel="0" collapsed="false">
      <c r="A2569" s="1" t="n">
        <v>121</v>
      </c>
      <c r="B2569" s="1" t="s">
        <v>478</v>
      </c>
      <c r="C2569" s="143" t="n">
        <v>21265</v>
      </c>
      <c r="D2569" s="143" t="s">
        <v>76</v>
      </c>
      <c r="E2569" s="143" t="s">
        <v>479</v>
      </c>
      <c r="F2569" s="144" t="n">
        <v>200025888662</v>
      </c>
      <c r="G2569" s="144" t="s">
        <v>365</v>
      </c>
      <c r="H2569" s="144" t="n">
        <v>66</v>
      </c>
      <c r="I2569" s="144" t="s">
        <v>148</v>
      </c>
      <c r="J2569" s="6" t="n">
        <v>45073.3435532407</v>
      </c>
      <c r="K2569" s="1" t="n">
        <v>2</v>
      </c>
      <c r="L2569" s="144" t="n">
        <v>66</v>
      </c>
      <c r="M2569" s="1" t="n">
        <v>82</v>
      </c>
      <c r="N2569" s="1" t="n">
        <v>82</v>
      </c>
      <c r="O2569" s="149" t="n">
        <v>64</v>
      </c>
    </row>
    <row r="2570" customFormat="false" ht="14.25" hidden="false" customHeight="false" outlineLevel="0" collapsed="false">
      <c r="A2570" s="1" t="n">
        <v>122</v>
      </c>
      <c r="B2570" s="1" t="s">
        <v>478</v>
      </c>
      <c r="C2570" s="143" t="n">
        <v>21265</v>
      </c>
      <c r="D2570" s="143" t="s">
        <v>76</v>
      </c>
      <c r="E2570" s="143" t="s">
        <v>479</v>
      </c>
      <c r="F2570" s="144" t="n">
        <v>200025888662</v>
      </c>
      <c r="G2570" s="144" t="s">
        <v>365</v>
      </c>
      <c r="H2570" s="144" t="n">
        <v>66</v>
      </c>
      <c r="I2570" s="144" t="s">
        <v>148</v>
      </c>
      <c r="J2570" s="6" t="n">
        <v>45073.3438541667</v>
      </c>
      <c r="K2570" s="1" t="n">
        <v>2</v>
      </c>
      <c r="L2570" s="144" t="n">
        <v>66</v>
      </c>
      <c r="M2570" s="1" t="n">
        <v>82</v>
      </c>
      <c r="N2570" s="1" t="n">
        <v>82</v>
      </c>
      <c r="O2570" s="149" t="n">
        <v>65</v>
      </c>
    </row>
    <row r="2571" customFormat="false" ht="14.25" hidden="false" customHeight="false" outlineLevel="0" collapsed="false">
      <c r="A2571" s="1" t="n">
        <v>123</v>
      </c>
      <c r="B2571" s="1" t="s">
        <v>478</v>
      </c>
      <c r="C2571" s="143" t="n">
        <v>21265</v>
      </c>
      <c r="D2571" s="143" t="s">
        <v>76</v>
      </c>
      <c r="E2571" s="143" t="s">
        <v>479</v>
      </c>
      <c r="F2571" s="144" t="n">
        <v>200025888662</v>
      </c>
      <c r="G2571" s="144" t="s">
        <v>365</v>
      </c>
      <c r="H2571" s="144" t="n">
        <v>66</v>
      </c>
      <c r="I2571" s="144" t="s">
        <v>148</v>
      </c>
      <c r="J2571" s="6" t="n">
        <v>45073.4088425926</v>
      </c>
      <c r="K2571" s="1" t="n">
        <v>3</v>
      </c>
      <c r="L2571" s="144" t="n">
        <v>66</v>
      </c>
      <c r="M2571" s="1" t="n">
        <v>82</v>
      </c>
      <c r="N2571" s="1" t="n">
        <v>82</v>
      </c>
      <c r="O2571" s="149" t="n">
        <v>66</v>
      </c>
    </row>
    <row r="2572" customFormat="false" ht="14.25" hidden="false" customHeight="false" outlineLevel="0" collapsed="false">
      <c r="A2572" s="1" t="n">
        <v>43</v>
      </c>
      <c r="B2572" s="1" t="s">
        <v>490</v>
      </c>
      <c r="C2572" s="143" t="n">
        <v>11171</v>
      </c>
      <c r="D2572" s="143" t="s">
        <v>74</v>
      </c>
      <c r="E2572" s="143" t="s">
        <v>479</v>
      </c>
      <c r="F2572" s="144" t="n">
        <v>200025888662</v>
      </c>
      <c r="G2572" s="144" t="s">
        <v>365</v>
      </c>
      <c r="H2572" s="144" t="n">
        <v>66</v>
      </c>
      <c r="I2572" s="144" t="s">
        <v>148</v>
      </c>
      <c r="J2572" s="6" t="n">
        <v>45073.4719328704</v>
      </c>
      <c r="K2572" s="1" t="n">
        <v>3</v>
      </c>
      <c r="L2572" s="144" t="n">
        <v>66</v>
      </c>
      <c r="M2572" s="1" t="n">
        <v>82</v>
      </c>
      <c r="N2572" s="1" t="n">
        <v>82</v>
      </c>
      <c r="O2572" s="149" t="n">
        <v>67</v>
      </c>
    </row>
    <row r="2573" customFormat="false" ht="14.25" hidden="false" customHeight="false" outlineLevel="0" collapsed="false">
      <c r="A2573" s="1" t="n">
        <v>44</v>
      </c>
      <c r="B2573" s="1" t="s">
        <v>490</v>
      </c>
      <c r="C2573" s="143" t="n">
        <v>11171</v>
      </c>
      <c r="D2573" s="143" t="s">
        <v>74</v>
      </c>
      <c r="E2573" s="143" t="s">
        <v>479</v>
      </c>
      <c r="F2573" s="144" t="n">
        <v>200025888662</v>
      </c>
      <c r="G2573" s="144" t="s">
        <v>365</v>
      </c>
      <c r="H2573" s="144" t="n">
        <v>66</v>
      </c>
      <c r="I2573" s="144" t="s">
        <v>148</v>
      </c>
      <c r="J2573" s="6" t="n">
        <v>45073.4723148148</v>
      </c>
      <c r="K2573" s="1" t="n">
        <v>3</v>
      </c>
      <c r="L2573" s="144" t="n">
        <v>66</v>
      </c>
      <c r="M2573" s="1" t="n">
        <v>82</v>
      </c>
      <c r="N2573" s="1" t="n">
        <v>82</v>
      </c>
      <c r="O2573" s="149" t="n">
        <v>68</v>
      </c>
    </row>
    <row r="2574" customFormat="false" ht="14.25" hidden="false" customHeight="false" outlineLevel="0" collapsed="false">
      <c r="A2574" s="1" t="n">
        <v>45</v>
      </c>
      <c r="B2574" s="1" t="s">
        <v>490</v>
      </c>
      <c r="C2574" s="143" t="n">
        <v>11171</v>
      </c>
      <c r="D2574" s="143" t="s">
        <v>74</v>
      </c>
      <c r="E2574" s="143" t="s">
        <v>479</v>
      </c>
      <c r="F2574" s="144" t="n">
        <v>200025888662</v>
      </c>
      <c r="G2574" s="144" t="s">
        <v>365</v>
      </c>
      <c r="H2574" s="144" t="n">
        <v>66</v>
      </c>
      <c r="I2574" s="144" t="s">
        <v>148</v>
      </c>
      <c r="J2574" s="6" t="n">
        <v>45073.4727199074</v>
      </c>
      <c r="K2574" s="1" t="n">
        <v>3</v>
      </c>
      <c r="L2574" s="144" t="n">
        <v>66</v>
      </c>
      <c r="M2574" s="1" t="n">
        <v>82</v>
      </c>
      <c r="N2574" s="1" t="n">
        <v>82</v>
      </c>
      <c r="O2574" s="149" t="n">
        <v>69</v>
      </c>
    </row>
    <row r="2575" customFormat="false" ht="14.25" hidden="false" customHeight="false" outlineLevel="0" collapsed="false">
      <c r="A2575" s="1" t="n">
        <v>46</v>
      </c>
      <c r="B2575" s="1" t="s">
        <v>490</v>
      </c>
      <c r="C2575" s="143" t="n">
        <v>11171</v>
      </c>
      <c r="D2575" s="143" t="s">
        <v>74</v>
      </c>
      <c r="E2575" s="143" t="s">
        <v>479</v>
      </c>
      <c r="F2575" s="144" t="n">
        <v>200025888662</v>
      </c>
      <c r="G2575" s="144" t="s">
        <v>365</v>
      </c>
      <c r="H2575" s="144" t="n">
        <v>66</v>
      </c>
      <c r="I2575" s="144" t="s">
        <v>148</v>
      </c>
      <c r="J2575" s="6" t="n">
        <v>45073.4740162037</v>
      </c>
      <c r="K2575" s="1" t="n">
        <v>1</v>
      </c>
      <c r="L2575" s="144" t="n">
        <v>66</v>
      </c>
      <c r="M2575" s="1" t="n">
        <v>82</v>
      </c>
      <c r="N2575" s="1" t="n">
        <v>82</v>
      </c>
      <c r="O2575" s="149" t="n">
        <v>70</v>
      </c>
    </row>
    <row r="2576" customFormat="false" ht="14.25" hidden="false" customHeight="false" outlineLevel="0" collapsed="false">
      <c r="A2576" s="1" t="n">
        <v>47</v>
      </c>
      <c r="B2576" s="1" t="s">
        <v>490</v>
      </c>
      <c r="C2576" s="143" t="n">
        <v>11171</v>
      </c>
      <c r="D2576" s="143" t="s">
        <v>74</v>
      </c>
      <c r="E2576" s="143" t="s">
        <v>479</v>
      </c>
      <c r="F2576" s="144" t="n">
        <v>200025888662</v>
      </c>
      <c r="G2576" s="144" t="s">
        <v>365</v>
      </c>
      <c r="H2576" s="144" t="n">
        <v>66</v>
      </c>
      <c r="I2576" s="144" t="s">
        <v>148</v>
      </c>
      <c r="J2576" s="6" t="n">
        <v>45073.5081944445</v>
      </c>
      <c r="K2576" s="1" t="n">
        <v>3</v>
      </c>
      <c r="L2576" s="144" t="n">
        <v>66</v>
      </c>
      <c r="M2576" s="1" t="n">
        <v>82</v>
      </c>
      <c r="N2576" s="1" t="n">
        <v>82</v>
      </c>
      <c r="O2576" s="149" t="n">
        <v>71</v>
      </c>
    </row>
    <row r="2577" customFormat="false" ht="14.25" hidden="false" customHeight="false" outlineLevel="0" collapsed="false">
      <c r="A2577" s="1" t="n">
        <v>48</v>
      </c>
      <c r="B2577" s="1" t="s">
        <v>490</v>
      </c>
      <c r="C2577" s="143" t="n">
        <v>11171</v>
      </c>
      <c r="D2577" s="143" t="s">
        <v>74</v>
      </c>
      <c r="E2577" s="143" t="s">
        <v>479</v>
      </c>
      <c r="F2577" s="144" t="n">
        <v>200025888662</v>
      </c>
      <c r="G2577" s="144" t="s">
        <v>365</v>
      </c>
      <c r="H2577" s="144" t="n">
        <v>66</v>
      </c>
      <c r="I2577" s="144" t="s">
        <v>148</v>
      </c>
      <c r="J2577" s="6" t="n">
        <v>45073.5096875</v>
      </c>
      <c r="K2577" s="1" t="n">
        <v>1</v>
      </c>
      <c r="L2577" s="144" t="n">
        <v>66</v>
      </c>
      <c r="M2577" s="1" t="n">
        <v>82</v>
      </c>
      <c r="N2577" s="1" t="n">
        <v>82</v>
      </c>
      <c r="O2577" s="149" t="n">
        <v>72</v>
      </c>
    </row>
    <row r="2578" customFormat="false" ht="14.25" hidden="false" customHeight="false" outlineLevel="0" collapsed="false">
      <c r="A2578" s="1" t="n">
        <v>126</v>
      </c>
      <c r="B2578" s="1" t="s">
        <v>478</v>
      </c>
      <c r="C2578" s="143" t="n">
        <v>21265</v>
      </c>
      <c r="D2578" s="143" t="s">
        <v>76</v>
      </c>
      <c r="E2578" s="143" t="s">
        <v>479</v>
      </c>
      <c r="F2578" s="144" t="n">
        <v>200025888662</v>
      </c>
      <c r="G2578" s="144" t="s">
        <v>365</v>
      </c>
      <c r="H2578" s="144" t="n">
        <v>66</v>
      </c>
      <c r="I2578" s="144" t="s">
        <v>148</v>
      </c>
      <c r="J2578" s="6" t="n">
        <v>45073.5129861111</v>
      </c>
      <c r="K2578" s="1" t="n">
        <v>3</v>
      </c>
      <c r="L2578" s="144" t="n">
        <v>66</v>
      </c>
      <c r="M2578" s="1" t="n">
        <v>82</v>
      </c>
      <c r="N2578" s="1" t="n">
        <v>82</v>
      </c>
      <c r="O2578" s="149" t="n">
        <v>73</v>
      </c>
    </row>
    <row r="2579" customFormat="false" ht="14.25" hidden="false" customHeight="false" outlineLevel="0" collapsed="false">
      <c r="A2579" s="1" t="n">
        <v>127</v>
      </c>
      <c r="B2579" s="1" t="s">
        <v>478</v>
      </c>
      <c r="C2579" s="143" t="n">
        <v>21265</v>
      </c>
      <c r="D2579" s="143" t="s">
        <v>76</v>
      </c>
      <c r="E2579" s="143" t="s">
        <v>479</v>
      </c>
      <c r="F2579" s="144" t="n">
        <v>200025888662</v>
      </c>
      <c r="G2579" s="144" t="s">
        <v>365</v>
      </c>
      <c r="H2579" s="144" t="n">
        <v>66</v>
      </c>
      <c r="I2579" s="144" t="s">
        <v>148</v>
      </c>
      <c r="J2579" s="6" t="n">
        <v>45073.5132638889</v>
      </c>
      <c r="K2579" s="1" t="n">
        <v>1</v>
      </c>
      <c r="L2579" s="144" t="n">
        <v>66</v>
      </c>
      <c r="M2579" s="1" t="n">
        <v>82</v>
      </c>
      <c r="N2579" s="1" t="n">
        <v>82</v>
      </c>
      <c r="O2579" s="149" t="n">
        <v>74</v>
      </c>
    </row>
    <row r="2580" customFormat="false" ht="14.25" hidden="false" customHeight="false" outlineLevel="0" collapsed="false">
      <c r="A2580" s="1" t="n">
        <v>128</v>
      </c>
      <c r="B2580" s="1" t="s">
        <v>478</v>
      </c>
      <c r="C2580" s="143" t="n">
        <v>21265</v>
      </c>
      <c r="D2580" s="143" t="s">
        <v>76</v>
      </c>
      <c r="E2580" s="143" t="s">
        <v>479</v>
      </c>
      <c r="F2580" s="144" t="n">
        <v>200025888662</v>
      </c>
      <c r="G2580" s="144" t="s">
        <v>365</v>
      </c>
      <c r="H2580" s="144" t="n">
        <v>66</v>
      </c>
      <c r="I2580" s="144" t="s">
        <v>148</v>
      </c>
      <c r="J2580" s="6" t="n">
        <v>45073.5152314815</v>
      </c>
      <c r="K2580" s="1" t="n">
        <v>3</v>
      </c>
      <c r="L2580" s="144" t="n">
        <v>66</v>
      </c>
      <c r="M2580" s="1" t="n">
        <v>82</v>
      </c>
      <c r="N2580" s="1" t="n">
        <v>82</v>
      </c>
      <c r="O2580" s="149" t="n">
        <v>75</v>
      </c>
    </row>
    <row r="2581" customFormat="false" ht="14.25" hidden="false" customHeight="false" outlineLevel="0" collapsed="false">
      <c r="A2581" s="1" t="n">
        <v>49</v>
      </c>
      <c r="B2581" s="1" t="s">
        <v>490</v>
      </c>
      <c r="C2581" s="143" t="n">
        <v>11171</v>
      </c>
      <c r="D2581" s="143" t="s">
        <v>74</v>
      </c>
      <c r="E2581" s="143" t="s">
        <v>479</v>
      </c>
      <c r="F2581" s="144" t="n">
        <v>200025888662</v>
      </c>
      <c r="G2581" s="144" t="s">
        <v>365</v>
      </c>
      <c r="H2581" s="144" t="n">
        <v>66</v>
      </c>
      <c r="I2581" s="144" t="s">
        <v>148</v>
      </c>
      <c r="J2581" s="6" t="n">
        <v>45073.5328125</v>
      </c>
      <c r="K2581" s="1" t="n">
        <v>3</v>
      </c>
      <c r="L2581" s="144" t="n">
        <v>66</v>
      </c>
      <c r="M2581" s="1" t="n">
        <v>82</v>
      </c>
      <c r="N2581" s="1" t="n">
        <v>82</v>
      </c>
      <c r="O2581" s="149" t="n">
        <v>76</v>
      </c>
    </row>
    <row r="2582" customFormat="false" ht="14.25" hidden="false" customHeight="false" outlineLevel="0" collapsed="false">
      <c r="A2582" s="1" t="n">
        <v>50</v>
      </c>
      <c r="B2582" s="1" t="s">
        <v>490</v>
      </c>
      <c r="C2582" s="143" t="n">
        <v>11171</v>
      </c>
      <c r="D2582" s="143" t="s">
        <v>74</v>
      </c>
      <c r="E2582" s="143" t="s">
        <v>479</v>
      </c>
      <c r="F2582" s="144" t="n">
        <v>200025888662</v>
      </c>
      <c r="G2582" s="144" t="s">
        <v>365</v>
      </c>
      <c r="H2582" s="144" t="n">
        <v>66</v>
      </c>
      <c r="I2582" s="144" t="s">
        <v>148</v>
      </c>
      <c r="J2582" s="6" t="n">
        <v>45073.532962963</v>
      </c>
      <c r="K2582" s="1" t="n">
        <v>2</v>
      </c>
      <c r="L2582" s="144" t="n">
        <v>66</v>
      </c>
      <c r="M2582" s="1" t="n">
        <v>82</v>
      </c>
      <c r="N2582" s="1" t="n">
        <v>82</v>
      </c>
      <c r="O2582" s="149" t="n">
        <v>77</v>
      </c>
    </row>
    <row r="2583" customFormat="false" ht="14.25" hidden="false" customHeight="false" outlineLevel="0" collapsed="false">
      <c r="A2583" s="1" t="n">
        <v>51</v>
      </c>
      <c r="B2583" s="1" t="s">
        <v>490</v>
      </c>
      <c r="C2583" s="143" t="n">
        <v>11171</v>
      </c>
      <c r="D2583" s="143" t="s">
        <v>74</v>
      </c>
      <c r="E2583" s="143" t="s">
        <v>479</v>
      </c>
      <c r="F2583" s="144" t="n">
        <v>200025888662</v>
      </c>
      <c r="G2583" s="144" t="s">
        <v>365</v>
      </c>
      <c r="H2583" s="144" t="n">
        <v>66</v>
      </c>
      <c r="I2583" s="144" t="s">
        <v>148</v>
      </c>
      <c r="J2583" s="6" t="n">
        <v>45073.536412037</v>
      </c>
      <c r="K2583" s="1" t="n">
        <v>3</v>
      </c>
      <c r="L2583" s="144" t="n">
        <v>66</v>
      </c>
      <c r="M2583" s="1" t="n">
        <v>82</v>
      </c>
      <c r="N2583" s="1" t="n">
        <v>82</v>
      </c>
      <c r="O2583" s="149" t="n">
        <v>78</v>
      </c>
    </row>
    <row r="2584" customFormat="false" ht="14.25" hidden="false" customHeight="false" outlineLevel="0" collapsed="false">
      <c r="A2584" s="1" t="n">
        <v>52</v>
      </c>
      <c r="B2584" s="1" t="s">
        <v>490</v>
      </c>
      <c r="C2584" s="143" t="n">
        <v>11171</v>
      </c>
      <c r="D2584" s="143" t="s">
        <v>74</v>
      </c>
      <c r="E2584" s="143" t="s">
        <v>479</v>
      </c>
      <c r="F2584" s="144" t="n">
        <v>200025888662</v>
      </c>
      <c r="G2584" s="144" t="s">
        <v>365</v>
      </c>
      <c r="H2584" s="144" t="n">
        <v>66</v>
      </c>
      <c r="I2584" s="144" t="s">
        <v>148</v>
      </c>
      <c r="J2584" s="6" t="n">
        <v>45073.5375810185</v>
      </c>
      <c r="K2584" s="1" t="n">
        <v>1</v>
      </c>
      <c r="L2584" s="144" t="n">
        <v>66</v>
      </c>
      <c r="M2584" s="1" t="n">
        <v>82</v>
      </c>
      <c r="N2584" s="1" t="n">
        <v>82</v>
      </c>
      <c r="O2584" s="149" t="n">
        <v>79</v>
      </c>
    </row>
    <row r="2585" customFormat="false" ht="14.25" hidden="false" customHeight="false" outlineLevel="0" collapsed="false">
      <c r="A2585" s="1" t="n">
        <v>53</v>
      </c>
      <c r="B2585" s="1" t="s">
        <v>490</v>
      </c>
      <c r="C2585" s="143" t="n">
        <v>11171</v>
      </c>
      <c r="D2585" s="143" t="s">
        <v>74</v>
      </c>
      <c r="E2585" s="143" t="s">
        <v>479</v>
      </c>
      <c r="F2585" s="144" t="n">
        <v>200025888662</v>
      </c>
      <c r="G2585" s="144" t="s">
        <v>365</v>
      </c>
      <c r="H2585" s="144" t="n">
        <v>66</v>
      </c>
      <c r="I2585" s="144" t="s">
        <v>148</v>
      </c>
      <c r="J2585" s="6" t="n">
        <v>45073.5429398148</v>
      </c>
      <c r="K2585" s="1" t="n">
        <v>1</v>
      </c>
      <c r="L2585" s="144" t="n">
        <v>66</v>
      </c>
      <c r="M2585" s="1" t="n">
        <v>82</v>
      </c>
      <c r="N2585" s="1" t="n">
        <v>82</v>
      </c>
      <c r="O2585" s="149" t="n">
        <v>80</v>
      </c>
    </row>
    <row r="2586" customFormat="false" ht="14.25" hidden="false" customHeight="false" outlineLevel="0" collapsed="false">
      <c r="A2586" s="1" t="n">
        <v>54</v>
      </c>
      <c r="B2586" s="1" t="s">
        <v>490</v>
      </c>
      <c r="C2586" s="143" t="n">
        <v>11171</v>
      </c>
      <c r="D2586" s="143" t="s">
        <v>74</v>
      </c>
      <c r="E2586" s="143" t="s">
        <v>479</v>
      </c>
      <c r="F2586" s="144" t="n">
        <v>200025888662</v>
      </c>
      <c r="G2586" s="144" t="s">
        <v>365</v>
      </c>
      <c r="H2586" s="144" t="n">
        <v>66</v>
      </c>
      <c r="I2586" s="144" t="s">
        <v>148</v>
      </c>
      <c r="J2586" s="6" t="n">
        <v>45073.5533564815</v>
      </c>
      <c r="K2586" s="1" t="n">
        <v>0</v>
      </c>
      <c r="L2586" s="144" t="n">
        <v>66</v>
      </c>
      <c r="M2586" s="1" t="n">
        <v>82</v>
      </c>
      <c r="N2586" s="1" t="n">
        <v>82</v>
      </c>
      <c r="O2586" s="149" t="n">
        <v>81</v>
      </c>
    </row>
    <row r="2587" customFormat="false" ht="14.25" hidden="false" customHeight="false" outlineLevel="0" collapsed="false">
      <c r="A2587" s="1" t="n">
        <v>55</v>
      </c>
      <c r="B2587" s="1" t="s">
        <v>490</v>
      </c>
      <c r="C2587" s="143" t="n">
        <v>11171</v>
      </c>
      <c r="D2587" s="143" t="s">
        <v>74</v>
      </c>
      <c r="E2587" s="143" t="s">
        <v>479</v>
      </c>
      <c r="F2587" s="144" t="n">
        <v>200025888662</v>
      </c>
      <c r="G2587" s="144" t="s">
        <v>365</v>
      </c>
      <c r="H2587" s="144" t="n">
        <v>66</v>
      </c>
      <c r="I2587" s="144" t="s">
        <v>148</v>
      </c>
      <c r="J2587" s="6" t="n">
        <v>45073.5592476852</v>
      </c>
      <c r="K2587" s="1" t="n">
        <v>3</v>
      </c>
      <c r="L2587" s="144" t="n">
        <v>66</v>
      </c>
      <c r="M2587" s="1" t="n">
        <v>82</v>
      </c>
      <c r="N2587" s="1" t="n">
        <v>82</v>
      </c>
      <c r="O2587" s="149" t="n">
        <v>82</v>
      </c>
    </row>
    <row r="2588" customFormat="false" ht="14.25" hidden="false" customHeight="false" outlineLevel="0" collapsed="false">
      <c r="A2588" s="1" t="n">
        <v>56</v>
      </c>
      <c r="B2588" s="1" t="s">
        <v>490</v>
      </c>
      <c r="C2588" s="143" t="n">
        <v>11171</v>
      </c>
      <c r="D2588" s="143" t="s">
        <v>74</v>
      </c>
      <c r="E2588" s="143" t="s">
        <v>479</v>
      </c>
      <c r="F2588" s="144" t="n">
        <v>200025888662</v>
      </c>
      <c r="G2588" s="144" t="s">
        <v>365</v>
      </c>
      <c r="H2588" s="144" t="n">
        <v>66</v>
      </c>
      <c r="I2588" s="144" t="s">
        <v>148</v>
      </c>
      <c r="J2588" s="6" t="n">
        <v>45073.5594097222</v>
      </c>
      <c r="K2588" s="1" t="n">
        <v>2</v>
      </c>
      <c r="L2588" s="144" t="n">
        <v>66</v>
      </c>
      <c r="M2588" s="1" t="n">
        <v>82</v>
      </c>
      <c r="N2588" s="1" t="n">
        <v>82</v>
      </c>
      <c r="O2588" s="149" t="n">
        <v>83</v>
      </c>
    </row>
    <row r="2589" customFormat="false" ht="14.25" hidden="false" customHeight="false" outlineLevel="0" collapsed="false">
      <c r="A2589" s="1" t="n">
        <v>57</v>
      </c>
      <c r="B2589" s="1" t="s">
        <v>490</v>
      </c>
      <c r="C2589" s="143" t="n">
        <v>11171</v>
      </c>
      <c r="D2589" s="143" t="s">
        <v>74</v>
      </c>
      <c r="E2589" s="143" t="s">
        <v>479</v>
      </c>
      <c r="F2589" s="144" t="n">
        <v>200025888662</v>
      </c>
      <c r="G2589" s="144" t="s">
        <v>365</v>
      </c>
      <c r="H2589" s="144" t="n">
        <v>66</v>
      </c>
      <c r="I2589" s="144" t="s">
        <v>148</v>
      </c>
      <c r="J2589" s="6" t="n">
        <v>45073.5597800926</v>
      </c>
      <c r="K2589" s="1" t="n">
        <v>3</v>
      </c>
      <c r="L2589" s="144" t="n">
        <v>66</v>
      </c>
      <c r="M2589" s="1" t="n">
        <v>82</v>
      </c>
      <c r="N2589" s="1" t="n">
        <v>82</v>
      </c>
      <c r="O2589" s="149" t="n">
        <v>84</v>
      </c>
    </row>
    <row r="2590" customFormat="false" ht="14.25" hidden="false" customHeight="false" outlineLevel="0" collapsed="false">
      <c r="A2590" s="1" t="n">
        <v>58</v>
      </c>
      <c r="B2590" s="1" t="s">
        <v>490</v>
      </c>
      <c r="C2590" s="143" t="n">
        <v>11171</v>
      </c>
      <c r="D2590" s="143" t="s">
        <v>74</v>
      </c>
      <c r="E2590" s="143" t="s">
        <v>479</v>
      </c>
      <c r="F2590" s="144" t="n">
        <v>200025888662</v>
      </c>
      <c r="G2590" s="144" t="s">
        <v>365</v>
      </c>
      <c r="H2590" s="144" t="n">
        <v>66</v>
      </c>
      <c r="I2590" s="144" t="s">
        <v>148</v>
      </c>
      <c r="J2590" s="6" t="n">
        <v>45073.5710416667</v>
      </c>
      <c r="K2590" s="1" t="n">
        <v>1</v>
      </c>
      <c r="L2590" s="144" t="n">
        <v>66</v>
      </c>
      <c r="M2590" s="1" t="n">
        <v>82</v>
      </c>
      <c r="N2590" s="1" t="n">
        <v>82</v>
      </c>
      <c r="O2590" s="149" t="n">
        <v>85</v>
      </c>
    </row>
    <row r="2591" customFormat="false" ht="14.25" hidden="false" customHeight="false" outlineLevel="0" collapsed="false">
      <c r="A2591" s="1" t="n">
        <v>59</v>
      </c>
      <c r="B2591" s="1" t="s">
        <v>490</v>
      </c>
      <c r="C2591" s="143" t="n">
        <v>11171</v>
      </c>
      <c r="D2591" s="143" t="s">
        <v>74</v>
      </c>
      <c r="E2591" s="143" t="s">
        <v>479</v>
      </c>
      <c r="F2591" s="144" t="n">
        <v>200025888662</v>
      </c>
      <c r="G2591" s="144" t="s">
        <v>365</v>
      </c>
      <c r="H2591" s="144" t="n">
        <v>66</v>
      </c>
      <c r="I2591" s="144" t="s">
        <v>148</v>
      </c>
      <c r="J2591" s="6" t="n">
        <v>45073.5727430556</v>
      </c>
      <c r="K2591" s="1" t="n">
        <v>2</v>
      </c>
      <c r="L2591" s="144" t="n">
        <v>66</v>
      </c>
      <c r="M2591" s="1" t="n">
        <v>82</v>
      </c>
      <c r="N2591" s="1" t="n">
        <v>82</v>
      </c>
      <c r="O2591" s="149" t="n">
        <v>86</v>
      </c>
    </row>
    <row r="2592" customFormat="false" ht="14.25" hidden="false" customHeight="false" outlineLevel="0" collapsed="false">
      <c r="A2592" s="1" t="n">
        <v>60</v>
      </c>
      <c r="B2592" s="1" t="s">
        <v>490</v>
      </c>
      <c r="C2592" s="143" t="n">
        <v>11171</v>
      </c>
      <c r="D2592" s="143" t="s">
        <v>74</v>
      </c>
      <c r="E2592" s="143" t="s">
        <v>479</v>
      </c>
      <c r="F2592" s="144" t="n">
        <v>200025888662</v>
      </c>
      <c r="G2592" s="144" t="s">
        <v>365</v>
      </c>
      <c r="H2592" s="144" t="n">
        <v>66</v>
      </c>
      <c r="I2592" s="144" t="s">
        <v>148</v>
      </c>
      <c r="J2592" s="6" t="n">
        <v>45073.572974537</v>
      </c>
      <c r="K2592" s="1" t="n">
        <v>1</v>
      </c>
      <c r="L2592" s="144" t="n">
        <v>66</v>
      </c>
      <c r="M2592" s="1" t="n">
        <v>82</v>
      </c>
      <c r="N2592" s="1" t="n">
        <v>82</v>
      </c>
      <c r="O2592" s="149" t="n">
        <v>87</v>
      </c>
    </row>
    <row r="2593" customFormat="false" ht="14.25" hidden="false" customHeight="false" outlineLevel="0" collapsed="false">
      <c r="A2593" s="1" t="n">
        <v>61</v>
      </c>
      <c r="B2593" s="1" t="s">
        <v>490</v>
      </c>
      <c r="C2593" s="143" t="n">
        <v>11171</v>
      </c>
      <c r="D2593" s="143" t="s">
        <v>74</v>
      </c>
      <c r="E2593" s="143" t="s">
        <v>479</v>
      </c>
      <c r="F2593" s="144" t="n">
        <v>200025888662</v>
      </c>
      <c r="G2593" s="144" t="s">
        <v>365</v>
      </c>
      <c r="H2593" s="144" t="n">
        <v>66</v>
      </c>
      <c r="I2593" s="144" t="s">
        <v>148</v>
      </c>
      <c r="J2593" s="6" t="n">
        <v>45073.5733101852</v>
      </c>
      <c r="K2593" s="1" t="n">
        <v>1</v>
      </c>
      <c r="L2593" s="144" t="n">
        <v>66</v>
      </c>
      <c r="M2593" s="1" t="n">
        <v>82</v>
      </c>
      <c r="N2593" s="1" t="n">
        <v>82</v>
      </c>
      <c r="O2593" s="149" t="n">
        <v>88</v>
      </c>
    </row>
    <row r="2594" customFormat="false" ht="14.25" hidden="false" customHeight="false" outlineLevel="0" collapsed="false">
      <c r="A2594" s="1" t="n">
        <v>62</v>
      </c>
      <c r="B2594" s="1" t="s">
        <v>490</v>
      </c>
      <c r="C2594" s="143" t="n">
        <v>11171</v>
      </c>
      <c r="D2594" s="143" t="s">
        <v>74</v>
      </c>
      <c r="E2594" s="143" t="s">
        <v>479</v>
      </c>
      <c r="F2594" s="144" t="n">
        <v>200025888662</v>
      </c>
      <c r="G2594" s="144" t="s">
        <v>365</v>
      </c>
      <c r="H2594" s="144" t="n">
        <v>66</v>
      </c>
      <c r="I2594" s="144" t="s">
        <v>148</v>
      </c>
      <c r="J2594" s="6" t="n">
        <v>45073.5764699074</v>
      </c>
      <c r="K2594" s="1" t="n">
        <v>0</v>
      </c>
      <c r="L2594" s="144" t="n">
        <v>66</v>
      </c>
      <c r="M2594" s="1" t="n">
        <v>82</v>
      </c>
      <c r="N2594" s="1" t="n">
        <v>82</v>
      </c>
      <c r="O2594" s="149" t="n">
        <v>89</v>
      </c>
    </row>
    <row r="2595" customFormat="false" ht="14.25" hidden="false" customHeight="false" outlineLevel="0" collapsed="false">
      <c r="A2595" s="1" t="n">
        <v>63</v>
      </c>
      <c r="B2595" s="1" t="s">
        <v>490</v>
      </c>
      <c r="C2595" s="143" t="n">
        <v>11171</v>
      </c>
      <c r="D2595" s="143" t="s">
        <v>74</v>
      </c>
      <c r="E2595" s="143" t="s">
        <v>479</v>
      </c>
      <c r="F2595" s="144" t="n">
        <v>200025888662</v>
      </c>
      <c r="G2595" s="144" t="s">
        <v>365</v>
      </c>
      <c r="H2595" s="144" t="n">
        <v>66</v>
      </c>
      <c r="I2595" s="144" t="s">
        <v>148</v>
      </c>
      <c r="J2595" s="6" t="n">
        <v>45073.6021180556</v>
      </c>
      <c r="K2595" s="1" t="n">
        <v>2</v>
      </c>
      <c r="L2595" s="144" t="n">
        <v>66</v>
      </c>
      <c r="M2595" s="1" t="n">
        <v>82</v>
      </c>
      <c r="N2595" s="1" t="n">
        <v>82</v>
      </c>
      <c r="O2595" s="149" t="n">
        <v>90</v>
      </c>
    </row>
    <row r="2596" customFormat="false" ht="14.25" hidden="false" customHeight="false" outlineLevel="0" collapsed="false">
      <c r="A2596" s="1" t="n">
        <v>64</v>
      </c>
      <c r="B2596" s="1" t="s">
        <v>490</v>
      </c>
      <c r="C2596" s="143" t="n">
        <v>11171</v>
      </c>
      <c r="D2596" s="143" t="s">
        <v>74</v>
      </c>
      <c r="E2596" s="143" t="s">
        <v>479</v>
      </c>
      <c r="F2596" s="144" t="n">
        <v>200025888662</v>
      </c>
      <c r="G2596" s="144" t="s">
        <v>365</v>
      </c>
      <c r="H2596" s="144" t="n">
        <v>66</v>
      </c>
      <c r="I2596" s="144" t="s">
        <v>148</v>
      </c>
      <c r="J2596" s="6" t="n">
        <v>45073.6024537037</v>
      </c>
      <c r="K2596" s="1" t="n">
        <v>1</v>
      </c>
      <c r="L2596" s="144" t="n">
        <v>66</v>
      </c>
      <c r="M2596" s="1" t="n">
        <v>82</v>
      </c>
      <c r="N2596" s="1" t="n">
        <v>82</v>
      </c>
      <c r="O2596" s="149" t="n">
        <v>91</v>
      </c>
    </row>
    <row r="2597" customFormat="false" ht="14.25" hidden="false" customHeight="false" outlineLevel="0" collapsed="false">
      <c r="A2597" s="1" t="n">
        <v>65</v>
      </c>
      <c r="B2597" s="1" t="s">
        <v>490</v>
      </c>
      <c r="C2597" s="143" t="n">
        <v>11171</v>
      </c>
      <c r="D2597" s="143" t="s">
        <v>74</v>
      </c>
      <c r="E2597" s="143" t="s">
        <v>479</v>
      </c>
      <c r="F2597" s="144" t="n">
        <v>200025888662</v>
      </c>
      <c r="G2597" s="144" t="s">
        <v>365</v>
      </c>
      <c r="H2597" s="144" t="n">
        <v>66</v>
      </c>
      <c r="I2597" s="144" t="s">
        <v>148</v>
      </c>
      <c r="J2597" s="6" t="n">
        <v>45073.6250694444</v>
      </c>
      <c r="K2597" s="1" t="n">
        <v>2</v>
      </c>
      <c r="L2597" s="144" t="n">
        <v>66</v>
      </c>
      <c r="M2597" s="1" t="n">
        <v>82</v>
      </c>
      <c r="N2597" s="1" t="n">
        <v>82</v>
      </c>
      <c r="O2597" s="149" t="n">
        <v>92</v>
      </c>
    </row>
    <row r="2598" customFormat="false" ht="14.25" hidden="false" customHeight="false" outlineLevel="0" collapsed="false">
      <c r="A2598" s="1" t="n">
        <v>66</v>
      </c>
      <c r="B2598" s="1" t="s">
        <v>490</v>
      </c>
      <c r="C2598" s="143" t="n">
        <v>11171</v>
      </c>
      <c r="D2598" s="143" t="s">
        <v>74</v>
      </c>
      <c r="E2598" s="143" t="s">
        <v>479</v>
      </c>
      <c r="F2598" s="144" t="n">
        <v>200025888662</v>
      </c>
      <c r="G2598" s="144" t="s">
        <v>365</v>
      </c>
      <c r="H2598" s="144" t="n">
        <v>66</v>
      </c>
      <c r="I2598" s="144" t="s">
        <v>148</v>
      </c>
      <c r="J2598" s="6" t="n">
        <v>45073.625162037</v>
      </c>
      <c r="K2598" s="1" t="n">
        <v>2</v>
      </c>
      <c r="L2598" s="144" t="n">
        <v>66</v>
      </c>
      <c r="M2598" s="1" t="n">
        <v>82</v>
      </c>
      <c r="N2598" s="1" t="n">
        <v>82</v>
      </c>
      <c r="O2598" s="149" t="n">
        <v>93</v>
      </c>
    </row>
    <row r="2599" customFormat="false" ht="14.25" hidden="false" customHeight="false" outlineLevel="0" collapsed="false">
      <c r="A2599" s="1" t="n">
        <v>67</v>
      </c>
      <c r="B2599" s="1" t="s">
        <v>490</v>
      </c>
      <c r="C2599" s="143" t="n">
        <v>11171</v>
      </c>
      <c r="D2599" s="143" t="s">
        <v>74</v>
      </c>
      <c r="E2599" s="143" t="s">
        <v>479</v>
      </c>
      <c r="F2599" s="144" t="n">
        <v>200025888662</v>
      </c>
      <c r="G2599" s="144" t="s">
        <v>365</v>
      </c>
      <c r="H2599" s="144" t="n">
        <v>66</v>
      </c>
      <c r="I2599" s="144" t="s">
        <v>148</v>
      </c>
      <c r="J2599" s="6" t="n">
        <v>45073.6257175926</v>
      </c>
      <c r="K2599" s="1" t="n">
        <v>2</v>
      </c>
      <c r="L2599" s="144" t="n">
        <v>66</v>
      </c>
      <c r="M2599" s="1" t="n">
        <v>82</v>
      </c>
      <c r="N2599" s="1" t="n">
        <v>82</v>
      </c>
      <c r="O2599" s="149" t="n">
        <v>94</v>
      </c>
    </row>
    <row r="2600" customFormat="false" ht="14.25" hidden="false" customHeight="false" outlineLevel="0" collapsed="false">
      <c r="A2600" s="1" t="n">
        <v>68</v>
      </c>
      <c r="B2600" s="1" t="s">
        <v>490</v>
      </c>
      <c r="C2600" s="143" t="n">
        <v>11171</v>
      </c>
      <c r="D2600" s="143" t="s">
        <v>74</v>
      </c>
      <c r="E2600" s="143" t="s">
        <v>479</v>
      </c>
      <c r="F2600" s="144" t="n">
        <v>200025888662</v>
      </c>
      <c r="G2600" s="144" t="s">
        <v>365</v>
      </c>
      <c r="H2600" s="144" t="n">
        <v>66</v>
      </c>
      <c r="I2600" s="144" t="s">
        <v>148</v>
      </c>
      <c r="J2600" s="6" t="n">
        <v>45073.6261805556</v>
      </c>
      <c r="K2600" s="1" t="n">
        <v>3</v>
      </c>
      <c r="L2600" s="144" t="n">
        <v>66</v>
      </c>
      <c r="M2600" s="1" t="n">
        <v>82</v>
      </c>
      <c r="N2600" s="1" t="n">
        <v>82</v>
      </c>
      <c r="O2600" s="149" t="n">
        <v>95</v>
      </c>
    </row>
    <row r="2601" customFormat="false" ht="14.25" hidden="false" customHeight="false" outlineLevel="0" collapsed="false">
      <c r="A2601" s="1" t="n">
        <v>69</v>
      </c>
      <c r="B2601" s="1" t="s">
        <v>490</v>
      </c>
      <c r="C2601" s="143" t="n">
        <v>11171</v>
      </c>
      <c r="D2601" s="143" t="s">
        <v>74</v>
      </c>
      <c r="E2601" s="143" t="s">
        <v>479</v>
      </c>
      <c r="F2601" s="144" t="n">
        <v>200025888662</v>
      </c>
      <c r="G2601" s="144" t="s">
        <v>365</v>
      </c>
      <c r="H2601" s="144" t="n">
        <v>66</v>
      </c>
      <c r="I2601" s="144" t="s">
        <v>148</v>
      </c>
      <c r="J2601" s="6" t="n">
        <v>45073.6267476852</v>
      </c>
      <c r="K2601" s="1" t="n">
        <v>1</v>
      </c>
      <c r="L2601" s="144" t="n">
        <v>66</v>
      </c>
      <c r="M2601" s="1" t="n">
        <v>82</v>
      </c>
      <c r="N2601" s="1" t="n">
        <v>82</v>
      </c>
      <c r="O2601" s="149" t="n">
        <v>96</v>
      </c>
    </row>
    <row r="2602" customFormat="false" ht="14.25" hidden="false" customHeight="false" outlineLevel="0" collapsed="false">
      <c r="A2602" s="1" t="n">
        <v>70</v>
      </c>
      <c r="B2602" s="1" t="s">
        <v>490</v>
      </c>
      <c r="C2602" s="143" t="n">
        <v>11171</v>
      </c>
      <c r="D2602" s="143" t="s">
        <v>74</v>
      </c>
      <c r="E2602" s="143" t="s">
        <v>479</v>
      </c>
      <c r="F2602" s="144" t="n">
        <v>200025888662</v>
      </c>
      <c r="G2602" s="144" t="s">
        <v>365</v>
      </c>
      <c r="H2602" s="144" t="n">
        <v>66</v>
      </c>
      <c r="I2602" s="144" t="s">
        <v>148</v>
      </c>
      <c r="J2602" s="6" t="n">
        <v>45073.6299652778</v>
      </c>
      <c r="K2602" s="1" t="n">
        <v>2</v>
      </c>
      <c r="L2602" s="144" t="n">
        <v>66</v>
      </c>
      <c r="M2602" s="1" t="n">
        <v>82</v>
      </c>
      <c r="N2602" s="1" t="n">
        <v>82</v>
      </c>
      <c r="O2602" s="149" t="n">
        <v>97</v>
      </c>
    </row>
    <row r="2603" customFormat="false" ht="14.25" hidden="false" customHeight="false" outlineLevel="0" collapsed="false">
      <c r="A2603" s="1" t="n">
        <v>71</v>
      </c>
      <c r="B2603" s="1" t="s">
        <v>490</v>
      </c>
      <c r="C2603" s="143" t="n">
        <v>11171</v>
      </c>
      <c r="D2603" s="143" t="s">
        <v>74</v>
      </c>
      <c r="E2603" s="143" t="s">
        <v>479</v>
      </c>
      <c r="F2603" s="144" t="n">
        <v>200025888662</v>
      </c>
      <c r="G2603" s="144" t="s">
        <v>365</v>
      </c>
      <c r="H2603" s="144" t="n">
        <v>66</v>
      </c>
      <c r="I2603" s="144" t="s">
        <v>148</v>
      </c>
      <c r="J2603" s="6" t="n">
        <v>45073.6302199074</v>
      </c>
      <c r="K2603" s="1" t="n">
        <v>3</v>
      </c>
      <c r="L2603" s="144" t="n">
        <v>66</v>
      </c>
      <c r="M2603" s="1" t="n">
        <v>82</v>
      </c>
      <c r="N2603" s="1" t="n">
        <v>82</v>
      </c>
      <c r="O2603" s="149" t="n">
        <v>98</v>
      </c>
    </row>
    <row r="2604" customFormat="false" ht="14.25" hidden="false" customHeight="false" outlineLevel="0" collapsed="false">
      <c r="A2604" s="1" t="n">
        <v>72</v>
      </c>
      <c r="B2604" s="1" t="s">
        <v>490</v>
      </c>
      <c r="C2604" s="143" t="n">
        <v>11171</v>
      </c>
      <c r="D2604" s="143" t="s">
        <v>74</v>
      </c>
      <c r="E2604" s="143" t="s">
        <v>479</v>
      </c>
      <c r="F2604" s="144" t="n">
        <v>200025888662</v>
      </c>
      <c r="G2604" s="144" t="s">
        <v>365</v>
      </c>
      <c r="H2604" s="144" t="n">
        <v>66</v>
      </c>
      <c r="I2604" s="144" t="s">
        <v>148</v>
      </c>
      <c r="J2604" s="6" t="n">
        <v>45073.6360300926</v>
      </c>
      <c r="K2604" s="1" t="n">
        <v>1</v>
      </c>
      <c r="L2604" s="144" t="n">
        <v>66</v>
      </c>
      <c r="M2604" s="1" t="n">
        <v>82</v>
      </c>
      <c r="N2604" s="1" t="n">
        <v>82</v>
      </c>
      <c r="O2604" s="149" t="n">
        <v>99</v>
      </c>
    </row>
    <row r="2605" customFormat="false" ht="14.25" hidden="false" customHeight="false" outlineLevel="0" collapsed="false">
      <c r="A2605" s="1" t="n">
        <v>73</v>
      </c>
      <c r="B2605" s="1" t="s">
        <v>490</v>
      </c>
      <c r="C2605" s="143" t="n">
        <v>11171</v>
      </c>
      <c r="D2605" s="143" t="s">
        <v>74</v>
      </c>
      <c r="E2605" s="143" t="s">
        <v>479</v>
      </c>
      <c r="F2605" s="144" t="n">
        <v>200025888662</v>
      </c>
      <c r="G2605" s="144" t="s">
        <v>365</v>
      </c>
      <c r="H2605" s="144" t="n">
        <v>66</v>
      </c>
      <c r="I2605" s="144" t="s">
        <v>148</v>
      </c>
      <c r="J2605" s="6" t="n">
        <v>45073.6363773148</v>
      </c>
      <c r="K2605" s="1" t="n">
        <v>0</v>
      </c>
      <c r="L2605" s="144" t="n">
        <v>66</v>
      </c>
      <c r="M2605" s="1" t="n">
        <v>82</v>
      </c>
      <c r="N2605" s="1" t="n">
        <v>82</v>
      </c>
      <c r="O2605" s="149" t="n">
        <v>100</v>
      </c>
    </row>
    <row r="2606" customFormat="false" ht="14.25" hidden="false" customHeight="false" outlineLevel="0" collapsed="false">
      <c r="A2606" s="1" t="n">
        <v>74</v>
      </c>
      <c r="B2606" s="1" t="s">
        <v>490</v>
      </c>
      <c r="C2606" s="143" t="n">
        <v>11171</v>
      </c>
      <c r="D2606" s="143" t="s">
        <v>74</v>
      </c>
      <c r="E2606" s="143" t="s">
        <v>479</v>
      </c>
      <c r="F2606" s="144" t="n">
        <v>200025888662</v>
      </c>
      <c r="G2606" s="144" t="s">
        <v>365</v>
      </c>
      <c r="H2606" s="144" t="n">
        <v>66</v>
      </c>
      <c r="I2606" s="144" t="s">
        <v>148</v>
      </c>
      <c r="J2606" s="6" t="n">
        <v>45073.6425231482</v>
      </c>
      <c r="K2606" s="1" t="n">
        <v>1</v>
      </c>
      <c r="L2606" s="144" t="n">
        <v>66</v>
      </c>
      <c r="M2606" s="1" t="n">
        <v>82</v>
      </c>
      <c r="N2606" s="1" t="n">
        <v>82</v>
      </c>
      <c r="O2606" s="149" t="n">
        <v>101</v>
      </c>
    </row>
    <row r="2607" customFormat="false" ht="14.25" hidden="false" customHeight="false" outlineLevel="0" collapsed="false">
      <c r="A2607" s="1" t="n">
        <v>75</v>
      </c>
      <c r="B2607" s="1" t="s">
        <v>490</v>
      </c>
      <c r="C2607" s="143" t="n">
        <v>11171</v>
      </c>
      <c r="D2607" s="143" t="s">
        <v>74</v>
      </c>
      <c r="E2607" s="143" t="s">
        <v>479</v>
      </c>
      <c r="F2607" s="144" t="n">
        <v>200025888662</v>
      </c>
      <c r="G2607" s="144" t="s">
        <v>365</v>
      </c>
      <c r="H2607" s="144" t="n">
        <v>66</v>
      </c>
      <c r="I2607" s="144" t="s">
        <v>148</v>
      </c>
      <c r="J2607" s="6" t="n">
        <v>45073.6525578704</v>
      </c>
      <c r="K2607" s="1" t="n">
        <v>2</v>
      </c>
      <c r="L2607" s="144" t="n">
        <v>66</v>
      </c>
      <c r="M2607" s="1" t="n">
        <v>82</v>
      </c>
      <c r="N2607" s="1" t="n">
        <v>82</v>
      </c>
      <c r="O2607" s="149" t="n">
        <v>102</v>
      </c>
    </row>
    <row r="2608" customFormat="false" ht="14.25" hidden="false" customHeight="false" outlineLevel="0" collapsed="false">
      <c r="A2608" s="1" t="n">
        <v>125</v>
      </c>
      <c r="B2608" s="1" t="s">
        <v>478</v>
      </c>
      <c r="C2608" s="143" t="n">
        <v>21265</v>
      </c>
      <c r="D2608" s="143" t="s">
        <v>76</v>
      </c>
      <c r="E2608" s="143" t="s">
        <v>479</v>
      </c>
      <c r="F2608" s="144" t="n">
        <v>200025888955</v>
      </c>
      <c r="G2608" s="144" t="s">
        <v>234</v>
      </c>
      <c r="H2608" s="144" t="n">
        <v>25</v>
      </c>
      <c r="I2608" s="144" t="s">
        <v>148</v>
      </c>
      <c r="J2608" s="6" t="n">
        <v>45073.5082291667</v>
      </c>
      <c r="K2608" s="1" t="n">
        <v>1</v>
      </c>
      <c r="L2608" s="144" t="n">
        <v>25</v>
      </c>
      <c r="M2608" s="1" t="n">
        <v>83</v>
      </c>
      <c r="N2608" s="1" t="n">
        <v>83</v>
      </c>
      <c r="O2608" s="149" t="n">
        <v>1</v>
      </c>
    </row>
    <row r="2609" customFormat="false" ht="14.25" hidden="false" customHeight="false" outlineLevel="0" collapsed="false">
      <c r="A2609" s="1" t="n">
        <v>216</v>
      </c>
      <c r="B2609" s="1" t="s">
        <v>478</v>
      </c>
      <c r="C2609" s="143" t="n">
        <v>21265</v>
      </c>
      <c r="D2609" s="143" t="s">
        <v>76</v>
      </c>
      <c r="E2609" s="143" t="s">
        <v>479</v>
      </c>
      <c r="F2609" s="144" t="n">
        <v>200025888955</v>
      </c>
      <c r="G2609" s="144" t="s">
        <v>234</v>
      </c>
      <c r="H2609" s="144" t="n">
        <v>25</v>
      </c>
      <c r="I2609" s="144" t="s">
        <v>148</v>
      </c>
      <c r="J2609" s="6" t="n">
        <v>45074.7084490741</v>
      </c>
      <c r="K2609" s="1" t="n">
        <v>4</v>
      </c>
      <c r="L2609" s="144" t="n">
        <v>25</v>
      </c>
      <c r="M2609" s="1" t="n">
        <v>83</v>
      </c>
      <c r="N2609" s="1" t="n">
        <v>83</v>
      </c>
      <c r="O2609" s="149" t="n">
        <v>2</v>
      </c>
    </row>
    <row r="2610" customFormat="false" ht="14.25" hidden="false" customHeight="false" outlineLevel="0" collapsed="false">
      <c r="A2610" s="1" t="n">
        <v>217</v>
      </c>
      <c r="B2610" s="1" t="s">
        <v>478</v>
      </c>
      <c r="C2610" s="143" t="n">
        <v>21265</v>
      </c>
      <c r="D2610" s="143" t="s">
        <v>76</v>
      </c>
      <c r="E2610" s="143" t="s">
        <v>479</v>
      </c>
      <c r="F2610" s="144" t="n">
        <v>200025888955</v>
      </c>
      <c r="G2610" s="144" t="s">
        <v>234</v>
      </c>
      <c r="H2610" s="144" t="n">
        <v>25</v>
      </c>
      <c r="I2610" s="144" t="s">
        <v>148</v>
      </c>
      <c r="J2610" s="6" t="n">
        <v>45074.7100925926</v>
      </c>
      <c r="K2610" s="1" t="n">
        <v>1</v>
      </c>
      <c r="L2610" s="144" t="n">
        <v>25</v>
      </c>
      <c r="M2610" s="1" t="n">
        <v>83</v>
      </c>
      <c r="N2610" s="1" t="n">
        <v>83</v>
      </c>
      <c r="O2610" s="149" t="n">
        <v>3</v>
      </c>
    </row>
    <row r="2611" customFormat="false" ht="14.25" hidden="false" customHeight="false" outlineLevel="0" collapsed="false">
      <c r="A2611" s="1" t="n">
        <v>218</v>
      </c>
      <c r="B2611" s="1" t="s">
        <v>478</v>
      </c>
      <c r="C2611" s="143" t="n">
        <v>21265</v>
      </c>
      <c r="D2611" s="143" t="s">
        <v>76</v>
      </c>
      <c r="E2611" s="143" t="s">
        <v>479</v>
      </c>
      <c r="F2611" s="144" t="n">
        <v>200025888955</v>
      </c>
      <c r="G2611" s="144" t="s">
        <v>234</v>
      </c>
      <c r="H2611" s="144" t="n">
        <v>25</v>
      </c>
      <c r="I2611" s="144" t="s">
        <v>148</v>
      </c>
      <c r="J2611" s="6" t="n">
        <v>45074.7103472222</v>
      </c>
      <c r="K2611" s="1" t="n">
        <v>2</v>
      </c>
      <c r="L2611" s="144" t="n">
        <v>25</v>
      </c>
      <c r="M2611" s="1" t="n">
        <v>83</v>
      </c>
      <c r="N2611" s="1" t="n">
        <v>83</v>
      </c>
      <c r="O2611" s="149" t="n">
        <v>4</v>
      </c>
    </row>
    <row r="2612" customFormat="false" ht="14.25" hidden="false" customHeight="false" outlineLevel="0" collapsed="false">
      <c r="A2612" s="1" t="n">
        <v>219</v>
      </c>
      <c r="B2612" s="1" t="s">
        <v>478</v>
      </c>
      <c r="C2612" s="143" t="n">
        <v>21265</v>
      </c>
      <c r="D2612" s="143" t="s">
        <v>76</v>
      </c>
      <c r="E2612" s="143" t="s">
        <v>479</v>
      </c>
      <c r="F2612" s="144" t="n">
        <v>200025888955</v>
      </c>
      <c r="G2612" s="144" t="s">
        <v>234</v>
      </c>
      <c r="H2612" s="144" t="n">
        <v>25</v>
      </c>
      <c r="I2612" s="144" t="s">
        <v>148</v>
      </c>
      <c r="J2612" s="6" t="n">
        <v>45074.7108796296</v>
      </c>
      <c r="K2612" s="1" t="n">
        <v>1</v>
      </c>
      <c r="L2612" s="144" t="n">
        <v>25</v>
      </c>
      <c r="M2612" s="1" t="n">
        <v>83</v>
      </c>
      <c r="N2612" s="1" t="n">
        <v>83</v>
      </c>
      <c r="O2612" s="149" t="n">
        <v>5</v>
      </c>
    </row>
    <row r="2613" customFormat="false" ht="14.25" hidden="false" customHeight="false" outlineLevel="0" collapsed="false">
      <c r="A2613" s="1" t="n">
        <v>220</v>
      </c>
      <c r="B2613" s="1" t="s">
        <v>478</v>
      </c>
      <c r="C2613" s="143" t="n">
        <v>21265</v>
      </c>
      <c r="D2613" s="143" t="s">
        <v>76</v>
      </c>
      <c r="E2613" s="143" t="s">
        <v>479</v>
      </c>
      <c r="F2613" s="144" t="n">
        <v>200025888955</v>
      </c>
      <c r="G2613" s="144" t="s">
        <v>234</v>
      </c>
      <c r="H2613" s="144" t="n">
        <v>25</v>
      </c>
      <c r="I2613" s="144" t="s">
        <v>148</v>
      </c>
      <c r="J2613" s="6" t="n">
        <v>45074.7110300926</v>
      </c>
      <c r="K2613" s="1" t="n">
        <v>2</v>
      </c>
      <c r="L2613" s="144" t="n">
        <v>25</v>
      </c>
      <c r="M2613" s="1" t="n">
        <v>83</v>
      </c>
      <c r="N2613" s="1" t="n">
        <v>83</v>
      </c>
      <c r="O2613" s="149" t="n">
        <v>6</v>
      </c>
    </row>
    <row r="2614" customFormat="false" ht="14.25" hidden="false" customHeight="false" outlineLevel="0" collapsed="false">
      <c r="A2614" s="1" t="n">
        <v>221</v>
      </c>
      <c r="B2614" s="1" t="s">
        <v>478</v>
      </c>
      <c r="C2614" s="143" t="n">
        <v>21265</v>
      </c>
      <c r="D2614" s="143" t="s">
        <v>76</v>
      </c>
      <c r="E2614" s="143" t="s">
        <v>479</v>
      </c>
      <c r="F2614" s="144" t="n">
        <v>200025888955</v>
      </c>
      <c r="G2614" s="144" t="s">
        <v>234</v>
      </c>
      <c r="H2614" s="144" t="n">
        <v>25</v>
      </c>
      <c r="I2614" s="144" t="s">
        <v>148</v>
      </c>
      <c r="J2614" s="6" t="n">
        <v>45074.7114930556</v>
      </c>
      <c r="K2614" s="1" t="n">
        <v>2</v>
      </c>
      <c r="L2614" s="144" t="n">
        <v>25</v>
      </c>
      <c r="M2614" s="1" t="n">
        <v>83</v>
      </c>
      <c r="N2614" s="1" t="n">
        <v>83</v>
      </c>
      <c r="O2614" s="149" t="n">
        <v>7</v>
      </c>
    </row>
    <row r="2615" customFormat="false" ht="14.25" hidden="false" customHeight="false" outlineLevel="0" collapsed="false">
      <c r="A2615" s="1" t="n">
        <v>222</v>
      </c>
      <c r="B2615" s="1" t="s">
        <v>478</v>
      </c>
      <c r="C2615" s="143" t="n">
        <v>21265</v>
      </c>
      <c r="D2615" s="143" t="s">
        <v>76</v>
      </c>
      <c r="E2615" s="143" t="s">
        <v>479</v>
      </c>
      <c r="F2615" s="144" t="n">
        <v>200025888955</v>
      </c>
      <c r="G2615" s="144" t="s">
        <v>234</v>
      </c>
      <c r="H2615" s="144" t="n">
        <v>25</v>
      </c>
      <c r="I2615" s="144" t="s">
        <v>148</v>
      </c>
      <c r="J2615" s="6" t="n">
        <v>45074.7362152778</v>
      </c>
      <c r="K2615" s="1" t="n">
        <v>3</v>
      </c>
      <c r="L2615" s="144" t="n">
        <v>25</v>
      </c>
      <c r="M2615" s="1" t="n">
        <v>83</v>
      </c>
      <c r="N2615" s="1" t="n">
        <v>83</v>
      </c>
      <c r="O2615" s="149" t="n">
        <v>8</v>
      </c>
    </row>
    <row r="2616" customFormat="false" ht="14.25" hidden="false" customHeight="false" outlineLevel="0" collapsed="false">
      <c r="A2616" s="1" t="n">
        <v>223</v>
      </c>
      <c r="B2616" s="1" t="s">
        <v>478</v>
      </c>
      <c r="C2616" s="143" t="n">
        <v>21265</v>
      </c>
      <c r="D2616" s="143" t="s">
        <v>76</v>
      </c>
      <c r="E2616" s="143" t="s">
        <v>479</v>
      </c>
      <c r="F2616" s="144" t="n">
        <v>200025888955</v>
      </c>
      <c r="G2616" s="144" t="s">
        <v>234</v>
      </c>
      <c r="H2616" s="144" t="n">
        <v>25</v>
      </c>
      <c r="I2616" s="144" t="s">
        <v>148</v>
      </c>
      <c r="J2616" s="6" t="n">
        <v>45074.7369907407</v>
      </c>
      <c r="K2616" s="1" t="n">
        <v>3</v>
      </c>
      <c r="L2616" s="144" t="n">
        <v>25</v>
      </c>
      <c r="M2616" s="1" t="n">
        <v>83</v>
      </c>
      <c r="N2616" s="1" t="n">
        <v>83</v>
      </c>
      <c r="O2616" s="149" t="n">
        <v>9</v>
      </c>
    </row>
    <row r="2617" customFormat="false" ht="14.25" hidden="false" customHeight="false" outlineLevel="0" collapsed="false">
      <c r="A2617" s="1" t="n">
        <v>224</v>
      </c>
      <c r="B2617" s="1" t="s">
        <v>478</v>
      </c>
      <c r="C2617" s="143" t="n">
        <v>21265</v>
      </c>
      <c r="D2617" s="143" t="s">
        <v>76</v>
      </c>
      <c r="E2617" s="143" t="s">
        <v>479</v>
      </c>
      <c r="F2617" s="144" t="n">
        <v>200025888955</v>
      </c>
      <c r="G2617" s="144" t="s">
        <v>234</v>
      </c>
      <c r="H2617" s="144" t="n">
        <v>25</v>
      </c>
      <c r="I2617" s="144" t="s">
        <v>148</v>
      </c>
      <c r="J2617" s="6" t="n">
        <v>45074.737337963</v>
      </c>
      <c r="K2617" s="1" t="n">
        <v>4</v>
      </c>
      <c r="L2617" s="144" t="n">
        <v>25</v>
      </c>
      <c r="M2617" s="1" t="n">
        <v>83</v>
      </c>
      <c r="N2617" s="1" t="n">
        <v>83</v>
      </c>
      <c r="O2617" s="149" t="n">
        <v>10</v>
      </c>
    </row>
    <row r="2618" customFormat="false" ht="14.25" hidden="false" customHeight="false" outlineLevel="0" collapsed="false">
      <c r="A2618" s="1" t="n">
        <v>225</v>
      </c>
      <c r="B2618" s="1" t="s">
        <v>478</v>
      </c>
      <c r="C2618" s="143" t="n">
        <v>21265</v>
      </c>
      <c r="D2618" s="143" t="s">
        <v>76</v>
      </c>
      <c r="E2618" s="143" t="s">
        <v>479</v>
      </c>
      <c r="F2618" s="144" t="n">
        <v>200025888955</v>
      </c>
      <c r="G2618" s="144" t="s">
        <v>234</v>
      </c>
      <c r="H2618" s="144" t="n">
        <v>25</v>
      </c>
      <c r="I2618" s="144" t="s">
        <v>148</v>
      </c>
      <c r="J2618" s="6" t="n">
        <v>45074.7543287037</v>
      </c>
      <c r="K2618" s="1" t="n">
        <v>1</v>
      </c>
      <c r="L2618" s="144" t="n">
        <v>25</v>
      </c>
      <c r="M2618" s="1" t="n">
        <v>83</v>
      </c>
      <c r="N2618" s="1" t="n">
        <v>83</v>
      </c>
      <c r="O2618" s="149" t="n">
        <v>11</v>
      </c>
    </row>
    <row r="2619" customFormat="false" ht="14.25" hidden="false" customHeight="false" outlineLevel="0" collapsed="false">
      <c r="A2619" s="1" t="n">
        <v>226</v>
      </c>
      <c r="B2619" s="1" t="s">
        <v>478</v>
      </c>
      <c r="C2619" s="143" t="n">
        <v>21265</v>
      </c>
      <c r="D2619" s="143" t="s">
        <v>76</v>
      </c>
      <c r="E2619" s="143" t="s">
        <v>479</v>
      </c>
      <c r="F2619" s="144" t="n">
        <v>200025888955</v>
      </c>
      <c r="G2619" s="144" t="s">
        <v>234</v>
      </c>
      <c r="H2619" s="144" t="n">
        <v>25</v>
      </c>
      <c r="I2619" s="144" t="s">
        <v>148</v>
      </c>
      <c r="J2619" s="6" t="n">
        <v>45074.7547685185</v>
      </c>
      <c r="K2619" s="1" t="n">
        <v>3</v>
      </c>
      <c r="L2619" s="144" t="n">
        <v>25</v>
      </c>
      <c r="M2619" s="1" t="n">
        <v>83</v>
      </c>
      <c r="N2619" s="1" t="n">
        <v>83</v>
      </c>
      <c r="O2619" s="149" t="n">
        <v>12</v>
      </c>
    </row>
    <row r="2620" customFormat="false" ht="14.25" hidden="false" customHeight="false" outlineLevel="0" collapsed="false">
      <c r="A2620" s="1" t="n">
        <v>227</v>
      </c>
      <c r="B2620" s="1" t="s">
        <v>478</v>
      </c>
      <c r="C2620" s="143" t="n">
        <v>21265</v>
      </c>
      <c r="D2620" s="143" t="s">
        <v>76</v>
      </c>
      <c r="E2620" s="143" t="s">
        <v>479</v>
      </c>
      <c r="F2620" s="144" t="n">
        <v>200025888955</v>
      </c>
      <c r="G2620" s="144" t="s">
        <v>234</v>
      </c>
      <c r="H2620" s="144" t="n">
        <v>25</v>
      </c>
      <c r="I2620" s="144" t="s">
        <v>148</v>
      </c>
      <c r="J2620" s="6" t="n">
        <v>45074.7553125</v>
      </c>
      <c r="K2620" s="1" t="n">
        <v>2</v>
      </c>
      <c r="L2620" s="144" t="n">
        <v>25</v>
      </c>
      <c r="M2620" s="1" t="n">
        <v>83</v>
      </c>
      <c r="N2620" s="1" t="n">
        <v>83</v>
      </c>
      <c r="O2620" s="149" t="n">
        <v>13</v>
      </c>
    </row>
    <row r="2621" customFormat="false" ht="14.25" hidden="false" customHeight="false" outlineLevel="0" collapsed="false">
      <c r="A2621" s="1" t="n">
        <v>228</v>
      </c>
      <c r="B2621" s="1" t="s">
        <v>478</v>
      </c>
      <c r="C2621" s="143" t="n">
        <v>21265</v>
      </c>
      <c r="D2621" s="143" t="s">
        <v>76</v>
      </c>
      <c r="E2621" s="143" t="s">
        <v>479</v>
      </c>
      <c r="F2621" s="144" t="n">
        <v>200025888955</v>
      </c>
      <c r="G2621" s="144" t="s">
        <v>234</v>
      </c>
      <c r="H2621" s="144" t="n">
        <v>25</v>
      </c>
      <c r="I2621" s="144" t="s">
        <v>148</v>
      </c>
      <c r="J2621" s="6" t="n">
        <v>45074.7554976852</v>
      </c>
      <c r="K2621" s="1" t="n">
        <v>2</v>
      </c>
      <c r="L2621" s="144" t="n">
        <v>25</v>
      </c>
      <c r="M2621" s="1" t="n">
        <v>83</v>
      </c>
      <c r="N2621" s="1" t="n">
        <v>83</v>
      </c>
      <c r="O2621" s="149" t="n">
        <v>14</v>
      </c>
    </row>
    <row r="2622" customFormat="false" ht="14.25" hidden="false" customHeight="false" outlineLevel="0" collapsed="false">
      <c r="A2622" s="1" t="n">
        <v>229</v>
      </c>
      <c r="B2622" s="1" t="s">
        <v>478</v>
      </c>
      <c r="C2622" s="143" t="n">
        <v>21265</v>
      </c>
      <c r="D2622" s="143" t="s">
        <v>76</v>
      </c>
      <c r="E2622" s="143" t="s">
        <v>479</v>
      </c>
      <c r="F2622" s="144" t="n">
        <v>200025888955</v>
      </c>
      <c r="G2622" s="144" t="s">
        <v>234</v>
      </c>
      <c r="H2622" s="144" t="n">
        <v>25</v>
      </c>
      <c r="I2622" s="144" t="s">
        <v>148</v>
      </c>
      <c r="J2622" s="6" t="n">
        <v>45074.7557175926</v>
      </c>
      <c r="K2622" s="1" t="n">
        <v>1</v>
      </c>
      <c r="L2622" s="144" t="n">
        <v>25</v>
      </c>
      <c r="M2622" s="1" t="n">
        <v>83</v>
      </c>
      <c r="N2622" s="1" t="n">
        <v>83</v>
      </c>
      <c r="O2622" s="149" t="n">
        <v>15</v>
      </c>
    </row>
    <row r="2623" customFormat="false" ht="14.25" hidden="false" customHeight="false" outlineLevel="0" collapsed="false">
      <c r="A2623" s="1" t="n">
        <v>230</v>
      </c>
      <c r="B2623" s="1" t="s">
        <v>478</v>
      </c>
      <c r="C2623" s="143" t="n">
        <v>21265</v>
      </c>
      <c r="D2623" s="143" t="s">
        <v>76</v>
      </c>
      <c r="E2623" s="143" t="s">
        <v>479</v>
      </c>
      <c r="F2623" s="144" t="n">
        <v>200025888955</v>
      </c>
      <c r="G2623" s="144" t="s">
        <v>234</v>
      </c>
      <c r="H2623" s="144" t="n">
        <v>25</v>
      </c>
      <c r="I2623" s="144" t="s">
        <v>148</v>
      </c>
      <c r="J2623" s="6" t="n">
        <v>45074.7559259259</v>
      </c>
      <c r="K2623" s="1" t="n">
        <v>1</v>
      </c>
      <c r="L2623" s="144" t="n">
        <v>25</v>
      </c>
      <c r="M2623" s="1" t="n">
        <v>83</v>
      </c>
      <c r="N2623" s="1" t="n">
        <v>83</v>
      </c>
      <c r="O2623" s="149" t="n">
        <v>16</v>
      </c>
    </row>
    <row r="2624" customFormat="false" ht="14.25" hidden="false" customHeight="false" outlineLevel="0" collapsed="false">
      <c r="A2624" s="1" t="n">
        <v>231</v>
      </c>
      <c r="B2624" s="1" t="s">
        <v>478</v>
      </c>
      <c r="C2624" s="143" t="n">
        <v>21265</v>
      </c>
      <c r="D2624" s="143" t="s">
        <v>76</v>
      </c>
      <c r="E2624" s="143" t="s">
        <v>479</v>
      </c>
      <c r="F2624" s="144" t="n">
        <v>200025888955</v>
      </c>
      <c r="G2624" s="144" t="s">
        <v>234</v>
      </c>
      <c r="H2624" s="144" t="n">
        <v>25</v>
      </c>
      <c r="I2624" s="144" t="s">
        <v>148</v>
      </c>
      <c r="J2624" s="6" t="n">
        <v>45074.7619328704</v>
      </c>
      <c r="K2624" s="1" t="n">
        <v>1</v>
      </c>
      <c r="L2624" s="144" t="n">
        <v>25</v>
      </c>
      <c r="M2624" s="1" t="n">
        <v>83</v>
      </c>
      <c r="N2624" s="1" t="n">
        <v>83</v>
      </c>
      <c r="O2624" s="149" t="n">
        <v>17</v>
      </c>
    </row>
    <row r="2625" customFormat="false" ht="14.25" hidden="false" customHeight="false" outlineLevel="0" collapsed="false">
      <c r="A2625" s="1" t="n">
        <v>232</v>
      </c>
      <c r="B2625" s="1" t="s">
        <v>478</v>
      </c>
      <c r="C2625" s="143" t="n">
        <v>21265</v>
      </c>
      <c r="D2625" s="143" t="s">
        <v>76</v>
      </c>
      <c r="E2625" s="143" t="s">
        <v>479</v>
      </c>
      <c r="F2625" s="144" t="n">
        <v>200025888955</v>
      </c>
      <c r="G2625" s="144" t="s">
        <v>234</v>
      </c>
      <c r="H2625" s="144" t="n">
        <v>25</v>
      </c>
      <c r="I2625" s="144" t="s">
        <v>148</v>
      </c>
      <c r="J2625" s="6" t="n">
        <v>45074.7623032407</v>
      </c>
      <c r="K2625" s="1" t="n">
        <v>1</v>
      </c>
      <c r="L2625" s="144" t="n">
        <v>25</v>
      </c>
      <c r="M2625" s="1" t="n">
        <v>83</v>
      </c>
      <c r="N2625" s="1" t="n">
        <v>83</v>
      </c>
      <c r="O2625" s="149" t="n">
        <v>18</v>
      </c>
    </row>
    <row r="2626" customFormat="false" ht="14.25" hidden="false" customHeight="false" outlineLevel="0" collapsed="false">
      <c r="A2626" s="1" t="n">
        <v>233</v>
      </c>
      <c r="B2626" s="1" t="s">
        <v>478</v>
      </c>
      <c r="C2626" s="143" t="n">
        <v>21265</v>
      </c>
      <c r="D2626" s="143" t="s">
        <v>76</v>
      </c>
      <c r="E2626" s="143" t="s">
        <v>479</v>
      </c>
      <c r="F2626" s="144" t="n">
        <v>200025888955</v>
      </c>
      <c r="G2626" s="144" t="s">
        <v>234</v>
      </c>
      <c r="H2626" s="144" t="n">
        <v>25</v>
      </c>
      <c r="I2626" s="144" t="s">
        <v>148</v>
      </c>
      <c r="J2626" s="6" t="n">
        <v>45074.762662037</v>
      </c>
      <c r="K2626" s="1" t="n">
        <v>1</v>
      </c>
      <c r="L2626" s="144" t="n">
        <v>25</v>
      </c>
      <c r="M2626" s="1" t="n">
        <v>83</v>
      </c>
      <c r="N2626" s="1" t="n">
        <v>83</v>
      </c>
      <c r="O2626" s="149" t="n">
        <v>19</v>
      </c>
    </row>
    <row r="2627" customFormat="false" ht="14.25" hidden="false" customHeight="false" outlineLevel="0" collapsed="false">
      <c r="A2627" s="1" t="n">
        <v>234</v>
      </c>
      <c r="B2627" s="1" t="s">
        <v>478</v>
      </c>
      <c r="C2627" s="143" t="n">
        <v>21265</v>
      </c>
      <c r="D2627" s="143" t="s">
        <v>76</v>
      </c>
      <c r="E2627" s="143" t="s">
        <v>479</v>
      </c>
      <c r="F2627" s="144" t="n">
        <v>200025888955</v>
      </c>
      <c r="G2627" s="144" t="s">
        <v>234</v>
      </c>
      <c r="H2627" s="144" t="n">
        <v>25</v>
      </c>
      <c r="I2627" s="144" t="s">
        <v>148</v>
      </c>
      <c r="J2627" s="6" t="n">
        <v>45074.7996527778</v>
      </c>
      <c r="K2627" s="1" t="n">
        <v>0</v>
      </c>
      <c r="L2627" s="144" t="n">
        <v>25</v>
      </c>
      <c r="M2627" s="1" t="n">
        <v>83</v>
      </c>
      <c r="N2627" s="1" t="n">
        <v>83</v>
      </c>
      <c r="O2627" s="149" t="n">
        <v>20</v>
      </c>
    </row>
    <row r="2628" customFormat="false" ht="14.25" hidden="false" customHeight="false" outlineLevel="0" collapsed="false">
      <c r="A2628" s="1" t="n">
        <v>235</v>
      </c>
      <c r="B2628" s="1" t="s">
        <v>478</v>
      </c>
      <c r="C2628" s="143" t="n">
        <v>21265</v>
      </c>
      <c r="D2628" s="143" t="s">
        <v>76</v>
      </c>
      <c r="E2628" s="143" t="s">
        <v>479</v>
      </c>
      <c r="F2628" s="144" t="n">
        <v>200025888955</v>
      </c>
      <c r="G2628" s="144" t="s">
        <v>234</v>
      </c>
      <c r="H2628" s="144" t="n">
        <v>25</v>
      </c>
      <c r="I2628" s="144" t="s">
        <v>148</v>
      </c>
      <c r="J2628" s="6" t="n">
        <v>45074.8153009259</v>
      </c>
      <c r="K2628" s="1" t="n">
        <v>0</v>
      </c>
      <c r="L2628" s="144" t="n">
        <v>25</v>
      </c>
      <c r="M2628" s="1" t="n">
        <v>83</v>
      </c>
      <c r="N2628" s="1" t="n">
        <v>83</v>
      </c>
      <c r="O2628" s="149" t="n">
        <v>21</v>
      </c>
    </row>
    <row r="2629" customFormat="false" ht="14.25" hidden="false" customHeight="false" outlineLevel="0" collapsed="false">
      <c r="A2629" s="1" t="n">
        <v>236</v>
      </c>
      <c r="B2629" s="1" t="s">
        <v>478</v>
      </c>
      <c r="C2629" s="143" t="n">
        <v>21265</v>
      </c>
      <c r="D2629" s="143" t="s">
        <v>76</v>
      </c>
      <c r="E2629" s="143" t="s">
        <v>479</v>
      </c>
      <c r="F2629" s="144" t="n">
        <v>200025888955</v>
      </c>
      <c r="G2629" s="144" t="s">
        <v>234</v>
      </c>
      <c r="H2629" s="144" t="n">
        <v>25</v>
      </c>
      <c r="I2629" s="144" t="s">
        <v>148</v>
      </c>
      <c r="J2629" s="6" t="n">
        <v>45074.8157986111</v>
      </c>
      <c r="K2629" s="1" t="n">
        <v>3</v>
      </c>
      <c r="L2629" s="144" t="n">
        <v>25</v>
      </c>
      <c r="M2629" s="1" t="n">
        <v>83</v>
      </c>
      <c r="N2629" s="1" t="n">
        <v>83</v>
      </c>
      <c r="O2629" s="149" t="n">
        <v>22</v>
      </c>
    </row>
    <row r="2630" customFormat="false" ht="14.25" hidden="false" customHeight="false" outlineLevel="0" collapsed="false">
      <c r="A2630" s="1" t="n">
        <v>237</v>
      </c>
      <c r="B2630" s="1" t="s">
        <v>478</v>
      </c>
      <c r="C2630" s="143" t="n">
        <v>21265</v>
      </c>
      <c r="D2630" s="143" t="s">
        <v>76</v>
      </c>
      <c r="E2630" s="143" t="s">
        <v>479</v>
      </c>
      <c r="F2630" s="144" t="n">
        <v>200025888955</v>
      </c>
      <c r="G2630" s="144" t="s">
        <v>234</v>
      </c>
      <c r="H2630" s="144" t="n">
        <v>25</v>
      </c>
      <c r="I2630" s="144" t="s">
        <v>148</v>
      </c>
      <c r="J2630" s="6" t="n">
        <v>45074.8163310185</v>
      </c>
      <c r="K2630" s="1" t="n">
        <v>0</v>
      </c>
      <c r="L2630" s="144" t="n">
        <v>25</v>
      </c>
      <c r="M2630" s="1" t="n">
        <v>83</v>
      </c>
      <c r="N2630" s="1" t="n">
        <v>83</v>
      </c>
      <c r="O2630" s="149" t="n">
        <v>23</v>
      </c>
    </row>
    <row r="2631" customFormat="false" ht="14.25" hidden="false" customHeight="false" outlineLevel="0" collapsed="false">
      <c r="A2631" s="1" t="n">
        <v>238</v>
      </c>
      <c r="B2631" s="1" t="s">
        <v>478</v>
      </c>
      <c r="C2631" s="143" t="n">
        <v>21265</v>
      </c>
      <c r="D2631" s="143" t="s">
        <v>76</v>
      </c>
      <c r="E2631" s="143" t="s">
        <v>479</v>
      </c>
      <c r="F2631" s="144" t="n">
        <v>200025888955</v>
      </c>
      <c r="G2631" s="144" t="s">
        <v>234</v>
      </c>
      <c r="H2631" s="144" t="n">
        <v>25</v>
      </c>
      <c r="I2631" s="144" t="s">
        <v>148</v>
      </c>
      <c r="J2631" s="6" t="n">
        <v>45074.816712963</v>
      </c>
      <c r="K2631" s="1" t="n">
        <v>2</v>
      </c>
      <c r="L2631" s="144" t="n">
        <v>25</v>
      </c>
      <c r="M2631" s="1" t="n">
        <v>83</v>
      </c>
      <c r="N2631" s="1" t="n">
        <v>83</v>
      </c>
      <c r="O2631" s="149" t="n">
        <v>24</v>
      </c>
    </row>
    <row r="2632" customFormat="false" ht="14.25" hidden="false" customHeight="false" outlineLevel="0" collapsed="false">
      <c r="A2632" s="1" t="n">
        <v>239</v>
      </c>
      <c r="B2632" s="1" t="s">
        <v>478</v>
      </c>
      <c r="C2632" s="143" t="n">
        <v>21265</v>
      </c>
      <c r="D2632" s="143" t="s">
        <v>76</v>
      </c>
      <c r="E2632" s="143" t="s">
        <v>479</v>
      </c>
      <c r="F2632" s="144" t="n">
        <v>200025888955</v>
      </c>
      <c r="G2632" s="144" t="s">
        <v>234</v>
      </c>
      <c r="H2632" s="144" t="n">
        <v>25</v>
      </c>
      <c r="I2632" s="144" t="s">
        <v>148</v>
      </c>
      <c r="J2632" s="6" t="n">
        <v>45074.8171875</v>
      </c>
      <c r="K2632" s="1" t="n">
        <v>0</v>
      </c>
      <c r="L2632" s="144" t="n">
        <v>25</v>
      </c>
      <c r="M2632" s="1" t="n">
        <v>83</v>
      </c>
      <c r="N2632" s="1" t="n">
        <v>83</v>
      </c>
      <c r="O2632" s="149" t="n">
        <v>25</v>
      </c>
    </row>
    <row r="2633" customFormat="false" ht="14.25" hidden="false" customHeight="false" outlineLevel="0" collapsed="false">
      <c r="A2633" s="1" t="n">
        <v>240</v>
      </c>
      <c r="B2633" s="1" t="s">
        <v>478</v>
      </c>
      <c r="C2633" s="143" t="n">
        <v>21265</v>
      </c>
      <c r="D2633" s="143" t="s">
        <v>76</v>
      </c>
      <c r="E2633" s="143" t="s">
        <v>479</v>
      </c>
      <c r="F2633" s="144" t="n">
        <v>200025888955</v>
      </c>
      <c r="G2633" s="144" t="s">
        <v>234</v>
      </c>
      <c r="H2633" s="144" t="n">
        <v>25</v>
      </c>
      <c r="I2633" s="144" t="s">
        <v>148</v>
      </c>
      <c r="J2633" s="6" t="n">
        <v>45074.8176157407</v>
      </c>
      <c r="K2633" s="1" t="n">
        <v>1</v>
      </c>
      <c r="L2633" s="144" t="n">
        <v>25</v>
      </c>
      <c r="M2633" s="1" t="n">
        <v>83</v>
      </c>
      <c r="N2633" s="1" t="n">
        <v>83</v>
      </c>
      <c r="O2633" s="149" t="n">
        <v>26</v>
      </c>
    </row>
    <row r="2634" customFormat="false" ht="14.25" hidden="false" customHeight="false" outlineLevel="0" collapsed="false">
      <c r="A2634" s="1" t="n">
        <v>241</v>
      </c>
      <c r="B2634" s="1" t="s">
        <v>478</v>
      </c>
      <c r="C2634" s="143" t="n">
        <v>21265</v>
      </c>
      <c r="D2634" s="143" t="s">
        <v>76</v>
      </c>
      <c r="E2634" s="143" t="s">
        <v>479</v>
      </c>
      <c r="F2634" s="144" t="n">
        <v>200025888955</v>
      </c>
      <c r="G2634" s="144" t="s">
        <v>234</v>
      </c>
      <c r="H2634" s="144" t="n">
        <v>25</v>
      </c>
      <c r="I2634" s="144" t="s">
        <v>148</v>
      </c>
      <c r="J2634" s="6" t="n">
        <v>45074.8176273148</v>
      </c>
      <c r="K2634" s="1" t="n">
        <v>1</v>
      </c>
      <c r="L2634" s="144" t="n">
        <v>25</v>
      </c>
      <c r="M2634" s="1" t="n">
        <v>83</v>
      </c>
      <c r="N2634" s="1" t="n">
        <v>83</v>
      </c>
      <c r="O2634" s="149" t="n">
        <v>27</v>
      </c>
    </row>
    <row r="2635" customFormat="false" ht="14.25" hidden="false" customHeight="false" outlineLevel="0" collapsed="false">
      <c r="A2635" s="1" t="n">
        <v>242</v>
      </c>
      <c r="B2635" s="1" t="s">
        <v>478</v>
      </c>
      <c r="C2635" s="143" t="n">
        <v>21265</v>
      </c>
      <c r="D2635" s="143" t="s">
        <v>76</v>
      </c>
      <c r="E2635" s="143" t="s">
        <v>479</v>
      </c>
      <c r="F2635" s="144" t="n">
        <v>200025888955</v>
      </c>
      <c r="G2635" s="144" t="s">
        <v>234</v>
      </c>
      <c r="H2635" s="144" t="n">
        <v>25</v>
      </c>
      <c r="I2635" s="144" t="s">
        <v>148</v>
      </c>
      <c r="J2635" s="6" t="n">
        <v>45074.8185763889</v>
      </c>
      <c r="K2635" s="1" t="n">
        <v>2</v>
      </c>
      <c r="L2635" s="144" t="n">
        <v>25</v>
      </c>
      <c r="M2635" s="1" t="n">
        <v>83</v>
      </c>
      <c r="N2635" s="1" t="n">
        <v>83</v>
      </c>
      <c r="O2635" s="149" t="n">
        <v>28</v>
      </c>
    </row>
    <row r="2636" customFormat="false" ht="14.25" hidden="false" customHeight="false" outlineLevel="0" collapsed="false">
      <c r="A2636" s="1" t="n">
        <v>243</v>
      </c>
      <c r="B2636" s="1" t="s">
        <v>478</v>
      </c>
      <c r="C2636" s="143" t="n">
        <v>21265</v>
      </c>
      <c r="D2636" s="143" t="s">
        <v>76</v>
      </c>
      <c r="E2636" s="143" t="s">
        <v>479</v>
      </c>
      <c r="F2636" s="144" t="n">
        <v>200025888955</v>
      </c>
      <c r="G2636" s="144" t="s">
        <v>234</v>
      </c>
      <c r="H2636" s="144" t="n">
        <v>25</v>
      </c>
      <c r="I2636" s="144" t="s">
        <v>148</v>
      </c>
      <c r="J2636" s="6" t="n">
        <v>45074.8188078704</v>
      </c>
      <c r="K2636" s="1" t="n">
        <v>0</v>
      </c>
      <c r="L2636" s="144" t="n">
        <v>25</v>
      </c>
      <c r="M2636" s="1" t="n">
        <v>83</v>
      </c>
      <c r="N2636" s="1" t="n">
        <v>83</v>
      </c>
      <c r="O2636" s="149" t="n">
        <v>29</v>
      </c>
    </row>
    <row r="2637" customFormat="false" ht="14.25" hidden="false" customHeight="false" outlineLevel="0" collapsed="false">
      <c r="A2637" s="1" t="n">
        <v>244</v>
      </c>
      <c r="B2637" s="1" t="s">
        <v>478</v>
      </c>
      <c r="C2637" s="143" t="n">
        <v>21265</v>
      </c>
      <c r="D2637" s="143" t="s">
        <v>76</v>
      </c>
      <c r="E2637" s="143" t="s">
        <v>479</v>
      </c>
      <c r="F2637" s="144" t="n">
        <v>200025888955</v>
      </c>
      <c r="G2637" s="144" t="s">
        <v>234</v>
      </c>
      <c r="H2637" s="144" t="n">
        <v>25</v>
      </c>
      <c r="I2637" s="144" t="s">
        <v>148</v>
      </c>
      <c r="J2637" s="6" t="n">
        <v>45074.8195138889</v>
      </c>
      <c r="K2637" s="1" t="n">
        <v>1</v>
      </c>
      <c r="L2637" s="144" t="n">
        <v>25</v>
      </c>
      <c r="M2637" s="1" t="n">
        <v>83</v>
      </c>
      <c r="N2637" s="1" t="n">
        <v>83</v>
      </c>
      <c r="O2637" s="149" t="n">
        <v>30</v>
      </c>
    </row>
    <row r="2638" customFormat="false" ht="14.25" hidden="false" customHeight="false" outlineLevel="0" collapsed="false">
      <c r="A2638" s="1" t="n">
        <v>245</v>
      </c>
      <c r="B2638" s="1" t="s">
        <v>478</v>
      </c>
      <c r="C2638" s="143" t="n">
        <v>21265</v>
      </c>
      <c r="D2638" s="143" t="s">
        <v>76</v>
      </c>
      <c r="E2638" s="143" t="s">
        <v>479</v>
      </c>
      <c r="F2638" s="144" t="n">
        <v>200025888955</v>
      </c>
      <c r="G2638" s="144" t="s">
        <v>234</v>
      </c>
      <c r="H2638" s="144" t="n">
        <v>25</v>
      </c>
      <c r="I2638" s="144" t="s">
        <v>148</v>
      </c>
      <c r="J2638" s="6" t="n">
        <v>45074.8198263889</v>
      </c>
      <c r="K2638" s="1" t="n">
        <v>3</v>
      </c>
      <c r="L2638" s="144" t="n">
        <v>25</v>
      </c>
      <c r="M2638" s="1" t="n">
        <v>83</v>
      </c>
      <c r="N2638" s="1" t="n">
        <v>83</v>
      </c>
      <c r="O2638" s="149" t="n">
        <v>31</v>
      </c>
    </row>
    <row r="2639" customFormat="false" ht="14.25" hidden="false" customHeight="false" outlineLevel="0" collapsed="false">
      <c r="A2639" s="1" t="n">
        <v>246</v>
      </c>
      <c r="B2639" s="1" t="s">
        <v>478</v>
      </c>
      <c r="C2639" s="143" t="n">
        <v>21265</v>
      </c>
      <c r="D2639" s="143" t="s">
        <v>76</v>
      </c>
      <c r="E2639" s="143" t="s">
        <v>479</v>
      </c>
      <c r="F2639" s="144" t="n">
        <v>200025888955</v>
      </c>
      <c r="G2639" s="144" t="s">
        <v>234</v>
      </c>
      <c r="H2639" s="144" t="n">
        <v>25</v>
      </c>
      <c r="I2639" s="144" t="s">
        <v>148</v>
      </c>
      <c r="J2639" s="6" t="n">
        <v>45074.8201851852</v>
      </c>
      <c r="K2639" s="1" t="n">
        <v>1</v>
      </c>
      <c r="L2639" s="144" t="n">
        <v>25</v>
      </c>
      <c r="M2639" s="1" t="n">
        <v>83</v>
      </c>
      <c r="N2639" s="1" t="n">
        <v>83</v>
      </c>
      <c r="O2639" s="149" t="n">
        <v>32</v>
      </c>
    </row>
    <row r="2640" customFormat="false" ht="14.25" hidden="false" customHeight="false" outlineLevel="0" collapsed="false">
      <c r="A2640" s="1" t="n">
        <v>247</v>
      </c>
      <c r="B2640" s="1" t="s">
        <v>478</v>
      </c>
      <c r="C2640" s="143" t="n">
        <v>21265</v>
      </c>
      <c r="D2640" s="143" t="s">
        <v>76</v>
      </c>
      <c r="E2640" s="143" t="s">
        <v>479</v>
      </c>
      <c r="F2640" s="144" t="n">
        <v>200025888955</v>
      </c>
      <c r="G2640" s="144" t="s">
        <v>234</v>
      </c>
      <c r="H2640" s="144" t="n">
        <v>25</v>
      </c>
      <c r="I2640" s="144" t="s">
        <v>148</v>
      </c>
      <c r="J2640" s="6" t="n">
        <v>45074.8208449074</v>
      </c>
      <c r="K2640" s="1" t="n">
        <v>0</v>
      </c>
      <c r="L2640" s="144" t="n">
        <v>25</v>
      </c>
      <c r="M2640" s="1" t="n">
        <v>83</v>
      </c>
      <c r="N2640" s="1" t="n">
        <v>83</v>
      </c>
      <c r="O2640" s="149" t="n">
        <v>33</v>
      </c>
    </row>
    <row r="2641" customFormat="false" ht="14.25" hidden="false" customHeight="false" outlineLevel="0" collapsed="false">
      <c r="A2641" s="1" t="n">
        <v>248</v>
      </c>
      <c r="B2641" s="1" t="s">
        <v>478</v>
      </c>
      <c r="C2641" s="143" t="n">
        <v>21265</v>
      </c>
      <c r="D2641" s="143" t="s">
        <v>76</v>
      </c>
      <c r="E2641" s="143" t="s">
        <v>479</v>
      </c>
      <c r="F2641" s="144" t="n">
        <v>200025888955</v>
      </c>
      <c r="G2641" s="144" t="s">
        <v>234</v>
      </c>
      <c r="H2641" s="144" t="n">
        <v>25</v>
      </c>
      <c r="I2641" s="144" t="s">
        <v>148</v>
      </c>
      <c r="J2641" s="6" t="n">
        <v>45074.8212037037</v>
      </c>
      <c r="K2641" s="1" t="n">
        <v>2</v>
      </c>
      <c r="L2641" s="144" t="n">
        <v>25</v>
      </c>
      <c r="M2641" s="1" t="n">
        <v>83</v>
      </c>
      <c r="N2641" s="1" t="n">
        <v>83</v>
      </c>
      <c r="O2641" s="149" t="n">
        <v>34</v>
      </c>
    </row>
    <row r="2642" customFormat="false" ht="14.25" hidden="false" customHeight="false" outlineLevel="0" collapsed="false">
      <c r="A2642" s="1" t="n">
        <v>249</v>
      </c>
      <c r="B2642" s="1" t="s">
        <v>478</v>
      </c>
      <c r="C2642" s="143" t="n">
        <v>21265</v>
      </c>
      <c r="D2642" s="143" t="s">
        <v>76</v>
      </c>
      <c r="E2642" s="143" t="s">
        <v>479</v>
      </c>
      <c r="F2642" s="144" t="n">
        <v>200025888955</v>
      </c>
      <c r="G2642" s="144" t="s">
        <v>234</v>
      </c>
      <c r="H2642" s="144" t="n">
        <v>25</v>
      </c>
      <c r="I2642" s="144" t="s">
        <v>148</v>
      </c>
      <c r="J2642" s="6" t="n">
        <v>45074.8216435185</v>
      </c>
      <c r="K2642" s="1" t="n">
        <v>3</v>
      </c>
      <c r="L2642" s="144" t="n">
        <v>25</v>
      </c>
      <c r="M2642" s="1" t="n">
        <v>83</v>
      </c>
      <c r="N2642" s="1" t="n">
        <v>83</v>
      </c>
      <c r="O2642" s="149" t="n">
        <v>35</v>
      </c>
    </row>
    <row r="2643" customFormat="false" ht="14.25" hidden="false" customHeight="false" outlineLevel="0" collapsed="false">
      <c r="A2643" s="1" t="n">
        <v>250</v>
      </c>
      <c r="B2643" s="1" t="s">
        <v>478</v>
      </c>
      <c r="C2643" s="143" t="n">
        <v>21265</v>
      </c>
      <c r="D2643" s="143" t="s">
        <v>76</v>
      </c>
      <c r="E2643" s="143" t="s">
        <v>479</v>
      </c>
      <c r="F2643" s="144" t="n">
        <v>200025888955</v>
      </c>
      <c r="G2643" s="144" t="s">
        <v>234</v>
      </c>
      <c r="H2643" s="144" t="n">
        <v>25</v>
      </c>
      <c r="I2643" s="144" t="s">
        <v>148</v>
      </c>
      <c r="J2643" s="6" t="n">
        <v>45074.8219791667</v>
      </c>
      <c r="K2643" s="1" t="n">
        <v>0</v>
      </c>
      <c r="L2643" s="144" t="n">
        <v>25</v>
      </c>
      <c r="M2643" s="1" t="n">
        <v>83</v>
      </c>
      <c r="N2643" s="1" t="n">
        <v>83</v>
      </c>
      <c r="O2643" s="149" t="n">
        <v>36</v>
      </c>
    </row>
    <row r="2644" customFormat="false" ht="14.25" hidden="false" customHeight="false" outlineLevel="0" collapsed="false">
      <c r="A2644" s="1" t="n">
        <v>251</v>
      </c>
      <c r="B2644" s="1" t="s">
        <v>478</v>
      </c>
      <c r="C2644" s="143" t="n">
        <v>21265</v>
      </c>
      <c r="D2644" s="143" t="s">
        <v>76</v>
      </c>
      <c r="E2644" s="143" t="s">
        <v>479</v>
      </c>
      <c r="F2644" s="144" t="n">
        <v>200025888955</v>
      </c>
      <c r="G2644" s="144" t="s">
        <v>234</v>
      </c>
      <c r="H2644" s="144" t="n">
        <v>25</v>
      </c>
      <c r="I2644" s="144" t="s">
        <v>148</v>
      </c>
      <c r="J2644" s="6" t="n">
        <v>45074.8223842593</v>
      </c>
      <c r="K2644" s="1" t="n">
        <v>1</v>
      </c>
      <c r="L2644" s="144" t="n">
        <v>25</v>
      </c>
      <c r="M2644" s="1" t="n">
        <v>83</v>
      </c>
      <c r="N2644" s="1" t="n">
        <v>83</v>
      </c>
      <c r="O2644" s="149" t="n">
        <v>37</v>
      </c>
    </row>
    <row r="2645" customFormat="false" ht="14.25" hidden="false" customHeight="false" outlineLevel="0" collapsed="false">
      <c r="A2645" s="1" t="n">
        <v>252</v>
      </c>
      <c r="B2645" s="1" t="s">
        <v>478</v>
      </c>
      <c r="C2645" s="143" t="n">
        <v>21265</v>
      </c>
      <c r="D2645" s="143" t="s">
        <v>76</v>
      </c>
      <c r="E2645" s="143" t="s">
        <v>479</v>
      </c>
      <c r="F2645" s="144" t="n">
        <v>200025888955</v>
      </c>
      <c r="G2645" s="144" t="s">
        <v>234</v>
      </c>
      <c r="H2645" s="144" t="n">
        <v>25</v>
      </c>
      <c r="I2645" s="144" t="s">
        <v>148</v>
      </c>
      <c r="J2645" s="6" t="n">
        <v>45074.8227083333</v>
      </c>
      <c r="K2645" s="1" t="n">
        <v>4</v>
      </c>
      <c r="L2645" s="144" t="n">
        <v>25</v>
      </c>
      <c r="M2645" s="1" t="n">
        <v>83</v>
      </c>
      <c r="N2645" s="1" t="n">
        <v>83</v>
      </c>
      <c r="O2645" s="149" t="n">
        <v>38</v>
      </c>
    </row>
    <row r="2646" customFormat="false" ht="14.25" hidden="false" customHeight="false" outlineLevel="0" collapsed="false">
      <c r="A2646" s="1" t="n">
        <v>253</v>
      </c>
      <c r="B2646" s="1" t="s">
        <v>478</v>
      </c>
      <c r="C2646" s="143" t="n">
        <v>21265</v>
      </c>
      <c r="D2646" s="143" t="s">
        <v>76</v>
      </c>
      <c r="E2646" s="143" t="s">
        <v>479</v>
      </c>
      <c r="F2646" s="144" t="n">
        <v>200025888955</v>
      </c>
      <c r="G2646" s="144" t="s">
        <v>234</v>
      </c>
      <c r="H2646" s="144" t="n">
        <v>25</v>
      </c>
      <c r="I2646" s="144" t="s">
        <v>148</v>
      </c>
      <c r="J2646" s="6" t="n">
        <v>45074.8534490741</v>
      </c>
      <c r="K2646" s="1" t="n">
        <v>2</v>
      </c>
      <c r="L2646" s="144" t="n">
        <v>25</v>
      </c>
      <c r="M2646" s="1" t="n">
        <v>83</v>
      </c>
      <c r="N2646" s="1" t="n">
        <v>83</v>
      </c>
      <c r="O2646" s="149" t="n">
        <v>39</v>
      </c>
    </row>
    <row r="2647" customFormat="false" ht="14.25" hidden="false" customHeight="false" outlineLevel="0" collapsed="false">
      <c r="A2647" s="1" t="n">
        <v>254</v>
      </c>
      <c r="B2647" s="1" t="s">
        <v>478</v>
      </c>
      <c r="C2647" s="143" t="n">
        <v>21265</v>
      </c>
      <c r="D2647" s="143" t="s">
        <v>76</v>
      </c>
      <c r="E2647" s="143" t="s">
        <v>479</v>
      </c>
      <c r="F2647" s="144" t="n">
        <v>200025888955</v>
      </c>
      <c r="G2647" s="144" t="s">
        <v>234</v>
      </c>
      <c r="H2647" s="144" t="n">
        <v>25</v>
      </c>
      <c r="I2647" s="144" t="s">
        <v>148</v>
      </c>
      <c r="J2647" s="6" t="n">
        <v>45074.8580902778</v>
      </c>
      <c r="K2647" s="1" t="n">
        <v>2</v>
      </c>
      <c r="L2647" s="144" t="n">
        <v>25</v>
      </c>
      <c r="M2647" s="1" t="n">
        <v>83</v>
      </c>
      <c r="N2647" s="1" t="n">
        <v>83</v>
      </c>
      <c r="O2647" s="149" t="n">
        <v>40</v>
      </c>
    </row>
    <row r="2648" customFormat="false" ht="14.25" hidden="false" customHeight="false" outlineLevel="0" collapsed="false">
      <c r="A2648" s="1" t="n">
        <v>198</v>
      </c>
      <c r="B2648" s="1" t="s">
        <v>490</v>
      </c>
      <c r="C2648" s="143" t="n">
        <v>11171</v>
      </c>
      <c r="D2648" s="143" t="s">
        <v>74</v>
      </c>
      <c r="E2648" s="143" t="s">
        <v>479</v>
      </c>
      <c r="F2648" s="144" t="n">
        <v>200025888955</v>
      </c>
      <c r="G2648" s="144" t="s">
        <v>234</v>
      </c>
      <c r="H2648" s="144" t="n">
        <v>25</v>
      </c>
      <c r="I2648" s="144" t="s">
        <v>148</v>
      </c>
      <c r="J2648" s="6" t="n">
        <v>45074.9017476852</v>
      </c>
      <c r="K2648" s="1" t="n">
        <v>3</v>
      </c>
      <c r="L2648" s="144" t="n">
        <v>25</v>
      </c>
      <c r="M2648" s="1" t="n">
        <v>83</v>
      </c>
      <c r="N2648" s="1" t="n">
        <v>83</v>
      </c>
      <c r="O2648" s="149" t="n">
        <v>41</v>
      </c>
    </row>
    <row r="2649" customFormat="false" ht="14.25" hidden="false" customHeight="false" outlineLevel="0" collapsed="false">
      <c r="A2649" s="1" t="n">
        <v>199</v>
      </c>
      <c r="B2649" s="1" t="s">
        <v>490</v>
      </c>
      <c r="C2649" s="143" t="n">
        <v>11171</v>
      </c>
      <c r="D2649" s="143" t="s">
        <v>74</v>
      </c>
      <c r="E2649" s="143" t="s">
        <v>479</v>
      </c>
      <c r="F2649" s="144" t="n">
        <v>200025888955</v>
      </c>
      <c r="G2649" s="144" t="s">
        <v>234</v>
      </c>
      <c r="H2649" s="144" t="n">
        <v>25</v>
      </c>
      <c r="I2649" s="144" t="s">
        <v>148</v>
      </c>
      <c r="J2649" s="6" t="n">
        <v>45074.9021180556</v>
      </c>
      <c r="K2649" s="1" t="n">
        <v>1</v>
      </c>
      <c r="L2649" s="144" t="n">
        <v>25</v>
      </c>
      <c r="M2649" s="1" t="n">
        <v>83</v>
      </c>
      <c r="N2649" s="1" t="n">
        <v>83</v>
      </c>
      <c r="O2649" s="149" t="n">
        <v>42</v>
      </c>
    </row>
    <row r="2650" customFormat="false" ht="14.25" hidden="false" customHeight="false" outlineLevel="0" collapsed="false">
      <c r="A2650" s="1" t="n">
        <v>200</v>
      </c>
      <c r="B2650" s="1" t="s">
        <v>490</v>
      </c>
      <c r="C2650" s="143" t="n">
        <v>11171</v>
      </c>
      <c r="D2650" s="143" t="s">
        <v>74</v>
      </c>
      <c r="E2650" s="143" t="s">
        <v>479</v>
      </c>
      <c r="F2650" s="144" t="n">
        <v>200025888955</v>
      </c>
      <c r="G2650" s="144" t="s">
        <v>234</v>
      </c>
      <c r="H2650" s="144" t="n">
        <v>25</v>
      </c>
      <c r="I2650" s="144" t="s">
        <v>148</v>
      </c>
      <c r="J2650" s="6" t="n">
        <v>45074.9022222222</v>
      </c>
      <c r="K2650" s="1" t="n">
        <v>2</v>
      </c>
      <c r="L2650" s="144" t="n">
        <v>25</v>
      </c>
      <c r="M2650" s="1" t="n">
        <v>83</v>
      </c>
      <c r="N2650" s="1" t="n">
        <v>83</v>
      </c>
      <c r="O2650" s="149" t="n">
        <v>43</v>
      </c>
    </row>
    <row r="2651" customFormat="false" ht="14.25" hidden="false" customHeight="false" outlineLevel="0" collapsed="false">
      <c r="A2651" s="1" t="n">
        <v>201</v>
      </c>
      <c r="B2651" s="1" t="s">
        <v>490</v>
      </c>
      <c r="C2651" s="143" t="n">
        <v>11171</v>
      </c>
      <c r="D2651" s="143" t="s">
        <v>74</v>
      </c>
      <c r="E2651" s="143" t="s">
        <v>479</v>
      </c>
      <c r="F2651" s="144" t="n">
        <v>200025888955</v>
      </c>
      <c r="G2651" s="144" t="s">
        <v>234</v>
      </c>
      <c r="H2651" s="144" t="n">
        <v>25</v>
      </c>
      <c r="I2651" s="144" t="s">
        <v>148</v>
      </c>
      <c r="J2651" s="6" t="n">
        <v>45074.9023726852</v>
      </c>
      <c r="K2651" s="1" t="n">
        <v>2</v>
      </c>
      <c r="L2651" s="144" t="n">
        <v>25</v>
      </c>
      <c r="M2651" s="1" t="n">
        <v>83</v>
      </c>
      <c r="N2651" s="1" t="n">
        <v>83</v>
      </c>
      <c r="O2651" s="149" t="n">
        <v>44</v>
      </c>
    </row>
    <row r="2652" customFormat="false" ht="14.25" hidden="false" customHeight="false" outlineLevel="0" collapsed="false">
      <c r="A2652" s="1" t="n">
        <v>202</v>
      </c>
      <c r="B2652" s="1" t="s">
        <v>490</v>
      </c>
      <c r="C2652" s="143" t="n">
        <v>11171</v>
      </c>
      <c r="D2652" s="143" t="s">
        <v>74</v>
      </c>
      <c r="E2652" s="143" t="s">
        <v>479</v>
      </c>
      <c r="F2652" s="144" t="n">
        <v>200025888955</v>
      </c>
      <c r="G2652" s="144" t="s">
        <v>234</v>
      </c>
      <c r="H2652" s="144" t="n">
        <v>25</v>
      </c>
      <c r="I2652" s="144" t="s">
        <v>148</v>
      </c>
      <c r="J2652" s="6" t="n">
        <v>45074.9025694444</v>
      </c>
      <c r="K2652" s="1" t="n">
        <v>3</v>
      </c>
      <c r="L2652" s="144" t="n">
        <v>25</v>
      </c>
      <c r="M2652" s="1" t="n">
        <v>83</v>
      </c>
      <c r="N2652" s="1" t="n">
        <v>83</v>
      </c>
      <c r="O2652" s="149" t="n">
        <v>45</v>
      </c>
    </row>
    <row r="2653" customFormat="false" ht="14.25" hidden="false" customHeight="false" outlineLevel="0" collapsed="false">
      <c r="A2653" s="1" t="n">
        <v>203</v>
      </c>
      <c r="B2653" s="1" t="s">
        <v>490</v>
      </c>
      <c r="C2653" s="143" t="n">
        <v>11171</v>
      </c>
      <c r="D2653" s="143" t="s">
        <v>74</v>
      </c>
      <c r="E2653" s="143" t="s">
        <v>479</v>
      </c>
      <c r="F2653" s="144" t="n">
        <v>200025888955</v>
      </c>
      <c r="G2653" s="144" t="s">
        <v>234</v>
      </c>
      <c r="H2653" s="144" t="n">
        <v>25</v>
      </c>
      <c r="I2653" s="144" t="s">
        <v>148</v>
      </c>
      <c r="J2653" s="6" t="n">
        <v>45074.9027314815</v>
      </c>
      <c r="K2653" s="1" t="n">
        <v>3</v>
      </c>
      <c r="L2653" s="144" t="n">
        <v>25</v>
      </c>
      <c r="M2653" s="1" t="n">
        <v>83</v>
      </c>
      <c r="N2653" s="1" t="n">
        <v>83</v>
      </c>
      <c r="O2653" s="149" t="n">
        <v>46</v>
      </c>
    </row>
    <row r="2654" customFormat="false" ht="14.25" hidden="false" customHeight="false" outlineLevel="0" collapsed="false">
      <c r="A2654" s="1" t="n">
        <v>204</v>
      </c>
      <c r="B2654" s="1" t="s">
        <v>490</v>
      </c>
      <c r="C2654" s="143" t="n">
        <v>11171</v>
      </c>
      <c r="D2654" s="143" t="s">
        <v>74</v>
      </c>
      <c r="E2654" s="143" t="s">
        <v>479</v>
      </c>
      <c r="F2654" s="144" t="n">
        <v>200025888955</v>
      </c>
      <c r="G2654" s="144" t="s">
        <v>234</v>
      </c>
      <c r="H2654" s="144" t="n">
        <v>25</v>
      </c>
      <c r="I2654" s="144" t="s">
        <v>148</v>
      </c>
      <c r="J2654" s="6" t="n">
        <v>45074.903599537</v>
      </c>
      <c r="K2654" s="1" t="n">
        <v>1</v>
      </c>
      <c r="L2654" s="144" t="n">
        <v>25</v>
      </c>
      <c r="M2654" s="1" t="n">
        <v>83</v>
      </c>
      <c r="N2654" s="1" t="n">
        <v>83</v>
      </c>
      <c r="O2654" s="149" t="n">
        <v>47</v>
      </c>
    </row>
    <row r="2655" customFormat="false" ht="14.25" hidden="false" customHeight="false" outlineLevel="0" collapsed="false">
      <c r="A2655" s="1" t="n">
        <v>205</v>
      </c>
      <c r="B2655" s="1" t="s">
        <v>490</v>
      </c>
      <c r="C2655" s="143" t="n">
        <v>11171</v>
      </c>
      <c r="D2655" s="143" t="s">
        <v>74</v>
      </c>
      <c r="E2655" s="143" t="s">
        <v>479</v>
      </c>
      <c r="F2655" s="144" t="n">
        <v>200025888955</v>
      </c>
      <c r="G2655" s="144" t="s">
        <v>234</v>
      </c>
      <c r="H2655" s="144" t="n">
        <v>25</v>
      </c>
      <c r="I2655" s="144" t="s">
        <v>148</v>
      </c>
      <c r="J2655" s="6" t="n">
        <v>45074.9036226852</v>
      </c>
      <c r="K2655" s="1" t="n">
        <v>5</v>
      </c>
      <c r="L2655" s="144" t="n">
        <v>25</v>
      </c>
      <c r="M2655" s="1" t="n">
        <v>83</v>
      </c>
      <c r="N2655" s="1" t="n">
        <v>83</v>
      </c>
      <c r="O2655" s="149" t="n">
        <v>48</v>
      </c>
    </row>
    <row r="2656" customFormat="false" ht="14.25" hidden="false" customHeight="false" outlineLevel="0" collapsed="false">
      <c r="A2656" s="1" t="n">
        <v>206</v>
      </c>
      <c r="B2656" s="1" t="s">
        <v>490</v>
      </c>
      <c r="C2656" s="143" t="n">
        <v>11171</v>
      </c>
      <c r="D2656" s="143" t="s">
        <v>74</v>
      </c>
      <c r="E2656" s="143" t="s">
        <v>479</v>
      </c>
      <c r="F2656" s="144" t="n">
        <v>200025888955</v>
      </c>
      <c r="G2656" s="144" t="s">
        <v>234</v>
      </c>
      <c r="H2656" s="144" t="n">
        <v>25</v>
      </c>
      <c r="I2656" s="144" t="s">
        <v>148</v>
      </c>
      <c r="J2656" s="6" t="n">
        <v>45074.9040740741</v>
      </c>
      <c r="K2656" s="1" t="n">
        <v>0</v>
      </c>
      <c r="L2656" s="144" t="n">
        <v>25</v>
      </c>
      <c r="M2656" s="1" t="n">
        <v>83</v>
      </c>
      <c r="N2656" s="1" t="n">
        <v>83</v>
      </c>
      <c r="O2656" s="149" t="n">
        <v>49</v>
      </c>
    </row>
    <row r="2657" customFormat="false" ht="14.25" hidden="false" customHeight="false" outlineLevel="0" collapsed="false">
      <c r="A2657" s="1" t="n">
        <v>207</v>
      </c>
      <c r="B2657" s="1" t="s">
        <v>490</v>
      </c>
      <c r="C2657" s="143" t="n">
        <v>11171</v>
      </c>
      <c r="D2657" s="143" t="s">
        <v>74</v>
      </c>
      <c r="E2657" s="143" t="s">
        <v>479</v>
      </c>
      <c r="F2657" s="144" t="n">
        <v>200025888955</v>
      </c>
      <c r="G2657" s="144" t="s">
        <v>234</v>
      </c>
      <c r="H2657" s="144" t="n">
        <v>25</v>
      </c>
      <c r="I2657" s="144" t="s">
        <v>148</v>
      </c>
      <c r="J2657" s="6" t="n">
        <v>45074.9041782407</v>
      </c>
      <c r="K2657" s="1" t="n">
        <v>3</v>
      </c>
      <c r="L2657" s="144" t="n">
        <v>25</v>
      </c>
      <c r="M2657" s="1" t="n">
        <v>83</v>
      </c>
      <c r="N2657" s="1" t="n">
        <v>83</v>
      </c>
      <c r="O2657" s="149" t="n">
        <v>50</v>
      </c>
    </row>
    <row r="2658" customFormat="false" ht="14.25" hidden="false" customHeight="false" outlineLevel="0" collapsed="false">
      <c r="A2658" s="1" t="n">
        <v>208</v>
      </c>
      <c r="B2658" s="1" t="s">
        <v>490</v>
      </c>
      <c r="C2658" s="143" t="n">
        <v>11171</v>
      </c>
      <c r="D2658" s="143" t="s">
        <v>74</v>
      </c>
      <c r="E2658" s="143" t="s">
        <v>479</v>
      </c>
      <c r="F2658" s="144" t="n">
        <v>200025888955</v>
      </c>
      <c r="G2658" s="144" t="s">
        <v>234</v>
      </c>
      <c r="H2658" s="144" t="n">
        <v>25</v>
      </c>
      <c r="I2658" s="144" t="s">
        <v>148</v>
      </c>
      <c r="J2658" s="6" t="n">
        <v>45074.9153935185</v>
      </c>
      <c r="K2658" s="1" t="n">
        <v>2</v>
      </c>
      <c r="L2658" s="144" t="n">
        <v>25</v>
      </c>
      <c r="M2658" s="1" t="n">
        <v>83</v>
      </c>
      <c r="N2658" s="1" t="n">
        <v>83</v>
      </c>
      <c r="O2658" s="149" t="n">
        <v>51</v>
      </c>
    </row>
    <row r="2659" customFormat="false" ht="14.25" hidden="false" customHeight="false" outlineLevel="0" collapsed="false">
      <c r="A2659" s="1" t="n">
        <v>209</v>
      </c>
      <c r="B2659" s="1" t="s">
        <v>490</v>
      </c>
      <c r="C2659" s="143" t="n">
        <v>11171</v>
      </c>
      <c r="D2659" s="143" t="s">
        <v>74</v>
      </c>
      <c r="E2659" s="143" t="s">
        <v>479</v>
      </c>
      <c r="F2659" s="144" t="n">
        <v>200025888955</v>
      </c>
      <c r="G2659" s="144" t="s">
        <v>234</v>
      </c>
      <c r="H2659" s="144" t="n">
        <v>25</v>
      </c>
      <c r="I2659" s="144" t="s">
        <v>148</v>
      </c>
      <c r="J2659" s="6" t="n">
        <v>45074.9161689815</v>
      </c>
      <c r="K2659" s="1" t="n">
        <v>1</v>
      </c>
      <c r="L2659" s="144" t="n">
        <v>25</v>
      </c>
      <c r="M2659" s="1" t="n">
        <v>83</v>
      </c>
      <c r="N2659" s="1" t="n">
        <v>83</v>
      </c>
      <c r="O2659" s="149" t="n">
        <v>52</v>
      </c>
    </row>
    <row r="2660" customFormat="false" ht="14.25" hidden="false" customHeight="false" outlineLevel="0" collapsed="false">
      <c r="A2660" s="1" t="n">
        <v>210</v>
      </c>
      <c r="B2660" s="1" t="s">
        <v>490</v>
      </c>
      <c r="C2660" s="143" t="n">
        <v>11171</v>
      </c>
      <c r="D2660" s="143" t="s">
        <v>74</v>
      </c>
      <c r="E2660" s="143" t="s">
        <v>479</v>
      </c>
      <c r="F2660" s="144" t="n">
        <v>200025888955</v>
      </c>
      <c r="G2660" s="144" t="s">
        <v>234</v>
      </c>
      <c r="H2660" s="144" t="n">
        <v>25</v>
      </c>
      <c r="I2660" s="144" t="s">
        <v>148</v>
      </c>
      <c r="J2660" s="6" t="n">
        <v>45074.9163888889</v>
      </c>
      <c r="K2660" s="1" t="n">
        <v>2</v>
      </c>
      <c r="L2660" s="144" t="n">
        <v>25</v>
      </c>
      <c r="M2660" s="1" t="n">
        <v>83</v>
      </c>
      <c r="N2660" s="1" t="n">
        <v>83</v>
      </c>
      <c r="O2660" s="149" t="n">
        <v>53</v>
      </c>
    </row>
    <row r="2661" customFormat="false" ht="14.25" hidden="false" customHeight="false" outlineLevel="0" collapsed="false">
      <c r="A2661" s="1" t="n">
        <v>273</v>
      </c>
      <c r="B2661" s="1" t="s">
        <v>478</v>
      </c>
      <c r="C2661" s="143" t="n">
        <v>21265</v>
      </c>
      <c r="D2661" s="143" t="s">
        <v>76</v>
      </c>
      <c r="E2661" s="143" t="s">
        <v>479</v>
      </c>
      <c r="F2661" s="144" t="n">
        <v>200025888955</v>
      </c>
      <c r="G2661" s="144" t="s">
        <v>234</v>
      </c>
      <c r="H2661" s="144" t="n">
        <v>25</v>
      </c>
      <c r="I2661" s="144" t="s">
        <v>148</v>
      </c>
      <c r="J2661" s="6" t="n">
        <v>45074.9377893519</v>
      </c>
      <c r="K2661" s="1" t="n">
        <v>1</v>
      </c>
      <c r="L2661" s="144" t="n">
        <v>25</v>
      </c>
      <c r="M2661" s="1" t="n">
        <v>83</v>
      </c>
      <c r="N2661" s="1" t="n">
        <v>83</v>
      </c>
      <c r="O2661" s="149" t="n">
        <v>54</v>
      </c>
    </row>
    <row r="2662" customFormat="false" ht="14.25" hidden="false" customHeight="false" outlineLevel="0" collapsed="false">
      <c r="A2662" s="1" t="n">
        <v>276</v>
      </c>
      <c r="B2662" s="1" t="s">
        <v>478</v>
      </c>
      <c r="C2662" s="143" t="n">
        <v>21265</v>
      </c>
      <c r="D2662" s="143" t="s">
        <v>76</v>
      </c>
      <c r="E2662" s="143" t="s">
        <v>479</v>
      </c>
      <c r="F2662" s="144" t="n">
        <v>200025888955</v>
      </c>
      <c r="G2662" s="144" t="s">
        <v>234</v>
      </c>
      <c r="H2662" s="144" t="n">
        <v>25</v>
      </c>
      <c r="I2662" s="144" t="s">
        <v>148</v>
      </c>
      <c r="J2662" s="6" t="n">
        <v>45075.0434490741</v>
      </c>
      <c r="K2662" s="1" t="n">
        <v>2</v>
      </c>
      <c r="L2662" s="144" t="n">
        <v>25</v>
      </c>
      <c r="M2662" s="1" t="n">
        <v>83</v>
      </c>
      <c r="N2662" s="1" t="n">
        <v>83</v>
      </c>
      <c r="O2662" s="149" t="n">
        <v>55</v>
      </c>
    </row>
    <row r="2663" customFormat="false" ht="14.25" hidden="false" customHeight="false" outlineLevel="0" collapsed="false">
      <c r="A2663" s="1" t="n">
        <v>277</v>
      </c>
      <c r="B2663" s="1" t="s">
        <v>478</v>
      </c>
      <c r="C2663" s="143" t="n">
        <v>21265</v>
      </c>
      <c r="D2663" s="143" t="s">
        <v>76</v>
      </c>
      <c r="E2663" s="143" t="s">
        <v>479</v>
      </c>
      <c r="F2663" s="144" t="n">
        <v>200025888955</v>
      </c>
      <c r="G2663" s="144" t="s">
        <v>234</v>
      </c>
      <c r="H2663" s="144" t="n">
        <v>25</v>
      </c>
      <c r="I2663" s="144" t="s">
        <v>148</v>
      </c>
      <c r="J2663" s="6" t="n">
        <v>45075.0444675926</v>
      </c>
      <c r="K2663" s="1" t="n">
        <v>0</v>
      </c>
      <c r="L2663" s="144" t="n">
        <v>25</v>
      </c>
      <c r="M2663" s="1" t="n">
        <v>83</v>
      </c>
      <c r="N2663" s="1" t="n">
        <v>83</v>
      </c>
      <c r="O2663" s="149" t="n">
        <v>56</v>
      </c>
    </row>
    <row r="2664" customFormat="false" ht="14.25" hidden="false" customHeight="false" outlineLevel="0" collapsed="false">
      <c r="A2664" s="1" t="n">
        <v>251</v>
      </c>
      <c r="B2664" s="1" t="s">
        <v>490</v>
      </c>
      <c r="C2664" s="143" t="n">
        <v>11171</v>
      </c>
      <c r="D2664" s="143" t="s">
        <v>74</v>
      </c>
      <c r="E2664" s="143" t="s">
        <v>479</v>
      </c>
      <c r="F2664" s="144" t="n">
        <v>200025888955</v>
      </c>
      <c r="G2664" s="144" t="s">
        <v>234</v>
      </c>
      <c r="H2664" s="144" t="n">
        <v>25</v>
      </c>
      <c r="I2664" s="144" t="s">
        <v>148</v>
      </c>
      <c r="J2664" s="6" t="n">
        <v>45075.141087963</v>
      </c>
      <c r="K2664" s="1" t="n">
        <v>1</v>
      </c>
      <c r="L2664" s="144" t="n">
        <v>25</v>
      </c>
      <c r="M2664" s="1" t="n">
        <v>83</v>
      </c>
      <c r="N2664" s="1" t="n">
        <v>83</v>
      </c>
      <c r="O2664" s="149" t="n">
        <v>57</v>
      </c>
    </row>
    <row r="2665" customFormat="false" ht="14.25" hidden="false" customHeight="false" outlineLevel="0" collapsed="false">
      <c r="A2665" s="1" t="n">
        <v>252</v>
      </c>
      <c r="B2665" s="1" t="s">
        <v>490</v>
      </c>
      <c r="C2665" s="143" t="n">
        <v>11171</v>
      </c>
      <c r="D2665" s="143" t="s">
        <v>74</v>
      </c>
      <c r="E2665" s="143" t="s">
        <v>479</v>
      </c>
      <c r="F2665" s="144" t="n">
        <v>200025888955</v>
      </c>
      <c r="G2665" s="144" t="s">
        <v>234</v>
      </c>
      <c r="H2665" s="144" t="n">
        <v>25</v>
      </c>
      <c r="I2665" s="144" t="s">
        <v>148</v>
      </c>
      <c r="J2665" s="6" t="n">
        <v>45075.1425925926</v>
      </c>
      <c r="K2665" s="1" t="n">
        <v>2</v>
      </c>
      <c r="L2665" s="144" t="n">
        <v>25</v>
      </c>
      <c r="M2665" s="1" t="n">
        <v>83</v>
      </c>
      <c r="N2665" s="1" t="n">
        <v>83</v>
      </c>
      <c r="O2665" s="149" t="n">
        <v>58</v>
      </c>
    </row>
    <row r="2666" customFormat="false" ht="14.25" hidden="false" customHeight="false" outlineLevel="0" collapsed="false">
      <c r="A2666" s="1" t="n">
        <v>260</v>
      </c>
      <c r="B2666" s="1" t="s">
        <v>490</v>
      </c>
      <c r="C2666" s="143" t="n">
        <v>11171</v>
      </c>
      <c r="D2666" s="143" t="s">
        <v>74</v>
      </c>
      <c r="E2666" s="143" t="s">
        <v>479</v>
      </c>
      <c r="F2666" s="144" t="n">
        <v>200025888955</v>
      </c>
      <c r="G2666" s="144" t="s">
        <v>234</v>
      </c>
      <c r="H2666" s="144" t="n">
        <v>25</v>
      </c>
      <c r="I2666" s="144" t="s">
        <v>148</v>
      </c>
      <c r="J2666" s="6" t="n">
        <v>45075.2089814815</v>
      </c>
      <c r="K2666" s="1" t="n">
        <v>0</v>
      </c>
      <c r="L2666" s="144" t="n">
        <v>25</v>
      </c>
      <c r="M2666" s="1" t="n">
        <v>83</v>
      </c>
      <c r="N2666" s="1" t="n">
        <v>83</v>
      </c>
      <c r="O2666" s="149" t="n">
        <v>59</v>
      </c>
    </row>
    <row r="2667" customFormat="false" ht="14.25" hidden="false" customHeight="false" outlineLevel="0" collapsed="false">
      <c r="A2667" s="1" t="n">
        <v>261</v>
      </c>
      <c r="B2667" s="1" t="s">
        <v>490</v>
      </c>
      <c r="C2667" s="143" t="n">
        <v>11171</v>
      </c>
      <c r="D2667" s="143" t="s">
        <v>74</v>
      </c>
      <c r="E2667" s="143" t="s">
        <v>479</v>
      </c>
      <c r="F2667" s="144" t="n">
        <v>200025888955</v>
      </c>
      <c r="G2667" s="144" t="s">
        <v>234</v>
      </c>
      <c r="H2667" s="144" t="n">
        <v>25</v>
      </c>
      <c r="I2667" s="144" t="s">
        <v>148</v>
      </c>
      <c r="J2667" s="6" t="n">
        <v>45075.2093287037</v>
      </c>
      <c r="K2667" s="1" t="n">
        <v>0</v>
      </c>
      <c r="L2667" s="144" t="n">
        <v>25</v>
      </c>
      <c r="M2667" s="1" t="n">
        <v>83</v>
      </c>
      <c r="N2667" s="1" t="n">
        <v>83</v>
      </c>
      <c r="O2667" s="149" t="n">
        <v>60</v>
      </c>
    </row>
    <row r="2668" customFormat="false" ht="14.25" hidden="false" customHeight="false" outlineLevel="0" collapsed="false">
      <c r="A2668" s="1" t="n">
        <v>262</v>
      </c>
      <c r="B2668" s="1" t="s">
        <v>490</v>
      </c>
      <c r="C2668" s="143" t="n">
        <v>11171</v>
      </c>
      <c r="D2668" s="143" t="s">
        <v>74</v>
      </c>
      <c r="E2668" s="143" t="s">
        <v>479</v>
      </c>
      <c r="F2668" s="144" t="n">
        <v>200025888955</v>
      </c>
      <c r="G2668" s="144" t="s">
        <v>234</v>
      </c>
      <c r="H2668" s="144" t="n">
        <v>25</v>
      </c>
      <c r="I2668" s="144" t="s">
        <v>148</v>
      </c>
      <c r="J2668" s="6" t="n">
        <v>45075.2094791667</v>
      </c>
      <c r="K2668" s="1" t="n">
        <v>1</v>
      </c>
      <c r="L2668" s="144" t="n">
        <v>25</v>
      </c>
      <c r="M2668" s="1" t="n">
        <v>83</v>
      </c>
      <c r="N2668" s="1" t="n">
        <v>83</v>
      </c>
      <c r="O2668" s="149" t="n">
        <v>61</v>
      </c>
    </row>
    <row r="2669" customFormat="false" ht="14.25" hidden="false" customHeight="false" outlineLevel="0" collapsed="false">
      <c r="A2669" s="1" t="n">
        <v>263</v>
      </c>
      <c r="B2669" s="1" t="s">
        <v>490</v>
      </c>
      <c r="C2669" s="143" t="n">
        <v>11171</v>
      </c>
      <c r="D2669" s="143" t="s">
        <v>74</v>
      </c>
      <c r="E2669" s="143" t="s">
        <v>479</v>
      </c>
      <c r="F2669" s="144" t="n">
        <v>200025888955</v>
      </c>
      <c r="G2669" s="144" t="s">
        <v>234</v>
      </c>
      <c r="H2669" s="144" t="n">
        <v>25</v>
      </c>
      <c r="I2669" s="144" t="s">
        <v>148</v>
      </c>
      <c r="J2669" s="6" t="n">
        <v>45075.2096990741</v>
      </c>
      <c r="K2669" s="1" t="n">
        <v>1</v>
      </c>
      <c r="L2669" s="144" t="n">
        <v>25</v>
      </c>
      <c r="M2669" s="1" t="n">
        <v>83</v>
      </c>
      <c r="N2669" s="1" t="n">
        <v>83</v>
      </c>
      <c r="O2669" s="149" t="n">
        <v>62</v>
      </c>
    </row>
    <row r="2670" customFormat="false" ht="14.25" hidden="false" customHeight="false" outlineLevel="0" collapsed="false">
      <c r="A2670" s="1" t="n">
        <v>264</v>
      </c>
      <c r="B2670" s="1" t="s">
        <v>490</v>
      </c>
      <c r="C2670" s="143" t="n">
        <v>11171</v>
      </c>
      <c r="D2670" s="143" t="s">
        <v>74</v>
      </c>
      <c r="E2670" s="143" t="s">
        <v>479</v>
      </c>
      <c r="F2670" s="144" t="n">
        <v>200025888955</v>
      </c>
      <c r="G2670" s="144" t="s">
        <v>234</v>
      </c>
      <c r="H2670" s="144" t="n">
        <v>25</v>
      </c>
      <c r="I2670" s="144" t="s">
        <v>148</v>
      </c>
      <c r="J2670" s="6" t="n">
        <v>45075.2102662037</v>
      </c>
      <c r="K2670" s="1" t="n">
        <v>1</v>
      </c>
      <c r="L2670" s="144" t="n">
        <v>25</v>
      </c>
      <c r="M2670" s="1" t="n">
        <v>83</v>
      </c>
      <c r="N2670" s="1" t="n">
        <v>83</v>
      </c>
      <c r="O2670" s="149" t="n">
        <v>63</v>
      </c>
    </row>
    <row r="2671" customFormat="false" ht="14.25" hidden="false" customHeight="false" outlineLevel="0" collapsed="false">
      <c r="A2671" s="1" t="n">
        <v>265</v>
      </c>
      <c r="B2671" s="1" t="s">
        <v>490</v>
      </c>
      <c r="C2671" s="143" t="n">
        <v>11171</v>
      </c>
      <c r="D2671" s="143" t="s">
        <v>74</v>
      </c>
      <c r="E2671" s="143" t="s">
        <v>479</v>
      </c>
      <c r="F2671" s="144" t="n">
        <v>200025888955</v>
      </c>
      <c r="G2671" s="144" t="s">
        <v>234</v>
      </c>
      <c r="H2671" s="144" t="n">
        <v>25</v>
      </c>
      <c r="I2671" s="144" t="s">
        <v>148</v>
      </c>
      <c r="J2671" s="6" t="n">
        <v>45075.2102893519</v>
      </c>
      <c r="K2671" s="1" t="n">
        <v>2</v>
      </c>
      <c r="L2671" s="144" t="n">
        <v>25</v>
      </c>
      <c r="M2671" s="1" t="n">
        <v>83</v>
      </c>
      <c r="N2671" s="1" t="n">
        <v>83</v>
      </c>
      <c r="O2671" s="149" t="n">
        <v>64</v>
      </c>
    </row>
    <row r="2672" customFormat="false" ht="14.25" hidden="false" customHeight="false" outlineLevel="0" collapsed="false">
      <c r="A2672" s="1" t="n">
        <v>266</v>
      </c>
      <c r="B2672" s="1" t="s">
        <v>490</v>
      </c>
      <c r="C2672" s="143" t="n">
        <v>11171</v>
      </c>
      <c r="D2672" s="143" t="s">
        <v>74</v>
      </c>
      <c r="E2672" s="143" t="s">
        <v>479</v>
      </c>
      <c r="F2672" s="144" t="n">
        <v>200025888955</v>
      </c>
      <c r="G2672" s="144" t="s">
        <v>234</v>
      </c>
      <c r="H2672" s="144" t="n">
        <v>25</v>
      </c>
      <c r="I2672" s="144" t="s">
        <v>148</v>
      </c>
      <c r="J2672" s="6" t="n">
        <v>45075.2105439815</v>
      </c>
      <c r="K2672" s="1" t="n">
        <v>0</v>
      </c>
      <c r="L2672" s="144" t="n">
        <v>25</v>
      </c>
      <c r="M2672" s="1" t="n">
        <v>83</v>
      </c>
      <c r="N2672" s="1" t="n">
        <v>83</v>
      </c>
      <c r="O2672" s="149" t="n">
        <v>65</v>
      </c>
    </row>
    <row r="2673" customFormat="false" ht="14.25" hidden="false" customHeight="false" outlineLevel="0" collapsed="false">
      <c r="A2673" s="1" t="n">
        <v>163</v>
      </c>
      <c r="B2673" s="1" t="s">
        <v>476</v>
      </c>
      <c r="C2673" s="143" t="n">
        <v>91601</v>
      </c>
      <c r="D2673" s="143" t="s">
        <v>65</v>
      </c>
      <c r="E2673" s="143" t="s">
        <v>474</v>
      </c>
      <c r="F2673" s="144" t="n">
        <v>200025889101</v>
      </c>
      <c r="G2673" s="144" t="s">
        <v>440</v>
      </c>
      <c r="H2673" s="144" t="n">
        <v>91</v>
      </c>
      <c r="I2673" s="144" t="s">
        <v>152</v>
      </c>
      <c r="J2673" s="6" t="n">
        <v>45074.0339351852</v>
      </c>
      <c r="K2673" s="1" t="n">
        <v>2</v>
      </c>
      <c r="L2673" s="144" t="n">
        <v>91</v>
      </c>
      <c r="M2673" s="1" t="n">
        <v>84</v>
      </c>
      <c r="N2673" s="1" t="n">
        <v>84</v>
      </c>
      <c r="O2673" s="149" t="n">
        <v>1</v>
      </c>
    </row>
    <row r="2674" customFormat="false" ht="14.25" hidden="false" customHeight="false" outlineLevel="0" collapsed="false">
      <c r="A2674" s="1" t="n">
        <v>164</v>
      </c>
      <c r="B2674" s="1" t="s">
        <v>476</v>
      </c>
      <c r="C2674" s="143" t="n">
        <v>91601</v>
      </c>
      <c r="D2674" s="143" t="s">
        <v>65</v>
      </c>
      <c r="E2674" s="143" t="s">
        <v>474</v>
      </c>
      <c r="F2674" s="144" t="n">
        <v>200025889101</v>
      </c>
      <c r="G2674" s="144" t="s">
        <v>440</v>
      </c>
      <c r="H2674" s="144" t="n">
        <v>91</v>
      </c>
      <c r="I2674" s="144" t="s">
        <v>152</v>
      </c>
      <c r="J2674" s="6" t="n">
        <v>45074.043599537</v>
      </c>
      <c r="K2674" s="1" t="n">
        <v>1</v>
      </c>
      <c r="L2674" s="144" t="n">
        <v>91</v>
      </c>
      <c r="M2674" s="1" t="n">
        <v>84</v>
      </c>
      <c r="N2674" s="1" t="n">
        <v>84</v>
      </c>
      <c r="O2674" s="149" t="n">
        <v>2</v>
      </c>
    </row>
    <row r="2675" customFormat="false" ht="14.25" hidden="false" customHeight="false" outlineLevel="0" collapsed="false">
      <c r="A2675" s="1" t="n">
        <v>165</v>
      </c>
      <c r="B2675" s="1" t="s">
        <v>476</v>
      </c>
      <c r="C2675" s="143" t="n">
        <v>91601</v>
      </c>
      <c r="D2675" s="143" t="s">
        <v>65</v>
      </c>
      <c r="E2675" s="143" t="s">
        <v>474</v>
      </c>
      <c r="F2675" s="144" t="n">
        <v>200025889101</v>
      </c>
      <c r="G2675" s="144" t="s">
        <v>440</v>
      </c>
      <c r="H2675" s="144" t="n">
        <v>91</v>
      </c>
      <c r="I2675" s="144" t="s">
        <v>152</v>
      </c>
      <c r="J2675" s="6" t="n">
        <v>45074.0702083333</v>
      </c>
      <c r="K2675" s="1" t="n">
        <v>2</v>
      </c>
      <c r="L2675" s="144" t="n">
        <v>91</v>
      </c>
      <c r="M2675" s="1" t="n">
        <v>84</v>
      </c>
      <c r="N2675" s="1" t="n">
        <v>84</v>
      </c>
      <c r="O2675" s="149" t="n">
        <v>3</v>
      </c>
    </row>
    <row r="2676" customFormat="false" ht="14.25" hidden="false" customHeight="false" outlineLevel="0" collapsed="false">
      <c r="A2676" s="1" t="n">
        <v>166</v>
      </c>
      <c r="B2676" s="1" t="s">
        <v>476</v>
      </c>
      <c r="C2676" s="143" t="n">
        <v>91601</v>
      </c>
      <c r="D2676" s="143" t="s">
        <v>65</v>
      </c>
      <c r="E2676" s="143" t="s">
        <v>474</v>
      </c>
      <c r="F2676" s="144" t="n">
        <v>200025889101</v>
      </c>
      <c r="G2676" s="144" t="s">
        <v>440</v>
      </c>
      <c r="H2676" s="144" t="n">
        <v>91</v>
      </c>
      <c r="I2676" s="144" t="s">
        <v>152</v>
      </c>
      <c r="J2676" s="6" t="n">
        <v>45074.0704513889</v>
      </c>
      <c r="K2676" s="1" t="n">
        <v>1</v>
      </c>
      <c r="L2676" s="144" t="n">
        <v>91</v>
      </c>
      <c r="M2676" s="1" t="n">
        <v>84</v>
      </c>
      <c r="N2676" s="1" t="n">
        <v>84</v>
      </c>
      <c r="O2676" s="149" t="n">
        <v>4</v>
      </c>
    </row>
    <row r="2677" customFormat="false" ht="14.25" hidden="false" customHeight="false" outlineLevel="0" collapsed="false">
      <c r="A2677" s="1" t="n">
        <v>168</v>
      </c>
      <c r="B2677" s="1" t="s">
        <v>476</v>
      </c>
      <c r="C2677" s="143" t="n">
        <v>91601</v>
      </c>
      <c r="D2677" s="143" t="s">
        <v>65</v>
      </c>
      <c r="E2677" s="143" t="s">
        <v>474</v>
      </c>
      <c r="F2677" s="144" t="n">
        <v>200025889101</v>
      </c>
      <c r="G2677" s="144" t="s">
        <v>440</v>
      </c>
      <c r="H2677" s="144" t="n">
        <v>91</v>
      </c>
      <c r="I2677" s="144" t="s">
        <v>152</v>
      </c>
      <c r="J2677" s="6" t="n">
        <v>45074.2344212963</v>
      </c>
      <c r="K2677" s="1" t="n">
        <v>0</v>
      </c>
      <c r="L2677" s="144" t="n">
        <v>91</v>
      </c>
      <c r="M2677" s="1" t="n">
        <v>84</v>
      </c>
      <c r="N2677" s="1" t="n">
        <v>84</v>
      </c>
      <c r="O2677" s="149" t="n">
        <v>5</v>
      </c>
    </row>
    <row r="2678" customFormat="false" ht="14.25" hidden="false" customHeight="false" outlineLevel="0" collapsed="false">
      <c r="A2678" s="1" t="n">
        <v>169</v>
      </c>
      <c r="B2678" s="1" t="s">
        <v>476</v>
      </c>
      <c r="C2678" s="143" t="n">
        <v>91601</v>
      </c>
      <c r="D2678" s="143" t="s">
        <v>65</v>
      </c>
      <c r="E2678" s="143" t="s">
        <v>474</v>
      </c>
      <c r="F2678" s="144" t="n">
        <v>200025889101</v>
      </c>
      <c r="G2678" s="144" t="s">
        <v>440</v>
      </c>
      <c r="H2678" s="144" t="n">
        <v>91</v>
      </c>
      <c r="I2678" s="144" t="s">
        <v>152</v>
      </c>
      <c r="J2678" s="6" t="n">
        <v>45074.3272685185</v>
      </c>
      <c r="K2678" s="1" t="n">
        <v>1</v>
      </c>
      <c r="L2678" s="144" t="n">
        <v>91</v>
      </c>
      <c r="M2678" s="1" t="n">
        <v>84</v>
      </c>
      <c r="N2678" s="1" t="n">
        <v>84</v>
      </c>
      <c r="O2678" s="149" t="n">
        <v>6</v>
      </c>
    </row>
    <row r="2679" customFormat="false" ht="14.25" hidden="false" customHeight="false" outlineLevel="0" collapsed="false">
      <c r="A2679" s="1" t="n">
        <v>186</v>
      </c>
      <c r="B2679" s="1" t="s">
        <v>476</v>
      </c>
      <c r="C2679" s="143" t="n">
        <v>91601</v>
      </c>
      <c r="D2679" s="143" t="s">
        <v>65</v>
      </c>
      <c r="E2679" s="143" t="s">
        <v>474</v>
      </c>
      <c r="F2679" s="144" t="n">
        <v>200025888571</v>
      </c>
      <c r="G2679" s="157" t="s">
        <v>327</v>
      </c>
      <c r="H2679" s="157" t="n">
        <v>63</v>
      </c>
      <c r="I2679" s="144" t="s">
        <v>152</v>
      </c>
      <c r="J2679" s="6" t="n">
        <v>45075.5937615741</v>
      </c>
      <c r="K2679" s="1" t="n">
        <v>2</v>
      </c>
      <c r="L2679" s="157" t="n">
        <v>63</v>
      </c>
      <c r="M2679" s="1" t="n">
        <v>85</v>
      </c>
      <c r="N2679" s="1" t="n">
        <v>85</v>
      </c>
      <c r="O2679" s="149" t="n">
        <v>1</v>
      </c>
    </row>
    <row r="2680" customFormat="false" ht="14.25" hidden="false" customHeight="false" outlineLevel="0" collapsed="false">
      <c r="A2680" s="1" t="n">
        <v>12</v>
      </c>
      <c r="B2680" s="1" t="s">
        <v>475</v>
      </c>
      <c r="C2680" s="143" t="n">
        <v>21265</v>
      </c>
      <c r="D2680" s="143" t="s">
        <v>76</v>
      </c>
      <c r="E2680" s="143" t="s">
        <v>479</v>
      </c>
      <c r="F2680" s="144" t="n">
        <v>200025888231</v>
      </c>
      <c r="G2680" s="144" t="s">
        <v>197</v>
      </c>
      <c r="H2680" s="144" t="n">
        <v>79</v>
      </c>
      <c r="I2680" s="144" t="s">
        <v>148</v>
      </c>
      <c r="J2680" s="151" t="n">
        <v>45077.4278240741</v>
      </c>
      <c r="K2680" s="1" t="n">
        <v>1</v>
      </c>
      <c r="L2680" s="144" t="n">
        <v>79</v>
      </c>
      <c r="M2680" s="1" t="n">
        <v>86</v>
      </c>
      <c r="N2680" s="1" t="n">
        <v>86</v>
      </c>
      <c r="O2680" s="149" t="n">
        <v>1</v>
      </c>
    </row>
    <row r="2681" customFormat="false" ht="14.25" hidden="false" customHeight="false" outlineLevel="0" collapsed="false">
      <c r="A2681" s="1" t="n">
        <v>15</v>
      </c>
      <c r="B2681" s="1" t="s">
        <v>475</v>
      </c>
      <c r="C2681" s="143" t="n">
        <v>21265</v>
      </c>
      <c r="D2681" s="143" t="s">
        <v>76</v>
      </c>
      <c r="E2681" s="143" t="s">
        <v>479</v>
      </c>
      <c r="F2681" s="144" t="n">
        <v>200025888231</v>
      </c>
      <c r="G2681" s="144" t="s">
        <v>197</v>
      </c>
      <c r="H2681" s="144" t="n">
        <v>79</v>
      </c>
      <c r="I2681" s="144" t="s">
        <v>148</v>
      </c>
      <c r="J2681" s="151" t="n">
        <v>45077.4307986111</v>
      </c>
      <c r="K2681" s="1" t="n">
        <v>0</v>
      </c>
      <c r="L2681" s="144" t="n">
        <v>79</v>
      </c>
      <c r="M2681" s="1" t="n">
        <v>86</v>
      </c>
      <c r="N2681" s="1" t="n">
        <v>86</v>
      </c>
      <c r="O2681" s="149" t="n">
        <v>2</v>
      </c>
    </row>
    <row r="2682" customFormat="false" ht="14.25" hidden="false" customHeight="false" outlineLevel="0" collapsed="false">
      <c r="A2682" s="1" t="n">
        <v>16</v>
      </c>
      <c r="B2682" s="1" t="s">
        <v>475</v>
      </c>
      <c r="C2682" s="143" t="n">
        <v>21265</v>
      </c>
      <c r="D2682" s="143" t="s">
        <v>76</v>
      </c>
      <c r="E2682" s="143" t="s">
        <v>479</v>
      </c>
      <c r="F2682" s="144" t="n">
        <v>200025888231</v>
      </c>
      <c r="G2682" s="144" t="s">
        <v>197</v>
      </c>
      <c r="H2682" s="144" t="n">
        <v>79</v>
      </c>
      <c r="I2682" s="144" t="s">
        <v>148</v>
      </c>
      <c r="J2682" s="151" t="n">
        <v>45077.4308333333</v>
      </c>
      <c r="K2682" s="1" t="n">
        <v>2</v>
      </c>
      <c r="L2682" s="144" t="n">
        <v>79</v>
      </c>
      <c r="M2682" s="1" t="n">
        <v>86</v>
      </c>
      <c r="N2682" s="1" t="n">
        <v>86</v>
      </c>
      <c r="O2682" s="149" t="n">
        <v>3</v>
      </c>
    </row>
    <row r="2683" customFormat="false" ht="14.25" hidden="false" customHeight="false" outlineLevel="0" collapsed="false">
      <c r="A2683" s="1" t="n">
        <v>13</v>
      </c>
      <c r="B2683" s="1" t="s">
        <v>475</v>
      </c>
      <c r="C2683" s="143" t="n">
        <v>21265</v>
      </c>
      <c r="D2683" s="143" t="s">
        <v>76</v>
      </c>
      <c r="E2683" s="143" t="s">
        <v>479</v>
      </c>
      <c r="F2683" s="144" t="n">
        <v>200025888910</v>
      </c>
      <c r="G2683" s="144" t="s">
        <v>270</v>
      </c>
      <c r="H2683" s="144" t="n">
        <v>32</v>
      </c>
      <c r="I2683" s="144" t="s">
        <v>148</v>
      </c>
      <c r="J2683" s="6" t="n">
        <v>45077.4283217593</v>
      </c>
      <c r="K2683" s="1" t="n">
        <v>2</v>
      </c>
      <c r="L2683" s="144" t="n">
        <v>32</v>
      </c>
      <c r="M2683" s="1" t="n">
        <v>87</v>
      </c>
      <c r="N2683" s="1" t="n">
        <v>87</v>
      </c>
      <c r="O2683" s="149" t="n">
        <v>1</v>
      </c>
    </row>
    <row r="2684" customFormat="false" ht="14.25" hidden="false" customHeight="false" outlineLevel="0" collapsed="false">
      <c r="A2684" s="1" t="n">
        <v>8</v>
      </c>
      <c r="B2684" s="1" t="s">
        <v>475</v>
      </c>
      <c r="C2684" s="143" t="s">
        <v>52</v>
      </c>
      <c r="D2684" s="143" t="s">
        <v>53</v>
      </c>
      <c r="E2684" s="143" t="s">
        <v>479</v>
      </c>
      <c r="F2684" s="144" t="n">
        <v>200025888910</v>
      </c>
      <c r="G2684" s="144" t="s">
        <v>270</v>
      </c>
      <c r="H2684" s="144" t="n">
        <v>32</v>
      </c>
      <c r="I2684" s="144" t="s">
        <v>148</v>
      </c>
      <c r="J2684" s="6" t="n">
        <v>45089.3995138889</v>
      </c>
      <c r="K2684" s="1" t="n">
        <v>3</v>
      </c>
      <c r="L2684" s="144" t="n">
        <v>32</v>
      </c>
      <c r="M2684" s="1" t="n">
        <v>87</v>
      </c>
      <c r="N2684" s="1" t="n">
        <v>87</v>
      </c>
      <c r="O2684" s="149" t="n">
        <v>2</v>
      </c>
    </row>
    <row r="2685" customFormat="false" ht="14.25" hidden="false" customHeight="false" outlineLevel="0" collapsed="false">
      <c r="A2685" s="1" t="n">
        <v>14</v>
      </c>
      <c r="B2685" s="1" t="s">
        <v>473</v>
      </c>
      <c r="C2685" s="143" t="n">
        <v>11358</v>
      </c>
      <c r="D2685" s="143" t="s">
        <v>49</v>
      </c>
      <c r="E2685" s="143" t="s">
        <v>474</v>
      </c>
      <c r="F2685" s="144" t="n">
        <v>200025888485</v>
      </c>
      <c r="G2685" s="144" t="s">
        <v>252</v>
      </c>
      <c r="H2685" s="144" t="n">
        <v>49</v>
      </c>
      <c r="I2685" s="144" t="s">
        <v>148</v>
      </c>
      <c r="J2685" s="151" t="n">
        <v>45079.5582523148</v>
      </c>
      <c r="K2685" s="1" t="n">
        <v>1</v>
      </c>
      <c r="L2685" s="144" t="n">
        <v>49</v>
      </c>
      <c r="M2685" s="1" t="n">
        <v>88</v>
      </c>
      <c r="N2685" s="1" t="n">
        <v>88</v>
      </c>
      <c r="O2685" s="149" t="n">
        <v>1</v>
      </c>
    </row>
    <row r="2686" customFormat="false" ht="14.25" hidden="false" customHeight="false" outlineLevel="0" collapsed="false">
      <c r="A2686" s="1" t="n">
        <v>2</v>
      </c>
      <c r="B2686" s="1" t="s">
        <v>475</v>
      </c>
      <c r="C2686" s="143" t="s">
        <v>52</v>
      </c>
      <c r="D2686" s="143" t="s">
        <v>53</v>
      </c>
      <c r="E2686" s="143" t="s">
        <v>479</v>
      </c>
      <c r="F2686" s="144" t="n">
        <v>200025888485</v>
      </c>
      <c r="G2686" s="144" t="s">
        <v>252</v>
      </c>
      <c r="H2686" s="144" t="n">
        <v>49</v>
      </c>
      <c r="I2686" s="144" t="s">
        <v>148</v>
      </c>
      <c r="J2686" s="151" t="n">
        <v>45085.6441782407</v>
      </c>
      <c r="K2686" s="1" t="n">
        <v>1</v>
      </c>
      <c r="L2686" s="144" t="n">
        <v>49</v>
      </c>
      <c r="M2686" s="1" t="n">
        <v>88</v>
      </c>
      <c r="N2686" s="1" t="n">
        <v>88</v>
      </c>
      <c r="O2686" s="149" t="n">
        <v>2</v>
      </c>
    </row>
    <row r="2687" customFormat="false" ht="14.25" hidden="false" customHeight="false" outlineLevel="0" collapsed="false">
      <c r="A2687" s="1" t="n">
        <v>241</v>
      </c>
      <c r="B2687" s="1" t="s">
        <v>477</v>
      </c>
      <c r="C2687" s="143" t="n">
        <v>11171</v>
      </c>
      <c r="D2687" s="143" t="s">
        <v>74</v>
      </c>
      <c r="E2687" s="143" t="s">
        <v>474</v>
      </c>
      <c r="F2687" s="144" t="n">
        <v>200025889447</v>
      </c>
      <c r="G2687" s="144" t="s">
        <v>380</v>
      </c>
      <c r="H2687" s="144" t="n">
        <v>75</v>
      </c>
      <c r="I2687" s="144" t="s">
        <v>148</v>
      </c>
      <c r="J2687" s="152" t="n">
        <v>45079.5944675926</v>
      </c>
      <c r="K2687" s="1" t="n">
        <v>7</v>
      </c>
      <c r="L2687" s="144" t="n">
        <v>75</v>
      </c>
      <c r="M2687" s="1" t="n">
        <v>89</v>
      </c>
      <c r="N2687" s="1" t="n">
        <v>89</v>
      </c>
      <c r="O2687" s="149" t="n">
        <v>1</v>
      </c>
    </row>
    <row r="2688" customFormat="false" ht="14.25" hidden="false" customHeight="false" outlineLevel="0" collapsed="false">
      <c r="A2688" s="1" t="n">
        <v>4</v>
      </c>
      <c r="B2688" s="1" t="s">
        <v>475</v>
      </c>
      <c r="C2688" s="143" t="s">
        <v>52</v>
      </c>
      <c r="D2688" s="143" t="s">
        <v>53</v>
      </c>
      <c r="E2688" s="143" t="s">
        <v>479</v>
      </c>
      <c r="F2688" s="144" t="n">
        <v>200025889447</v>
      </c>
      <c r="G2688" s="144" t="s">
        <v>380</v>
      </c>
      <c r="H2688" s="144" t="n">
        <v>75</v>
      </c>
      <c r="I2688" s="144" t="s">
        <v>148</v>
      </c>
      <c r="J2688" s="6" t="n">
        <v>45088.3667361111</v>
      </c>
      <c r="K2688" s="1" t="n">
        <v>2</v>
      </c>
      <c r="L2688" s="144" t="n">
        <v>75</v>
      </c>
      <c r="M2688" s="1" t="n">
        <v>89</v>
      </c>
      <c r="N2688" s="1" t="n">
        <v>89</v>
      </c>
      <c r="O2688" s="149" t="n">
        <v>2</v>
      </c>
    </row>
    <row r="2689" customFormat="false" ht="14.25" hidden="false" customHeight="false" outlineLevel="0" collapsed="false">
      <c r="A2689" s="1" t="n">
        <v>35</v>
      </c>
      <c r="B2689" s="1" t="s">
        <v>475</v>
      </c>
      <c r="C2689" s="143" t="n">
        <v>21265</v>
      </c>
      <c r="D2689" s="143" t="s">
        <v>76</v>
      </c>
      <c r="E2689" s="143" t="s">
        <v>479</v>
      </c>
      <c r="F2689" s="144" t="n">
        <v>200025889453</v>
      </c>
      <c r="G2689" s="144" t="s">
        <v>237</v>
      </c>
      <c r="H2689" s="144" t="n">
        <v>27</v>
      </c>
      <c r="I2689" s="144" t="s">
        <v>148</v>
      </c>
      <c r="J2689" s="6" t="n">
        <v>45082.5352199074</v>
      </c>
      <c r="K2689" s="1" t="n">
        <v>1</v>
      </c>
      <c r="L2689" s="144" t="n">
        <v>27</v>
      </c>
      <c r="M2689" s="1" t="n">
        <v>90</v>
      </c>
      <c r="N2689" s="1" t="n">
        <v>90</v>
      </c>
      <c r="O2689" s="149" t="n">
        <v>1</v>
      </c>
    </row>
    <row r="2690" customFormat="false" ht="14.25" hidden="false" customHeight="false" outlineLevel="0" collapsed="false">
      <c r="A2690" s="1" t="n">
        <v>3</v>
      </c>
      <c r="B2690" s="1" t="s">
        <v>475</v>
      </c>
      <c r="C2690" s="143" t="s">
        <v>52</v>
      </c>
      <c r="D2690" s="143" t="s">
        <v>53</v>
      </c>
      <c r="E2690" s="143" t="s">
        <v>479</v>
      </c>
      <c r="F2690" s="144" t="n">
        <v>200025888655</v>
      </c>
      <c r="G2690" s="144" t="s">
        <v>283</v>
      </c>
      <c r="H2690" s="144" t="n">
        <v>37</v>
      </c>
      <c r="I2690" s="144" t="s">
        <v>148</v>
      </c>
      <c r="J2690" s="6" t="n">
        <v>45086.4492592593</v>
      </c>
      <c r="K2690" s="1" t="n">
        <v>4</v>
      </c>
      <c r="L2690" s="144" t="n">
        <v>37</v>
      </c>
      <c r="M2690" s="1" t="n">
        <v>91</v>
      </c>
      <c r="N2690" s="1" t="n">
        <v>91</v>
      </c>
      <c r="O2690" s="149" t="n">
        <v>1</v>
      </c>
    </row>
    <row r="2691" customFormat="false" ht="14.25" hidden="false" customHeight="false" outlineLevel="0" collapsed="false">
      <c r="A2691" s="1" t="n">
        <v>5</v>
      </c>
      <c r="B2691" s="1" t="s">
        <v>475</v>
      </c>
      <c r="C2691" s="143" t="s">
        <v>52</v>
      </c>
      <c r="D2691" s="143" t="s">
        <v>53</v>
      </c>
      <c r="E2691" s="143" t="s">
        <v>479</v>
      </c>
      <c r="F2691" s="144" t="n">
        <v>200025888655</v>
      </c>
      <c r="G2691" s="144" t="s">
        <v>283</v>
      </c>
      <c r="H2691" s="144" t="n">
        <v>37</v>
      </c>
      <c r="I2691" s="144" t="s">
        <v>148</v>
      </c>
      <c r="J2691" s="6" t="n">
        <v>45088.4631134259</v>
      </c>
      <c r="K2691" s="1" t="n">
        <v>7</v>
      </c>
      <c r="L2691" s="144" t="n">
        <v>37</v>
      </c>
      <c r="M2691" s="1" t="n">
        <v>91</v>
      </c>
      <c r="N2691" s="1" t="n">
        <v>91</v>
      </c>
      <c r="O2691" s="149" t="n">
        <v>2</v>
      </c>
    </row>
    <row r="2692" customFormat="false" ht="14.25" hidden="false" customHeight="false" outlineLevel="0" collapsed="false">
      <c r="A2692" s="1" t="n">
        <v>344</v>
      </c>
      <c r="B2692" s="1" t="s">
        <v>478</v>
      </c>
      <c r="C2692" s="143" t="s">
        <v>68</v>
      </c>
      <c r="D2692" s="143" t="s">
        <v>64</v>
      </c>
      <c r="E2692" s="143" t="s">
        <v>479</v>
      </c>
      <c r="F2692" s="144" t="n">
        <v>200025888843</v>
      </c>
      <c r="G2692" s="144" t="s">
        <v>345</v>
      </c>
      <c r="H2692" s="144" t="n">
        <v>56</v>
      </c>
      <c r="I2692" s="144" t="s">
        <v>148</v>
      </c>
      <c r="J2692" s="6" t="n">
        <v>45086.4712615741</v>
      </c>
      <c r="K2692" s="1" t="n">
        <v>3</v>
      </c>
      <c r="L2692" s="144" t="n">
        <v>56</v>
      </c>
      <c r="M2692" s="1" t="n">
        <v>92</v>
      </c>
      <c r="N2692" s="1" t="n">
        <v>92</v>
      </c>
      <c r="O2692" s="149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T1048576"/>
  <sheetViews>
    <sheetView showFormulas="false" showGridLines="true" showRowColHeaders="true" showZeros="true" rightToLeft="false" tabSelected="false" showOutlineSymbols="true" defaultGridColor="true" view="normal" topLeftCell="W7" colorId="64" zoomScale="100" zoomScaleNormal="100" zoomScalePageLayoutView="100" workbookViewId="0">
      <pane xSplit="0" ySplit="2025" topLeftCell="DV76" activePane="bottomLeft" state="split"/>
      <selection pane="topLeft" activeCell="W7" activeCellId="0" sqref="W7"/>
      <selection pane="bottomLeft" activeCell="F7" activeCellId="1" sqref="D19:D20 F7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1.44"/>
    <col collapsed="false" customWidth="true" hidden="false" outlineLevel="0" max="2" min="2" style="158" width="11.44"/>
    <col collapsed="false" customWidth="true" hidden="false" outlineLevel="0" max="3" min="3" style="158" width="14.33"/>
    <col collapsed="false" customWidth="true" hidden="false" outlineLevel="0" max="4" min="4" style="158" width="8.11"/>
    <col collapsed="false" customWidth="true" hidden="false" outlineLevel="0" max="5" min="5" style="159" width="8.11"/>
    <col collapsed="false" customWidth="true" hidden="false" outlineLevel="0" max="7" min="6" style="1" width="14.56"/>
    <col collapsed="false" customWidth="true" hidden="false" outlineLevel="0" max="8" min="8" style="1" width="11.89"/>
    <col collapsed="false" customWidth="true" hidden="false" outlineLevel="0" max="9" min="9" style="1" width="7.67"/>
    <col collapsed="false" customWidth="true" hidden="false" outlineLevel="0" max="10" min="10" style="1" width="10.56"/>
    <col collapsed="false" customWidth="true" hidden="false" outlineLevel="0" max="11" min="11" style="160" width="10.44"/>
    <col collapsed="false" customWidth="true" hidden="false" outlineLevel="0" max="12" min="12" style="160" width="8.67"/>
    <col collapsed="false" customWidth="true" hidden="false" outlineLevel="0" max="14" min="13" style="1" width="14.56"/>
    <col collapsed="false" customWidth="true" hidden="false" outlineLevel="0" max="21" min="15" style="1" width="8"/>
    <col collapsed="false" customWidth="true" hidden="false" outlineLevel="0" max="25" min="22" style="1" width="8.67"/>
    <col collapsed="false" customWidth="true" hidden="false" outlineLevel="0" max="26" min="26" style="158" width="11.56"/>
    <col collapsed="false" customWidth="true" hidden="false" outlineLevel="0" max="28" min="28" style="1" width="17.11"/>
    <col collapsed="false" customWidth="true" hidden="false" outlineLevel="0" max="29" min="29" style="1" width="17"/>
    <col collapsed="false" customWidth="true" hidden="false" outlineLevel="0" max="30" min="30" style="1" width="10"/>
    <col collapsed="false" customWidth="true" hidden="false" outlineLevel="0" max="32" min="31" style="1" width="17.11"/>
    <col collapsed="false" customWidth="true" hidden="false" outlineLevel="0" max="33" min="33" style="1" width="10"/>
    <col collapsed="false" customWidth="true" hidden="false" outlineLevel="0" max="34" min="34" style="1" width="12.56"/>
    <col collapsed="false" customWidth="true" hidden="false" outlineLevel="0" max="36" min="35" style="1" width="17.11"/>
    <col collapsed="false" customWidth="true" hidden="false" outlineLevel="0" max="37" min="37" style="1" width="10"/>
    <col collapsed="false" customWidth="true" hidden="false" outlineLevel="0" max="38" min="38" style="1" width="12.56"/>
    <col collapsed="false" customWidth="true" hidden="false" outlineLevel="0" max="39" min="39" style="1" width="15.66"/>
    <col collapsed="false" customWidth="true" hidden="false" outlineLevel="0" max="40" min="40" style="1" width="12.11"/>
    <col collapsed="false" customWidth="true" hidden="false" outlineLevel="0" max="42" min="41" style="1" width="8.44"/>
    <col collapsed="false" customWidth="true" hidden="false" outlineLevel="0" max="43" min="43" style="1" width="16.89"/>
    <col collapsed="false" customWidth="true" hidden="false" outlineLevel="0" max="44" min="44" style="1" width="8.44"/>
    <col collapsed="false" customWidth="true" hidden="false" outlineLevel="0" max="45" min="45" style="1" width="11.33"/>
    <col collapsed="false" customWidth="true" hidden="false" outlineLevel="0" max="48" min="47" style="1" width="17.11"/>
    <col collapsed="false" customWidth="true" hidden="false" outlineLevel="0" max="51" min="50" style="1" width="17.11"/>
    <col collapsed="false" customWidth="true" hidden="false" outlineLevel="0" max="55" min="54" style="1" width="17.11"/>
    <col collapsed="false" customWidth="true" hidden="false" outlineLevel="0" max="61" min="61" style="1" width="11.56"/>
    <col collapsed="false" customWidth="true" hidden="false" outlineLevel="0" max="62" min="62" style="1" width="10"/>
    <col collapsed="false" customWidth="true" hidden="false" outlineLevel="0" max="63" min="63" style="1" width="11.89"/>
    <col collapsed="false" customWidth="true" hidden="false" outlineLevel="0" max="64" min="64" style="1" width="10.11"/>
    <col collapsed="false" customWidth="true" hidden="false" outlineLevel="0" max="65" min="65" style="1" width="16.56"/>
    <col collapsed="false" customWidth="true" hidden="false" outlineLevel="0" max="66" min="66" style="1" width="15.56"/>
    <col collapsed="false" customWidth="true" hidden="false" outlineLevel="0" max="68" min="67" style="1" width="7"/>
    <col collapsed="false" customWidth="true" hidden="false" outlineLevel="0" max="69" min="69" style="1" width="23"/>
    <col collapsed="false" customWidth="true" hidden="false" outlineLevel="0" max="80" min="70" style="1" width="8.44"/>
    <col collapsed="false" customWidth="true" hidden="false" outlineLevel="0" max="81" min="81" style="1" width="5.88"/>
    <col collapsed="false" customWidth="true" hidden="false" outlineLevel="0" max="82" min="82" style="1" width="8"/>
    <col collapsed="false" customWidth="true" hidden="false" outlineLevel="0" max="83" min="83" style="1" width="5.33"/>
    <col collapsed="false" customWidth="true" hidden="false" outlineLevel="0" max="84" min="84" style="1" width="7.33"/>
    <col collapsed="false" customWidth="true" hidden="false" outlineLevel="0" max="85" min="85" style="1" width="6.33"/>
    <col collapsed="false" customWidth="true" hidden="false" outlineLevel="0" max="86" min="86" style="1" width="7.56"/>
    <col collapsed="false" customWidth="true" hidden="false" outlineLevel="0" max="87" min="87" style="1" width="6.67"/>
    <col collapsed="false" customWidth="true" hidden="false" outlineLevel="0" max="88" min="88" style="1" width="5.66"/>
    <col collapsed="false" customWidth="true" hidden="false" outlineLevel="0" max="89" min="89" style="1" width="6.44"/>
    <col collapsed="false" customWidth="true" hidden="false" outlineLevel="0" max="104" min="90" style="1" width="8.56"/>
    <col collapsed="false" customWidth="true" hidden="false" outlineLevel="0" max="105" min="105" style="1" width="7.56"/>
    <col collapsed="false" customWidth="true" hidden="false" outlineLevel="0" max="106" min="106" style="1" width="13.67"/>
    <col collapsed="false" customWidth="true" hidden="false" outlineLevel="0" max="107" min="107" style="1" width="6.67"/>
    <col collapsed="false" customWidth="true" hidden="false" outlineLevel="0" max="108" min="108" style="1" width="5.11"/>
    <col collapsed="false" customWidth="true" hidden="false" outlineLevel="0" max="110" min="109" style="1" width="6.67"/>
    <col collapsed="false" customWidth="true" hidden="false" outlineLevel="0" max="111" min="111" style="1" width="11.56"/>
    <col collapsed="false" customWidth="true" hidden="false" outlineLevel="0" max="112" min="112" style="1" width="11.33"/>
    <col collapsed="false" customWidth="true" hidden="false" outlineLevel="0" max="113" min="113" style="1" width="12.88"/>
    <col collapsed="false" customWidth="true" hidden="false" outlineLevel="0" max="115" min="114" style="1" width="11.44"/>
    <col collapsed="false" customWidth="true" hidden="false" outlineLevel="0" max="116" min="116" style="158" width="11.44"/>
    <col collapsed="false" customWidth="true" hidden="false" outlineLevel="0" max="117" min="117" style="158" width="8.11"/>
    <col collapsed="false" customWidth="true" hidden="false" outlineLevel="0" max="124" min="124" style="1" width="17.56"/>
    <col collapsed="false" customWidth="true" hidden="false" outlineLevel="0" max="345" min="345" style="1" width="14.56"/>
    <col collapsed="false" customWidth="true" hidden="false" outlineLevel="0" max="346" min="346" style="1" width="8.11"/>
    <col collapsed="false" customWidth="true" hidden="false" outlineLevel="0" max="351" min="348" style="1" width="17.11"/>
    <col collapsed="false" customWidth="true" hidden="false" outlineLevel="0" max="352" min="352" style="1" width="10"/>
    <col collapsed="false" customWidth="true" hidden="false" outlineLevel="0" max="353" min="353" style="1" width="12.56"/>
    <col collapsed="false" customWidth="true" hidden="false" outlineLevel="0" max="601" min="601" style="1" width="14.56"/>
    <col collapsed="false" customWidth="true" hidden="false" outlineLevel="0" max="602" min="602" style="1" width="8.11"/>
    <col collapsed="false" customWidth="true" hidden="false" outlineLevel="0" max="607" min="604" style="1" width="17.11"/>
    <col collapsed="false" customWidth="true" hidden="false" outlineLevel="0" max="608" min="608" style="1" width="10"/>
    <col collapsed="false" customWidth="true" hidden="false" outlineLevel="0" max="609" min="609" style="1" width="12.56"/>
    <col collapsed="false" customWidth="true" hidden="false" outlineLevel="0" max="857" min="857" style="1" width="14.56"/>
    <col collapsed="false" customWidth="true" hidden="false" outlineLevel="0" max="858" min="858" style="1" width="8.11"/>
    <col collapsed="false" customWidth="true" hidden="false" outlineLevel="0" max="863" min="860" style="1" width="17.11"/>
    <col collapsed="false" customWidth="true" hidden="false" outlineLevel="0" max="864" min="864" style="1" width="10"/>
    <col collapsed="false" customWidth="true" hidden="false" outlineLevel="0" max="865" min="865" style="1" width="12.56"/>
    <col collapsed="false" customWidth="true" hidden="false" outlineLevel="0" max="1113" min="1113" style="1" width="14.56"/>
    <col collapsed="false" customWidth="true" hidden="false" outlineLevel="0" max="1114" min="1114" style="1" width="8.11"/>
    <col collapsed="false" customWidth="true" hidden="false" outlineLevel="0" max="1119" min="1116" style="1" width="17.11"/>
    <col collapsed="false" customWidth="true" hidden="false" outlineLevel="0" max="1120" min="1120" style="1" width="10"/>
    <col collapsed="false" customWidth="true" hidden="false" outlineLevel="0" max="1121" min="1121" style="1" width="12.56"/>
    <col collapsed="false" customWidth="true" hidden="false" outlineLevel="0" max="1369" min="1369" style="1" width="14.56"/>
    <col collapsed="false" customWidth="true" hidden="false" outlineLevel="0" max="1370" min="1370" style="1" width="8.11"/>
    <col collapsed="false" customWidth="true" hidden="false" outlineLevel="0" max="1375" min="1372" style="1" width="17.11"/>
    <col collapsed="false" customWidth="true" hidden="false" outlineLevel="0" max="1376" min="1376" style="1" width="10"/>
    <col collapsed="false" customWidth="true" hidden="false" outlineLevel="0" max="1377" min="1377" style="1" width="12.56"/>
    <col collapsed="false" customWidth="true" hidden="false" outlineLevel="0" max="1625" min="1625" style="1" width="14.56"/>
    <col collapsed="false" customWidth="true" hidden="false" outlineLevel="0" max="1626" min="1626" style="1" width="8.11"/>
    <col collapsed="false" customWidth="true" hidden="false" outlineLevel="0" max="1631" min="1628" style="1" width="17.11"/>
    <col collapsed="false" customWidth="true" hidden="false" outlineLevel="0" max="1632" min="1632" style="1" width="10"/>
    <col collapsed="false" customWidth="true" hidden="false" outlineLevel="0" max="1633" min="1633" style="1" width="12.56"/>
    <col collapsed="false" customWidth="true" hidden="false" outlineLevel="0" max="1881" min="1881" style="1" width="14.56"/>
    <col collapsed="false" customWidth="true" hidden="false" outlineLevel="0" max="1882" min="1882" style="1" width="8.11"/>
    <col collapsed="false" customWidth="true" hidden="false" outlineLevel="0" max="1887" min="1884" style="1" width="17.11"/>
    <col collapsed="false" customWidth="true" hidden="false" outlineLevel="0" max="1888" min="1888" style="1" width="10"/>
    <col collapsed="false" customWidth="true" hidden="false" outlineLevel="0" max="1889" min="1889" style="1" width="12.56"/>
    <col collapsed="false" customWidth="true" hidden="false" outlineLevel="0" max="2137" min="2137" style="1" width="14.56"/>
    <col collapsed="false" customWidth="true" hidden="false" outlineLevel="0" max="2138" min="2138" style="1" width="8.11"/>
    <col collapsed="false" customWidth="true" hidden="false" outlineLevel="0" max="2143" min="2140" style="1" width="17.11"/>
    <col collapsed="false" customWidth="true" hidden="false" outlineLevel="0" max="2144" min="2144" style="1" width="10"/>
    <col collapsed="false" customWidth="true" hidden="false" outlineLevel="0" max="2145" min="2145" style="1" width="12.56"/>
    <col collapsed="false" customWidth="true" hidden="false" outlineLevel="0" max="2393" min="2393" style="1" width="14.56"/>
    <col collapsed="false" customWidth="true" hidden="false" outlineLevel="0" max="2394" min="2394" style="1" width="8.11"/>
    <col collapsed="false" customWidth="true" hidden="false" outlineLevel="0" max="2399" min="2396" style="1" width="17.11"/>
    <col collapsed="false" customWidth="true" hidden="false" outlineLevel="0" max="2400" min="2400" style="1" width="10"/>
    <col collapsed="false" customWidth="true" hidden="false" outlineLevel="0" max="2401" min="2401" style="1" width="12.56"/>
    <col collapsed="false" customWidth="true" hidden="false" outlineLevel="0" max="2649" min="2649" style="1" width="14.56"/>
    <col collapsed="false" customWidth="true" hidden="false" outlineLevel="0" max="2650" min="2650" style="1" width="8.11"/>
    <col collapsed="false" customWidth="true" hidden="false" outlineLevel="0" max="2655" min="2652" style="1" width="17.11"/>
    <col collapsed="false" customWidth="true" hidden="false" outlineLevel="0" max="2656" min="2656" style="1" width="10"/>
    <col collapsed="false" customWidth="true" hidden="false" outlineLevel="0" max="2657" min="2657" style="1" width="12.56"/>
    <col collapsed="false" customWidth="true" hidden="false" outlineLevel="0" max="2905" min="2905" style="1" width="14.56"/>
    <col collapsed="false" customWidth="true" hidden="false" outlineLevel="0" max="2906" min="2906" style="1" width="8.11"/>
    <col collapsed="false" customWidth="true" hidden="false" outlineLevel="0" max="2911" min="2908" style="1" width="17.11"/>
    <col collapsed="false" customWidth="true" hidden="false" outlineLevel="0" max="2912" min="2912" style="1" width="10"/>
    <col collapsed="false" customWidth="true" hidden="false" outlineLevel="0" max="2913" min="2913" style="1" width="12.56"/>
    <col collapsed="false" customWidth="true" hidden="false" outlineLevel="0" max="3161" min="3161" style="1" width="14.56"/>
    <col collapsed="false" customWidth="true" hidden="false" outlineLevel="0" max="3162" min="3162" style="1" width="8.11"/>
    <col collapsed="false" customWidth="true" hidden="false" outlineLevel="0" max="3167" min="3164" style="1" width="17.11"/>
    <col collapsed="false" customWidth="true" hidden="false" outlineLevel="0" max="3168" min="3168" style="1" width="10"/>
    <col collapsed="false" customWidth="true" hidden="false" outlineLevel="0" max="3169" min="3169" style="1" width="12.56"/>
    <col collapsed="false" customWidth="true" hidden="false" outlineLevel="0" max="3417" min="3417" style="1" width="14.56"/>
    <col collapsed="false" customWidth="true" hidden="false" outlineLevel="0" max="3418" min="3418" style="1" width="8.11"/>
    <col collapsed="false" customWidth="true" hidden="false" outlineLevel="0" max="3423" min="3420" style="1" width="17.11"/>
    <col collapsed="false" customWidth="true" hidden="false" outlineLevel="0" max="3424" min="3424" style="1" width="10"/>
    <col collapsed="false" customWidth="true" hidden="false" outlineLevel="0" max="3425" min="3425" style="1" width="12.56"/>
    <col collapsed="false" customWidth="true" hidden="false" outlineLevel="0" max="3673" min="3673" style="1" width="14.56"/>
    <col collapsed="false" customWidth="true" hidden="false" outlineLevel="0" max="3674" min="3674" style="1" width="8.11"/>
    <col collapsed="false" customWidth="true" hidden="false" outlineLevel="0" max="3679" min="3676" style="1" width="17.11"/>
    <col collapsed="false" customWidth="true" hidden="false" outlineLevel="0" max="3680" min="3680" style="1" width="10"/>
    <col collapsed="false" customWidth="true" hidden="false" outlineLevel="0" max="3681" min="3681" style="1" width="12.56"/>
    <col collapsed="false" customWidth="true" hidden="false" outlineLevel="0" max="3929" min="3929" style="1" width="14.56"/>
    <col collapsed="false" customWidth="true" hidden="false" outlineLevel="0" max="3930" min="3930" style="1" width="8.11"/>
    <col collapsed="false" customWidth="true" hidden="false" outlineLevel="0" max="3935" min="3932" style="1" width="17.11"/>
    <col collapsed="false" customWidth="true" hidden="false" outlineLevel="0" max="3936" min="3936" style="1" width="10"/>
    <col collapsed="false" customWidth="true" hidden="false" outlineLevel="0" max="3937" min="3937" style="1" width="12.56"/>
    <col collapsed="false" customWidth="true" hidden="false" outlineLevel="0" max="4185" min="4185" style="1" width="14.56"/>
    <col collapsed="false" customWidth="true" hidden="false" outlineLevel="0" max="4186" min="4186" style="1" width="8.11"/>
    <col collapsed="false" customWidth="true" hidden="false" outlineLevel="0" max="4191" min="4188" style="1" width="17.11"/>
    <col collapsed="false" customWidth="true" hidden="false" outlineLevel="0" max="4192" min="4192" style="1" width="10"/>
    <col collapsed="false" customWidth="true" hidden="false" outlineLevel="0" max="4193" min="4193" style="1" width="12.56"/>
    <col collapsed="false" customWidth="true" hidden="false" outlineLevel="0" max="4441" min="4441" style="1" width="14.56"/>
    <col collapsed="false" customWidth="true" hidden="false" outlineLevel="0" max="4442" min="4442" style="1" width="8.11"/>
    <col collapsed="false" customWidth="true" hidden="false" outlineLevel="0" max="4447" min="4444" style="1" width="17.11"/>
    <col collapsed="false" customWidth="true" hidden="false" outlineLevel="0" max="4448" min="4448" style="1" width="10"/>
    <col collapsed="false" customWidth="true" hidden="false" outlineLevel="0" max="4449" min="4449" style="1" width="12.56"/>
    <col collapsed="false" customWidth="true" hidden="false" outlineLevel="0" max="4697" min="4697" style="1" width="14.56"/>
    <col collapsed="false" customWidth="true" hidden="false" outlineLevel="0" max="4698" min="4698" style="1" width="8.11"/>
    <col collapsed="false" customWidth="true" hidden="false" outlineLevel="0" max="4703" min="4700" style="1" width="17.11"/>
    <col collapsed="false" customWidth="true" hidden="false" outlineLevel="0" max="4704" min="4704" style="1" width="10"/>
    <col collapsed="false" customWidth="true" hidden="false" outlineLevel="0" max="4705" min="4705" style="1" width="12.56"/>
    <col collapsed="false" customWidth="true" hidden="false" outlineLevel="0" max="4953" min="4953" style="1" width="14.56"/>
    <col collapsed="false" customWidth="true" hidden="false" outlineLevel="0" max="4954" min="4954" style="1" width="8.11"/>
    <col collapsed="false" customWidth="true" hidden="false" outlineLevel="0" max="4959" min="4956" style="1" width="17.11"/>
    <col collapsed="false" customWidth="true" hidden="false" outlineLevel="0" max="4960" min="4960" style="1" width="10"/>
    <col collapsed="false" customWidth="true" hidden="false" outlineLevel="0" max="4961" min="4961" style="1" width="12.56"/>
    <col collapsed="false" customWidth="true" hidden="false" outlineLevel="0" max="5209" min="5209" style="1" width="14.56"/>
    <col collapsed="false" customWidth="true" hidden="false" outlineLevel="0" max="5210" min="5210" style="1" width="8.11"/>
    <col collapsed="false" customWidth="true" hidden="false" outlineLevel="0" max="5215" min="5212" style="1" width="17.11"/>
    <col collapsed="false" customWidth="true" hidden="false" outlineLevel="0" max="5216" min="5216" style="1" width="10"/>
    <col collapsed="false" customWidth="true" hidden="false" outlineLevel="0" max="5217" min="5217" style="1" width="12.56"/>
    <col collapsed="false" customWidth="true" hidden="false" outlineLevel="0" max="5465" min="5465" style="1" width="14.56"/>
    <col collapsed="false" customWidth="true" hidden="false" outlineLevel="0" max="5466" min="5466" style="1" width="8.11"/>
    <col collapsed="false" customWidth="true" hidden="false" outlineLevel="0" max="5471" min="5468" style="1" width="17.11"/>
    <col collapsed="false" customWidth="true" hidden="false" outlineLevel="0" max="5472" min="5472" style="1" width="10"/>
    <col collapsed="false" customWidth="true" hidden="false" outlineLevel="0" max="5473" min="5473" style="1" width="12.56"/>
    <col collapsed="false" customWidth="true" hidden="false" outlineLevel="0" max="5721" min="5721" style="1" width="14.56"/>
    <col collapsed="false" customWidth="true" hidden="false" outlineLevel="0" max="5722" min="5722" style="1" width="8.11"/>
    <col collapsed="false" customWidth="true" hidden="false" outlineLevel="0" max="5727" min="5724" style="1" width="17.11"/>
    <col collapsed="false" customWidth="true" hidden="false" outlineLevel="0" max="5728" min="5728" style="1" width="10"/>
    <col collapsed="false" customWidth="true" hidden="false" outlineLevel="0" max="5729" min="5729" style="1" width="12.56"/>
    <col collapsed="false" customWidth="true" hidden="false" outlineLevel="0" max="5977" min="5977" style="1" width="14.56"/>
    <col collapsed="false" customWidth="true" hidden="false" outlineLevel="0" max="5978" min="5978" style="1" width="8.11"/>
    <col collapsed="false" customWidth="true" hidden="false" outlineLevel="0" max="5983" min="5980" style="1" width="17.11"/>
    <col collapsed="false" customWidth="true" hidden="false" outlineLevel="0" max="5984" min="5984" style="1" width="10"/>
    <col collapsed="false" customWidth="true" hidden="false" outlineLevel="0" max="5985" min="5985" style="1" width="12.56"/>
    <col collapsed="false" customWidth="true" hidden="false" outlineLevel="0" max="6233" min="6233" style="1" width="14.56"/>
    <col collapsed="false" customWidth="true" hidden="false" outlineLevel="0" max="6234" min="6234" style="1" width="8.11"/>
    <col collapsed="false" customWidth="true" hidden="false" outlineLevel="0" max="6239" min="6236" style="1" width="17.11"/>
    <col collapsed="false" customWidth="true" hidden="false" outlineLevel="0" max="6240" min="6240" style="1" width="10"/>
    <col collapsed="false" customWidth="true" hidden="false" outlineLevel="0" max="6241" min="6241" style="1" width="12.56"/>
    <col collapsed="false" customWidth="true" hidden="false" outlineLevel="0" max="6489" min="6489" style="1" width="14.56"/>
    <col collapsed="false" customWidth="true" hidden="false" outlineLevel="0" max="6490" min="6490" style="1" width="8.11"/>
    <col collapsed="false" customWidth="true" hidden="false" outlineLevel="0" max="6495" min="6492" style="1" width="17.11"/>
    <col collapsed="false" customWidth="true" hidden="false" outlineLevel="0" max="6496" min="6496" style="1" width="10"/>
    <col collapsed="false" customWidth="true" hidden="false" outlineLevel="0" max="6497" min="6497" style="1" width="12.56"/>
    <col collapsed="false" customWidth="true" hidden="false" outlineLevel="0" max="6745" min="6745" style="1" width="14.56"/>
    <col collapsed="false" customWidth="true" hidden="false" outlineLevel="0" max="6746" min="6746" style="1" width="8.11"/>
    <col collapsed="false" customWidth="true" hidden="false" outlineLevel="0" max="6751" min="6748" style="1" width="17.11"/>
    <col collapsed="false" customWidth="true" hidden="false" outlineLevel="0" max="6752" min="6752" style="1" width="10"/>
    <col collapsed="false" customWidth="true" hidden="false" outlineLevel="0" max="6753" min="6753" style="1" width="12.56"/>
    <col collapsed="false" customWidth="true" hidden="false" outlineLevel="0" max="7001" min="7001" style="1" width="14.56"/>
    <col collapsed="false" customWidth="true" hidden="false" outlineLevel="0" max="7002" min="7002" style="1" width="8.11"/>
    <col collapsed="false" customWidth="true" hidden="false" outlineLevel="0" max="7007" min="7004" style="1" width="17.11"/>
    <col collapsed="false" customWidth="true" hidden="false" outlineLevel="0" max="7008" min="7008" style="1" width="10"/>
    <col collapsed="false" customWidth="true" hidden="false" outlineLevel="0" max="7009" min="7009" style="1" width="12.56"/>
    <col collapsed="false" customWidth="true" hidden="false" outlineLevel="0" max="7257" min="7257" style="1" width="14.56"/>
    <col collapsed="false" customWidth="true" hidden="false" outlineLevel="0" max="7258" min="7258" style="1" width="8.11"/>
    <col collapsed="false" customWidth="true" hidden="false" outlineLevel="0" max="7263" min="7260" style="1" width="17.11"/>
    <col collapsed="false" customWidth="true" hidden="false" outlineLevel="0" max="7264" min="7264" style="1" width="10"/>
    <col collapsed="false" customWidth="true" hidden="false" outlineLevel="0" max="7265" min="7265" style="1" width="12.56"/>
    <col collapsed="false" customWidth="true" hidden="false" outlineLevel="0" max="7513" min="7513" style="1" width="14.56"/>
    <col collapsed="false" customWidth="true" hidden="false" outlineLevel="0" max="7514" min="7514" style="1" width="8.11"/>
    <col collapsed="false" customWidth="true" hidden="false" outlineLevel="0" max="7519" min="7516" style="1" width="17.11"/>
    <col collapsed="false" customWidth="true" hidden="false" outlineLevel="0" max="7520" min="7520" style="1" width="10"/>
    <col collapsed="false" customWidth="true" hidden="false" outlineLevel="0" max="7521" min="7521" style="1" width="12.56"/>
    <col collapsed="false" customWidth="true" hidden="false" outlineLevel="0" max="7769" min="7769" style="1" width="14.56"/>
    <col collapsed="false" customWidth="true" hidden="false" outlineLevel="0" max="7770" min="7770" style="1" width="8.11"/>
    <col collapsed="false" customWidth="true" hidden="false" outlineLevel="0" max="7775" min="7772" style="1" width="17.11"/>
    <col collapsed="false" customWidth="true" hidden="false" outlineLevel="0" max="7776" min="7776" style="1" width="10"/>
    <col collapsed="false" customWidth="true" hidden="false" outlineLevel="0" max="7777" min="7777" style="1" width="12.56"/>
    <col collapsed="false" customWidth="true" hidden="false" outlineLevel="0" max="8025" min="8025" style="1" width="14.56"/>
    <col collapsed="false" customWidth="true" hidden="false" outlineLevel="0" max="8026" min="8026" style="1" width="8.11"/>
    <col collapsed="false" customWidth="true" hidden="false" outlineLevel="0" max="8031" min="8028" style="1" width="17.11"/>
    <col collapsed="false" customWidth="true" hidden="false" outlineLevel="0" max="8032" min="8032" style="1" width="10"/>
    <col collapsed="false" customWidth="true" hidden="false" outlineLevel="0" max="8033" min="8033" style="1" width="12.56"/>
    <col collapsed="false" customWidth="true" hidden="false" outlineLevel="0" max="8281" min="8281" style="1" width="14.56"/>
    <col collapsed="false" customWidth="true" hidden="false" outlineLevel="0" max="8282" min="8282" style="1" width="8.11"/>
    <col collapsed="false" customWidth="true" hidden="false" outlineLevel="0" max="8287" min="8284" style="1" width="17.11"/>
    <col collapsed="false" customWidth="true" hidden="false" outlineLevel="0" max="8288" min="8288" style="1" width="10"/>
    <col collapsed="false" customWidth="true" hidden="false" outlineLevel="0" max="8289" min="8289" style="1" width="12.56"/>
    <col collapsed="false" customWidth="true" hidden="false" outlineLevel="0" max="8537" min="8537" style="1" width="14.56"/>
    <col collapsed="false" customWidth="true" hidden="false" outlineLevel="0" max="8538" min="8538" style="1" width="8.11"/>
    <col collapsed="false" customWidth="true" hidden="false" outlineLevel="0" max="8543" min="8540" style="1" width="17.11"/>
    <col collapsed="false" customWidth="true" hidden="false" outlineLevel="0" max="8544" min="8544" style="1" width="10"/>
    <col collapsed="false" customWidth="true" hidden="false" outlineLevel="0" max="8545" min="8545" style="1" width="12.56"/>
    <col collapsed="false" customWidth="true" hidden="false" outlineLevel="0" max="8793" min="8793" style="1" width="14.56"/>
    <col collapsed="false" customWidth="true" hidden="false" outlineLevel="0" max="8794" min="8794" style="1" width="8.11"/>
    <col collapsed="false" customWidth="true" hidden="false" outlineLevel="0" max="8799" min="8796" style="1" width="17.11"/>
    <col collapsed="false" customWidth="true" hidden="false" outlineLevel="0" max="8800" min="8800" style="1" width="10"/>
    <col collapsed="false" customWidth="true" hidden="false" outlineLevel="0" max="8801" min="8801" style="1" width="12.56"/>
    <col collapsed="false" customWidth="true" hidden="false" outlineLevel="0" max="9049" min="9049" style="1" width="14.56"/>
    <col collapsed="false" customWidth="true" hidden="false" outlineLevel="0" max="9050" min="9050" style="1" width="8.11"/>
    <col collapsed="false" customWidth="true" hidden="false" outlineLevel="0" max="9055" min="9052" style="1" width="17.11"/>
    <col collapsed="false" customWidth="true" hidden="false" outlineLevel="0" max="9056" min="9056" style="1" width="10"/>
    <col collapsed="false" customWidth="true" hidden="false" outlineLevel="0" max="9057" min="9057" style="1" width="12.56"/>
    <col collapsed="false" customWidth="true" hidden="false" outlineLevel="0" max="9305" min="9305" style="1" width="14.56"/>
    <col collapsed="false" customWidth="true" hidden="false" outlineLevel="0" max="9306" min="9306" style="1" width="8.11"/>
    <col collapsed="false" customWidth="true" hidden="false" outlineLevel="0" max="9311" min="9308" style="1" width="17.11"/>
    <col collapsed="false" customWidth="true" hidden="false" outlineLevel="0" max="9312" min="9312" style="1" width="10"/>
    <col collapsed="false" customWidth="true" hidden="false" outlineLevel="0" max="9313" min="9313" style="1" width="12.56"/>
    <col collapsed="false" customWidth="true" hidden="false" outlineLevel="0" max="9561" min="9561" style="1" width="14.56"/>
    <col collapsed="false" customWidth="true" hidden="false" outlineLevel="0" max="9562" min="9562" style="1" width="8.11"/>
    <col collapsed="false" customWidth="true" hidden="false" outlineLevel="0" max="9567" min="9564" style="1" width="17.11"/>
    <col collapsed="false" customWidth="true" hidden="false" outlineLevel="0" max="9568" min="9568" style="1" width="10"/>
    <col collapsed="false" customWidth="true" hidden="false" outlineLevel="0" max="9569" min="9569" style="1" width="12.56"/>
    <col collapsed="false" customWidth="true" hidden="false" outlineLevel="0" max="9817" min="9817" style="1" width="14.56"/>
    <col collapsed="false" customWidth="true" hidden="false" outlineLevel="0" max="9818" min="9818" style="1" width="8.11"/>
    <col collapsed="false" customWidth="true" hidden="false" outlineLevel="0" max="9823" min="9820" style="1" width="17.11"/>
    <col collapsed="false" customWidth="true" hidden="false" outlineLevel="0" max="9824" min="9824" style="1" width="10"/>
    <col collapsed="false" customWidth="true" hidden="false" outlineLevel="0" max="9825" min="9825" style="1" width="12.56"/>
    <col collapsed="false" customWidth="true" hidden="false" outlineLevel="0" max="10073" min="10073" style="1" width="14.56"/>
    <col collapsed="false" customWidth="true" hidden="false" outlineLevel="0" max="10074" min="10074" style="1" width="8.11"/>
    <col collapsed="false" customWidth="true" hidden="false" outlineLevel="0" max="10079" min="10076" style="1" width="17.11"/>
    <col collapsed="false" customWidth="true" hidden="false" outlineLevel="0" max="10080" min="10080" style="1" width="10"/>
    <col collapsed="false" customWidth="true" hidden="false" outlineLevel="0" max="10081" min="10081" style="1" width="12.56"/>
    <col collapsed="false" customWidth="true" hidden="false" outlineLevel="0" max="10329" min="10329" style="1" width="14.56"/>
    <col collapsed="false" customWidth="true" hidden="false" outlineLevel="0" max="10330" min="10330" style="1" width="8.11"/>
    <col collapsed="false" customWidth="true" hidden="false" outlineLevel="0" max="10335" min="10332" style="1" width="17.11"/>
    <col collapsed="false" customWidth="true" hidden="false" outlineLevel="0" max="10336" min="10336" style="1" width="10"/>
    <col collapsed="false" customWidth="true" hidden="false" outlineLevel="0" max="10337" min="10337" style="1" width="12.56"/>
    <col collapsed="false" customWidth="true" hidden="false" outlineLevel="0" max="10585" min="10585" style="1" width="14.56"/>
    <col collapsed="false" customWidth="true" hidden="false" outlineLevel="0" max="10586" min="10586" style="1" width="8.11"/>
    <col collapsed="false" customWidth="true" hidden="false" outlineLevel="0" max="10591" min="10588" style="1" width="17.11"/>
    <col collapsed="false" customWidth="true" hidden="false" outlineLevel="0" max="10592" min="10592" style="1" width="10"/>
    <col collapsed="false" customWidth="true" hidden="false" outlineLevel="0" max="10593" min="10593" style="1" width="12.56"/>
    <col collapsed="false" customWidth="true" hidden="false" outlineLevel="0" max="10841" min="10841" style="1" width="14.56"/>
    <col collapsed="false" customWidth="true" hidden="false" outlineLevel="0" max="10842" min="10842" style="1" width="8.11"/>
    <col collapsed="false" customWidth="true" hidden="false" outlineLevel="0" max="10847" min="10844" style="1" width="17.11"/>
    <col collapsed="false" customWidth="true" hidden="false" outlineLevel="0" max="10848" min="10848" style="1" width="10"/>
    <col collapsed="false" customWidth="true" hidden="false" outlineLevel="0" max="10849" min="10849" style="1" width="12.56"/>
    <col collapsed="false" customWidth="true" hidden="false" outlineLevel="0" max="11097" min="11097" style="1" width="14.56"/>
    <col collapsed="false" customWidth="true" hidden="false" outlineLevel="0" max="11098" min="11098" style="1" width="8.11"/>
    <col collapsed="false" customWidth="true" hidden="false" outlineLevel="0" max="11103" min="11100" style="1" width="17.11"/>
    <col collapsed="false" customWidth="true" hidden="false" outlineLevel="0" max="11104" min="11104" style="1" width="10"/>
    <col collapsed="false" customWidth="true" hidden="false" outlineLevel="0" max="11105" min="11105" style="1" width="12.56"/>
    <col collapsed="false" customWidth="true" hidden="false" outlineLevel="0" max="11353" min="11353" style="1" width="14.56"/>
    <col collapsed="false" customWidth="true" hidden="false" outlineLevel="0" max="11354" min="11354" style="1" width="8.11"/>
    <col collapsed="false" customWidth="true" hidden="false" outlineLevel="0" max="11359" min="11356" style="1" width="17.11"/>
    <col collapsed="false" customWidth="true" hidden="false" outlineLevel="0" max="11360" min="11360" style="1" width="10"/>
    <col collapsed="false" customWidth="true" hidden="false" outlineLevel="0" max="11361" min="11361" style="1" width="12.56"/>
    <col collapsed="false" customWidth="true" hidden="false" outlineLevel="0" max="11609" min="11609" style="1" width="14.56"/>
    <col collapsed="false" customWidth="true" hidden="false" outlineLevel="0" max="11610" min="11610" style="1" width="8.11"/>
    <col collapsed="false" customWidth="true" hidden="false" outlineLevel="0" max="11615" min="11612" style="1" width="17.11"/>
    <col collapsed="false" customWidth="true" hidden="false" outlineLevel="0" max="11616" min="11616" style="1" width="10"/>
    <col collapsed="false" customWidth="true" hidden="false" outlineLevel="0" max="11617" min="11617" style="1" width="12.56"/>
    <col collapsed="false" customWidth="true" hidden="false" outlineLevel="0" max="11865" min="11865" style="1" width="14.56"/>
    <col collapsed="false" customWidth="true" hidden="false" outlineLevel="0" max="11866" min="11866" style="1" width="8.11"/>
    <col collapsed="false" customWidth="true" hidden="false" outlineLevel="0" max="11871" min="11868" style="1" width="17.11"/>
    <col collapsed="false" customWidth="true" hidden="false" outlineLevel="0" max="11872" min="11872" style="1" width="10"/>
    <col collapsed="false" customWidth="true" hidden="false" outlineLevel="0" max="11873" min="11873" style="1" width="12.56"/>
    <col collapsed="false" customWidth="true" hidden="false" outlineLevel="0" max="12121" min="12121" style="1" width="14.56"/>
    <col collapsed="false" customWidth="true" hidden="false" outlineLevel="0" max="12122" min="12122" style="1" width="8.11"/>
    <col collapsed="false" customWidth="true" hidden="false" outlineLevel="0" max="12127" min="12124" style="1" width="17.11"/>
    <col collapsed="false" customWidth="true" hidden="false" outlineLevel="0" max="12128" min="12128" style="1" width="10"/>
    <col collapsed="false" customWidth="true" hidden="false" outlineLevel="0" max="12129" min="12129" style="1" width="12.56"/>
    <col collapsed="false" customWidth="true" hidden="false" outlineLevel="0" max="12377" min="12377" style="1" width="14.56"/>
    <col collapsed="false" customWidth="true" hidden="false" outlineLevel="0" max="12378" min="12378" style="1" width="8.11"/>
    <col collapsed="false" customWidth="true" hidden="false" outlineLevel="0" max="12383" min="12380" style="1" width="17.11"/>
    <col collapsed="false" customWidth="true" hidden="false" outlineLevel="0" max="12384" min="12384" style="1" width="10"/>
    <col collapsed="false" customWidth="true" hidden="false" outlineLevel="0" max="12385" min="12385" style="1" width="12.56"/>
    <col collapsed="false" customWidth="true" hidden="false" outlineLevel="0" max="12633" min="12633" style="1" width="14.56"/>
    <col collapsed="false" customWidth="true" hidden="false" outlineLevel="0" max="12634" min="12634" style="1" width="8.11"/>
    <col collapsed="false" customWidth="true" hidden="false" outlineLevel="0" max="12639" min="12636" style="1" width="17.11"/>
    <col collapsed="false" customWidth="true" hidden="false" outlineLevel="0" max="12640" min="12640" style="1" width="10"/>
    <col collapsed="false" customWidth="true" hidden="false" outlineLevel="0" max="12641" min="12641" style="1" width="12.56"/>
    <col collapsed="false" customWidth="true" hidden="false" outlineLevel="0" max="12889" min="12889" style="1" width="14.56"/>
    <col collapsed="false" customWidth="true" hidden="false" outlineLevel="0" max="12890" min="12890" style="1" width="8.11"/>
    <col collapsed="false" customWidth="true" hidden="false" outlineLevel="0" max="12895" min="12892" style="1" width="17.11"/>
    <col collapsed="false" customWidth="true" hidden="false" outlineLevel="0" max="12896" min="12896" style="1" width="10"/>
    <col collapsed="false" customWidth="true" hidden="false" outlineLevel="0" max="12897" min="12897" style="1" width="12.56"/>
    <col collapsed="false" customWidth="true" hidden="false" outlineLevel="0" max="13145" min="13145" style="1" width="14.56"/>
    <col collapsed="false" customWidth="true" hidden="false" outlineLevel="0" max="13146" min="13146" style="1" width="8.11"/>
    <col collapsed="false" customWidth="true" hidden="false" outlineLevel="0" max="13151" min="13148" style="1" width="17.11"/>
    <col collapsed="false" customWidth="true" hidden="false" outlineLevel="0" max="13152" min="13152" style="1" width="10"/>
    <col collapsed="false" customWidth="true" hidden="false" outlineLevel="0" max="13153" min="13153" style="1" width="12.56"/>
    <col collapsed="false" customWidth="true" hidden="false" outlineLevel="0" max="13401" min="13401" style="1" width="14.56"/>
    <col collapsed="false" customWidth="true" hidden="false" outlineLevel="0" max="13402" min="13402" style="1" width="8.11"/>
    <col collapsed="false" customWidth="true" hidden="false" outlineLevel="0" max="13407" min="13404" style="1" width="17.11"/>
    <col collapsed="false" customWidth="true" hidden="false" outlineLevel="0" max="13408" min="13408" style="1" width="10"/>
    <col collapsed="false" customWidth="true" hidden="false" outlineLevel="0" max="13409" min="13409" style="1" width="12.56"/>
    <col collapsed="false" customWidth="true" hidden="false" outlineLevel="0" max="13657" min="13657" style="1" width="14.56"/>
    <col collapsed="false" customWidth="true" hidden="false" outlineLevel="0" max="13658" min="13658" style="1" width="8.11"/>
    <col collapsed="false" customWidth="true" hidden="false" outlineLevel="0" max="13663" min="13660" style="1" width="17.11"/>
    <col collapsed="false" customWidth="true" hidden="false" outlineLevel="0" max="13664" min="13664" style="1" width="10"/>
    <col collapsed="false" customWidth="true" hidden="false" outlineLevel="0" max="13665" min="13665" style="1" width="12.56"/>
    <col collapsed="false" customWidth="true" hidden="false" outlineLevel="0" max="13913" min="13913" style="1" width="14.56"/>
    <col collapsed="false" customWidth="true" hidden="false" outlineLevel="0" max="13914" min="13914" style="1" width="8.11"/>
    <col collapsed="false" customWidth="true" hidden="false" outlineLevel="0" max="13919" min="13916" style="1" width="17.11"/>
    <col collapsed="false" customWidth="true" hidden="false" outlineLevel="0" max="13920" min="13920" style="1" width="10"/>
    <col collapsed="false" customWidth="true" hidden="false" outlineLevel="0" max="13921" min="13921" style="1" width="12.56"/>
    <col collapsed="false" customWidth="true" hidden="false" outlineLevel="0" max="14169" min="14169" style="1" width="14.56"/>
    <col collapsed="false" customWidth="true" hidden="false" outlineLevel="0" max="14170" min="14170" style="1" width="8.11"/>
    <col collapsed="false" customWidth="true" hidden="false" outlineLevel="0" max="14175" min="14172" style="1" width="17.11"/>
    <col collapsed="false" customWidth="true" hidden="false" outlineLevel="0" max="14176" min="14176" style="1" width="10"/>
    <col collapsed="false" customWidth="true" hidden="false" outlineLevel="0" max="14177" min="14177" style="1" width="12.56"/>
    <col collapsed="false" customWidth="true" hidden="false" outlineLevel="0" max="14425" min="14425" style="1" width="14.56"/>
    <col collapsed="false" customWidth="true" hidden="false" outlineLevel="0" max="14426" min="14426" style="1" width="8.11"/>
    <col collapsed="false" customWidth="true" hidden="false" outlineLevel="0" max="14431" min="14428" style="1" width="17.11"/>
    <col collapsed="false" customWidth="true" hidden="false" outlineLevel="0" max="14432" min="14432" style="1" width="10"/>
    <col collapsed="false" customWidth="true" hidden="false" outlineLevel="0" max="14433" min="14433" style="1" width="12.56"/>
    <col collapsed="false" customWidth="true" hidden="false" outlineLevel="0" max="14681" min="14681" style="1" width="14.56"/>
    <col collapsed="false" customWidth="true" hidden="false" outlineLevel="0" max="14682" min="14682" style="1" width="8.11"/>
    <col collapsed="false" customWidth="true" hidden="false" outlineLevel="0" max="14687" min="14684" style="1" width="17.11"/>
    <col collapsed="false" customWidth="true" hidden="false" outlineLevel="0" max="14688" min="14688" style="1" width="10"/>
    <col collapsed="false" customWidth="true" hidden="false" outlineLevel="0" max="14689" min="14689" style="1" width="12.56"/>
    <col collapsed="false" customWidth="true" hidden="false" outlineLevel="0" max="14937" min="14937" style="1" width="14.56"/>
    <col collapsed="false" customWidth="true" hidden="false" outlineLevel="0" max="14938" min="14938" style="1" width="8.11"/>
    <col collapsed="false" customWidth="true" hidden="false" outlineLevel="0" max="14943" min="14940" style="1" width="17.11"/>
    <col collapsed="false" customWidth="true" hidden="false" outlineLevel="0" max="14944" min="14944" style="1" width="10"/>
    <col collapsed="false" customWidth="true" hidden="false" outlineLevel="0" max="14945" min="14945" style="1" width="12.56"/>
    <col collapsed="false" customWidth="true" hidden="false" outlineLevel="0" max="15193" min="15193" style="1" width="14.56"/>
    <col collapsed="false" customWidth="true" hidden="false" outlineLevel="0" max="15194" min="15194" style="1" width="8.11"/>
    <col collapsed="false" customWidth="true" hidden="false" outlineLevel="0" max="15199" min="15196" style="1" width="17.11"/>
    <col collapsed="false" customWidth="true" hidden="false" outlineLevel="0" max="15200" min="15200" style="1" width="10"/>
    <col collapsed="false" customWidth="true" hidden="false" outlineLevel="0" max="15201" min="15201" style="1" width="12.56"/>
    <col collapsed="false" customWidth="true" hidden="false" outlineLevel="0" max="15449" min="15449" style="1" width="14.56"/>
    <col collapsed="false" customWidth="true" hidden="false" outlineLevel="0" max="15450" min="15450" style="1" width="8.11"/>
    <col collapsed="false" customWidth="true" hidden="false" outlineLevel="0" max="15455" min="15452" style="1" width="17.11"/>
    <col collapsed="false" customWidth="true" hidden="false" outlineLevel="0" max="15456" min="15456" style="1" width="10"/>
    <col collapsed="false" customWidth="true" hidden="false" outlineLevel="0" max="15457" min="15457" style="1" width="12.56"/>
    <col collapsed="false" customWidth="true" hidden="false" outlineLevel="0" max="15705" min="15705" style="1" width="14.56"/>
    <col collapsed="false" customWidth="true" hidden="false" outlineLevel="0" max="15706" min="15706" style="1" width="8.11"/>
    <col collapsed="false" customWidth="true" hidden="false" outlineLevel="0" max="15711" min="15708" style="1" width="17.11"/>
    <col collapsed="false" customWidth="true" hidden="false" outlineLevel="0" max="15712" min="15712" style="1" width="10"/>
    <col collapsed="false" customWidth="true" hidden="false" outlineLevel="0" max="15713" min="15713" style="1" width="12.56"/>
    <col collapsed="false" customWidth="true" hidden="false" outlineLevel="0" max="15961" min="15961" style="1" width="14.56"/>
    <col collapsed="false" customWidth="true" hidden="false" outlineLevel="0" max="15962" min="15962" style="1" width="8.11"/>
    <col collapsed="false" customWidth="true" hidden="false" outlineLevel="0" max="15967" min="15964" style="1" width="17.11"/>
    <col collapsed="false" customWidth="true" hidden="false" outlineLevel="0" max="15968" min="15968" style="1" width="10"/>
    <col collapsed="false" customWidth="true" hidden="false" outlineLevel="0" max="15969" min="15969" style="1" width="12.56"/>
    <col collapsed="false" customWidth="true" hidden="false" outlineLevel="0" max="16217" min="16217" style="1" width="14.56"/>
    <col collapsed="false" customWidth="true" hidden="false" outlineLevel="0" max="16218" min="16218" style="1" width="8.11"/>
    <col collapsed="false" customWidth="true" hidden="false" outlineLevel="0" max="16223" min="16220" style="1" width="17.11"/>
    <col collapsed="false" customWidth="true" hidden="false" outlineLevel="0" max="16224" min="16224" style="1" width="10"/>
    <col collapsed="false" customWidth="true" hidden="false" outlineLevel="0" max="16225" min="16225" style="1" width="12.56"/>
  </cols>
  <sheetData>
    <row r="1" customFormat="false" ht="53.25" hidden="false" customHeight="true" outlineLevel="0" collapsed="false">
      <c r="A1" s="161" t="s">
        <v>141</v>
      </c>
      <c r="B1" s="162" t="s">
        <v>467</v>
      </c>
      <c r="C1" s="161" t="s">
        <v>143</v>
      </c>
      <c r="D1" s="161" t="s">
        <v>144</v>
      </c>
      <c r="E1" s="161" t="s">
        <v>145</v>
      </c>
      <c r="F1" s="161" t="s">
        <v>507</v>
      </c>
      <c r="G1" s="161" t="s">
        <v>508</v>
      </c>
      <c r="H1" s="163" t="s">
        <v>509</v>
      </c>
      <c r="I1" s="163" t="s">
        <v>510</v>
      </c>
      <c r="J1" s="163" t="s">
        <v>511</v>
      </c>
      <c r="K1" s="164" t="s">
        <v>512</v>
      </c>
      <c r="L1" s="164" t="s">
        <v>513</v>
      </c>
      <c r="M1" s="163" t="s">
        <v>514</v>
      </c>
      <c r="N1" s="163" t="s">
        <v>515</v>
      </c>
      <c r="O1" s="163" t="s">
        <v>516</v>
      </c>
      <c r="P1" s="163" t="s">
        <v>517</v>
      </c>
      <c r="Q1" s="163" t="s">
        <v>518</v>
      </c>
      <c r="R1" s="163" t="s">
        <v>519</v>
      </c>
      <c r="S1" s="163" t="s">
        <v>520</v>
      </c>
      <c r="T1" s="163" t="s">
        <v>521</v>
      </c>
      <c r="U1" s="163" t="s">
        <v>522</v>
      </c>
      <c r="V1" s="163"/>
      <c r="W1" s="165" t="s">
        <v>523</v>
      </c>
      <c r="X1" s="165"/>
      <c r="Y1" s="165" t="s">
        <v>524</v>
      </c>
      <c r="Z1" s="162" t="s">
        <v>467</v>
      </c>
      <c r="AA1" s="161" t="s">
        <v>471</v>
      </c>
      <c r="AB1" s="161" t="s">
        <v>525</v>
      </c>
      <c r="AC1" s="161" t="s">
        <v>526</v>
      </c>
      <c r="AD1" s="161" t="s">
        <v>527</v>
      </c>
      <c r="AE1" s="161" t="s">
        <v>528</v>
      </c>
      <c r="AF1" s="161" t="s">
        <v>529</v>
      </c>
      <c r="AG1" s="161" t="s">
        <v>527</v>
      </c>
      <c r="AH1" s="161" t="s">
        <v>530</v>
      </c>
      <c r="AI1" s="161" t="s">
        <v>531</v>
      </c>
      <c r="AJ1" s="161" t="s">
        <v>532</v>
      </c>
      <c r="AK1" s="161" t="s">
        <v>527</v>
      </c>
      <c r="AL1" s="161" t="s">
        <v>530</v>
      </c>
      <c r="AM1" s="161" t="s">
        <v>533</v>
      </c>
      <c r="AN1" s="161" t="s">
        <v>534</v>
      </c>
      <c r="AO1" s="161" t="s">
        <v>535</v>
      </c>
      <c r="AP1" s="161" t="s">
        <v>536</v>
      </c>
      <c r="AQ1" s="161" t="s">
        <v>537</v>
      </c>
      <c r="AR1" s="161" t="s">
        <v>462</v>
      </c>
      <c r="AS1" s="161" t="s">
        <v>538</v>
      </c>
      <c r="AT1" s="161" t="s">
        <v>471</v>
      </c>
      <c r="AU1" s="161" t="s">
        <v>525</v>
      </c>
      <c r="AV1" s="161" t="s">
        <v>526</v>
      </c>
      <c r="AW1" s="161" t="s">
        <v>527</v>
      </c>
      <c r="AX1" s="161" t="s">
        <v>528</v>
      </c>
      <c r="AY1" s="161" t="s">
        <v>529</v>
      </c>
      <c r="AZ1" s="161" t="s">
        <v>527</v>
      </c>
      <c r="BA1" s="161" t="s">
        <v>530</v>
      </c>
      <c r="BB1" s="161" t="s">
        <v>539</v>
      </c>
      <c r="BC1" s="161" t="s">
        <v>540</v>
      </c>
      <c r="BD1" s="161" t="s">
        <v>527</v>
      </c>
      <c r="BE1" s="161" t="s">
        <v>530</v>
      </c>
      <c r="BF1" s="161" t="s">
        <v>535</v>
      </c>
      <c r="BG1" s="166" t="s">
        <v>541</v>
      </c>
      <c r="BH1" s="165" t="s">
        <v>542</v>
      </c>
      <c r="BI1" s="165" t="s">
        <v>543</v>
      </c>
      <c r="BJ1" s="165" t="s">
        <v>544</v>
      </c>
      <c r="BK1" s="165" t="s">
        <v>545</v>
      </c>
      <c r="BL1" s="165" t="s">
        <v>546</v>
      </c>
      <c r="BM1" s="165" t="s">
        <v>547</v>
      </c>
      <c r="BN1" s="165" t="s">
        <v>548</v>
      </c>
      <c r="BO1" s="165" t="s">
        <v>549</v>
      </c>
      <c r="BP1" s="167" t="s">
        <v>550</v>
      </c>
      <c r="BQ1" s="165" t="s">
        <v>551</v>
      </c>
      <c r="BR1" s="168" t="s">
        <v>3</v>
      </c>
      <c r="BS1" s="168" t="s">
        <v>5</v>
      </c>
      <c r="BT1" s="168" t="s">
        <v>7</v>
      </c>
      <c r="BU1" s="168" t="s">
        <v>10</v>
      </c>
      <c r="BV1" s="168" t="s">
        <v>13</v>
      </c>
      <c r="BW1" s="168" t="s">
        <v>16</v>
      </c>
      <c r="BX1" s="168" t="s">
        <v>19</v>
      </c>
      <c r="BY1" s="168" t="s">
        <v>22</v>
      </c>
      <c r="BZ1" s="168" t="s">
        <v>25</v>
      </c>
      <c r="CA1" s="168" t="s">
        <v>27</v>
      </c>
      <c r="CB1" s="168" t="s">
        <v>29</v>
      </c>
      <c r="CC1" s="165" t="s">
        <v>552</v>
      </c>
      <c r="CD1" s="165" t="s">
        <v>553</v>
      </c>
      <c r="CE1" s="165" t="s">
        <v>552</v>
      </c>
      <c r="CF1" s="165" t="s">
        <v>553</v>
      </c>
      <c r="CG1" s="165" t="s">
        <v>552</v>
      </c>
      <c r="CH1" s="165" t="s">
        <v>553</v>
      </c>
      <c r="CI1" s="165" t="s">
        <v>554</v>
      </c>
      <c r="CJ1" s="165" t="s">
        <v>555</v>
      </c>
      <c r="CK1" s="169" t="s">
        <v>556</v>
      </c>
      <c r="CL1" s="168" t="s">
        <v>557</v>
      </c>
      <c r="CM1" s="168" t="s">
        <v>558</v>
      </c>
      <c r="CN1" s="168" t="s">
        <v>559</v>
      </c>
      <c r="CO1" s="168" t="s">
        <v>560</v>
      </c>
      <c r="CP1" s="168" t="s">
        <v>561</v>
      </c>
      <c r="CQ1" s="168" t="s">
        <v>562</v>
      </c>
      <c r="CR1" s="168" t="s">
        <v>563</v>
      </c>
      <c r="CS1" s="168" t="s">
        <v>564</v>
      </c>
      <c r="CT1" s="168" t="s">
        <v>565</v>
      </c>
      <c r="CU1" s="168" t="s">
        <v>566</v>
      </c>
      <c r="CV1" s="168" t="s">
        <v>567</v>
      </c>
      <c r="CW1" s="168" t="s">
        <v>568</v>
      </c>
      <c r="CX1" s="170" t="s">
        <v>569</v>
      </c>
      <c r="CY1" s="170" t="s">
        <v>570</v>
      </c>
      <c r="CZ1" s="170" t="s">
        <v>571</v>
      </c>
      <c r="DA1" s="165" t="s">
        <v>572</v>
      </c>
      <c r="DB1" s="165" t="s">
        <v>573</v>
      </c>
      <c r="DC1" s="165" t="s">
        <v>574</v>
      </c>
      <c r="DD1" s="165" t="s">
        <v>575</v>
      </c>
      <c r="DE1" s="165" t="s">
        <v>576</v>
      </c>
      <c r="DF1" s="165" t="s">
        <v>577</v>
      </c>
      <c r="DG1" s="165" t="s">
        <v>578</v>
      </c>
      <c r="DH1" s="165" t="s">
        <v>579</v>
      </c>
      <c r="DI1" s="165" t="s">
        <v>580</v>
      </c>
      <c r="DJ1" s="165" t="s">
        <v>544</v>
      </c>
      <c r="DK1" s="161" t="s">
        <v>141</v>
      </c>
      <c r="DL1" s="162" t="s">
        <v>467</v>
      </c>
      <c r="DM1" s="161" t="s">
        <v>144</v>
      </c>
      <c r="DO1" s="171"/>
      <c r="DP1" s="171"/>
      <c r="DQ1" s="171"/>
      <c r="DR1" s="171"/>
      <c r="DS1" s="171"/>
    </row>
    <row r="2" customFormat="false" ht="15.75" hidden="false" customHeight="true" outlineLevel="0" collapsed="false">
      <c r="A2" s="172" t="s">
        <v>152</v>
      </c>
      <c r="B2" s="173" t="n">
        <v>50</v>
      </c>
      <c r="C2" s="174" t="s">
        <v>418</v>
      </c>
      <c r="D2" s="175" t="n">
        <v>21373</v>
      </c>
      <c r="E2" s="176" t="n">
        <v>2373</v>
      </c>
      <c r="F2" s="177" t="n">
        <v>89375</v>
      </c>
      <c r="G2" s="178"/>
      <c r="H2" s="179" t="n">
        <v>44482</v>
      </c>
      <c r="I2" s="180" t="n">
        <v>1.56986301369863</v>
      </c>
      <c r="J2" s="179" t="n">
        <v>44883</v>
      </c>
      <c r="K2" s="181" t="n">
        <v>61</v>
      </c>
      <c r="L2" s="181" t="n">
        <v>3.5</v>
      </c>
      <c r="M2" s="182" t="n">
        <v>172</v>
      </c>
      <c r="N2" s="183" t="n">
        <v>265</v>
      </c>
      <c r="O2" s="183"/>
      <c r="P2" s="183"/>
      <c r="Q2" s="183" t="n">
        <v>2259</v>
      </c>
      <c r="R2" s="183" t="n">
        <v>1861</v>
      </c>
      <c r="S2" s="183" t="n">
        <v>1859</v>
      </c>
      <c r="T2" s="183" t="n">
        <v>1682</v>
      </c>
      <c r="U2" s="184" t="s">
        <v>581</v>
      </c>
      <c r="V2" s="185" t="n">
        <f aca="false">EXP(1.204+(0.102*I2)+(0.007*N2)-(0.001*T2)+(0.008*M2)-2.723)</f>
        <v>1.20940200584028</v>
      </c>
      <c r="W2" s="185" t="n">
        <f aca="false">(V2/(1+V2))</f>
        <v>0.547388842158818</v>
      </c>
      <c r="X2" s="185" t="n">
        <f aca="false">EXP(2.859+(0.011*N2)-(0.002*T2)+(0.275*I2)-1.952)</f>
        <v>2.43442923529047</v>
      </c>
      <c r="Y2" s="185" t="n">
        <f aca="false">(X2/(1+X2))</f>
        <v>0.708830803754958</v>
      </c>
      <c r="Z2" s="173" t="n">
        <v>50</v>
      </c>
      <c r="AA2" s="186" t="n">
        <v>38</v>
      </c>
      <c r="AB2" s="187" t="n">
        <v>45057.7929513889</v>
      </c>
      <c r="AC2" s="187" t="n">
        <v>45066.4847337963</v>
      </c>
      <c r="AD2" s="180" t="n">
        <v>208.602777777705</v>
      </c>
      <c r="AE2" s="187" t="n">
        <v>45058.8059375</v>
      </c>
      <c r="AF2" s="187" t="n">
        <v>45059.0431481482</v>
      </c>
      <c r="AG2" s="180" t="n">
        <v>5.69305555557367</v>
      </c>
      <c r="AH2" s="180" t="n">
        <v>5.69305555557367</v>
      </c>
      <c r="AI2" s="186"/>
      <c r="AJ2" s="186"/>
      <c r="AK2" s="186"/>
      <c r="AL2" s="186"/>
      <c r="AM2" s="180" t="e">
        <f aca="false">(AE2-#REF!)*24</f>
        <v>#REF!</v>
      </c>
      <c r="AN2" s="180" t="e">
        <f aca="false">AM2+35</f>
        <v>#REF!</v>
      </c>
      <c r="AO2" s="186" t="n">
        <v>18</v>
      </c>
      <c r="AP2" s="188" t="s">
        <v>582</v>
      </c>
      <c r="AQ2" s="189" t="n">
        <v>45057.6653980324</v>
      </c>
      <c r="AR2" s="186" t="s">
        <v>583</v>
      </c>
      <c r="AS2" s="180" t="s">
        <v>584</v>
      </c>
      <c r="AT2" s="172" t="n">
        <v>38</v>
      </c>
      <c r="AU2" s="187" t="n">
        <v>45068.592662037</v>
      </c>
      <c r="AV2" s="187" t="n">
        <v>45075.5668518519</v>
      </c>
      <c r="AW2" s="180" t="n">
        <v>167.380555555515</v>
      </c>
      <c r="AX2" s="190" t="n">
        <v>45068.592662037</v>
      </c>
      <c r="AY2" s="190" t="n">
        <v>45068.6099305556</v>
      </c>
      <c r="AZ2" s="191" t="n">
        <v>0.414444444410037</v>
      </c>
      <c r="BA2" s="180" t="n">
        <v>1</v>
      </c>
      <c r="BB2" s="192" t="n">
        <v>45074.9243402778</v>
      </c>
      <c r="BC2" s="187" t="n">
        <v>45075.5668518519</v>
      </c>
      <c r="BD2" s="180" t="n">
        <v>15.42027777771</v>
      </c>
      <c r="BE2" s="180" t="n">
        <v>15.42027777771</v>
      </c>
      <c r="BF2" s="193" t="n">
        <v>5</v>
      </c>
      <c r="BG2" s="194" t="n">
        <v>0</v>
      </c>
      <c r="BH2" s="194"/>
      <c r="BI2" s="194"/>
      <c r="BJ2" s="194" t="s">
        <v>585</v>
      </c>
      <c r="BK2" s="195" t="s">
        <v>586</v>
      </c>
      <c r="BL2" s="194"/>
      <c r="BM2" s="194" t="s">
        <v>543</v>
      </c>
      <c r="BN2" s="196" t="n">
        <f aca="false">BB2+145</f>
        <v>45219.9243402778</v>
      </c>
      <c r="BO2" s="197"/>
      <c r="BP2" s="197" t="s">
        <v>585</v>
      </c>
      <c r="BQ2" s="195" t="s">
        <v>587</v>
      </c>
      <c r="BR2" s="198"/>
      <c r="BS2" s="198"/>
      <c r="BT2" s="199" t="n">
        <v>0.2</v>
      </c>
      <c r="BU2" s="199" t="n">
        <v>0.2</v>
      </c>
      <c r="BV2" s="199" t="n">
        <v>0.2</v>
      </c>
      <c r="BW2" s="199" t="n">
        <v>0.2</v>
      </c>
      <c r="BX2" s="199" t="n">
        <v>0.35738</v>
      </c>
      <c r="BY2" s="199" t="n">
        <v>0.2</v>
      </c>
      <c r="BZ2" s="199" t="n">
        <v>0.2</v>
      </c>
      <c r="CA2" s="199" t="n">
        <v>1.587</v>
      </c>
      <c r="CB2" s="199" t="n">
        <v>1.7004</v>
      </c>
      <c r="CC2" s="200" t="s">
        <v>588</v>
      </c>
      <c r="CD2" s="201" t="s">
        <v>582</v>
      </c>
      <c r="CE2" s="200" t="s">
        <v>588</v>
      </c>
      <c r="CF2" s="202" t="s">
        <v>589</v>
      </c>
      <c r="CG2" s="200" t="s">
        <v>588</v>
      </c>
      <c r="CH2" s="202" t="s">
        <v>589</v>
      </c>
      <c r="CI2" s="203"/>
      <c r="CJ2" s="200" t="s">
        <v>590</v>
      </c>
      <c r="CK2" s="204" t="n">
        <v>7</v>
      </c>
      <c r="CL2" s="205" t="n">
        <v>0.05</v>
      </c>
      <c r="CM2" s="205" t="n">
        <v>0.05</v>
      </c>
      <c r="CN2" s="206" t="n">
        <v>0.092121</v>
      </c>
      <c r="CO2" s="205" t="n">
        <v>0.05</v>
      </c>
      <c r="CP2" s="205" t="n">
        <v>0.05</v>
      </c>
      <c r="CQ2" s="205" t="n">
        <v>0.05</v>
      </c>
      <c r="CR2" s="206" t="n">
        <v>0.06285</v>
      </c>
      <c r="CS2" s="206" t="n">
        <v>0.060852</v>
      </c>
      <c r="CT2" s="207" t="n">
        <v>0.16382</v>
      </c>
      <c r="CU2" s="206" t="n">
        <v>0.070449</v>
      </c>
      <c r="CV2" s="205" t="n">
        <v>0.05</v>
      </c>
      <c r="CW2" s="205" t="n">
        <v>0.05</v>
      </c>
      <c r="CX2" s="208" t="n">
        <f aca="false">AVERAGE(CL2:CO2)</f>
        <v>0.06053025</v>
      </c>
      <c r="CY2" s="208" t="n">
        <f aca="false">_xlfn.STDEV.S(CL2:CO2)</f>
        <v>0.0210605</v>
      </c>
      <c r="CZ2" s="208" t="n">
        <f aca="false">CX2+(2*CY2)</f>
        <v>0.10265125</v>
      </c>
      <c r="DA2" s="172" t="n">
        <v>96</v>
      </c>
      <c r="DB2" s="209" t="e">
        <f aca="false">#REF!+(DA2/24)</f>
        <v>#REF!</v>
      </c>
      <c r="DC2" s="210" t="n">
        <v>4</v>
      </c>
      <c r="DD2" s="210" t="n">
        <v>4.5</v>
      </c>
      <c r="DE2" s="180" t="n">
        <f aca="false">DD2-DC2</f>
        <v>0.5</v>
      </c>
      <c r="DF2" s="180" t="n">
        <f aca="false">MAX(CM2:CX2)</f>
        <v>0.16382</v>
      </c>
      <c r="DG2" s="211" t="e">
        <f aca="false">(DB2-AE2)*24</f>
        <v>#REF!</v>
      </c>
      <c r="DH2" s="195" t="s">
        <v>587</v>
      </c>
      <c r="DI2" s="212" t="e">
        <f aca="false">(AQ2-DB2)*24</f>
        <v>#REF!</v>
      </c>
      <c r="DJ2" s="213" t="s">
        <v>585</v>
      </c>
      <c r="DK2" s="172" t="s">
        <v>152</v>
      </c>
      <c r="DL2" s="173" t="n">
        <v>50</v>
      </c>
      <c r="DM2" s="175" t="n">
        <v>21373</v>
      </c>
      <c r="DO2" s="3"/>
      <c r="DP2" s="3"/>
      <c r="DQ2" s="3"/>
      <c r="DR2" s="3"/>
      <c r="DS2" s="171"/>
    </row>
    <row r="3" customFormat="false" ht="15.75" hidden="false" customHeight="true" outlineLevel="0" collapsed="false">
      <c r="A3" s="188" t="s">
        <v>148</v>
      </c>
      <c r="B3" s="214" t="n">
        <v>1</v>
      </c>
      <c r="C3" s="215" t="s">
        <v>149</v>
      </c>
      <c r="D3" s="216" t="s">
        <v>150</v>
      </c>
      <c r="E3" s="215" t="s">
        <v>151</v>
      </c>
      <c r="F3" s="215" t="n">
        <v>88844</v>
      </c>
      <c r="G3" s="217"/>
      <c r="H3" s="218" t="n">
        <v>43743</v>
      </c>
      <c r="I3" s="180" t="n">
        <v>3.59452054794521</v>
      </c>
      <c r="J3" s="218" t="n">
        <v>44886</v>
      </c>
      <c r="K3" s="219" t="n">
        <v>67.8</v>
      </c>
      <c r="L3" s="219" t="n">
        <v>3</v>
      </c>
      <c r="M3" s="220" t="n">
        <v>169</v>
      </c>
      <c r="N3" s="221" t="n">
        <v>268</v>
      </c>
      <c r="O3" s="221"/>
      <c r="P3" s="221"/>
      <c r="Q3" s="221" t="n">
        <v>2603</v>
      </c>
      <c r="R3" s="221" t="n">
        <v>2256</v>
      </c>
      <c r="S3" s="221" t="n">
        <v>2224</v>
      </c>
      <c r="T3" s="221" t="n">
        <v>1740</v>
      </c>
      <c r="U3" s="222" t="s">
        <v>591</v>
      </c>
      <c r="V3" s="185" t="n">
        <f aca="false">EXP(0.585+(0.102*I3)+(0.007*N3)-(0.001*T3)+(0.008*M3)-2.723)</f>
        <v>0.753249395036649</v>
      </c>
      <c r="W3" s="185" t="n">
        <f aca="false">(V3/(1+V3))</f>
        <v>0.429630489061656</v>
      </c>
      <c r="X3" s="185" t="n">
        <f aca="false">EXP(1.741+(0.011*N3)-(0.002*T3)+(0.275*I3)-1.952)</f>
        <v>1.27825152841334</v>
      </c>
      <c r="Y3" s="185" t="n">
        <f aca="false">(X3/(1+X3))</f>
        <v>0.561066902609986</v>
      </c>
      <c r="Z3" s="214" t="n">
        <v>1</v>
      </c>
      <c r="AA3" s="188" t="n">
        <v>77</v>
      </c>
      <c r="AB3" s="223" t="n">
        <v>45066.430474537</v>
      </c>
      <c r="AC3" s="223" t="n">
        <v>45066.430474537</v>
      </c>
      <c r="AD3" s="224" t="n">
        <v>0</v>
      </c>
      <c r="AE3" s="225" t="n">
        <v>45066.430474537</v>
      </c>
      <c r="AF3" s="225" t="n">
        <v>45066.430474537</v>
      </c>
      <c r="AG3" s="224" t="n">
        <v>0</v>
      </c>
      <c r="AH3" s="224" t="n">
        <v>1</v>
      </c>
      <c r="AI3" s="223"/>
      <c r="AJ3" s="223"/>
      <c r="AK3" s="224"/>
      <c r="AL3" s="224"/>
      <c r="AM3" s="224" t="e">
        <f aca="false">(AE3-#REF!)*24</f>
        <v>#REF!</v>
      </c>
      <c r="AN3" s="224" t="e">
        <f aca="false">AM3+35</f>
        <v>#REF!</v>
      </c>
      <c r="AO3" s="188" t="n">
        <v>1</v>
      </c>
      <c r="AP3" s="188" t="s">
        <v>582</v>
      </c>
      <c r="AQ3" s="226" t="n">
        <v>45057.6830269676</v>
      </c>
      <c r="AR3" s="188" t="s">
        <v>592</v>
      </c>
      <c r="AS3" s="224" t="s">
        <v>593</v>
      </c>
      <c r="AT3" s="227" t="n">
        <v>77</v>
      </c>
      <c r="AU3" s="227"/>
      <c r="AV3" s="227"/>
      <c r="AW3" s="227"/>
      <c r="AX3" s="223" t="n">
        <v>45073.5646180556</v>
      </c>
      <c r="AY3" s="223" t="n">
        <v>45074.3381597222</v>
      </c>
      <c r="AZ3" s="224" t="n">
        <v>18.5650000000605</v>
      </c>
      <c r="BA3" s="228" t="n">
        <v>18.5650000000605</v>
      </c>
      <c r="BB3" s="227"/>
      <c r="BC3" s="227"/>
      <c r="BD3" s="227"/>
      <c r="BE3" s="227"/>
      <c r="BF3" s="229" t="n">
        <v>88</v>
      </c>
      <c r="BG3" s="194" t="n">
        <v>0</v>
      </c>
      <c r="BH3" s="194"/>
      <c r="BI3" s="194"/>
      <c r="BJ3" s="194" t="s">
        <v>585</v>
      </c>
      <c r="BK3" s="195" t="s">
        <v>586</v>
      </c>
      <c r="BL3" s="194" t="n">
        <v>1</v>
      </c>
      <c r="BM3" s="196" t="n">
        <v>45231</v>
      </c>
      <c r="BN3" s="196" t="n">
        <f aca="false">AX3+145</f>
        <v>45218.5646180556</v>
      </c>
      <c r="BO3" s="197" t="n">
        <f aca="false">BM3-AQ3</f>
        <v>173.316973032401</v>
      </c>
      <c r="BP3" s="197" t="s">
        <v>594</v>
      </c>
      <c r="BQ3" s="195" t="s">
        <v>587</v>
      </c>
      <c r="BR3" s="230" t="n">
        <v>0.2</v>
      </c>
      <c r="BS3" s="230" t="n">
        <v>0.76137</v>
      </c>
      <c r="BT3" s="230" t="n">
        <v>0.2</v>
      </c>
      <c r="BU3" s="230" t="n">
        <v>0.2</v>
      </c>
      <c r="BV3" s="230" t="n">
        <v>0.2</v>
      </c>
      <c r="BW3" s="230" t="n">
        <v>0.2</v>
      </c>
      <c r="BX3" s="231" t="n">
        <v>1.1408</v>
      </c>
      <c r="BY3" s="230" t="n">
        <v>2.3889</v>
      </c>
      <c r="BZ3" s="230" t="n">
        <v>2.3346</v>
      </c>
      <c r="CA3" s="230" t="n">
        <v>3.8676</v>
      </c>
      <c r="CB3" s="230" t="n">
        <v>3.7812</v>
      </c>
      <c r="CC3" s="200" t="s">
        <v>588</v>
      </c>
      <c r="CD3" s="202" t="s">
        <v>589</v>
      </c>
      <c r="CE3" s="200" t="s">
        <v>588</v>
      </c>
      <c r="CF3" s="202" t="s">
        <v>589</v>
      </c>
      <c r="CG3" s="200" t="s">
        <v>588</v>
      </c>
      <c r="CH3" s="202" t="s">
        <v>589</v>
      </c>
      <c r="CI3" s="203"/>
      <c r="CJ3" s="200" t="s">
        <v>595</v>
      </c>
      <c r="CK3" s="204" t="n">
        <v>4</v>
      </c>
      <c r="CL3" s="205" t="n">
        <v>0.05</v>
      </c>
      <c r="CM3" s="205" t="n">
        <v>0.05</v>
      </c>
      <c r="CN3" s="208" t="n">
        <v>0.12485</v>
      </c>
      <c r="CO3" s="205" t="n">
        <v>0.05</v>
      </c>
      <c r="CP3" s="232" t="n">
        <v>0.27291</v>
      </c>
      <c r="CQ3" s="233" t="n">
        <v>0.46156</v>
      </c>
      <c r="CR3" s="208" t="n">
        <v>0.29187</v>
      </c>
      <c r="CS3" s="232" t="n">
        <v>0.15307</v>
      </c>
      <c r="CT3" s="208" t="n">
        <v>0.084355</v>
      </c>
      <c r="CU3" s="208" t="n">
        <v>0.066091</v>
      </c>
      <c r="CV3" s="205" t="n">
        <v>0.05</v>
      </c>
      <c r="CW3" s="205" t="n">
        <v>0.05</v>
      </c>
      <c r="CX3" s="208" t="n">
        <f aca="false">AVERAGE(CL3:CO3)</f>
        <v>0.0687125</v>
      </c>
      <c r="CY3" s="208" t="n">
        <f aca="false">_xlfn.STDEV.S(CL3:CO3)</f>
        <v>0.037425</v>
      </c>
      <c r="CZ3" s="208" t="n">
        <f aca="false">CX3+(2*CY3)</f>
        <v>0.1435625</v>
      </c>
      <c r="DA3" s="186" t="n">
        <v>48</v>
      </c>
      <c r="DB3" s="209" t="e">
        <f aca="false">#REF!+(DA3/24)</f>
        <v>#REF!</v>
      </c>
      <c r="DC3" s="210" t="n">
        <v>2</v>
      </c>
      <c r="DD3" s="210" t="n">
        <v>4</v>
      </c>
      <c r="DE3" s="180" t="n">
        <f aca="false">DD3-DC3</f>
        <v>2</v>
      </c>
      <c r="DF3" s="180" t="n">
        <f aca="false">MAX(CM3:CX3)</f>
        <v>0.46156</v>
      </c>
      <c r="DG3" s="211" t="e">
        <f aca="false">(DB3-AE3)*24</f>
        <v>#REF!</v>
      </c>
      <c r="DH3" s="195" t="s">
        <v>596</v>
      </c>
      <c r="DI3" s="211" t="e">
        <f aca="false">(AQ3-DB3)*24</f>
        <v>#REF!</v>
      </c>
      <c r="DJ3" s="194" t="s">
        <v>585</v>
      </c>
      <c r="DK3" s="188" t="s">
        <v>148</v>
      </c>
      <c r="DL3" s="214" t="n">
        <v>1</v>
      </c>
      <c r="DM3" s="216" t="s">
        <v>150</v>
      </c>
      <c r="DO3" s="234" t="s">
        <v>597</v>
      </c>
      <c r="DP3" s="235" t="n">
        <f aca="false">DP4+DP8</f>
        <v>35</v>
      </c>
      <c r="DQ3" s="236"/>
      <c r="DR3" s="237"/>
      <c r="DS3" s="237"/>
    </row>
    <row r="4" customFormat="false" ht="15.75" hidden="false" customHeight="true" outlineLevel="0" collapsed="false">
      <c r="A4" s="188" t="s">
        <v>148</v>
      </c>
      <c r="B4" s="238" t="n">
        <v>2</v>
      </c>
      <c r="C4" s="239" t="s">
        <v>156</v>
      </c>
      <c r="D4" s="240" t="s">
        <v>157</v>
      </c>
      <c r="E4" s="215" t="s">
        <v>158</v>
      </c>
      <c r="F4" s="239" t="n">
        <v>88856</v>
      </c>
      <c r="G4" s="193"/>
      <c r="H4" s="218" t="n">
        <v>43744</v>
      </c>
      <c r="I4" s="180" t="n">
        <v>3.59178082191781</v>
      </c>
      <c r="J4" s="218" t="n">
        <v>44843</v>
      </c>
      <c r="K4" s="219" t="n">
        <v>76.6</v>
      </c>
      <c r="L4" s="219" t="n">
        <v>3</v>
      </c>
      <c r="M4" s="220" t="n">
        <v>212</v>
      </c>
      <c r="N4" s="221" t="n">
        <v>308</v>
      </c>
      <c r="O4" s="221" t="n">
        <v>1836</v>
      </c>
      <c r="P4" s="221" t="n">
        <v>2453</v>
      </c>
      <c r="Q4" s="221" t="n">
        <v>2202</v>
      </c>
      <c r="R4" s="221" t="n">
        <v>1748</v>
      </c>
      <c r="S4" s="221" t="n">
        <v>1394</v>
      </c>
      <c r="T4" s="221" t="n">
        <v>1102</v>
      </c>
      <c r="U4" s="222" t="s">
        <v>598</v>
      </c>
      <c r="V4" s="185" t="n">
        <f aca="false">EXP(0.585+(0.102*I4)+(0.007*N4)-(0.001*T4)+(0.008*M4)-2.723)</f>
        <v>2.66009448764988</v>
      </c>
      <c r="W4" s="185" t="n">
        <f aca="false">(V4/(1+V4))</f>
        <v>0.726783009735333</v>
      </c>
      <c r="X4" s="185" t="n">
        <f aca="false">EXP(1.741+(0.011*N4)-(0.002*T4)+(0.275*I4)-1.952)</f>
        <v>7.10458056499946</v>
      </c>
      <c r="Y4" s="185" t="n">
        <f aca="false">(X4/(1+X4))</f>
        <v>0.876612985461751</v>
      </c>
      <c r="Z4" s="238" t="n">
        <v>2</v>
      </c>
      <c r="AA4" s="186" t="n">
        <v>50</v>
      </c>
      <c r="AB4" s="187" t="n">
        <v>45055.6606828704</v>
      </c>
      <c r="AC4" s="187" t="n">
        <v>45057.9142592593</v>
      </c>
      <c r="AD4" s="180" t="n">
        <v>54.0858333333163</v>
      </c>
      <c r="AE4" s="187" t="n">
        <v>45055.6606828704</v>
      </c>
      <c r="AF4" s="187" t="n">
        <v>45057.9142592593</v>
      </c>
      <c r="AG4" s="180" t="n">
        <v>54.0858333333163</v>
      </c>
      <c r="AH4" s="180" t="n">
        <v>54.0858333333163</v>
      </c>
      <c r="AI4" s="187"/>
      <c r="AJ4" s="187"/>
      <c r="AK4" s="180"/>
      <c r="AL4" s="180"/>
      <c r="AM4" s="180" t="e">
        <f aca="false">(AE4-#REF!)*24</f>
        <v>#REF!</v>
      </c>
      <c r="AN4" s="180" t="e">
        <f aca="false">AM4+35</f>
        <v>#REF!</v>
      </c>
      <c r="AO4" s="186" t="n">
        <v>25</v>
      </c>
      <c r="AP4" s="188" t="s">
        <v>582</v>
      </c>
      <c r="AQ4" s="189" t="n">
        <v>45057.6797826389</v>
      </c>
      <c r="AR4" s="186" t="s">
        <v>599</v>
      </c>
      <c r="AS4" s="180" t="s">
        <v>584</v>
      </c>
      <c r="AT4" s="172" t="n">
        <v>50</v>
      </c>
      <c r="AU4" s="190" t="n">
        <v>45072.5833796296</v>
      </c>
      <c r="AV4" s="190" t="n">
        <v>45087.7510416667</v>
      </c>
      <c r="AW4" s="191" t="n">
        <v>364.023888889002</v>
      </c>
      <c r="AX4" s="172"/>
      <c r="AY4" s="172"/>
      <c r="AZ4" s="172"/>
      <c r="BA4" s="180"/>
      <c r="BB4" s="172"/>
      <c r="BC4" s="172"/>
      <c r="BD4" s="172"/>
      <c r="BE4" s="172"/>
      <c r="BF4" s="193" t="n">
        <v>3</v>
      </c>
      <c r="BG4" s="194" t="n">
        <v>1</v>
      </c>
      <c r="BH4" s="194" t="n">
        <v>2</v>
      </c>
      <c r="BI4" s="194"/>
      <c r="BJ4" s="194" t="s">
        <v>600</v>
      </c>
      <c r="BK4" s="195" t="s">
        <v>587</v>
      </c>
      <c r="BL4" s="194" t="n">
        <v>2</v>
      </c>
      <c r="BM4" s="196" t="n">
        <v>45202</v>
      </c>
      <c r="BN4" s="196" t="n">
        <f aca="false">AQ4+145</f>
        <v>45202.6797826389</v>
      </c>
      <c r="BO4" s="197" t="n">
        <f aca="false">BM4-AQ4</f>
        <v>144.320217361099</v>
      </c>
      <c r="BP4" s="197" t="s">
        <v>35</v>
      </c>
      <c r="BQ4" s="195" t="s">
        <v>587</v>
      </c>
      <c r="BR4" s="199" t="n">
        <v>0.66032</v>
      </c>
      <c r="BS4" s="199" t="n">
        <v>0.54225</v>
      </c>
      <c r="BT4" s="199" t="n">
        <v>0.2</v>
      </c>
      <c r="BU4" s="199" t="n">
        <v>1.1909</v>
      </c>
      <c r="BV4" s="199" t="n">
        <v>0.69729</v>
      </c>
      <c r="BW4" s="199" t="n">
        <v>0.97361</v>
      </c>
      <c r="BX4" s="199" t="n">
        <v>1.109</v>
      </c>
      <c r="BY4" s="199" t="n">
        <v>3.373</v>
      </c>
      <c r="BZ4" s="241" t="n">
        <v>2.0366</v>
      </c>
      <c r="CA4" s="199" t="n">
        <v>4.747</v>
      </c>
      <c r="CB4" s="199" t="n">
        <v>4.048</v>
      </c>
      <c r="CC4" s="200" t="s">
        <v>588</v>
      </c>
      <c r="CD4" s="202" t="s">
        <v>589</v>
      </c>
      <c r="CE4" s="200" t="s">
        <v>588</v>
      </c>
      <c r="CF4" s="202" t="s">
        <v>589</v>
      </c>
      <c r="CG4" s="200" t="s">
        <v>588</v>
      </c>
      <c r="CH4" s="202" t="s">
        <v>589</v>
      </c>
      <c r="CI4" s="242"/>
      <c r="CJ4" s="200" t="s">
        <v>595</v>
      </c>
      <c r="CK4" s="204" t="n">
        <v>5</v>
      </c>
      <c r="CL4" s="205" t="n">
        <v>0.05</v>
      </c>
      <c r="CM4" s="205" t="n">
        <v>0.05</v>
      </c>
      <c r="CN4" s="205" t="n">
        <v>0.05</v>
      </c>
      <c r="CO4" s="205" t="n">
        <v>0.05</v>
      </c>
      <c r="CP4" s="233" t="n">
        <v>0.23921</v>
      </c>
      <c r="CQ4" s="208" t="n">
        <v>0.23075</v>
      </c>
      <c r="CR4" s="232" t="n">
        <v>0.14117</v>
      </c>
      <c r="CS4" s="243" t="n">
        <v>0.085632</v>
      </c>
      <c r="CT4" s="205" t="n">
        <v>0.05</v>
      </c>
      <c r="CU4" s="205" t="n">
        <v>0.05</v>
      </c>
      <c r="CV4" s="205" t="n">
        <v>0.05</v>
      </c>
      <c r="CW4" s="205" t="n">
        <v>0.05</v>
      </c>
      <c r="CX4" s="208" t="n">
        <f aca="false">AVERAGE(CL4:CO4)</f>
        <v>0.05</v>
      </c>
      <c r="CY4" s="208" t="n">
        <f aca="false">_xlfn.STDEV.S(CL4:CO4)</f>
        <v>0</v>
      </c>
      <c r="CZ4" s="208" t="n">
        <v>0.1</v>
      </c>
      <c r="DA4" s="172" t="n">
        <v>48</v>
      </c>
      <c r="DB4" s="209" t="e">
        <f aca="false">#REF!+(DA4/24)</f>
        <v>#REF!</v>
      </c>
      <c r="DC4" s="210" t="n">
        <v>2</v>
      </c>
      <c r="DD4" s="210" t="n">
        <v>3.5</v>
      </c>
      <c r="DE4" s="180" t="n">
        <f aca="false">DD4-DC4</f>
        <v>1.5</v>
      </c>
      <c r="DF4" s="180" t="n">
        <f aca="false">MAX(CM4:CX4)</f>
        <v>0.23921</v>
      </c>
      <c r="DG4" s="211" t="e">
        <f aca="false">(DB4-AE4)*24</f>
        <v>#REF!</v>
      </c>
      <c r="DH4" s="195" t="s">
        <v>587</v>
      </c>
      <c r="DI4" s="244" t="e">
        <f aca="false">(AQ4-DB4)*24</f>
        <v>#REF!</v>
      </c>
      <c r="DJ4" s="245" t="s">
        <v>600</v>
      </c>
      <c r="DK4" s="188" t="s">
        <v>148</v>
      </c>
      <c r="DL4" s="238" t="n">
        <v>2</v>
      </c>
      <c r="DM4" s="240" t="s">
        <v>157</v>
      </c>
      <c r="DO4" s="246" t="s">
        <v>588</v>
      </c>
      <c r="DP4" s="247" t="n">
        <f aca="false">COUNTIF(CG3:CG52,"=NC")</f>
        <v>35</v>
      </c>
      <c r="DQ4" s="247" t="n">
        <f aca="false">COUNTIF(CH3:CH52,"=Oui")</f>
        <v>27</v>
      </c>
      <c r="DR4" s="248" t="s">
        <v>601</v>
      </c>
      <c r="DS4" s="248" t="s">
        <v>595</v>
      </c>
      <c r="DT4" s="249" t="n">
        <f aca="false">COUNTIF(CJ3:CJ52,"=CN")</f>
        <v>23</v>
      </c>
    </row>
    <row r="5" customFormat="false" ht="15.75" hidden="false" customHeight="true" outlineLevel="0" collapsed="false">
      <c r="A5" s="172" t="s">
        <v>152</v>
      </c>
      <c r="B5" s="238" t="n">
        <v>3</v>
      </c>
      <c r="C5" s="239" t="s">
        <v>162</v>
      </c>
      <c r="D5" s="240" t="s">
        <v>163</v>
      </c>
      <c r="E5" s="215" t="s">
        <v>164</v>
      </c>
      <c r="F5" s="239" t="n">
        <v>88611</v>
      </c>
      <c r="G5" s="193"/>
      <c r="H5" s="218" t="n">
        <v>43744</v>
      </c>
      <c r="I5" s="180" t="n">
        <v>3.59178082191781</v>
      </c>
      <c r="J5" s="218" t="n">
        <v>44850</v>
      </c>
      <c r="K5" s="219" t="n">
        <v>69.2</v>
      </c>
      <c r="L5" s="219" t="n">
        <v>3</v>
      </c>
      <c r="M5" s="220" t="n">
        <v>205</v>
      </c>
      <c r="N5" s="221" t="n">
        <v>295</v>
      </c>
      <c r="O5" s="221" t="n">
        <v>2968</v>
      </c>
      <c r="P5" s="221" t="n">
        <v>2891</v>
      </c>
      <c r="Q5" s="221" t="n">
        <v>2431</v>
      </c>
      <c r="R5" s="221" t="n">
        <v>2059</v>
      </c>
      <c r="S5" s="221" t="n">
        <v>1660</v>
      </c>
      <c r="T5" s="221" t="n">
        <v>1682</v>
      </c>
      <c r="U5" s="184" t="s">
        <v>602</v>
      </c>
      <c r="V5" s="185" t="n">
        <f aca="false">EXP(0.585+(0.102*I5)+(0.007*N5)-(0.001*T5)+(0.008*M5)-2.723)</f>
        <v>1.28577499286064</v>
      </c>
      <c r="W5" s="185" t="n">
        <f aca="false">(V5/(1+V5))</f>
        <v>0.562511619418626</v>
      </c>
      <c r="X5" s="185" t="n">
        <f aca="false">EXP(1.741+(0.011*N5)-(0.002*T5)+(0.275*I5)-1.952)</f>
        <v>1.93042411219538</v>
      </c>
      <c r="Y5" s="185" t="n">
        <f aca="false">(X5/(1+X5))</f>
        <v>0.658752466634998</v>
      </c>
      <c r="Z5" s="238" t="n">
        <v>3</v>
      </c>
      <c r="AA5" s="186" t="n">
        <v>43</v>
      </c>
      <c r="AB5" s="187" t="n">
        <v>45058.5172337963</v>
      </c>
      <c r="AC5" s="187" t="n">
        <v>45066.5277314815</v>
      </c>
      <c r="AD5" s="180" t="n">
        <v>192.251944444492</v>
      </c>
      <c r="AE5" s="187"/>
      <c r="AF5" s="187"/>
      <c r="AG5" s="180"/>
      <c r="AH5" s="180"/>
      <c r="AI5" s="187"/>
      <c r="AJ5" s="187"/>
      <c r="AK5" s="180"/>
      <c r="AL5" s="186"/>
      <c r="AM5" s="180"/>
      <c r="AN5" s="180"/>
      <c r="AO5" s="186" t="n">
        <v>2</v>
      </c>
      <c r="AP5" s="188" t="s">
        <v>582</v>
      </c>
      <c r="AQ5" s="189" t="n">
        <v>45057.6628827546</v>
      </c>
      <c r="AR5" s="188" t="s">
        <v>592</v>
      </c>
      <c r="AS5" s="180" t="s">
        <v>593</v>
      </c>
      <c r="AT5" s="172" t="n">
        <v>43</v>
      </c>
      <c r="AU5" s="190" t="n">
        <v>45071.494849537</v>
      </c>
      <c r="AV5" s="190" t="n">
        <v>45079.5065509259</v>
      </c>
      <c r="AW5" s="191" t="n">
        <v>192.280833333498</v>
      </c>
      <c r="AX5" s="172"/>
      <c r="AY5" s="172"/>
      <c r="AZ5" s="172"/>
      <c r="BA5" s="180"/>
      <c r="BB5" s="172"/>
      <c r="BC5" s="172"/>
      <c r="BD5" s="172"/>
      <c r="BE5" s="172"/>
      <c r="BF5" s="193" t="n">
        <v>2</v>
      </c>
      <c r="BG5" s="194" t="n">
        <v>1</v>
      </c>
      <c r="BH5" s="194" t="n">
        <v>2</v>
      </c>
      <c r="BI5" s="194"/>
      <c r="BJ5" s="194" t="s">
        <v>600</v>
      </c>
      <c r="BK5" s="195" t="s">
        <v>603</v>
      </c>
      <c r="BL5" s="194" t="n">
        <v>2</v>
      </c>
      <c r="BM5" s="196" t="n">
        <v>45207</v>
      </c>
      <c r="BN5" s="196" t="n">
        <f aca="false">AQ5+145</f>
        <v>45202.6628827546</v>
      </c>
      <c r="BO5" s="197" t="n">
        <f aca="false">BM5-AQ5</f>
        <v>149.337117245399</v>
      </c>
      <c r="BP5" s="197" t="s">
        <v>35</v>
      </c>
      <c r="BQ5" s="195" t="s">
        <v>603</v>
      </c>
      <c r="BR5" s="199" t="n">
        <v>1.1772</v>
      </c>
      <c r="BS5" s="199" t="n">
        <v>0.87906</v>
      </c>
      <c r="BT5" s="199" t="n">
        <v>1.0367</v>
      </c>
      <c r="BU5" s="199" t="n">
        <v>1.3479</v>
      </c>
      <c r="BV5" s="199" t="n">
        <v>1.3153</v>
      </c>
      <c r="BW5" s="199" t="n">
        <v>0.97811</v>
      </c>
      <c r="BX5" s="199" t="n">
        <v>1.4612</v>
      </c>
      <c r="BY5" s="199" t="n">
        <v>1.8808</v>
      </c>
      <c r="BZ5" s="250" t="n">
        <v>2.3286</v>
      </c>
      <c r="CA5" s="199" t="n">
        <v>3.7812</v>
      </c>
      <c r="CB5" s="199" t="n">
        <v>3.3981</v>
      </c>
      <c r="CC5" s="200" t="s">
        <v>588</v>
      </c>
      <c r="CD5" s="202" t="s">
        <v>589</v>
      </c>
      <c r="CE5" s="251" t="s">
        <v>65</v>
      </c>
      <c r="CF5" s="252"/>
      <c r="CG5" s="200" t="s">
        <v>588</v>
      </c>
      <c r="CH5" s="202" t="s">
        <v>589</v>
      </c>
      <c r="CI5" s="203"/>
      <c r="CJ5" s="200" t="s">
        <v>595</v>
      </c>
      <c r="CK5" s="204" t="n">
        <v>5</v>
      </c>
      <c r="CL5" s="205" t="n">
        <v>0.05</v>
      </c>
      <c r="CM5" s="205" t="n">
        <v>0.05</v>
      </c>
      <c r="CN5" s="205" t="n">
        <v>0.05</v>
      </c>
      <c r="CO5" s="205" t="n">
        <v>0.05</v>
      </c>
      <c r="CP5" s="205" t="n">
        <v>0.05</v>
      </c>
      <c r="CQ5" s="233" t="n">
        <v>0.8449</v>
      </c>
      <c r="CR5" s="232" t="n">
        <v>0.38095</v>
      </c>
      <c r="CS5" s="243" t="n">
        <v>0.077963</v>
      </c>
      <c r="CT5" s="205" t="n">
        <v>0.05</v>
      </c>
      <c r="CU5" s="205" t="n">
        <v>0.05</v>
      </c>
      <c r="CV5" s="205" t="n">
        <v>0.05</v>
      </c>
      <c r="CW5" s="205" t="n">
        <v>0.05</v>
      </c>
      <c r="CX5" s="208" t="n">
        <f aca="false">AVERAGE(CL5:CO5)</f>
        <v>0.05</v>
      </c>
      <c r="CY5" s="208" t="n">
        <f aca="false">_xlfn.STDEV.S(CL5:CO5)</f>
        <v>0</v>
      </c>
      <c r="CZ5" s="208" t="n">
        <v>0.1</v>
      </c>
      <c r="DA5" s="186" t="n">
        <v>60</v>
      </c>
      <c r="DB5" s="209" t="e">
        <f aca="false">#REF!+(DA5/24)</f>
        <v>#REF!</v>
      </c>
      <c r="DC5" s="210" t="n">
        <v>2.5</v>
      </c>
      <c r="DD5" s="210" t="n">
        <v>3.5</v>
      </c>
      <c r="DE5" s="180" t="n">
        <f aca="false">DD5-DC5</f>
        <v>1</v>
      </c>
      <c r="DF5" s="180" t="n">
        <f aca="false">MAX(CM5:CX5)</f>
        <v>0.8449</v>
      </c>
      <c r="DG5" s="211"/>
      <c r="DH5" s="195" t="s">
        <v>603</v>
      </c>
      <c r="DI5" s="244" t="e">
        <f aca="false">(AQ5-DB5)*24</f>
        <v>#REF!</v>
      </c>
      <c r="DJ5" s="245" t="s">
        <v>600</v>
      </c>
      <c r="DK5" s="172" t="s">
        <v>152</v>
      </c>
      <c r="DL5" s="238" t="n">
        <v>3</v>
      </c>
      <c r="DM5" s="240" t="s">
        <v>163</v>
      </c>
    </row>
    <row r="6" customFormat="false" ht="15.75" hidden="false" customHeight="true" outlineLevel="0" collapsed="false">
      <c r="A6" s="188" t="s">
        <v>148</v>
      </c>
      <c r="B6" s="238" t="n">
        <v>4</v>
      </c>
      <c r="C6" s="239" t="s">
        <v>168</v>
      </c>
      <c r="D6" s="240" t="s">
        <v>169</v>
      </c>
      <c r="E6" s="215" t="s">
        <v>170</v>
      </c>
      <c r="F6" s="239" t="n">
        <v>88614</v>
      </c>
      <c r="G6" s="193"/>
      <c r="H6" s="218" t="n">
        <v>43744</v>
      </c>
      <c r="I6" s="180" t="n">
        <v>3.59178082191781</v>
      </c>
      <c r="J6" s="218" t="n">
        <v>44850</v>
      </c>
      <c r="K6" s="219" t="n">
        <v>73.4</v>
      </c>
      <c r="L6" s="219" t="n">
        <v>4.25</v>
      </c>
      <c r="M6" s="220" t="n">
        <v>205</v>
      </c>
      <c r="N6" s="221" t="n">
        <v>194</v>
      </c>
      <c r="O6" s="221" t="n">
        <v>2142</v>
      </c>
      <c r="P6" s="221" t="n">
        <v>1635</v>
      </c>
      <c r="Q6" s="221" t="n">
        <v>1144</v>
      </c>
      <c r="R6" s="221" t="n">
        <v>761</v>
      </c>
      <c r="S6" s="221" t="n">
        <v>730</v>
      </c>
      <c r="T6" s="221" t="n">
        <v>609</v>
      </c>
      <c r="U6" s="253"/>
      <c r="V6" s="185" t="n">
        <f aca="false">EXP(1.204+(0.102*I6)+(0.007*N6)-(0.001*T6)+(0.008*M6)-2.723)</f>
        <v>3.4430635565736</v>
      </c>
      <c r="W6" s="185" t="n">
        <f aca="false">(V6/(1+V6))</f>
        <v>0.77493007082456</v>
      </c>
      <c r="X6" s="185" t="n">
        <f aca="false">EXP(2.859+(0.011*N6)-(0.002*T6)+(0.275*I6)-1.952)</f>
        <v>16.6222095531556</v>
      </c>
      <c r="Y6" s="185" t="n">
        <f aca="false">(X6/(1+X6))</f>
        <v>0.943253427047068</v>
      </c>
      <c r="Z6" s="238" t="n">
        <v>4</v>
      </c>
      <c r="AA6" s="186" t="n">
        <v>52</v>
      </c>
      <c r="AB6" s="187" t="n">
        <v>45056.4045486111</v>
      </c>
      <c r="AC6" s="187" t="n">
        <v>45056.9170486111</v>
      </c>
      <c r="AD6" s="180" t="n">
        <v>12.2999999999302</v>
      </c>
      <c r="AE6" s="187" t="n">
        <v>45056.4045486111</v>
      </c>
      <c r="AF6" s="187" t="n">
        <v>45056.9170486111</v>
      </c>
      <c r="AG6" s="180" t="n">
        <v>12.2999999999302</v>
      </c>
      <c r="AH6" s="180" t="n">
        <v>12.2999999999302</v>
      </c>
      <c r="AI6" s="187"/>
      <c r="AJ6" s="187"/>
      <c r="AK6" s="180"/>
      <c r="AL6" s="180"/>
      <c r="AM6" s="180" t="e">
        <f aca="false">(AE6-#REF!)*24</f>
        <v>#REF!</v>
      </c>
      <c r="AN6" s="180" t="e">
        <f aca="false">AM6+35</f>
        <v>#REF!</v>
      </c>
      <c r="AO6" s="186" t="n">
        <v>26</v>
      </c>
      <c r="AP6" s="186" t="s">
        <v>589</v>
      </c>
      <c r="AQ6" s="189" t="n">
        <v>45057.6856326389</v>
      </c>
      <c r="AR6" s="188" t="s">
        <v>592</v>
      </c>
      <c r="AS6" s="180" t="s">
        <v>584</v>
      </c>
      <c r="AT6" s="172"/>
      <c r="AU6" s="172"/>
      <c r="AV6" s="172"/>
      <c r="AW6" s="172"/>
      <c r="AX6" s="172"/>
      <c r="AY6" s="172"/>
      <c r="AZ6" s="172"/>
      <c r="BA6" s="180"/>
      <c r="BB6" s="172"/>
      <c r="BC6" s="172"/>
      <c r="BD6" s="172"/>
      <c r="BE6" s="172"/>
      <c r="BF6" s="193"/>
      <c r="BG6" s="194" t="n">
        <v>1</v>
      </c>
      <c r="BH6" s="194" t="n">
        <v>2</v>
      </c>
      <c r="BI6" s="194"/>
      <c r="BJ6" s="194" t="s">
        <v>600</v>
      </c>
      <c r="BK6" s="195" t="s">
        <v>587</v>
      </c>
      <c r="BL6" s="194" t="n">
        <v>2</v>
      </c>
      <c r="BM6" s="196" t="n">
        <v>45204</v>
      </c>
      <c r="BN6" s="196" t="n">
        <f aca="false">AQ6+145</f>
        <v>45202.6856326389</v>
      </c>
      <c r="BO6" s="197" t="n">
        <f aca="false">BM6-AQ6</f>
        <v>146.314367361098</v>
      </c>
      <c r="BP6" s="197" t="s">
        <v>35</v>
      </c>
      <c r="BQ6" s="195" t="s">
        <v>587</v>
      </c>
      <c r="BR6" s="199" t="n">
        <v>3.7717</v>
      </c>
      <c r="BS6" s="199" t="n">
        <v>2.1823</v>
      </c>
      <c r="BT6" s="199" t="n">
        <v>1.4612</v>
      </c>
      <c r="BU6" s="199" t="n">
        <v>2.287</v>
      </c>
      <c r="BV6" s="199" t="n">
        <v>1.2644</v>
      </c>
      <c r="BW6" s="254" t="n">
        <v>1.405</v>
      </c>
      <c r="BX6" s="199" t="n">
        <v>1.7872</v>
      </c>
      <c r="BY6" s="250" t="n">
        <v>2.2111</v>
      </c>
      <c r="BZ6" s="199" t="n">
        <v>3.8002</v>
      </c>
      <c r="CA6" s="199" t="n">
        <v>5.1973</v>
      </c>
      <c r="CB6" s="199" t="n">
        <v>4.8115</v>
      </c>
      <c r="CC6" s="251" t="s">
        <v>65</v>
      </c>
      <c r="CD6" s="201"/>
      <c r="CE6" s="251" t="s">
        <v>65</v>
      </c>
      <c r="CF6" s="201"/>
      <c r="CG6" s="251" t="s">
        <v>65</v>
      </c>
      <c r="CH6" s="201"/>
      <c r="CI6" s="200" t="s">
        <v>595</v>
      </c>
      <c r="CJ6" s="242"/>
      <c r="CK6" s="204" t="n">
        <v>6</v>
      </c>
      <c r="CL6" s="205" t="n">
        <v>0.05</v>
      </c>
      <c r="CM6" s="205" t="n">
        <v>0.05</v>
      </c>
      <c r="CN6" s="205" t="n">
        <v>0.05</v>
      </c>
      <c r="CO6" s="205" t="n">
        <v>0.05</v>
      </c>
      <c r="CP6" s="233" t="n">
        <v>0.3902</v>
      </c>
      <c r="CQ6" s="208" t="n">
        <v>0.21098</v>
      </c>
      <c r="CR6" s="232" t="n">
        <v>0.10985</v>
      </c>
      <c r="CS6" s="205" t="n">
        <v>0.05</v>
      </c>
      <c r="CT6" s="205" t="n">
        <v>0.05</v>
      </c>
      <c r="CU6" s="205" t="n">
        <v>0.05</v>
      </c>
      <c r="CV6" s="205" t="n">
        <v>0.05</v>
      </c>
      <c r="CW6" s="205" t="n">
        <v>0.05</v>
      </c>
      <c r="CX6" s="208" t="n">
        <f aca="false">AVERAGE(CL6:CO6)</f>
        <v>0.05</v>
      </c>
      <c r="CY6" s="208" t="n">
        <f aca="false">_xlfn.STDEV.S(CL6:CO6)</f>
        <v>0</v>
      </c>
      <c r="CZ6" s="208" t="n">
        <v>0.1</v>
      </c>
      <c r="DA6" s="172" t="n">
        <v>48</v>
      </c>
      <c r="DB6" s="209" t="e">
        <f aca="false">#REF!+(DA6/24)</f>
        <v>#REF!</v>
      </c>
      <c r="DC6" s="210" t="n">
        <v>2</v>
      </c>
      <c r="DD6" s="210" t="n">
        <v>3.5</v>
      </c>
      <c r="DE6" s="180" t="n">
        <f aca="false">DD6-DC6</f>
        <v>1.5</v>
      </c>
      <c r="DF6" s="180" t="n">
        <f aca="false">MAX(CM6:CX6)</f>
        <v>0.3902</v>
      </c>
      <c r="DG6" s="211" t="e">
        <f aca="false">(DB6-AE6)*24</f>
        <v>#REF!</v>
      </c>
      <c r="DH6" s="195" t="s">
        <v>587</v>
      </c>
      <c r="DI6" s="244" t="e">
        <f aca="false">(AQ6-DB6)*24</f>
        <v>#REF!</v>
      </c>
      <c r="DJ6" s="245" t="s">
        <v>600</v>
      </c>
      <c r="DK6" s="188" t="s">
        <v>148</v>
      </c>
      <c r="DL6" s="238" t="n">
        <v>4</v>
      </c>
      <c r="DM6" s="240" t="s">
        <v>169</v>
      </c>
      <c r="DO6" s="255"/>
      <c r="DP6" s="235"/>
      <c r="DQ6" s="235"/>
      <c r="DR6" s="242"/>
      <c r="DS6" s="242" t="s">
        <v>604</v>
      </c>
      <c r="DT6" s="256" t="n">
        <f aca="false">COUNTIF(CJ4:CJ53,"=CC")</f>
        <v>0</v>
      </c>
    </row>
    <row r="7" customFormat="false" ht="15.75" hidden="false" customHeight="true" outlineLevel="0" collapsed="false">
      <c r="A7" s="172" t="s">
        <v>152</v>
      </c>
      <c r="B7" s="238" t="n">
        <v>5</v>
      </c>
      <c r="C7" s="239" t="s">
        <v>177</v>
      </c>
      <c r="D7" s="240" t="s">
        <v>178</v>
      </c>
      <c r="E7" s="215" t="s">
        <v>179</v>
      </c>
      <c r="F7" s="239" t="n">
        <v>89213</v>
      </c>
      <c r="G7" s="193"/>
      <c r="H7" s="218" t="n">
        <v>43745</v>
      </c>
      <c r="I7" s="180" t="n">
        <v>3.58904109589041</v>
      </c>
      <c r="J7" s="218" t="n">
        <v>44846</v>
      </c>
      <c r="K7" s="219" t="n">
        <v>74.6</v>
      </c>
      <c r="L7" s="219" t="n">
        <v>3.25</v>
      </c>
      <c r="M7" s="220" t="n">
        <v>209</v>
      </c>
      <c r="N7" s="221" t="n">
        <v>278</v>
      </c>
      <c r="O7" s="221" t="n">
        <v>2570</v>
      </c>
      <c r="P7" s="221" t="n">
        <v>1898</v>
      </c>
      <c r="Q7" s="221" t="n">
        <v>1888</v>
      </c>
      <c r="R7" s="221" t="n">
        <v>1466</v>
      </c>
      <c r="S7" s="221" t="n">
        <v>1295</v>
      </c>
      <c r="T7" s="221" t="n">
        <v>1537</v>
      </c>
      <c r="U7" s="257"/>
      <c r="V7" s="185" t="n">
        <f aca="false">EXP(1.204+(0.102*I7)+(0.007*N7)-(0.001*T7)+(0.008*M7)-2.723)</f>
        <v>2.5296531330549</v>
      </c>
      <c r="W7" s="185" t="n">
        <f aca="false">(V7/(1+V7))</f>
        <v>0.716686041856327</v>
      </c>
      <c r="X7" s="185" t="n">
        <f aca="false">EXP(2.859+(0.011*N7)-(0.002*T7)+(0.275*I7)-1.952)</f>
        <v>6.54032135668595</v>
      </c>
      <c r="Y7" s="185" t="n">
        <f aca="false">(X7/(1+X7))</f>
        <v>0.867379657617204</v>
      </c>
      <c r="Z7" s="238" t="n">
        <v>5</v>
      </c>
      <c r="AA7" s="186" t="n">
        <v>17</v>
      </c>
      <c r="AB7" s="187" t="n">
        <v>45056.0749305556</v>
      </c>
      <c r="AC7" s="187" t="n">
        <v>45064.6671527778</v>
      </c>
      <c r="AD7" s="180" t="n">
        <v>206.213333333319</v>
      </c>
      <c r="AE7" s="187" t="n">
        <v>45056.0749305556</v>
      </c>
      <c r="AF7" s="187" t="n">
        <v>45057.7956365741</v>
      </c>
      <c r="AG7" s="180" t="n">
        <v>41.296944444417</v>
      </c>
      <c r="AH7" s="180" t="n">
        <v>41.296944444417</v>
      </c>
      <c r="AI7" s="187"/>
      <c r="AJ7" s="187"/>
      <c r="AK7" s="180"/>
      <c r="AL7" s="180"/>
      <c r="AM7" s="180" t="e">
        <f aca="false">(AE7-#REF!)*24</f>
        <v>#REF!</v>
      </c>
      <c r="AN7" s="180" t="e">
        <f aca="false">AM7+35</f>
        <v>#REF!</v>
      </c>
      <c r="AO7" s="186" t="n">
        <v>28</v>
      </c>
      <c r="AP7" s="188" t="s">
        <v>582</v>
      </c>
      <c r="AQ7" s="189" t="n">
        <v>45057.6602586806</v>
      </c>
      <c r="AR7" s="188" t="s">
        <v>592</v>
      </c>
      <c r="AS7" s="180" t="s">
        <v>593</v>
      </c>
      <c r="AT7" s="172"/>
      <c r="AU7" s="172"/>
      <c r="AV7" s="172"/>
      <c r="AW7" s="172"/>
      <c r="AX7" s="172"/>
      <c r="AY7" s="172"/>
      <c r="AZ7" s="172"/>
      <c r="BA7" s="180"/>
      <c r="BB7" s="172"/>
      <c r="BC7" s="172"/>
      <c r="BD7" s="172"/>
      <c r="BE7" s="172"/>
      <c r="BF7" s="193"/>
      <c r="BG7" s="194" t="s">
        <v>605</v>
      </c>
      <c r="BH7" s="194" t="n">
        <v>0</v>
      </c>
      <c r="BI7" s="194"/>
      <c r="BJ7" s="194" t="s">
        <v>605</v>
      </c>
      <c r="BK7" s="195"/>
      <c r="BL7" s="194"/>
      <c r="BM7" s="196" t="s">
        <v>605</v>
      </c>
      <c r="BN7" s="196" t="n">
        <f aca="false">AQ7+145</f>
        <v>45202.6602586806</v>
      </c>
      <c r="BO7" s="197"/>
      <c r="BP7" s="197" t="s">
        <v>585</v>
      </c>
      <c r="BQ7" s="195"/>
      <c r="BR7" s="199" t="n">
        <v>0.63704</v>
      </c>
      <c r="BS7" s="199" t="n">
        <v>4.25</v>
      </c>
      <c r="BT7" s="199" t="n">
        <v>1.0232</v>
      </c>
      <c r="BU7" s="199" t="n">
        <v>1.3713</v>
      </c>
      <c r="BV7" s="199" t="n">
        <v>1.0277</v>
      </c>
      <c r="BW7" s="199" t="n">
        <v>1.1499</v>
      </c>
      <c r="BX7" s="254" t="n">
        <v>1.8327</v>
      </c>
      <c r="BY7" s="250" t="n">
        <v>2.4442</v>
      </c>
      <c r="BZ7" s="199" t="n">
        <v>2.5067</v>
      </c>
      <c r="CA7" s="199" t="n">
        <v>3.7529</v>
      </c>
      <c r="CB7" s="199" t="n">
        <v>3.7907</v>
      </c>
      <c r="CC7" s="251" t="s">
        <v>65</v>
      </c>
      <c r="CD7" s="201"/>
      <c r="CE7" s="251" t="s">
        <v>65</v>
      </c>
      <c r="CF7" s="201"/>
      <c r="CG7" s="251" t="s">
        <v>65</v>
      </c>
      <c r="CH7" s="201"/>
      <c r="CI7" s="200" t="s">
        <v>595</v>
      </c>
      <c r="CJ7" s="203"/>
      <c r="CK7" s="204" t="n">
        <v>4</v>
      </c>
      <c r="CL7" s="205" t="n">
        <v>0.05</v>
      </c>
      <c r="CM7" s="205" t="n">
        <v>0.05</v>
      </c>
      <c r="CN7" s="205" t="n">
        <v>0.05</v>
      </c>
      <c r="CO7" s="205" t="n">
        <v>0.05</v>
      </c>
      <c r="CP7" s="232" t="n">
        <v>0.18785</v>
      </c>
      <c r="CQ7" s="233" t="n">
        <v>0.21832</v>
      </c>
      <c r="CR7" s="232" t="n">
        <v>0.1306</v>
      </c>
      <c r="CS7" s="205" t="n">
        <v>0.05</v>
      </c>
      <c r="CT7" s="205" t="n">
        <v>0.05</v>
      </c>
      <c r="CU7" s="205" t="n">
        <v>0.05</v>
      </c>
      <c r="CV7" s="205" t="n">
        <v>0.05</v>
      </c>
      <c r="CW7" s="205" t="n">
        <v>0.05</v>
      </c>
      <c r="CX7" s="208" t="n">
        <f aca="false">AVERAGE(CL7:CO7)</f>
        <v>0.05</v>
      </c>
      <c r="CY7" s="208" t="n">
        <f aca="false">_xlfn.STDEV.S(CL7:CO7)</f>
        <v>0</v>
      </c>
      <c r="CZ7" s="208" t="n">
        <v>0.1</v>
      </c>
      <c r="DA7" s="172" t="n">
        <v>48</v>
      </c>
      <c r="DB7" s="209" t="e">
        <f aca="false">#REF!+(DA7/24)</f>
        <v>#REF!</v>
      </c>
      <c r="DC7" s="210" t="n">
        <v>2</v>
      </c>
      <c r="DD7" s="210" t="n">
        <v>3.5</v>
      </c>
      <c r="DE7" s="180" t="n">
        <f aca="false">DD7-DC7</f>
        <v>1.5</v>
      </c>
      <c r="DF7" s="180" t="n">
        <f aca="false">MAX(CM7:CX7)</f>
        <v>0.21832</v>
      </c>
      <c r="DG7" s="211" t="e">
        <f aca="false">(DB7-AE7)*24</f>
        <v>#REF!</v>
      </c>
      <c r="DH7" s="195" t="s">
        <v>587</v>
      </c>
      <c r="DI7" s="211" t="e">
        <f aca="false">(AQ7-DB7)*24</f>
        <v>#REF!</v>
      </c>
      <c r="DJ7" s="194" t="s">
        <v>605</v>
      </c>
      <c r="DK7" s="172" t="s">
        <v>152</v>
      </c>
      <c r="DL7" s="238" t="n">
        <v>5</v>
      </c>
      <c r="DM7" s="240" t="s">
        <v>178</v>
      </c>
    </row>
    <row r="8" customFormat="false" ht="15.75" hidden="false" customHeight="true" outlineLevel="0" collapsed="false">
      <c r="A8" s="188" t="s">
        <v>148</v>
      </c>
      <c r="B8" s="238" t="n">
        <v>6</v>
      </c>
      <c r="C8" s="239" t="s">
        <v>174</v>
      </c>
      <c r="D8" s="240" t="s">
        <v>175</v>
      </c>
      <c r="E8" s="215" t="s">
        <v>176</v>
      </c>
      <c r="F8" s="239" t="n">
        <v>89257</v>
      </c>
      <c r="G8" s="193"/>
      <c r="H8" s="218" t="n">
        <v>43745</v>
      </c>
      <c r="I8" s="180" t="n">
        <v>3.58904109589041</v>
      </c>
      <c r="J8" s="218" t="n">
        <v>44846</v>
      </c>
      <c r="K8" s="219" t="n">
        <v>85</v>
      </c>
      <c r="L8" s="219" t="n">
        <v>4.5</v>
      </c>
      <c r="M8" s="220" t="n">
        <v>209</v>
      </c>
      <c r="N8" s="221" t="n">
        <v>224</v>
      </c>
      <c r="O8" s="221" t="n">
        <v>2020</v>
      </c>
      <c r="P8" s="221" t="n">
        <v>1577</v>
      </c>
      <c r="Q8" s="221" t="n">
        <v>1287</v>
      </c>
      <c r="R8" s="221" t="n">
        <v>1354</v>
      </c>
      <c r="S8" s="221" t="n">
        <v>1029</v>
      </c>
      <c r="T8" s="221" t="n">
        <v>1876</v>
      </c>
      <c r="U8" s="222" t="s">
        <v>602</v>
      </c>
      <c r="V8" s="185" t="n">
        <f aca="false">EXP(1.204+(0.102*I8)+(0.007*N8)-(0.001*T8)+(0.008*M8)-2.723)</f>
        <v>1.23501385887835</v>
      </c>
      <c r="W8" s="185" t="n">
        <f aca="false">(V8/(1+V8))</f>
        <v>0.552575481343165</v>
      </c>
      <c r="X8" s="185" t="n">
        <f aca="false">EXP(2.859+(0.011*N8)-(0.002*T8)+(0.275*I8)-1.952)</f>
        <v>1.83305926645315</v>
      </c>
      <c r="Y8" s="185" t="n">
        <f aca="false">(X8/(1+X8))</f>
        <v>0.64702468040778</v>
      </c>
      <c r="Z8" s="238" t="n">
        <v>6</v>
      </c>
      <c r="AA8" s="186" t="n">
        <v>63</v>
      </c>
      <c r="AB8" s="187" t="n">
        <v>45057.0264699074</v>
      </c>
      <c r="AC8" s="187" t="n">
        <v>45057.2253240741</v>
      </c>
      <c r="AD8" s="180" t="n">
        <v>4.77249999996275</v>
      </c>
      <c r="AE8" s="187" t="n">
        <v>45057.0264699074</v>
      </c>
      <c r="AF8" s="187" t="n">
        <v>45057.2253240741</v>
      </c>
      <c r="AG8" s="180" t="n">
        <v>4.77249999996275</v>
      </c>
      <c r="AH8" s="180" t="n">
        <v>4.77249999996275</v>
      </c>
      <c r="AI8" s="187"/>
      <c r="AJ8" s="187"/>
      <c r="AK8" s="180"/>
      <c r="AL8" s="180"/>
      <c r="AM8" s="180" t="e">
        <f aca="false">(AE8-#REF!)*24</f>
        <v>#REF!</v>
      </c>
      <c r="AN8" s="180" t="e">
        <f aca="false">AM8+35</f>
        <v>#REF!</v>
      </c>
      <c r="AO8" s="186" t="n">
        <v>5</v>
      </c>
      <c r="AP8" s="186" t="s">
        <v>589</v>
      </c>
      <c r="AQ8" s="189" t="n">
        <v>45057.6822490741</v>
      </c>
      <c r="AR8" s="188" t="s">
        <v>592</v>
      </c>
      <c r="AS8" s="180" t="s">
        <v>593</v>
      </c>
      <c r="AT8" s="172"/>
      <c r="AU8" s="172"/>
      <c r="AV8" s="172"/>
      <c r="AW8" s="172"/>
      <c r="AX8" s="172"/>
      <c r="AY8" s="172"/>
      <c r="AZ8" s="172"/>
      <c r="BA8" s="180"/>
      <c r="BB8" s="172"/>
      <c r="BC8" s="172"/>
      <c r="BD8" s="172"/>
      <c r="BE8" s="172"/>
      <c r="BF8" s="193"/>
      <c r="BG8" s="194" t="n">
        <v>1</v>
      </c>
      <c r="BH8" s="194" t="n">
        <v>3</v>
      </c>
      <c r="BI8" s="194"/>
      <c r="BJ8" s="194" t="s">
        <v>600</v>
      </c>
      <c r="BK8" s="195" t="s">
        <v>587</v>
      </c>
      <c r="BL8" s="194" t="n">
        <v>2</v>
      </c>
      <c r="BM8" s="196" t="n">
        <v>45204</v>
      </c>
      <c r="BN8" s="196" t="n">
        <f aca="false">AQ8+145</f>
        <v>45202.6822490741</v>
      </c>
      <c r="BO8" s="197" t="n">
        <f aca="false">BM8-AQ8</f>
        <v>146.317750925897</v>
      </c>
      <c r="BP8" s="197" t="s">
        <v>35</v>
      </c>
      <c r="BQ8" s="195" t="s">
        <v>587</v>
      </c>
      <c r="BR8" s="258" t="n">
        <v>1.9444</v>
      </c>
      <c r="BS8" s="199" t="n">
        <v>6.4829</v>
      </c>
      <c r="BT8" s="199" t="n">
        <v>0.83501</v>
      </c>
      <c r="BU8" s="199" t="n">
        <v>1.7718</v>
      </c>
      <c r="BV8" s="199" t="n">
        <v>0.9421</v>
      </c>
      <c r="BW8" s="199" t="n">
        <v>1.4851</v>
      </c>
      <c r="BX8" s="250" t="n">
        <v>2.4753</v>
      </c>
      <c r="BY8" s="199" t="n">
        <v>2.8322</v>
      </c>
      <c r="BZ8" s="199" t="n">
        <v>3.697</v>
      </c>
      <c r="CA8" s="199" t="n">
        <v>5.1538</v>
      </c>
      <c r="CB8" s="199" t="n">
        <v>6.1641</v>
      </c>
      <c r="CC8" s="251" t="s">
        <v>65</v>
      </c>
      <c r="CD8" s="201"/>
      <c r="CE8" s="251" t="s">
        <v>65</v>
      </c>
      <c r="CF8" s="201"/>
      <c r="CG8" s="251" t="s">
        <v>65</v>
      </c>
      <c r="CH8" s="201"/>
      <c r="CI8" s="200" t="s">
        <v>595</v>
      </c>
      <c r="CJ8" s="242"/>
      <c r="CK8" s="204" t="n">
        <v>4</v>
      </c>
      <c r="CL8" s="205" t="n">
        <v>0.05</v>
      </c>
      <c r="CM8" s="205" t="n">
        <v>0.05</v>
      </c>
      <c r="CN8" s="205" t="n">
        <v>0.05</v>
      </c>
      <c r="CO8" s="205" t="n">
        <v>0.05</v>
      </c>
      <c r="CP8" s="233" t="n">
        <v>0.43774</v>
      </c>
      <c r="CQ8" s="232" t="n">
        <v>0.14856</v>
      </c>
      <c r="CR8" s="243" t="n">
        <v>0.075081</v>
      </c>
      <c r="CS8" s="205" t="n">
        <v>0.05</v>
      </c>
      <c r="CT8" s="205" t="n">
        <v>0.05</v>
      </c>
      <c r="CU8" s="205" t="n">
        <v>0.05</v>
      </c>
      <c r="CV8" s="205" t="n">
        <v>0.05</v>
      </c>
      <c r="CW8" s="205" t="n">
        <v>0.05</v>
      </c>
      <c r="CX8" s="208" t="n">
        <f aca="false">AVERAGE(CL8:CO8)</f>
        <v>0.05</v>
      </c>
      <c r="CY8" s="208" t="n">
        <f aca="false">_xlfn.STDEV.S(CL8:CO8)</f>
        <v>0</v>
      </c>
      <c r="CZ8" s="208" t="n">
        <v>0.1</v>
      </c>
      <c r="DA8" s="172" t="n">
        <v>48</v>
      </c>
      <c r="DB8" s="209" t="e">
        <f aca="false">#REF!+(DA8/24)</f>
        <v>#REF!</v>
      </c>
      <c r="DC8" s="210" t="n">
        <v>2</v>
      </c>
      <c r="DD8" s="210" t="n">
        <v>3</v>
      </c>
      <c r="DE8" s="180" t="n">
        <f aca="false">DD8-DC8</f>
        <v>1</v>
      </c>
      <c r="DF8" s="180" t="n">
        <f aca="false">MAX(CM8:CX8)</f>
        <v>0.43774</v>
      </c>
      <c r="DG8" s="211" t="e">
        <f aca="false">(DB8-AE8)*24</f>
        <v>#REF!</v>
      </c>
      <c r="DH8" s="195" t="s">
        <v>587</v>
      </c>
      <c r="DI8" s="244" t="e">
        <f aca="false">(AQ8-DB8)*24</f>
        <v>#REF!</v>
      </c>
      <c r="DJ8" s="245" t="s">
        <v>600</v>
      </c>
      <c r="DK8" s="188" t="s">
        <v>148</v>
      </c>
      <c r="DL8" s="238" t="n">
        <v>6</v>
      </c>
      <c r="DM8" s="240" t="s">
        <v>175</v>
      </c>
      <c r="DO8" s="255"/>
      <c r="DP8" s="235"/>
      <c r="DQ8" s="235"/>
      <c r="DR8" s="242"/>
      <c r="DS8" s="242" t="s">
        <v>590</v>
      </c>
      <c r="DT8" s="256" t="n">
        <f aca="false">COUNTIF(CJ5:CJ54,"=nd")</f>
        <v>9</v>
      </c>
    </row>
    <row r="9" customFormat="false" ht="15.75" hidden="false" customHeight="true" outlineLevel="0" collapsed="false">
      <c r="A9" s="172" t="s">
        <v>152</v>
      </c>
      <c r="B9" s="238" t="n">
        <v>7</v>
      </c>
      <c r="C9" s="239" t="s">
        <v>192</v>
      </c>
      <c r="D9" s="240" t="s">
        <v>193</v>
      </c>
      <c r="E9" s="215" t="s">
        <v>194</v>
      </c>
      <c r="F9" s="239" t="n">
        <v>89154</v>
      </c>
      <c r="G9" s="193" t="s">
        <v>195</v>
      </c>
      <c r="H9" s="218" t="n">
        <v>43745</v>
      </c>
      <c r="I9" s="180" t="n">
        <v>3.58904109589041</v>
      </c>
      <c r="J9" s="218" t="n">
        <v>44862</v>
      </c>
      <c r="K9" s="219" t="n">
        <v>84.2</v>
      </c>
      <c r="L9" s="219" t="n">
        <v>4.25</v>
      </c>
      <c r="M9" s="220" t="n">
        <v>193</v>
      </c>
      <c r="N9" s="221" t="n">
        <v>330</v>
      </c>
      <c r="O9" s="221"/>
      <c r="P9" s="221" t="n">
        <v>2394</v>
      </c>
      <c r="Q9" s="221" t="n">
        <v>2374</v>
      </c>
      <c r="R9" s="221" t="n">
        <v>1777</v>
      </c>
      <c r="S9" s="221" t="n">
        <v>1693</v>
      </c>
      <c r="T9" s="221" t="n">
        <v>1624</v>
      </c>
      <c r="U9" s="257"/>
      <c r="V9" s="185" t="n">
        <f aca="false">EXP(1.204+(0.102*I9)+(0.007*N9)-(0.001*T9)+(0.008*M9)-2.723)</f>
        <v>2.93610006360496</v>
      </c>
      <c r="W9" s="185" t="n">
        <f aca="false">(V9/(1+V9))</f>
        <v>0.74594141819552</v>
      </c>
      <c r="X9" s="185" t="n">
        <f aca="false">EXP(2.859+(0.011*N9)-(0.002*T9)+(0.275*I9)-1.952)</f>
        <v>9.73751840557695</v>
      </c>
      <c r="Y9" s="185" t="n">
        <f aca="false">(X9/(1+X9))</f>
        <v>0.906868611328237</v>
      </c>
      <c r="Z9" s="238" t="n">
        <v>7</v>
      </c>
      <c r="AA9" s="186" t="n">
        <v>15</v>
      </c>
      <c r="AB9" s="187" t="n">
        <v>45056.0077546296</v>
      </c>
      <c r="AC9" s="187" t="n">
        <v>45056.9751736111</v>
      </c>
      <c r="AD9" s="180" t="n">
        <v>23.2180555555969</v>
      </c>
      <c r="AE9" s="187" t="n">
        <v>45056.0077546296</v>
      </c>
      <c r="AF9" s="187" t="n">
        <v>45056.9751736111</v>
      </c>
      <c r="AG9" s="180" t="n">
        <v>23.2180555555969</v>
      </c>
      <c r="AH9" s="180" t="n">
        <v>23.2180555555969</v>
      </c>
      <c r="AI9" s="187"/>
      <c r="AJ9" s="187"/>
      <c r="AK9" s="180"/>
      <c r="AL9" s="186"/>
      <c r="AM9" s="180" t="e">
        <f aca="false">(AE9-#REF!)*24</f>
        <v>#REF!</v>
      </c>
      <c r="AN9" s="180" t="e">
        <f aca="false">AM9+35</f>
        <v>#REF!</v>
      </c>
      <c r="AO9" s="186" t="n">
        <v>132</v>
      </c>
      <c r="AP9" s="188" t="s">
        <v>582</v>
      </c>
      <c r="AQ9" s="189" t="n">
        <v>45057.6611584491</v>
      </c>
      <c r="AR9" s="186" t="s">
        <v>606</v>
      </c>
      <c r="AS9" s="180" t="s">
        <v>593</v>
      </c>
      <c r="AT9" s="172"/>
      <c r="AU9" s="172"/>
      <c r="AV9" s="172"/>
      <c r="AW9" s="172"/>
      <c r="AX9" s="172"/>
      <c r="AY9" s="172"/>
      <c r="AZ9" s="172"/>
      <c r="BA9" s="180"/>
      <c r="BB9" s="172"/>
      <c r="BC9" s="172"/>
      <c r="BD9" s="172"/>
      <c r="BE9" s="172"/>
      <c r="BF9" s="193"/>
      <c r="BG9" s="194" t="n">
        <v>1</v>
      </c>
      <c r="BH9" s="194" t="n">
        <v>1</v>
      </c>
      <c r="BI9" s="194"/>
      <c r="BJ9" s="194" t="s">
        <v>600</v>
      </c>
      <c r="BK9" s="195" t="s">
        <v>587</v>
      </c>
      <c r="BL9" s="194" t="n">
        <v>1</v>
      </c>
      <c r="BM9" s="196" t="n">
        <v>45204</v>
      </c>
      <c r="BN9" s="196" t="n">
        <f aca="false">AQ9+145</f>
        <v>45202.6611584491</v>
      </c>
      <c r="BO9" s="197" t="n">
        <f aca="false">BM9-AQ9</f>
        <v>146.338841550903</v>
      </c>
      <c r="BP9" s="197" t="s">
        <v>35</v>
      </c>
      <c r="BQ9" s="195" t="s">
        <v>587</v>
      </c>
      <c r="BR9" s="199" t="n">
        <v>3.7812</v>
      </c>
      <c r="BS9" s="199" t="n">
        <v>0.88357</v>
      </c>
      <c r="BT9" s="199" t="n">
        <v>0.2</v>
      </c>
      <c r="BU9" s="199" t="n">
        <v>0.4128</v>
      </c>
      <c r="BV9" s="199" t="n">
        <v>0.67422</v>
      </c>
      <c r="BW9" s="199" t="n">
        <v>0.47866</v>
      </c>
      <c r="BX9" s="199" t="n">
        <v>1.2185</v>
      </c>
      <c r="BY9" s="199" t="n">
        <v>1.6537</v>
      </c>
      <c r="BZ9" s="199" t="n">
        <v>1.7386</v>
      </c>
      <c r="CA9" s="199" t="n">
        <v>3.6274</v>
      </c>
      <c r="CB9" s="199" t="n">
        <v>4.0587</v>
      </c>
      <c r="CC9" s="251" t="s">
        <v>65</v>
      </c>
      <c r="CD9" s="201"/>
      <c r="CE9" s="251" t="s">
        <v>65</v>
      </c>
      <c r="CF9" s="201"/>
      <c r="CG9" s="251" t="s">
        <v>65</v>
      </c>
      <c r="CH9" s="201"/>
      <c r="CI9" s="200" t="s">
        <v>595</v>
      </c>
      <c r="CJ9" s="203"/>
      <c r="CK9" s="204" t="n">
        <v>4</v>
      </c>
      <c r="CL9" s="205" t="n">
        <v>0.05</v>
      </c>
      <c r="CM9" s="205" t="n">
        <v>0.05</v>
      </c>
      <c r="CN9" s="205" t="n">
        <v>0.05</v>
      </c>
      <c r="CO9" s="208" t="n">
        <v>0.093924</v>
      </c>
      <c r="CP9" s="233" t="n">
        <v>0.2587</v>
      </c>
      <c r="CQ9" s="205" t="n">
        <v>0.05</v>
      </c>
      <c r="CR9" s="205" t="n">
        <v>0.05</v>
      </c>
      <c r="CS9" s="205" t="n">
        <v>0.05</v>
      </c>
      <c r="CT9" s="205" t="n">
        <v>0.05</v>
      </c>
      <c r="CU9" s="205" t="n">
        <v>0.05</v>
      </c>
      <c r="CV9" s="205" t="n">
        <v>0.05</v>
      </c>
      <c r="CW9" s="205" t="n">
        <v>0.05</v>
      </c>
      <c r="CX9" s="208" t="n">
        <f aca="false">AVERAGE(CL9:CO9)</f>
        <v>0.060981</v>
      </c>
      <c r="CY9" s="208" t="n">
        <f aca="false">_xlfn.STDEV.S(CL9:CO9)</f>
        <v>0.021962</v>
      </c>
      <c r="CZ9" s="208" t="n">
        <f aca="false">CX9+(2*CY9)</f>
        <v>0.104905</v>
      </c>
      <c r="DA9" s="172" t="n">
        <v>48</v>
      </c>
      <c r="DB9" s="209" t="e">
        <f aca="false">#REF!+(DA9/24)</f>
        <v>#REF!</v>
      </c>
      <c r="DC9" s="210" t="n">
        <v>2</v>
      </c>
      <c r="DD9" s="210" t="n">
        <v>2.5</v>
      </c>
      <c r="DE9" s="180" t="n">
        <f aca="false">DD9-DC9</f>
        <v>0.5</v>
      </c>
      <c r="DF9" s="180" t="n">
        <f aca="false">MAX(CM9:CX9)</f>
        <v>0.2587</v>
      </c>
      <c r="DG9" s="211" t="e">
        <f aca="false">(DB9-AE9)*24</f>
        <v>#REF!</v>
      </c>
      <c r="DH9" s="195" t="s">
        <v>587</v>
      </c>
      <c r="DI9" s="244" t="e">
        <f aca="false">(AQ9-DB9)*24</f>
        <v>#REF!</v>
      </c>
      <c r="DJ9" s="245" t="s">
        <v>600</v>
      </c>
      <c r="DK9" s="172" t="s">
        <v>152</v>
      </c>
      <c r="DL9" s="238" t="n">
        <v>7</v>
      </c>
      <c r="DM9" s="240" t="s">
        <v>193</v>
      </c>
    </row>
    <row r="10" customFormat="false" ht="15.75" hidden="false" customHeight="true" outlineLevel="0" collapsed="false">
      <c r="A10" s="188" t="s">
        <v>148</v>
      </c>
      <c r="B10" s="238" t="n">
        <v>8</v>
      </c>
      <c r="C10" s="239" t="s">
        <v>183</v>
      </c>
      <c r="D10" s="240" t="s">
        <v>184</v>
      </c>
      <c r="E10" s="215" t="s">
        <v>185</v>
      </c>
      <c r="F10" s="239" t="n">
        <v>89255</v>
      </c>
      <c r="G10" s="193"/>
      <c r="H10" s="218" t="n">
        <v>43745</v>
      </c>
      <c r="I10" s="180" t="n">
        <v>3.58904109589041</v>
      </c>
      <c r="J10" s="218" t="n">
        <v>44846</v>
      </c>
      <c r="K10" s="219" t="n">
        <v>74</v>
      </c>
      <c r="L10" s="219" t="n">
        <v>3.25</v>
      </c>
      <c r="M10" s="220" t="n">
        <v>209</v>
      </c>
      <c r="N10" s="221" t="n">
        <v>325</v>
      </c>
      <c r="O10" s="221" t="n">
        <v>2907</v>
      </c>
      <c r="P10" s="221" t="n">
        <v>2482</v>
      </c>
      <c r="Q10" s="221" t="n">
        <v>2517</v>
      </c>
      <c r="R10" s="221" t="n">
        <v>2200</v>
      </c>
      <c r="S10" s="221" t="n">
        <v>1660</v>
      </c>
      <c r="T10" s="221" t="n">
        <v>1798</v>
      </c>
      <c r="U10" s="222" t="s">
        <v>607</v>
      </c>
      <c r="V10" s="185" t="n">
        <f aca="false">EXP(1.204+(0.102*I10)+(0.007*N10)-(0.001*T10)+(0.008*M10)-2.723)</f>
        <v>2.7076529561066</v>
      </c>
      <c r="W10" s="185" t="n">
        <f aca="false">(V10/(1+V10))</f>
        <v>0.730287593839393</v>
      </c>
      <c r="X10" s="185" t="n">
        <f aca="false">EXP(2.859+(0.011*N10)-(0.002*T10)+(0.275*I10)-1.952)</f>
        <v>6.50770136783293</v>
      </c>
      <c r="Y10" s="185" t="n">
        <f aca="false">(X10/(1+X10))</f>
        <v>0.866803439427607</v>
      </c>
      <c r="Z10" s="238" t="n">
        <v>8</v>
      </c>
      <c r="AA10" s="186" t="n">
        <v>62</v>
      </c>
      <c r="AB10" s="187" t="n">
        <v>45057.0065625</v>
      </c>
      <c r="AC10" s="187" t="n">
        <v>45057.3385648148</v>
      </c>
      <c r="AD10" s="180" t="n">
        <v>7.96805555565516</v>
      </c>
      <c r="AE10" s="187" t="n">
        <v>45057.0065625</v>
      </c>
      <c r="AF10" s="187" t="n">
        <v>45057.3385648148</v>
      </c>
      <c r="AG10" s="180" t="n">
        <v>7.96805555565516</v>
      </c>
      <c r="AH10" s="180" t="n">
        <v>7.96805555565516</v>
      </c>
      <c r="AI10" s="187"/>
      <c r="AJ10" s="187"/>
      <c r="AK10" s="180"/>
      <c r="AL10" s="180"/>
      <c r="AM10" s="180" t="e">
        <f aca="false">(AE10-#REF!)*24</f>
        <v>#REF!</v>
      </c>
      <c r="AN10" s="180" t="e">
        <f aca="false">AM10+35</f>
        <v>#REF!</v>
      </c>
      <c r="AO10" s="186" t="n">
        <v>3</v>
      </c>
      <c r="AP10" s="186" t="s">
        <v>589</v>
      </c>
      <c r="AQ10" s="189" t="n">
        <v>45057.680665162</v>
      </c>
      <c r="AR10" s="186" t="s">
        <v>608</v>
      </c>
      <c r="AS10" s="180" t="s">
        <v>584</v>
      </c>
      <c r="AT10" s="172"/>
      <c r="AU10" s="172"/>
      <c r="AV10" s="172"/>
      <c r="AW10" s="172"/>
      <c r="AX10" s="172"/>
      <c r="AY10" s="172"/>
      <c r="AZ10" s="172"/>
      <c r="BA10" s="180"/>
      <c r="BB10" s="172"/>
      <c r="BC10" s="172"/>
      <c r="BD10" s="172"/>
      <c r="BE10" s="172"/>
      <c r="BF10" s="193"/>
      <c r="BG10" s="194" t="n">
        <v>1</v>
      </c>
      <c r="BH10" s="194" t="n">
        <v>2</v>
      </c>
      <c r="BI10" s="194"/>
      <c r="BJ10" s="194" t="s">
        <v>600</v>
      </c>
      <c r="BK10" s="195" t="s">
        <v>587</v>
      </c>
      <c r="BL10" s="194" t="n">
        <v>2</v>
      </c>
      <c r="BM10" s="196" t="n">
        <v>45207</v>
      </c>
      <c r="BN10" s="196" t="n">
        <f aca="false">AQ10+145</f>
        <v>45202.680665162</v>
      </c>
      <c r="BO10" s="197" t="n">
        <f aca="false">BM10-AQ10</f>
        <v>149.319334838001</v>
      </c>
      <c r="BP10" s="197" t="s">
        <v>35</v>
      </c>
      <c r="BQ10" s="195" t="s">
        <v>587</v>
      </c>
      <c r="BR10" s="199" t="n">
        <v>0.2</v>
      </c>
      <c r="BS10" s="199" t="n">
        <v>0.2</v>
      </c>
      <c r="BT10" s="199" t="n">
        <v>0.2</v>
      </c>
      <c r="BU10" s="199" t="n">
        <v>0.96679</v>
      </c>
      <c r="BV10" s="199" t="n">
        <v>1.0114</v>
      </c>
      <c r="BW10" s="199" t="n">
        <v>0.2</v>
      </c>
      <c r="BX10" s="199" t="n">
        <v>1.6778</v>
      </c>
      <c r="BY10" s="250" t="n">
        <v>4.4847</v>
      </c>
      <c r="BZ10" s="199" t="n">
        <v>4.235</v>
      </c>
      <c r="CA10" s="199" t="n">
        <v>4.6568</v>
      </c>
      <c r="CB10" s="199" t="n">
        <v>6.9016</v>
      </c>
      <c r="CC10" s="200" t="s">
        <v>588</v>
      </c>
      <c r="CD10" s="202" t="s">
        <v>589</v>
      </c>
      <c r="CE10" s="200" t="s">
        <v>588</v>
      </c>
      <c r="CF10" s="202" t="s">
        <v>589</v>
      </c>
      <c r="CG10" s="200" t="s">
        <v>588</v>
      </c>
      <c r="CH10" s="202" t="s">
        <v>589</v>
      </c>
      <c r="CI10" s="242"/>
      <c r="CJ10" s="200" t="s">
        <v>595</v>
      </c>
      <c r="CK10" s="204" t="n">
        <v>4</v>
      </c>
      <c r="CL10" s="205" t="n">
        <v>0.05</v>
      </c>
      <c r="CM10" s="205" t="n">
        <v>0.05</v>
      </c>
      <c r="CN10" s="208" t="n">
        <v>0.061322</v>
      </c>
      <c r="CO10" s="208" t="n">
        <v>0.06548</v>
      </c>
      <c r="CP10" s="233" t="n">
        <v>0.52741</v>
      </c>
      <c r="CQ10" s="208" t="n">
        <v>0.29928</v>
      </c>
      <c r="CR10" s="232" t="n">
        <v>0.17797</v>
      </c>
      <c r="CS10" s="243" t="n">
        <v>0.099525</v>
      </c>
      <c r="CT10" s="208" t="n">
        <v>0.072299</v>
      </c>
      <c r="CU10" s="205" t="n">
        <v>0.05</v>
      </c>
      <c r="CV10" s="208" t="n">
        <v>0.06369</v>
      </c>
      <c r="CW10" s="205" t="n">
        <v>0.05</v>
      </c>
      <c r="CX10" s="208" t="n">
        <f aca="false">AVERAGE(CL10:CO10)</f>
        <v>0.0567005</v>
      </c>
      <c r="CY10" s="208" t="n">
        <f aca="false">_xlfn.STDEV.S(CL10:CO10)</f>
        <v>0.00792109594690028</v>
      </c>
      <c r="CZ10" s="208" t="n">
        <v>0.1</v>
      </c>
      <c r="DA10" s="172" t="n">
        <v>48</v>
      </c>
      <c r="DB10" s="209" t="e">
        <f aca="false">#REF!+(DA10/24)</f>
        <v>#REF!</v>
      </c>
      <c r="DC10" s="210" t="n">
        <v>2</v>
      </c>
      <c r="DD10" s="210" t="n">
        <v>3.5</v>
      </c>
      <c r="DE10" s="180" t="n">
        <f aca="false">DD10-DC10</f>
        <v>1.5</v>
      </c>
      <c r="DF10" s="180" t="n">
        <f aca="false">MAX(CM10:CX10)</f>
        <v>0.52741</v>
      </c>
      <c r="DG10" s="211" t="e">
        <f aca="false">(DB10-AE10)*24</f>
        <v>#REF!</v>
      </c>
      <c r="DH10" s="195" t="s">
        <v>587</v>
      </c>
      <c r="DI10" s="244" t="e">
        <f aca="false">(AQ10-DB10)*24</f>
        <v>#REF!</v>
      </c>
      <c r="DJ10" s="245" t="s">
        <v>600</v>
      </c>
      <c r="DK10" s="188" t="s">
        <v>148</v>
      </c>
      <c r="DL10" s="238" t="n">
        <v>8</v>
      </c>
      <c r="DM10" s="240" t="s">
        <v>184</v>
      </c>
      <c r="DO10" s="255"/>
      <c r="DP10" s="235"/>
      <c r="DQ10" s="235" t="n">
        <f aca="false">COUNTIF(CH6:CH55,"=Non")</f>
        <v>6</v>
      </c>
      <c r="DR10" s="242" t="s">
        <v>609</v>
      </c>
      <c r="DS10" s="242"/>
      <c r="DT10" s="259"/>
    </row>
    <row r="11" customFormat="false" ht="15.75" hidden="false" customHeight="true" outlineLevel="0" collapsed="false">
      <c r="A11" s="188" t="s">
        <v>148</v>
      </c>
      <c r="B11" s="238" t="n">
        <v>9</v>
      </c>
      <c r="C11" s="239" t="s">
        <v>189</v>
      </c>
      <c r="D11" s="240" t="s">
        <v>190</v>
      </c>
      <c r="E11" s="215" t="s">
        <v>191</v>
      </c>
      <c r="F11" s="239" t="n">
        <v>88272</v>
      </c>
      <c r="G11" s="193"/>
      <c r="H11" s="218" t="n">
        <v>43747</v>
      </c>
      <c r="I11" s="180" t="n">
        <v>3.58356164383562</v>
      </c>
      <c r="J11" s="218" t="n">
        <v>44846</v>
      </c>
      <c r="K11" s="219" t="n">
        <v>73.6</v>
      </c>
      <c r="L11" s="219" t="n">
        <v>3.75</v>
      </c>
      <c r="M11" s="220" t="n">
        <v>209</v>
      </c>
      <c r="N11" s="221" t="n">
        <v>362</v>
      </c>
      <c r="O11" s="221" t="n">
        <v>3366</v>
      </c>
      <c r="P11" s="221" t="n">
        <v>2628</v>
      </c>
      <c r="Q11" s="221" t="n">
        <v>2688</v>
      </c>
      <c r="R11" s="221" t="n">
        <v>2087</v>
      </c>
      <c r="S11" s="221" t="n">
        <v>830</v>
      </c>
      <c r="T11" s="221" t="n">
        <v>1160</v>
      </c>
      <c r="U11" s="222" t="s">
        <v>610</v>
      </c>
      <c r="V11" s="185" t="n">
        <f aca="false">EXP(1.204+(0.102*I11)+(0.007*N11)-(0.001*T11)+(0.008*M11)-2.723)</f>
        <v>6.63609234285887</v>
      </c>
      <c r="W11" s="185" t="n">
        <f aca="false">(V11/(1+V11))</f>
        <v>0.869042966598593</v>
      </c>
      <c r="X11" s="185" t="n">
        <f aca="false">EXP(2.859+(0.011*N11)-(0.002*T11)+(0.275*I11)-1.952)</f>
        <v>34.9696118694074</v>
      </c>
      <c r="Y11" s="185" t="n">
        <f aca="false">(X11/(1+X11))</f>
        <v>0.972198754781379</v>
      </c>
      <c r="Z11" s="238" t="n">
        <v>9</v>
      </c>
      <c r="AA11" s="186" t="n">
        <v>60</v>
      </c>
      <c r="AB11" s="187" t="n">
        <v>45056.8946527778</v>
      </c>
      <c r="AC11" s="187" t="n">
        <v>45057.1400231481</v>
      </c>
      <c r="AD11" s="180" t="n">
        <v>5.88888888875954</v>
      </c>
      <c r="AE11" s="187" t="n">
        <v>45056.8946527778</v>
      </c>
      <c r="AF11" s="187" t="n">
        <v>45057.1400231481</v>
      </c>
      <c r="AG11" s="180" t="n">
        <v>5.88888888875954</v>
      </c>
      <c r="AH11" s="180" t="n">
        <v>5.88888888875954</v>
      </c>
      <c r="AI11" s="187"/>
      <c r="AJ11" s="187"/>
      <c r="AK11" s="180"/>
      <c r="AL11" s="180"/>
      <c r="AM11" s="180" t="e">
        <f aca="false">(AE11-#REF!)*24</f>
        <v>#REF!</v>
      </c>
      <c r="AN11" s="180" t="e">
        <f aca="false">AM11+35</f>
        <v>#REF!</v>
      </c>
      <c r="AO11" s="186" t="n">
        <v>3</v>
      </c>
      <c r="AP11" s="186" t="s">
        <v>589</v>
      </c>
      <c r="AQ11" s="189" t="n">
        <v>45057.6823469907</v>
      </c>
      <c r="AR11" s="188" t="s">
        <v>592</v>
      </c>
      <c r="AS11" s="180" t="s">
        <v>584</v>
      </c>
      <c r="AT11" s="172" t="n">
        <v>60</v>
      </c>
      <c r="AU11" s="172"/>
      <c r="AV11" s="172"/>
      <c r="AW11" s="172"/>
      <c r="AX11" s="187" t="n">
        <v>45073.6861689815</v>
      </c>
      <c r="AY11" s="187" t="n">
        <v>45074.4272569444</v>
      </c>
      <c r="AZ11" s="180" t="n">
        <v>17.7861111110542</v>
      </c>
      <c r="BA11" s="180" t="n">
        <v>17.7861111110542</v>
      </c>
      <c r="BB11" s="172"/>
      <c r="BC11" s="172"/>
      <c r="BD11" s="172"/>
      <c r="BE11" s="172"/>
      <c r="BF11" s="193" t="n">
        <v>37</v>
      </c>
      <c r="BG11" s="194" t="n">
        <v>0</v>
      </c>
      <c r="BH11" s="194"/>
      <c r="BI11" s="194"/>
      <c r="BJ11" s="194" t="s">
        <v>585</v>
      </c>
      <c r="BK11" s="195" t="s">
        <v>587</v>
      </c>
      <c r="BL11" s="194" t="n">
        <v>1</v>
      </c>
      <c r="BM11" s="196" t="n">
        <v>45249</v>
      </c>
      <c r="BN11" s="196" t="n">
        <f aca="false">AX11+145</f>
        <v>45218.6861689815</v>
      </c>
      <c r="BO11" s="197" t="n">
        <f aca="false">BM11-AQ11</f>
        <v>191.317653009297</v>
      </c>
      <c r="BP11" s="197" t="s">
        <v>594</v>
      </c>
      <c r="BQ11" s="195" t="s">
        <v>587</v>
      </c>
      <c r="BR11" s="199" t="n">
        <v>4.8091</v>
      </c>
      <c r="BS11" s="199" t="n">
        <v>0.90544</v>
      </c>
      <c r="BT11" s="199" t="n">
        <v>1.1623</v>
      </c>
      <c r="BU11" s="199" t="n">
        <v>0.2</v>
      </c>
      <c r="BV11" s="199" t="n">
        <v>1.1286</v>
      </c>
      <c r="BW11" s="199" t="n">
        <v>1.5524</v>
      </c>
      <c r="BX11" s="199" t="n">
        <v>1.9133</v>
      </c>
      <c r="BY11" s="250" t="n">
        <v>2.613</v>
      </c>
      <c r="BZ11" s="199" t="n">
        <v>3.0664</v>
      </c>
      <c r="CA11" s="199" t="n">
        <v>4.1048</v>
      </c>
      <c r="CB11" s="199" t="n">
        <v>4.235</v>
      </c>
      <c r="CC11" s="251" t="s">
        <v>65</v>
      </c>
      <c r="CD11" s="252"/>
      <c r="CE11" s="251" t="s">
        <v>65</v>
      </c>
      <c r="CF11" s="252"/>
      <c r="CG11" s="251" t="s">
        <v>65</v>
      </c>
      <c r="CH11" s="252"/>
      <c r="CI11" s="200" t="s">
        <v>595</v>
      </c>
      <c r="CJ11" s="203"/>
      <c r="CK11" s="204" t="n">
        <v>5</v>
      </c>
      <c r="CL11" s="208" t="n">
        <v>0.14242</v>
      </c>
      <c r="CM11" s="208" t="n">
        <v>0.14028</v>
      </c>
      <c r="CN11" s="208" t="n">
        <v>0.16219</v>
      </c>
      <c r="CO11" s="208" t="n">
        <v>0.11749</v>
      </c>
      <c r="CP11" s="233" t="n">
        <v>0.44334</v>
      </c>
      <c r="CQ11" s="208" t="n">
        <v>0.34555</v>
      </c>
      <c r="CR11" s="232" t="n">
        <v>0.2471</v>
      </c>
      <c r="CS11" s="243" t="n">
        <v>0.17906</v>
      </c>
      <c r="CT11" s="208" t="n">
        <v>0.15908</v>
      </c>
      <c r="CU11" s="208" t="n">
        <v>0.12459</v>
      </c>
      <c r="CV11" s="208" t="n">
        <v>0.11984</v>
      </c>
      <c r="CW11" s="208" t="n">
        <v>0.16511</v>
      </c>
      <c r="CX11" s="208" t="n">
        <f aca="false">AVERAGE(CL11:CO11)</f>
        <v>0.140595</v>
      </c>
      <c r="CY11" s="208" t="n">
        <f aca="false">_xlfn.STDEV.S(CL11:CO11)</f>
        <v>0.0182903881861485</v>
      </c>
      <c r="CZ11" s="208" t="n">
        <f aca="false">CX11+(2*CY11)</f>
        <v>0.177175776372297</v>
      </c>
      <c r="DA11" s="186" t="n">
        <v>48</v>
      </c>
      <c r="DB11" s="209" t="e">
        <f aca="false">#REF!+(DA11/24)</f>
        <v>#REF!</v>
      </c>
      <c r="DC11" s="210" t="n">
        <v>2</v>
      </c>
      <c r="DD11" s="210" t="n">
        <v>3.5</v>
      </c>
      <c r="DE11" s="180" t="n">
        <f aca="false">DD11-DC11</f>
        <v>1.5</v>
      </c>
      <c r="DF11" s="180" t="n">
        <f aca="false">MAX(CM11:CX11)</f>
        <v>0.44334</v>
      </c>
      <c r="DG11" s="211" t="e">
        <f aca="false">(DB11-AE11)*24</f>
        <v>#REF!</v>
      </c>
      <c r="DH11" s="195" t="s">
        <v>587</v>
      </c>
      <c r="DI11" s="211" t="e">
        <f aca="false">(AQ11-DB11)*24</f>
        <v>#REF!</v>
      </c>
      <c r="DJ11" s="194" t="s">
        <v>585</v>
      </c>
      <c r="DK11" s="188" t="s">
        <v>148</v>
      </c>
      <c r="DL11" s="238" t="n">
        <v>9</v>
      </c>
      <c r="DM11" s="240" t="s">
        <v>190</v>
      </c>
      <c r="DO11" s="255" t="s">
        <v>65</v>
      </c>
      <c r="DP11" s="235" t="n">
        <f aca="false">COUNTIF(CG6:CG55,"=C")</f>
        <v>14</v>
      </c>
      <c r="DQ11" s="235"/>
      <c r="DR11" s="242"/>
      <c r="DS11" s="242" t="s">
        <v>595</v>
      </c>
      <c r="DT11" s="256" t="n">
        <f aca="false">COUNTIF(CI6:CI55,"=CN")</f>
        <v>14</v>
      </c>
    </row>
    <row r="12" customFormat="false" ht="15.75" hidden="false" customHeight="true" outlineLevel="0" collapsed="false">
      <c r="A12" s="172" t="s">
        <v>152</v>
      </c>
      <c r="B12" s="238" t="n">
        <v>10</v>
      </c>
      <c r="C12" s="239" t="s">
        <v>214</v>
      </c>
      <c r="D12" s="240" t="s">
        <v>215</v>
      </c>
      <c r="E12" s="215" t="s">
        <v>216</v>
      </c>
      <c r="F12" s="239" t="n">
        <v>89427</v>
      </c>
      <c r="G12" s="193" t="s">
        <v>217</v>
      </c>
      <c r="H12" s="218" t="n">
        <v>43748</v>
      </c>
      <c r="I12" s="180" t="n">
        <v>3.58082191780822</v>
      </c>
      <c r="J12" s="218" t="n">
        <v>44846</v>
      </c>
      <c r="K12" s="219" t="n">
        <v>77</v>
      </c>
      <c r="L12" s="219" t="n">
        <v>3.75</v>
      </c>
      <c r="M12" s="220" t="n">
        <v>209</v>
      </c>
      <c r="N12" s="221" t="n">
        <v>351</v>
      </c>
      <c r="O12" s="221" t="n">
        <v>2815</v>
      </c>
      <c r="P12" s="221" t="n">
        <v>3008</v>
      </c>
      <c r="Q12" s="221" t="n">
        <v>2145</v>
      </c>
      <c r="R12" s="221" t="n">
        <v>1918</v>
      </c>
      <c r="S12" s="221" t="n">
        <v>1594</v>
      </c>
      <c r="T12" s="221" t="n">
        <v>1537</v>
      </c>
      <c r="U12" s="257"/>
      <c r="V12" s="185" t="n">
        <f aca="false">EXP(1.204+(0.102*I12)+(0.007*N12)-(0.001*T12)+(0.008*M12)-2.723)</f>
        <v>4.21329008607268</v>
      </c>
      <c r="W12" s="185" t="n">
        <f aca="false">(V12/(1+V12))</f>
        <v>0.80818255199888</v>
      </c>
      <c r="X12" s="185" t="n">
        <f aca="false">EXP(2.859+(0.011*N12)-(0.002*T12)+(0.275*I12)-1.952)</f>
        <v>14.5665241174372</v>
      </c>
      <c r="Y12" s="185" t="n">
        <f aca="false">(X12/(1+X12))</f>
        <v>0.935759583034993</v>
      </c>
      <c r="Z12" s="238" t="n">
        <v>10</v>
      </c>
      <c r="AA12" s="186" t="n">
        <v>39</v>
      </c>
      <c r="AB12" s="187" t="n">
        <v>45057.8102199074</v>
      </c>
      <c r="AC12" s="187" t="n">
        <v>45058.0861226852</v>
      </c>
      <c r="AD12" s="180" t="n">
        <v>6.62166666670237</v>
      </c>
      <c r="AE12" s="187" t="n">
        <v>45057.8102199074</v>
      </c>
      <c r="AF12" s="187" t="n">
        <v>45058.0861226852</v>
      </c>
      <c r="AG12" s="180" t="n">
        <v>6.62166666670237</v>
      </c>
      <c r="AH12" s="180" t="n">
        <v>6.62166666670237</v>
      </c>
      <c r="AI12" s="187"/>
      <c r="AJ12" s="187"/>
      <c r="AK12" s="180"/>
      <c r="AL12" s="180"/>
      <c r="AM12" s="180" t="e">
        <f aca="false">(AE12-#REF!)*24</f>
        <v>#REF!</v>
      </c>
      <c r="AN12" s="180" t="e">
        <f aca="false">AM12+35</f>
        <v>#REF!</v>
      </c>
      <c r="AO12" s="186" t="n">
        <v>39</v>
      </c>
      <c r="AP12" s="188" t="s">
        <v>582</v>
      </c>
      <c r="AQ12" s="189" t="n">
        <v>45057.6630427083</v>
      </c>
      <c r="AR12" s="186" t="s">
        <v>606</v>
      </c>
      <c r="AS12" s="180" t="s">
        <v>584</v>
      </c>
      <c r="AT12" s="172" t="n">
        <v>39</v>
      </c>
      <c r="AU12" s="187" t="n">
        <v>45071.5920138889</v>
      </c>
      <c r="AV12" s="187" t="n">
        <v>45082.4745949074</v>
      </c>
      <c r="AW12" s="180" t="n">
        <v>261.181944444368</v>
      </c>
      <c r="AX12" s="187" t="n">
        <v>45079.4952430556</v>
      </c>
      <c r="AY12" s="187" t="n">
        <v>45079.55125</v>
      </c>
      <c r="AZ12" s="180" t="n">
        <v>1.34416666656034</v>
      </c>
      <c r="BA12" s="180" t="n">
        <v>1.34416666656034</v>
      </c>
      <c r="BB12" s="172"/>
      <c r="BC12" s="172"/>
      <c r="BD12" s="172"/>
      <c r="BE12" s="172"/>
      <c r="BF12" s="193" t="n">
        <v>4</v>
      </c>
      <c r="BG12" s="194" t="n">
        <v>0</v>
      </c>
      <c r="BH12" s="194"/>
      <c r="BI12" s="194"/>
      <c r="BJ12" s="194" t="s">
        <v>585</v>
      </c>
      <c r="BK12" s="195" t="s">
        <v>586</v>
      </c>
      <c r="BL12" s="194"/>
      <c r="BM12" s="196" t="s">
        <v>611</v>
      </c>
      <c r="BN12" s="196" t="n">
        <f aca="false">AX12+145</f>
        <v>45224.4952430556</v>
      </c>
      <c r="BO12" s="197"/>
      <c r="BP12" s="197" t="s">
        <v>585</v>
      </c>
      <c r="BQ12" s="195" t="s">
        <v>586</v>
      </c>
      <c r="BR12" s="199" t="n">
        <v>0.2</v>
      </c>
      <c r="BS12" s="199" t="n">
        <v>0.2</v>
      </c>
      <c r="BT12" s="199" t="n">
        <v>0.2</v>
      </c>
      <c r="BU12" s="199" t="n">
        <v>0.2</v>
      </c>
      <c r="BV12" s="199" t="n">
        <v>0.2</v>
      </c>
      <c r="BW12" s="199" t="n">
        <v>0.2</v>
      </c>
      <c r="BX12" s="199" t="n">
        <v>0.52098</v>
      </c>
      <c r="BY12" s="260" t="n">
        <v>1.9196</v>
      </c>
      <c r="BZ12" s="261" t="n">
        <v>0.70093</v>
      </c>
      <c r="CA12" s="260" t="n">
        <v>1.3091</v>
      </c>
      <c r="CB12" s="250" t="n">
        <v>2.0489</v>
      </c>
      <c r="CC12" s="200" t="s">
        <v>588</v>
      </c>
      <c r="CD12" s="202" t="s">
        <v>589</v>
      </c>
      <c r="CE12" s="200" t="s">
        <v>588</v>
      </c>
      <c r="CF12" s="202" t="s">
        <v>589</v>
      </c>
      <c r="CG12" s="200" t="s">
        <v>588</v>
      </c>
      <c r="CH12" s="202" t="s">
        <v>589</v>
      </c>
      <c r="CI12" s="203"/>
      <c r="CJ12" s="200" t="s">
        <v>590</v>
      </c>
      <c r="CK12" s="204" t="n">
        <v>5</v>
      </c>
      <c r="CL12" s="205" t="n">
        <v>0.05</v>
      </c>
      <c r="CM12" s="205" t="n">
        <v>0.05</v>
      </c>
      <c r="CN12" s="208"/>
      <c r="CO12" s="208" t="n">
        <v>0.060293</v>
      </c>
      <c r="CP12" s="243" t="n">
        <v>0.076318</v>
      </c>
      <c r="CQ12" s="208" t="n">
        <v>0.063245</v>
      </c>
      <c r="CR12" s="233" t="n">
        <v>0.26127</v>
      </c>
      <c r="CS12" s="243" t="n">
        <v>0.091685</v>
      </c>
      <c r="CT12" s="208" t="n">
        <v>0.06369</v>
      </c>
      <c r="CU12" s="208" t="n">
        <v>0.063245</v>
      </c>
      <c r="CV12" s="205" t="n">
        <v>0.05</v>
      </c>
      <c r="CW12" s="205" t="n">
        <v>0.05</v>
      </c>
      <c r="CX12" s="208" t="n">
        <f aca="false">AVERAGE(CL12:CO12)</f>
        <v>0.053431</v>
      </c>
      <c r="CY12" s="208" t="n">
        <f aca="false">_xlfn.STDEV.S(CL12:CO12)</f>
        <v>0.00594266632076882</v>
      </c>
      <c r="CZ12" s="208" t="n">
        <v>0.1</v>
      </c>
      <c r="DA12" s="186" t="n">
        <v>72</v>
      </c>
      <c r="DB12" s="209" t="e">
        <f aca="false">#REF!+(DA12/24)</f>
        <v>#REF!</v>
      </c>
      <c r="DC12" s="210" t="n">
        <v>3</v>
      </c>
      <c r="DD12" s="210" t="n">
        <v>3.5</v>
      </c>
      <c r="DE12" s="180" t="n">
        <f aca="false">DD12-DC12</f>
        <v>0.5</v>
      </c>
      <c r="DF12" s="180" t="n">
        <f aca="false">MAX(CM12:CX12)</f>
        <v>0.26127</v>
      </c>
      <c r="DG12" s="211" t="e">
        <f aca="false">(DB12-AE12)*24</f>
        <v>#REF!</v>
      </c>
      <c r="DH12" s="195" t="s">
        <v>587</v>
      </c>
      <c r="DI12" s="212" t="e">
        <f aca="false">(AQ12-DB12)*24</f>
        <v>#REF!</v>
      </c>
      <c r="DJ12" s="213" t="s">
        <v>585</v>
      </c>
      <c r="DK12" s="172" t="s">
        <v>152</v>
      </c>
      <c r="DL12" s="238" t="n">
        <v>10</v>
      </c>
      <c r="DM12" s="240" t="s">
        <v>215</v>
      </c>
    </row>
    <row r="13" customFormat="false" ht="15.75" hidden="false" customHeight="true" outlineLevel="0" collapsed="false">
      <c r="A13" s="172" t="s">
        <v>152</v>
      </c>
      <c r="B13" s="238" t="n">
        <v>11</v>
      </c>
      <c r="C13" s="239" t="s">
        <v>221</v>
      </c>
      <c r="D13" s="240" t="s">
        <v>222</v>
      </c>
      <c r="E13" s="215" t="s">
        <v>223</v>
      </c>
      <c r="F13" s="239" t="n">
        <v>89072</v>
      </c>
      <c r="G13" s="193"/>
      <c r="H13" s="218" t="n">
        <v>43748</v>
      </c>
      <c r="I13" s="180" t="n">
        <v>3.58082191780822</v>
      </c>
      <c r="J13" s="218" t="n">
        <v>44868</v>
      </c>
      <c r="K13" s="219" t="n">
        <v>67.7</v>
      </c>
      <c r="L13" s="219" t="n">
        <v>3.25</v>
      </c>
      <c r="M13" s="220" t="n">
        <v>187</v>
      </c>
      <c r="N13" s="221" t="n">
        <v>235</v>
      </c>
      <c r="O13" s="221"/>
      <c r="P13" s="221" t="n">
        <v>2190</v>
      </c>
      <c r="Q13" s="221" t="n">
        <v>2031</v>
      </c>
      <c r="R13" s="221" t="n">
        <v>1692</v>
      </c>
      <c r="S13" s="221" t="n">
        <v>1627</v>
      </c>
      <c r="T13" s="221" t="n">
        <v>1508</v>
      </c>
      <c r="U13" s="257"/>
      <c r="V13" s="185" t="n">
        <f aca="false">EXP(1.204+(0.102*I13)+(0.007*N13)-(0.001*T13)+(0.008*M13)-2.723)</f>
        <v>1.61485284619554</v>
      </c>
      <c r="W13" s="185" t="n">
        <f aca="false">(V13/(1+V13))</f>
        <v>0.617569301670287</v>
      </c>
      <c r="X13" s="185" t="n">
        <f aca="false">EXP(2.859+(0.011*N13)-(0.002*T13)+(0.275*I13)-1.952)</f>
        <v>4.30908690807859</v>
      </c>
      <c r="Y13" s="185" t="n">
        <f aca="false">(X13/(1+X13))</f>
        <v>0.811643693668238</v>
      </c>
      <c r="Z13" s="238" t="n">
        <v>11</v>
      </c>
      <c r="AA13" s="186" t="n">
        <v>24</v>
      </c>
      <c r="AB13" s="187" t="n">
        <v>45056.771724537</v>
      </c>
      <c r="AC13" s="187" t="n">
        <v>45057.4796412037</v>
      </c>
      <c r="AD13" s="180" t="n">
        <v>16.9899999999907</v>
      </c>
      <c r="AE13" s="187" t="n">
        <v>45056.771724537</v>
      </c>
      <c r="AF13" s="187" t="n">
        <v>45057.4796412037</v>
      </c>
      <c r="AG13" s="180" t="n">
        <v>16.9899999999907</v>
      </c>
      <c r="AH13" s="180" t="n">
        <v>16.9899999999907</v>
      </c>
      <c r="AI13" s="187"/>
      <c r="AJ13" s="187"/>
      <c r="AK13" s="180"/>
      <c r="AL13" s="180"/>
      <c r="AM13" s="180" t="e">
        <f aca="false">(AE13-#REF!)*24</f>
        <v>#REF!</v>
      </c>
      <c r="AN13" s="180" t="e">
        <f aca="false">AM13+35</f>
        <v>#REF!</v>
      </c>
      <c r="AO13" s="186" t="n">
        <v>30</v>
      </c>
      <c r="AP13" s="186" t="s">
        <v>589</v>
      </c>
      <c r="AQ13" s="189" t="n">
        <v>45057.6643076389</v>
      </c>
      <c r="AR13" s="188" t="s">
        <v>592</v>
      </c>
      <c r="AS13" s="180" t="s">
        <v>593</v>
      </c>
      <c r="AT13" s="172" t="n">
        <v>24</v>
      </c>
      <c r="AU13" s="172"/>
      <c r="AV13" s="172"/>
      <c r="AW13" s="172"/>
      <c r="AX13" s="190" t="n">
        <v>45070.5439351852</v>
      </c>
      <c r="AY13" s="190" t="n">
        <v>45070.5439351852</v>
      </c>
      <c r="AZ13" s="191" t="n">
        <v>0</v>
      </c>
      <c r="BA13" s="180" t="n">
        <v>1</v>
      </c>
      <c r="BB13" s="172"/>
      <c r="BC13" s="172"/>
      <c r="BD13" s="172"/>
      <c r="BE13" s="172"/>
      <c r="BF13" s="193" t="n">
        <v>1</v>
      </c>
      <c r="BG13" s="194" t="n">
        <v>0</v>
      </c>
      <c r="BH13" s="194"/>
      <c r="BI13" s="194"/>
      <c r="BJ13" s="194" t="s">
        <v>585</v>
      </c>
      <c r="BK13" s="195" t="s">
        <v>612</v>
      </c>
      <c r="BL13" s="194" t="n">
        <v>1</v>
      </c>
      <c r="BM13" s="196" t="n">
        <v>45225</v>
      </c>
      <c r="BN13" s="196" t="n">
        <f aca="false">AX13+145</f>
        <v>45215.5439351852</v>
      </c>
      <c r="BO13" s="197" t="n">
        <f aca="false">BM13-AQ13</f>
        <v>167.335692361099</v>
      </c>
      <c r="BP13" s="197" t="s">
        <v>543</v>
      </c>
      <c r="BQ13" s="195" t="s">
        <v>587</v>
      </c>
      <c r="BR13" s="199" t="n">
        <v>0.49055</v>
      </c>
      <c r="BS13" s="199" t="n">
        <v>0.2</v>
      </c>
      <c r="BT13" s="199" t="n">
        <v>0.2</v>
      </c>
      <c r="BU13" s="199" t="n">
        <v>0.2</v>
      </c>
      <c r="BV13" s="199" t="n">
        <v>0.2</v>
      </c>
      <c r="BW13" s="199" t="n">
        <v>0.2</v>
      </c>
      <c r="BX13" s="199" t="n">
        <v>0.74244</v>
      </c>
      <c r="BY13" s="199" t="n">
        <v>1.1062</v>
      </c>
      <c r="BZ13" s="199" t="n">
        <v>1.4761</v>
      </c>
      <c r="CA13" s="250" t="n">
        <v>4.1048</v>
      </c>
      <c r="CB13" s="199" t="n">
        <v>3.9905</v>
      </c>
      <c r="CC13" s="200" t="s">
        <v>588</v>
      </c>
      <c r="CD13" s="202" t="s">
        <v>589</v>
      </c>
      <c r="CE13" s="200" t="s">
        <v>588</v>
      </c>
      <c r="CF13" s="202" t="s">
        <v>589</v>
      </c>
      <c r="CG13" s="200" t="s">
        <v>588</v>
      </c>
      <c r="CH13" s="202" t="s">
        <v>589</v>
      </c>
      <c r="CI13" s="203"/>
      <c r="CJ13" s="200" t="s">
        <v>595</v>
      </c>
      <c r="CK13" s="204" t="n">
        <v>5</v>
      </c>
      <c r="CL13" s="205" t="n">
        <v>0.05</v>
      </c>
      <c r="CM13" s="205" t="n">
        <v>0.05</v>
      </c>
      <c r="CN13" s="205" t="n">
        <v>0.05</v>
      </c>
      <c r="CO13" s="205" t="n">
        <v>0.05</v>
      </c>
      <c r="CP13" s="233" t="n">
        <v>0.29076</v>
      </c>
      <c r="CQ13" s="232" t="n">
        <v>0.14203</v>
      </c>
      <c r="CR13" s="243" t="n">
        <v>0.089881</v>
      </c>
      <c r="CS13" s="205" t="n">
        <v>0.05</v>
      </c>
      <c r="CT13" s="205" t="n">
        <v>0.05</v>
      </c>
      <c r="CU13" s="205" t="n">
        <v>0.05</v>
      </c>
      <c r="CV13" s="205" t="n">
        <v>0.05</v>
      </c>
      <c r="CW13" s="205" t="n">
        <v>0.05</v>
      </c>
      <c r="CX13" s="208" t="n">
        <f aca="false">AVERAGE(CL13:CO13)</f>
        <v>0.05</v>
      </c>
      <c r="CY13" s="208" t="n">
        <f aca="false">_xlfn.STDEV.S(CL13:CO13)</f>
        <v>0</v>
      </c>
      <c r="CZ13" s="208" t="n">
        <v>0.1</v>
      </c>
      <c r="DA13" s="172" t="n">
        <v>48</v>
      </c>
      <c r="DB13" s="209" t="e">
        <f aca="false">#REF!+(DA13/24)</f>
        <v>#REF!</v>
      </c>
      <c r="DC13" s="210" t="n">
        <v>2</v>
      </c>
      <c r="DD13" s="210" t="n">
        <v>3</v>
      </c>
      <c r="DE13" s="180" t="n">
        <f aca="false">DD13-DC13</f>
        <v>1</v>
      </c>
      <c r="DF13" s="180" t="n">
        <f aca="false">MAX(CM13:CX13)</f>
        <v>0.29076</v>
      </c>
      <c r="DG13" s="211" t="e">
        <f aca="false">(DB13-AE13)*24</f>
        <v>#REF!</v>
      </c>
      <c r="DH13" s="195" t="s">
        <v>587</v>
      </c>
      <c r="DI13" s="211" t="e">
        <f aca="false">(AQ13-DB13)*24</f>
        <v>#REF!</v>
      </c>
      <c r="DJ13" s="194" t="s">
        <v>585</v>
      </c>
      <c r="DK13" s="172" t="s">
        <v>152</v>
      </c>
      <c r="DL13" s="238" t="n">
        <v>11</v>
      </c>
      <c r="DM13" s="240" t="s">
        <v>222</v>
      </c>
    </row>
    <row r="14" customFormat="false" ht="15.75" hidden="false" customHeight="true" outlineLevel="0" collapsed="false">
      <c r="A14" s="188" t="s">
        <v>148</v>
      </c>
      <c r="B14" s="238" t="n">
        <v>12</v>
      </c>
      <c r="C14" s="239" t="s">
        <v>199</v>
      </c>
      <c r="D14" s="240" t="s">
        <v>200</v>
      </c>
      <c r="E14" s="215" t="s">
        <v>201</v>
      </c>
      <c r="F14" s="239" t="n">
        <v>88667</v>
      </c>
      <c r="G14" s="193"/>
      <c r="H14" s="218" t="n">
        <v>43748</v>
      </c>
      <c r="I14" s="180" t="n">
        <v>3.58082191780822</v>
      </c>
      <c r="J14" s="218" t="n">
        <v>44849</v>
      </c>
      <c r="K14" s="219" t="n">
        <v>79.9</v>
      </c>
      <c r="L14" s="219" t="n">
        <v>3.75</v>
      </c>
      <c r="M14" s="220" t="n">
        <v>206</v>
      </c>
      <c r="N14" s="221" t="n">
        <v>359</v>
      </c>
      <c r="O14" s="221" t="n">
        <v>2142</v>
      </c>
      <c r="P14" s="221" t="n">
        <v>2394</v>
      </c>
      <c r="Q14" s="221" t="n">
        <v>2431</v>
      </c>
      <c r="R14" s="221" t="n">
        <v>2087</v>
      </c>
      <c r="S14" s="221" t="n">
        <v>1859</v>
      </c>
      <c r="T14" s="221" t="n">
        <v>1885</v>
      </c>
      <c r="U14" s="253"/>
      <c r="V14" s="185" t="n">
        <f aca="false">EXP(1.204+(0.102*I14)+(0.007*N14)-(0.001*T14)+(0.008*M14)-2.723)</f>
        <v>3.07173895354885</v>
      </c>
      <c r="W14" s="185" t="n">
        <f aca="false">(V14/(1+V14))</f>
        <v>0.754404687675663</v>
      </c>
      <c r="X14" s="185" t="n">
        <f aca="false">EXP(2.859+(0.011*N14)-(0.002*T14)+(0.275*I14)-1.952)</f>
        <v>7.93057884570672</v>
      </c>
      <c r="Y14" s="185" t="n">
        <f aca="false">(X14/(1+X14))</f>
        <v>0.888025175380346</v>
      </c>
      <c r="Z14" s="238" t="n">
        <v>12</v>
      </c>
      <c r="AA14" s="186"/>
      <c r="AB14" s="187"/>
      <c r="AC14" s="187"/>
      <c r="AD14" s="180"/>
      <c r="AE14" s="187"/>
      <c r="AF14" s="187"/>
      <c r="AG14" s="180"/>
      <c r="AH14" s="180"/>
      <c r="AI14" s="187"/>
      <c r="AJ14" s="187"/>
      <c r="AK14" s="180"/>
      <c r="AL14" s="180"/>
      <c r="AM14" s="180"/>
      <c r="AN14" s="180"/>
      <c r="AO14" s="186"/>
      <c r="AP14" s="188" t="s">
        <v>582</v>
      </c>
      <c r="AQ14" s="189" t="n">
        <v>45057.6791621528</v>
      </c>
      <c r="AR14" s="186" t="s">
        <v>599</v>
      </c>
      <c r="AS14" s="180" t="s">
        <v>593</v>
      </c>
      <c r="AT14" s="172"/>
      <c r="AU14" s="172"/>
      <c r="AV14" s="172"/>
      <c r="AW14" s="172"/>
      <c r="AX14" s="187"/>
      <c r="AY14" s="187"/>
      <c r="AZ14" s="180"/>
      <c r="BA14" s="180"/>
      <c r="BB14" s="172"/>
      <c r="BC14" s="172"/>
      <c r="BD14" s="172"/>
      <c r="BE14" s="172"/>
      <c r="BF14" s="193"/>
      <c r="BG14" s="194" t="n">
        <v>1</v>
      </c>
      <c r="BH14" s="194" t="n">
        <v>2</v>
      </c>
      <c r="BI14" s="194"/>
      <c r="BJ14" s="194" t="s">
        <v>600</v>
      </c>
      <c r="BK14" s="195" t="s">
        <v>603</v>
      </c>
      <c r="BL14" s="194" t="n">
        <v>3</v>
      </c>
      <c r="BM14" s="196" t="n">
        <v>45207</v>
      </c>
      <c r="BN14" s="196" t="n">
        <f aca="false">AQ14+145</f>
        <v>45202.6791621528</v>
      </c>
      <c r="BO14" s="197" t="n">
        <f aca="false">BM14-AQ14</f>
        <v>149.320837847197</v>
      </c>
      <c r="BP14" s="197" t="s">
        <v>35</v>
      </c>
      <c r="BQ14" s="195" t="s">
        <v>603</v>
      </c>
      <c r="BR14" s="199" t="n">
        <v>0.2</v>
      </c>
      <c r="BS14" s="199" t="n">
        <v>0.2</v>
      </c>
      <c r="BT14" s="199" t="n">
        <v>0.2</v>
      </c>
      <c r="BU14" s="199" t="n">
        <v>0.2</v>
      </c>
      <c r="BV14" s="199" t="n">
        <v>0.2</v>
      </c>
      <c r="BW14" s="199" t="n">
        <v>0.2</v>
      </c>
      <c r="BX14" s="199" t="n">
        <v>0.2</v>
      </c>
      <c r="BY14" s="199" t="n">
        <v>0.75945</v>
      </c>
      <c r="BZ14" s="254" t="n">
        <v>1.2214</v>
      </c>
      <c r="CA14" s="199" t="n">
        <v>1.6657</v>
      </c>
      <c r="CB14" s="199" t="n">
        <v>1.4703</v>
      </c>
      <c r="CC14" s="200" t="s">
        <v>588</v>
      </c>
      <c r="CD14" s="201" t="s">
        <v>582</v>
      </c>
      <c r="CE14" s="200" t="s">
        <v>588</v>
      </c>
      <c r="CF14" s="202" t="s">
        <v>589</v>
      </c>
      <c r="CG14" s="200" t="s">
        <v>588</v>
      </c>
      <c r="CH14" s="202" t="s">
        <v>589</v>
      </c>
      <c r="CI14" s="242"/>
      <c r="CJ14" s="200" t="s">
        <v>595</v>
      </c>
      <c r="CK14" s="204" t="n">
        <v>6</v>
      </c>
      <c r="CL14" s="205" t="n">
        <v>0.05</v>
      </c>
      <c r="CM14" s="205" t="n">
        <v>0.05</v>
      </c>
      <c r="CN14" s="205" t="n">
        <v>0.05</v>
      </c>
      <c r="CO14" s="205" t="n">
        <v>0.05</v>
      </c>
      <c r="CP14" s="205" t="n">
        <v>0.05</v>
      </c>
      <c r="CQ14" s="233" t="n">
        <v>0.21983</v>
      </c>
      <c r="CR14" s="232" t="n">
        <v>0.1719</v>
      </c>
      <c r="CS14" s="243" t="n">
        <v>0.09152</v>
      </c>
      <c r="CT14" s="205" t="n">
        <v>0.05</v>
      </c>
      <c r="CU14" s="205" t="n">
        <v>0.05</v>
      </c>
      <c r="CV14" s="205" t="n">
        <v>0.05</v>
      </c>
      <c r="CW14" s="205" t="n">
        <v>0.05</v>
      </c>
      <c r="CX14" s="208" t="n">
        <f aca="false">AVERAGE(CL14:CO14)</f>
        <v>0.05</v>
      </c>
      <c r="CY14" s="208" t="n">
        <f aca="false">_xlfn.STDEV.S(CL14:CO14)</f>
        <v>0</v>
      </c>
      <c r="CZ14" s="208" t="n">
        <v>0.1</v>
      </c>
      <c r="DA14" s="172" t="n">
        <v>60</v>
      </c>
      <c r="DB14" s="209" t="e">
        <f aca="false">#REF!+(DA14/24)</f>
        <v>#REF!</v>
      </c>
      <c r="DC14" s="210" t="n">
        <v>2.5</v>
      </c>
      <c r="DD14" s="210" t="n">
        <v>3.5</v>
      </c>
      <c r="DE14" s="180" t="n">
        <f aca="false">DD14-DC14</f>
        <v>1</v>
      </c>
      <c r="DF14" s="180" t="n">
        <f aca="false">MAX(CM14:CX14)</f>
        <v>0.21983</v>
      </c>
      <c r="DG14" s="211"/>
      <c r="DH14" s="195" t="s">
        <v>603</v>
      </c>
      <c r="DI14" s="244" t="e">
        <f aca="false">(AQ14-DB14)*24</f>
        <v>#REF!</v>
      </c>
      <c r="DJ14" s="245" t="s">
        <v>600</v>
      </c>
      <c r="DK14" s="188" t="s">
        <v>148</v>
      </c>
      <c r="DL14" s="238" t="n">
        <v>12</v>
      </c>
      <c r="DM14" s="240" t="s">
        <v>200</v>
      </c>
      <c r="DO14" s="262"/>
      <c r="DP14" s="263"/>
      <c r="DQ14" s="263"/>
      <c r="DR14" s="264"/>
      <c r="DS14" s="264" t="s">
        <v>590</v>
      </c>
      <c r="DT14" s="265" t="n">
        <f aca="false">COUNTIF(CI8:CI57,"=nd")</f>
        <v>0</v>
      </c>
    </row>
    <row r="15" customFormat="false" ht="15.75" hidden="false" customHeight="true" outlineLevel="0" collapsed="false">
      <c r="A15" s="188" t="s">
        <v>148</v>
      </c>
      <c r="B15" s="238" t="n">
        <v>13</v>
      </c>
      <c r="C15" s="239" t="s">
        <v>205</v>
      </c>
      <c r="D15" s="240" t="s">
        <v>206</v>
      </c>
      <c r="E15" s="215" t="s">
        <v>207</v>
      </c>
      <c r="F15" s="239" t="n">
        <v>88630</v>
      </c>
      <c r="G15" s="193"/>
      <c r="H15" s="218" t="n">
        <v>43748</v>
      </c>
      <c r="I15" s="180" t="n">
        <v>3.58082191780822</v>
      </c>
      <c r="J15" s="218" t="n">
        <v>44868</v>
      </c>
      <c r="K15" s="219" t="n">
        <v>72.9</v>
      </c>
      <c r="L15" s="219" t="n">
        <v>3.25</v>
      </c>
      <c r="M15" s="220" t="n">
        <v>187</v>
      </c>
      <c r="N15" s="221" t="n">
        <v>334</v>
      </c>
      <c r="O15" s="221" t="n">
        <v>2999</v>
      </c>
      <c r="P15" s="221" t="n">
        <v>2599</v>
      </c>
      <c r="Q15" s="221" t="n">
        <v>2374</v>
      </c>
      <c r="R15" s="221" t="n">
        <v>1946</v>
      </c>
      <c r="S15" s="221" t="n">
        <v>1726</v>
      </c>
      <c r="T15" s="221" t="n">
        <v>1885</v>
      </c>
      <c r="U15" s="222" t="s">
        <v>613</v>
      </c>
      <c r="V15" s="185" t="n">
        <f aca="false">EXP(1.204+(0.102*I15)+(0.007*N15)-(0.001*T15)+(0.008*M15)-2.723)</f>
        <v>2.21498102222564</v>
      </c>
      <c r="W15" s="185" t="n">
        <f aca="false">(V15/(1+V15))</f>
        <v>0.688956173275409</v>
      </c>
      <c r="X15" s="185" t="n">
        <f aca="false">EXP(2.859+(0.011*N15)-(0.002*T15)+(0.275*I15)-1.952)</f>
        <v>6.02384661223647</v>
      </c>
      <c r="Y15" s="185" t="n">
        <f aca="false">(X15/(1+X15))</f>
        <v>0.857627870423897</v>
      </c>
      <c r="Z15" s="238" t="n">
        <v>13</v>
      </c>
      <c r="AA15" s="186"/>
      <c r="AB15" s="187"/>
      <c r="AC15" s="187"/>
      <c r="AD15" s="180"/>
      <c r="AE15" s="187"/>
      <c r="AF15" s="187"/>
      <c r="AG15" s="180"/>
      <c r="AH15" s="180"/>
      <c r="AI15" s="187"/>
      <c r="AJ15" s="187"/>
      <c r="AK15" s="180"/>
      <c r="AL15" s="180"/>
      <c r="AM15" s="180"/>
      <c r="AN15" s="180"/>
      <c r="AO15" s="186"/>
      <c r="AP15" s="188" t="s">
        <v>582</v>
      </c>
      <c r="AQ15" s="189" t="n">
        <v>45057.6840866898</v>
      </c>
      <c r="AR15" s="188" t="s">
        <v>592</v>
      </c>
      <c r="AS15" s="180" t="s">
        <v>584</v>
      </c>
      <c r="AT15" s="172"/>
      <c r="AU15" s="172"/>
      <c r="AV15" s="172"/>
      <c r="AW15" s="172"/>
      <c r="AX15" s="187"/>
      <c r="AY15" s="187"/>
      <c r="AZ15" s="180"/>
      <c r="BA15" s="180"/>
      <c r="BB15" s="172"/>
      <c r="BC15" s="172"/>
      <c r="BD15" s="172"/>
      <c r="BE15" s="172"/>
      <c r="BF15" s="193"/>
      <c r="BG15" s="194" t="n">
        <v>1</v>
      </c>
      <c r="BH15" s="194" t="n">
        <v>1</v>
      </c>
      <c r="BI15" s="194"/>
      <c r="BJ15" s="194" t="s">
        <v>600</v>
      </c>
      <c r="BK15" s="195" t="s">
        <v>603</v>
      </c>
      <c r="BL15" s="194" t="n">
        <v>1</v>
      </c>
      <c r="BM15" s="196" t="n">
        <v>45204</v>
      </c>
      <c r="BN15" s="196" t="n">
        <f aca="false">AQ15+145</f>
        <v>45202.6840866898</v>
      </c>
      <c r="BO15" s="197" t="n">
        <f aca="false">BM15-AQ15</f>
        <v>146.315913310202</v>
      </c>
      <c r="BP15" s="197" t="s">
        <v>35</v>
      </c>
      <c r="BQ15" s="195" t="s">
        <v>603</v>
      </c>
      <c r="BR15" s="199" t="n">
        <v>0.56887</v>
      </c>
      <c r="BS15" s="199" t="n">
        <v>6.154</v>
      </c>
      <c r="BT15" s="199" t="n">
        <v>0.38964</v>
      </c>
      <c r="BU15" s="199" t="n">
        <v>0.2</v>
      </c>
      <c r="BV15" s="199" t="n">
        <v>0.2</v>
      </c>
      <c r="BW15" s="199" t="n">
        <v>0.2</v>
      </c>
      <c r="BX15" s="199" t="n">
        <v>1.1566</v>
      </c>
      <c r="BY15" s="199" t="n">
        <v>1.8501</v>
      </c>
      <c r="BZ15" s="250" t="n">
        <v>2.244</v>
      </c>
      <c r="CA15" s="199" t="n">
        <v>3.1628</v>
      </c>
      <c r="CB15" s="199" t="n">
        <v>4.0701</v>
      </c>
      <c r="CC15" s="251" t="s">
        <v>65</v>
      </c>
      <c r="CD15" s="201"/>
      <c r="CE15" s="251" t="s">
        <v>65</v>
      </c>
      <c r="CF15" s="201"/>
      <c r="CG15" s="251" t="s">
        <v>65</v>
      </c>
      <c r="CH15" s="201"/>
      <c r="CI15" s="200" t="s">
        <v>595</v>
      </c>
      <c r="CJ15" s="242"/>
      <c r="CK15" s="204" t="n">
        <v>4</v>
      </c>
      <c r="CL15" s="208" t="n">
        <v>0.093501</v>
      </c>
      <c r="CM15" s="208" t="n">
        <v>0.082937</v>
      </c>
      <c r="CN15" s="208" t="n">
        <v>0.080239</v>
      </c>
      <c r="CO15" s="208" t="n">
        <v>0.096497</v>
      </c>
      <c r="CP15" s="233" t="n">
        <v>0.13604</v>
      </c>
      <c r="CQ15" s="232" t="n">
        <v>0.11695</v>
      </c>
      <c r="CR15" s="208" t="n">
        <v>0.11003</v>
      </c>
      <c r="CS15" s="208" t="n">
        <v>0.097671</v>
      </c>
      <c r="CT15" s="208" t="n">
        <v>0.095995</v>
      </c>
      <c r="CU15" s="208" t="n">
        <v>0.097839</v>
      </c>
      <c r="CV15" s="208" t="n">
        <v>0.092674</v>
      </c>
      <c r="CW15" s="208" t="n">
        <v>0.093004</v>
      </c>
      <c r="CX15" s="208" t="n">
        <f aca="false">AVERAGE(CL15:CO15)</f>
        <v>0.0882935</v>
      </c>
      <c r="CY15" s="208" t="n">
        <f aca="false">_xlfn.STDEV.S(CL15:CO15)</f>
        <v>0.0079158602606834</v>
      </c>
      <c r="CZ15" s="208" t="n">
        <f aca="false">CX15+(2*CY15)</f>
        <v>0.104125220521367</v>
      </c>
      <c r="DA15" s="172" t="n">
        <v>48</v>
      </c>
      <c r="DB15" s="209" t="e">
        <f aca="false">#REF!+(DA15/24)</f>
        <v>#REF!</v>
      </c>
      <c r="DC15" s="210" t="n">
        <v>2</v>
      </c>
      <c r="DD15" s="210" t="n">
        <v>3</v>
      </c>
      <c r="DE15" s="180" t="n">
        <f aca="false">DD15-DC15</f>
        <v>1</v>
      </c>
      <c r="DF15" s="180" t="n">
        <f aca="false">MAX(CM15:CX15)</f>
        <v>0.13604</v>
      </c>
      <c r="DG15" s="211"/>
      <c r="DH15" s="195" t="s">
        <v>603</v>
      </c>
      <c r="DI15" s="244" t="e">
        <f aca="false">(AQ15-DB15)*24</f>
        <v>#REF!</v>
      </c>
      <c r="DJ15" s="245" t="s">
        <v>600</v>
      </c>
      <c r="DK15" s="188" t="s">
        <v>148</v>
      </c>
      <c r="DL15" s="238" t="n">
        <v>13</v>
      </c>
      <c r="DM15" s="240" t="s">
        <v>206</v>
      </c>
      <c r="DO15" s="159"/>
      <c r="DP15" s="242"/>
      <c r="DQ15" s="266"/>
      <c r="DR15" s="266"/>
      <c r="DS15" s="266"/>
    </row>
    <row r="16" customFormat="false" ht="15.75" hidden="false" customHeight="true" outlineLevel="0" collapsed="false">
      <c r="A16" s="172" t="s">
        <v>152</v>
      </c>
      <c r="B16" s="238" t="n">
        <v>14</v>
      </c>
      <c r="C16" s="239" t="s">
        <v>239</v>
      </c>
      <c r="D16" s="240" t="s">
        <v>240</v>
      </c>
      <c r="E16" s="215" t="s">
        <v>241</v>
      </c>
      <c r="F16" s="239" t="n">
        <v>89380</v>
      </c>
      <c r="G16" s="193"/>
      <c r="H16" s="218" t="n">
        <v>43748</v>
      </c>
      <c r="I16" s="180" t="n">
        <v>3.58082191780822</v>
      </c>
      <c r="J16" s="218" t="n">
        <v>44848</v>
      </c>
      <c r="K16" s="219" t="n">
        <v>79</v>
      </c>
      <c r="L16" s="219" t="n">
        <v>4.25</v>
      </c>
      <c r="M16" s="220" t="n">
        <v>207</v>
      </c>
      <c r="N16" s="221" t="n">
        <v>269</v>
      </c>
      <c r="O16" s="221" t="n">
        <v>1836</v>
      </c>
      <c r="P16" s="221" t="n">
        <v>1752</v>
      </c>
      <c r="Q16" s="221" t="n">
        <v>1716</v>
      </c>
      <c r="R16" s="221" t="n">
        <v>1495</v>
      </c>
      <c r="S16" s="221" t="n">
        <v>1096</v>
      </c>
      <c r="T16" s="221" t="n">
        <v>1160</v>
      </c>
      <c r="U16" s="184" t="s">
        <v>614</v>
      </c>
      <c r="V16" s="185" t="n">
        <f aca="false">EXP(1.204+(0.102*I16)+(0.007*N16)-(0.001*T16)+(0.008*M16)-2.723)</f>
        <v>3.40499624093302</v>
      </c>
      <c r="W16" s="185" t="n">
        <f aca="false">(V16/(1+V16))</f>
        <v>0.772985050314552</v>
      </c>
      <c r="X16" s="185" t="n">
        <f aca="false">EXP(2.859+(0.011*N16)-(0.002*T16)+(0.275*I16)-1.952)</f>
        <v>12.5626236354316</v>
      </c>
      <c r="Y16" s="185" t="n">
        <f aca="false">(X16/(1+X16))</f>
        <v>0.926267953245598</v>
      </c>
      <c r="Z16" s="238" t="n">
        <v>14</v>
      </c>
      <c r="AA16" s="186" t="n">
        <v>11</v>
      </c>
      <c r="AB16" s="187" t="n">
        <v>45055.9619907407</v>
      </c>
      <c r="AC16" s="187" t="n">
        <v>45066.491712963</v>
      </c>
      <c r="AD16" s="180" t="n">
        <v>252.713333333319</v>
      </c>
      <c r="AE16" s="187" t="n">
        <v>45057.8344328704</v>
      </c>
      <c r="AF16" s="187" t="n">
        <v>45058.1020601852</v>
      </c>
      <c r="AG16" s="180" t="n">
        <v>6.42305555561325</v>
      </c>
      <c r="AH16" s="180" t="n">
        <v>6.42305555561325</v>
      </c>
      <c r="AI16" s="187"/>
      <c r="AJ16" s="187"/>
      <c r="AK16" s="180"/>
      <c r="AL16" s="180"/>
      <c r="AM16" s="180" t="e">
        <f aca="false">(AE16-#REF!)*24</f>
        <v>#REF!</v>
      </c>
      <c r="AN16" s="180" t="e">
        <f aca="false">AM16+35</f>
        <v>#REF!</v>
      </c>
      <c r="AO16" s="186" t="n">
        <v>20</v>
      </c>
      <c r="AP16" s="188" t="s">
        <v>582</v>
      </c>
      <c r="AQ16" s="189" t="n">
        <v>45057.6651405093</v>
      </c>
      <c r="AR16" s="188" t="s">
        <v>592</v>
      </c>
      <c r="AS16" s="180" t="s">
        <v>584</v>
      </c>
      <c r="AT16" s="172"/>
      <c r="AU16" s="172"/>
      <c r="AV16" s="172"/>
      <c r="AW16" s="172"/>
      <c r="AX16" s="172"/>
      <c r="AY16" s="172"/>
      <c r="AZ16" s="172"/>
      <c r="BA16" s="180"/>
      <c r="BB16" s="172"/>
      <c r="BC16" s="172"/>
      <c r="BD16" s="172"/>
      <c r="BE16" s="172"/>
      <c r="BF16" s="193"/>
      <c r="BG16" s="194" t="n">
        <v>1</v>
      </c>
      <c r="BH16" s="194" t="n">
        <v>1</v>
      </c>
      <c r="BI16" s="194"/>
      <c r="BJ16" s="194" t="s">
        <v>600</v>
      </c>
      <c r="BK16" s="195" t="s">
        <v>615</v>
      </c>
      <c r="BL16" s="194" t="n">
        <v>1</v>
      </c>
      <c r="BM16" s="196" t="n">
        <v>45207</v>
      </c>
      <c r="BN16" s="196" t="n">
        <f aca="false">AQ16+145</f>
        <v>45202.6651405093</v>
      </c>
      <c r="BO16" s="197" t="n">
        <f aca="false">BM16-AQ16</f>
        <v>149.3348594907</v>
      </c>
      <c r="BP16" s="197" t="s">
        <v>35</v>
      </c>
      <c r="BQ16" s="195" t="s">
        <v>615</v>
      </c>
      <c r="BR16" s="199" t="n">
        <v>0.2</v>
      </c>
      <c r="BS16" s="199" t="n">
        <v>0.52302</v>
      </c>
      <c r="BT16" s="199" t="n">
        <v>0.38075</v>
      </c>
      <c r="BU16" s="199" t="n">
        <v>0.25</v>
      </c>
      <c r="BV16" s="199" t="n">
        <v>0.26527</v>
      </c>
      <c r="BW16" s="199" t="n">
        <v>0.35014</v>
      </c>
      <c r="BX16" s="199" t="n">
        <v>0.96385</v>
      </c>
      <c r="BY16" s="199" t="n">
        <v>1.5248</v>
      </c>
      <c r="BZ16" s="199" t="n">
        <v>0.9169</v>
      </c>
      <c r="CA16" s="250" t="n">
        <v>2.6054</v>
      </c>
      <c r="CB16" s="199" t="n">
        <v>2.9036</v>
      </c>
      <c r="CC16" s="200" t="s">
        <v>588</v>
      </c>
      <c r="CD16" s="202" t="s">
        <v>589</v>
      </c>
      <c r="CE16" s="200" t="s">
        <v>588</v>
      </c>
      <c r="CF16" s="202" t="s">
        <v>589</v>
      </c>
      <c r="CG16" s="200" t="s">
        <v>588</v>
      </c>
      <c r="CH16" s="202" t="s">
        <v>589</v>
      </c>
      <c r="CI16" s="203"/>
      <c r="CJ16" s="200" t="s">
        <v>595</v>
      </c>
      <c r="CK16" s="204" t="n">
        <v>4</v>
      </c>
      <c r="CL16" s="205" t="n">
        <v>0.05</v>
      </c>
      <c r="CM16" s="205" t="n">
        <v>0.05</v>
      </c>
      <c r="CN16" s="208" t="n">
        <v>0.063839</v>
      </c>
      <c r="CO16" s="205" t="n">
        <v>0.05</v>
      </c>
      <c r="CP16" s="208" t="n">
        <v>0.064185</v>
      </c>
      <c r="CQ16" s="232" t="n">
        <v>0.1139</v>
      </c>
      <c r="CR16" s="233" t="n">
        <v>0.18206</v>
      </c>
      <c r="CS16" s="243" t="n">
        <v>0.084982</v>
      </c>
      <c r="CT16" s="205" t="n">
        <v>0.05</v>
      </c>
      <c r="CU16" s="205" t="n">
        <v>0.05</v>
      </c>
      <c r="CV16" s="205" t="n">
        <v>0.05</v>
      </c>
      <c r="CW16" s="208" t="n">
        <v>0.060612</v>
      </c>
      <c r="CX16" s="208" t="n">
        <f aca="false">AVERAGE(CL16:CO16)</f>
        <v>0.05345975</v>
      </c>
      <c r="CY16" s="208" t="n">
        <f aca="false">_xlfn.STDEV.S(CL16:CO16)</f>
        <v>0.0069195</v>
      </c>
      <c r="CZ16" s="208" t="n">
        <v>0.1</v>
      </c>
      <c r="DA16" s="172" t="n">
        <v>60</v>
      </c>
      <c r="DB16" s="209" t="e">
        <f aca="false">#REF!+(DA16/24)</f>
        <v>#REF!</v>
      </c>
      <c r="DC16" s="210" t="n">
        <v>2.5</v>
      </c>
      <c r="DD16" s="210" t="n">
        <v>3.5</v>
      </c>
      <c r="DE16" s="180" t="n">
        <f aca="false">DD16-DC16</f>
        <v>1</v>
      </c>
      <c r="DF16" s="180" t="n">
        <f aca="false">MAX(CM16:CX16)</f>
        <v>0.18206</v>
      </c>
      <c r="DG16" s="211" t="e">
        <f aca="false">(DB16-AE16)*24</f>
        <v>#REF!</v>
      </c>
      <c r="DH16" s="195" t="s">
        <v>587</v>
      </c>
      <c r="DI16" s="244" t="e">
        <f aca="false">(AQ16-DB16)*24</f>
        <v>#REF!</v>
      </c>
      <c r="DJ16" s="245" t="s">
        <v>600</v>
      </c>
      <c r="DK16" s="172" t="s">
        <v>152</v>
      </c>
      <c r="DL16" s="238" t="n">
        <v>14</v>
      </c>
      <c r="DM16" s="240" t="s">
        <v>240</v>
      </c>
    </row>
    <row r="17" customFormat="false" ht="15.75" hidden="false" customHeight="true" outlineLevel="0" collapsed="false">
      <c r="A17" s="172" t="s">
        <v>152</v>
      </c>
      <c r="B17" s="238" t="n">
        <v>15</v>
      </c>
      <c r="C17" s="239" t="s">
        <v>248</v>
      </c>
      <c r="D17" s="240" t="s">
        <v>249</v>
      </c>
      <c r="E17" s="215" t="s">
        <v>250</v>
      </c>
      <c r="F17" s="239" t="n">
        <v>89446</v>
      </c>
      <c r="G17" s="193"/>
      <c r="H17" s="218" t="n">
        <v>43748</v>
      </c>
      <c r="I17" s="180" t="n">
        <v>3.58082191780822</v>
      </c>
      <c r="J17" s="218" t="n">
        <v>44849</v>
      </c>
      <c r="K17" s="219" t="n">
        <v>73.7</v>
      </c>
      <c r="L17" s="219" t="n">
        <v>3</v>
      </c>
      <c r="M17" s="220" t="n">
        <v>206</v>
      </c>
      <c r="N17" s="221" t="n">
        <v>270</v>
      </c>
      <c r="O17" s="221" t="n">
        <v>3366</v>
      </c>
      <c r="P17" s="221" t="n">
        <v>3183</v>
      </c>
      <c r="Q17" s="221" t="n">
        <v>2603</v>
      </c>
      <c r="R17" s="221" t="n">
        <v>1974</v>
      </c>
      <c r="S17" s="221" t="n">
        <v>1693</v>
      </c>
      <c r="T17" s="221" t="n">
        <v>1160</v>
      </c>
      <c r="U17" s="257"/>
      <c r="V17" s="185" t="n">
        <f aca="false">EXP(0.585+(0.102*I17)+(0.007*N17)-(0.001*T17)+(0.008*M17)-2.723)</f>
        <v>1.8316987878407</v>
      </c>
      <c r="W17" s="185" t="n">
        <f aca="false">(V17/(1+V17))</f>
        <v>0.646855094795394</v>
      </c>
      <c r="X17" s="185" t="n">
        <f aca="false">EXP(1.741+(0.011*N17)-(0.002*T17)+(0.275*I17)-1.952)</f>
        <v>4.15256421846038</v>
      </c>
      <c r="Y17" s="185" t="n">
        <f aca="false">(X17/(1+X17))</f>
        <v>0.805921875477603</v>
      </c>
      <c r="Z17" s="238" t="n">
        <v>15</v>
      </c>
      <c r="AA17" s="186" t="n">
        <v>1</v>
      </c>
      <c r="AB17" s="187" t="n">
        <v>45055.501724537</v>
      </c>
      <c r="AC17" s="187" t="n">
        <v>45055.5017476852</v>
      </c>
      <c r="AD17" s="180" t="n">
        <v>0.000555555510800332</v>
      </c>
      <c r="AE17" s="190" t="n">
        <v>45055.501724537</v>
      </c>
      <c r="AF17" s="190" t="n">
        <v>45055.5017476852</v>
      </c>
      <c r="AG17" s="180" t="n">
        <v>0.000555555510800332</v>
      </c>
      <c r="AH17" s="180" t="n">
        <v>1</v>
      </c>
      <c r="AI17" s="187"/>
      <c r="AJ17" s="187"/>
      <c r="AK17" s="180"/>
      <c r="AL17" s="180"/>
      <c r="AM17" s="180" t="e">
        <f aca="false">(AE17-#REF!)*24</f>
        <v>#REF!</v>
      </c>
      <c r="AN17" s="180" t="e">
        <f aca="false">AM17+35</f>
        <v>#REF!</v>
      </c>
      <c r="AO17" s="193" t="n">
        <v>2</v>
      </c>
      <c r="AP17" s="188" t="s">
        <v>582</v>
      </c>
      <c r="AQ17" s="189" t="n">
        <v>45057.6569063657</v>
      </c>
      <c r="AR17" s="188" t="s">
        <v>592</v>
      </c>
      <c r="AS17" s="180" t="s">
        <v>593</v>
      </c>
      <c r="AT17" s="172"/>
      <c r="AU17" s="172"/>
      <c r="AV17" s="172"/>
      <c r="AW17" s="172"/>
      <c r="AX17" s="172"/>
      <c r="AY17" s="172"/>
      <c r="AZ17" s="172"/>
      <c r="BA17" s="180"/>
      <c r="BB17" s="172"/>
      <c r="BC17" s="172"/>
      <c r="BD17" s="172"/>
      <c r="BE17" s="172"/>
      <c r="BF17" s="193"/>
      <c r="BG17" s="194" t="n">
        <v>0</v>
      </c>
      <c r="BH17" s="194"/>
      <c r="BI17" s="194"/>
      <c r="BJ17" s="194" t="s">
        <v>585</v>
      </c>
      <c r="BK17" s="195" t="s">
        <v>587</v>
      </c>
      <c r="BL17" s="194"/>
      <c r="BM17" s="196" t="s">
        <v>611</v>
      </c>
      <c r="BN17" s="196" t="n">
        <f aca="false">AQ17+145</f>
        <v>45202.6569063657</v>
      </c>
      <c r="BO17" s="197"/>
      <c r="BP17" s="197" t="s">
        <v>585</v>
      </c>
      <c r="BQ17" s="195" t="s">
        <v>587</v>
      </c>
      <c r="BR17" s="199" t="n">
        <v>0.2</v>
      </c>
      <c r="BS17" s="199" t="n">
        <v>0.2</v>
      </c>
      <c r="BT17" s="199" t="n">
        <v>0.2</v>
      </c>
      <c r="BU17" s="199" t="n">
        <v>0.2</v>
      </c>
      <c r="BV17" s="199" t="n">
        <v>0.39083</v>
      </c>
      <c r="BW17" s="199" t="n">
        <v>0.38075</v>
      </c>
      <c r="BX17" s="199" t="n">
        <v>0.41583</v>
      </c>
      <c r="BY17" s="199" t="n">
        <v>3.3827</v>
      </c>
      <c r="BZ17" s="199" t="n">
        <v>2.2103</v>
      </c>
      <c r="CA17" s="254" t="n">
        <v>2.9039</v>
      </c>
      <c r="CB17" s="199" t="n">
        <v>4.7803</v>
      </c>
      <c r="CC17" s="200" t="s">
        <v>588</v>
      </c>
      <c r="CD17" s="202" t="s">
        <v>589</v>
      </c>
      <c r="CE17" s="200" t="s">
        <v>588</v>
      </c>
      <c r="CF17" s="202" t="s">
        <v>589</v>
      </c>
      <c r="CG17" s="200" t="s">
        <v>588</v>
      </c>
      <c r="CH17" s="202" t="s">
        <v>589</v>
      </c>
      <c r="CI17" s="203"/>
      <c r="CJ17" s="200" t="s">
        <v>595</v>
      </c>
      <c r="CK17" s="204" t="n">
        <v>5</v>
      </c>
      <c r="CL17" s="205" t="n">
        <v>0.05</v>
      </c>
      <c r="CM17" s="205" t="n">
        <v>0.05</v>
      </c>
      <c r="CN17" s="208" t="n">
        <v>0.062309</v>
      </c>
      <c r="CO17" s="208" t="n">
        <v>0.091766</v>
      </c>
      <c r="CP17" s="233" t="n">
        <v>0.39</v>
      </c>
      <c r="CQ17" s="208" t="n">
        <v>0.22358</v>
      </c>
      <c r="CR17" s="232" t="n">
        <v>0.10669</v>
      </c>
      <c r="CS17" s="208" t="n">
        <v>0.082089</v>
      </c>
      <c r="CT17" s="205" t="n">
        <v>0.05</v>
      </c>
      <c r="CU17" s="205" t="n">
        <v>0.05</v>
      </c>
      <c r="CV17" s="205" t="n">
        <v>0.05</v>
      </c>
      <c r="CW17" s="205" t="n">
        <v>0.05</v>
      </c>
      <c r="CX17" s="208" t="n">
        <f aca="false">AVERAGE(CL17:CO17)</f>
        <v>0.06351875</v>
      </c>
      <c r="CY17" s="208" t="n">
        <f aca="false">_xlfn.STDEV.S(CL17:CO17)</f>
        <v>0.0197051924692453</v>
      </c>
      <c r="CZ17" s="208" t="n">
        <f aca="false">CX17+(2*CY17)</f>
        <v>0.102929134938491</v>
      </c>
      <c r="DA17" s="172" t="n">
        <v>48</v>
      </c>
      <c r="DB17" s="209" t="e">
        <f aca="false">#REF!+(DA17/24)</f>
        <v>#REF!</v>
      </c>
      <c r="DC17" s="210" t="n">
        <v>2</v>
      </c>
      <c r="DD17" s="210" t="n">
        <v>3.5</v>
      </c>
      <c r="DE17" s="180" t="n">
        <f aca="false">DD17-DC17</f>
        <v>1.5</v>
      </c>
      <c r="DF17" s="180" t="n">
        <f aca="false">MAX(CM17:CX17)</f>
        <v>0.39</v>
      </c>
      <c r="DG17" s="211" t="e">
        <f aca="false">(DB17-AE17)*24</f>
        <v>#REF!</v>
      </c>
      <c r="DH17" s="195" t="s">
        <v>587</v>
      </c>
      <c r="DI17" s="211" t="e">
        <f aca="false">(AQ17-DB17)*24</f>
        <v>#REF!</v>
      </c>
      <c r="DJ17" s="194" t="s">
        <v>585</v>
      </c>
      <c r="DK17" s="172" t="s">
        <v>152</v>
      </c>
      <c r="DL17" s="238" t="n">
        <v>15</v>
      </c>
      <c r="DM17" s="240" t="s">
        <v>249</v>
      </c>
    </row>
    <row r="18" customFormat="false" ht="15.75" hidden="false" customHeight="true" outlineLevel="0" collapsed="false">
      <c r="A18" s="172" t="s">
        <v>152</v>
      </c>
      <c r="B18" s="238" t="n">
        <v>16</v>
      </c>
      <c r="C18" s="239" t="s">
        <v>257</v>
      </c>
      <c r="D18" s="240" t="s">
        <v>258</v>
      </c>
      <c r="E18" s="215" t="s">
        <v>259</v>
      </c>
      <c r="F18" s="239" t="n">
        <v>88808</v>
      </c>
      <c r="G18" s="193"/>
      <c r="H18" s="218" t="n">
        <v>44112</v>
      </c>
      <c r="I18" s="180" t="n">
        <v>2.58356164383562</v>
      </c>
      <c r="J18" s="218" t="n">
        <v>44846</v>
      </c>
      <c r="K18" s="219" t="n">
        <v>55.2</v>
      </c>
      <c r="L18" s="219" t="n">
        <v>3</v>
      </c>
      <c r="M18" s="220" t="n">
        <v>209</v>
      </c>
      <c r="N18" s="221" t="n">
        <v>273</v>
      </c>
      <c r="O18" s="221" t="n">
        <v>2479</v>
      </c>
      <c r="P18" s="221" t="n">
        <v>2190</v>
      </c>
      <c r="Q18" s="221" t="n">
        <v>2603</v>
      </c>
      <c r="R18" s="221" t="n">
        <v>1664</v>
      </c>
      <c r="S18" s="221" t="n">
        <v>963</v>
      </c>
      <c r="T18" s="221" t="n">
        <v>1189</v>
      </c>
      <c r="U18" s="257"/>
      <c r="V18" s="185" t="n">
        <f aca="false">EXP(0.585+(0.102*I18)+(0.007*N18)-(0.001*T18)+(0.008*M18)-2.723)</f>
        <v>1.68122599747488</v>
      </c>
      <c r="W18" s="185" t="n">
        <f aca="false">(V18/(1+V18))</f>
        <v>0.62703628827194</v>
      </c>
      <c r="X18" s="185" t="n">
        <f aca="false">EXP(1.741+(0.011*N18)-(0.002*T18)+(0.275*I18)-1.952)</f>
        <v>3.07861386561757</v>
      </c>
      <c r="Y18" s="185" t="n">
        <f aca="false">(X18/(1+X18))</f>
        <v>0.754818663166442</v>
      </c>
      <c r="Z18" s="238" t="n">
        <v>16</v>
      </c>
      <c r="AA18" s="186" t="n">
        <v>13</v>
      </c>
      <c r="AB18" s="187" t="n">
        <v>45055.9669444444</v>
      </c>
      <c r="AC18" s="187" t="n">
        <v>45057.9347685185</v>
      </c>
      <c r="AD18" s="180" t="n">
        <v>47.2277777778218</v>
      </c>
      <c r="AE18" s="187" t="n">
        <v>45055.9669444444</v>
      </c>
      <c r="AF18" s="187" t="n">
        <v>45057.9347685185</v>
      </c>
      <c r="AG18" s="180" t="n">
        <v>47.2277777778218</v>
      </c>
      <c r="AH18" s="180" t="n">
        <v>47.2277777778218</v>
      </c>
      <c r="AI18" s="187"/>
      <c r="AJ18" s="187"/>
      <c r="AK18" s="180"/>
      <c r="AL18" s="180"/>
      <c r="AM18" s="180" t="e">
        <f aca="false">(AE18-#REF!)*24</f>
        <v>#REF!</v>
      </c>
      <c r="AN18" s="180" t="e">
        <f aca="false">AM18+35</f>
        <v>#REF!</v>
      </c>
      <c r="AO18" s="186" t="n">
        <v>36</v>
      </c>
      <c r="AP18" s="188" t="s">
        <v>582</v>
      </c>
      <c r="AQ18" s="189" t="n">
        <v>45057.6649797454</v>
      </c>
      <c r="AR18" s="188" t="s">
        <v>592</v>
      </c>
      <c r="AS18" s="180" t="s">
        <v>593</v>
      </c>
      <c r="AT18" s="172" t="n">
        <v>13</v>
      </c>
      <c r="AU18" s="187" t="n">
        <v>45069.3385300926</v>
      </c>
      <c r="AV18" s="192" t="n">
        <v>45085.6241550926</v>
      </c>
      <c r="AW18" s="180" t="n">
        <v>390.854999999923</v>
      </c>
      <c r="AX18" s="192" t="n">
        <v>45085.5999421296</v>
      </c>
      <c r="AY18" s="192" t="n">
        <v>45085.6241550926</v>
      </c>
      <c r="AZ18" s="180" t="n">
        <v>0.581111111096107</v>
      </c>
      <c r="BA18" s="180" t="n">
        <v>1</v>
      </c>
      <c r="BB18" s="172"/>
      <c r="BC18" s="172"/>
      <c r="BD18" s="172"/>
      <c r="BE18" s="172"/>
      <c r="BF18" s="193" t="n">
        <v>7</v>
      </c>
      <c r="BG18" s="194" t="n">
        <v>1</v>
      </c>
      <c r="BH18" s="194" t="n">
        <v>1</v>
      </c>
      <c r="BI18" s="194"/>
      <c r="BJ18" s="194" t="s">
        <v>600</v>
      </c>
      <c r="BK18" s="195" t="s">
        <v>586</v>
      </c>
      <c r="BL18" s="194" t="n">
        <v>1</v>
      </c>
      <c r="BM18" s="196" t="n">
        <v>45203</v>
      </c>
      <c r="BN18" s="196" t="n">
        <f aca="false">AQ18+145</f>
        <v>45202.6649797454</v>
      </c>
      <c r="BO18" s="197" t="n">
        <f aca="false">BM18-AQ18</f>
        <v>145.335020254599</v>
      </c>
      <c r="BP18" s="197" t="s">
        <v>35</v>
      </c>
      <c r="BQ18" s="195" t="s">
        <v>586</v>
      </c>
      <c r="BR18" s="199" t="n">
        <v>0.2</v>
      </c>
      <c r="BS18" s="199" t="n">
        <v>0.2</v>
      </c>
      <c r="BT18" s="199" t="n">
        <v>0.2</v>
      </c>
      <c r="BU18" s="199" t="n">
        <v>0.2</v>
      </c>
      <c r="BV18" s="199" t="n">
        <v>0.2</v>
      </c>
      <c r="BW18" s="199" t="n">
        <v>0.2</v>
      </c>
      <c r="BX18" s="199" t="n">
        <v>0.36551</v>
      </c>
      <c r="BY18" s="199" t="n">
        <v>0.50862</v>
      </c>
      <c r="BZ18" s="254" t="n">
        <v>0.63393</v>
      </c>
      <c r="CA18" s="199" t="n">
        <v>2.1664</v>
      </c>
      <c r="CB18" s="199" t="n">
        <v>1.778</v>
      </c>
      <c r="CC18" s="200" t="s">
        <v>588</v>
      </c>
      <c r="CD18" s="202" t="s">
        <v>589</v>
      </c>
      <c r="CE18" s="200" t="s">
        <v>588</v>
      </c>
      <c r="CF18" s="202" t="s">
        <v>589</v>
      </c>
      <c r="CG18" s="200" t="s">
        <v>588</v>
      </c>
      <c r="CH18" s="202" t="s">
        <v>589</v>
      </c>
      <c r="CI18" s="203"/>
      <c r="CJ18" s="200" t="s">
        <v>590</v>
      </c>
      <c r="CK18" s="204" t="n">
        <v>7</v>
      </c>
      <c r="CL18" s="205" t="n">
        <v>0.05</v>
      </c>
      <c r="CM18" s="205" t="n">
        <v>0.05</v>
      </c>
      <c r="CN18" s="208" t="n">
        <v>0.074252</v>
      </c>
      <c r="CO18" s="208" t="n">
        <v>0.070225</v>
      </c>
      <c r="CP18" s="208" t="n">
        <v>0.069529</v>
      </c>
      <c r="CQ18" s="208" t="n">
        <v>0.064185</v>
      </c>
      <c r="CR18" s="233" t="n">
        <v>0.18537</v>
      </c>
      <c r="CS18" s="232" t="n">
        <v>0.10921</v>
      </c>
      <c r="CT18" s="205" t="n">
        <v>0.05</v>
      </c>
      <c r="CU18" s="205" t="n">
        <v>0.05</v>
      </c>
      <c r="CV18" s="205" t="n">
        <v>0.05</v>
      </c>
      <c r="CW18" s="208" t="n">
        <v>0.060781</v>
      </c>
      <c r="CX18" s="208" t="n">
        <f aca="false">AVERAGE(CL18:CO18)</f>
        <v>0.06111925</v>
      </c>
      <c r="CY18" s="208" t="n">
        <f aca="false">_xlfn.STDEV.S(CL18:CO18)</f>
        <v>0.0129442296893249</v>
      </c>
      <c r="CZ18" s="208" t="n">
        <v>0.1</v>
      </c>
      <c r="DA18" s="186" t="n">
        <v>72</v>
      </c>
      <c r="DB18" s="209" t="e">
        <f aca="false">#REF!+(DA18/24)</f>
        <v>#REF!</v>
      </c>
      <c r="DC18" s="210" t="n">
        <v>3</v>
      </c>
      <c r="DD18" s="210" t="n">
        <v>4</v>
      </c>
      <c r="DE18" s="180" t="n">
        <f aca="false">DD18-DC18</f>
        <v>1</v>
      </c>
      <c r="DF18" s="180" t="n">
        <f aca="false">MAX(CM18:CX18)</f>
        <v>0.18537</v>
      </c>
      <c r="DG18" s="211" t="e">
        <f aca="false">(DB18-AE18)*24</f>
        <v>#REF!</v>
      </c>
      <c r="DH18" s="195" t="s">
        <v>587</v>
      </c>
      <c r="DI18" s="211" t="e">
        <f aca="false">(AQ18-DB18)*24</f>
        <v>#REF!</v>
      </c>
      <c r="DJ18" s="194" t="s">
        <v>600</v>
      </c>
      <c r="DK18" s="172" t="s">
        <v>152</v>
      </c>
      <c r="DL18" s="238" t="n">
        <v>16</v>
      </c>
      <c r="DM18" s="240" t="s">
        <v>258</v>
      </c>
    </row>
    <row r="19" customFormat="false" ht="15.75" hidden="false" customHeight="true" outlineLevel="0" collapsed="false">
      <c r="A19" s="188" t="s">
        <v>148</v>
      </c>
      <c r="B19" s="238" t="n">
        <v>17</v>
      </c>
      <c r="C19" s="239" t="s">
        <v>211</v>
      </c>
      <c r="D19" s="240" t="s">
        <v>212</v>
      </c>
      <c r="E19" s="215" t="s">
        <v>213</v>
      </c>
      <c r="F19" s="239" t="n">
        <v>89052</v>
      </c>
      <c r="G19" s="193"/>
      <c r="H19" s="218" t="n">
        <v>44113</v>
      </c>
      <c r="I19" s="180" t="n">
        <v>2.58082191780822</v>
      </c>
      <c r="J19" s="218" t="n">
        <v>44846</v>
      </c>
      <c r="K19" s="219" t="n">
        <v>84.8</v>
      </c>
      <c r="L19" s="219" t="n">
        <v>3.75</v>
      </c>
      <c r="M19" s="220" t="n">
        <v>209</v>
      </c>
      <c r="N19" s="221" t="n">
        <v>244</v>
      </c>
      <c r="O19" s="221" t="n">
        <v>2387</v>
      </c>
      <c r="P19" s="221" t="n">
        <v>2044</v>
      </c>
      <c r="Q19" s="221" t="n">
        <v>1916</v>
      </c>
      <c r="R19" s="221" t="n">
        <v>1325</v>
      </c>
      <c r="S19" s="221" t="n">
        <v>1560</v>
      </c>
      <c r="T19" s="221" t="n">
        <v>1479</v>
      </c>
      <c r="U19" s="222" t="s">
        <v>616</v>
      </c>
      <c r="V19" s="185" t="n">
        <f aca="false">EXP(1.204+(0.102*I19)+(0.007*N19)-(0.001*T19)+(0.008*M19)-2.723)</f>
        <v>1.90645183345973</v>
      </c>
      <c r="W19" s="185" t="n">
        <f aca="false">(V19/(1+V19))</f>
        <v>0.655937872946053</v>
      </c>
      <c r="X19" s="185" t="n">
        <f aca="false">EXP(2.859+(0.011*N19)-(0.002*T19)+(0.275*I19)-1.952)</f>
        <v>3.82946852558276</v>
      </c>
      <c r="Y19" s="185" t="n">
        <f aca="false">(X19/(1+X19))</f>
        <v>0.792937878215216</v>
      </c>
      <c r="Z19" s="238" t="n">
        <v>17</v>
      </c>
      <c r="AA19" s="186" t="n">
        <v>78</v>
      </c>
      <c r="AB19" s="187" t="n">
        <v>45066.7146412037</v>
      </c>
      <c r="AC19" s="187" t="n">
        <v>45066.7146412037</v>
      </c>
      <c r="AD19" s="180" t="n">
        <v>0</v>
      </c>
      <c r="AE19" s="190" t="n">
        <v>45066.7146412037</v>
      </c>
      <c r="AF19" s="190" t="n">
        <v>45066.7146412037</v>
      </c>
      <c r="AG19" s="180" t="n">
        <v>0</v>
      </c>
      <c r="AH19" s="180" t="n">
        <v>1</v>
      </c>
      <c r="AI19" s="187"/>
      <c r="AJ19" s="187"/>
      <c r="AK19" s="180"/>
      <c r="AL19" s="180"/>
      <c r="AM19" s="180" t="e">
        <f aca="false">(AE19-#REF!)*24</f>
        <v>#REF!</v>
      </c>
      <c r="AN19" s="180" t="e">
        <f aca="false">AM19+35</f>
        <v>#REF!</v>
      </c>
      <c r="AO19" s="186" t="n">
        <v>1</v>
      </c>
      <c r="AP19" s="188" t="s">
        <v>582</v>
      </c>
      <c r="AQ19" s="189" t="n">
        <v>45057.679953125</v>
      </c>
      <c r="AR19" s="188" t="s">
        <v>592</v>
      </c>
      <c r="AS19" s="180" t="s">
        <v>593</v>
      </c>
      <c r="AT19" s="172" t="n">
        <v>78</v>
      </c>
      <c r="AU19" s="172"/>
      <c r="AV19" s="172"/>
      <c r="AW19" s="172"/>
      <c r="AX19" s="190" t="n">
        <v>45082.3394560185</v>
      </c>
      <c r="AY19" s="190" t="n">
        <v>45082.3394560185</v>
      </c>
      <c r="AZ19" s="191" t="n">
        <v>0</v>
      </c>
      <c r="BA19" s="180" t="n">
        <v>1</v>
      </c>
      <c r="BB19" s="172"/>
      <c r="BC19" s="172"/>
      <c r="BD19" s="172"/>
      <c r="BE19" s="172"/>
      <c r="BF19" s="193" t="n">
        <v>1</v>
      </c>
      <c r="BG19" s="194" t="n">
        <v>1</v>
      </c>
      <c r="BH19" s="194" t="n">
        <v>1</v>
      </c>
      <c r="BI19" s="194"/>
      <c r="BJ19" s="194" t="s">
        <v>600</v>
      </c>
      <c r="BK19" s="195" t="s">
        <v>617</v>
      </c>
      <c r="BL19" s="194" t="n">
        <v>1</v>
      </c>
      <c r="BM19" s="196" t="n">
        <v>45202</v>
      </c>
      <c r="BN19" s="196" t="n">
        <f aca="false">AQ19+145</f>
        <v>45202.679953125</v>
      </c>
      <c r="BO19" s="197" t="n">
        <f aca="false">BM19-AQ19</f>
        <v>144.320046875</v>
      </c>
      <c r="BP19" s="197" t="s">
        <v>35</v>
      </c>
      <c r="BQ19" s="195" t="s">
        <v>617</v>
      </c>
      <c r="BR19" s="199" t="n">
        <v>0.2</v>
      </c>
      <c r="BS19" s="199" t="n">
        <v>0.2</v>
      </c>
      <c r="BT19" s="199" t="n">
        <v>0.2</v>
      </c>
      <c r="BU19" s="199" t="n">
        <v>0.2</v>
      </c>
      <c r="BV19" s="199" t="n">
        <v>0.2</v>
      </c>
      <c r="BW19" s="199" t="n">
        <v>0.2</v>
      </c>
      <c r="BX19" s="199" t="n">
        <v>0.65548</v>
      </c>
      <c r="BY19" s="199" t="n">
        <v>0.4208</v>
      </c>
      <c r="BZ19" s="199" t="n">
        <v>2.0141</v>
      </c>
      <c r="CA19" s="199" t="n">
        <v>3.9878</v>
      </c>
      <c r="CB19" s="199" t="n">
        <v>5.1704</v>
      </c>
      <c r="CC19" s="200" t="s">
        <v>588</v>
      </c>
      <c r="CD19" s="202" t="s">
        <v>589</v>
      </c>
      <c r="CE19" s="200" t="s">
        <v>588</v>
      </c>
      <c r="CF19" s="202" t="s">
        <v>589</v>
      </c>
      <c r="CG19" s="200" t="s">
        <v>588</v>
      </c>
      <c r="CH19" s="202" t="s">
        <v>589</v>
      </c>
      <c r="CI19" s="242"/>
      <c r="CJ19" s="200" t="s">
        <v>595</v>
      </c>
      <c r="CK19" s="204" t="n">
        <v>6</v>
      </c>
      <c r="CL19" s="205" t="n">
        <v>0.05</v>
      </c>
      <c r="CM19" s="205" t="n">
        <v>0.05</v>
      </c>
      <c r="CN19" s="205" t="n">
        <v>0.05</v>
      </c>
      <c r="CO19" s="208" t="n">
        <v>0.060104</v>
      </c>
      <c r="CP19" s="232" t="n">
        <v>0.19278</v>
      </c>
      <c r="CQ19" s="233" t="n">
        <v>0.22228</v>
      </c>
      <c r="CR19" s="232" t="n">
        <v>0.10902</v>
      </c>
      <c r="CS19" s="208" t="n">
        <v>0.075134</v>
      </c>
      <c r="CT19" s="243" t="n">
        <v>0.07162</v>
      </c>
      <c r="CU19" s="205" t="n">
        <v>0.05</v>
      </c>
      <c r="CV19" s="205" t="n">
        <v>0.05</v>
      </c>
      <c r="CW19" s="205" t="n">
        <v>0.05</v>
      </c>
      <c r="CX19" s="208" t="n">
        <f aca="false">AVERAGE(CL19:CO19)</f>
        <v>0.052526</v>
      </c>
      <c r="CY19" s="208" t="n">
        <f aca="false">_xlfn.STDEV.S(CL19:CO19)</f>
        <v>0.005052</v>
      </c>
      <c r="CZ19" s="208" t="n">
        <v>0.1</v>
      </c>
      <c r="DA19" s="186" t="n">
        <v>48</v>
      </c>
      <c r="DB19" s="209" t="e">
        <f aca="false">#REF!+(DA19/24)</f>
        <v>#REF!</v>
      </c>
      <c r="DC19" s="210" t="n">
        <v>2</v>
      </c>
      <c r="DD19" s="210" t="n">
        <v>3.5</v>
      </c>
      <c r="DE19" s="180" t="n">
        <f aca="false">DD19-DC19</f>
        <v>1.5</v>
      </c>
      <c r="DF19" s="180" t="n">
        <f aca="false">MAX(CM19:CX19)</f>
        <v>0.22228</v>
      </c>
      <c r="DG19" s="211" t="e">
        <f aca="false">(DB19-AE19)*24</f>
        <v>#REF!</v>
      </c>
      <c r="DH19" s="195" t="s">
        <v>596</v>
      </c>
      <c r="DI19" s="244" t="e">
        <f aca="false">(AQ19-DB19)*24</f>
        <v>#REF!</v>
      </c>
      <c r="DJ19" s="245" t="s">
        <v>600</v>
      </c>
      <c r="DK19" s="188" t="s">
        <v>148</v>
      </c>
      <c r="DL19" s="238" t="n">
        <v>17</v>
      </c>
      <c r="DM19" s="240" t="s">
        <v>212</v>
      </c>
      <c r="DO19" s="267" t="s">
        <v>618</v>
      </c>
      <c r="DP19" s="242"/>
      <c r="DQ19" s="268" t="e">
        <f aca="false">DP16/(DP16+DP12)*100</f>
        <v>#DIV/0!</v>
      </c>
      <c r="DR19" s="242"/>
      <c r="DS19" s="269" t="s">
        <v>619</v>
      </c>
      <c r="DT19" s="270" t="e">
        <f aca="false">DT13/(DT12+DT13+DT14)*100</f>
        <v>#DIV/0!</v>
      </c>
    </row>
    <row r="20" customFormat="false" ht="15.75" hidden="false" customHeight="true" outlineLevel="0" collapsed="false">
      <c r="A20" s="188" t="s">
        <v>148</v>
      </c>
      <c r="B20" s="238" t="n">
        <v>18</v>
      </c>
      <c r="C20" s="239" t="s">
        <v>218</v>
      </c>
      <c r="D20" s="240" t="s">
        <v>219</v>
      </c>
      <c r="E20" s="215" t="s">
        <v>220</v>
      </c>
      <c r="F20" s="239" t="n">
        <v>88677</v>
      </c>
      <c r="G20" s="193"/>
      <c r="H20" s="218" t="n">
        <v>44113</v>
      </c>
      <c r="I20" s="180" t="n">
        <v>2.58082191780822</v>
      </c>
      <c r="J20" s="218" t="n">
        <v>44848</v>
      </c>
      <c r="K20" s="219" t="n">
        <v>70.3</v>
      </c>
      <c r="L20" s="219" t="n">
        <v>3.25</v>
      </c>
      <c r="M20" s="220" t="n">
        <v>207</v>
      </c>
      <c r="N20" s="221" t="n">
        <v>297</v>
      </c>
      <c r="O20" s="221" t="n">
        <v>2295</v>
      </c>
      <c r="P20" s="221" t="n">
        <v>2248</v>
      </c>
      <c r="Q20" s="221" t="n">
        <v>1830</v>
      </c>
      <c r="R20" s="221" t="n">
        <v>1692</v>
      </c>
      <c r="S20" s="221" t="n">
        <v>1228</v>
      </c>
      <c r="T20" s="221" t="n">
        <v>1218</v>
      </c>
      <c r="U20" s="222" t="s">
        <v>620</v>
      </c>
      <c r="V20" s="185" t="n">
        <f aca="false">EXP(1.204+(0.102*I20)+(0.007*N20)-(0.001*T20)+(0.008*M20)-2.723)</f>
        <v>3.52980926044284</v>
      </c>
      <c r="W20" s="185" t="n">
        <f aca="false">(V20/(1+V20))</f>
        <v>0.779240152839848</v>
      </c>
      <c r="X20" s="185" t="n">
        <f aca="false">EXP(2.859+(0.011*N20)-(0.002*T20)+(0.275*I20)-1.952)</f>
        <v>11.5620250749641</v>
      </c>
      <c r="Y20" s="185" t="n">
        <f aca="false">(X20/(1+X20))</f>
        <v>0.920395000484995</v>
      </c>
      <c r="Z20" s="238" t="n">
        <v>18</v>
      </c>
      <c r="AA20" s="186" t="n">
        <v>76</v>
      </c>
      <c r="AB20" s="187" t="n">
        <v>45066.4247453704</v>
      </c>
      <c r="AC20" s="187" t="n">
        <v>45066.4247453704</v>
      </c>
      <c r="AD20" s="180" t="n">
        <v>0</v>
      </c>
      <c r="AE20" s="190" t="n">
        <v>45066.4247453704</v>
      </c>
      <c r="AF20" s="190" t="n">
        <v>45066.4247453704</v>
      </c>
      <c r="AG20" s="180" t="n">
        <v>0</v>
      </c>
      <c r="AH20" s="180" t="n">
        <v>1</v>
      </c>
      <c r="AI20" s="187"/>
      <c r="AJ20" s="187"/>
      <c r="AK20" s="180"/>
      <c r="AL20" s="180"/>
      <c r="AM20" s="180" t="e">
        <f aca="false">(AE20-#REF!)*24</f>
        <v>#REF!</v>
      </c>
      <c r="AN20" s="180" t="e">
        <f aca="false">AM20+35</f>
        <v>#REF!</v>
      </c>
      <c r="AO20" s="186" t="n">
        <v>1</v>
      </c>
      <c r="AP20" s="188" t="s">
        <v>582</v>
      </c>
      <c r="AQ20" s="189" t="n">
        <v>45057.6819777778</v>
      </c>
      <c r="AR20" s="188" t="s">
        <v>592</v>
      </c>
      <c r="AS20" s="180" t="s">
        <v>593</v>
      </c>
      <c r="AT20" s="172"/>
      <c r="AU20" s="172"/>
      <c r="AV20" s="172"/>
      <c r="AW20" s="172"/>
      <c r="AX20" s="172"/>
      <c r="AY20" s="172"/>
      <c r="AZ20" s="172"/>
      <c r="BA20" s="180"/>
      <c r="BB20" s="172"/>
      <c r="BC20" s="172"/>
      <c r="BD20" s="172"/>
      <c r="BE20" s="172"/>
      <c r="BF20" s="193"/>
      <c r="BG20" s="194" t="n">
        <v>1</v>
      </c>
      <c r="BH20" s="194" t="n">
        <v>2</v>
      </c>
      <c r="BI20" s="194"/>
      <c r="BJ20" s="194" t="s">
        <v>600</v>
      </c>
      <c r="BK20" s="195" t="s">
        <v>617</v>
      </c>
      <c r="BL20" s="194" t="n">
        <v>2</v>
      </c>
      <c r="BM20" s="196" t="n">
        <v>45204</v>
      </c>
      <c r="BN20" s="196" t="n">
        <f aca="false">AQ20+145</f>
        <v>45202.6819777778</v>
      </c>
      <c r="BO20" s="197" t="n">
        <f aca="false">BM20-AQ20</f>
        <v>146.3180222222</v>
      </c>
      <c r="BP20" s="197" t="s">
        <v>35</v>
      </c>
      <c r="BQ20" s="195" t="s">
        <v>617</v>
      </c>
      <c r="BR20" s="199" t="n">
        <v>0.2</v>
      </c>
      <c r="BS20" s="199" t="n">
        <v>2.781</v>
      </c>
      <c r="BT20" s="199" t="n">
        <v>0.68356</v>
      </c>
      <c r="BU20" s="199" t="n">
        <v>0.68356</v>
      </c>
      <c r="BV20" s="199" t="n">
        <v>0.68356</v>
      </c>
      <c r="BW20" s="199" t="n">
        <v>0.68356</v>
      </c>
      <c r="BX20" s="199" t="n">
        <v>0.92159</v>
      </c>
      <c r="BY20" s="199" t="n">
        <v>1.5562</v>
      </c>
      <c r="BZ20" s="199" t="n">
        <v>2.3128</v>
      </c>
      <c r="CA20" s="199" t="n">
        <v>3.4192</v>
      </c>
      <c r="CB20" s="199" t="n">
        <v>3.6175</v>
      </c>
      <c r="CC20" s="251" t="s">
        <v>65</v>
      </c>
      <c r="CD20" s="252"/>
      <c r="CE20" s="251" t="s">
        <v>65</v>
      </c>
      <c r="CF20" s="252"/>
      <c r="CG20" s="251" t="s">
        <v>65</v>
      </c>
      <c r="CH20" s="252"/>
      <c r="CI20" s="200" t="s">
        <v>595</v>
      </c>
      <c r="CJ20" s="242"/>
      <c r="CK20" s="271" t="n">
        <v>5</v>
      </c>
      <c r="CL20" s="205" t="n">
        <v>0.05</v>
      </c>
      <c r="CM20" s="205" t="n">
        <v>0.05</v>
      </c>
      <c r="CN20" s="205" t="n">
        <v>0.05</v>
      </c>
      <c r="CO20" s="205" t="n">
        <v>0.05</v>
      </c>
      <c r="CP20" s="232" t="n">
        <v>0.1304</v>
      </c>
      <c r="CQ20" s="233" t="n">
        <v>0.18466</v>
      </c>
      <c r="CR20" s="208" t="n">
        <v>0.10324</v>
      </c>
      <c r="CS20" s="243" t="n">
        <v>0.066416</v>
      </c>
      <c r="CT20" s="205" t="n">
        <v>0.05</v>
      </c>
      <c r="CU20" s="205" t="n">
        <v>0.05</v>
      </c>
      <c r="CV20" s="205" t="n">
        <v>0.05</v>
      </c>
      <c r="CW20" s="205" t="n">
        <v>0.05</v>
      </c>
      <c r="CX20" s="208" t="n">
        <f aca="false">AVERAGE(CL20:CO20)</f>
        <v>0.05</v>
      </c>
      <c r="CY20" s="208" t="n">
        <f aca="false">_xlfn.STDEV.S(CL20:CO20)</f>
        <v>0</v>
      </c>
      <c r="CZ20" s="208" t="n">
        <v>0.1</v>
      </c>
      <c r="DA20" s="186" t="n">
        <v>48</v>
      </c>
      <c r="DB20" s="209" t="e">
        <f aca="false">#REF!+(DA20/24)</f>
        <v>#REF!</v>
      </c>
      <c r="DC20" s="210" t="n">
        <v>2</v>
      </c>
      <c r="DD20" s="210" t="n">
        <v>6</v>
      </c>
      <c r="DE20" s="180" t="n">
        <f aca="false">DD20-DC20</f>
        <v>4</v>
      </c>
      <c r="DF20" s="180" t="n">
        <f aca="false">MAX(CM20:CX20)</f>
        <v>0.18466</v>
      </c>
      <c r="DG20" s="211" t="e">
        <f aca="false">(DB20-AE20)*24</f>
        <v>#REF!</v>
      </c>
      <c r="DH20" s="195" t="s">
        <v>596</v>
      </c>
      <c r="DI20" s="244" t="e">
        <f aca="false">(AQ20-DB20)*24</f>
        <v>#REF!</v>
      </c>
      <c r="DJ20" s="245" t="s">
        <v>600</v>
      </c>
      <c r="DK20" s="188" t="s">
        <v>148</v>
      </c>
      <c r="DL20" s="238" t="n">
        <v>18</v>
      </c>
      <c r="DM20" s="240" t="s">
        <v>219</v>
      </c>
      <c r="DO20" s="272" t="s">
        <v>621</v>
      </c>
      <c r="DP20" s="273"/>
      <c r="DQ20" s="274" t="e">
        <f aca="false">DQ12/(DQ12+DQ15)*100</f>
        <v>#DIV/0!</v>
      </c>
      <c r="DR20" s="266"/>
      <c r="DS20" s="266"/>
    </row>
    <row r="21" customFormat="false" ht="15.75" hidden="false" customHeight="true" outlineLevel="0" collapsed="false">
      <c r="A21" s="172" t="s">
        <v>152</v>
      </c>
      <c r="B21" s="238" t="n">
        <v>19</v>
      </c>
      <c r="C21" s="239" t="s">
        <v>171</v>
      </c>
      <c r="D21" s="240" t="s">
        <v>172</v>
      </c>
      <c r="E21" s="215" t="s">
        <v>173</v>
      </c>
      <c r="F21" s="239" t="n">
        <v>88209</v>
      </c>
      <c r="G21" s="193" t="s">
        <v>278</v>
      </c>
      <c r="H21" s="218" t="n">
        <v>44114</v>
      </c>
      <c r="I21" s="180" t="n">
        <v>2.57808219178082</v>
      </c>
      <c r="J21" s="218" t="n">
        <v>44846</v>
      </c>
      <c r="K21" s="219" t="n">
        <v>65.6</v>
      </c>
      <c r="L21" s="219" t="n">
        <v>3.25</v>
      </c>
      <c r="M21" s="220" t="n">
        <v>209</v>
      </c>
      <c r="N21" s="221" t="n">
        <v>332</v>
      </c>
      <c r="O21" s="221" t="n">
        <v>2693</v>
      </c>
      <c r="P21" s="221" t="n">
        <v>2190</v>
      </c>
      <c r="Q21" s="221" t="n">
        <v>2031</v>
      </c>
      <c r="R21" s="221" t="n">
        <v>1664</v>
      </c>
      <c r="S21" s="221" t="n">
        <v>1494</v>
      </c>
      <c r="T21" s="221" t="n">
        <v>1479</v>
      </c>
      <c r="U21" s="257"/>
      <c r="V21" s="185" t="n">
        <f aca="false">EXP(1.204+(0.102*I21)+(0.007*N21)-(0.001*T21)+(0.008*M21)-2.723)</f>
        <v>3.52882298580663</v>
      </c>
      <c r="W21" s="185" t="n">
        <f aca="false">(V21/(1+V21))</f>
        <v>0.779192076366418</v>
      </c>
      <c r="X21" s="185" t="n">
        <f aca="false">EXP(2.859+(0.011*N21)-(0.002*T21)+(0.275*I21)-1.952)</f>
        <v>10.0741486471601</v>
      </c>
      <c r="Y21" s="185" t="n">
        <f aca="false">(X21/(1+X21))</f>
        <v>0.909699604740592</v>
      </c>
      <c r="Z21" s="238" t="n">
        <v>19</v>
      </c>
      <c r="AA21" s="186" t="n">
        <v>19</v>
      </c>
      <c r="AB21" s="187" t="n">
        <v>45056.3959259259</v>
      </c>
      <c r="AC21" s="187" t="n">
        <v>45064.547337963</v>
      </c>
      <c r="AD21" s="180" t="n">
        <v>195.633888888813</v>
      </c>
      <c r="AE21" s="187" t="n">
        <v>45056.3959259259</v>
      </c>
      <c r="AF21" s="187" t="n">
        <v>45058.0692013889</v>
      </c>
      <c r="AG21" s="180" t="n">
        <v>40.1586111111101</v>
      </c>
      <c r="AH21" s="180" t="n">
        <v>40.1586111111101</v>
      </c>
      <c r="AI21" s="187"/>
      <c r="AJ21" s="187"/>
      <c r="AK21" s="180"/>
      <c r="AL21" s="180"/>
      <c r="AM21" s="180" t="e">
        <f aca="false">(AE21-#REF!)*24</f>
        <v>#REF!</v>
      </c>
      <c r="AN21" s="180" t="e">
        <f aca="false">AM21+35</f>
        <v>#REF!</v>
      </c>
      <c r="AO21" s="186" t="n">
        <v>24</v>
      </c>
      <c r="AP21" s="186" t="s">
        <v>589</v>
      </c>
      <c r="AQ21" s="189" t="n">
        <v>45057.6648290509</v>
      </c>
      <c r="AR21" s="186" t="s">
        <v>608</v>
      </c>
      <c r="AS21" s="180" t="s">
        <v>584</v>
      </c>
      <c r="AT21" s="172" t="n">
        <v>19</v>
      </c>
      <c r="AU21" s="172"/>
      <c r="AV21" s="172"/>
      <c r="AW21" s="172"/>
      <c r="AX21" s="190" t="n">
        <v>45079.2932060185</v>
      </c>
      <c r="AY21" s="190" t="n">
        <v>45079.2932060185</v>
      </c>
      <c r="AZ21" s="191" t="n">
        <v>0</v>
      </c>
      <c r="BA21" s="180" t="n">
        <v>1</v>
      </c>
      <c r="BB21" s="172"/>
      <c r="BC21" s="172"/>
      <c r="BD21" s="172"/>
      <c r="BE21" s="172"/>
      <c r="BF21" s="172" t="n">
        <v>1</v>
      </c>
      <c r="BG21" s="194" t="n">
        <v>1</v>
      </c>
      <c r="BH21" s="194" t="n">
        <v>2</v>
      </c>
      <c r="BI21" s="194"/>
      <c r="BJ21" s="194" t="s">
        <v>600</v>
      </c>
      <c r="BK21" s="195" t="s">
        <v>587</v>
      </c>
      <c r="BL21" s="194" t="n">
        <v>2</v>
      </c>
      <c r="BM21" s="196" t="n">
        <v>45203</v>
      </c>
      <c r="BN21" s="196" t="n">
        <f aca="false">AQ21+145</f>
        <v>45202.6648290509</v>
      </c>
      <c r="BO21" s="197" t="n">
        <f aca="false">BM21-AQ21</f>
        <v>145.335170949103</v>
      </c>
      <c r="BP21" s="197" t="s">
        <v>35</v>
      </c>
      <c r="BQ21" s="195" t="s">
        <v>587</v>
      </c>
      <c r="BR21" s="199" t="n">
        <v>0.53738</v>
      </c>
      <c r="BS21" s="199" t="n">
        <v>0.57068</v>
      </c>
      <c r="BT21" s="199" t="n">
        <v>1.1543</v>
      </c>
      <c r="BU21" s="254" t="n">
        <v>1.2596</v>
      </c>
      <c r="BV21" s="199" t="n">
        <v>1.6145</v>
      </c>
      <c r="BW21" s="199" t="n">
        <v>0.58962</v>
      </c>
      <c r="BX21" s="199" t="n">
        <v>1.53</v>
      </c>
      <c r="BY21" s="199" t="n">
        <v>2.3193</v>
      </c>
      <c r="BZ21" s="199" t="n">
        <v>3.8493</v>
      </c>
      <c r="CA21" s="199" t="n">
        <v>3.4283</v>
      </c>
      <c r="CB21" s="199" t="n">
        <v>4.7395</v>
      </c>
      <c r="CC21" s="200" t="s">
        <v>588</v>
      </c>
      <c r="CD21" s="202" t="s">
        <v>589</v>
      </c>
      <c r="CE21" s="200" t="s">
        <v>588</v>
      </c>
      <c r="CF21" s="202" t="s">
        <v>589</v>
      </c>
      <c r="CG21" s="200" t="s">
        <v>588</v>
      </c>
      <c r="CH21" s="202" t="s">
        <v>589</v>
      </c>
      <c r="CI21" s="203"/>
      <c r="CJ21" s="200" t="s">
        <v>595</v>
      </c>
      <c r="CK21" s="204" t="n">
        <v>5</v>
      </c>
      <c r="CL21" s="208" t="n">
        <v>0.12855</v>
      </c>
      <c r="CM21" s="205" t="n">
        <v>0.05</v>
      </c>
      <c r="CN21" s="208" t="n">
        <v>0.13746</v>
      </c>
      <c r="CO21" s="208" t="n">
        <v>0.077615</v>
      </c>
      <c r="CP21" s="208" t="n">
        <v>0.10921</v>
      </c>
      <c r="CQ21" s="233" t="n">
        <v>0.34995</v>
      </c>
      <c r="CR21" s="232" t="n">
        <v>0.19061</v>
      </c>
      <c r="CS21" s="208" t="n">
        <v>0.085164</v>
      </c>
      <c r="CT21" s="208" t="n">
        <v>0.11548</v>
      </c>
      <c r="CU21" s="208" t="n">
        <v>0.060273</v>
      </c>
      <c r="CV21" s="205" t="n">
        <v>0.05</v>
      </c>
      <c r="CW21" s="205" t="n">
        <v>0.05</v>
      </c>
      <c r="CX21" s="208" t="n">
        <f aca="false">AVERAGE(CL21:CO21)</f>
        <v>0.09840625</v>
      </c>
      <c r="CY21" s="208" t="n">
        <f aca="false">_xlfn.STDEV.S(CL21:CO21)</f>
        <v>0.0416704618354937</v>
      </c>
      <c r="CZ21" s="208" t="n">
        <f aca="false">CX21+(2*CY21)</f>
        <v>0.181747173670987</v>
      </c>
      <c r="DA21" s="172" t="n">
        <v>60</v>
      </c>
      <c r="DB21" s="209" t="e">
        <f aca="false">#REF!+(DA21/24)</f>
        <v>#REF!</v>
      </c>
      <c r="DC21" s="210" t="n">
        <v>2.5</v>
      </c>
      <c r="DD21" s="210" t="n">
        <v>3.5</v>
      </c>
      <c r="DE21" s="180" t="n">
        <f aca="false">DD21-DC21</f>
        <v>1</v>
      </c>
      <c r="DF21" s="180" t="n">
        <f aca="false">MAX(CM21:CX21)</f>
        <v>0.34995</v>
      </c>
      <c r="DG21" s="211" t="e">
        <f aca="false">(DB21-AE21)*24</f>
        <v>#REF!</v>
      </c>
      <c r="DH21" s="195" t="s">
        <v>587</v>
      </c>
      <c r="DI21" s="244" t="e">
        <f aca="false">(AQ21-DB21)*24</f>
        <v>#REF!</v>
      </c>
      <c r="DJ21" s="245" t="s">
        <v>600</v>
      </c>
      <c r="DK21" s="172" t="s">
        <v>152</v>
      </c>
      <c r="DL21" s="238" t="n">
        <v>19</v>
      </c>
      <c r="DM21" s="240" t="s">
        <v>172</v>
      </c>
    </row>
    <row r="22" customFormat="false" ht="15.75" hidden="false" customHeight="true" outlineLevel="0" collapsed="false">
      <c r="A22" s="172" t="s">
        <v>152</v>
      </c>
      <c r="B22" s="238" t="n">
        <v>20</v>
      </c>
      <c r="C22" s="239" t="s">
        <v>285</v>
      </c>
      <c r="D22" s="240" t="s">
        <v>286</v>
      </c>
      <c r="E22" s="215" t="s">
        <v>287</v>
      </c>
      <c r="F22" s="239" t="n">
        <v>89112</v>
      </c>
      <c r="G22" s="193"/>
      <c r="H22" s="218" t="n">
        <v>44114</v>
      </c>
      <c r="I22" s="180" t="n">
        <v>2.57808219178082</v>
      </c>
      <c r="J22" s="218" t="n">
        <v>44848</v>
      </c>
      <c r="K22" s="219" t="n">
        <v>62.8</v>
      </c>
      <c r="L22" s="219" t="n">
        <v>2.75</v>
      </c>
      <c r="M22" s="220" t="n">
        <v>207</v>
      </c>
      <c r="N22" s="221" t="n">
        <v>242</v>
      </c>
      <c r="O22" s="221" t="n">
        <v>2601</v>
      </c>
      <c r="P22" s="221" t="n">
        <v>2365</v>
      </c>
      <c r="Q22" s="221" t="n">
        <v>2002</v>
      </c>
      <c r="R22" s="221" t="n">
        <v>1551</v>
      </c>
      <c r="S22" s="221" t="n">
        <v>1527</v>
      </c>
      <c r="T22" s="221" t="n">
        <v>1450</v>
      </c>
      <c r="U22" s="257"/>
      <c r="V22" s="185" t="n">
        <f aca="false">EXP(0.585+(0.102*I22)+(0.007*N22)-(0.001*T22)+(0.008*M22)-2.723)</f>
        <v>1.02527860310196</v>
      </c>
      <c r="W22" s="185" t="n">
        <f aca="false">(V22/(1+V22))</f>
        <v>0.506240771779063</v>
      </c>
      <c r="X22" s="185" t="n">
        <f aca="false">EXP(1.741+(0.011*N22)-(0.002*T22)+(0.275*I22)-1.952)</f>
        <v>1.29689455482137</v>
      </c>
      <c r="Y22" s="185" t="n">
        <f aca="false">(X22/(1+X22))</f>
        <v>0.564629556937684</v>
      </c>
      <c r="Z22" s="238" t="n">
        <v>20</v>
      </c>
      <c r="AA22" s="186" t="n">
        <v>45</v>
      </c>
      <c r="AB22" s="187" t="n">
        <v>45064.355162037</v>
      </c>
      <c r="AC22" s="187" t="n">
        <v>45064.355162037</v>
      </c>
      <c r="AD22" s="180" t="n">
        <v>0</v>
      </c>
      <c r="AE22" s="190" t="n">
        <v>45064.355162037</v>
      </c>
      <c r="AF22" s="190" t="n">
        <v>45064.355162037</v>
      </c>
      <c r="AG22" s="180" t="n">
        <v>0</v>
      </c>
      <c r="AH22" s="180" t="n">
        <v>1</v>
      </c>
      <c r="AI22" s="187"/>
      <c r="AJ22" s="187"/>
      <c r="AK22" s="180"/>
      <c r="AL22" s="180"/>
      <c r="AM22" s="180" t="e">
        <f aca="false">(AE22-#REF!)*24</f>
        <v>#REF!</v>
      </c>
      <c r="AN22" s="180" t="e">
        <f aca="false">AM22+35</f>
        <v>#REF!</v>
      </c>
      <c r="AO22" s="186" t="n">
        <v>1</v>
      </c>
      <c r="AP22" s="188" t="s">
        <v>582</v>
      </c>
      <c r="AQ22" s="189" t="n">
        <v>45057.6610943287</v>
      </c>
      <c r="AR22" s="186" t="s">
        <v>608</v>
      </c>
      <c r="AS22" s="180" t="s">
        <v>584</v>
      </c>
      <c r="AT22" s="172" t="n">
        <v>45</v>
      </c>
      <c r="AU22" s="187" t="n">
        <v>45070.5216898148</v>
      </c>
      <c r="AV22" s="192" t="n">
        <v>45074.3438773148</v>
      </c>
      <c r="AW22" s="180" t="n">
        <v>91.7325000000419</v>
      </c>
      <c r="AX22" s="187" t="n">
        <v>45070.5216898148</v>
      </c>
      <c r="AY22" s="192" t="n">
        <v>45074.3438773148</v>
      </c>
      <c r="AZ22" s="180" t="n">
        <v>91.7325000000419</v>
      </c>
      <c r="BA22" s="180" t="n">
        <v>91.7325000000419</v>
      </c>
      <c r="BB22" s="172"/>
      <c r="BC22" s="172"/>
      <c r="BD22" s="172"/>
      <c r="BE22" s="172"/>
      <c r="BF22" s="193" t="n">
        <v>9</v>
      </c>
      <c r="BG22" s="194" t="n">
        <v>0</v>
      </c>
      <c r="BH22" s="194"/>
      <c r="BI22" s="194"/>
      <c r="BJ22" s="194" t="s">
        <v>585</v>
      </c>
      <c r="BK22" s="195" t="s">
        <v>586</v>
      </c>
      <c r="BL22" s="194"/>
      <c r="BM22" s="196" t="s">
        <v>611</v>
      </c>
      <c r="BN22" s="196" t="n">
        <f aca="false">AX22+145</f>
        <v>45215.5216898148</v>
      </c>
      <c r="BO22" s="197"/>
      <c r="BP22" s="197" t="s">
        <v>585</v>
      </c>
      <c r="BQ22" s="195" t="s">
        <v>586</v>
      </c>
      <c r="BR22" s="199" t="n">
        <v>0.25421</v>
      </c>
      <c r="BS22" s="199" t="n">
        <v>1.6305</v>
      </c>
      <c r="BT22" s="199" t="n">
        <v>0.68356</v>
      </c>
      <c r="BU22" s="199" t="n">
        <v>0.70225</v>
      </c>
      <c r="BV22" s="199" t="n">
        <v>0.71625</v>
      </c>
      <c r="BW22" s="199" t="n">
        <v>0.33982</v>
      </c>
      <c r="BX22" s="199" t="n">
        <v>1.2468</v>
      </c>
      <c r="BY22" s="250" t="n">
        <v>2.2313</v>
      </c>
      <c r="BZ22" s="199" t="n">
        <v>2.3541</v>
      </c>
      <c r="CA22" s="199" t="n">
        <v>4.8393</v>
      </c>
      <c r="CB22" s="199" t="n">
        <v>4.8814</v>
      </c>
      <c r="CC22" s="200" t="s">
        <v>588</v>
      </c>
      <c r="CD22" s="202" t="s">
        <v>589</v>
      </c>
      <c r="CE22" s="251" t="s">
        <v>65</v>
      </c>
      <c r="CF22" s="201"/>
      <c r="CG22" s="200" t="s">
        <v>588</v>
      </c>
      <c r="CH22" s="202" t="s">
        <v>589</v>
      </c>
      <c r="CI22" s="203"/>
      <c r="CJ22" s="200" t="s">
        <v>595</v>
      </c>
      <c r="CK22" s="204" t="n">
        <v>5</v>
      </c>
      <c r="CL22" s="205" t="n">
        <v>0.05</v>
      </c>
      <c r="CM22" s="205" t="n">
        <v>0.05</v>
      </c>
      <c r="CN22" s="205" t="n">
        <v>0.05</v>
      </c>
      <c r="CO22" s="205" t="n">
        <v>0.05</v>
      </c>
      <c r="CP22" s="233" t="n">
        <v>0.22073</v>
      </c>
      <c r="CQ22" s="232" t="n">
        <v>0.15614</v>
      </c>
      <c r="CR22" s="208" t="n">
        <v>0.089</v>
      </c>
      <c r="CS22" s="243" t="n">
        <v>0.060781</v>
      </c>
      <c r="CT22" s="275" t="n">
        <v>0.05</v>
      </c>
      <c r="CU22" s="205" t="n">
        <v>0.05</v>
      </c>
      <c r="CV22" s="205" t="n">
        <v>0.05</v>
      </c>
      <c r="CW22" s="205" t="n">
        <v>0.05</v>
      </c>
      <c r="CX22" s="208" t="n">
        <f aca="false">AVERAGE(CL22:CO22)</f>
        <v>0.05</v>
      </c>
      <c r="CY22" s="208" t="n">
        <f aca="false">_xlfn.STDEV.S(CL22:CO22)</f>
        <v>0</v>
      </c>
      <c r="CZ22" s="208" t="n">
        <v>0.1</v>
      </c>
      <c r="DA22" s="172" t="n">
        <v>48</v>
      </c>
      <c r="DB22" s="209" t="e">
        <f aca="false">#REF!+(DA22/24)</f>
        <v>#REF!</v>
      </c>
      <c r="DC22" s="210" t="n">
        <v>2</v>
      </c>
      <c r="DD22" s="210" t="n">
        <v>3</v>
      </c>
      <c r="DE22" s="180" t="n">
        <f aca="false">DD22-DC22</f>
        <v>1</v>
      </c>
      <c r="DF22" s="180" t="n">
        <f aca="false">MAX(CM22:CX22)</f>
        <v>0.22073</v>
      </c>
      <c r="DG22" s="211" t="e">
        <f aca="false">(DB22-AE22)*24</f>
        <v>#REF!</v>
      </c>
      <c r="DH22" s="195" t="s">
        <v>596</v>
      </c>
      <c r="DI22" s="211" t="e">
        <f aca="false">(AQ22-DB22)*24</f>
        <v>#REF!</v>
      </c>
      <c r="DJ22" s="194" t="s">
        <v>585</v>
      </c>
      <c r="DK22" s="172" t="s">
        <v>152</v>
      </c>
      <c r="DL22" s="238" t="n">
        <v>20</v>
      </c>
      <c r="DM22" s="240" t="s">
        <v>286</v>
      </c>
      <c r="DS22" s="3"/>
    </row>
    <row r="23" customFormat="false" ht="15.75" hidden="false" customHeight="true" outlineLevel="0" collapsed="false">
      <c r="A23" s="172" t="s">
        <v>152</v>
      </c>
      <c r="B23" s="238" t="n">
        <v>21</v>
      </c>
      <c r="C23" s="239" t="s">
        <v>288</v>
      </c>
      <c r="D23" s="240" t="s">
        <v>289</v>
      </c>
      <c r="E23" s="215" t="s">
        <v>290</v>
      </c>
      <c r="F23" s="239" t="n">
        <v>88521</v>
      </c>
      <c r="G23" s="193" t="s">
        <v>294</v>
      </c>
      <c r="H23" s="218" t="n">
        <v>44114</v>
      </c>
      <c r="I23" s="180" t="n">
        <v>2.57808219178082</v>
      </c>
      <c r="J23" s="218" t="n">
        <v>44862</v>
      </c>
      <c r="K23" s="219" t="n">
        <v>63</v>
      </c>
      <c r="L23" s="219" t="n">
        <v>3</v>
      </c>
      <c r="M23" s="220" t="n">
        <v>193</v>
      </c>
      <c r="N23" s="221" t="n">
        <v>216</v>
      </c>
      <c r="O23" s="221"/>
      <c r="P23" s="221" t="n">
        <v>1606</v>
      </c>
      <c r="Q23" s="221" t="n">
        <v>1745</v>
      </c>
      <c r="R23" s="221" t="n">
        <v>987</v>
      </c>
      <c r="S23" s="221" t="n">
        <v>1062</v>
      </c>
      <c r="T23" s="221" t="n">
        <v>1420</v>
      </c>
      <c r="U23" s="257"/>
      <c r="V23" s="185" t="n">
        <f aca="false">EXP(0.585+(0.102*I23)+(0.007*N23)-(0.001*T23)+(0.008*M23)-2.723)</f>
        <v>0.787386837958493</v>
      </c>
      <c r="W23" s="185" t="n">
        <f aca="false">(V23/(1+V23))</f>
        <v>0.44052402156985</v>
      </c>
      <c r="X23" s="185" t="n">
        <f aca="false">EXP(1.741+(0.011*N23)-(0.002*T23)+(0.275*I23)-1.952)</f>
        <v>1.03455626233265</v>
      </c>
      <c r="Y23" s="185" t="n">
        <f aca="false">(X23/(1+X23))</f>
        <v>0.508492333923721</v>
      </c>
      <c r="Z23" s="238" t="n">
        <v>21</v>
      </c>
      <c r="AA23" s="186" t="n">
        <v>3</v>
      </c>
      <c r="AB23" s="187" t="n">
        <v>45055.5238773148</v>
      </c>
      <c r="AC23" s="187" t="n">
        <v>45066.3439930556</v>
      </c>
      <c r="AD23" s="180" t="n">
        <v>259.682777777722</v>
      </c>
      <c r="AE23" s="187" t="n">
        <v>45055.5238773148</v>
      </c>
      <c r="AF23" s="187" t="n">
        <v>45056.407974537</v>
      </c>
      <c r="AG23" s="180" t="n">
        <v>21.2183333333815</v>
      </c>
      <c r="AH23" s="180" t="n">
        <v>21.2183333333815</v>
      </c>
      <c r="AI23" s="186"/>
      <c r="AJ23" s="186"/>
      <c r="AK23" s="186"/>
      <c r="AL23" s="186"/>
      <c r="AM23" s="180" t="e">
        <f aca="false">(AE23-#REF!)*24</f>
        <v>#REF!</v>
      </c>
      <c r="AN23" s="180" t="e">
        <f aca="false">AM23+35</f>
        <v>#REF!</v>
      </c>
      <c r="AO23" s="186" t="n">
        <v>76</v>
      </c>
      <c r="AP23" s="188" t="s">
        <v>582</v>
      </c>
      <c r="AQ23" s="189" t="n">
        <v>45057.656831713</v>
      </c>
      <c r="AR23" s="188" t="s">
        <v>592</v>
      </c>
      <c r="AS23" s="180" t="s">
        <v>584</v>
      </c>
      <c r="AT23" s="172" t="n">
        <v>3</v>
      </c>
      <c r="AU23" s="192" t="n">
        <v>45073.3300231482</v>
      </c>
      <c r="AV23" s="187" t="n">
        <v>45082.4742708333</v>
      </c>
      <c r="AW23" s="180" t="n">
        <v>219.461944444512</v>
      </c>
      <c r="AX23" s="192" t="n">
        <v>45073.3300231482</v>
      </c>
      <c r="AY23" s="192" t="n">
        <v>45073.3629282407</v>
      </c>
      <c r="AZ23" s="180" t="n">
        <v>0.789722222252749</v>
      </c>
      <c r="BA23" s="180" t="n">
        <v>1</v>
      </c>
      <c r="BB23" s="172"/>
      <c r="BC23" s="172"/>
      <c r="BD23" s="172"/>
      <c r="BE23" s="172"/>
      <c r="BF23" s="172" t="n">
        <v>10</v>
      </c>
      <c r="BG23" s="194" t="n">
        <v>0</v>
      </c>
      <c r="BH23" s="194"/>
      <c r="BI23" s="194" t="s">
        <v>622</v>
      </c>
      <c r="BJ23" s="194" t="s">
        <v>543</v>
      </c>
      <c r="BK23" s="195" t="s">
        <v>587</v>
      </c>
      <c r="BL23" s="194" t="n">
        <v>1</v>
      </c>
      <c r="BM23" s="196" t="n">
        <v>45222</v>
      </c>
      <c r="BN23" s="196" t="n">
        <f aca="false">AX23+145</f>
        <v>45218.3300231482</v>
      </c>
      <c r="BO23" s="197" t="n">
        <f aca="false">BM23-AQ23</f>
        <v>164.343168287</v>
      </c>
      <c r="BP23" s="197" t="s">
        <v>543</v>
      </c>
      <c r="BQ23" s="195" t="s">
        <v>587</v>
      </c>
      <c r="BR23" s="199" t="n">
        <v>0.2</v>
      </c>
      <c r="BS23" s="199" t="n">
        <v>0.2</v>
      </c>
      <c r="BT23" s="199" t="n">
        <v>0.69673</v>
      </c>
      <c r="BU23" s="199" t="n">
        <v>0.87774</v>
      </c>
      <c r="BV23" s="199" t="n">
        <v>0.27766</v>
      </c>
      <c r="BW23" s="199" t="n">
        <v>0.93495</v>
      </c>
      <c r="BX23" s="250" t="n">
        <v>2.9534</v>
      </c>
      <c r="BY23" s="199" t="n">
        <v>3.6636</v>
      </c>
      <c r="BZ23" s="199" t="n">
        <v>3.8585</v>
      </c>
      <c r="CA23" s="199" t="n">
        <v>5.9762</v>
      </c>
      <c r="CB23" s="199" t="n">
        <v>7.3724</v>
      </c>
      <c r="CC23" s="200" t="s">
        <v>588</v>
      </c>
      <c r="CD23" s="202" t="s">
        <v>589</v>
      </c>
      <c r="CE23" s="200" t="s">
        <v>588</v>
      </c>
      <c r="CF23" s="202" t="s">
        <v>589</v>
      </c>
      <c r="CG23" s="200" t="s">
        <v>588</v>
      </c>
      <c r="CH23" s="202" t="s">
        <v>589</v>
      </c>
      <c r="CI23" s="203"/>
      <c r="CJ23" s="200" t="s">
        <v>595</v>
      </c>
      <c r="CK23" s="204" t="n">
        <v>4</v>
      </c>
      <c r="CL23" s="208" t="n">
        <v>0.085197</v>
      </c>
      <c r="CM23" s="208" t="n">
        <v>0.089565</v>
      </c>
      <c r="CN23" s="243" t="n">
        <v>0.10733</v>
      </c>
      <c r="CO23" s="233" t="n">
        <v>0.28164</v>
      </c>
      <c r="CP23" s="243" t="n">
        <v>0.20616</v>
      </c>
      <c r="CQ23" s="232" t="n">
        <v>0.1467</v>
      </c>
      <c r="CR23" s="243" t="n">
        <v>0.12321</v>
      </c>
      <c r="CS23" s="243" t="n">
        <v>0.10614</v>
      </c>
      <c r="CT23" s="208" t="n">
        <v>0.098644</v>
      </c>
      <c r="CU23" s="208" t="n">
        <v>0.089565</v>
      </c>
      <c r="CV23" s="208" t="n">
        <v>0.0869</v>
      </c>
      <c r="CW23" s="208" t="n">
        <v>0.078085</v>
      </c>
      <c r="CX23" s="208" t="n">
        <f aca="false">AVERAGE(CL23:CN23)</f>
        <v>0.0940306666666667</v>
      </c>
      <c r="CY23" s="208" t="n">
        <f aca="false">_xlfn.STDEV.S(CL23:CN23)</f>
        <v>0.0117228007034724</v>
      </c>
      <c r="CZ23" s="208" t="n">
        <f aca="false">CX23+(2*CY23)</f>
        <v>0.117476268073611</v>
      </c>
      <c r="DA23" s="172" t="n">
        <v>36</v>
      </c>
      <c r="DB23" s="209" t="e">
        <f aca="false">#REF!+(DA23/24)</f>
        <v>#REF!</v>
      </c>
      <c r="DC23" s="210" t="n">
        <v>1.5</v>
      </c>
      <c r="DD23" s="210" t="n">
        <v>3</v>
      </c>
      <c r="DE23" s="180" t="n">
        <f aca="false">DD23-DC23</f>
        <v>1.5</v>
      </c>
      <c r="DF23" s="180" t="n">
        <f aca="false">MAX(CM23:CX23)</f>
        <v>0.28164</v>
      </c>
      <c r="DG23" s="211" t="e">
        <f aca="false">(DB23-AE23)*24</f>
        <v>#REF!</v>
      </c>
      <c r="DH23" s="195" t="s">
        <v>587</v>
      </c>
      <c r="DI23" s="276" t="e">
        <f aca="false">(AQ23-DB23)*24</f>
        <v>#REF!</v>
      </c>
      <c r="DJ23" s="277" t="s">
        <v>543</v>
      </c>
      <c r="DK23" s="172" t="s">
        <v>152</v>
      </c>
      <c r="DL23" s="238" t="n">
        <v>21</v>
      </c>
      <c r="DM23" s="240" t="s">
        <v>289</v>
      </c>
      <c r="DS23" s="3"/>
    </row>
    <row r="24" customFormat="false" ht="15.75" hidden="false" customHeight="true" outlineLevel="0" collapsed="false">
      <c r="A24" s="188" t="s">
        <v>148</v>
      </c>
      <c r="B24" s="238" t="n">
        <v>22</v>
      </c>
      <c r="C24" s="239" t="s">
        <v>227</v>
      </c>
      <c r="D24" s="240" t="s">
        <v>228</v>
      </c>
      <c r="E24" s="215" t="s">
        <v>229</v>
      </c>
      <c r="F24" s="239" t="n">
        <v>88473</v>
      </c>
      <c r="G24" s="193"/>
      <c r="H24" s="218" t="n">
        <v>44114</v>
      </c>
      <c r="I24" s="180" t="n">
        <v>2.57808219178082</v>
      </c>
      <c r="J24" s="218" t="n">
        <v>44846</v>
      </c>
      <c r="K24" s="219" t="n">
        <v>66.6</v>
      </c>
      <c r="L24" s="219" t="n">
        <v>3.25</v>
      </c>
      <c r="M24" s="220" t="n">
        <v>209</v>
      </c>
      <c r="N24" s="221" t="n">
        <v>229</v>
      </c>
      <c r="O24" s="221" t="n">
        <v>2662</v>
      </c>
      <c r="P24" s="221" t="n">
        <v>2482</v>
      </c>
      <c r="Q24" s="221" t="n">
        <v>2231</v>
      </c>
      <c r="R24" s="221" t="n">
        <v>1748</v>
      </c>
      <c r="S24" s="221" t="n">
        <v>1361</v>
      </c>
      <c r="T24" s="221" t="n">
        <v>1740</v>
      </c>
      <c r="U24" s="253"/>
      <c r="V24" s="185" t="n">
        <f aca="false">EXP(1.204+(0.102*I24)+(0.007*N24)-(0.001*T24)+(0.008*M24)-2.723)</f>
        <v>1.32176026663812</v>
      </c>
      <c r="W24" s="185" t="n">
        <f aca="false">(V24/(1+V24))</f>
        <v>0.569292310507154</v>
      </c>
      <c r="X24" s="185" t="n">
        <f aca="false">EXP(2.859+(0.011*N24)-(0.002*T24)+(0.275*I24)-1.952)</f>
        <v>1.92508977446826</v>
      </c>
      <c r="Y24" s="185" t="n">
        <f aca="false">(X24/(1+X24))</f>
        <v>0.65813015083211</v>
      </c>
      <c r="Z24" s="238" t="n">
        <v>22</v>
      </c>
      <c r="AA24" s="186" t="n">
        <v>72</v>
      </c>
      <c r="AB24" s="187" t="n">
        <v>45057.7718981481</v>
      </c>
      <c r="AC24" s="187" t="n">
        <v>45058.3930208333</v>
      </c>
      <c r="AD24" s="180" t="n">
        <v>14.9069444445195</v>
      </c>
      <c r="AE24" s="187" t="n">
        <v>45057.7718981481</v>
      </c>
      <c r="AF24" s="187" t="n">
        <v>45058.3930208333</v>
      </c>
      <c r="AG24" s="180" t="n">
        <v>14.9069444445195</v>
      </c>
      <c r="AH24" s="180" t="n">
        <v>14.9069444445195</v>
      </c>
      <c r="AI24" s="187"/>
      <c r="AJ24" s="187"/>
      <c r="AK24" s="180"/>
      <c r="AL24" s="180"/>
      <c r="AM24" s="180" t="e">
        <f aca="false">(AE24-#REF!)*24</f>
        <v>#REF!</v>
      </c>
      <c r="AN24" s="180" t="e">
        <f aca="false">AM24+35</f>
        <v>#REF!</v>
      </c>
      <c r="AO24" s="186" t="n">
        <v>4</v>
      </c>
      <c r="AP24" s="188" t="s">
        <v>582</v>
      </c>
      <c r="AQ24" s="189" t="n">
        <v>45057.6843763889</v>
      </c>
      <c r="AR24" s="186" t="s">
        <v>606</v>
      </c>
      <c r="AS24" s="180" t="s">
        <v>584</v>
      </c>
      <c r="AT24" s="172" t="n">
        <v>72</v>
      </c>
      <c r="AU24" s="172"/>
      <c r="AV24" s="172"/>
      <c r="AW24" s="172"/>
      <c r="AX24" s="187" t="n">
        <v>45074.4743981482</v>
      </c>
      <c r="AY24" s="187" t="n">
        <v>45075.0913541667</v>
      </c>
      <c r="AZ24" s="180" t="n">
        <v>14.8069444443681</v>
      </c>
      <c r="BA24" s="180" t="n">
        <v>14.8069444443681</v>
      </c>
      <c r="BB24" s="172"/>
      <c r="BC24" s="172"/>
      <c r="BD24" s="172"/>
      <c r="BE24" s="172"/>
      <c r="BF24" s="193" t="n">
        <v>48</v>
      </c>
      <c r="BG24" s="194" t="n">
        <v>0</v>
      </c>
      <c r="BH24" s="194"/>
      <c r="BI24" s="194" t="s">
        <v>622</v>
      </c>
      <c r="BJ24" s="194" t="s">
        <v>543</v>
      </c>
      <c r="BK24" s="195" t="s">
        <v>587</v>
      </c>
      <c r="BL24" s="194" t="n">
        <v>1</v>
      </c>
      <c r="BM24" s="196" t="n">
        <v>45219</v>
      </c>
      <c r="BN24" s="196" t="n">
        <f aca="false">AX24+145</f>
        <v>45219.4743981482</v>
      </c>
      <c r="BO24" s="197" t="n">
        <f aca="false">BM24-AQ24</f>
        <v>161.315623611103</v>
      </c>
      <c r="BP24" s="197" t="s">
        <v>543</v>
      </c>
      <c r="BQ24" s="195" t="s">
        <v>587</v>
      </c>
      <c r="BR24" s="199" t="n">
        <v>0.56849</v>
      </c>
      <c r="BS24" s="199" t="n">
        <v>0.2</v>
      </c>
      <c r="BT24" s="199" t="n">
        <v>0.2</v>
      </c>
      <c r="BU24" s="199" t="n">
        <v>1.4412</v>
      </c>
      <c r="BV24" s="199" t="n">
        <v>0.63035</v>
      </c>
      <c r="BW24" s="278"/>
      <c r="BX24" s="199" t="n">
        <v>0.47195</v>
      </c>
      <c r="BY24" s="199" t="n">
        <v>0.70269</v>
      </c>
      <c r="BZ24" s="199" t="n">
        <v>1.1051</v>
      </c>
      <c r="CA24" s="199" t="n">
        <v>1.3893</v>
      </c>
      <c r="CB24" s="250" t="n">
        <v>2.6045</v>
      </c>
      <c r="CC24" s="200" t="s">
        <v>588</v>
      </c>
      <c r="CD24" s="202" t="s">
        <v>589</v>
      </c>
      <c r="CE24" s="200" t="s">
        <v>588</v>
      </c>
      <c r="CF24" s="202" t="s">
        <v>589</v>
      </c>
      <c r="CG24" s="200" t="s">
        <v>588</v>
      </c>
      <c r="CH24" s="202" t="s">
        <v>589</v>
      </c>
      <c r="CI24" s="203"/>
      <c r="CJ24" s="200" t="s">
        <v>590</v>
      </c>
      <c r="CK24" s="204" t="n">
        <v>7</v>
      </c>
      <c r="CL24" s="205" t="n">
        <v>0.05</v>
      </c>
      <c r="CM24" s="205" t="n">
        <v>0.05</v>
      </c>
      <c r="CN24" s="208" t="n">
        <v>0.072195</v>
      </c>
      <c r="CO24" s="208" t="n">
        <v>0.065316</v>
      </c>
      <c r="CP24" s="243" t="n">
        <v>0.078456</v>
      </c>
      <c r="CQ24" s="208" t="n">
        <v>0.076974</v>
      </c>
      <c r="CR24" s="233" t="n">
        <v>0.23954</v>
      </c>
      <c r="CS24" s="232" t="n">
        <v>0.18121</v>
      </c>
      <c r="CT24" s="208" t="n">
        <v>0.073843</v>
      </c>
      <c r="CU24" s="208" t="n">
        <v>0.073293</v>
      </c>
      <c r="CV24" s="208" t="n">
        <v>0.063883</v>
      </c>
      <c r="CW24" s="208" t="n">
        <v>0.061389</v>
      </c>
      <c r="CX24" s="208" t="n">
        <f aca="false">AVERAGE(CL24:CO24)</f>
        <v>0.05937775</v>
      </c>
      <c r="CY24" s="208" t="n">
        <f aca="false">_xlfn.STDEV.S(CL24:CO24)</f>
        <v>0.0111867347149798</v>
      </c>
      <c r="CZ24" s="208" t="n">
        <v>0.1</v>
      </c>
      <c r="DA24" s="186" t="n">
        <v>72</v>
      </c>
      <c r="DB24" s="209" t="e">
        <f aca="false">#REF!+(DA24/24)</f>
        <v>#REF!</v>
      </c>
      <c r="DC24" s="210" t="n">
        <v>3</v>
      </c>
      <c r="DD24" s="210" t="n">
        <v>4</v>
      </c>
      <c r="DE24" s="180" t="n">
        <f aca="false">DD24-DC24</f>
        <v>1</v>
      </c>
      <c r="DF24" s="180" t="n">
        <f aca="false">MAX(CM24:CX24)</f>
        <v>0.23954</v>
      </c>
      <c r="DG24" s="211" t="e">
        <f aca="false">(DB24-AE24)*24</f>
        <v>#REF!</v>
      </c>
      <c r="DH24" s="195" t="s">
        <v>587</v>
      </c>
      <c r="DI24" s="276" t="e">
        <f aca="false">(AQ24-DB24)*24</f>
        <v>#REF!</v>
      </c>
      <c r="DJ24" s="277" t="s">
        <v>543</v>
      </c>
      <c r="DK24" s="188" t="s">
        <v>148</v>
      </c>
      <c r="DL24" s="238" t="n">
        <v>22</v>
      </c>
      <c r="DM24" s="240" t="s">
        <v>228</v>
      </c>
      <c r="DO24" s="279" t="s">
        <v>623</v>
      </c>
      <c r="DP24" s="266"/>
      <c r="DQ24" s="280" t="e">
        <f aca="false">(DP19+DQ15)/(DP19+DQ15+DQ18)*100</f>
        <v>#DIV/0!</v>
      </c>
      <c r="DR24" s="281" t="n">
        <f aca="false">DP19+DQ15</f>
        <v>0</v>
      </c>
      <c r="DS24" s="266"/>
    </row>
    <row r="25" customFormat="false" ht="15.75" hidden="false" customHeight="true" outlineLevel="0" collapsed="false">
      <c r="A25" s="172" t="s">
        <v>152</v>
      </c>
      <c r="B25" s="238" t="n">
        <v>23</v>
      </c>
      <c r="C25" s="239" t="s">
        <v>153</v>
      </c>
      <c r="D25" s="240" t="s">
        <v>154</v>
      </c>
      <c r="E25" s="215" t="s">
        <v>155</v>
      </c>
      <c r="F25" s="239" t="n">
        <v>88173</v>
      </c>
      <c r="G25" s="193"/>
      <c r="H25" s="218" t="n">
        <v>44300</v>
      </c>
      <c r="I25" s="180" t="n">
        <v>2.06849315068493</v>
      </c>
      <c r="J25" s="218" t="n">
        <v>44942</v>
      </c>
      <c r="K25" s="219" t="n">
        <v>72</v>
      </c>
      <c r="L25" s="219" t="n">
        <v>3.5</v>
      </c>
      <c r="M25" s="220" t="n">
        <v>113</v>
      </c>
      <c r="N25" s="221" t="n">
        <v>197</v>
      </c>
      <c r="O25" s="221"/>
      <c r="P25" s="221" t="n">
        <v>2044</v>
      </c>
      <c r="Q25" s="221" t="n">
        <v>2002</v>
      </c>
      <c r="R25" s="221" t="n">
        <v>1805</v>
      </c>
      <c r="S25" s="221" t="n">
        <v>1693</v>
      </c>
      <c r="T25" s="221" t="n">
        <v>1653</v>
      </c>
      <c r="U25" s="184" t="s">
        <v>624</v>
      </c>
      <c r="V25" s="185" t="n">
        <f aca="false">EXP(1.204+(0.102*I25)+(0.007*N25)-(0.001*T25)+(0.008*M25)-2.723)</f>
        <v>0.507624286455155</v>
      </c>
      <c r="W25" s="185" t="n">
        <f aca="false">(V25/(1+V25))</f>
        <v>0.336704768565862</v>
      </c>
      <c r="X25" s="185" t="n">
        <f aca="false">EXP(2.859+(0.011*N25)-(0.002*T25)+(0.275*I25)-1.952)</f>
        <v>1.40050882418662</v>
      </c>
      <c r="Y25" s="185" t="n">
        <f aca="false">(X25/(1+X25))</f>
        <v>0.583421652141256</v>
      </c>
      <c r="Z25" s="238" t="n">
        <v>23</v>
      </c>
      <c r="AA25" s="186" t="n">
        <v>10</v>
      </c>
      <c r="AB25" s="187" t="n">
        <v>45055.9608680556</v>
      </c>
      <c r="AC25" s="187" t="n">
        <v>45055.9608680556</v>
      </c>
      <c r="AD25" s="180" t="n">
        <v>0</v>
      </c>
      <c r="AE25" s="190" t="n">
        <v>45055.9608680556</v>
      </c>
      <c r="AF25" s="190" t="n">
        <v>45055.9608680556</v>
      </c>
      <c r="AG25" s="180" t="n">
        <v>0</v>
      </c>
      <c r="AH25" s="180" t="n">
        <v>1</v>
      </c>
      <c r="AI25" s="187"/>
      <c r="AJ25" s="187"/>
      <c r="AK25" s="180"/>
      <c r="AL25" s="180"/>
      <c r="AM25" s="180" t="e">
        <f aca="false">(AE25-#REF!)*24</f>
        <v>#REF!</v>
      </c>
      <c r="AN25" s="180" t="e">
        <f aca="false">AM25+35</f>
        <v>#REF!</v>
      </c>
      <c r="AO25" s="186" t="n">
        <v>1</v>
      </c>
      <c r="AP25" s="188" t="s">
        <v>582</v>
      </c>
      <c r="AQ25" s="189" t="n">
        <v>45057.6642993056</v>
      </c>
      <c r="AR25" s="188" t="s">
        <v>592</v>
      </c>
      <c r="AS25" s="180" t="s">
        <v>584</v>
      </c>
      <c r="AT25" s="172" t="n">
        <v>10</v>
      </c>
      <c r="AU25" s="187" t="n">
        <v>45070.7166666667</v>
      </c>
      <c r="AV25" s="187" t="n">
        <v>45075.2350810185</v>
      </c>
      <c r="AW25" s="180" t="n">
        <v>108.441944444377</v>
      </c>
      <c r="AX25" s="187" t="n">
        <v>45070.7166666667</v>
      </c>
      <c r="AY25" s="187" t="n">
        <v>45070.7426851852</v>
      </c>
      <c r="AZ25" s="180" t="n">
        <v>0.624444444430992</v>
      </c>
      <c r="BA25" s="180" t="n">
        <v>1</v>
      </c>
      <c r="BB25" s="192" t="n">
        <v>45074.9781365741</v>
      </c>
      <c r="BC25" s="187" t="n">
        <v>45075.2350810185</v>
      </c>
      <c r="BD25" s="180" t="n">
        <v>6.16666666668607</v>
      </c>
      <c r="BE25" s="180" t="n">
        <v>6.16666666668607</v>
      </c>
      <c r="BF25" s="193" t="n">
        <v>20</v>
      </c>
      <c r="BG25" s="194" t="n">
        <v>0</v>
      </c>
      <c r="BH25" s="194"/>
      <c r="BI25" s="194" t="s">
        <v>622</v>
      </c>
      <c r="BJ25" s="194" t="s">
        <v>543</v>
      </c>
      <c r="BK25" s="195" t="s">
        <v>587</v>
      </c>
      <c r="BL25" s="194" t="n">
        <v>2</v>
      </c>
      <c r="BM25" s="196" t="n">
        <v>45222</v>
      </c>
      <c r="BN25" s="196" t="n">
        <f aca="false">BB25+145</f>
        <v>45219.9781365741</v>
      </c>
      <c r="BO25" s="197" t="n">
        <f aca="false">BM25-AQ25</f>
        <v>164.335700694399</v>
      </c>
      <c r="BP25" s="197" t="s">
        <v>543</v>
      </c>
      <c r="BQ25" s="195" t="s">
        <v>587</v>
      </c>
      <c r="BR25" s="199" t="n">
        <v>0.32434</v>
      </c>
      <c r="BS25" s="199" t="n">
        <v>4.4559</v>
      </c>
      <c r="BT25" s="199" t="n">
        <v>0.2</v>
      </c>
      <c r="BU25" s="199" t="n">
        <v>0.72052</v>
      </c>
      <c r="BV25" s="199" t="n">
        <v>0.77935</v>
      </c>
      <c r="BW25" s="199" t="n">
        <v>0.63645</v>
      </c>
      <c r="BX25" s="199" t="n">
        <v>0.83743</v>
      </c>
      <c r="BY25" s="199" t="n">
        <v>1.6461</v>
      </c>
      <c r="BZ25" s="199" t="n">
        <v>1.8643</v>
      </c>
      <c r="CA25" s="250" t="n">
        <v>3.2681</v>
      </c>
      <c r="CB25" s="199" t="n">
        <v>3.5363</v>
      </c>
      <c r="CC25" s="251" t="s">
        <v>65</v>
      </c>
      <c r="CD25" s="252"/>
      <c r="CE25" s="251" t="s">
        <v>65</v>
      </c>
      <c r="CF25" s="252"/>
      <c r="CG25" s="251" t="s">
        <v>65</v>
      </c>
      <c r="CH25" s="252"/>
      <c r="CI25" s="200" t="s">
        <v>595</v>
      </c>
      <c r="CJ25" s="203"/>
      <c r="CK25" s="204" t="n">
        <v>5</v>
      </c>
      <c r="CL25" s="205" t="n">
        <v>0.05</v>
      </c>
      <c r="CM25" s="205" t="n">
        <v>0.05</v>
      </c>
      <c r="CN25" s="208" t="n">
        <v>0.094368</v>
      </c>
      <c r="CO25" s="208" t="n">
        <v>0.063883</v>
      </c>
      <c r="CP25" s="208" t="n">
        <v>0.068559</v>
      </c>
      <c r="CQ25" s="208" t="n">
        <v>0.074761</v>
      </c>
      <c r="CR25" s="208" t="n">
        <v>0.078456</v>
      </c>
      <c r="CS25" s="208" t="n">
        <v>0.063705</v>
      </c>
      <c r="CT25" s="208" t="n">
        <v>0.066034</v>
      </c>
      <c r="CU25" s="205" t="n">
        <v>0.05</v>
      </c>
      <c r="CV25" s="205" t="n">
        <v>0.05</v>
      </c>
      <c r="CW25" s="205" t="n">
        <v>0.05</v>
      </c>
      <c r="CX25" s="208" t="n">
        <f aca="false">AVERAGE(CL25:CO25)</f>
        <v>0.06456275</v>
      </c>
      <c r="CY25" s="208" t="n">
        <f aca="false">_xlfn.STDEV.S(CL25:CO25)</f>
        <v>0.0209201845335233</v>
      </c>
      <c r="CZ25" s="208" t="n">
        <f aca="false">CX25+(2*CY25)</f>
        <v>0.106403119067047</v>
      </c>
      <c r="DA25" s="186"/>
      <c r="DB25" s="209"/>
      <c r="DC25" s="210"/>
      <c r="DD25" s="210"/>
      <c r="DE25" s="180"/>
      <c r="DF25" s="180"/>
      <c r="DG25" s="195"/>
      <c r="DH25" s="195"/>
      <c r="DI25" s="195"/>
      <c r="DJ25" s="194" t="s">
        <v>543</v>
      </c>
      <c r="DK25" s="172" t="s">
        <v>152</v>
      </c>
      <c r="DL25" s="238" t="n">
        <v>23</v>
      </c>
      <c r="DM25" s="240" t="s">
        <v>154</v>
      </c>
      <c r="DO25" s="3"/>
      <c r="DP25" s="3"/>
      <c r="DQ25" s="3"/>
      <c r="DR25" s="3"/>
      <c r="DS25" s="3"/>
    </row>
    <row r="26" customFormat="false" ht="15.75" hidden="false" customHeight="true" outlineLevel="0" collapsed="false">
      <c r="A26" s="172" t="s">
        <v>152</v>
      </c>
      <c r="B26" s="238" t="n">
        <v>24</v>
      </c>
      <c r="C26" s="239" t="s">
        <v>307</v>
      </c>
      <c r="D26" s="240" t="s">
        <v>308</v>
      </c>
      <c r="E26" s="215" t="s">
        <v>309</v>
      </c>
      <c r="F26" s="239" t="n">
        <v>88897</v>
      </c>
      <c r="G26" s="193"/>
      <c r="H26" s="218" t="n">
        <v>44116</v>
      </c>
      <c r="I26" s="180" t="n">
        <v>2.57260273972603</v>
      </c>
      <c r="J26" s="218" t="n">
        <v>44864</v>
      </c>
      <c r="K26" s="219" t="n">
        <v>82.8</v>
      </c>
      <c r="L26" s="219" t="n">
        <v>4.5</v>
      </c>
      <c r="M26" s="220" t="n">
        <v>191</v>
      </c>
      <c r="N26" s="221" t="n">
        <v>193</v>
      </c>
      <c r="O26" s="221"/>
      <c r="P26" s="221" t="n">
        <v>2102</v>
      </c>
      <c r="Q26" s="221" t="n">
        <v>1945</v>
      </c>
      <c r="R26" s="221" t="n">
        <v>1466</v>
      </c>
      <c r="S26" s="221" t="n">
        <v>1594</v>
      </c>
      <c r="T26" s="221" t="n">
        <v>2030</v>
      </c>
      <c r="U26" s="257"/>
      <c r="V26" s="185" t="n">
        <f aca="false">EXP(1.204+(0.102*I26)+(0.007*N26)-(0.001*T26)+(0.008*M26)-2.723)</f>
        <v>0.665248568766985</v>
      </c>
      <c r="W26" s="185" t="n">
        <f aca="false">(V26/(1+V26))</f>
        <v>0.39948905000985</v>
      </c>
      <c r="X26" s="185" t="n">
        <f aca="false">EXP(2.859+(0.011*N26)-(0.002*T26)+(0.275*I26)-1.952)</f>
        <v>0.724311126206609</v>
      </c>
      <c r="Y26" s="185" t="n">
        <f aca="false">(X26/(1+X26))</f>
        <v>0.420058257003801</v>
      </c>
      <c r="Z26" s="238" t="n">
        <v>24</v>
      </c>
      <c r="AA26" s="186" t="n">
        <v>33</v>
      </c>
      <c r="AB26" s="187" t="n">
        <v>45057.4997685185</v>
      </c>
      <c r="AC26" s="187" t="n">
        <v>45057.4997685185</v>
      </c>
      <c r="AD26" s="180" t="n">
        <v>0</v>
      </c>
      <c r="AE26" s="190" t="n">
        <v>45057.4997685185</v>
      </c>
      <c r="AF26" s="190" t="n">
        <v>45057.4997685185</v>
      </c>
      <c r="AG26" s="180" t="n">
        <v>0</v>
      </c>
      <c r="AH26" s="180" t="n">
        <v>1</v>
      </c>
      <c r="AI26" s="187"/>
      <c r="AJ26" s="187"/>
      <c r="AK26" s="180"/>
      <c r="AL26" s="180"/>
      <c r="AM26" s="180" t="e">
        <f aca="false">(AE26-#REF!)*24</f>
        <v>#REF!</v>
      </c>
      <c r="AN26" s="180" t="e">
        <f aca="false">AM26+35</f>
        <v>#REF!</v>
      </c>
      <c r="AO26" s="186" t="n">
        <v>1</v>
      </c>
      <c r="AP26" s="186" t="s">
        <v>589</v>
      </c>
      <c r="AQ26" s="189" t="n">
        <v>45057.6645623843</v>
      </c>
      <c r="AR26" s="188" t="s">
        <v>592</v>
      </c>
      <c r="AS26" s="180" t="s">
        <v>584</v>
      </c>
      <c r="AT26" s="172"/>
      <c r="AU26" s="187"/>
      <c r="AV26" s="187"/>
      <c r="AW26" s="180"/>
      <c r="AX26" s="187"/>
      <c r="AY26" s="187"/>
      <c r="AZ26" s="180"/>
      <c r="BA26" s="180"/>
      <c r="BB26" s="192"/>
      <c r="BC26" s="187"/>
      <c r="BD26" s="180"/>
      <c r="BE26" s="180"/>
      <c r="BF26" s="193"/>
      <c r="BG26" s="194" t="n">
        <v>1</v>
      </c>
      <c r="BH26" s="194" t="n">
        <v>1</v>
      </c>
      <c r="BI26" s="194"/>
      <c r="BJ26" s="194" t="s">
        <v>600</v>
      </c>
      <c r="BK26" s="195" t="s">
        <v>587</v>
      </c>
      <c r="BL26" s="194" t="n">
        <v>1</v>
      </c>
      <c r="BM26" s="196" t="n">
        <v>45205</v>
      </c>
      <c r="BN26" s="196" t="n">
        <f aca="false">AQ26+145</f>
        <v>45202.6645623843</v>
      </c>
      <c r="BO26" s="197" t="n">
        <f aca="false">BM26-AQ26</f>
        <v>147.3354376157</v>
      </c>
      <c r="BP26" s="197" t="s">
        <v>35</v>
      </c>
      <c r="BQ26" s="195" t="s">
        <v>587</v>
      </c>
      <c r="BR26" s="199" t="n">
        <v>0.74416</v>
      </c>
      <c r="BS26" s="199" t="n">
        <v>2.1515</v>
      </c>
      <c r="BT26" s="199" t="n">
        <v>0.89494</v>
      </c>
      <c r="BU26" s="199" t="n">
        <v>0.69673</v>
      </c>
      <c r="BV26" s="199" t="n">
        <v>1.3264</v>
      </c>
      <c r="BW26" s="199" t="n">
        <v>1.2126</v>
      </c>
      <c r="BX26" s="250" t="n">
        <v>2.5531</v>
      </c>
      <c r="BY26" s="199" t="n">
        <v>3.2327</v>
      </c>
      <c r="BZ26" s="199" t="n">
        <v>4.0206</v>
      </c>
      <c r="CA26" s="199" t="n">
        <v>5.3642</v>
      </c>
      <c r="CB26" s="199" t="n">
        <v>6.1114</v>
      </c>
      <c r="CC26" s="251" t="s">
        <v>65</v>
      </c>
      <c r="CD26" s="201"/>
      <c r="CE26" s="251" t="s">
        <v>65</v>
      </c>
      <c r="CF26" s="201"/>
      <c r="CG26" s="251" t="s">
        <v>65</v>
      </c>
      <c r="CH26" s="201"/>
      <c r="CI26" s="200" t="s">
        <v>595</v>
      </c>
      <c r="CJ26" s="203"/>
      <c r="CK26" s="204" t="n">
        <v>4</v>
      </c>
      <c r="CL26" s="205" t="n">
        <v>0.05</v>
      </c>
      <c r="CM26" s="208" t="n">
        <v>0.079385</v>
      </c>
      <c r="CN26" s="208" t="n">
        <v>0.08804</v>
      </c>
      <c r="CO26" s="208" t="n">
        <v>0.086142</v>
      </c>
      <c r="CP26" s="233" t="n">
        <v>0.64862</v>
      </c>
      <c r="CQ26" s="232" t="n">
        <v>0.16786</v>
      </c>
      <c r="CR26" s="208" t="n">
        <v>0.090904</v>
      </c>
      <c r="CS26" s="208" t="n">
        <v>0.08747</v>
      </c>
      <c r="CT26" s="205" t="n">
        <v>0.05</v>
      </c>
      <c r="CU26" s="208" t="n">
        <v>0.060325</v>
      </c>
      <c r="CV26" s="208" t="n">
        <v>0.066934</v>
      </c>
      <c r="CW26" s="205" t="n">
        <v>0.05</v>
      </c>
      <c r="CX26" s="208" t="n">
        <f aca="false">AVERAGE(CL26:CO26)</f>
        <v>0.07589175</v>
      </c>
      <c r="CY26" s="208" t="n">
        <f aca="false">_xlfn.STDEV.S(CL26:CO26)</f>
        <v>0.0176562842141261</v>
      </c>
      <c r="CZ26" s="208" t="n">
        <f aca="false">CX26+(2*CY26)</f>
        <v>0.111204318428252</v>
      </c>
      <c r="DA26" s="172" t="n">
        <v>48</v>
      </c>
      <c r="DB26" s="209" t="e">
        <f aca="false">#REF!+(DA26/24)</f>
        <v>#REF!</v>
      </c>
      <c r="DC26" s="210" t="n">
        <v>2</v>
      </c>
      <c r="DD26" s="210" t="n">
        <v>3</v>
      </c>
      <c r="DE26" s="180" t="n">
        <f aca="false">DD26-DC26</f>
        <v>1</v>
      </c>
      <c r="DF26" s="180" t="n">
        <f aca="false">MAX(CM26:CX26)</f>
        <v>0.64862</v>
      </c>
      <c r="DG26" s="211" t="e">
        <f aca="false">(DB26-AE26)*24</f>
        <v>#REF!</v>
      </c>
      <c r="DH26" s="195" t="s">
        <v>587</v>
      </c>
      <c r="DI26" s="244" t="e">
        <f aca="false">(AQ26-DB26)*24</f>
        <v>#REF!</v>
      </c>
      <c r="DJ26" s="245" t="s">
        <v>600</v>
      </c>
      <c r="DK26" s="172" t="s">
        <v>152</v>
      </c>
      <c r="DL26" s="238" t="n">
        <v>24</v>
      </c>
      <c r="DM26" s="240" t="s">
        <v>308</v>
      </c>
      <c r="DO26" s="3"/>
      <c r="DP26" s="3"/>
      <c r="DQ26" s="3"/>
      <c r="DR26" s="3"/>
      <c r="DS26" s="3"/>
    </row>
    <row r="27" customFormat="false" ht="15.75" hidden="false" customHeight="true" outlineLevel="0" collapsed="false">
      <c r="A27" s="188" t="s">
        <v>148</v>
      </c>
      <c r="B27" s="238" t="n">
        <v>25</v>
      </c>
      <c r="C27" s="239" t="s">
        <v>233</v>
      </c>
      <c r="D27" s="240" t="s">
        <v>234</v>
      </c>
      <c r="E27" s="215" t="s">
        <v>235</v>
      </c>
      <c r="F27" s="239" t="n">
        <v>88955</v>
      </c>
      <c r="G27" s="193"/>
      <c r="H27" s="218" t="n">
        <v>44116</v>
      </c>
      <c r="I27" s="180" t="n">
        <v>2.57260273972603</v>
      </c>
      <c r="J27" s="218" t="n">
        <v>44848</v>
      </c>
      <c r="K27" s="219" t="n">
        <v>61.8</v>
      </c>
      <c r="L27" s="219" t="n">
        <v>3</v>
      </c>
      <c r="M27" s="220" t="n">
        <v>207</v>
      </c>
      <c r="N27" s="221" t="n">
        <v>371</v>
      </c>
      <c r="O27" s="221" t="n">
        <v>2968</v>
      </c>
      <c r="P27" s="221" t="n">
        <v>2978</v>
      </c>
      <c r="Q27" s="221" t="n">
        <v>3003</v>
      </c>
      <c r="R27" s="221" t="n">
        <v>2115</v>
      </c>
      <c r="S27" s="221" t="n">
        <v>1494</v>
      </c>
      <c r="T27" s="221" t="n">
        <v>2175</v>
      </c>
      <c r="U27" s="253"/>
      <c r="V27" s="185" t="n">
        <f aca="false">EXP(0.585+(0.102*I27)+(0.007*N27)-(0.001*T27)+(0.008*M27)-2.723)</f>
        <v>1.22434435395331</v>
      </c>
      <c r="W27" s="185" t="n">
        <f aca="false">(V27/(1+V27))</f>
        <v>0.550429321690812</v>
      </c>
      <c r="X27" s="185" t="n">
        <f aca="false">EXP(1.741+(0.011*N27)-(0.002*T27)+(0.275*I27)-1.952)</f>
        <v>1.25541444537254</v>
      </c>
      <c r="Y27" s="185" t="n">
        <f aca="false">(X27/(1+X27))</f>
        <v>0.556622508093041</v>
      </c>
      <c r="Z27" s="238" t="n">
        <v>25</v>
      </c>
      <c r="AA27" s="186"/>
      <c r="AB27" s="187"/>
      <c r="AC27" s="187"/>
      <c r="AD27" s="180"/>
      <c r="AE27" s="187"/>
      <c r="AF27" s="187"/>
      <c r="AG27" s="180"/>
      <c r="AH27" s="180"/>
      <c r="AI27" s="187"/>
      <c r="AJ27" s="187"/>
      <c r="AK27" s="180"/>
      <c r="AL27" s="180"/>
      <c r="AM27" s="180"/>
      <c r="AN27" s="180"/>
      <c r="AO27" s="186"/>
      <c r="AP27" s="188" t="s">
        <v>582</v>
      </c>
      <c r="AQ27" s="189" t="n">
        <v>45057.6853997685</v>
      </c>
      <c r="AR27" s="186" t="s">
        <v>625</v>
      </c>
      <c r="AS27" s="180" t="s">
        <v>584</v>
      </c>
      <c r="AT27" s="172" t="n">
        <v>83</v>
      </c>
      <c r="AU27" s="172"/>
      <c r="AV27" s="172"/>
      <c r="AW27" s="172"/>
      <c r="AX27" s="187" t="n">
        <v>45073.5082291667</v>
      </c>
      <c r="AY27" s="187" t="n">
        <v>45075.2105439815</v>
      </c>
      <c r="AZ27" s="180" t="n">
        <v>40.8555555555504</v>
      </c>
      <c r="BA27" s="180" t="n">
        <v>40.8555555555504</v>
      </c>
      <c r="BB27" s="172"/>
      <c r="BC27" s="172"/>
      <c r="BD27" s="172"/>
      <c r="BE27" s="172"/>
      <c r="BF27" s="193" t="n">
        <v>65</v>
      </c>
      <c r="BG27" s="194" t="n">
        <v>0</v>
      </c>
      <c r="BH27" s="194"/>
      <c r="BI27" s="194"/>
      <c r="BJ27" s="194" t="s">
        <v>585</v>
      </c>
      <c r="BK27" s="195" t="s">
        <v>587</v>
      </c>
      <c r="BL27" s="194" t="n">
        <v>1</v>
      </c>
      <c r="BM27" s="196" t="n">
        <v>45243</v>
      </c>
      <c r="BN27" s="196" t="n">
        <f aca="false">AX27+145</f>
        <v>45218.5082291667</v>
      </c>
      <c r="BO27" s="197" t="n">
        <f aca="false">BM27-AQ27</f>
        <v>185.314600231497</v>
      </c>
      <c r="BP27" s="197" t="s">
        <v>594</v>
      </c>
      <c r="BQ27" s="195" t="s">
        <v>587</v>
      </c>
      <c r="BR27" s="254" t="n">
        <v>0.2</v>
      </c>
      <c r="BS27" s="254" t="n">
        <v>0.2</v>
      </c>
      <c r="BT27" s="254" t="n">
        <v>0.2</v>
      </c>
      <c r="BU27" s="254" t="n">
        <v>0.2</v>
      </c>
      <c r="BV27" s="199" t="n">
        <v>0.2</v>
      </c>
      <c r="BW27" s="254" t="n">
        <v>0.2</v>
      </c>
      <c r="BX27" s="254" t="n">
        <v>0.31777</v>
      </c>
      <c r="BY27" s="254" t="n">
        <v>0.70093</v>
      </c>
      <c r="BZ27" s="254" t="n">
        <v>1.2024</v>
      </c>
      <c r="CA27" s="254" t="n">
        <v>1.7519</v>
      </c>
      <c r="CB27" s="254" t="n">
        <v>2.1041</v>
      </c>
      <c r="CC27" s="200" t="s">
        <v>588</v>
      </c>
      <c r="CD27" s="202" t="s">
        <v>589</v>
      </c>
      <c r="CE27" s="200" t="s">
        <v>588</v>
      </c>
      <c r="CF27" s="202" t="s">
        <v>589</v>
      </c>
      <c r="CG27" s="200" t="s">
        <v>588</v>
      </c>
      <c r="CH27" s="202" t="s">
        <v>589</v>
      </c>
      <c r="CI27" s="203"/>
      <c r="CJ27" s="200" t="s">
        <v>595</v>
      </c>
      <c r="CK27" s="204" t="n">
        <v>6</v>
      </c>
      <c r="CL27" s="205" t="n">
        <v>0.05</v>
      </c>
      <c r="CM27" s="208" t="n">
        <v>0.060325</v>
      </c>
      <c r="CN27" s="208" t="n">
        <v>0.088992</v>
      </c>
      <c r="CO27" s="208" t="n">
        <v>0.072378</v>
      </c>
      <c r="CP27" s="208" t="n">
        <v>0.072013</v>
      </c>
      <c r="CQ27" s="233" t="n">
        <v>0.34045</v>
      </c>
      <c r="CR27" s="208" t="n">
        <v>0.25914</v>
      </c>
      <c r="CS27" s="232" t="n">
        <v>0.13629</v>
      </c>
      <c r="CT27" s="208" t="n">
        <v>0.094368</v>
      </c>
      <c r="CU27" s="208" t="n">
        <v>0.075497</v>
      </c>
      <c r="CV27" s="205" t="n">
        <v>0.05</v>
      </c>
      <c r="CW27" s="208" t="n">
        <v>0.061567</v>
      </c>
      <c r="CX27" s="208" t="n">
        <f aca="false">AVERAGE(CL27:CO27)</f>
        <v>0.06792375</v>
      </c>
      <c r="CY27" s="208" t="n">
        <f aca="false">_xlfn.STDEV.S(CL27:CO27)</f>
        <v>0.0167602040237184</v>
      </c>
      <c r="CZ27" s="208" t="n">
        <f aca="false">CX27+(2*CY27)</f>
        <v>0.101444158047437</v>
      </c>
      <c r="DA27" s="186" t="n">
        <v>60</v>
      </c>
      <c r="DB27" s="209" t="e">
        <f aca="false">#REF!+(DA27/24)</f>
        <v>#REF!</v>
      </c>
      <c r="DC27" s="210" t="n">
        <v>2.5</v>
      </c>
      <c r="DD27" s="210" t="n">
        <v>4</v>
      </c>
      <c r="DE27" s="180" t="n">
        <f aca="false">DD27-DC27</f>
        <v>1.5</v>
      </c>
      <c r="DF27" s="180" t="n">
        <f aca="false">MAX(CM27:CX27)</f>
        <v>0.34045</v>
      </c>
      <c r="DG27" s="211"/>
      <c r="DH27" s="195" t="s">
        <v>603</v>
      </c>
      <c r="DI27" s="211" t="e">
        <f aca="false">(AQ27-DB27)*24</f>
        <v>#REF!</v>
      </c>
      <c r="DJ27" s="194" t="s">
        <v>585</v>
      </c>
      <c r="DK27" s="188" t="s">
        <v>148</v>
      </c>
      <c r="DL27" s="238" t="n">
        <v>25</v>
      </c>
      <c r="DM27" s="240" t="s">
        <v>234</v>
      </c>
      <c r="DO27" s="267" t="s">
        <v>626</v>
      </c>
      <c r="DP27" s="242"/>
      <c r="DQ27" s="268" t="e">
        <f aca="false">(DQ17/(DP21+DQ17+DQ20)*100)</f>
        <v>#DIV/0!</v>
      </c>
      <c r="DR27" s="242"/>
      <c r="DS27" s="266"/>
    </row>
    <row r="28" customFormat="false" ht="15.75" hidden="false" customHeight="true" outlineLevel="0" collapsed="false">
      <c r="A28" s="172" t="s">
        <v>152</v>
      </c>
      <c r="B28" s="238" t="n">
        <v>26</v>
      </c>
      <c r="C28" s="239" t="s">
        <v>322</v>
      </c>
      <c r="D28" s="240" t="s">
        <v>323</v>
      </c>
      <c r="E28" s="215" t="s">
        <v>324</v>
      </c>
      <c r="F28" s="239" t="n">
        <v>89367</v>
      </c>
      <c r="G28" s="193" t="s">
        <v>325</v>
      </c>
      <c r="H28" s="218" t="n">
        <v>44118</v>
      </c>
      <c r="I28" s="180" t="n">
        <v>2.56712328767123</v>
      </c>
      <c r="J28" s="218" t="n">
        <v>44847</v>
      </c>
      <c r="K28" s="219" t="n">
        <v>56.9</v>
      </c>
      <c r="L28" s="219" t="n">
        <v>3</v>
      </c>
      <c r="M28" s="220" t="n">
        <v>208</v>
      </c>
      <c r="N28" s="221" t="n">
        <v>267</v>
      </c>
      <c r="O28" s="221" t="n">
        <v>2846</v>
      </c>
      <c r="P28" s="221" t="n">
        <v>2628</v>
      </c>
      <c r="Q28" s="221" t="n">
        <v>2031</v>
      </c>
      <c r="R28" s="221" t="n">
        <v>2848</v>
      </c>
      <c r="S28" s="221" t="n">
        <v>1062</v>
      </c>
      <c r="T28" s="221" t="n">
        <v>1972</v>
      </c>
      <c r="U28" s="257"/>
      <c r="V28" s="185" t="n">
        <f aca="false">EXP(0.585+(0.102*I28)+(0.007*N28)-(0.001*T28)+(0.008*M28)-2.723)</f>
        <v>0.729676915249806</v>
      </c>
      <c r="W28" s="185" t="n">
        <f aca="false">(V28/(1+V28))</f>
        <v>0.421857347355777</v>
      </c>
      <c r="X28" s="185" t="n">
        <f aca="false">EXP(1.741+(0.011*N28)-(0.002*T28)+(0.275*I28)-1.952)</f>
        <v>0.599271159757577</v>
      </c>
      <c r="Y28" s="185" t="n">
        <f aca="false">(X28/(1+X28))</f>
        <v>0.374715167031723</v>
      </c>
      <c r="Z28" s="238" t="n">
        <v>26</v>
      </c>
      <c r="AA28" s="186" t="n">
        <v>22</v>
      </c>
      <c r="AB28" s="187" t="n">
        <v>45056.7270949074</v>
      </c>
      <c r="AC28" s="187" t="n">
        <v>45066.4254513889</v>
      </c>
      <c r="AD28" s="180" t="n">
        <v>232.76055555552</v>
      </c>
      <c r="AE28" s="187" t="n">
        <v>45057.8452777778</v>
      </c>
      <c r="AF28" s="187" t="n">
        <v>45058.1224537037</v>
      </c>
      <c r="AG28" s="180" t="n">
        <v>6.65222222224111</v>
      </c>
      <c r="AH28" s="180" t="n">
        <v>6.65222222224111</v>
      </c>
      <c r="AI28" s="187"/>
      <c r="AJ28" s="187"/>
      <c r="AK28" s="180"/>
      <c r="AL28" s="180"/>
      <c r="AM28" s="180" t="e">
        <f aca="false">(AE28-#REF!)*24</f>
        <v>#REF!</v>
      </c>
      <c r="AN28" s="180" t="e">
        <f aca="false">AM28+35</f>
        <v>#REF!</v>
      </c>
      <c r="AO28" s="186" t="n">
        <v>23</v>
      </c>
      <c r="AP28" s="188" t="s">
        <v>582</v>
      </c>
      <c r="AQ28" s="189" t="n">
        <v>45057.6592755787</v>
      </c>
      <c r="AR28" s="186" t="s">
        <v>608</v>
      </c>
      <c r="AS28" s="180" t="s">
        <v>593</v>
      </c>
      <c r="AT28" s="172" t="n">
        <v>22</v>
      </c>
      <c r="AU28" s="187" t="n">
        <v>45072.4683217593</v>
      </c>
      <c r="AV28" s="187" t="n">
        <v>45079.5082986111</v>
      </c>
      <c r="AW28" s="180" t="n">
        <v>168.959444444336</v>
      </c>
      <c r="AX28" s="187" t="n">
        <v>45072.4683217593</v>
      </c>
      <c r="AY28" s="187" t="n">
        <v>45073.3200231481</v>
      </c>
      <c r="AZ28" s="180" t="n">
        <v>20.4408333332394</v>
      </c>
      <c r="BA28" s="180" t="n">
        <v>20.4408333332394</v>
      </c>
      <c r="BB28" s="187" t="n">
        <v>45079.4310300926</v>
      </c>
      <c r="BC28" s="187" t="n">
        <v>45079.5082986111</v>
      </c>
      <c r="BD28" s="180" t="n">
        <v>1.85444444435416</v>
      </c>
      <c r="BE28" s="180" t="n">
        <v>1.85444444435416</v>
      </c>
      <c r="BF28" s="172" t="n">
        <v>4</v>
      </c>
      <c r="BG28" s="194" t="n">
        <v>0</v>
      </c>
      <c r="BH28" s="194"/>
      <c r="BI28" s="194"/>
      <c r="BJ28" s="194" t="s">
        <v>585</v>
      </c>
      <c r="BK28" s="195" t="s">
        <v>587</v>
      </c>
      <c r="BL28" s="194" t="n">
        <v>1</v>
      </c>
      <c r="BM28" s="196" t="n">
        <v>45243</v>
      </c>
      <c r="BN28" s="196" t="n">
        <f aca="false">BB28+145</f>
        <v>45224.4310300926</v>
      </c>
      <c r="BO28" s="197" t="n">
        <f aca="false">BM28-AQ28</f>
        <v>185.340724421301</v>
      </c>
      <c r="BP28" s="197" t="s">
        <v>594</v>
      </c>
      <c r="BQ28" s="195" t="s">
        <v>587</v>
      </c>
      <c r="BR28" s="199" t="n">
        <v>0.2</v>
      </c>
      <c r="BS28" s="199" t="n">
        <v>0.66674</v>
      </c>
      <c r="BT28" s="199" t="n">
        <v>0.73826</v>
      </c>
      <c r="BU28" s="199" t="n">
        <v>0.2</v>
      </c>
      <c r="BV28" s="199" t="n">
        <v>0.70865</v>
      </c>
      <c r="BW28" s="199" t="n">
        <v>0.42478</v>
      </c>
      <c r="BX28" s="199" t="n">
        <v>1.3321</v>
      </c>
      <c r="BY28" s="250" t="n">
        <v>2.5458</v>
      </c>
      <c r="BZ28" s="199" t="n">
        <v>2.6792</v>
      </c>
      <c r="CA28" s="199" t="n">
        <v>4.5447</v>
      </c>
      <c r="CB28" s="199" t="n">
        <v>5.253</v>
      </c>
      <c r="CC28" s="200" t="s">
        <v>588</v>
      </c>
      <c r="CD28" s="202" t="s">
        <v>589</v>
      </c>
      <c r="CE28" s="200" t="s">
        <v>588</v>
      </c>
      <c r="CF28" s="202" t="s">
        <v>589</v>
      </c>
      <c r="CG28" s="200" t="s">
        <v>588</v>
      </c>
      <c r="CH28" s="202" t="s">
        <v>589</v>
      </c>
      <c r="CI28" s="203"/>
      <c r="CJ28" s="200" t="s">
        <v>595</v>
      </c>
      <c r="CK28" s="204" t="n">
        <v>4</v>
      </c>
      <c r="CL28" s="208" t="n">
        <v>0.13522</v>
      </c>
      <c r="CM28" s="208" t="n">
        <v>0.14979</v>
      </c>
      <c r="CN28" s="208" t="n">
        <v>0.16533</v>
      </c>
      <c r="CO28" s="208" t="n">
        <v>0.14802</v>
      </c>
      <c r="CP28" s="208" t="n">
        <v>0.14604</v>
      </c>
      <c r="CQ28" s="233" t="n">
        <v>0.41432</v>
      </c>
      <c r="CR28" s="208" t="n">
        <v>0.2355</v>
      </c>
      <c r="CS28" s="232" t="n">
        <v>0.18889</v>
      </c>
      <c r="CT28" s="208" t="n">
        <v>0.14846</v>
      </c>
      <c r="CU28" s="208" t="n">
        <v>0.1467</v>
      </c>
      <c r="CV28" s="208" t="n">
        <v>0.12363</v>
      </c>
      <c r="CW28" s="208" t="n">
        <v>0.13139</v>
      </c>
      <c r="CX28" s="208" t="n">
        <f aca="false">AVERAGE(CL28:CO28)</f>
        <v>0.14959</v>
      </c>
      <c r="CY28" s="208" t="n">
        <f aca="false">_xlfn.STDEV.S(CL28:CO28)</f>
        <v>0.0123389545748414</v>
      </c>
      <c r="CZ28" s="208" t="n">
        <f aca="false">CX28+(2*CY28)</f>
        <v>0.174267909149683</v>
      </c>
      <c r="DA28" s="172" t="n">
        <v>60</v>
      </c>
      <c r="DB28" s="209" t="e">
        <f aca="false">#REF!+(DA28/24)</f>
        <v>#REF!</v>
      </c>
      <c r="DC28" s="210" t="n">
        <v>2.5</v>
      </c>
      <c r="DD28" s="210" t="n">
        <v>4</v>
      </c>
      <c r="DE28" s="180" t="n">
        <f aca="false">DD28-DC28</f>
        <v>1.5</v>
      </c>
      <c r="DF28" s="180" t="n">
        <f aca="false">MAX(CM28:CX28)</f>
        <v>0.41432</v>
      </c>
      <c r="DG28" s="211" t="e">
        <f aca="false">(DB28-AE28)*24</f>
        <v>#REF!</v>
      </c>
      <c r="DH28" s="195" t="s">
        <v>587</v>
      </c>
      <c r="DI28" s="211" t="e">
        <f aca="false">(AQ28-DB28)*24</f>
        <v>#REF!</v>
      </c>
      <c r="DJ28" s="194" t="s">
        <v>585</v>
      </c>
      <c r="DK28" s="172" t="s">
        <v>152</v>
      </c>
      <c r="DL28" s="238" t="n">
        <v>26</v>
      </c>
      <c r="DM28" s="240" t="s">
        <v>323</v>
      </c>
      <c r="DO28" s="3"/>
      <c r="DP28" s="3"/>
      <c r="DQ28" s="3"/>
      <c r="DR28" s="3"/>
      <c r="DS28" s="3"/>
    </row>
    <row r="29" customFormat="false" ht="15.75" hidden="false" customHeight="true" outlineLevel="0" collapsed="false">
      <c r="A29" s="188" t="s">
        <v>148</v>
      </c>
      <c r="B29" s="238" t="n">
        <v>27</v>
      </c>
      <c r="C29" s="239" t="s">
        <v>236</v>
      </c>
      <c r="D29" s="240" t="s">
        <v>237</v>
      </c>
      <c r="E29" s="215" t="s">
        <v>238</v>
      </c>
      <c r="F29" s="239" t="n">
        <v>89453</v>
      </c>
      <c r="G29" s="193"/>
      <c r="H29" s="218" t="n">
        <v>44118</v>
      </c>
      <c r="I29" s="180" t="n">
        <v>2.56712328767123</v>
      </c>
      <c r="J29" s="218" t="n">
        <v>44847</v>
      </c>
      <c r="K29" s="219" t="n">
        <v>77.2</v>
      </c>
      <c r="L29" s="219" t="n">
        <v>3.25</v>
      </c>
      <c r="M29" s="220" t="n">
        <v>208</v>
      </c>
      <c r="N29" s="221" t="n">
        <v>321</v>
      </c>
      <c r="O29" s="221" t="n">
        <v>2968</v>
      </c>
      <c r="P29" s="221" t="n">
        <v>2132</v>
      </c>
      <c r="Q29" s="221" t="n">
        <v>2917</v>
      </c>
      <c r="R29" s="221" t="n">
        <v>2482</v>
      </c>
      <c r="S29" s="221" t="n">
        <v>1859</v>
      </c>
      <c r="T29" s="221" t="n">
        <v>1421</v>
      </c>
      <c r="U29" s="253"/>
      <c r="V29" s="185" t="n">
        <f aca="false">EXP(1.204+(0.102*I29)+(0.007*N29)-(0.001*T29)+(0.008*M29)-2.723)</f>
        <v>3.43098219818655</v>
      </c>
      <c r="W29" s="185" t="n">
        <f aca="false">(V29/(1+V29))</f>
        <v>0.774316403164683</v>
      </c>
      <c r="X29" s="185" t="n">
        <f aca="false">EXP(2.859+(0.011*N29)-(0.002*T29)+(0.275*I29)-1.952)</f>
        <v>9.99374007130886</v>
      </c>
      <c r="Y29" s="185" t="n">
        <f aca="false">(X29/(1+X29))</f>
        <v>0.909039144684731</v>
      </c>
      <c r="Z29" s="238" t="n">
        <v>27</v>
      </c>
      <c r="AA29" s="186"/>
      <c r="AB29" s="187"/>
      <c r="AC29" s="187"/>
      <c r="AD29" s="180"/>
      <c r="AE29" s="187"/>
      <c r="AF29" s="187"/>
      <c r="AG29" s="180"/>
      <c r="AH29" s="180"/>
      <c r="AI29" s="187"/>
      <c r="AJ29" s="187"/>
      <c r="AK29" s="180"/>
      <c r="AL29" s="180"/>
      <c r="AM29" s="180"/>
      <c r="AN29" s="180"/>
      <c r="AO29" s="186"/>
      <c r="AP29" s="188" t="s">
        <v>582</v>
      </c>
      <c r="AQ29" s="189" t="n">
        <v>45057.6820130787</v>
      </c>
      <c r="AR29" s="188" t="s">
        <v>592</v>
      </c>
      <c r="AS29" s="180" t="s">
        <v>584</v>
      </c>
      <c r="AT29" s="172" t="n">
        <v>90</v>
      </c>
      <c r="AU29" s="172"/>
      <c r="AV29" s="172"/>
      <c r="AW29" s="172"/>
      <c r="AX29" s="190" t="n">
        <v>45082.5352199074</v>
      </c>
      <c r="AY29" s="190" t="n">
        <v>45082.5352199074</v>
      </c>
      <c r="AZ29" s="191" t="n">
        <v>0</v>
      </c>
      <c r="BA29" s="180" t="n">
        <v>1</v>
      </c>
      <c r="BB29" s="172"/>
      <c r="BC29" s="172"/>
      <c r="BD29" s="172"/>
      <c r="BE29" s="172"/>
      <c r="BF29" s="193" t="n">
        <v>1</v>
      </c>
      <c r="BG29" s="194" t="n">
        <v>0</v>
      </c>
      <c r="BH29" s="194"/>
      <c r="BI29" s="194"/>
      <c r="BJ29" s="194" t="s">
        <v>585</v>
      </c>
      <c r="BK29" s="195" t="s">
        <v>587</v>
      </c>
      <c r="BL29" s="194"/>
      <c r="BM29" s="196" t="s">
        <v>611</v>
      </c>
      <c r="BN29" s="196" t="n">
        <f aca="false">AX29+145</f>
        <v>45227.5352199074</v>
      </c>
      <c r="BO29" s="197"/>
      <c r="BP29" s="197" t="s">
        <v>585</v>
      </c>
      <c r="BQ29" s="195" t="s">
        <v>587</v>
      </c>
      <c r="BR29" s="258" t="n">
        <v>1.9329</v>
      </c>
      <c r="BS29" s="258" t="n">
        <v>0.38999</v>
      </c>
      <c r="BT29" s="199" t="n">
        <v>0.2</v>
      </c>
      <c r="BU29" s="199" t="n">
        <v>0.2</v>
      </c>
      <c r="BV29" s="199" t="n">
        <v>0.2</v>
      </c>
      <c r="BW29" s="199" t="n">
        <v>0.2</v>
      </c>
      <c r="BX29" s="199" t="n">
        <v>0.78332</v>
      </c>
      <c r="BY29" s="199" t="n">
        <v>1.5185</v>
      </c>
      <c r="BZ29" s="250" t="n">
        <v>2.0191</v>
      </c>
      <c r="CA29" s="199" t="n">
        <v>2.407</v>
      </c>
      <c r="CB29" s="199" t="n">
        <v>2.9698</v>
      </c>
      <c r="CC29" s="200" t="s">
        <v>588</v>
      </c>
      <c r="CD29" s="202" t="s">
        <v>589</v>
      </c>
      <c r="CE29" s="251" t="s">
        <v>65</v>
      </c>
      <c r="CF29" s="201"/>
      <c r="CG29" s="251" t="s">
        <v>65</v>
      </c>
      <c r="CH29" s="201"/>
      <c r="CI29" s="200" t="s">
        <v>595</v>
      </c>
      <c r="CJ29" s="242"/>
      <c r="CK29" s="204" t="n">
        <v>4</v>
      </c>
      <c r="CL29" s="208" t="n">
        <v>0.074577</v>
      </c>
      <c r="CM29" s="205" t="n">
        <v>0.05</v>
      </c>
      <c r="CN29" s="208" t="n">
        <v>0.071101</v>
      </c>
      <c r="CO29" s="208" t="n">
        <v>0.0621</v>
      </c>
      <c r="CP29" s="208" t="n">
        <v>0.068921</v>
      </c>
      <c r="CQ29" s="233" t="n">
        <v>0.28223</v>
      </c>
      <c r="CR29" s="208" t="n">
        <v>0.21969</v>
      </c>
      <c r="CS29" s="232" t="n">
        <v>0.16717</v>
      </c>
      <c r="CT29" s="208" t="n">
        <v>0.062536</v>
      </c>
      <c r="CU29" s="208" t="n">
        <v>0.084866</v>
      </c>
      <c r="CV29" s="208" t="n">
        <v>0.06979</v>
      </c>
      <c r="CW29" s="205" t="n">
        <v>0.05</v>
      </c>
      <c r="CX29" s="208" t="n">
        <f aca="false">AVERAGE(CL29:CO29)</f>
        <v>0.0644445</v>
      </c>
      <c r="CY29" s="208" t="n">
        <f aca="false">_xlfn.STDEV.S(CL29:CO29)</f>
        <v>0.0109714297002108</v>
      </c>
      <c r="CZ29" s="208" t="n">
        <v>0.1</v>
      </c>
      <c r="DA29" s="172" t="n">
        <v>60</v>
      </c>
      <c r="DB29" s="209" t="e">
        <f aca="false">#REF!+(DA29/24)</f>
        <v>#REF!</v>
      </c>
      <c r="DC29" s="210" t="n">
        <v>2.5</v>
      </c>
      <c r="DD29" s="210" t="n">
        <v>4</v>
      </c>
      <c r="DE29" s="180" t="n">
        <f aca="false">DD29-DC29</f>
        <v>1.5</v>
      </c>
      <c r="DF29" s="180" t="n">
        <f aca="false">MAX(CM29:CX29)</f>
        <v>0.28223</v>
      </c>
      <c r="DG29" s="211"/>
      <c r="DH29" s="195" t="s">
        <v>603</v>
      </c>
      <c r="DI29" s="211" t="e">
        <f aca="false">(AQ29-DB29)*24</f>
        <v>#REF!</v>
      </c>
      <c r="DJ29" s="194" t="s">
        <v>585</v>
      </c>
      <c r="DK29" s="188" t="s">
        <v>148</v>
      </c>
      <c r="DL29" s="238" t="n">
        <v>27</v>
      </c>
      <c r="DM29" s="240" t="s">
        <v>237</v>
      </c>
      <c r="DO29" s="279"/>
      <c r="DP29" s="266"/>
      <c r="DQ29" s="280"/>
      <c r="DR29" s="266"/>
      <c r="DS29" s="266"/>
    </row>
    <row r="30" customFormat="false" ht="15.75" hidden="false" customHeight="true" outlineLevel="0" collapsed="false">
      <c r="A30" s="172" t="s">
        <v>152</v>
      </c>
      <c r="B30" s="238" t="n">
        <v>28</v>
      </c>
      <c r="C30" s="239" t="s">
        <v>332</v>
      </c>
      <c r="D30" s="240" t="s">
        <v>333</v>
      </c>
      <c r="E30" s="215" t="s">
        <v>334</v>
      </c>
      <c r="F30" s="239" t="n">
        <v>89124</v>
      </c>
      <c r="G30" s="193"/>
      <c r="H30" s="218" t="n">
        <v>44118</v>
      </c>
      <c r="I30" s="180" t="n">
        <v>2.56712328767123</v>
      </c>
      <c r="J30" s="218" t="n">
        <v>44850</v>
      </c>
      <c r="K30" s="219" t="n">
        <v>62.4</v>
      </c>
      <c r="L30" s="219" t="n">
        <v>3.25</v>
      </c>
      <c r="M30" s="220" t="n">
        <v>205</v>
      </c>
      <c r="N30" s="221" t="n">
        <v>184</v>
      </c>
      <c r="O30" s="221" t="n">
        <v>2417</v>
      </c>
      <c r="P30" s="221" t="n">
        <v>2336</v>
      </c>
      <c r="Q30" s="221" t="n">
        <v>2574</v>
      </c>
      <c r="R30" s="221" t="n">
        <v>1861</v>
      </c>
      <c r="S30" s="221" t="n">
        <v>1660</v>
      </c>
      <c r="T30" s="221" t="n">
        <v>1827</v>
      </c>
      <c r="U30" s="257"/>
      <c r="V30" s="185" t="n">
        <f aca="false">EXP(1.204+(0.102*I30)+(0.007*N30)-(0.001*T30)+(0.008*M30)-2.723)</f>
        <v>0.855427936564278</v>
      </c>
      <c r="W30" s="185" t="n">
        <f aca="false">(V30/(1+V30))</f>
        <v>0.461040776473532</v>
      </c>
      <c r="X30" s="185" t="n">
        <f aca="false">EXP(2.859+(0.011*N30)-(0.002*T30)+(0.275*I30)-1.952)</f>
        <v>0.983103282299978</v>
      </c>
      <c r="Y30" s="185" t="n">
        <f aca="false">(X30/(1+X30))</f>
        <v>0.49573982912266</v>
      </c>
      <c r="Z30" s="238" t="n">
        <v>28</v>
      </c>
      <c r="AA30" s="186" t="n">
        <v>35</v>
      </c>
      <c r="AB30" s="187" t="n">
        <v>45057.6956134259</v>
      </c>
      <c r="AC30" s="187" t="n">
        <v>45058.2959259259</v>
      </c>
      <c r="AD30" s="180" t="n">
        <v>14.4074999999721</v>
      </c>
      <c r="AE30" s="187" t="n">
        <v>45057.6956134259</v>
      </c>
      <c r="AF30" s="187" t="n">
        <v>45058.2959259259</v>
      </c>
      <c r="AG30" s="180" t="n">
        <v>14.4074999999721</v>
      </c>
      <c r="AH30" s="180" t="n">
        <v>14.4074999999721</v>
      </c>
      <c r="AI30" s="187"/>
      <c r="AJ30" s="187"/>
      <c r="AK30" s="180"/>
      <c r="AL30" s="180"/>
      <c r="AM30" s="180" t="e">
        <f aca="false">(AE30-#REF!)*24</f>
        <v>#REF!</v>
      </c>
      <c r="AN30" s="180" t="e">
        <f aca="false">AM30+35</f>
        <v>#REF!</v>
      </c>
      <c r="AO30" s="186" t="n">
        <v>54</v>
      </c>
      <c r="AP30" s="186" t="s">
        <v>589</v>
      </c>
      <c r="AQ30" s="189" t="n">
        <v>45057.6580496528</v>
      </c>
      <c r="AR30" s="186" t="s">
        <v>599</v>
      </c>
      <c r="AS30" s="180" t="s">
        <v>584</v>
      </c>
      <c r="AT30" s="172"/>
      <c r="AU30" s="187"/>
      <c r="AV30" s="187"/>
      <c r="AW30" s="180"/>
      <c r="AX30" s="187"/>
      <c r="AY30" s="187"/>
      <c r="AZ30" s="180"/>
      <c r="BA30" s="180"/>
      <c r="BB30" s="187"/>
      <c r="BC30" s="187"/>
      <c r="BD30" s="180"/>
      <c r="BE30" s="180"/>
      <c r="BF30" s="172"/>
      <c r="BG30" s="194" t="n">
        <v>1</v>
      </c>
      <c r="BH30" s="194" t="n">
        <v>1</v>
      </c>
      <c r="BI30" s="194"/>
      <c r="BJ30" s="194" t="s">
        <v>600</v>
      </c>
      <c r="BK30" s="195" t="s">
        <v>615</v>
      </c>
      <c r="BL30" s="194" t="n">
        <v>1</v>
      </c>
      <c r="BM30" s="196" t="n">
        <v>45209</v>
      </c>
      <c r="BN30" s="196" t="n">
        <f aca="false">AQ30+145</f>
        <v>45202.6580496528</v>
      </c>
      <c r="BO30" s="197" t="n">
        <f aca="false">BM30-AQ30</f>
        <v>151.341950347203</v>
      </c>
      <c r="BP30" s="197" t="s">
        <v>35</v>
      </c>
      <c r="BQ30" s="195" t="s">
        <v>615</v>
      </c>
      <c r="BR30" s="258" t="n">
        <v>0.2</v>
      </c>
      <c r="BS30" s="258" t="n">
        <v>1.9234</v>
      </c>
      <c r="BT30" s="199" t="n">
        <v>0.65794</v>
      </c>
      <c r="BU30" s="199" t="n">
        <v>0.3</v>
      </c>
      <c r="BV30" s="199" t="n">
        <v>0.42137</v>
      </c>
      <c r="BW30" s="199" t="n">
        <v>0.39805</v>
      </c>
      <c r="BX30" s="199" t="n">
        <v>0.88556</v>
      </c>
      <c r="BY30" s="250" t="n">
        <v>2.2281</v>
      </c>
      <c r="BZ30" s="199" t="n">
        <v>2.1969</v>
      </c>
      <c r="CA30" s="199" t="n">
        <v>3.091</v>
      </c>
      <c r="CB30" s="199" t="n">
        <v>3.7728</v>
      </c>
      <c r="CC30" s="200" t="s">
        <v>588</v>
      </c>
      <c r="CD30" s="202" t="s">
        <v>589</v>
      </c>
      <c r="CE30" s="251" t="s">
        <v>65</v>
      </c>
      <c r="CF30" s="201"/>
      <c r="CG30" s="251" t="s">
        <v>65</v>
      </c>
      <c r="CH30" s="201"/>
      <c r="CI30" s="200" t="s">
        <v>595</v>
      </c>
      <c r="CJ30" s="203"/>
      <c r="CK30" s="204" t="n">
        <v>5</v>
      </c>
      <c r="CL30" s="205" t="n">
        <v>0.05</v>
      </c>
      <c r="CM30" s="205" t="n">
        <v>0.05</v>
      </c>
      <c r="CN30" s="205" t="n">
        <v>0.05</v>
      </c>
      <c r="CO30" s="205" t="n">
        <v>0.05</v>
      </c>
      <c r="CP30" s="243" t="n">
        <v>0.062384</v>
      </c>
      <c r="CQ30" s="205" t="n">
        <v>0.05</v>
      </c>
      <c r="CR30" s="233" t="n">
        <v>0.15397</v>
      </c>
      <c r="CS30" s="243" t="n">
        <v>0.086186</v>
      </c>
      <c r="CT30" s="205" t="n">
        <v>0.05</v>
      </c>
      <c r="CU30" s="205" t="n">
        <v>0.05</v>
      </c>
      <c r="CV30" s="205" t="n">
        <v>0.05</v>
      </c>
      <c r="CW30" s="205" t="n">
        <v>0.05</v>
      </c>
      <c r="CX30" s="208" t="n">
        <f aca="false">AVERAGE(CL30:CO30)</f>
        <v>0.05</v>
      </c>
      <c r="CY30" s="208" t="n">
        <f aca="false">_xlfn.STDEV.S(CL30:CO30)</f>
        <v>0</v>
      </c>
      <c r="CZ30" s="208" t="n">
        <v>0.1</v>
      </c>
      <c r="DA30" s="172" t="n">
        <v>72</v>
      </c>
      <c r="DB30" s="209" t="e">
        <f aca="false">#REF!+(DA30/24)</f>
        <v>#REF!</v>
      </c>
      <c r="DC30" s="210" t="n">
        <v>3</v>
      </c>
      <c r="DD30" s="210" t="n">
        <v>3.5</v>
      </c>
      <c r="DE30" s="180" t="n">
        <f aca="false">DD30-DC30</f>
        <v>0.5</v>
      </c>
      <c r="DF30" s="180" t="n">
        <f aca="false">MAX(CM30:CX30)</f>
        <v>0.15397</v>
      </c>
      <c r="DG30" s="211" t="e">
        <f aca="false">(DB30-AE30)*24</f>
        <v>#REF!</v>
      </c>
      <c r="DH30" s="195" t="s">
        <v>587</v>
      </c>
      <c r="DI30" s="211" t="e">
        <f aca="false">(AQ30-DB30)*24</f>
        <v>#REF!</v>
      </c>
      <c r="DJ30" s="194" t="s">
        <v>600</v>
      </c>
      <c r="DK30" s="172" t="s">
        <v>152</v>
      </c>
      <c r="DL30" s="238" t="n">
        <v>28</v>
      </c>
      <c r="DM30" s="240" t="s">
        <v>333</v>
      </c>
      <c r="DO30" s="3"/>
      <c r="DP30" s="3"/>
      <c r="DQ30" s="3"/>
      <c r="DR30" s="3"/>
      <c r="DS30" s="3"/>
    </row>
    <row r="31" customFormat="false" ht="15.75" hidden="false" customHeight="true" outlineLevel="0" collapsed="false">
      <c r="A31" s="188" t="s">
        <v>148</v>
      </c>
      <c r="B31" s="238" t="n">
        <v>29</v>
      </c>
      <c r="C31" s="239" t="s">
        <v>245</v>
      </c>
      <c r="D31" s="240" t="s">
        <v>246</v>
      </c>
      <c r="E31" s="215" t="s">
        <v>247</v>
      </c>
      <c r="F31" s="239" t="n">
        <v>88967</v>
      </c>
      <c r="G31" s="193"/>
      <c r="H31" s="218" t="n">
        <v>44118</v>
      </c>
      <c r="I31" s="180" t="n">
        <v>2.56712328767123</v>
      </c>
      <c r="J31" s="218" t="n">
        <v>44866</v>
      </c>
      <c r="K31" s="219" t="n">
        <v>68.7</v>
      </c>
      <c r="L31" s="219" t="n">
        <v>3.5</v>
      </c>
      <c r="M31" s="220" t="n">
        <v>189</v>
      </c>
      <c r="N31" s="221" t="n">
        <v>171</v>
      </c>
      <c r="O31" s="221"/>
      <c r="P31" s="221" t="n">
        <v>2394</v>
      </c>
      <c r="Q31" s="221" t="n">
        <v>1916</v>
      </c>
      <c r="R31" s="221" t="n">
        <v>1466</v>
      </c>
      <c r="S31" s="221" t="n">
        <v>1428</v>
      </c>
      <c r="T31" s="221" t="n">
        <v>1334</v>
      </c>
      <c r="U31" s="253"/>
      <c r="V31" s="185" t="n">
        <f aca="false">EXP(1.204+(0.102*I31)+(0.007*N31)-(0.001*T31)+(0.008*M31)-2.723)</f>
        <v>1.12507148441787</v>
      </c>
      <c r="W31" s="185" t="n">
        <f aca="false">(V31/(1+V31))</f>
        <v>0.529427594632688</v>
      </c>
      <c r="X31" s="185" t="n">
        <f aca="false">EXP(2.859+(0.011*N31)-(0.002*T31)+(0.275*I31)-1.952)</f>
        <v>2.28406991959954</v>
      </c>
      <c r="Y31" s="185" t="n">
        <f aca="false">(X31/(1+X31))</f>
        <v>0.695499783962596</v>
      </c>
      <c r="Z31" s="238" t="n">
        <v>29</v>
      </c>
      <c r="AA31" s="186"/>
      <c r="AB31" s="187"/>
      <c r="AC31" s="187"/>
      <c r="AD31" s="180"/>
      <c r="AE31" s="187"/>
      <c r="AF31" s="187"/>
      <c r="AG31" s="180"/>
      <c r="AH31" s="180"/>
      <c r="AI31" s="187"/>
      <c r="AJ31" s="187"/>
      <c r="AK31" s="180"/>
      <c r="AL31" s="180"/>
      <c r="AM31" s="180"/>
      <c r="AN31" s="180"/>
      <c r="AO31" s="186"/>
      <c r="AP31" s="188" t="s">
        <v>582</v>
      </c>
      <c r="AQ31" s="189" t="n">
        <v>45057.6846393519</v>
      </c>
      <c r="AR31" s="188" t="s">
        <v>592</v>
      </c>
      <c r="AS31" s="180" t="s">
        <v>584</v>
      </c>
      <c r="AT31" s="172"/>
      <c r="AU31" s="172"/>
      <c r="AV31" s="172"/>
      <c r="AW31" s="172"/>
      <c r="AX31" s="172"/>
      <c r="AY31" s="172"/>
      <c r="AZ31" s="172"/>
      <c r="BA31" s="180"/>
      <c r="BB31" s="172"/>
      <c r="BC31" s="172"/>
      <c r="BD31" s="172"/>
      <c r="BE31" s="172"/>
      <c r="BF31" s="193"/>
      <c r="BG31" s="194" t="n">
        <v>1</v>
      </c>
      <c r="BH31" s="194" t="n">
        <v>1</v>
      </c>
      <c r="BI31" s="194"/>
      <c r="BJ31" s="194" t="s">
        <v>600</v>
      </c>
      <c r="BK31" s="195" t="s">
        <v>603</v>
      </c>
      <c r="BL31" s="194" t="n">
        <v>1</v>
      </c>
      <c r="BM31" s="196" t="n">
        <v>45207</v>
      </c>
      <c r="BN31" s="196" t="n">
        <f aca="false">AQ31+145</f>
        <v>45202.6846393519</v>
      </c>
      <c r="BO31" s="197" t="n">
        <f aca="false">BM31-AQ31</f>
        <v>149.315360648099</v>
      </c>
      <c r="BP31" s="197" t="s">
        <v>35</v>
      </c>
      <c r="BQ31" s="195" t="s">
        <v>603</v>
      </c>
      <c r="BR31" s="199" t="n">
        <v>0.84384</v>
      </c>
      <c r="BS31" s="199" t="n">
        <v>0.98516</v>
      </c>
      <c r="BT31" s="199" t="n">
        <v>0.97936</v>
      </c>
      <c r="BU31" s="199" t="n">
        <v>0.75258</v>
      </c>
      <c r="BV31" s="199" t="n">
        <v>0.55844</v>
      </c>
      <c r="BW31" s="199" t="n">
        <v>0.69628</v>
      </c>
      <c r="BX31" s="250" t="n">
        <v>2.0131</v>
      </c>
      <c r="BY31" s="199" t="n">
        <v>2.9998</v>
      </c>
      <c r="BZ31" s="199" t="n">
        <v>4.2154</v>
      </c>
      <c r="CA31" s="199" t="n">
        <v>5.6486</v>
      </c>
      <c r="CB31" s="199" t="n">
        <v>5.8071</v>
      </c>
      <c r="CC31" s="200" t="s">
        <v>588</v>
      </c>
      <c r="CD31" s="202" t="s">
        <v>589</v>
      </c>
      <c r="CE31" s="251" t="s">
        <v>65</v>
      </c>
      <c r="CF31" s="201"/>
      <c r="CG31" s="200" t="s">
        <v>588</v>
      </c>
      <c r="CH31" s="201"/>
      <c r="CI31" s="242"/>
      <c r="CJ31" s="200" t="s">
        <v>595</v>
      </c>
      <c r="CK31" s="204" t="n">
        <v>4</v>
      </c>
      <c r="CL31" s="205" t="n">
        <v>0.05</v>
      </c>
      <c r="CM31" s="205" t="n">
        <v>0.05</v>
      </c>
      <c r="CN31" s="205" t="n">
        <v>0.05</v>
      </c>
      <c r="CO31" s="205" t="n">
        <v>0.05</v>
      </c>
      <c r="CP31" s="233" t="n">
        <v>0.81664</v>
      </c>
      <c r="CQ31" s="208" t="n">
        <v>0.46841</v>
      </c>
      <c r="CR31" s="208" t="n">
        <v>0.18876</v>
      </c>
      <c r="CS31" s="232" t="n">
        <v>0.10636</v>
      </c>
      <c r="CT31" s="243" t="n">
        <v>0.067455</v>
      </c>
      <c r="CU31" s="205" t="n">
        <v>0.05</v>
      </c>
      <c r="CV31" s="205" t="n">
        <v>0.05</v>
      </c>
      <c r="CW31" s="205" t="n">
        <v>0.05</v>
      </c>
      <c r="CX31" s="208" t="n">
        <f aca="false">AVERAGE(CL31:CO31)</f>
        <v>0.05</v>
      </c>
      <c r="CY31" s="208" t="n">
        <f aca="false">_xlfn.STDEV.S(CL31:CO31)</f>
        <v>0</v>
      </c>
      <c r="CZ31" s="208" t="n">
        <v>0.1</v>
      </c>
      <c r="DA31" s="172" t="n">
        <v>48</v>
      </c>
      <c r="DB31" s="209" t="e">
        <f aca="false">#REF!+(DA31/24)</f>
        <v>#REF!</v>
      </c>
      <c r="DC31" s="210" t="n">
        <v>2</v>
      </c>
      <c r="DD31" s="210" t="n">
        <v>4</v>
      </c>
      <c r="DE31" s="180" t="n">
        <f aca="false">DD31-DC31</f>
        <v>2</v>
      </c>
      <c r="DF31" s="180" t="n">
        <f aca="false">MAX(CM31:CX31)</f>
        <v>0.81664</v>
      </c>
      <c r="DG31" s="211"/>
      <c r="DH31" s="195" t="s">
        <v>603</v>
      </c>
      <c r="DI31" s="244" t="e">
        <f aca="false">(AQ31-DB31)*24</f>
        <v>#REF!</v>
      </c>
      <c r="DJ31" s="245" t="s">
        <v>600</v>
      </c>
      <c r="DK31" s="188" t="s">
        <v>148</v>
      </c>
      <c r="DL31" s="238" t="n">
        <v>29</v>
      </c>
      <c r="DM31" s="240" t="s">
        <v>246</v>
      </c>
      <c r="DO31" s="282"/>
      <c r="DP31" s="242"/>
      <c r="DQ31" s="242"/>
      <c r="DR31" s="242"/>
      <c r="DS31" s="266"/>
    </row>
    <row r="32" customFormat="false" ht="15.75" hidden="false" customHeight="true" outlineLevel="0" collapsed="false">
      <c r="A32" s="188" t="s">
        <v>148</v>
      </c>
      <c r="B32" s="238" t="n">
        <v>30</v>
      </c>
      <c r="C32" s="239" t="s">
        <v>254</v>
      </c>
      <c r="D32" s="240" t="s">
        <v>255</v>
      </c>
      <c r="E32" s="215" t="s">
        <v>256</v>
      </c>
      <c r="F32" s="239" t="n">
        <v>88980</v>
      </c>
      <c r="G32" s="193"/>
      <c r="H32" s="218" t="n">
        <v>44118</v>
      </c>
      <c r="I32" s="180" t="n">
        <v>2.56712328767123</v>
      </c>
      <c r="J32" s="218" t="n">
        <v>44850</v>
      </c>
      <c r="K32" s="219" t="n">
        <v>63.4</v>
      </c>
      <c r="L32" s="219" t="n">
        <v>3.5</v>
      </c>
      <c r="M32" s="220" t="n">
        <v>205</v>
      </c>
      <c r="N32" s="221" t="n">
        <v>172</v>
      </c>
      <c r="O32" s="221" t="n">
        <v>2907</v>
      </c>
      <c r="P32" s="221" t="n">
        <v>2832</v>
      </c>
      <c r="Q32" s="221" t="n">
        <v>2631</v>
      </c>
      <c r="R32" s="221" t="n">
        <v>1466</v>
      </c>
      <c r="S32" s="221" t="n">
        <v>996</v>
      </c>
      <c r="T32" s="221" t="n">
        <v>1102</v>
      </c>
      <c r="U32" s="253"/>
      <c r="V32" s="185" t="n">
        <f aca="false">EXP(1.204+(0.102*I32)+(0.007*N32)-(0.001*T32)+(0.008*M32)-2.723)</f>
        <v>1.62392583946457</v>
      </c>
      <c r="W32" s="185" t="n">
        <f aca="false">(V32/(1+V32))</f>
        <v>0.618891667988583</v>
      </c>
      <c r="X32" s="185" t="n">
        <f aca="false">EXP(2.859+(0.011*N32)-(0.002*T32)+(0.275*I32)-1.952)</f>
        <v>3.67281685876627</v>
      </c>
      <c r="Y32" s="185" t="n">
        <f aca="false">(X32/(1+X32))</f>
        <v>0.785996320800806</v>
      </c>
      <c r="Z32" s="238" t="n">
        <v>30</v>
      </c>
      <c r="AA32" s="186" t="n">
        <v>73</v>
      </c>
      <c r="AB32" s="187" t="n">
        <v>45057.8678009259</v>
      </c>
      <c r="AC32" s="187" t="n">
        <v>45057.9157523148</v>
      </c>
      <c r="AD32" s="180" t="n">
        <v>1.150833333435</v>
      </c>
      <c r="AE32" s="190" t="n">
        <v>45057.8678009259</v>
      </c>
      <c r="AF32" s="190" t="n">
        <v>45057.9157523148</v>
      </c>
      <c r="AG32" s="180" t="n">
        <v>1.150833333435</v>
      </c>
      <c r="AH32" s="180" t="n">
        <v>1.150833333435</v>
      </c>
      <c r="AI32" s="187"/>
      <c r="AJ32" s="187"/>
      <c r="AK32" s="180"/>
      <c r="AL32" s="180"/>
      <c r="AM32" s="180" t="e">
        <f aca="false">(AE32-#REF!)*24</f>
        <v>#REF!</v>
      </c>
      <c r="AN32" s="180" t="e">
        <f aca="false">AM32+35</f>
        <v>#REF!</v>
      </c>
      <c r="AO32" s="186" t="n">
        <v>2</v>
      </c>
      <c r="AP32" s="188" t="s">
        <v>582</v>
      </c>
      <c r="AQ32" s="189" t="n">
        <v>45057.6827328704</v>
      </c>
      <c r="AR32" s="188" t="s">
        <v>592</v>
      </c>
      <c r="AS32" s="180" t="s">
        <v>584</v>
      </c>
      <c r="AT32" s="172" t="n">
        <v>73</v>
      </c>
      <c r="AU32" s="187" t="n">
        <v>45075.0726967593</v>
      </c>
      <c r="AV32" s="187" t="n">
        <v>45088.5160416667</v>
      </c>
      <c r="AW32" s="180" t="n">
        <v>322.640277777915</v>
      </c>
      <c r="AX32" s="187" t="n">
        <v>45075.0726967593</v>
      </c>
      <c r="AY32" s="187" t="n">
        <v>45075.4209606481</v>
      </c>
      <c r="AZ32" s="180" t="n">
        <v>8.35833333333721</v>
      </c>
      <c r="BA32" s="180" t="n">
        <v>8.35833333333721</v>
      </c>
      <c r="BB32" s="172"/>
      <c r="BC32" s="172"/>
      <c r="BD32" s="172"/>
      <c r="BE32" s="172"/>
      <c r="BF32" s="193" t="n">
        <v>26</v>
      </c>
      <c r="BG32" s="194" t="n">
        <v>0</v>
      </c>
      <c r="BH32" s="194"/>
      <c r="BI32" s="194" t="s">
        <v>622</v>
      </c>
      <c r="BJ32" s="194" t="s">
        <v>543</v>
      </c>
      <c r="BK32" s="195" t="s">
        <v>587</v>
      </c>
      <c r="BL32" s="194" t="n">
        <v>1</v>
      </c>
      <c r="BM32" s="196" t="n">
        <v>45222</v>
      </c>
      <c r="BN32" s="196" t="n">
        <f aca="false">AX32+145</f>
        <v>45220.0726967593</v>
      </c>
      <c r="BO32" s="197" t="n">
        <f aca="false">BM32-AQ32</f>
        <v>164.317267129598</v>
      </c>
      <c r="BP32" s="197" t="s">
        <v>543</v>
      </c>
      <c r="BQ32" s="195" t="s">
        <v>587</v>
      </c>
      <c r="BR32" s="199" t="n">
        <v>0.95609</v>
      </c>
      <c r="BS32" s="199" t="n">
        <v>1.5469</v>
      </c>
      <c r="BT32" s="199" t="n">
        <v>1.7417</v>
      </c>
      <c r="BU32" s="199" t="n">
        <v>1.5298</v>
      </c>
      <c r="BV32" s="199" t="n">
        <v>1.428</v>
      </c>
      <c r="BW32" s="199" t="n">
        <v>1.5582</v>
      </c>
      <c r="BX32" s="199" t="n">
        <v>1.7765</v>
      </c>
      <c r="BY32" s="250" t="n">
        <v>3.0987</v>
      </c>
      <c r="BZ32" s="199" t="n">
        <v>4.4201</v>
      </c>
      <c r="CA32" s="199" t="n">
        <v>6.2168</v>
      </c>
      <c r="CB32" s="199" t="n">
        <v>6.2712</v>
      </c>
      <c r="CC32" s="200" t="s">
        <v>588</v>
      </c>
      <c r="CD32" s="202" t="s">
        <v>589</v>
      </c>
      <c r="CE32" s="251" t="s">
        <v>65</v>
      </c>
      <c r="CF32" s="201"/>
      <c r="CG32" s="200" t="s">
        <v>588</v>
      </c>
      <c r="CH32" s="201"/>
      <c r="CI32" s="242"/>
      <c r="CJ32" s="200" t="s">
        <v>595</v>
      </c>
      <c r="CK32" s="271" t="n">
        <v>5</v>
      </c>
      <c r="CL32" s="205" t="n">
        <v>0.05</v>
      </c>
      <c r="CM32" s="205" t="n">
        <v>0.05</v>
      </c>
      <c r="CN32" s="205" t="n">
        <v>0.05</v>
      </c>
      <c r="CO32" s="205" t="n">
        <v>0.05</v>
      </c>
      <c r="CP32" s="243" t="n">
        <v>0.083389</v>
      </c>
      <c r="CQ32" s="233" t="n">
        <v>0.36634</v>
      </c>
      <c r="CR32" s="208" t="n">
        <v>0.19565</v>
      </c>
      <c r="CS32" s="232" t="n">
        <v>0.13368</v>
      </c>
      <c r="CT32" s="208" t="n">
        <v>0.083061</v>
      </c>
      <c r="CU32" s="243" t="n">
        <v>0.070416</v>
      </c>
      <c r="CV32" s="205" t="n">
        <v>0.05</v>
      </c>
      <c r="CW32" s="205" t="n">
        <v>0.05</v>
      </c>
      <c r="CX32" s="208" t="n">
        <f aca="false">AVERAGE(CL32:CO32)</f>
        <v>0.05</v>
      </c>
      <c r="CY32" s="208" t="n">
        <f aca="false">_xlfn.STDEV.S(CL32:CO32)</f>
        <v>0</v>
      </c>
      <c r="CZ32" s="208" t="n">
        <v>0.1</v>
      </c>
      <c r="DA32" s="172" t="n">
        <v>60</v>
      </c>
      <c r="DB32" s="209" t="e">
        <f aca="false">#REF!+(DA32/24)</f>
        <v>#REF!</v>
      </c>
      <c r="DC32" s="210" t="n">
        <v>2.5</v>
      </c>
      <c r="DD32" s="210" t="n">
        <v>4</v>
      </c>
      <c r="DE32" s="180" t="n">
        <f aca="false">DD32-DC32</f>
        <v>1.5</v>
      </c>
      <c r="DF32" s="180" t="n">
        <f aca="false">MAX(CM32:CX32)</f>
        <v>0.36634</v>
      </c>
      <c r="DG32" s="211" t="e">
        <f aca="false">(DB32-AE32)*24</f>
        <v>#REF!</v>
      </c>
      <c r="DH32" s="195" t="s">
        <v>587</v>
      </c>
      <c r="DI32" s="211" t="e">
        <f aca="false">(AQ32-DB32)*24</f>
        <v>#REF!</v>
      </c>
      <c r="DJ32" s="194" t="s">
        <v>543</v>
      </c>
      <c r="DK32" s="188" t="s">
        <v>148</v>
      </c>
      <c r="DL32" s="238" t="n">
        <v>30</v>
      </c>
      <c r="DM32" s="240" t="s">
        <v>255</v>
      </c>
      <c r="DO32" s="234" t="s">
        <v>627</v>
      </c>
      <c r="DP32" s="235" t="n">
        <f aca="false">DP33+DP37</f>
        <v>16</v>
      </c>
      <c r="DQ32" s="266"/>
      <c r="DR32" s="266"/>
      <c r="DS32" s="266"/>
    </row>
    <row r="33" customFormat="false" ht="15.75" hidden="false" customHeight="true" outlineLevel="0" collapsed="false">
      <c r="A33" s="188" t="s">
        <v>148</v>
      </c>
      <c r="B33" s="238" t="n">
        <v>31</v>
      </c>
      <c r="C33" s="239" t="s">
        <v>263</v>
      </c>
      <c r="D33" s="240" t="s">
        <v>264</v>
      </c>
      <c r="E33" s="215" t="s">
        <v>265</v>
      </c>
      <c r="F33" s="239" t="n">
        <v>88586</v>
      </c>
      <c r="G33" s="193"/>
      <c r="H33" s="218" t="n">
        <v>44119</v>
      </c>
      <c r="I33" s="180" t="n">
        <v>2.56438356164384</v>
      </c>
      <c r="J33" s="218" t="n">
        <v>44850</v>
      </c>
      <c r="K33" s="219" t="n">
        <v>65.6</v>
      </c>
      <c r="L33" s="219" t="n">
        <v>3.25</v>
      </c>
      <c r="M33" s="220" t="n">
        <v>205</v>
      </c>
      <c r="N33" s="221" t="n">
        <v>233</v>
      </c>
      <c r="O33" s="221" t="n">
        <v>1989</v>
      </c>
      <c r="P33" s="221" t="n">
        <v>2132</v>
      </c>
      <c r="Q33" s="221" t="n">
        <v>1888</v>
      </c>
      <c r="R33" s="221" t="n">
        <v>1636</v>
      </c>
      <c r="S33" s="221" t="n">
        <v>1262</v>
      </c>
      <c r="T33" s="221" t="n">
        <v>986</v>
      </c>
      <c r="U33" s="253"/>
      <c r="V33" s="185" t="n">
        <f aca="false">EXP(1.204+(0.102*I33)+(0.007*N33)-(0.001*T33)+(0.008*M33)-2.723)</f>
        <v>2.79425946974072</v>
      </c>
      <c r="W33" s="185" t="n">
        <f aca="false">(V33/(1+V33))</f>
        <v>0.736443960152168</v>
      </c>
      <c r="X33" s="185" t="n">
        <f aca="false">EXP(2.859+(0.011*N33)-(0.002*T33)+(0.275*I33)-1.952)</f>
        <v>9.05398941079446</v>
      </c>
      <c r="Y33" s="185" t="n">
        <f aca="false">(X33/(1+X33))</f>
        <v>0.900536994904097</v>
      </c>
      <c r="Z33" s="238" t="n">
        <v>31</v>
      </c>
      <c r="AA33" s="186" t="n">
        <v>46</v>
      </c>
      <c r="AB33" s="187" t="n">
        <v>45055.4980555556</v>
      </c>
      <c r="AC33" s="187" t="n">
        <v>45055.4980902778</v>
      </c>
      <c r="AD33" s="180" t="n">
        <v>0.000833333353511989</v>
      </c>
      <c r="AE33" s="190" t="n">
        <v>45055.4980555556</v>
      </c>
      <c r="AF33" s="190" t="n">
        <v>45055.4980902778</v>
      </c>
      <c r="AG33" s="180" t="n">
        <v>0.000833333353511989</v>
      </c>
      <c r="AH33" s="180" t="n">
        <v>1</v>
      </c>
      <c r="AI33" s="187"/>
      <c r="AJ33" s="187"/>
      <c r="AK33" s="180"/>
      <c r="AL33" s="180"/>
      <c r="AM33" s="180" t="e">
        <f aca="false">(AE33-#REF!)*24</f>
        <v>#REF!</v>
      </c>
      <c r="AN33" s="180" t="e">
        <f aca="false">AM33+35</f>
        <v>#REF!</v>
      </c>
      <c r="AO33" s="186" t="n">
        <v>2</v>
      </c>
      <c r="AP33" s="188" t="s">
        <v>582</v>
      </c>
      <c r="AQ33" s="189" t="n">
        <v>45057.6817636574</v>
      </c>
      <c r="AR33" s="188" t="s">
        <v>592</v>
      </c>
      <c r="AS33" s="180" t="s">
        <v>593</v>
      </c>
      <c r="AT33" s="172"/>
      <c r="AU33" s="187"/>
      <c r="AV33" s="187"/>
      <c r="AW33" s="180"/>
      <c r="AX33" s="187"/>
      <c r="AY33" s="187"/>
      <c r="AZ33" s="180"/>
      <c r="BA33" s="180"/>
      <c r="BB33" s="172"/>
      <c r="BC33" s="172"/>
      <c r="BD33" s="172"/>
      <c r="BE33" s="172"/>
      <c r="BF33" s="193"/>
      <c r="BG33" s="194" t="n">
        <v>0</v>
      </c>
      <c r="BH33" s="194"/>
      <c r="BI33" s="194"/>
      <c r="BJ33" s="194" t="s">
        <v>585</v>
      </c>
      <c r="BK33" s="195" t="s">
        <v>587</v>
      </c>
      <c r="BL33" s="194"/>
      <c r="BM33" s="196" t="s">
        <v>611</v>
      </c>
      <c r="BN33" s="196" t="n">
        <f aca="false">AQ33+145</f>
        <v>45202.6817636574</v>
      </c>
      <c r="BO33" s="197"/>
      <c r="BP33" s="197" t="s">
        <v>585</v>
      </c>
      <c r="BQ33" s="195" t="s">
        <v>587</v>
      </c>
      <c r="BR33" s="199" t="n">
        <v>0.95025</v>
      </c>
      <c r="BS33" s="254" t="n">
        <v>0.39071</v>
      </c>
      <c r="BT33" s="199" t="n">
        <v>0.40589</v>
      </c>
      <c r="BU33" s="199" t="n">
        <v>0.56527</v>
      </c>
      <c r="BV33" s="254" t="n">
        <v>3.2253</v>
      </c>
      <c r="BW33" s="254" t="n">
        <v>3.7929</v>
      </c>
      <c r="BX33" s="254" t="n">
        <v>4.73</v>
      </c>
      <c r="BY33" s="278"/>
      <c r="BZ33" s="278"/>
      <c r="CA33" s="254" t="n">
        <v>3.1582</v>
      </c>
      <c r="CB33" s="254" t="n">
        <v>3.1665</v>
      </c>
      <c r="CC33" s="200" t="s">
        <v>588</v>
      </c>
      <c r="CD33" s="202" t="s">
        <v>589</v>
      </c>
      <c r="CE33" s="251" t="s">
        <v>65</v>
      </c>
      <c r="CF33" s="252"/>
      <c r="CG33" s="200" t="s">
        <v>588</v>
      </c>
      <c r="CH33" s="252"/>
      <c r="CI33" s="203"/>
      <c r="CJ33" s="200" t="s">
        <v>595</v>
      </c>
      <c r="CK33" s="204" t="n">
        <v>2</v>
      </c>
      <c r="CL33" s="205" t="n">
        <v>0.05</v>
      </c>
      <c r="CM33" s="205" t="n">
        <v>0.05</v>
      </c>
      <c r="CN33" s="205" t="n">
        <v>0.05</v>
      </c>
      <c r="CO33" s="205" t="n">
        <v>0.05</v>
      </c>
      <c r="CP33" s="205" t="n">
        <v>0.05</v>
      </c>
      <c r="CQ33" s="205" t="n">
        <v>0.05</v>
      </c>
      <c r="CR33" s="205" t="n">
        <v>0.05</v>
      </c>
      <c r="CS33" s="205" t="n">
        <v>0.05</v>
      </c>
      <c r="CT33" s="205" t="n">
        <v>0.05</v>
      </c>
      <c r="CU33" s="243" t="n">
        <v>0.064524</v>
      </c>
      <c r="CV33" s="243" t="n">
        <v>0.06901</v>
      </c>
      <c r="CW33" s="243" t="n">
        <v>0.070416</v>
      </c>
      <c r="CX33" s="208" t="n">
        <f aca="false">AVERAGE(CL33:CO33)</f>
        <v>0.05</v>
      </c>
      <c r="CY33" s="208" t="n">
        <f aca="false">_xlfn.STDEV.S(CL33:CO33)</f>
        <v>0</v>
      </c>
      <c r="CZ33" s="208" t="n">
        <v>0.1</v>
      </c>
      <c r="DA33" s="186"/>
      <c r="DB33" s="209"/>
      <c r="DC33" s="210"/>
      <c r="DD33" s="210"/>
      <c r="DE33" s="180"/>
      <c r="DF33" s="180"/>
      <c r="DG33" s="195"/>
      <c r="DH33" s="195"/>
      <c r="DI33" s="283"/>
      <c r="DJ33" s="213" t="s">
        <v>585</v>
      </c>
      <c r="DK33" s="188" t="s">
        <v>148</v>
      </c>
      <c r="DL33" s="238" t="n">
        <v>31</v>
      </c>
      <c r="DM33" s="240" t="s">
        <v>264</v>
      </c>
      <c r="DO33" s="246" t="s">
        <v>588</v>
      </c>
      <c r="DP33" s="247" t="n">
        <f aca="false">COUNTIF(CG68:CG117,"=NC")</f>
        <v>16</v>
      </c>
      <c r="DQ33" s="247" t="n">
        <f aca="false">COUNTIF(CH68:CH117,"=Oui")</f>
        <v>15</v>
      </c>
      <c r="DR33" s="248" t="s">
        <v>601</v>
      </c>
      <c r="DS33" s="248" t="s">
        <v>595</v>
      </c>
      <c r="DT33" s="249" t="n">
        <f aca="false">COUNTIF(CJ68:CJ117,"=CN")</f>
        <v>12</v>
      </c>
    </row>
    <row r="34" customFormat="false" ht="15.75" hidden="false" customHeight="true" outlineLevel="0" collapsed="false">
      <c r="A34" s="188" t="s">
        <v>148</v>
      </c>
      <c r="B34" s="238" t="n">
        <v>32</v>
      </c>
      <c r="C34" s="239" t="s">
        <v>269</v>
      </c>
      <c r="D34" s="240" t="s">
        <v>270</v>
      </c>
      <c r="E34" s="215" t="s">
        <v>271</v>
      </c>
      <c r="F34" s="239" t="n">
        <v>88910</v>
      </c>
      <c r="G34" s="193"/>
      <c r="H34" s="218" t="n">
        <v>44119</v>
      </c>
      <c r="I34" s="180" t="n">
        <v>2.56438356164384</v>
      </c>
      <c r="J34" s="218" t="n">
        <v>44850</v>
      </c>
      <c r="K34" s="219" t="n">
        <v>67</v>
      </c>
      <c r="L34" s="219" t="n">
        <v>4</v>
      </c>
      <c r="M34" s="220" t="n">
        <v>205</v>
      </c>
      <c r="N34" s="221" t="n">
        <v>229</v>
      </c>
      <c r="O34" s="221" t="n">
        <v>2448</v>
      </c>
      <c r="P34" s="221" t="n">
        <v>1956</v>
      </c>
      <c r="Q34" s="221" t="n">
        <v>1830</v>
      </c>
      <c r="R34" s="221" t="n">
        <v>1438</v>
      </c>
      <c r="S34" s="221" t="n">
        <v>1394</v>
      </c>
      <c r="T34" s="221" t="n">
        <v>1218</v>
      </c>
      <c r="U34" s="222" t="s">
        <v>628</v>
      </c>
      <c r="V34" s="185" t="n">
        <f aca="false">EXP(1.204+(0.102*I34)+(0.007*N34)-(0.001*T34)+(0.008*M34)-2.723)</f>
        <v>2.15451819529021</v>
      </c>
      <c r="W34" s="185" t="n">
        <f aca="false">(V34/(1+V34))</f>
        <v>0.682994378826843</v>
      </c>
      <c r="X34" s="185" t="n">
        <f aca="false">EXP(2.859+(0.011*N34)-(0.002*T34)+(0.275*I34)-1.952)</f>
        <v>5.44776525403276</v>
      </c>
      <c r="Y34" s="185" t="n">
        <f aca="false">(X34/(1+X34))</f>
        <v>0.844907505065488</v>
      </c>
      <c r="Z34" s="238" t="n">
        <v>32</v>
      </c>
      <c r="AA34" s="186"/>
      <c r="AB34" s="187"/>
      <c r="AC34" s="187"/>
      <c r="AD34" s="180"/>
      <c r="AE34" s="187"/>
      <c r="AF34" s="187"/>
      <c r="AG34" s="180"/>
      <c r="AH34" s="180"/>
      <c r="AI34" s="187"/>
      <c r="AJ34" s="187"/>
      <c r="AK34" s="180"/>
      <c r="AL34" s="180"/>
      <c r="AM34" s="180"/>
      <c r="AN34" s="180"/>
      <c r="AO34" s="186"/>
      <c r="AP34" s="188" t="s">
        <v>582</v>
      </c>
      <c r="AQ34" s="189" t="n">
        <v>45057.6836516204</v>
      </c>
      <c r="AR34" s="188" t="s">
        <v>592</v>
      </c>
      <c r="AS34" s="180" t="s">
        <v>593</v>
      </c>
      <c r="AT34" s="172" t="n">
        <v>87</v>
      </c>
      <c r="AU34" s="190" t="n">
        <v>45077.4283217593</v>
      </c>
      <c r="AV34" s="190" t="n">
        <v>45089.3995138889</v>
      </c>
      <c r="AW34" s="191" t="n">
        <v>287.308611111017</v>
      </c>
      <c r="AX34" s="172"/>
      <c r="AY34" s="172"/>
      <c r="AZ34" s="172"/>
      <c r="BA34" s="180"/>
      <c r="BB34" s="172"/>
      <c r="BC34" s="172"/>
      <c r="BD34" s="172"/>
      <c r="BE34" s="172"/>
      <c r="BF34" s="193" t="n">
        <v>2</v>
      </c>
      <c r="BG34" s="194" t="n">
        <v>1</v>
      </c>
      <c r="BH34" s="194" t="n">
        <v>1</v>
      </c>
      <c r="BI34" s="194"/>
      <c r="BJ34" s="194" t="s">
        <v>600</v>
      </c>
      <c r="BK34" s="195" t="s">
        <v>603</v>
      </c>
      <c r="BL34" s="194" t="n">
        <v>1</v>
      </c>
      <c r="BM34" s="196" t="n">
        <v>45205</v>
      </c>
      <c r="BN34" s="196" t="n">
        <f aca="false">AQ34+145</f>
        <v>45202.6836516204</v>
      </c>
      <c r="BO34" s="197" t="n">
        <f aca="false">BM34-AQ34</f>
        <v>147.316348379602</v>
      </c>
      <c r="BP34" s="197" t="s">
        <v>35</v>
      </c>
      <c r="BQ34" s="195" t="s">
        <v>603</v>
      </c>
      <c r="BR34" s="199" t="n">
        <v>0.97936</v>
      </c>
      <c r="BS34" s="199" t="n">
        <v>2.7806</v>
      </c>
      <c r="BT34" s="199" t="n">
        <v>0.66438</v>
      </c>
      <c r="BU34" s="199" t="n">
        <v>0.52389</v>
      </c>
      <c r="BV34" s="199" t="n">
        <v>0.97355</v>
      </c>
      <c r="BW34" s="199" t="n">
        <v>0.96191</v>
      </c>
      <c r="BX34" s="199" t="n">
        <v>1.5469</v>
      </c>
      <c r="BY34" s="199" t="n">
        <v>1.9056</v>
      </c>
      <c r="BZ34" s="250" t="n">
        <v>2.3616</v>
      </c>
      <c r="CA34" s="199" t="n">
        <v>3.7821</v>
      </c>
      <c r="CB34" s="199" t="n">
        <v>4.1635</v>
      </c>
      <c r="CC34" s="251" t="s">
        <v>65</v>
      </c>
      <c r="CD34" s="201"/>
      <c r="CE34" s="251" t="s">
        <v>65</v>
      </c>
      <c r="CF34" s="201"/>
      <c r="CG34" s="251" t="s">
        <v>65</v>
      </c>
      <c r="CH34" s="201"/>
      <c r="CI34" s="200" t="s">
        <v>595</v>
      </c>
      <c r="CJ34" s="242"/>
      <c r="CK34" s="204" t="n">
        <v>4</v>
      </c>
      <c r="CL34" s="205" t="n">
        <v>0.05</v>
      </c>
      <c r="CM34" s="205" t="n">
        <v>0.05</v>
      </c>
      <c r="CN34" s="205" t="n">
        <v>0.05</v>
      </c>
      <c r="CO34" s="205" t="n">
        <v>0.05</v>
      </c>
      <c r="CP34" s="233" t="n">
        <v>0.17276</v>
      </c>
      <c r="CQ34" s="232" t="n">
        <v>0.11027</v>
      </c>
      <c r="CR34" s="243" t="n">
        <v>0.064371</v>
      </c>
      <c r="CS34" s="205" t="n">
        <v>0.05</v>
      </c>
      <c r="CT34" s="205" t="n">
        <v>0.05</v>
      </c>
      <c r="CU34" s="205" t="n">
        <v>0.05</v>
      </c>
      <c r="CV34" s="205" t="n">
        <v>0.05</v>
      </c>
      <c r="CW34" s="205" t="n">
        <v>0.05</v>
      </c>
      <c r="CX34" s="208" t="n">
        <f aca="false">AVERAGE(CL34:CO34)</f>
        <v>0.05</v>
      </c>
      <c r="CY34" s="208" t="n">
        <f aca="false">_xlfn.STDEV.S(CL34:CO34)</f>
        <v>0</v>
      </c>
      <c r="CZ34" s="208" t="n">
        <v>0.1</v>
      </c>
      <c r="DA34" s="172" t="n">
        <v>48</v>
      </c>
      <c r="DB34" s="209" t="e">
        <f aca="false">#REF!+(DA34/24)</f>
        <v>#REF!</v>
      </c>
      <c r="DC34" s="210" t="n">
        <v>2</v>
      </c>
      <c r="DD34" s="210" t="n">
        <v>3</v>
      </c>
      <c r="DE34" s="180" t="n">
        <f aca="false">DD34-DC34</f>
        <v>1</v>
      </c>
      <c r="DF34" s="180" t="n">
        <f aca="false">MAX(CM34:CX34)</f>
        <v>0.17276</v>
      </c>
      <c r="DG34" s="211"/>
      <c r="DH34" s="195" t="s">
        <v>603</v>
      </c>
      <c r="DI34" s="244" t="e">
        <f aca="false">(AQ34-DB34)*24</f>
        <v>#REF!</v>
      </c>
      <c r="DJ34" s="245" t="s">
        <v>600</v>
      </c>
      <c r="DK34" s="188" t="s">
        <v>148</v>
      </c>
      <c r="DL34" s="238" t="n">
        <v>32</v>
      </c>
      <c r="DM34" s="240" t="s">
        <v>270</v>
      </c>
      <c r="DO34" s="255"/>
      <c r="DP34" s="235"/>
      <c r="DQ34" s="235"/>
      <c r="DR34" s="242"/>
      <c r="DS34" s="242" t="s">
        <v>604</v>
      </c>
      <c r="DT34" s="256" t="n">
        <f aca="false">COUNTIF(CJ68:CJ117,"=CC")</f>
        <v>2</v>
      </c>
    </row>
    <row r="35" customFormat="false" ht="15.75" hidden="false" customHeight="true" outlineLevel="0" collapsed="false">
      <c r="A35" s="172" t="s">
        <v>152</v>
      </c>
      <c r="B35" s="238" t="n">
        <v>33</v>
      </c>
      <c r="C35" s="239" t="s">
        <v>358</v>
      </c>
      <c r="D35" s="240" t="s">
        <v>359</v>
      </c>
      <c r="E35" s="215" t="s">
        <v>360</v>
      </c>
      <c r="F35" s="239" t="n">
        <v>88782</v>
      </c>
      <c r="G35" s="193"/>
      <c r="H35" s="218" t="n">
        <v>44120</v>
      </c>
      <c r="I35" s="180" t="n">
        <v>2.56164383561644</v>
      </c>
      <c r="J35" s="218" t="n">
        <v>44849</v>
      </c>
      <c r="K35" s="219" t="n">
        <v>66.7</v>
      </c>
      <c r="L35" s="219" t="n">
        <v>3</v>
      </c>
      <c r="M35" s="220" t="n">
        <v>206</v>
      </c>
      <c r="N35" s="221" t="n">
        <v>236</v>
      </c>
      <c r="O35" s="221" t="n">
        <v>2387</v>
      </c>
      <c r="P35" s="221" t="n">
        <v>2336</v>
      </c>
      <c r="Q35" s="221" t="n">
        <v>2145</v>
      </c>
      <c r="R35" s="221" t="n">
        <v>1579</v>
      </c>
      <c r="S35" s="221" t="n">
        <v>1494</v>
      </c>
      <c r="T35" s="221" t="n">
        <v>1160</v>
      </c>
      <c r="U35" s="184" t="s">
        <v>629</v>
      </c>
      <c r="V35" s="185" t="n">
        <f aca="false">EXP(0.585+(0.102*I35)+(0.007*N35)-(0.001*T35)+(0.008*M35)-2.723)</f>
        <v>1.30120098320767</v>
      </c>
      <c r="W35" s="185" t="n">
        <f aca="false">(V35/(1+V35))</f>
        <v>0.565444301781026</v>
      </c>
      <c r="X35" s="185" t="n">
        <f aca="false">EXP(1.741+(0.011*N35)-(0.002*T35)+(0.275*I35)-1.952)</f>
        <v>2.15858314439036</v>
      </c>
      <c r="Y35" s="185" t="n">
        <f aca="false">(X35/(1+X35))</f>
        <v>0.683402350267081</v>
      </c>
      <c r="Z35" s="238" t="n">
        <v>33</v>
      </c>
      <c r="AA35" s="186" t="n">
        <v>40</v>
      </c>
      <c r="AB35" s="187" t="n">
        <v>45058.0858796296</v>
      </c>
      <c r="AC35" s="187" t="n">
        <v>45058.8044907407</v>
      </c>
      <c r="AD35" s="180" t="n">
        <v>17.246666666586</v>
      </c>
      <c r="AE35" s="187" t="n">
        <v>45058.0858796296</v>
      </c>
      <c r="AF35" s="187" t="n">
        <v>45058.8044907407</v>
      </c>
      <c r="AG35" s="180" t="n">
        <v>17.246666666586</v>
      </c>
      <c r="AH35" s="180" t="n">
        <v>17.246666666586</v>
      </c>
      <c r="AI35" s="187"/>
      <c r="AJ35" s="187"/>
      <c r="AK35" s="180"/>
      <c r="AL35" s="180"/>
      <c r="AM35" s="180" t="e">
        <f aca="false">(AE35-#REF!)*24</f>
        <v>#REF!</v>
      </c>
      <c r="AN35" s="180" t="e">
        <f aca="false">AM35+35</f>
        <v>#REF!</v>
      </c>
      <c r="AO35" s="186" t="n">
        <v>33</v>
      </c>
      <c r="AP35" s="188" t="s">
        <v>582</v>
      </c>
      <c r="AQ35" s="189" t="n">
        <v>45057.6599579861</v>
      </c>
      <c r="AR35" s="188" t="s">
        <v>592</v>
      </c>
      <c r="AS35" s="180" t="s">
        <v>593</v>
      </c>
      <c r="AT35" s="172" t="n">
        <v>40</v>
      </c>
      <c r="AU35" s="190" t="n">
        <v>45077.4311342593</v>
      </c>
      <c r="AV35" s="284" t="n">
        <v>45080.5434375</v>
      </c>
      <c r="AW35" s="191" t="n">
        <v>74.6952777776169</v>
      </c>
      <c r="AX35" s="172"/>
      <c r="AY35" s="172"/>
      <c r="AZ35" s="172"/>
      <c r="BA35" s="180"/>
      <c r="BB35" s="172"/>
      <c r="BC35" s="172"/>
      <c r="BD35" s="172"/>
      <c r="BE35" s="172"/>
      <c r="BF35" s="193" t="n">
        <v>2</v>
      </c>
      <c r="BG35" s="194" t="n">
        <v>1</v>
      </c>
      <c r="BH35" s="194" t="n">
        <v>1</v>
      </c>
      <c r="BI35" s="194"/>
      <c r="BJ35" s="194" t="s">
        <v>600</v>
      </c>
      <c r="BK35" s="195" t="s">
        <v>615</v>
      </c>
      <c r="BL35" s="194" t="n">
        <v>1</v>
      </c>
      <c r="BM35" s="196" t="n">
        <v>45205</v>
      </c>
      <c r="BN35" s="196" t="n">
        <f aca="false">AQ35+145</f>
        <v>45202.6599579861</v>
      </c>
      <c r="BO35" s="197" t="n">
        <f aca="false">BM35-AQ35</f>
        <v>147.340042013901</v>
      </c>
      <c r="BP35" s="197" t="s">
        <v>35</v>
      </c>
      <c r="BQ35" s="195" t="s">
        <v>615</v>
      </c>
      <c r="BR35" s="199" t="n">
        <v>1.1513</v>
      </c>
      <c r="BS35" s="199" t="n">
        <v>4.398</v>
      </c>
      <c r="BT35" s="199" t="n">
        <v>0.95609</v>
      </c>
      <c r="BU35" s="199" t="n">
        <v>1.7417</v>
      </c>
      <c r="BV35" s="199" t="n">
        <v>1.3716</v>
      </c>
      <c r="BW35" s="199" t="n">
        <v>1.7071</v>
      </c>
      <c r="BX35" s="250" t="n">
        <v>2.4005</v>
      </c>
      <c r="BY35" s="199" t="n">
        <v>3.6995</v>
      </c>
      <c r="BZ35" s="199" t="n">
        <v>4.8168</v>
      </c>
      <c r="CA35" s="199" t="n">
        <v>6.4421</v>
      </c>
      <c r="CB35" s="199" t="n">
        <v>5.5976</v>
      </c>
      <c r="CC35" s="251" t="s">
        <v>65</v>
      </c>
      <c r="CD35" s="201"/>
      <c r="CE35" s="251" t="s">
        <v>65</v>
      </c>
      <c r="CF35" s="201"/>
      <c r="CG35" s="251" t="s">
        <v>65</v>
      </c>
      <c r="CH35" s="201"/>
      <c r="CI35" s="200" t="s">
        <v>595</v>
      </c>
      <c r="CJ35" s="203"/>
      <c r="CK35" s="204" t="n">
        <v>4</v>
      </c>
      <c r="CL35" s="205" t="n">
        <v>0.05</v>
      </c>
      <c r="CM35" s="205" t="n">
        <v>0.05</v>
      </c>
      <c r="CN35" s="208" t="n">
        <v>0.1146</v>
      </c>
      <c r="CO35" s="208" t="n">
        <v>0.08801</v>
      </c>
      <c r="CP35" s="208" t="n">
        <v>0.079161</v>
      </c>
      <c r="CQ35" s="208" t="n">
        <v>0.060411</v>
      </c>
      <c r="CR35" s="208" t="n">
        <v>0.074358</v>
      </c>
      <c r="CS35" s="233" t="n">
        <v>0.39752</v>
      </c>
      <c r="CT35" s="208" t="n">
        <v>0.1177</v>
      </c>
      <c r="CU35" s="208" t="n">
        <v>0.065755</v>
      </c>
      <c r="CV35" s="208" t="n">
        <v>0.062232</v>
      </c>
      <c r="CW35" s="205" t="n">
        <v>0.05</v>
      </c>
      <c r="CX35" s="208" t="n">
        <f aca="false">AVERAGE(CL35:CO35)</f>
        <v>0.0756525</v>
      </c>
      <c r="CY35" s="208" t="n">
        <f aca="false">_xlfn.STDEV.S(CL35:CO35)</f>
        <v>0.0315474091646208</v>
      </c>
      <c r="CZ35" s="208" t="n">
        <f aca="false">CX35+(2*CY35)</f>
        <v>0.138747318329242</v>
      </c>
      <c r="DA35" s="172" t="n">
        <v>84</v>
      </c>
      <c r="DB35" s="209" t="e">
        <f aca="false">#REF!+(DA35/24)</f>
        <v>#REF!</v>
      </c>
      <c r="DC35" s="210" t="n">
        <v>3.5</v>
      </c>
      <c r="DD35" s="210" t="n">
        <v>4</v>
      </c>
      <c r="DE35" s="180" t="n">
        <f aca="false">DD35-DC35</f>
        <v>0.5</v>
      </c>
      <c r="DF35" s="180" t="n">
        <f aca="false">MAX(CM35:CX35)</f>
        <v>0.39752</v>
      </c>
      <c r="DG35" s="211" t="e">
        <f aca="false">(DB35-AE35)*24</f>
        <v>#REF!</v>
      </c>
      <c r="DH35" s="195" t="s">
        <v>587</v>
      </c>
      <c r="DI35" s="211" t="e">
        <f aca="false">(AQ35-DB35)*24</f>
        <v>#REF!</v>
      </c>
      <c r="DJ35" s="194" t="s">
        <v>600</v>
      </c>
      <c r="DK35" s="172" t="s">
        <v>152</v>
      </c>
      <c r="DL35" s="238" t="n">
        <v>33</v>
      </c>
      <c r="DM35" s="240" t="s">
        <v>359</v>
      </c>
      <c r="DO35" s="3"/>
      <c r="DP35" s="3"/>
      <c r="DQ35" s="3"/>
      <c r="DR35" s="3"/>
      <c r="DS35" s="3"/>
    </row>
    <row r="36" customFormat="false" ht="15.75" hidden="false" customHeight="true" outlineLevel="0" collapsed="false">
      <c r="A36" s="172" t="s">
        <v>152</v>
      </c>
      <c r="B36" s="238" t="n">
        <v>34</v>
      </c>
      <c r="C36" s="239" t="s">
        <v>367</v>
      </c>
      <c r="D36" s="240" t="s">
        <v>368</v>
      </c>
      <c r="E36" s="215" t="s">
        <v>369</v>
      </c>
      <c r="F36" s="239" t="n">
        <v>89180</v>
      </c>
      <c r="G36" s="193"/>
      <c r="H36" s="218" t="n">
        <v>44478</v>
      </c>
      <c r="I36" s="180" t="n">
        <v>1.58082191780822</v>
      </c>
      <c r="J36" s="218" t="n">
        <v>44884</v>
      </c>
      <c r="K36" s="219" t="n">
        <v>54.9</v>
      </c>
      <c r="L36" s="219" t="n">
        <v>3.25</v>
      </c>
      <c r="M36" s="220" t="n">
        <v>171</v>
      </c>
      <c r="N36" s="221" t="n">
        <v>225</v>
      </c>
      <c r="O36" s="221"/>
      <c r="P36" s="221"/>
      <c r="Q36" s="221" t="n">
        <v>1659</v>
      </c>
      <c r="R36" s="221" t="n">
        <v>1889</v>
      </c>
      <c r="S36" s="221" t="n">
        <v>1760</v>
      </c>
      <c r="T36" s="221" t="n">
        <v>1450</v>
      </c>
      <c r="U36" s="184" t="s">
        <v>630</v>
      </c>
      <c r="V36" s="185" t="n">
        <f aca="false">EXP(1.204+(0.102*I36)+(0.007*N36)-(0.001*T36)+(0.008*M36)-2.723)</f>
        <v>1.14481589721111</v>
      </c>
      <c r="W36" s="185" t="n">
        <f aca="false">(V36/(1+V36))</f>
        <v>0.533759516935559</v>
      </c>
      <c r="X36" s="185" t="n">
        <f aca="false">EXP(2.859+(0.011*N36)-(0.002*T36)+(0.275*I36)-1.952)</f>
        <v>2.50108847569487</v>
      </c>
      <c r="Y36" s="185" t="n">
        <f aca="false">(X36/(1+X36))</f>
        <v>0.714374541819733</v>
      </c>
      <c r="Z36" s="238" t="n">
        <v>34</v>
      </c>
      <c r="AA36" s="186" t="n">
        <v>9</v>
      </c>
      <c r="AB36" s="187" t="n">
        <v>45055.6958333333</v>
      </c>
      <c r="AC36" s="187" t="n">
        <v>45066.4333564815</v>
      </c>
      <c r="AD36" s="180" t="n">
        <v>257.700555555581</v>
      </c>
      <c r="AE36" s="187" t="n">
        <v>45055.6958333333</v>
      </c>
      <c r="AF36" s="187" t="n">
        <v>45058.0541319444</v>
      </c>
      <c r="AG36" s="180" t="n">
        <v>56.5991666667396</v>
      </c>
      <c r="AH36" s="180" t="n">
        <v>56.5991666667396</v>
      </c>
      <c r="AI36" s="187"/>
      <c r="AJ36" s="187"/>
      <c r="AK36" s="180"/>
      <c r="AL36" s="180"/>
      <c r="AM36" s="180" t="e">
        <f aca="false">(AE36-#REF!)*24</f>
        <v>#REF!</v>
      </c>
      <c r="AN36" s="180" t="e">
        <f aca="false">AM36+35</f>
        <v>#REF!</v>
      </c>
      <c r="AO36" s="186" t="n">
        <v>40</v>
      </c>
      <c r="AP36" s="188" t="s">
        <v>582</v>
      </c>
      <c r="AQ36" s="189" t="n">
        <v>45057.6600909722</v>
      </c>
      <c r="AR36" s="186" t="s">
        <v>583</v>
      </c>
      <c r="AS36" s="180" t="s">
        <v>584</v>
      </c>
      <c r="AT36" s="172" t="n">
        <v>9</v>
      </c>
      <c r="AU36" s="187" t="n">
        <v>45070.6536921296</v>
      </c>
      <c r="AV36" s="187" t="n">
        <v>45087.4380092593</v>
      </c>
      <c r="AW36" s="180" t="n">
        <v>402.823611111206</v>
      </c>
      <c r="AX36" s="187" t="n">
        <v>45070.6536921296</v>
      </c>
      <c r="AY36" s="187" t="n">
        <v>45072.3500925926</v>
      </c>
      <c r="AZ36" s="180" t="n">
        <v>40.7136111111031</v>
      </c>
      <c r="BA36" s="180" t="n">
        <v>40.7136111111031</v>
      </c>
      <c r="BB36" s="187" t="n">
        <v>45084.6255787037</v>
      </c>
      <c r="BC36" s="187" t="n">
        <v>45087.4380092593</v>
      </c>
      <c r="BD36" s="180" t="n">
        <v>67.4983333334676</v>
      </c>
      <c r="BE36" s="180" t="n">
        <v>67.4983333334676</v>
      </c>
      <c r="BF36" s="193" t="n">
        <v>104</v>
      </c>
      <c r="BG36" s="194" t="n">
        <v>1</v>
      </c>
      <c r="BH36" s="194" t="n">
        <v>1</v>
      </c>
      <c r="BI36" s="194"/>
      <c r="BJ36" s="194" t="s">
        <v>600</v>
      </c>
      <c r="BK36" s="195" t="s">
        <v>586</v>
      </c>
      <c r="BL36" s="194" t="n">
        <v>1</v>
      </c>
      <c r="BM36" s="196" t="n">
        <v>45203</v>
      </c>
      <c r="BN36" s="196" t="n">
        <f aca="false">AQ36+145</f>
        <v>45202.6600909722</v>
      </c>
      <c r="BO36" s="197" t="n">
        <f aca="false">BM36-AQ36</f>
        <v>145.339909027804</v>
      </c>
      <c r="BP36" s="197" t="s">
        <v>35</v>
      </c>
      <c r="BQ36" s="195" t="s">
        <v>586</v>
      </c>
      <c r="BR36" s="199" t="n">
        <v>0.2</v>
      </c>
      <c r="BS36" s="199" t="n">
        <v>0.2</v>
      </c>
      <c r="BT36" s="199" t="n">
        <v>0.2</v>
      </c>
      <c r="BU36" s="199" t="n">
        <v>0.2</v>
      </c>
      <c r="BV36" s="199" t="n">
        <v>0.2</v>
      </c>
      <c r="BW36" s="199" t="n">
        <v>0.2</v>
      </c>
      <c r="BX36" s="199" t="n">
        <v>0.2</v>
      </c>
      <c r="BY36" s="199" t="n">
        <v>0.36983</v>
      </c>
      <c r="BZ36" s="199" t="n">
        <v>0.77221</v>
      </c>
      <c r="CA36" s="199" t="n">
        <v>3.202</v>
      </c>
      <c r="CB36" s="199" t="n">
        <v>2.202</v>
      </c>
      <c r="CC36" s="200" t="s">
        <v>588</v>
      </c>
      <c r="CD36" s="202" t="s">
        <v>589</v>
      </c>
      <c r="CE36" s="200" t="s">
        <v>588</v>
      </c>
      <c r="CF36" s="202" t="s">
        <v>589</v>
      </c>
      <c r="CG36" s="200" t="s">
        <v>588</v>
      </c>
      <c r="CH36" s="202" t="s">
        <v>589</v>
      </c>
      <c r="CI36" s="203"/>
      <c r="CJ36" s="200" t="s">
        <v>590</v>
      </c>
      <c r="CK36" s="204" t="n">
        <v>7</v>
      </c>
      <c r="CL36" s="205" t="n">
        <v>0.05</v>
      </c>
      <c r="CM36" s="205" t="n">
        <v>0.05</v>
      </c>
      <c r="CN36" s="208" t="n">
        <v>0.068698</v>
      </c>
      <c r="CO36" s="208" t="n">
        <v>0.068542</v>
      </c>
      <c r="CP36" s="206" t="n">
        <v>0.062056</v>
      </c>
      <c r="CQ36" s="285" t="n">
        <v>0.079553</v>
      </c>
      <c r="CR36" s="207" t="n">
        <v>0.15383</v>
      </c>
      <c r="CS36" s="206" t="n">
        <v>0.069652</v>
      </c>
      <c r="CT36" s="205" t="n">
        <v>0.05</v>
      </c>
      <c r="CU36" s="205" t="n">
        <v>0.05</v>
      </c>
      <c r="CV36" s="205" t="n">
        <v>0.05</v>
      </c>
      <c r="CW36" s="205" t="n">
        <v>0.05</v>
      </c>
      <c r="CX36" s="208" t="n">
        <f aca="false">AVERAGE(CL36:CO36)</f>
        <v>0.05931</v>
      </c>
      <c r="CY36" s="208" t="n">
        <f aca="false">_xlfn.STDEV.S(CL36:CO36)</f>
        <v>0.0107504506572205</v>
      </c>
      <c r="CZ36" s="208" t="n">
        <v>0.1</v>
      </c>
      <c r="DA36" s="172" t="n">
        <v>72</v>
      </c>
      <c r="DB36" s="209" t="e">
        <f aca="false">#REF!+(DA36/24)</f>
        <v>#REF!</v>
      </c>
      <c r="DC36" s="210" t="n">
        <v>3</v>
      </c>
      <c r="DD36" s="210" t="n">
        <v>3.5</v>
      </c>
      <c r="DE36" s="180" t="n">
        <f aca="false">DD36-DC36</f>
        <v>0.5</v>
      </c>
      <c r="DF36" s="180" t="n">
        <f aca="false">MAX(CM36:CX36)</f>
        <v>0.15383</v>
      </c>
      <c r="DG36" s="211" t="e">
        <f aca="false">(DB36-AE36)*24</f>
        <v>#REF!</v>
      </c>
      <c r="DH36" s="195" t="s">
        <v>587</v>
      </c>
      <c r="DI36" s="211" t="e">
        <f aca="false">(AQ36-DB36)*24</f>
        <v>#REF!</v>
      </c>
      <c r="DJ36" s="194" t="s">
        <v>600</v>
      </c>
      <c r="DK36" s="172" t="s">
        <v>152</v>
      </c>
      <c r="DL36" s="238" t="n">
        <v>34</v>
      </c>
      <c r="DM36" s="240" t="s">
        <v>368</v>
      </c>
      <c r="DO36" s="3"/>
      <c r="DP36" s="3"/>
      <c r="DQ36" s="3"/>
      <c r="DR36" s="3"/>
      <c r="DS36" s="3"/>
    </row>
    <row r="37" customFormat="false" ht="15.75" hidden="false" customHeight="true" outlineLevel="0" collapsed="false">
      <c r="A37" s="188" t="s">
        <v>148</v>
      </c>
      <c r="B37" s="238" t="n">
        <v>35</v>
      </c>
      <c r="C37" s="239" t="s">
        <v>275</v>
      </c>
      <c r="D37" s="240" t="s">
        <v>276</v>
      </c>
      <c r="E37" s="215" t="s">
        <v>277</v>
      </c>
      <c r="F37" s="239" t="n">
        <v>89163</v>
      </c>
      <c r="G37" s="193"/>
      <c r="H37" s="218" t="n">
        <v>44479</v>
      </c>
      <c r="I37" s="180" t="n">
        <v>1.57808219178082</v>
      </c>
      <c r="J37" s="218" t="n">
        <v>44879</v>
      </c>
      <c r="K37" s="219" t="n">
        <v>56</v>
      </c>
      <c r="L37" s="219" t="n">
        <v>3.25</v>
      </c>
      <c r="M37" s="220" t="n">
        <v>176</v>
      </c>
      <c r="N37" s="221" t="n">
        <v>250</v>
      </c>
      <c r="O37" s="221"/>
      <c r="P37" s="221"/>
      <c r="Q37" s="221" t="n">
        <v>1945</v>
      </c>
      <c r="R37" s="221" t="n">
        <v>1889</v>
      </c>
      <c r="S37" s="221" t="n">
        <v>1760</v>
      </c>
      <c r="T37" s="221" t="n">
        <v>1479</v>
      </c>
      <c r="U37" s="222" t="s">
        <v>631</v>
      </c>
      <c r="V37" s="185" t="n">
        <f aca="false">EXP(1.204+(0.102*I37)+(0.007*N37)-(0.001*T37)+(0.008*M37)-2.723)</f>
        <v>1.37845648430904</v>
      </c>
      <c r="W37" s="185" t="n">
        <f aca="false">(V37/(1+V37))</f>
        <v>0.579559261816594</v>
      </c>
      <c r="X37" s="185" t="n">
        <f aca="false">EXP(2.859+(0.011*N37)-(0.002*T37)+(0.275*I37)-1.952)</f>
        <v>3.10487234785913</v>
      </c>
      <c r="Y37" s="185" t="n">
        <f aca="false">(X37/(1+X37))</f>
        <v>0.756387065112623</v>
      </c>
      <c r="Z37" s="238" t="n">
        <v>35</v>
      </c>
      <c r="AA37" s="186"/>
      <c r="AB37" s="187"/>
      <c r="AC37" s="187"/>
      <c r="AD37" s="180"/>
      <c r="AE37" s="187"/>
      <c r="AF37" s="187"/>
      <c r="AG37" s="180"/>
      <c r="AH37" s="180"/>
      <c r="AI37" s="187"/>
      <c r="AJ37" s="187"/>
      <c r="AK37" s="180"/>
      <c r="AL37" s="180"/>
      <c r="AM37" s="180"/>
      <c r="AN37" s="180"/>
      <c r="AO37" s="186"/>
      <c r="AP37" s="188" t="s">
        <v>582</v>
      </c>
      <c r="AQ37" s="189" t="n">
        <v>45057.6858943287</v>
      </c>
      <c r="AR37" s="186" t="s">
        <v>608</v>
      </c>
      <c r="AS37" s="180" t="s">
        <v>584</v>
      </c>
      <c r="AT37" s="172" t="n">
        <v>80</v>
      </c>
      <c r="AU37" s="192" t="n">
        <v>45071.701099537</v>
      </c>
      <c r="AV37" s="187" t="n">
        <v>45082.4797916667</v>
      </c>
      <c r="AW37" s="180" t="n">
        <v>258.68861111108</v>
      </c>
      <c r="AX37" s="187" t="n">
        <v>45074.6731365741</v>
      </c>
      <c r="AY37" s="187" t="n">
        <v>45075.2476967593</v>
      </c>
      <c r="AZ37" s="180" t="n">
        <v>13.7894444445265</v>
      </c>
      <c r="BA37" s="180" t="n">
        <v>13.7894444445265</v>
      </c>
      <c r="BB37" s="172"/>
      <c r="BC37" s="172"/>
      <c r="BD37" s="172"/>
      <c r="BE37" s="172"/>
      <c r="BF37" s="193" t="n">
        <v>76</v>
      </c>
      <c r="BG37" s="194" t="n">
        <v>0</v>
      </c>
      <c r="BH37" s="194"/>
      <c r="BI37" s="194"/>
      <c r="BJ37" s="194" t="s">
        <v>585</v>
      </c>
      <c r="BK37" s="195" t="s">
        <v>587</v>
      </c>
      <c r="BL37" s="194" t="n">
        <v>1</v>
      </c>
      <c r="BM37" s="196" t="n">
        <v>45238</v>
      </c>
      <c r="BN37" s="196" t="n">
        <f aca="false">AX37+145</f>
        <v>45219.6731365741</v>
      </c>
      <c r="BO37" s="197" t="n">
        <f aca="false">BM37-AQ37</f>
        <v>180.314105671299</v>
      </c>
      <c r="BP37" s="197" t="s">
        <v>594</v>
      </c>
      <c r="BQ37" s="195" t="s">
        <v>587</v>
      </c>
      <c r="BR37" s="254" t="n">
        <v>0.2</v>
      </c>
      <c r="BS37" s="254" t="n">
        <v>1.3</v>
      </c>
      <c r="BT37" s="254" t="n">
        <v>0.2</v>
      </c>
      <c r="BU37" s="254" t="n">
        <v>0.2</v>
      </c>
      <c r="BV37" s="254" t="n">
        <v>0.2</v>
      </c>
      <c r="BW37" s="254" t="n">
        <v>0.2</v>
      </c>
      <c r="BX37" s="254" t="n">
        <v>0.2</v>
      </c>
      <c r="BY37" s="254" t="n">
        <v>0.59023</v>
      </c>
      <c r="BZ37" s="199" t="n">
        <v>0.6149</v>
      </c>
      <c r="CA37" s="278" t="n">
        <v>2.0933</v>
      </c>
      <c r="CB37" s="199" t="n">
        <v>0.97553</v>
      </c>
      <c r="CC37" s="200" t="s">
        <v>588</v>
      </c>
      <c r="CD37" s="201" t="s">
        <v>632</v>
      </c>
      <c r="CE37" s="251" t="s">
        <v>65</v>
      </c>
      <c r="CF37" s="201"/>
      <c r="CG37" s="200" t="s">
        <v>588</v>
      </c>
      <c r="CH37" s="201"/>
      <c r="CI37" s="242"/>
      <c r="CJ37" s="200" t="s">
        <v>590</v>
      </c>
      <c r="CK37" s="204" t="n">
        <v>7</v>
      </c>
      <c r="CL37" s="205" t="n">
        <v>0.05</v>
      </c>
      <c r="CM37" s="205" t="n">
        <v>0.05</v>
      </c>
      <c r="CN37" s="205" t="n">
        <v>0.05</v>
      </c>
      <c r="CO37" s="205" t="n">
        <v>0.05</v>
      </c>
      <c r="CP37" s="205" t="n">
        <v>0.05</v>
      </c>
      <c r="CQ37" s="285" t="n">
        <v>0.062822</v>
      </c>
      <c r="CR37" s="207" t="n">
        <v>0.15713</v>
      </c>
      <c r="CS37" s="285" t="n">
        <v>0.065442</v>
      </c>
      <c r="CT37" s="205" t="n">
        <v>0.05</v>
      </c>
      <c r="CU37" s="285" t="n">
        <v>0.071701</v>
      </c>
      <c r="CV37" s="205" t="n">
        <v>0.05</v>
      </c>
      <c r="CW37" s="205" t="n">
        <v>0.05</v>
      </c>
      <c r="CX37" s="208" t="n">
        <f aca="false">AVERAGE(CL37:CO37)</f>
        <v>0.05</v>
      </c>
      <c r="CY37" s="208" t="n">
        <f aca="false">_xlfn.STDEV.S(CL37:CO37)</f>
        <v>0</v>
      </c>
      <c r="CZ37" s="208" t="n">
        <v>0.1</v>
      </c>
      <c r="DA37" s="172" t="n">
        <v>72</v>
      </c>
      <c r="DB37" s="209" t="e">
        <f aca="false">#REF!+(DA37/24)</f>
        <v>#REF!</v>
      </c>
      <c r="DC37" s="210" t="n">
        <v>3</v>
      </c>
      <c r="DD37" s="210" t="n">
        <v>3.5</v>
      </c>
      <c r="DE37" s="180" t="n">
        <f aca="false">DD37-DC37</f>
        <v>0.5</v>
      </c>
      <c r="DF37" s="180" t="n">
        <f aca="false">MAX(CM37:CX37)</f>
        <v>0.15713</v>
      </c>
      <c r="DG37" s="211"/>
      <c r="DH37" s="195" t="s">
        <v>603</v>
      </c>
      <c r="DI37" s="212" t="e">
        <f aca="false">(AQ37-DB37)*24</f>
        <v>#REF!</v>
      </c>
      <c r="DJ37" s="213" t="s">
        <v>585</v>
      </c>
      <c r="DK37" s="188" t="s">
        <v>148</v>
      </c>
      <c r="DL37" s="238" t="n">
        <v>35</v>
      </c>
      <c r="DM37" s="240" t="s">
        <v>276</v>
      </c>
      <c r="DO37" s="255"/>
      <c r="DP37" s="235"/>
      <c r="DQ37" s="235"/>
      <c r="DR37" s="242"/>
      <c r="DS37" s="242" t="s">
        <v>590</v>
      </c>
      <c r="DT37" s="256" t="n">
        <f aca="false">COUNTIF(CJ70:CJ119,"=nd")</f>
        <v>1</v>
      </c>
    </row>
    <row r="38" customFormat="false" ht="15.75" hidden="false" customHeight="true" outlineLevel="0" collapsed="false">
      <c r="A38" s="172" t="s">
        <v>152</v>
      </c>
      <c r="B38" s="238" t="n">
        <v>36</v>
      </c>
      <c r="C38" s="239" t="s">
        <v>266</v>
      </c>
      <c r="D38" s="240" t="s">
        <v>267</v>
      </c>
      <c r="E38" s="215" t="s">
        <v>268</v>
      </c>
      <c r="F38" s="239" t="n">
        <v>88497</v>
      </c>
      <c r="G38" s="193"/>
      <c r="H38" s="218" t="n">
        <v>44480</v>
      </c>
      <c r="I38" s="180" t="n">
        <v>1.57534246575342</v>
      </c>
      <c r="J38" s="218" t="n">
        <v>44880</v>
      </c>
      <c r="K38" s="219" t="n">
        <v>76.8</v>
      </c>
      <c r="L38" s="219" t="n">
        <v>4</v>
      </c>
      <c r="M38" s="220" t="n">
        <v>175</v>
      </c>
      <c r="N38" s="221" t="n">
        <v>192</v>
      </c>
      <c r="O38" s="221"/>
      <c r="P38" s="221" t="n">
        <v>1343</v>
      </c>
      <c r="Q38" s="221" t="n">
        <v>1430</v>
      </c>
      <c r="R38" s="221" t="n">
        <v>1438</v>
      </c>
      <c r="S38" s="221" t="n">
        <v>1361</v>
      </c>
      <c r="T38" s="221" t="n">
        <v>1392</v>
      </c>
      <c r="U38" s="184" t="s">
        <v>633</v>
      </c>
      <c r="V38" s="185" t="n">
        <f aca="false">EXP(1.204+(0.102*I38)+(0.007*N38)-(0.001*T38)+(0.008*M38)-2.723)</f>
        <v>0.99370482964382</v>
      </c>
      <c r="W38" s="185" t="n">
        <f aca="false">(V38/(1+V38))</f>
        <v>0.498421238123473</v>
      </c>
      <c r="X38" s="185" t="n">
        <f aca="false">EXP(2.859+(0.011*N38)-(0.002*T38)+(0.275*I38)-1.952)</f>
        <v>1.95076026890662</v>
      </c>
      <c r="Y38" s="185" t="n">
        <f aca="false">(X38/(1+X38))</f>
        <v>0.661104288770114</v>
      </c>
      <c r="Z38" s="238" t="n">
        <v>36</v>
      </c>
      <c r="AA38" s="186" t="n">
        <v>37</v>
      </c>
      <c r="AB38" s="187" t="n">
        <v>45057.7840625</v>
      </c>
      <c r="AC38" s="187" t="n">
        <v>45057.8691435185</v>
      </c>
      <c r="AD38" s="180" t="n">
        <v>2.04194444435416</v>
      </c>
      <c r="AE38" s="187" t="n">
        <v>45057.7840625</v>
      </c>
      <c r="AF38" s="187" t="n">
        <v>45057.8691435185</v>
      </c>
      <c r="AG38" s="180" t="n">
        <v>2.04194444435416</v>
      </c>
      <c r="AH38" s="180" t="n">
        <v>2.04194444435416</v>
      </c>
      <c r="AI38" s="187"/>
      <c r="AJ38" s="187"/>
      <c r="AK38" s="180"/>
      <c r="AL38" s="180"/>
      <c r="AM38" s="180" t="e">
        <f aca="false">(AE38-#REF!)*24</f>
        <v>#REF!</v>
      </c>
      <c r="AN38" s="180" t="e">
        <f aca="false">AM38+35</f>
        <v>#REF!</v>
      </c>
      <c r="AO38" s="186" t="n">
        <v>3</v>
      </c>
      <c r="AP38" s="188" t="s">
        <v>582</v>
      </c>
      <c r="AQ38" s="189" t="n">
        <v>45057.6624679398</v>
      </c>
      <c r="AR38" s="186" t="s">
        <v>599</v>
      </c>
      <c r="AS38" s="180" t="s">
        <v>593</v>
      </c>
      <c r="AT38" s="172" t="n">
        <v>37</v>
      </c>
      <c r="AU38" s="187" t="n">
        <v>45070.4903356481</v>
      </c>
      <c r="AV38" s="187" t="n">
        <v>45079.6005324074</v>
      </c>
      <c r="AW38" s="180" t="n">
        <v>218.644722222292</v>
      </c>
      <c r="AX38" s="187" t="n">
        <v>45070.4903356481</v>
      </c>
      <c r="AY38" s="187" t="n">
        <v>45074.0304282407</v>
      </c>
      <c r="AZ38" s="180" t="n">
        <v>84.9622222222388</v>
      </c>
      <c r="BA38" s="180" t="n">
        <v>84.9622222222388</v>
      </c>
      <c r="BB38" s="187" t="n">
        <v>45079.1616898148</v>
      </c>
      <c r="BC38" s="187" t="n">
        <v>45079.6005324074</v>
      </c>
      <c r="BD38" s="180" t="n">
        <v>10.5322222222458</v>
      </c>
      <c r="BE38" s="180" t="n">
        <v>10.5322222222458</v>
      </c>
      <c r="BF38" s="193" t="n">
        <v>58</v>
      </c>
      <c r="BG38" s="194" t="n">
        <v>1</v>
      </c>
      <c r="BH38" s="194" t="n">
        <v>1</v>
      </c>
      <c r="BI38" s="194"/>
      <c r="BJ38" s="194" t="s">
        <v>600</v>
      </c>
      <c r="BK38" s="195" t="s">
        <v>586</v>
      </c>
      <c r="BL38" s="194" t="n">
        <v>1</v>
      </c>
      <c r="BM38" s="196" t="n">
        <v>45202</v>
      </c>
      <c r="BN38" s="196" t="n">
        <f aca="false">AQ38+145</f>
        <v>45202.6624679398</v>
      </c>
      <c r="BO38" s="197" t="n">
        <f aca="false">BM38-AQ38</f>
        <v>144.337532060199</v>
      </c>
      <c r="BP38" s="197" t="s">
        <v>35</v>
      </c>
      <c r="BQ38" s="195" t="s">
        <v>586</v>
      </c>
      <c r="BR38" s="241" t="n">
        <v>0.2</v>
      </c>
      <c r="BS38" s="254" t="n">
        <v>0.2</v>
      </c>
      <c r="BT38" s="254" t="n">
        <v>0.2</v>
      </c>
      <c r="BU38" s="254" t="n">
        <v>0.2</v>
      </c>
      <c r="BV38" s="254" t="n">
        <v>0.2</v>
      </c>
      <c r="BW38" s="254" t="n">
        <v>0.2</v>
      </c>
      <c r="BX38" s="254" t="n">
        <v>0.2</v>
      </c>
      <c r="BY38" s="254" t="n">
        <v>0.2</v>
      </c>
      <c r="BZ38" s="254" t="n">
        <v>0.2</v>
      </c>
      <c r="CA38" s="254" t="n">
        <v>0.2</v>
      </c>
      <c r="CB38" s="254" t="n">
        <v>0.2</v>
      </c>
      <c r="CC38" s="200" t="s">
        <v>588</v>
      </c>
      <c r="CD38" s="201" t="s">
        <v>582</v>
      </c>
      <c r="CE38" s="200" t="s">
        <v>588</v>
      </c>
      <c r="CF38" s="201" t="s">
        <v>582</v>
      </c>
      <c r="CG38" s="200" t="s">
        <v>588</v>
      </c>
      <c r="CH38" s="201" t="s">
        <v>582</v>
      </c>
      <c r="CI38" s="203"/>
      <c r="CJ38" s="203"/>
      <c r="CK38" s="204"/>
      <c r="CL38" s="205" t="n">
        <v>0.05</v>
      </c>
      <c r="CM38" s="205" t="n">
        <v>0.05</v>
      </c>
      <c r="CN38" s="205" t="n">
        <v>0.05</v>
      </c>
      <c r="CO38" s="205" t="n">
        <v>0.05</v>
      </c>
      <c r="CP38" s="207" t="n">
        <v>0.30879</v>
      </c>
      <c r="CQ38" s="286" t="n">
        <v>0.15057</v>
      </c>
      <c r="CR38" s="285" t="n">
        <v>0.073128</v>
      </c>
      <c r="CS38" s="205" t="n">
        <v>0.05</v>
      </c>
      <c r="CT38" s="205" t="n">
        <v>0.05</v>
      </c>
      <c r="CU38" s="205" t="n">
        <v>0.05</v>
      </c>
      <c r="CV38" s="205" t="n">
        <v>0.05</v>
      </c>
      <c r="CW38" s="205" t="n">
        <v>0.05</v>
      </c>
      <c r="CX38" s="208" t="n">
        <f aca="false">AVERAGE(CL38:CO38)</f>
        <v>0.05</v>
      </c>
      <c r="CY38" s="208" t="n">
        <f aca="false">_xlfn.STDEV.S(CL38:CO38)</f>
        <v>0</v>
      </c>
      <c r="CZ38" s="208" t="n">
        <v>0.1</v>
      </c>
      <c r="DA38" s="186" t="n">
        <v>48</v>
      </c>
      <c r="DB38" s="209" t="e">
        <f aca="false">#REF!+(DA38/24)</f>
        <v>#REF!</v>
      </c>
      <c r="DC38" s="210" t="n">
        <v>2</v>
      </c>
      <c r="DD38" s="210" t="n">
        <v>3</v>
      </c>
      <c r="DE38" s="180" t="n">
        <f aca="false">DD38-DC38</f>
        <v>1</v>
      </c>
      <c r="DF38" s="180" t="n">
        <f aca="false">MAX(CM38:CX38)</f>
        <v>0.30879</v>
      </c>
      <c r="DG38" s="211" t="e">
        <f aca="false">(DB38-AE38)*24</f>
        <v>#REF!</v>
      </c>
      <c r="DH38" s="195" t="s">
        <v>587</v>
      </c>
      <c r="DI38" s="244" t="e">
        <f aca="false">(AQ38-DB38)*24</f>
        <v>#REF!</v>
      </c>
      <c r="DJ38" s="245" t="s">
        <v>600</v>
      </c>
      <c r="DK38" s="172" t="s">
        <v>152</v>
      </c>
      <c r="DL38" s="238" t="n">
        <v>36</v>
      </c>
      <c r="DM38" s="240" t="s">
        <v>267</v>
      </c>
      <c r="DO38" s="3"/>
      <c r="DP38" s="3"/>
      <c r="DQ38" s="3"/>
      <c r="DR38" s="3"/>
      <c r="DS38" s="3"/>
    </row>
    <row r="39" customFormat="false" ht="15.75" hidden="false" customHeight="true" outlineLevel="0" collapsed="false">
      <c r="A39" s="188" t="s">
        <v>148</v>
      </c>
      <c r="B39" s="238" t="n">
        <v>37</v>
      </c>
      <c r="C39" s="239" t="s">
        <v>282</v>
      </c>
      <c r="D39" s="240" t="s">
        <v>283</v>
      </c>
      <c r="E39" s="215" t="s">
        <v>284</v>
      </c>
      <c r="F39" s="239" t="n">
        <v>88655</v>
      </c>
      <c r="G39" s="193"/>
      <c r="H39" s="218" t="n">
        <v>44480</v>
      </c>
      <c r="I39" s="180" t="n">
        <v>1.57534246575342</v>
      </c>
      <c r="J39" s="218" t="n">
        <v>44882</v>
      </c>
      <c r="K39" s="219" t="n">
        <v>61.6</v>
      </c>
      <c r="L39" s="219" t="n">
        <v>3.25</v>
      </c>
      <c r="M39" s="220" t="n">
        <v>173</v>
      </c>
      <c r="N39" s="221" t="n">
        <v>223</v>
      </c>
      <c r="O39" s="221"/>
      <c r="P39" s="221"/>
      <c r="Q39" s="221" t="n">
        <v>1630</v>
      </c>
      <c r="R39" s="221" t="n">
        <v>1974</v>
      </c>
      <c r="S39" s="221" t="n">
        <v>1594</v>
      </c>
      <c r="T39" s="221" t="n">
        <v>1392</v>
      </c>
      <c r="U39" s="222" t="s">
        <v>634</v>
      </c>
      <c r="V39" s="185" t="n">
        <f aca="false">EXP(1.204+(0.102*I39)+(0.007*N39)-(0.001*T39)+(0.008*M39)-2.723)</f>
        <v>1.21492814060301</v>
      </c>
      <c r="W39" s="185" t="n">
        <f aca="false">(V39/(1+V39))</f>
        <v>0.548518084325864</v>
      </c>
      <c r="X39" s="185" t="n">
        <f aca="false">EXP(2.859+(0.011*N39)-(0.002*T39)+(0.275*I39)-1.952)</f>
        <v>2.74345802632198</v>
      </c>
      <c r="Y39" s="185" t="n">
        <f aca="false">(X39/(1+X39))</f>
        <v>0.732867313332075</v>
      </c>
      <c r="Z39" s="238" t="n">
        <v>37</v>
      </c>
      <c r="AA39" s="186"/>
      <c r="AB39" s="187"/>
      <c r="AC39" s="187"/>
      <c r="AD39" s="180"/>
      <c r="AE39" s="187"/>
      <c r="AF39" s="187"/>
      <c r="AG39" s="180"/>
      <c r="AH39" s="180"/>
      <c r="AI39" s="187"/>
      <c r="AJ39" s="187"/>
      <c r="AK39" s="180"/>
      <c r="AL39" s="180"/>
      <c r="AM39" s="180"/>
      <c r="AN39" s="180"/>
      <c r="AO39" s="186"/>
      <c r="AP39" s="188" t="s">
        <v>582</v>
      </c>
      <c r="AQ39" s="189" t="n">
        <v>45057.6796008102</v>
      </c>
      <c r="AR39" s="186" t="s">
        <v>625</v>
      </c>
      <c r="AS39" s="180" t="s">
        <v>593</v>
      </c>
      <c r="AT39" s="172" t="n">
        <v>91</v>
      </c>
      <c r="AU39" s="190" t="n">
        <v>45086.4492592593</v>
      </c>
      <c r="AV39" s="190" t="n">
        <v>45088.4631134259</v>
      </c>
      <c r="AW39" s="191" t="n">
        <v>48.3325000000186</v>
      </c>
      <c r="AX39" s="172"/>
      <c r="AY39" s="172"/>
      <c r="AZ39" s="172"/>
      <c r="BA39" s="180"/>
      <c r="BB39" s="172"/>
      <c r="BC39" s="172"/>
      <c r="BD39" s="172"/>
      <c r="BE39" s="172"/>
      <c r="BF39" s="193" t="n">
        <v>2</v>
      </c>
      <c r="BG39" s="194" t="n">
        <v>1</v>
      </c>
      <c r="BH39" s="194" t="n">
        <v>1</v>
      </c>
      <c r="BI39" s="194"/>
      <c r="BJ39" s="194" t="s">
        <v>600</v>
      </c>
      <c r="BK39" s="195" t="s">
        <v>603</v>
      </c>
      <c r="BL39" s="194" t="n">
        <v>1</v>
      </c>
      <c r="BM39" s="196" t="n">
        <v>45207</v>
      </c>
      <c r="BN39" s="196" t="n">
        <f aca="false">AQ39+145</f>
        <v>45202.6796008102</v>
      </c>
      <c r="BO39" s="197" t="n">
        <f aca="false">BM39-AQ39</f>
        <v>149.320399189797</v>
      </c>
      <c r="BP39" s="197" t="s">
        <v>35</v>
      </c>
      <c r="BQ39" s="195" t="s">
        <v>603</v>
      </c>
      <c r="BR39" s="254" t="n">
        <v>0.2</v>
      </c>
      <c r="BS39" s="254" t="n">
        <v>0.2</v>
      </c>
      <c r="BT39" s="254" t="n">
        <v>0.2</v>
      </c>
      <c r="BU39" s="254" t="n">
        <v>0.2</v>
      </c>
      <c r="BV39" s="254" t="n">
        <v>0.2</v>
      </c>
      <c r="BW39" s="254" t="n">
        <v>0.2</v>
      </c>
      <c r="BX39" s="254" t="n">
        <v>0.2</v>
      </c>
      <c r="BY39" s="254" t="n">
        <v>0.2</v>
      </c>
      <c r="BZ39" s="254" t="n">
        <v>0.2</v>
      </c>
      <c r="CA39" s="254" t="n">
        <v>0.92942</v>
      </c>
      <c r="CB39" s="254" t="n">
        <v>0.51667</v>
      </c>
      <c r="CC39" s="200" t="s">
        <v>588</v>
      </c>
      <c r="CD39" s="201" t="s">
        <v>582</v>
      </c>
      <c r="CE39" s="200" t="s">
        <v>588</v>
      </c>
      <c r="CF39" s="201" t="s">
        <v>582</v>
      </c>
      <c r="CG39" s="200" t="s">
        <v>588</v>
      </c>
      <c r="CH39" s="202" t="s">
        <v>589</v>
      </c>
      <c r="CI39" s="203"/>
      <c r="CJ39" s="200" t="s">
        <v>590</v>
      </c>
      <c r="CK39" s="204" t="n">
        <v>7</v>
      </c>
      <c r="CL39" s="205" t="n">
        <v>0.05</v>
      </c>
      <c r="CM39" s="205" t="n">
        <v>0.05</v>
      </c>
      <c r="CN39" s="205" t="n">
        <v>0.05</v>
      </c>
      <c r="CO39" s="205" t="n">
        <v>0.05</v>
      </c>
      <c r="CP39" s="285" t="n">
        <v>0.090465</v>
      </c>
      <c r="CQ39" s="207" t="n">
        <v>0.4177</v>
      </c>
      <c r="CR39" s="286" t="n">
        <v>0.19107</v>
      </c>
      <c r="CS39" s="285" t="n">
        <v>0.085787</v>
      </c>
      <c r="CT39" s="205" t="n">
        <v>0.05</v>
      </c>
      <c r="CU39" s="205" t="n">
        <v>0.05</v>
      </c>
      <c r="CV39" s="205" t="n">
        <v>0.05</v>
      </c>
      <c r="CW39" s="205" t="n">
        <v>0.05</v>
      </c>
      <c r="CX39" s="208" t="n">
        <f aca="false">AVERAGE(CL39:CO39)</f>
        <v>0.05</v>
      </c>
      <c r="CY39" s="208" t="n">
        <f aca="false">_xlfn.STDEV.S(CL39:CO39)</f>
        <v>0</v>
      </c>
      <c r="CZ39" s="208" t="n">
        <v>0.1</v>
      </c>
      <c r="DA39" s="186" t="n">
        <v>60</v>
      </c>
      <c r="DB39" s="209" t="e">
        <f aca="false">#REF!+(DA39/24)</f>
        <v>#REF!</v>
      </c>
      <c r="DC39" s="210" t="n">
        <v>2.5</v>
      </c>
      <c r="DD39" s="210" t="n">
        <v>3.5</v>
      </c>
      <c r="DE39" s="180" t="n">
        <f aca="false">DD39-DC39</f>
        <v>1</v>
      </c>
      <c r="DF39" s="180" t="n">
        <f aca="false">MAX(CM39:CX39)</f>
        <v>0.4177</v>
      </c>
      <c r="DG39" s="211"/>
      <c r="DH39" s="195" t="s">
        <v>603</v>
      </c>
      <c r="DI39" s="244" t="e">
        <f aca="false">(AQ39-DB39)*24</f>
        <v>#REF!</v>
      </c>
      <c r="DJ39" s="245" t="s">
        <v>600</v>
      </c>
      <c r="DK39" s="188" t="s">
        <v>148</v>
      </c>
      <c r="DL39" s="238" t="n">
        <v>37</v>
      </c>
      <c r="DM39" s="240" t="s">
        <v>283</v>
      </c>
      <c r="DO39" s="255"/>
      <c r="DP39" s="235"/>
      <c r="DQ39" s="235" t="n">
        <f aca="false">COUNTIF(CH71:CH120,"=Non")</f>
        <v>1</v>
      </c>
      <c r="DR39" s="242" t="s">
        <v>609</v>
      </c>
      <c r="DS39" s="242"/>
      <c r="DT39" s="259"/>
    </row>
    <row r="40" customFormat="false" ht="15.75" hidden="false" customHeight="true" outlineLevel="0" collapsed="false">
      <c r="A40" s="172" t="s">
        <v>152</v>
      </c>
      <c r="B40" s="238" t="n">
        <v>38</v>
      </c>
      <c r="C40" s="239" t="s">
        <v>230</v>
      </c>
      <c r="D40" s="240" t="s">
        <v>231</v>
      </c>
      <c r="E40" s="215" t="s">
        <v>232</v>
      </c>
      <c r="F40" s="239" t="n">
        <v>88291</v>
      </c>
      <c r="G40" s="193"/>
      <c r="H40" s="218" t="n">
        <v>44480</v>
      </c>
      <c r="I40" s="180" t="n">
        <v>1.57534246575342</v>
      </c>
      <c r="J40" s="218" t="n">
        <v>44882</v>
      </c>
      <c r="K40" s="219" t="n">
        <v>61.6</v>
      </c>
      <c r="L40" s="219" t="n">
        <v>3.5</v>
      </c>
      <c r="M40" s="220" t="n">
        <v>173</v>
      </c>
      <c r="N40" s="221" t="n">
        <v>237</v>
      </c>
      <c r="O40" s="221"/>
      <c r="P40" s="221" t="n">
        <v>1664</v>
      </c>
      <c r="Q40" s="221" t="n">
        <v>1716</v>
      </c>
      <c r="R40" s="221" t="n">
        <v>1861</v>
      </c>
      <c r="S40" s="221" t="n">
        <v>1859</v>
      </c>
      <c r="T40" s="221" t="n">
        <v>1624</v>
      </c>
      <c r="U40" s="184" t="s">
        <v>635</v>
      </c>
      <c r="V40" s="185" t="n">
        <f aca="false">EXP(1.204+(0.102*I40)+(0.007*N40)-(0.001*T40)+(0.008*M40)-2.723)</f>
        <v>1.0625640809784</v>
      </c>
      <c r="W40" s="185" t="n">
        <f aca="false">(V40/(1+V40))</f>
        <v>0.515166578715149</v>
      </c>
      <c r="X40" s="185" t="n">
        <f aca="false">EXP(2.859+(0.011*N40)-(0.002*T40)+(0.275*I40)-1.952)</f>
        <v>2.01218093893495</v>
      </c>
      <c r="Y40" s="185" t="n">
        <f aca="false">(X40/(1+X40))</f>
        <v>0.668014631168345</v>
      </c>
      <c r="Z40" s="238" t="n">
        <v>38</v>
      </c>
      <c r="AA40" s="186" t="n">
        <v>5</v>
      </c>
      <c r="AB40" s="187" t="n">
        <v>45055.5404050926</v>
      </c>
      <c r="AC40" s="187" t="n">
        <v>45058.3446180556</v>
      </c>
      <c r="AD40" s="180" t="n">
        <v>67.3011111110682</v>
      </c>
      <c r="AE40" s="187" t="n">
        <v>45055.5404050926</v>
      </c>
      <c r="AF40" s="187" t="n">
        <v>45058.3446180556</v>
      </c>
      <c r="AG40" s="180" t="n">
        <v>67.3011111110682</v>
      </c>
      <c r="AH40" s="180" t="n">
        <v>67.3011111110682</v>
      </c>
      <c r="AI40" s="187"/>
      <c r="AJ40" s="187"/>
      <c r="AK40" s="180"/>
      <c r="AL40" s="180"/>
      <c r="AM40" s="180" t="e">
        <f aca="false">(AE40-#REF!)*24</f>
        <v>#REF!</v>
      </c>
      <c r="AN40" s="180" t="e">
        <f aca="false">AM40+35</f>
        <v>#REF!</v>
      </c>
      <c r="AO40" s="193" t="n">
        <v>3</v>
      </c>
      <c r="AP40" s="188" t="s">
        <v>582</v>
      </c>
      <c r="AQ40" s="189" t="n">
        <v>45057.6608157407</v>
      </c>
      <c r="AR40" s="193" t="s">
        <v>606</v>
      </c>
      <c r="AS40" s="180" t="s">
        <v>593</v>
      </c>
      <c r="AT40" s="172"/>
      <c r="AU40" s="187"/>
      <c r="AV40" s="187"/>
      <c r="AW40" s="180"/>
      <c r="AX40" s="187"/>
      <c r="AY40" s="187"/>
      <c r="AZ40" s="180"/>
      <c r="BA40" s="180"/>
      <c r="BB40" s="187"/>
      <c r="BC40" s="187"/>
      <c r="BD40" s="180"/>
      <c r="BE40" s="180"/>
      <c r="BF40" s="193"/>
      <c r="BG40" s="194" t="n">
        <v>0</v>
      </c>
      <c r="BH40" s="194"/>
      <c r="BI40" s="194"/>
      <c r="BJ40" s="194" t="s">
        <v>585</v>
      </c>
      <c r="BK40" s="195" t="s">
        <v>612</v>
      </c>
      <c r="BL40" s="194" t="n">
        <v>1</v>
      </c>
      <c r="BM40" s="196" t="n">
        <v>45264</v>
      </c>
      <c r="BN40" s="196" t="n">
        <f aca="false">AQ40+145</f>
        <v>45202.6608157407</v>
      </c>
      <c r="BO40" s="197" t="n">
        <f aca="false">BM40-AQ40</f>
        <v>206.339184259297</v>
      </c>
      <c r="BP40" s="197" t="s">
        <v>594</v>
      </c>
      <c r="BQ40" s="195" t="s">
        <v>612</v>
      </c>
      <c r="BR40" s="199" t="n">
        <v>0.47237</v>
      </c>
      <c r="BS40" s="199" t="n">
        <v>0.57355</v>
      </c>
      <c r="BT40" s="199" t="n">
        <v>0.2</v>
      </c>
      <c r="BU40" s="199" t="n">
        <v>0.2</v>
      </c>
      <c r="BV40" s="199" t="n">
        <v>0.47986</v>
      </c>
      <c r="BW40" s="199" t="n">
        <v>0.36145</v>
      </c>
      <c r="BX40" s="199" t="n">
        <v>0.6217</v>
      </c>
      <c r="BY40" s="199" t="n">
        <v>1.353</v>
      </c>
      <c r="BZ40" s="199" t="n">
        <v>1.3822</v>
      </c>
      <c r="CA40" s="199" t="n">
        <v>2.2149</v>
      </c>
      <c r="CB40" s="199" t="n">
        <v>3.2595</v>
      </c>
      <c r="CC40" s="200" t="s">
        <v>588</v>
      </c>
      <c r="CD40" s="202" t="s">
        <v>589</v>
      </c>
      <c r="CE40" s="200" t="s">
        <v>588</v>
      </c>
      <c r="CF40" s="202" t="s">
        <v>589</v>
      </c>
      <c r="CG40" s="200" t="s">
        <v>588</v>
      </c>
      <c r="CH40" s="202" t="s">
        <v>589</v>
      </c>
      <c r="CI40" s="203"/>
      <c r="CJ40" s="200" t="s">
        <v>595</v>
      </c>
      <c r="CK40" s="204" t="n">
        <v>5</v>
      </c>
      <c r="CL40" s="205" t="n">
        <v>0.05</v>
      </c>
      <c r="CM40" s="205" t="n">
        <v>0.05</v>
      </c>
      <c r="CN40" s="206" t="n">
        <v>0.065133</v>
      </c>
      <c r="CO40" s="205" t="n">
        <v>0.05</v>
      </c>
      <c r="CP40" s="205" t="n">
        <v>0.05</v>
      </c>
      <c r="CQ40" s="285" t="n">
        <v>0.067774</v>
      </c>
      <c r="CR40" s="207" t="n">
        <v>0.16937</v>
      </c>
      <c r="CS40" s="285" t="n">
        <v>0.085456</v>
      </c>
      <c r="CT40" s="205" t="n">
        <v>0.05</v>
      </c>
      <c r="CU40" s="205" t="n">
        <v>0.05</v>
      </c>
      <c r="CV40" s="205" t="n">
        <v>0.05</v>
      </c>
      <c r="CW40" s="205" t="n">
        <v>0.05</v>
      </c>
      <c r="CX40" s="208" t="n">
        <f aca="false">AVERAGE(CL40:CO40)</f>
        <v>0.05378325</v>
      </c>
      <c r="CY40" s="208" t="n">
        <f aca="false">_xlfn.STDEV.S(CL40:CO40)</f>
        <v>0.0075665</v>
      </c>
      <c r="CZ40" s="208" t="n">
        <v>0.1</v>
      </c>
      <c r="DA40" s="186" t="n">
        <v>72</v>
      </c>
      <c r="DB40" s="209" t="e">
        <f aca="false">#REF!+(DA40/24)</f>
        <v>#REF!</v>
      </c>
      <c r="DC40" s="210" t="n">
        <v>3</v>
      </c>
      <c r="DD40" s="210" t="n">
        <v>3.5</v>
      </c>
      <c r="DE40" s="180" t="n">
        <f aca="false">DD40-DC40</f>
        <v>0.5</v>
      </c>
      <c r="DF40" s="180" t="n">
        <f aca="false">MAX(CM40:CX40)</f>
        <v>0.16937</v>
      </c>
      <c r="DG40" s="211" t="e">
        <f aca="false">(DB40-AE40)*24</f>
        <v>#REF!</v>
      </c>
      <c r="DH40" s="195" t="s">
        <v>587</v>
      </c>
      <c r="DI40" s="212" t="e">
        <f aca="false">(AQ40-DB40)*24</f>
        <v>#REF!</v>
      </c>
      <c r="DJ40" s="213" t="s">
        <v>585</v>
      </c>
      <c r="DK40" s="172" t="s">
        <v>152</v>
      </c>
      <c r="DL40" s="238" t="n">
        <v>38</v>
      </c>
      <c r="DM40" s="240" t="s">
        <v>231</v>
      </c>
      <c r="DO40" s="3"/>
      <c r="DP40" s="3"/>
      <c r="DQ40" s="3"/>
      <c r="DR40" s="3"/>
      <c r="DS40" s="3"/>
    </row>
    <row r="41" customFormat="false" ht="15.75" hidden="false" customHeight="true" outlineLevel="0" collapsed="false">
      <c r="A41" s="172" t="s">
        <v>152</v>
      </c>
      <c r="B41" s="238" t="n">
        <v>39</v>
      </c>
      <c r="C41" s="239" t="s">
        <v>385</v>
      </c>
      <c r="D41" s="240" t="s">
        <v>386</v>
      </c>
      <c r="E41" s="215" t="s">
        <v>387</v>
      </c>
      <c r="F41" s="239" t="n">
        <v>89127</v>
      </c>
      <c r="G41" s="193"/>
      <c r="H41" s="218" t="n">
        <v>44480</v>
      </c>
      <c r="I41" s="180" t="n">
        <v>1.57534246575342</v>
      </c>
      <c r="J41" s="218" t="n">
        <v>44880</v>
      </c>
      <c r="K41" s="219" t="n">
        <v>56.9</v>
      </c>
      <c r="L41" s="219" t="n">
        <v>3.25</v>
      </c>
      <c r="M41" s="220" t="n">
        <v>175</v>
      </c>
      <c r="N41" s="221" t="n">
        <v>257</v>
      </c>
      <c r="O41" s="221"/>
      <c r="P41" s="221" t="n">
        <v>2248</v>
      </c>
      <c r="Q41" s="221" t="n">
        <v>2031</v>
      </c>
      <c r="R41" s="221" t="n">
        <v>1720</v>
      </c>
      <c r="S41" s="221" t="n">
        <v>1793</v>
      </c>
      <c r="T41" s="221" t="n">
        <v>1595</v>
      </c>
      <c r="U41" s="257"/>
      <c r="V41" s="185" t="n">
        <f aca="false">EXP(1.204+(0.102*I41)+(0.007*N41)-(0.001*T41)+(0.008*M41)-2.723)</f>
        <v>1.27849669605055</v>
      </c>
      <c r="W41" s="185" t="n">
        <f aca="false">(V41/(1+V41))</f>
        <v>0.561114132079559</v>
      </c>
      <c r="X41" s="185" t="n">
        <f aca="false">EXP(2.859+(0.011*N41)-(0.002*T41)+(0.275*I41)-1.952)</f>
        <v>2.65705715615084</v>
      </c>
      <c r="Y41" s="185" t="n">
        <f aca="false">(X41/(1+X41))</f>
        <v>0.726556092152377</v>
      </c>
      <c r="Z41" s="238" t="n">
        <v>39</v>
      </c>
      <c r="AA41" s="186" t="n">
        <v>6</v>
      </c>
      <c r="AB41" s="187" t="n">
        <v>45055.5691666667</v>
      </c>
      <c r="AC41" s="187" t="n">
        <v>45057.9841782407</v>
      </c>
      <c r="AD41" s="180" t="n">
        <v>57.960277777689</v>
      </c>
      <c r="AE41" s="187" t="n">
        <v>45055.5691666667</v>
      </c>
      <c r="AF41" s="187" t="n">
        <v>45057.9841782407</v>
      </c>
      <c r="AG41" s="180" t="n">
        <v>57.960277777689</v>
      </c>
      <c r="AH41" s="180" t="n">
        <v>57.960277777689</v>
      </c>
      <c r="AI41" s="187"/>
      <c r="AJ41" s="187"/>
      <c r="AK41" s="180"/>
      <c r="AL41" s="180"/>
      <c r="AM41" s="180" t="e">
        <f aca="false">(AE41-#REF!)*24</f>
        <v>#REF!</v>
      </c>
      <c r="AN41" s="180" t="e">
        <f aca="false">AM41+35</f>
        <v>#REF!</v>
      </c>
      <c r="AO41" s="186" t="n">
        <v>7</v>
      </c>
      <c r="AP41" s="188" t="s">
        <v>582</v>
      </c>
      <c r="AQ41" s="189" t="n">
        <v>45057.6595076389</v>
      </c>
      <c r="AR41" s="186" t="s">
        <v>599</v>
      </c>
      <c r="AS41" s="180" t="s">
        <v>593</v>
      </c>
      <c r="AT41" s="172" t="n">
        <v>6</v>
      </c>
      <c r="AU41" s="172"/>
      <c r="AV41" s="172"/>
      <c r="AW41" s="172"/>
      <c r="AX41" s="190" t="n">
        <v>45067.4854861111</v>
      </c>
      <c r="AY41" s="190" t="n">
        <v>45067.4854861111</v>
      </c>
      <c r="AZ41" s="191" t="n">
        <v>0</v>
      </c>
      <c r="BA41" s="180" t="n">
        <v>1</v>
      </c>
      <c r="BB41" s="172"/>
      <c r="BC41" s="172"/>
      <c r="BD41" s="172"/>
      <c r="BE41" s="172"/>
      <c r="BF41" s="193" t="n">
        <v>2</v>
      </c>
      <c r="BG41" s="194" t="n">
        <v>0</v>
      </c>
      <c r="BH41" s="194"/>
      <c r="BI41" s="194"/>
      <c r="BJ41" s="194" t="s">
        <v>585</v>
      </c>
      <c r="BK41" s="195" t="s">
        <v>612</v>
      </c>
      <c r="BL41" s="194"/>
      <c r="BM41" s="196" t="s">
        <v>611</v>
      </c>
      <c r="BN41" s="196" t="n">
        <f aca="false">AX41+145</f>
        <v>45212.4854861111</v>
      </c>
      <c r="BO41" s="197"/>
      <c r="BP41" s="197" t="s">
        <v>585</v>
      </c>
      <c r="BQ41" s="195" t="s">
        <v>612</v>
      </c>
      <c r="BR41" s="199" t="n">
        <v>0.2</v>
      </c>
      <c r="BS41" s="199" t="n">
        <v>0.2</v>
      </c>
      <c r="BT41" s="199" t="n">
        <v>0.2</v>
      </c>
      <c r="BU41" s="199" t="n">
        <v>0.2</v>
      </c>
      <c r="BV41" s="199" t="n">
        <v>0.2</v>
      </c>
      <c r="BW41" s="199" t="n">
        <v>0.2</v>
      </c>
      <c r="BX41" s="199" t="n">
        <v>0.60123</v>
      </c>
      <c r="BY41" s="199" t="n">
        <v>1.1479</v>
      </c>
      <c r="BZ41" s="199" t="n">
        <v>1.0055</v>
      </c>
      <c r="CA41" s="250" t="n">
        <v>2.3995</v>
      </c>
      <c r="CB41" s="199" t="n">
        <v>3.3094</v>
      </c>
      <c r="CC41" s="200" t="s">
        <v>588</v>
      </c>
      <c r="CD41" s="202" t="s">
        <v>589</v>
      </c>
      <c r="CE41" s="200" t="s">
        <v>588</v>
      </c>
      <c r="CF41" s="202" t="s">
        <v>589</v>
      </c>
      <c r="CG41" s="200" t="s">
        <v>588</v>
      </c>
      <c r="CH41" s="202" t="s">
        <v>589</v>
      </c>
      <c r="CI41" s="203"/>
      <c r="CJ41" s="200" t="s">
        <v>595</v>
      </c>
      <c r="CK41" s="204" t="n">
        <v>5</v>
      </c>
      <c r="CL41" s="205" t="n">
        <v>0.05</v>
      </c>
      <c r="CM41" s="205" t="n">
        <v>0.05</v>
      </c>
      <c r="CN41" s="205" t="n">
        <v>0.05</v>
      </c>
      <c r="CO41" s="205" t="n">
        <v>0.05</v>
      </c>
      <c r="CP41" s="205" t="n">
        <v>0.05</v>
      </c>
      <c r="CQ41" s="207" t="n">
        <v>0.34951</v>
      </c>
      <c r="CR41" s="286" t="n">
        <v>0.16872</v>
      </c>
      <c r="CS41" s="285" t="n">
        <v>0.085787</v>
      </c>
      <c r="CT41" s="205" t="n">
        <v>0.05</v>
      </c>
      <c r="CU41" s="205" t="n">
        <v>0.05</v>
      </c>
      <c r="CV41" s="205" t="n">
        <v>0.05</v>
      </c>
      <c r="CW41" s="205" t="n">
        <v>0.05</v>
      </c>
      <c r="CX41" s="208" t="n">
        <f aca="false">AVERAGE(CL41:CO41)</f>
        <v>0.05</v>
      </c>
      <c r="CY41" s="208" t="n">
        <f aca="false">_xlfn.STDEV.S(CL41:CO41)</f>
        <v>0</v>
      </c>
      <c r="CZ41" s="208" t="n">
        <v>0.1</v>
      </c>
      <c r="DA41" s="186" t="n">
        <v>60</v>
      </c>
      <c r="DB41" s="209" t="e">
        <f aca="false">#REF!+(DA41/24)</f>
        <v>#REF!</v>
      </c>
      <c r="DC41" s="210" t="n">
        <v>2.5</v>
      </c>
      <c r="DD41" s="210" t="n">
        <v>3.5</v>
      </c>
      <c r="DE41" s="180" t="n">
        <f aca="false">DD41-DC41</f>
        <v>1</v>
      </c>
      <c r="DF41" s="180" t="n">
        <f aca="false">MAX(CM41:CX41)</f>
        <v>0.34951</v>
      </c>
      <c r="DG41" s="211" t="e">
        <f aca="false">(DB41-AE41)*24</f>
        <v>#REF!</v>
      </c>
      <c r="DH41" s="195" t="s">
        <v>587</v>
      </c>
      <c r="DI41" s="211" t="e">
        <f aca="false">(AQ41-DB41)*24</f>
        <v>#REF!</v>
      </c>
      <c r="DJ41" s="194" t="s">
        <v>585</v>
      </c>
      <c r="DK41" s="172" t="s">
        <v>152</v>
      </c>
      <c r="DL41" s="238" t="n">
        <v>39</v>
      </c>
      <c r="DM41" s="240" t="s">
        <v>386</v>
      </c>
      <c r="DO41" s="3"/>
      <c r="DP41" s="3"/>
      <c r="DQ41" s="3"/>
      <c r="DR41" s="3"/>
      <c r="DS41" s="3"/>
    </row>
    <row r="42" customFormat="false" ht="15.75" hidden="false" customHeight="true" outlineLevel="0" collapsed="false">
      <c r="A42" s="188" t="s">
        <v>148</v>
      </c>
      <c r="B42" s="238" t="n">
        <v>40</v>
      </c>
      <c r="C42" s="239" t="s">
        <v>291</v>
      </c>
      <c r="D42" s="240" t="s">
        <v>292</v>
      </c>
      <c r="E42" s="215" t="s">
        <v>293</v>
      </c>
      <c r="F42" s="239" t="n">
        <v>89145</v>
      </c>
      <c r="G42" s="193"/>
      <c r="H42" s="218" t="n">
        <v>44481</v>
      </c>
      <c r="I42" s="180" t="n">
        <v>1.57260273972603</v>
      </c>
      <c r="J42" s="218" t="n">
        <v>44884</v>
      </c>
      <c r="K42" s="219" t="n">
        <v>58.4</v>
      </c>
      <c r="L42" s="219" t="n">
        <v>3</v>
      </c>
      <c r="M42" s="220" t="n">
        <v>171</v>
      </c>
      <c r="N42" s="221" t="n">
        <v>180</v>
      </c>
      <c r="O42" s="221"/>
      <c r="P42" s="221"/>
      <c r="Q42" s="221" t="n">
        <v>1258</v>
      </c>
      <c r="R42" s="221" t="n">
        <v>1692</v>
      </c>
      <c r="S42" s="221" t="n">
        <v>1328</v>
      </c>
      <c r="T42" s="221" t="n">
        <v>1189</v>
      </c>
      <c r="U42" s="222" t="s">
        <v>636</v>
      </c>
      <c r="V42" s="185" t="n">
        <f aca="false">EXP(0.585+(0.102*I42)+(0.007*N42)-(0.001*T42)+(0.008*M42)-2.723)</f>
        <v>0.583567868910602</v>
      </c>
      <c r="W42" s="185" t="n">
        <f aca="false">(V42/(1+V42))</f>
        <v>0.368514593133328</v>
      </c>
      <c r="X42" s="185" t="n">
        <f aca="false">EXP(1.741+(0.011*N42)-(0.002*T42)+(0.275*I42)-1.952)</f>
        <v>0.838170074209069</v>
      </c>
      <c r="Y42" s="185" t="n">
        <f aca="false">(X42/(1+X42))</f>
        <v>0.455980698396321</v>
      </c>
      <c r="Z42" s="238" t="n">
        <v>40</v>
      </c>
      <c r="AA42" s="186" t="n">
        <v>70</v>
      </c>
      <c r="AB42" s="187" t="n">
        <v>45057.73</v>
      </c>
      <c r="AC42" s="187" t="n">
        <v>45057.7911342593</v>
      </c>
      <c r="AD42" s="180" t="n">
        <v>1.46722222206881</v>
      </c>
      <c r="AE42" s="187" t="n">
        <v>45057.73</v>
      </c>
      <c r="AF42" s="187" t="n">
        <v>45057.7911342593</v>
      </c>
      <c r="AG42" s="180" t="n">
        <v>1.46722222206881</v>
      </c>
      <c r="AH42" s="180" t="n">
        <v>1.46722222206881</v>
      </c>
      <c r="AI42" s="187"/>
      <c r="AJ42" s="187"/>
      <c r="AK42" s="180"/>
      <c r="AL42" s="180"/>
      <c r="AM42" s="180" t="e">
        <f aca="false">(AE42-#REF!)*24</f>
        <v>#REF!</v>
      </c>
      <c r="AN42" s="180" t="e">
        <f aca="false">AM42+35</f>
        <v>#REF!</v>
      </c>
      <c r="AO42" s="186" t="n">
        <v>2</v>
      </c>
      <c r="AP42" s="188" t="s">
        <v>582</v>
      </c>
      <c r="AQ42" s="189" t="n">
        <v>45057.6807142361</v>
      </c>
      <c r="AR42" s="186" t="s">
        <v>608</v>
      </c>
      <c r="AS42" s="180" t="s">
        <v>593</v>
      </c>
      <c r="AT42" s="172"/>
      <c r="AU42" s="172"/>
      <c r="AV42" s="172"/>
      <c r="AW42" s="172"/>
      <c r="AX42" s="172"/>
      <c r="AY42" s="172"/>
      <c r="AZ42" s="172"/>
      <c r="BA42" s="180"/>
      <c r="BB42" s="172"/>
      <c r="BC42" s="172"/>
      <c r="BD42" s="172"/>
      <c r="BE42" s="172"/>
      <c r="BF42" s="193"/>
      <c r="BG42" s="194" t="n">
        <v>1</v>
      </c>
      <c r="BH42" s="194" t="n">
        <v>1</v>
      </c>
      <c r="BI42" s="194"/>
      <c r="BJ42" s="194" t="s">
        <v>600</v>
      </c>
      <c r="BK42" s="195" t="s">
        <v>617</v>
      </c>
      <c r="BL42" s="194" t="n">
        <v>1</v>
      </c>
      <c r="BM42" s="196" t="n">
        <v>45204</v>
      </c>
      <c r="BN42" s="196" t="n">
        <f aca="false">AQ42+145</f>
        <v>45202.6807142361</v>
      </c>
      <c r="BO42" s="197" t="n">
        <f aca="false">BM42-AQ42</f>
        <v>146.319285763901</v>
      </c>
      <c r="BP42" s="197" t="s">
        <v>35</v>
      </c>
      <c r="BQ42" s="195" t="s">
        <v>617</v>
      </c>
      <c r="BR42" s="254" t="n">
        <v>0.2</v>
      </c>
      <c r="BS42" s="254" t="n">
        <v>0.2</v>
      </c>
      <c r="BT42" s="254" t="n">
        <v>0.2</v>
      </c>
      <c r="BU42" s="254" t="n">
        <v>0.2</v>
      </c>
      <c r="BV42" s="254" t="n">
        <v>0.2</v>
      </c>
      <c r="BW42" s="254" t="n">
        <v>0.2</v>
      </c>
      <c r="BX42" s="254" t="n">
        <v>0.2</v>
      </c>
      <c r="BY42" s="199" t="n">
        <v>0.2</v>
      </c>
      <c r="BZ42" s="254" t="n">
        <v>0.40094</v>
      </c>
      <c r="CA42" s="254" t="n">
        <v>1.8607</v>
      </c>
      <c r="CB42" s="254" t="n">
        <v>2.2494</v>
      </c>
      <c r="CC42" s="200" t="s">
        <v>588</v>
      </c>
      <c r="CD42" s="202" t="s">
        <v>589</v>
      </c>
      <c r="CE42" s="200" t="s">
        <v>588</v>
      </c>
      <c r="CF42" s="202" t="s">
        <v>589</v>
      </c>
      <c r="CG42" s="200" t="s">
        <v>588</v>
      </c>
      <c r="CH42" s="202" t="s">
        <v>589</v>
      </c>
      <c r="CI42" s="242"/>
      <c r="CJ42" s="200" t="s">
        <v>590</v>
      </c>
      <c r="CK42" s="204" t="n">
        <v>7</v>
      </c>
      <c r="CL42" s="205" t="n">
        <v>0.05</v>
      </c>
      <c r="CM42" s="205" t="n">
        <v>0.05</v>
      </c>
      <c r="CN42" s="206" t="n">
        <v>0.061445</v>
      </c>
      <c r="CO42" s="205" t="n">
        <v>0.05</v>
      </c>
      <c r="CP42" s="285" t="n">
        <v>0.063437</v>
      </c>
      <c r="CQ42" s="207" t="n">
        <v>0.2291</v>
      </c>
      <c r="CR42" s="286" t="n">
        <v>0.21201</v>
      </c>
      <c r="CS42" s="285" t="n">
        <v>0.10161</v>
      </c>
      <c r="CT42" s="285" t="n">
        <v>0.063437</v>
      </c>
      <c r="CU42" s="205" t="n">
        <v>0.05</v>
      </c>
      <c r="CV42" s="205" t="n">
        <v>0.05</v>
      </c>
      <c r="CW42" s="205" t="n">
        <v>0.05</v>
      </c>
      <c r="CX42" s="208" t="n">
        <f aca="false">AVERAGE(CL42:CO42)</f>
        <v>0.05286125</v>
      </c>
      <c r="CY42" s="208" t="n">
        <f aca="false">_xlfn.STDEV.S(CL42:CO42)</f>
        <v>0.0057225</v>
      </c>
      <c r="CZ42" s="208" t="n">
        <v>0.1</v>
      </c>
      <c r="DA42" s="186" t="n">
        <v>60</v>
      </c>
      <c r="DB42" s="209" t="e">
        <f aca="false">#REF!+(DA42/24)</f>
        <v>#REF!</v>
      </c>
      <c r="DC42" s="210" t="n">
        <v>2.5</v>
      </c>
      <c r="DD42" s="210" t="n">
        <v>3.5</v>
      </c>
      <c r="DE42" s="180" t="n">
        <f aca="false">DD42-DC42</f>
        <v>1</v>
      </c>
      <c r="DF42" s="180" t="n">
        <f aca="false">MAX(CM42:CX42)</f>
        <v>0.2291</v>
      </c>
      <c r="DG42" s="211" t="e">
        <f aca="false">(DB42-AE42)*24</f>
        <v>#REF!</v>
      </c>
      <c r="DH42" s="195" t="s">
        <v>587</v>
      </c>
      <c r="DI42" s="244" t="e">
        <f aca="false">(AQ42-DB42)*24</f>
        <v>#REF!</v>
      </c>
      <c r="DJ42" s="245" t="s">
        <v>600</v>
      </c>
      <c r="DK42" s="188" t="s">
        <v>148</v>
      </c>
      <c r="DL42" s="238" t="n">
        <v>40</v>
      </c>
      <c r="DM42" s="240" t="s">
        <v>292</v>
      </c>
      <c r="DO42" s="255" t="s">
        <v>65</v>
      </c>
      <c r="DP42" s="235" t="n">
        <f aca="false">COUNTIF(CG73:CG122,"=C")</f>
        <v>17</v>
      </c>
      <c r="DQ42" s="235"/>
      <c r="DR42" s="242"/>
      <c r="DS42" s="242" t="s">
        <v>595</v>
      </c>
      <c r="DT42" s="256" t="n">
        <f aca="false">COUNTIF(CI73:CI122,"=CN")</f>
        <v>16</v>
      </c>
    </row>
    <row r="43" customFormat="false" ht="15.75" hidden="false" customHeight="true" outlineLevel="0" collapsed="false">
      <c r="A43" s="188" t="s">
        <v>148</v>
      </c>
      <c r="B43" s="238" t="n">
        <v>41</v>
      </c>
      <c r="C43" s="239" t="s">
        <v>298</v>
      </c>
      <c r="D43" s="240" t="s">
        <v>299</v>
      </c>
      <c r="E43" s="215" t="s">
        <v>300</v>
      </c>
      <c r="F43" s="239" t="n">
        <v>88560</v>
      </c>
      <c r="G43" s="193"/>
      <c r="H43" s="218" t="n">
        <v>44481</v>
      </c>
      <c r="I43" s="180" t="n">
        <v>1.57260273972603</v>
      </c>
      <c r="J43" s="218" t="n">
        <v>44879</v>
      </c>
      <c r="K43" s="219" t="n">
        <v>59</v>
      </c>
      <c r="L43" s="219" t="n">
        <v>3.5</v>
      </c>
      <c r="M43" s="220" t="n">
        <v>176</v>
      </c>
      <c r="N43" s="221" t="n">
        <v>194</v>
      </c>
      <c r="O43" s="221"/>
      <c r="P43" s="221" t="n">
        <v>1226</v>
      </c>
      <c r="Q43" s="221" t="n">
        <v>1487</v>
      </c>
      <c r="R43" s="221" t="n">
        <v>1410</v>
      </c>
      <c r="S43" s="221" t="n">
        <v>1494</v>
      </c>
      <c r="T43" s="221" t="n">
        <v>1363</v>
      </c>
      <c r="U43" s="222" t="s">
        <v>630</v>
      </c>
      <c r="V43" s="185" t="n">
        <f aca="false">EXP(1.204+(0.102*I43)+(0.007*N43)-(0.001*T43)+(0.008*M43)-2.723)</f>
        <v>1.04540615967737</v>
      </c>
      <c r="W43" s="185" t="n">
        <f aca="false">(V43/(1+V43))</f>
        <v>0.511099546039436</v>
      </c>
      <c r="X43" s="185" t="n">
        <f aca="false">EXP(2.859+(0.011*N43)-(0.002*T43)+(0.275*I43)-1.952)</f>
        <v>2.111641808948</v>
      </c>
      <c r="Y43" s="185" t="n">
        <f aca="false">(X43/(1+X43))</f>
        <v>0.678626248971091</v>
      </c>
      <c r="Z43" s="238" t="n">
        <v>41</v>
      </c>
      <c r="AA43" s="186" t="n">
        <v>69</v>
      </c>
      <c r="AB43" s="187" t="n">
        <v>45057.2664814815</v>
      </c>
      <c r="AC43" s="187" t="n">
        <v>45057.3187847222</v>
      </c>
      <c r="AD43" s="180" t="n">
        <v>1.25527777784737</v>
      </c>
      <c r="AE43" s="187" t="n">
        <v>45057.2664814815</v>
      </c>
      <c r="AF43" s="187" t="n">
        <v>45057.3187847222</v>
      </c>
      <c r="AG43" s="180" t="n">
        <v>1.25527777784737</v>
      </c>
      <c r="AH43" s="180" t="n">
        <v>1.25527777784737</v>
      </c>
      <c r="AI43" s="187"/>
      <c r="AJ43" s="187"/>
      <c r="AK43" s="180"/>
      <c r="AL43" s="180"/>
      <c r="AM43" s="180" t="e">
        <f aca="false">(AE43-#REF!)*24</f>
        <v>#REF!</v>
      </c>
      <c r="AN43" s="180" t="e">
        <f aca="false">AM43+35</f>
        <v>#REF!</v>
      </c>
      <c r="AO43" s="186" t="n">
        <v>4</v>
      </c>
      <c r="AP43" s="186" t="s">
        <v>589</v>
      </c>
      <c r="AQ43" s="189" t="n">
        <v>45057.6851167824</v>
      </c>
      <c r="AR43" s="186" t="s">
        <v>606</v>
      </c>
      <c r="AS43" s="180" t="s">
        <v>584</v>
      </c>
      <c r="AT43" s="172" t="n">
        <v>69</v>
      </c>
      <c r="AU43" s="192" t="n">
        <v>45079.5089583333</v>
      </c>
      <c r="AV43" s="187" t="n">
        <v>45088.7950347222</v>
      </c>
      <c r="AW43" s="180" t="n">
        <v>222.865833333344</v>
      </c>
      <c r="AX43" s="192" t="n">
        <v>45079.5089583333</v>
      </c>
      <c r="AY43" s="192" t="n">
        <v>45079.5949074074</v>
      </c>
      <c r="AZ43" s="180" t="n">
        <v>2.06277777784271</v>
      </c>
      <c r="BA43" s="180" t="n">
        <v>2.06277777784271</v>
      </c>
      <c r="BB43" s="172"/>
      <c r="BC43" s="172"/>
      <c r="BD43" s="172"/>
      <c r="BE43" s="172"/>
      <c r="BF43" s="193" t="n">
        <v>3</v>
      </c>
      <c r="BG43" s="194" t="n">
        <v>1</v>
      </c>
      <c r="BH43" s="194" t="n">
        <v>1</v>
      </c>
      <c r="BI43" s="194"/>
      <c r="BJ43" s="194" t="s">
        <v>600</v>
      </c>
      <c r="BK43" s="195" t="s">
        <v>586</v>
      </c>
      <c r="BL43" s="194" t="n">
        <v>1</v>
      </c>
      <c r="BM43" s="196" t="n">
        <v>45207</v>
      </c>
      <c r="BN43" s="196" t="n">
        <f aca="false">AQ43+145</f>
        <v>45202.6851167824</v>
      </c>
      <c r="BO43" s="197" t="n">
        <f aca="false">BM43-AQ43</f>
        <v>149.314883217601</v>
      </c>
      <c r="BP43" s="197" t="s">
        <v>35</v>
      </c>
      <c r="BQ43" s="195" t="s">
        <v>587</v>
      </c>
      <c r="BR43" s="254" t="n">
        <v>0.2</v>
      </c>
      <c r="BS43" s="254" t="n">
        <v>0.3828</v>
      </c>
      <c r="BT43" s="254" t="n">
        <v>0.2</v>
      </c>
      <c r="BU43" s="254" t="n">
        <v>0.2</v>
      </c>
      <c r="BV43" s="254" t="n">
        <v>0.2</v>
      </c>
      <c r="BW43" s="254" t="n">
        <v>0.2</v>
      </c>
      <c r="BX43" s="254" t="n">
        <v>0.2</v>
      </c>
      <c r="BY43" s="254" t="n">
        <v>0.2</v>
      </c>
      <c r="BZ43" s="254" t="n">
        <v>0.47131</v>
      </c>
      <c r="CA43" s="254" t="n">
        <v>2.1977</v>
      </c>
      <c r="CB43" s="254" t="n">
        <v>2.3349</v>
      </c>
      <c r="CC43" s="200" t="s">
        <v>588</v>
      </c>
      <c r="CD43" s="202" t="s">
        <v>589</v>
      </c>
      <c r="CE43" s="200" t="s">
        <v>588</v>
      </c>
      <c r="CF43" s="202" t="s">
        <v>589</v>
      </c>
      <c r="CG43" s="200" t="s">
        <v>588</v>
      </c>
      <c r="CH43" s="202" t="s">
        <v>589</v>
      </c>
      <c r="CI43" s="242"/>
      <c r="CJ43" s="200" t="s">
        <v>590</v>
      </c>
      <c r="CK43" s="271" t="n">
        <v>7</v>
      </c>
      <c r="CL43" s="205" t="n">
        <v>0.05</v>
      </c>
      <c r="CM43" s="205" t="n">
        <v>0.05</v>
      </c>
      <c r="CN43" s="206" t="n">
        <v>0.07266</v>
      </c>
      <c r="CO43" s="206" t="n">
        <v>0.071042</v>
      </c>
      <c r="CP43" s="286" t="n">
        <v>0.14396</v>
      </c>
      <c r="CQ43" s="206" t="n">
        <v>0.22448</v>
      </c>
      <c r="CR43" s="207" t="n">
        <v>0.34595</v>
      </c>
      <c r="CS43" s="286" t="n">
        <v>0.11382</v>
      </c>
      <c r="CT43" s="206" t="n">
        <v>0.06735</v>
      </c>
      <c r="CU43" s="206" t="n">
        <v>0.064016</v>
      </c>
      <c r="CV43" s="205" t="n">
        <v>0.05</v>
      </c>
      <c r="CW43" s="206" t="n">
        <v>0.060558</v>
      </c>
      <c r="CX43" s="208" t="n">
        <f aca="false">AVERAGE(CL43:CO43)</f>
        <v>0.0609255</v>
      </c>
      <c r="CY43" s="208" t="n">
        <f aca="false">_xlfn.STDEV.S(CL43:CO43)</f>
        <v>0.0126329616875854</v>
      </c>
      <c r="CZ43" s="208" t="n">
        <v>0.1</v>
      </c>
      <c r="DA43" s="186" t="n">
        <v>48</v>
      </c>
      <c r="DB43" s="209" t="e">
        <f aca="false">#REF!+(DA43/24)</f>
        <v>#REF!</v>
      </c>
      <c r="DC43" s="210" t="n">
        <v>2</v>
      </c>
      <c r="DD43" s="210" t="n">
        <v>4</v>
      </c>
      <c r="DE43" s="180" t="n">
        <f aca="false">DD43-DC43</f>
        <v>2</v>
      </c>
      <c r="DF43" s="180" t="n">
        <f aca="false">MAX(CM43:CX43)</f>
        <v>0.34595</v>
      </c>
      <c r="DG43" s="211" t="e">
        <f aca="false">(DB43-AE43)*24</f>
        <v>#REF!</v>
      </c>
      <c r="DH43" s="195" t="s">
        <v>587</v>
      </c>
      <c r="DI43" s="244" t="e">
        <f aca="false">(AQ43-DB43)*24</f>
        <v>#REF!</v>
      </c>
      <c r="DJ43" s="245" t="s">
        <v>600</v>
      </c>
      <c r="DK43" s="188" t="s">
        <v>148</v>
      </c>
      <c r="DL43" s="238" t="n">
        <v>41</v>
      </c>
      <c r="DM43" s="240" t="s">
        <v>299</v>
      </c>
      <c r="DO43" s="262"/>
      <c r="DP43" s="263"/>
      <c r="DQ43" s="263"/>
      <c r="DR43" s="264"/>
      <c r="DS43" s="264" t="s">
        <v>590</v>
      </c>
      <c r="DT43" s="265" t="n">
        <f aca="false">COUNTIF(CI73:CI122,"=nd")</f>
        <v>1</v>
      </c>
    </row>
    <row r="44" customFormat="false" ht="15.75" hidden="false" customHeight="true" outlineLevel="0" collapsed="false">
      <c r="A44" s="188" t="s">
        <v>148</v>
      </c>
      <c r="B44" s="238" t="n">
        <v>42</v>
      </c>
      <c r="C44" s="239" t="s">
        <v>272</v>
      </c>
      <c r="D44" s="240" t="s">
        <v>273</v>
      </c>
      <c r="E44" s="215" t="s">
        <v>274</v>
      </c>
      <c r="F44" s="287" t="n">
        <v>88498</v>
      </c>
      <c r="G44" s="193"/>
      <c r="H44" s="218" t="n">
        <v>44481</v>
      </c>
      <c r="I44" s="180" t="n">
        <v>1.57260273972603</v>
      </c>
      <c r="J44" s="218" t="n">
        <v>44881</v>
      </c>
      <c r="K44" s="219" t="n">
        <v>53.8</v>
      </c>
      <c r="L44" s="219" t="n">
        <v>2.75</v>
      </c>
      <c r="M44" s="220" t="n">
        <v>174</v>
      </c>
      <c r="N44" s="221" t="n">
        <v>232</v>
      </c>
      <c r="O44" s="221"/>
      <c r="P44" s="221" t="n">
        <v>1781</v>
      </c>
      <c r="Q44" s="221" t="n">
        <v>1659</v>
      </c>
      <c r="R44" s="221" t="n">
        <v>1974</v>
      </c>
      <c r="S44" s="221" t="n">
        <v>1726</v>
      </c>
      <c r="T44" s="221" t="n">
        <v>1392</v>
      </c>
      <c r="U44" s="222" t="s">
        <v>637</v>
      </c>
      <c r="V44" s="185" t="n">
        <f aca="false">EXP(0.585+(0.102*I44)+(0.007*N44)-(0.001*T44)+(0.008*M44)-2.723)</f>
        <v>0.702159620939258</v>
      </c>
      <c r="W44" s="185" t="n">
        <f aca="false">(V44/(1+V44))</f>
        <v>0.412511031457675</v>
      </c>
      <c r="X44" s="185" t="n">
        <f aca="false">EXP(1.741+(0.011*N44)-(0.002*T44)+(0.275*I44)-1.952)</f>
        <v>0.989521044280629</v>
      </c>
      <c r="Y44" s="185" t="n">
        <f aca="false">(X44/(1+X44))</f>
        <v>0.497366462709833</v>
      </c>
      <c r="Z44" s="238" t="n">
        <v>42</v>
      </c>
      <c r="AA44" s="186"/>
      <c r="AB44" s="187"/>
      <c r="AC44" s="187"/>
      <c r="AD44" s="180"/>
      <c r="AE44" s="187"/>
      <c r="AF44" s="187"/>
      <c r="AG44" s="180"/>
      <c r="AH44" s="180"/>
      <c r="AI44" s="187"/>
      <c r="AJ44" s="187"/>
      <c r="AK44" s="180"/>
      <c r="AL44" s="180"/>
      <c r="AM44" s="180"/>
      <c r="AN44" s="180"/>
      <c r="AO44" s="186"/>
      <c r="AP44" s="188" t="s">
        <v>582</v>
      </c>
      <c r="AQ44" s="189" t="n">
        <v>45057.6788929398</v>
      </c>
      <c r="AR44" s="186" t="s">
        <v>583</v>
      </c>
      <c r="AS44" s="180" t="s">
        <v>593</v>
      </c>
      <c r="AT44" s="172"/>
      <c r="AU44" s="192"/>
      <c r="AV44" s="187"/>
      <c r="AW44" s="180"/>
      <c r="AX44" s="192"/>
      <c r="AY44" s="192"/>
      <c r="AZ44" s="180"/>
      <c r="BA44" s="180"/>
      <c r="BB44" s="172"/>
      <c r="BC44" s="172"/>
      <c r="BD44" s="172"/>
      <c r="BE44" s="172"/>
      <c r="BF44" s="193"/>
      <c r="BG44" s="194" t="n">
        <v>1</v>
      </c>
      <c r="BH44" s="194" t="n">
        <v>1</v>
      </c>
      <c r="BI44" s="194"/>
      <c r="BJ44" s="194" t="s">
        <v>600</v>
      </c>
      <c r="BK44" s="195" t="s">
        <v>603</v>
      </c>
      <c r="BL44" s="194" t="n">
        <v>2</v>
      </c>
      <c r="BM44" s="196" t="n">
        <v>45202</v>
      </c>
      <c r="BN44" s="196" t="n">
        <f aca="false">AQ44+145</f>
        <v>45202.6788929398</v>
      </c>
      <c r="BO44" s="197" t="n">
        <f aca="false">BM44-AQ44</f>
        <v>144.321107060197</v>
      </c>
      <c r="BP44" s="197" t="s">
        <v>35</v>
      </c>
      <c r="BQ44" s="195" t="s">
        <v>603</v>
      </c>
      <c r="BR44" s="199" t="n">
        <v>0.2</v>
      </c>
      <c r="BS44" s="199" t="n">
        <v>0.2</v>
      </c>
      <c r="BT44" s="199" t="n">
        <v>0.2</v>
      </c>
      <c r="BU44" s="199" t="n">
        <v>0.2</v>
      </c>
      <c r="BV44" s="199" t="n">
        <v>0.2</v>
      </c>
      <c r="BW44" s="199" t="n">
        <v>0.2</v>
      </c>
      <c r="BX44" s="199" t="n">
        <v>0.3773</v>
      </c>
      <c r="BY44" s="199" t="n">
        <v>0.79933</v>
      </c>
      <c r="BZ44" s="199" t="n">
        <v>1.5553</v>
      </c>
      <c r="CA44" s="199" t="n">
        <v>2.8155</v>
      </c>
      <c r="CB44" s="199" t="n">
        <v>1.8956</v>
      </c>
      <c r="CC44" s="200" t="s">
        <v>588</v>
      </c>
      <c r="CD44" s="202" t="s">
        <v>589</v>
      </c>
      <c r="CE44" s="200" t="s">
        <v>588</v>
      </c>
      <c r="CF44" s="202" t="s">
        <v>589</v>
      </c>
      <c r="CG44" s="200" t="s">
        <v>588</v>
      </c>
      <c r="CH44" s="202" t="s">
        <v>589</v>
      </c>
      <c r="CI44" s="203"/>
      <c r="CJ44" s="200" t="s">
        <v>595</v>
      </c>
      <c r="CK44" s="204" t="n">
        <v>6</v>
      </c>
      <c r="CL44" s="205" t="n">
        <v>0.05</v>
      </c>
      <c r="CM44" s="205" t="n">
        <v>0.05</v>
      </c>
      <c r="CN44" s="206" t="n">
        <v>0.061184</v>
      </c>
      <c r="CO44" s="206" t="n">
        <v>0.061654</v>
      </c>
      <c r="CP44" s="206" t="n">
        <v>0.062125</v>
      </c>
      <c r="CQ44" s="207" t="n">
        <v>0.35806</v>
      </c>
      <c r="CR44" s="286" t="n">
        <v>0.13202</v>
      </c>
      <c r="CS44" s="205" t="n">
        <v>0.05</v>
      </c>
      <c r="CT44" s="205" t="n">
        <v>0.05</v>
      </c>
      <c r="CU44" s="205" t="n">
        <v>0.05</v>
      </c>
      <c r="CV44" s="205" t="n">
        <v>0.05</v>
      </c>
      <c r="CW44" s="205" t="n">
        <v>0.05</v>
      </c>
      <c r="CX44" s="208" t="n">
        <f aca="false">AVERAGE(CL44:CO44)</f>
        <v>0.0557095</v>
      </c>
      <c r="CY44" s="208" t="n">
        <f aca="false">_xlfn.STDEV.S(CL44:CO44)</f>
        <v>0.00659555433606607</v>
      </c>
      <c r="CZ44" s="208" t="n">
        <v>0.1</v>
      </c>
      <c r="DA44" s="172" t="n">
        <v>60</v>
      </c>
      <c r="DB44" s="209" t="e">
        <f aca="false">#REF!+(DA44/24)</f>
        <v>#REF!</v>
      </c>
      <c r="DC44" s="210" t="n">
        <v>2.5</v>
      </c>
      <c r="DD44" s="210" t="n">
        <v>3.5</v>
      </c>
      <c r="DE44" s="180" t="n">
        <f aca="false">DD44-DC44</f>
        <v>1</v>
      </c>
      <c r="DF44" s="180" t="n">
        <f aca="false">MAX(CM44:CX44)</f>
        <v>0.35806</v>
      </c>
      <c r="DG44" s="211"/>
      <c r="DH44" s="195" t="s">
        <v>603</v>
      </c>
      <c r="DI44" s="244" t="e">
        <f aca="false">(AQ44-DB44)*24</f>
        <v>#REF!</v>
      </c>
      <c r="DJ44" s="245" t="s">
        <v>600</v>
      </c>
      <c r="DK44" s="188" t="s">
        <v>148</v>
      </c>
      <c r="DL44" s="238" t="n">
        <v>42</v>
      </c>
      <c r="DM44" s="240" t="s">
        <v>273</v>
      </c>
      <c r="DO44" s="159"/>
      <c r="DP44" s="266"/>
      <c r="DQ44" s="266"/>
      <c r="DR44" s="266"/>
      <c r="DS44" s="266"/>
    </row>
    <row r="45" customFormat="false" ht="15.75" hidden="false" customHeight="true" outlineLevel="0" collapsed="false">
      <c r="A45" s="172" t="s">
        <v>152</v>
      </c>
      <c r="B45" s="238" t="n">
        <v>43</v>
      </c>
      <c r="C45" s="239" t="s">
        <v>260</v>
      </c>
      <c r="D45" s="240" t="s">
        <v>261</v>
      </c>
      <c r="E45" s="215" t="s">
        <v>262</v>
      </c>
      <c r="F45" s="239" t="n">
        <v>88490</v>
      </c>
      <c r="G45" s="193"/>
      <c r="H45" s="218" t="n">
        <v>44481</v>
      </c>
      <c r="I45" s="180" t="n">
        <v>1.57260273972603</v>
      </c>
      <c r="J45" s="218" t="n">
        <v>44882</v>
      </c>
      <c r="K45" s="219" t="n">
        <v>52</v>
      </c>
      <c r="L45" s="219" t="n">
        <v>3.25</v>
      </c>
      <c r="M45" s="220" t="n">
        <v>173</v>
      </c>
      <c r="N45" s="221" t="n">
        <v>200</v>
      </c>
      <c r="O45" s="221"/>
      <c r="P45" s="221"/>
      <c r="Q45" s="221" t="n">
        <v>1630</v>
      </c>
      <c r="R45" s="221" t="n">
        <v>1748</v>
      </c>
      <c r="S45" s="221" t="n">
        <v>1594</v>
      </c>
      <c r="T45" s="221" t="n">
        <v>812</v>
      </c>
      <c r="U45" s="184" t="s">
        <v>638</v>
      </c>
      <c r="V45" s="185" t="n">
        <f aca="false">EXP(1.204+(0.102*I45)+(0.007*N45)-(0.001*T45)+(0.008*M45)-2.723)</f>
        <v>1.84670963422646</v>
      </c>
      <c r="W45" s="185" t="n">
        <f aca="false">(V45/(1+V45))</f>
        <v>0.648717246052483</v>
      </c>
      <c r="X45" s="185" t="n">
        <f aca="false">EXP(2.859+(0.011*N45)-(0.002*T45)+(0.275*I45)-1.952)</f>
        <v>6.79010057323386</v>
      </c>
      <c r="Y45" s="185" t="n">
        <f aca="false">(X45/(1+X45))</f>
        <v>0.871631952553229</v>
      </c>
      <c r="Z45" s="238" t="n">
        <v>43</v>
      </c>
      <c r="AA45" s="186" t="n">
        <v>4</v>
      </c>
      <c r="AB45" s="187" t="n">
        <v>45055.5361689815</v>
      </c>
      <c r="AC45" s="187" t="n">
        <v>45066.4682523148</v>
      </c>
      <c r="AD45" s="180" t="n">
        <v>262.369999999995</v>
      </c>
      <c r="AE45" s="187" t="n">
        <v>45055.5361689815</v>
      </c>
      <c r="AF45" s="187" t="n">
        <v>45058.2786921296</v>
      </c>
      <c r="AG45" s="180" t="n">
        <v>65.8205555555178</v>
      </c>
      <c r="AH45" s="180" t="n">
        <v>65.8205555555178</v>
      </c>
      <c r="AI45" s="187"/>
      <c r="AJ45" s="187"/>
      <c r="AK45" s="180"/>
      <c r="AL45" s="180"/>
      <c r="AM45" s="180" t="e">
        <f aca="false">(AE45-#REF!)*24</f>
        <v>#REF!</v>
      </c>
      <c r="AN45" s="180" t="e">
        <f aca="false">AM45+35</f>
        <v>#REF!</v>
      </c>
      <c r="AO45" s="186" t="n">
        <v>20</v>
      </c>
      <c r="AP45" s="188" t="s">
        <v>582</v>
      </c>
      <c r="AQ45" s="189" t="n">
        <v>45057.6595467593</v>
      </c>
      <c r="AR45" s="186" t="s">
        <v>625</v>
      </c>
      <c r="AS45" s="180" t="s">
        <v>584</v>
      </c>
      <c r="AT45" s="172" t="n">
        <v>4</v>
      </c>
      <c r="AU45" s="187" t="n">
        <v>45067.4180787037</v>
      </c>
      <c r="AV45" s="187" t="n">
        <v>45087.3666203704</v>
      </c>
      <c r="AW45" s="180" t="n">
        <v>478.764999999956</v>
      </c>
      <c r="AX45" s="190" t="n">
        <v>45087.3660532407</v>
      </c>
      <c r="AY45" s="190" t="n">
        <v>45087.3666203704</v>
      </c>
      <c r="AZ45" s="191" t="n">
        <v>0.0136111111496575</v>
      </c>
      <c r="BA45" s="180" t="n">
        <v>1</v>
      </c>
      <c r="BB45" s="172"/>
      <c r="BC45" s="172"/>
      <c r="BD45" s="172"/>
      <c r="BE45" s="172"/>
      <c r="BF45" s="193" t="n">
        <v>5</v>
      </c>
      <c r="BG45" s="194" t="n">
        <v>1</v>
      </c>
      <c r="BH45" s="194" t="n">
        <v>2</v>
      </c>
      <c r="BI45" s="194"/>
      <c r="BJ45" s="194" t="s">
        <v>600</v>
      </c>
      <c r="BK45" s="195" t="s">
        <v>587</v>
      </c>
      <c r="BL45" s="194" t="n">
        <v>2</v>
      </c>
      <c r="BM45" s="196" t="n">
        <v>45205</v>
      </c>
      <c r="BN45" s="196" t="n">
        <f aca="false">AQ45+145</f>
        <v>45202.6595467593</v>
      </c>
      <c r="BO45" s="197" t="n">
        <f aca="false">BM45-AQ45</f>
        <v>147.3404532407</v>
      </c>
      <c r="BP45" s="197" t="s">
        <v>35</v>
      </c>
      <c r="BQ45" s="195" t="s">
        <v>587</v>
      </c>
      <c r="BR45" s="199" t="n">
        <v>1.6575</v>
      </c>
      <c r="BS45" s="199" t="n">
        <v>0.97185</v>
      </c>
      <c r="BT45" s="199" t="n">
        <v>0.46886</v>
      </c>
      <c r="BU45" s="199" t="n">
        <v>0.42711</v>
      </c>
      <c r="BV45" s="199" t="n">
        <v>0.2</v>
      </c>
      <c r="BW45" s="199" t="n">
        <v>0.2</v>
      </c>
      <c r="BX45" s="199" t="n">
        <v>0.96698</v>
      </c>
      <c r="BY45" s="199" t="n">
        <v>1.642</v>
      </c>
      <c r="BZ45" s="199" t="n">
        <v>1.7935</v>
      </c>
      <c r="CA45" s="199" t="n">
        <v>3.1948</v>
      </c>
      <c r="CB45" s="199" t="n">
        <v>3.676</v>
      </c>
      <c r="CC45" s="200" t="s">
        <v>588</v>
      </c>
      <c r="CD45" s="202" t="s">
        <v>589</v>
      </c>
      <c r="CE45" s="251" t="s">
        <v>65</v>
      </c>
      <c r="CF45" s="252"/>
      <c r="CG45" s="200" t="s">
        <v>588</v>
      </c>
      <c r="CH45" s="202" t="s">
        <v>589</v>
      </c>
      <c r="CI45" s="203"/>
      <c r="CJ45" s="200" t="s">
        <v>595</v>
      </c>
      <c r="CK45" s="204" t="n">
        <v>5</v>
      </c>
      <c r="CL45" s="205" t="n">
        <v>0.05</v>
      </c>
      <c r="CM45" s="205" t="n">
        <v>0.05</v>
      </c>
      <c r="CN45" s="205" t="n">
        <v>0.05</v>
      </c>
      <c r="CO45" s="205" t="n">
        <v>0.05</v>
      </c>
      <c r="CP45" s="205" t="n">
        <v>0.05</v>
      </c>
      <c r="CQ45" s="205" t="n">
        <v>0.05</v>
      </c>
      <c r="CR45" s="207" t="n">
        <v>0.20583</v>
      </c>
      <c r="CS45" s="285" t="n">
        <v>0.077561</v>
      </c>
      <c r="CT45" s="205" t="n">
        <v>0.05</v>
      </c>
      <c r="CU45" s="205" t="n">
        <v>0.05</v>
      </c>
      <c r="CV45" s="205" t="n">
        <v>0.05</v>
      </c>
      <c r="CW45" s="205" t="n">
        <v>0.05</v>
      </c>
      <c r="CX45" s="208" t="n">
        <f aca="false">AVERAGE(CL45:CO45)</f>
        <v>0.05</v>
      </c>
      <c r="CY45" s="208" t="n">
        <f aca="false">_xlfn.STDEV.S(CL45:CO45)</f>
        <v>0</v>
      </c>
      <c r="CZ45" s="208" t="n">
        <v>0.1</v>
      </c>
      <c r="DA45" s="186" t="n">
        <v>72</v>
      </c>
      <c r="DB45" s="209" t="e">
        <f aca="false">#REF!+(DA45/24)</f>
        <v>#REF!</v>
      </c>
      <c r="DC45" s="210" t="n">
        <v>3</v>
      </c>
      <c r="DD45" s="210" t="n">
        <v>3.5</v>
      </c>
      <c r="DE45" s="180" t="n">
        <f aca="false">DD45-DC45</f>
        <v>0.5</v>
      </c>
      <c r="DF45" s="180" t="n">
        <f aca="false">MAX(CM45:CX45)</f>
        <v>0.20583</v>
      </c>
      <c r="DG45" s="211" t="e">
        <f aca="false">(DB45-AE45)*24</f>
        <v>#REF!</v>
      </c>
      <c r="DH45" s="195" t="s">
        <v>587</v>
      </c>
      <c r="DI45" s="211" t="e">
        <f aca="false">(AQ45-DB45)*24</f>
        <v>#REF!</v>
      </c>
      <c r="DJ45" s="194" t="s">
        <v>600</v>
      </c>
      <c r="DK45" s="172" t="s">
        <v>152</v>
      </c>
      <c r="DL45" s="238" t="n">
        <v>43</v>
      </c>
      <c r="DM45" s="240" t="s">
        <v>261</v>
      </c>
      <c r="DO45" s="3"/>
      <c r="DP45" s="3"/>
      <c r="DQ45" s="3"/>
      <c r="DR45" s="3"/>
      <c r="DS45" s="3"/>
    </row>
    <row r="46" customFormat="false" ht="15.75" hidden="false" customHeight="true" outlineLevel="0" collapsed="false">
      <c r="A46" s="188" t="s">
        <v>148</v>
      </c>
      <c r="B46" s="238" t="n">
        <v>44</v>
      </c>
      <c r="C46" s="239" t="s">
        <v>304</v>
      </c>
      <c r="D46" s="240" t="s">
        <v>305</v>
      </c>
      <c r="E46" s="215" t="s">
        <v>306</v>
      </c>
      <c r="F46" s="287" t="n">
        <v>89455</v>
      </c>
      <c r="G46" s="193"/>
      <c r="H46" s="218" t="n">
        <v>44482</v>
      </c>
      <c r="I46" s="180" t="n">
        <v>1.56986301369863</v>
      </c>
      <c r="J46" s="218" t="n">
        <v>44882</v>
      </c>
      <c r="K46" s="219" t="n">
        <v>56.6</v>
      </c>
      <c r="L46" s="219" t="n">
        <v>3.5</v>
      </c>
      <c r="M46" s="220" t="n">
        <v>173</v>
      </c>
      <c r="N46" s="221" t="n">
        <v>194</v>
      </c>
      <c r="O46" s="221"/>
      <c r="P46" s="221"/>
      <c r="Q46" s="221" t="n">
        <v>1487</v>
      </c>
      <c r="R46" s="221" t="n">
        <v>1720</v>
      </c>
      <c r="S46" s="221" t="n">
        <v>1295</v>
      </c>
      <c r="T46" s="221" t="n">
        <v>1189</v>
      </c>
      <c r="U46" s="222" t="s">
        <v>639</v>
      </c>
      <c r="V46" s="185" t="n">
        <f aca="false">EXP(1.204+(0.102*I46)+(0.007*N46)-(0.001*T46)+(0.008*M46)-2.723)</f>
        <v>1.21424930199289</v>
      </c>
      <c r="W46" s="185" t="n">
        <f aca="false">(V46/(1+V46))</f>
        <v>0.548379670211493</v>
      </c>
      <c r="X46" s="185" t="n">
        <f aca="false">EXP(2.859+(0.011*N46)-(0.002*T46)+(0.275*I46)-1.952)</f>
        <v>2.98832290519819</v>
      </c>
      <c r="Y46" s="185" t="n">
        <f aca="false">(X46/(1+X46))</f>
        <v>0.749268044797314</v>
      </c>
      <c r="Z46" s="238" t="n">
        <v>44</v>
      </c>
      <c r="AA46" s="186" t="n">
        <v>57</v>
      </c>
      <c r="AB46" s="187" t="n">
        <v>45056.7330208333</v>
      </c>
      <c r="AC46" s="187" t="n">
        <v>45057.3342939815</v>
      </c>
      <c r="AD46" s="180" t="n">
        <v>14.4305555555038</v>
      </c>
      <c r="AE46" s="187" t="n">
        <v>45056.7330208333</v>
      </c>
      <c r="AF46" s="187" t="n">
        <v>45057.3342939815</v>
      </c>
      <c r="AG46" s="180" t="n">
        <v>14.4305555555038</v>
      </c>
      <c r="AH46" s="180" t="n">
        <v>14.4305555555038</v>
      </c>
      <c r="AI46" s="187"/>
      <c r="AJ46" s="187"/>
      <c r="AK46" s="180"/>
      <c r="AL46" s="180"/>
      <c r="AM46" s="180" t="e">
        <f aca="false">(AE46-#REF!)*24</f>
        <v>#REF!</v>
      </c>
      <c r="AN46" s="180" t="e">
        <f aca="false">AM46+35</f>
        <v>#REF!</v>
      </c>
      <c r="AO46" s="186" t="n">
        <v>4</v>
      </c>
      <c r="AP46" s="186" t="s">
        <v>589</v>
      </c>
      <c r="AQ46" s="189" t="n">
        <v>45057.6827858796</v>
      </c>
      <c r="AR46" s="186" t="s">
        <v>583</v>
      </c>
      <c r="AS46" s="180" t="s">
        <v>593</v>
      </c>
      <c r="AT46" s="172" t="n">
        <v>57</v>
      </c>
      <c r="AU46" s="190" t="n">
        <v>45077.4343981482</v>
      </c>
      <c r="AV46" s="190" t="n">
        <v>45080.4215162037</v>
      </c>
      <c r="AW46" s="191" t="n">
        <v>71.6908333333558</v>
      </c>
      <c r="AX46" s="172"/>
      <c r="AY46" s="172"/>
      <c r="AZ46" s="172"/>
      <c r="BA46" s="180"/>
      <c r="BB46" s="172"/>
      <c r="BC46" s="172"/>
      <c r="BD46" s="172"/>
      <c r="BE46" s="172"/>
      <c r="BF46" s="193" t="n">
        <v>2</v>
      </c>
      <c r="BG46" s="194" t="n">
        <v>1</v>
      </c>
      <c r="BH46" s="194" t="n">
        <v>2</v>
      </c>
      <c r="BI46" s="194"/>
      <c r="BJ46" s="194" t="s">
        <v>600</v>
      </c>
      <c r="BK46" s="195" t="s">
        <v>587</v>
      </c>
      <c r="BL46" s="194" t="n">
        <v>2</v>
      </c>
      <c r="BM46" s="196" t="n">
        <v>45205</v>
      </c>
      <c r="BN46" s="196" t="n">
        <f aca="false">AQ46+145</f>
        <v>45202.6827858796</v>
      </c>
      <c r="BO46" s="197" t="n">
        <f aca="false">BM46-AQ46</f>
        <v>147.317214120398</v>
      </c>
      <c r="BP46" s="197" t="s">
        <v>35</v>
      </c>
      <c r="BQ46" s="195" t="s">
        <v>587</v>
      </c>
      <c r="BR46" s="199" t="n">
        <v>0.2</v>
      </c>
      <c r="BS46" s="199" t="n">
        <v>0.2</v>
      </c>
      <c r="BT46" s="199" t="n">
        <v>0.2</v>
      </c>
      <c r="BU46" s="199" t="n">
        <v>0.2</v>
      </c>
      <c r="BV46" s="199" t="n">
        <v>0.2</v>
      </c>
      <c r="BW46" s="199" t="n">
        <v>0.2</v>
      </c>
      <c r="BX46" s="199" t="n">
        <v>0.2</v>
      </c>
      <c r="BY46" s="199" t="n">
        <v>0.9621</v>
      </c>
      <c r="BZ46" s="199" t="n">
        <v>1.6781</v>
      </c>
      <c r="CA46" s="199" t="n">
        <v>1.8254</v>
      </c>
      <c r="CB46" s="199" t="n">
        <v>2.9616</v>
      </c>
      <c r="CC46" s="200" t="s">
        <v>588</v>
      </c>
      <c r="CD46" s="202" t="s">
        <v>589</v>
      </c>
      <c r="CE46" s="200" t="s">
        <v>588</v>
      </c>
      <c r="CF46" s="202" t="s">
        <v>589</v>
      </c>
      <c r="CG46" s="200" t="s">
        <v>588</v>
      </c>
      <c r="CH46" s="202" t="s">
        <v>589</v>
      </c>
      <c r="CI46" s="203"/>
      <c r="CJ46" s="200" t="s">
        <v>595</v>
      </c>
      <c r="CK46" s="204" t="n">
        <v>5</v>
      </c>
      <c r="CL46" s="205" t="n">
        <v>0.05</v>
      </c>
      <c r="CM46" s="205" t="n">
        <v>0.05</v>
      </c>
      <c r="CN46" s="205" t="n">
        <v>0.05</v>
      </c>
      <c r="CO46" s="205" t="n">
        <v>0.05</v>
      </c>
      <c r="CP46" s="207" t="n">
        <v>0.32142</v>
      </c>
      <c r="CQ46" s="286" t="n">
        <v>0.10605</v>
      </c>
      <c r="CR46" s="285" t="n">
        <v>0.061027</v>
      </c>
      <c r="CS46" s="205" t="n">
        <v>0.05</v>
      </c>
      <c r="CT46" s="205" t="n">
        <v>0.05</v>
      </c>
      <c r="CU46" s="205" t="n">
        <v>0.05</v>
      </c>
      <c r="CV46" s="205" t="n">
        <v>0.05</v>
      </c>
      <c r="CW46" s="205" t="n">
        <v>0.05</v>
      </c>
      <c r="CX46" s="208" t="n">
        <f aca="false">AVERAGE(CL46:CO46)</f>
        <v>0.05</v>
      </c>
      <c r="CY46" s="208" t="n">
        <f aca="false">_xlfn.STDEV.S(CL46:CO46)</f>
        <v>0</v>
      </c>
      <c r="CZ46" s="208" t="n">
        <v>0.1</v>
      </c>
      <c r="DA46" s="172" t="n">
        <v>48</v>
      </c>
      <c r="DB46" s="209" t="e">
        <f aca="false">#REF!+(DA46/24)</f>
        <v>#REF!</v>
      </c>
      <c r="DC46" s="210" t="n">
        <v>2</v>
      </c>
      <c r="DD46" s="210" t="n">
        <v>3</v>
      </c>
      <c r="DE46" s="180" t="n">
        <f aca="false">DD46-DC46</f>
        <v>1</v>
      </c>
      <c r="DF46" s="180" t="n">
        <f aca="false">MAX(CM46:CX46)</f>
        <v>0.32142</v>
      </c>
      <c r="DG46" s="211" t="e">
        <f aca="false">(DB46-AE46)*24</f>
        <v>#REF!</v>
      </c>
      <c r="DH46" s="195" t="s">
        <v>587</v>
      </c>
      <c r="DI46" s="244" t="e">
        <f aca="false">(AQ46-DB46)*24</f>
        <v>#REF!</v>
      </c>
      <c r="DJ46" s="245" t="s">
        <v>600</v>
      </c>
      <c r="DK46" s="188" t="s">
        <v>148</v>
      </c>
      <c r="DL46" s="238" t="n">
        <v>44</v>
      </c>
      <c r="DM46" s="240" t="s">
        <v>305</v>
      </c>
      <c r="DO46" s="267" t="s">
        <v>618</v>
      </c>
      <c r="DP46" s="242"/>
      <c r="DQ46" s="268" t="e">
        <f aca="false">DP43/(DP43+DP39)*100</f>
        <v>#DIV/0!</v>
      </c>
      <c r="DR46" s="242"/>
      <c r="DS46" s="269" t="s">
        <v>619</v>
      </c>
      <c r="DT46" s="270" t="e">
        <f aca="false">DT40/(DT39+DT40+DT41)*100</f>
        <v>#DIV/0!</v>
      </c>
    </row>
    <row r="47" customFormat="false" ht="15.75" hidden="false" customHeight="true" outlineLevel="0" collapsed="false">
      <c r="A47" s="172" t="s">
        <v>152</v>
      </c>
      <c r="B47" s="238" t="n">
        <v>45</v>
      </c>
      <c r="C47" s="239" t="s">
        <v>406</v>
      </c>
      <c r="D47" s="240" t="s">
        <v>407</v>
      </c>
      <c r="E47" s="215" t="s">
        <v>408</v>
      </c>
      <c r="F47" s="239" t="n">
        <v>88926</v>
      </c>
      <c r="G47" s="193"/>
      <c r="H47" s="218" t="n">
        <v>44482</v>
      </c>
      <c r="I47" s="180" t="n">
        <v>1.56986301369863</v>
      </c>
      <c r="J47" s="218" t="n">
        <v>44881</v>
      </c>
      <c r="K47" s="219" t="n">
        <v>49</v>
      </c>
      <c r="L47" s="219" t="n">
        <v>3</v>
      </c>
      <c r="M47" s="220" t="n">
        <v>174</v>
      </c>
      <c r="N47" s="221" t="n">
        <v>195</v>
      </c>
      <c r="O47" s="221"/>
      <c r="P47" s="221" t="n">
        <v>1548</v>
      </c>
      <c r="Q47" s="221" t="n">
        <v>1630</v>
      </c>
      <c r="R47" s="221" t="n">
        <v>1438</v>
      </c>
      <c r="S47" s="221" t="n">
        <v>1361</v>
      </c>
      <c r="T47" s="221" t="n">
        <v>1190</v>
      </c>
      <c r="U47" s="184" t="s">
        <v>640</v>
      </c>
      <c r="V47" s="185" t="n">
        <f aca="false">EXP(0.585+(0.102*I47)+(0.007*N47)-(0.001*T47)+(0.008*M47)-2.723)</f>
        <v>0.663070491383435</v>
      </c>
      <c r="W47" s="185" t="n">
        <f aca="false">(V47/(1+V47))</f>
        <v>0.398702577442677</v>
      </c>
      <c r="X47" s="185" t="n">
        <f aca="false">EXP(1.741+(0.011*N47)-(0.002*T47)+(0.275*I47)-1.952)</f>
        <v>0.985813913164777</v>
      </c>
      <c r="Y47" s="185" t="n">
        <f aca="false">(X47/(1+X47))</f>
        <v>0.496428142954086</v>
      </c>
      <c r="Z47" s="238" t="n">
        <v>45</v>
      </c>
      <c r="AA47" s="186" t="n">
        <v>44</v>
      </c>
      <c r="AB47" s="187" t="n">
        <v>45059.559525463</v>
      </c>
      <c r="AC47" s="187" t="n">
        <v>45064.666875</v>
      </c>
      <c r="AD47" s="180" t="n">
        <v>122.576388888876</v>
      </c>
      <c r="AE47" s="187" t="n">
        <v>45064.4837268519</v>
      </c>
      <c r="AF47" s="187" t="n">
        <v>45064.666875</v>
      </c>
      <c r="AG47" s="180" t="n">
        <v>4.39555555558763</v>
      </c>
      <c r="AH47" s="180" t="n">
        <v>4.39555555558763</v>
      </c>
      <c r="AI47" s="187"/>
      <c r="AJ47" s="187"/>
      <c r="AK47" s="180"/>
      <c r="AL47" s="180"/>
      <c r="AM47" s="180" t="e">
        <f aca="false">(AE47-#REF!)*24</f>
        <v>#REF!</v>
      </c>
      <c r="AN47" s="180" t="e">
        <f aca="false">AM47+35</f>
        <v>#REF!</v>
      </c>
      <c r="AO47" s="186" t="n">
        <v>5</v>
      </c>
      <c r="AP47" s="188" t="s">
        <v>582</v>
      </c>
      <c r="AQ47" s="189" t="n">
        <v>45057.6589991898</v>
      </c>
      <c r="AR47" s="186" t="s">
        <v>606</v>
      </c>
      <c r="AS47" s="180" t="s">
        <v>593</v>
      </c>
      <c r="AT47" s="172" t="n">
        <v>44</v>
      </c>
      <c r="AU47" s="187" t="n">
        <v>45076.7192013889</v>
      </c>
      <c r="AV47" s="192" t="n">
        <v>45081.4445833333</v>
      </c>
      <c r="AW47" s="180" t="n">
        <v>113.409166666679</v>
      </c>
      <c r="AX47" s="187" t="n">
        <v>45076.7192013889</v>
      </c>
      <c r="AY47" s="192" t="n">
        <v>45078.3433796296</v>
      </c>
      <c r="AZ47" s="180" t="n">
        <v>38.9802777778823</v>
      </c>
      <c r="BA47" s="180" t="n">
        <v>38.9802777778823</v>
      </c>
      <c r="BB47" s="172"/>
      <c r="BC47" s="172"/>
      <c r="BD47" s="172"/>
      <c r="BE47" s="172"/>
      <c r="BF47" s="193" t="n">
        <v>6</v>
      </c>
      <c r="BG47" s="194" t="n">
        <v>0</v>
      </c>
      <c r="BH47" s="194"/>
      <c r="BI47" s="194"/>
      <c r="BJ47" s="194" t="s">
        <v>585</v>
      </c>
      <c r="BK47" s="195" t="s">
        <v>586</v>
      </c>
      <c r="BL47" s="194" t="n">
        <v>1</v>
      </c>
      <c r="BM47" s="196" t="n">
        <v>45264</v>
      </c>
      <c r="BN47" s="196" t="n">
        <f aca="false">AX47+145</f>
        <v>45221.7192013889</v>
      </c>
      <c r="BO47" s="197" t="n">
        <f aca="false">BM47-AQ47</f>
        <v>206.3410008102</v>
      </c>
      <c r="BP47" s="197" t="s">
        <v>594</v>
      </c>
      <c r="BQ47" s="195" t="s">
        <v>587</v>
      </c>
      <c r="BR47" s="199" t="n">
        <v>0.2</v>
      </c>
      <c r="BS47" s="199" t="n">
        <v>0.2</v>
      </c>
      <c r="BT47" s="199" t="n">
        <v>0.2</v>
      </c>
      <c r="BU47" s="199" t="n">
        <v>0.2</v>
      </c>
      <c r="BV47" s="199" t="n">
        <v>0.2</v>
      </c>
      <c r="BW47" s="199" t="n">
        <v>0.2</v>
      </c>
      <c r="BX47" s="199" t="n">
        <v>0.2</v>
      </c>
      <c r="BY47" s="199" t="n">
        <v>0.2</v>
      </c>
      <c r="BZ47" s="199" t="n">
        <v>0.2</v>
      </c>
      <c r="CA47" s="199" t="n">
        <v>0.2</v>
      </c>
      <c r="CB47" s="199" t="n">
        <v>0.2</v>
      </c>
      <c r="CC47" s="200" t="s">
        <v>588</v>
      </c>
      <c r="CD47" s="201" t="s">
        <v>582</v>
      </c>
      <c r="CE47" s="200" t="s">
        <v>588</v>
      </c>
      <c r="CF47" s="201" t="s">
        <v>582</v>
      </c>
      <c r="CG47" s="200" t="s">
        <v>588</v>
      </c>
      <c r="CH47" s="201" t="s">
        <v>582</v>
      </c>
      <c r="CI47" s="203"/>
      <c r="CJ47" s="203"/>
      <c r="CK47" s="204"/>
      <c r="CL47" s="205" t="n">
        <v>0.05</v>
      </c>
      <c r="CM47" s="205" t="n">
        <v>0.05</v>
      </c>
      <c r="CN47" s="205" t="n">
        <v>0.05</v>
      </c>
      <c r="CO47" s="205" t="n">
        <v>0.05</v>
      </c>
      <c r="CP47" s="205" t="n">
        <v>0.05</v>
      </c>
      <c r="CQ47" s="205" t="n">
        <v>0.05</v>
      </c>
      <c r="CR47" s="205" t="n">
        <v>0.05</v>
      </c>
      <c r="CS47" s="205" t="n">
        <v>0.05</v>
      </c>
      <c r="CT47" s="205" t="n">
        <v>0.05</v>
      </c>
      <c r="CU47" s="205" t="n">
        <v>0.05</v>
      </c>
      <c r="CV47" s="207" t="n">
        <v>0.23414</v>
      </c>
      <c r="CW47" s="286" t="n">
        <v>0.12178</v>
      </c>
      <c r="CX47" s="208" t="n">
        <f aca="false">AVERAGE(CL47:CO47)</f>
        <v>0.05</v>
      </c>
      <c r="CY47" s="208" t="n">
        <f aca="false">_xlfn.STDEV.S(CL47:CO47)</f>
        <v>0</v>
      </c>
      <c r="CZ47" s="208" t="n">
        <v>0.1</v>
      </c>
      <c r="DA47" s="172" t="n">
        <v>120</v>
      </c>
      <c r="DB47" s="209" t="e">
        <f aca="false">#REF!+(DA47/24)</f>
        <v>#REF!</v>
      </c>
      <c r="DC47" s="210" t="n">
        <v>5</v>
      </c>
      <c r="DD47" s="210" t="n">
        <v>6</v>
      </c>
      <c r="DE47" s="180" t="n">
        <f aca="false">DD47-DC47</f>
        <v>1</v>
      </c>
      <c r="DF47" s="180" t="n">
        <f aca="false">MAX(CM47:CX47)</f>
        <v>0.23414</v>
      </c>
      <c r="DG47" s="211" t="e">
        <f aca="false">(DB47-AE47)*24</f>
        <v>#REF!</v>
      </c>
      <c r="DH47" s="195" t="s">
        <v>596</v>
      </c>
      <c r="DI47" s="212" t="e">
        <f aca="false">(AQ47-DB47)*24</f>
        <v>#REF!</v>
      </c>
      <c r="DJ47" s="213" t="s">
        <v>585</v>
      </c>
      <c r="DK47" s="172" t="s">
        <v>152</v>
      </c>
      <c r="DL47" s="238" t="n">
        <v>45</v>
      </c>
      <c r="DM47" s="240" t="s">
        <v>407</v>
      </c>
      <c r="DO47" s="3"/>
      <c r="DP47" s="3"/>
      <c r="DQ47" s="3"/>
      <c r="DR47" s="3"/>
      <c r="DS47" s="3"/>
    </row>
    <row r="48" customFormat="false" ht="15.75" hidden="false" customHeight="true" outlineLevel="0" collapsed="false">
      <c r="A48" s="188" t="s">
        <v>148</v>
      </c>
      <c r="B48" s="238" t="n">
        <v>46</v>
      </c>
      <c r="C48" s="239" t="s">
        <v>313</v>
      </c>
      <c r="D48" s="240" t="s">
        <v>314</v>
      </c>
      <c r="E48" s="215" t="s">
        <v>315</v>
      </c>
      <c r="F48" s="239" t="n">
        <v>89267</v>
      </c>
      <c r="G48" s="193"/>
      <c r="H48" s="218" t="n">
        <v>44482</v>
      </c>
      <c r="I48" s="180" t="n">
        <v>1.56986301369863</v>
      </c>
      <c r="J48" s="218" t="n">
        <v>44881</v>
      </c>
      <c r="K48" s="219" t="n">
        <v>47.5</v>
      </c>
      <c r="L48" s="219" t="n">
        <v>3</v>
      </c>
      <c r="M48" s="220" t="n">
        <v>174</v>
      </c>
      <c r="N48" s="221" t="n">
        <v>201</v>
      </c>
      <c r="O48" s="221"/>
      <c r="P48" s="221" t="n">
        <v>1810</v>
      </c>
      <c r="Q48" s="221" t="n">
        <v>1602</v>
      </c>
      <c r="R48" s="221" t="n">
        <v>1692</v>
      </c>
      <c r="S48" s="221" t="n">
        <v>1428</v>
      </c>
      <c r="T48" s="221" t="n">
        <v>899</v>
      </c>
      <c r="U48" s="222" t="s">
        <v>641</v>
      </c>
      <c r="V48" s="185" t="n">
        <f aca="false">EXP(0.585+(0.102*I48)+(0.007*N48)-(0.001*T48)+(0.008*M48)-2.723)</f>
        <v>0.925081004748645</v>
      </c>
      <c r="W48" s="185" t="n">
        <f aca="false">(V48/(1+V48))</f>
        <v>0.480541339541933</v>
      </c>
      <c r="X48" s="185" t="n">
        <f aca="false">EXP(1.741+(0.011*N48)-(0.002*T48)+(0.275*I48)-1.952)</f>
        <v>1.88459384109317</v>
      </c>
      <c r="Y48" s="185" t="n">
        <f aca="false">(X48/(1+X48))</f>
        <v>0.653330744261372</v>
      </c>
      <c r="Z48" s="238" t="n">
        <v>46</v>
      </c>
      <c r="AA48" s="186" t="n">
        <v>75</v>
      </c>
      <c r="AB48" s="187" t="n">
        <v>45061.4124652778</v>
      </c>
      <c r="AC48" s="187" t="n">
        <v>45061.4124652778</v>
      </c>
      <c r="AD48" s="180" t="n">
        <v>0</v>
      </c>
      <c r="AE48" s="190" t="n">
        <v>45061.4124652778</v>
      </c>
      <c r="AF48" s="190" t="n">
        <v>45061.4124652778</v>
      </c>
      <c r="AG48" s="180" t="n">
        <v>0</v>
      </c>
      <c r="AH48" s="180" t="n">
        <v>1</v>
      </c>
      <c r="AI48" s="187"/>
      <c r="AJ48" s="187"/>
      <c r="AK48" s="180"/>
      <c r="AL48" s="180"/>
      <c r="AM48" s="180" t="e">
        <f aca="false">(AE48-#REF!)*24</f>
        <v>#REF!</v>
      </c>
      <c r="AN48" s="180" t="e">
        <f aca="false">AM48+35</f>
        <v>#REF!</v>
      </c>
      <c r="AO48" s="186" t="n">
        <v>1</v>
      </c>
      <c r="AP48" s="188" t="s">
        <v>582</v>
      </c>
      <c r="AQ48" s="189" t="n">
        <v>45057.6832268519</v>
      </c>
      <c r="AR48" s="186" t="s">
        <v>608</v>
      </c>
      <c r="AS48" s="180" t="s">
        <v>584</v>
      </c>
      <c r="AT48" s="172"/>
      <c r="AU48" s="172"/>
      <c r="AV48" s="172"/>
      <c r="AW48" s="172"/>
      <c r="AX48" s="172"/>
      <c r="AY48" s="172"/>
      <c r="AZ48" s="172"/>
      <c r="BA48" s="180"/>
      <c r="BB48" s="172"/>
      <c r="BC48" s="172"/>
      <c r="BD48" s="172"/>
      <c r="BE48" s="172"/>
      <c r="BF48" s="193"/>
      <c r="BG48" s="194" t="n">
        <v>1</v>
      </c>
      <c r="BH48" s="194" t="n">
        <v>1</v>
      </c>
      <c r="BI48" s="194"/>
      <c r="BJ48" s="194" t="s">
        <v>600</v>
      </c>
      <c r="BK48" s="195" t="s">
        <v>617</v>
      </c>
      <c r="BL48" s="194" t="n">
        <v>1</v>
      </c>
      <c r="BM48" s="196" t="n">
        <v>45203</v>
      </c>
      <c r="BN48" s="196" t="n">
        <f aca="false">AQ48+145</f>
        <v>45202.6832268519</v>
      </c>
      <c r="BO48" s="197" t="n">
        <f aca="false">BM48-AQ48</f>
        <v>145.316773148101</v>
      </c>
      <c r="BP48" s="197" t="s">
        <v>35</v>
      </c>
      <c r="BQ48" s="195" t="s">
        <v>617</v>
      </c>
      <c r="BR48" s="199" t="n">
        <v>0.2</v>
      </c>
      <c r="BS48" s="199" t="n">
        <v>0.2</v>
      </c>
      <c r="BT48" s="199" t="n">
        <v>0.2</v>
      </c>
      <c r="BU48" s="199" t="n">
        <v>0.2</v>
      </c>
      <c r="BV48" s="199" t="n">
        <v>0.2</v>
      </c>
      <c r="BW48" s="199" t="n">
        <v>0.37089</v>
      </c>
      <c r="BX48" s="199" t="n">
        <v>0.72445</v>
      </c>
      <c r="BY48" s="199" t="n">
        <v>1.1916</v>
      </c>
      <c r="BZ48" s="199" t="n">
        <v>1.5237</v>
      </c>
      <c r="CA48" s="199" t="n">
        <v>3.7388</v>
      </c>
      <c r="CB48" s="199" t="n">
        <v>4.058</v>
      </c>
      <c r="CC48" s="200" t="s">
        <v>588</v>
      </c>
      <c r="CD48" s="202" t="s">
        <v>589</v>
      </c>
      <c r="CE48" s="200" t="s">
        <v>588</v>
      </c>
      <c r="CF48" s="202" t="s">
        <v>589</v>
      </c>
      <c r="CG48" s="200" t="s">
        <v>588</v>
      </c>
      <c r="CH48" s="202" t="s">
        <v>589</v>
      </c>
      <c r="CI48" s="203"/>
      <c r="CJ48" s="200" t="s">
        <v>595</v>
      </c>
      <c r="CK48" s="204" t="n">
        <v>5</v>
      </c>
      <c r="CL48" s="205" t="n">
        <v>0.05</v>
      </c>
      <c r="CM48" s="206" t="n">
        <v>0.0637</v>
      </c>
      <c r="CN48" s="206" t="n">
        <v>0.073472</v>
      </c>
      <c r="CO48" s="206" t="n">
        <v>0.062125</v>
      </c>
      <c r="CP48" s="206" t="n">
        <v>0.063858</v>
      </c>
      <c r="CQ48" s="207" t="n">
        <v>0.28298</v>
      </c>
      <c r="CR48" s="286" t="n">
        <v>0.17699</v>
      </c>
      <c r="CS48" s="285" t="n">
        <v>0.077726</v>
      </c>
      <c r="CT48" s="205" t="n">
        <v>0.05</v>
      </c>
      <c r="CU48" s="206" t="n">
        <v>0.063227</v>
      </c>
      <c r="CV48" s="206" t="n">
        <v>0.0637</v>
      </c>
      <c r="CW48" s="206" t="n">
        <v>0.065282</v>
      </c>
      <c r="CX48" s="208" t="n">
        <f aca="false">AVERAGE(CL48:CO48)</f>
        <v>0.06232425</v>
      </c>
      <c r="CY48" s="208" t="n">
        <f aca="false">_xlfn.STDEV.S(CL48:CO48)</f>
        <v>0.00962794295700454</v>
      </c>
      <c r="CZ48" s="208" t="n">
        <v>0.1</v>
      </c>
      <c r="DA48" s="186" t="n">
        <v>60</v>
      </c>
      <c r="DB48" s="209" t="e">
        <f aca="false">#REF!+(DA48/24)</f>
        <v>#REF!</v>
      </c>
      <c r="DC48" s="210" t="n">
        <v>2.5</v>
      </c>
      <c r="DD48" s="210" t="n">
        <v>3.5</v>
      </c>
      <c r="DE48" s="180" t="n">
        <f aca="false">DD48-DC48</f>
        <v>1</v>
      </c>
      <c r="DF48" s="180" t="n">
        <f aca="false">MAX(CM48:CX48)</f>
        <v>0.28298</v>
      </c>
      <c r="DG48" s="211" t="e">
        <f aca="false">(DB48-AE48)*24</f>
        <v>#REF!</v>
      </c>
      <c r="DH48" s="195" t="s">
        <v>596</v>
      </c>
      <c r="DI48" s="244" t="e">
        <f aca="false">(AQ48-DB48)*24</f>
        <v>#REF!</v>
      </c>
      <c r="DJ48" s="245" t="s">
        <v>600</v>
      </c>
      <c r="DK48" s="188" t="s">
        <v>148</v>
      </c>
      <c r="DL48" s="238" t="n">
        <v>46</v>
      </c>
      <c r="DM48" s="240" t="s">
        <v>314</v>
      </c>
      <c r="DO48" s="272" t="s">
        <v>621</v>
      </c>
      <c r="DP48" s="273"/>
      <c r="DQ48" s="274" t="e">
        <f aca="false">DQ40/(DQ40+DQ43)*100</f>
        <v>#DIV/0!</v>
      </c>
      <c r="DR48" s="266"/>
      <c r="DS48" s="266"/>
    </row>
    <row r="49" customFormat="false" ht="15.75" hidden="false" customHeight="true" outlineLevel="0" collapsed="false">
      <c r="A49" s="188" t="s">
        <v>148</v>
      </c>
      <c r="B49" s="238" t="n">
        <v>47</v>
      </c>
      <c r="C49" s="239" t="s">
        <v>319</v>
      </c>
      <c r="D49" s="240" t="s">
        <v>320</v>
      </c>
      <c r="E49" s="215" t="s">
        <v>321</v>
      </c>
      <c r="F49" s="239" t="n">
        <v>89438</v>
      </c>
      <c r="G49" s="193"/>
      <c r="H49" s="218" t="n">
        <v>44482</v>
      </c>
      <c r="I49" s="180" t="n">
        <v>1.56986301369863</v>
      </c>
      <c r="J49" s="218" t="n">
        <v>44885</v>
      </c>
      <c r="K49" s="219" t="n">
        <v>52.3</v>
      </c>
      <c r="L49" s="219" t="n">
        <v>3</v>
      </c>
      <c r="M49" s="220" t="n">
        <v>170</v>
      </c>
      <c r="N49" s="221" t="n">
        <v>214</v>
      </c>
      <c r="O49" s="221"/>
      <c r="P49" s="221" t="n">
        <v>1548</v>
      </c>
      <c r="Q49" s="221" t="n">
        <v>1716</v>
      </c>
      <c r="R49" s="221" t="n">
        <v>1805</v>
      </c>
      <c r="S49" s="221" t="n">
        <v>1693</v>
      </c>
      <c r="T49" s="221" t="n">
        <v>1305</v>
      </c>
      <c r="U49" s="222" t="s">
        <v>642</v>
      </c>
      <c r="V49" s="185" t="n">
        <f aca="false">EXP(0.585+(0.102*I49)+(0.007*N49)-(0.001*T49)+(0.008*M49)-2.723)</f>
        <v>0.653852183226375</v>
      </c>
      <c r="W49" s="185" t="n">
        <f aca="false">(V49/(1+V49))</f>
        <v>0.395351041560936</v>
      </c>
      <c r="X49" s="185" t="n">
        <f aca="false">EXP(1.741+(0.011*N49)-(0.002*T49)+(0.275*I49)-1.952)</f>
        <v>0.96532767930738</v>
      </c>
      <c r="Y49" s="185" t="n">
        <f aca="false">(X49/(1+X49))</f>
        <v>0.491178997513321</v>
      </c>
      <c r="Z49" s="238" t="n">
        <v>47</v>
      </c>
      <c r="AA49" s="186" t="n">
        <v>49</v>
      </c>
      <c r="AB49" s="187" t="n">
        <v>45055.6192824074</v>
      </c>
      <c r="AC49" s="187" t="n">
        <v>45056.777974537</v>
      </c>
      <c r="AD49" s="180" t="n">
        <v>27.8086111110169</v>
      </c>
      <c r="AE49" s="187" t="n">
        <v>45055.6192824074</v>
      </c>
      <c r="AF49" s="187" t="n">
        <v>45056.777974537</v>
      </c>
      <c r="AG49" s="180" t="n">
        <v>27.8086111110169</v>
      </c>
      <c r="AH49" s="180" t="n">
        <v>27.8086111110169</v>
      </c>
      <c r="AI49" s="187"/>
      <c r="AJ49" s="187"/>
      <c r="AK49" s="180"/>
      <c r="AL49" s="180"/>
      <c r="AM49" s="180" t="e">
        <f aca="false">(AE49-#REF!)*24</f>
        <v>#REF!</v>
      </c>
      <c r="AN49" s="180" t="e">
        <f aca="false">AM49+35</f>
        <v>#REF!</v>
      </c>
      <c r="AO49" s="186" t="n">
        <v>18</v>
      </c>
      <c r="AP49" s="188" t="s">
        <v>582</v>
      </c>
      <c r="AQ49" s="189" t="n">
        <v>45057.6813924769</v>
      </c>
      <c r="AR49" s="186" t="s">
        <v>608</v>
      </c>
      <c r="AS49" s="180" t="s">
        <v>593</v>
      </c>
      <c r="AT49" s="172"/>
      <c r="AU49" s="172"/>
      <c r="AV49" s="172"/>
      <c r="AW49" s="172"/>
      <c r="AX49" s="172"/>
      <c r="AY49" s="172"/>
      <c r="AZ49" s="172"/>
      <c r="BA49" s="180"/>
      <c r="BB49" s="172"/>
      <c r="BC49" s="172"/>
      <c r="BD49" s="172"/>
      <c r="BE49" s="172"/>
      <c r="BF49" s="193"/>
      <c r="BG49" s="194" t="n">
        <v>1</v>
      </c>
      <c r="BH49" s="194" t="n">
        <v>2</v>
      </c>
      <c r="BI49" s="194"/>
      <c r="BJ49" s="194" t="s">
        <v>600</v>
      </c>
      <c r="BK49" s="195" t="s">
        <v>587</v>
      </c>
      <c r="BL49" s="194" t="n">
        <v>2</v>
      </c>
      <c r="BM49" s="196" t="n">
        <v>45202</v>
      </c>
      <c r="BN49" s="196" t="n">
        <f aca="false">AQ49+145</f>
        <v>45202.6813924769</v>
      </c>
      <c r="BO49" s="197" t="n">
        <f aca="false">BM49-AQ49</f>
        <v>144.318607523099</v>
      </c>
      <c r="BP49" s="197" t="s">
        <v>35</v>
      </c>
      <c r="BQ49" s="195" t="s">
        <v>587</v>
      </c>
      <c r="BR49" s="199" t="n">
        <v>0.69175</v>
      </c>
      <c r="BS49" s="199" t="n">
        <v>5.6602</v>
      </c>
      <c r="BT49" s="199" t="n">
        <v>0.86897</v>
      </c>
      <c r="BU49" s="199" t="n">
        <v>0.62606</v>
      </c>
      <c r="BV49" s="199" t="n">
        <v>0.59773</v>
      </c>
      <c r="BW49" s="199" t="n">
        <v>0.61191</v>
      </c>
      <c r="BX49" s="199" t="n">
        <v>1.4357</v>
      </c>
      <c r="BY49" s="199" t="n">
        <v>2.004</v>
      </c>
      <c r="BZ49" s="199" t="n">
        <v>2.5737</v>
      </c>
      <c r="CA49" s="199" t="n">
        <v>4.3108</v>
      </c>
      <c r="CB49" s="199" t="n">
        <v>4.2734</v>
      </c>
      <c r="CC49" s="251" t="s">
        <v>65</v>
      </c>
      <c r="CD49" s="252"/>
      <c r="CE49" s="251" t="s">
        <v>65</v>
      </c>
      <c r="CF49" s="252"/>
      <c r="CG49" s="251" t="s">
        <v>65</v>
      </c>
      <c r="CH49" s="252"/>
      <c r="CI49" s="200" t="s">
        <v>595</v>
      </c>
      <c r="CJ49" s="203"/>
      <c r="CK49" s="204" t="n">
        <v>4</v>
      </c>
      <c r="CL49" s="205" t="n">
        <v>0.05</v>
      </c>
      <c r="CM49" s="205" t="n">
        <v>0.05</v>
      </c>
      <c r="CN49" s="206" t="n">
        <v>0.061497</v>
      </c>
      <c r="CO49" s="205" t="n">
        <v>0.05</v>
      </c>
      <c r="CP49" s="207" t="n">
        <v>0.33699</v>
      </c>
      <c r="CQ49" s="206" t="n">
        <v>0.17548</v>
      </c>
      <c r="CR49" s="286" t="n">
        <v>0.085724</v>
      </c>
      <c r="CS49" s="205" t="n">
        <v>0.05</v>
      </c>
      <c r="CT49" s="205" t="n">
        <v>0.05</v>
      </c>
      <c r="CU49" s="205" t="n">
        <v>0.05</v>
      </c>
      <c r="CV49" s="205" t="n">
        <v>0.05</v>
      </c>
      <c r="CW49" s="205" t="n">
        <v>0.05</v>
      </c>
      <c r="CX49" s="208" t="n">
        <f aca="false">AVERAGE(CL49:CO49)</f>
        <v>0.05287425</v>
      </c>
      <c r="CY49" s="208" t="n">
        <f aca="false">_xlfn.STDEV.S(CL49:CO49)</f>
        <v>0.0057485</v>
      </c>
      <c r="CZ49" s="208" t="n">
        <v>0.1</v>
      </c>
      <c r="DA49" s="186" t="n">
        <v>48</v>
      </c>
      <c r="DB49" s="209" t="e">
        <f aca="false">#REF!+(DA49/24)</f>
        <v>#REF!</v>
      </c>
      <c r="DC49" s="210" t="n">
        <v>2</v>
      </c>
      <c r="DD49" s="210" t="n">
        <v>3.5</v>
      </c>
      <c r="DE49" s="180" t="n">
        <f aca="false">DD49-DC49</f>
        <v>1.5</v>
      </c>
      <c r="DF49" s="180" t="n">
        <f aca="false">MAX(CM49:CX49)</f>
        <v>0.33699</v>
      </c>
      <c r="DG49" s="211" t="e">
        <f aca="false">(DB49-AE49)*24</f>
        <v>#REF!</v>
      </c>
      <c r="DH49" s="195" t="s">
        <v>587</v>
      </c>
      <c r="DI49" s="244" t="e">
        <f aca="false">(AQ49-DB49)*24</f>
        <v>#REF!</v>
      </c>
      <c r="DJ49" s="245" t="s">
        <v>600</v>
      </c>
      <c r="DK49" s="188" t="s">
        <v>148</v>
      </c>
      <c r="DL49" s="238" t="n">
        <v>47</v>
      </c>
      <c r="DM49" s="240" t="s">
        <v>320</v>
      </c>
      <c r="DO49" s="267" t="s">
        <v>623</v>
      </c>
      <c r="DP49" s="266"/>
      <c r="DQ49" s="280" t="e">
        <f aca="false">(DP44+DQ40)/(DP44+DQ40+DQ43)*100</f>
        <v>#DIV/0!</v>
      </c>
      <c r="DR49" s="235" t="n">
        <f aca="false">DP44+DQ40</f>
        <v>0</v>
      </c>
      <c r="DS49" s="266"/>
    </row>
    <row r="50" customFormat="false" ht="15.75" hidden="false" customHeight="true" outlineLevel="0" collapsed="false">
      <c r="A50" s="172" t="s">
        <v>152</v>
      </c>
      <c r="B50" s="238" t="n">
        <v>48</v>
      </c>
      <c r="C50" s="239" t="s">
        <v>180</v>
      </c>
      <c r="D50" s="240" t="s">
        <v>181</v>
      </c>
      <c r="E50" s="215" t="s">
        <v>182</v>
      </c>
      <c r="F50" s="239" t="n">
        <v>88213</v>
      </c>
      <c r="G50" s="193"/>
      <c r="H50" s="218" t="n">
        <v>44482</v>
      </c>
      <c r="I50" s="180" t="n">
        <v>1.56986301369863</v>
      </c>
      <c r="J50" s="218" t="n">
        <v>44880</v>
      </c>
      <c r="K50" s="219" t="n">
        <v>56.37</v>
      </c>
      <c r="L50" s="219" t="n">
        <v>3.5</v>
      </c>
      <c r="M50" s="220" t="n">
        <v>175</v>
      </c>
      <c r="N50" s="221" t="n">
        <v>199</v>
      </c>
      <c r="O50" s="221"/>
      <c r="P50" s="221" t="n">
        <v>1080</v>
      </c>
      <c r="Q50" s="221" t="n">
        <v>2031</v>
      </c>
      <c r="R50" s="221" t="n">
        <v>1269</v>
      </c>
      <c r="S50" s="221" t="n">
        <v>1560</v>
      </c>
      <c r="T50" s="221" t="n">
        <v>1247</v>
      </c>
      <c r="U50" s="184" t="s">
        <v>643</v>
      </c>
      <c r="V50" s="185" t="n">
        <f aca="false">EXP(1.204+(0.102*I50)+(0.007*N50)-(0.001*T50)+(0.008*M50)-2.723)</f>
        <v>1.20577923669356</v>
      </c>
      <c r="W50" s="185" t="n">
        <f aca="false">(V50/(1+V50))</f>
        <v>0.546645474141379</v>
      </c>
      <c r="X50" s="185" t="n">
        <f aca="false">EXP(2.859+(0.011*N50)-(0.002*T50)+(0.275*I50)-1.952)</f>
        <v>2.81148363716542</v>
      </c>
      <c r="Y50" s="185" t="n">
        <f aca="false">(X50/(1+X50))</f>
        <v>0.737634974934933</v>
      </c>
      <c r="Z50" s="238" t="n">
        <v>48</v>
      </c>
      <c r="AA50" s="186" t="n">
        <v>8</v>
      </c>
      <c r="AB50" s="187" t="n">
        <v>45055.6856365741</v>
      </c>
      <c r="AC50" s="187" t="n">
        <v>45057.7424884259</v>
      </c>
      <c r="AD50" s="180" t="n">
        <v>49.3644444443635</v>
      </c>
      <c r="AE50" s="187" t="n">
        <v>45055.6856365741</v>
      </c>
      <c r="AF50" s="187" t="n">
        <v>45057.7424884259</v>
      </c>
      <c r="AG50" s="180" t="n">
        <v>49.3644444443635</v>
      </c>
      <c r="AH50" s="180" t="n">
        <v>49.3644444443635</v>
      </c>
      <c r="AI50" s="187"/>
      <c r="AJ50" s="187"/>
      <c r="AK50" s="180"/>
      <c r="AL50" s="180"/>
      <c r="AM50" s="180" t="e">
        <f aca="false">(AE50-#REF!)*24</f>
        <v>#REF!</v>
      </c>
      <c r="AN50" s="180" t="e">
        <f aca="false">AM50+35</f>
        <v>#REF!</v>
      </c>
      <c r="AO50" s="186" t="n">
        <v>38</v>
      </c>
      <c r="AP50" s="188" t="s">
        <v>582</v>
      </c>
      <c r="AQ50" s="189" t="n">
        <v>45057.6645258102</v>
      </c>
      <c r="AR50" s="186" t="s">
        <v>608</v>
      </c>
      <c r="AS50" s="180" t="s">
        <v>593</v>
      </c>
      <c r="AT50" s="172" t="n">
        <v>8</v>
      </c>
      <c r="AU50" s="172"/>
      <c r="AV50" s="172"/>
      <c r="AW50" s="172"/>
      <c r="AX50" s="187" t="n">
        <v>45070.524212963</v>
      </c>
      <c r="AY50" s="187" t="n">
        <v>45071.5159027778</v>
      </c>
      <c r="AZ50" s="180" t="n">
        <v>23.8005555555574</v>
      </c>
      <c r="BA50" s="180" t="n">
        <v>23.8005555555574</v>
      </c>
      <c r="BB50" s="172"/>
      <c r="BC50" s="172"/>
      <c r="BD50" s="172"/>
      <c r="BE50" s="172"/>
      <c r="BF50" s="193" t="n">
        <v>8</v>
      </c>
      <c r="BG50" s="194" t="n">
        <v>1</v>
      </c>
      <c r="BH50" s="194" t="n">
        <v>2</v>
      </c>
      <c r="BI50" s="194"/>
      <c r="BJ50" s="194" t="s">
        <v>600</v>
      </c>
      <c r="BK50" s="195" t="s">
        <v>586</v>
      </c>
      <c r="BL50" s="194" t="n">
        <v>1</v>
      </c>
      <c r="BM50" s="196" t="n">
        <v>45243</v>
      </c>
      <c r="BN50" s="196" t="n">
        <f aca="false">AQ50+145</f>
        <v>45202.6645258102</v>
      </c>
      <c r="BO50" s="197" t="n">
        <f aca="false">BM50-AQ50</f>
        <v>185.3354741898</v>
      </c>
      <c r="BP50" s="197" t="s">
        <v>594</v>
      </c>
      <c r="BQ50" s="195" t="s">
        <v>587</v>
      </c>
      <c r="BR50" s="199" t="n">
        <v>0.2</v>
      </c>
      <c r="BS50" s="199" t="n">
        <v>0.2</v>
      </c>
      <c r="BT50" s="199" t="n">
        <v>0.2</v>
      </c>
      <c r="BU50" s="199" t="n">
        <v>0.2</v>
      </c>
      <c r="BV50" s="199" t="n">
        <v>0.2</v>
      </c>
      <c r="BW50" s="199" t="n">
        <v>0.2</v>
      </c>
      <c r="BX50" s="199" t="n">
        <v>0.2</v>
      </c>
      <c r="BY50" s="199" t="n">
        <v>0.2</v>
      </c>
      <c r="BZ50" s="199" t="n">
        <v>0.2</v>
      </c>
      <c r="CA50" s="199" t="n">
        <v>0.2</v>
      </c>
      <c r="CB50" s="199" t="n">
        <v>0.2</v>
      </c>
      <c r="CC50" s="200" t="s">
        <v>588</v>
      </c>
      <c r="CD50" s="201" t="s">
        <v>582</v>
      </c>
      <c r="CE50" s="200" t="s">
        <v>588</v>
      </c>
      <c r="CF50" s="201" t="s">
        <v>582</v>
      </c>
      <c r="CG50" s="200" t="s">
        <v>588</v>
      </c>
      <c r="CH50" s="201" t="s">
        <v>582</v>
      </c>
      <c r="CI50" s="203"/>
      <c r="CJ50" s="203"/>
      <c r="CK50" s="204"/>
      <c r="CL50" s="205" t="n">
        <v>0.05</v>
      </c>
      <c r="CM50" s="206" t="n">
        <v>0.068916</v>
      </c>
      <c r="CN50" s="206" t="n">
        <v>0.077001</v>
      </c>
      <c r="CO50" s="206" t="n">
        <v>0.072849</v>
      </c>
      <c r="CP50" s="206" t="n">
        <v>0.072333</v>
      </c>
      <c r="CQ50" s="207" t="n">
        <v>0.87836</v>
      </c>
      <c r="CR50" s="206" t="n">
        <v>0.38027</v>
      </c>
      <c r="CS50" s="286" t="n">
        <v>0.15726</v>
      </c>
      <c r="CT50" s="285" t="n">
        <v>0.10414</v>
      </c>
      <c r="CU50" s="285" t="n">
        <v>0.09067</v>
      </c>
      <c r="CV50" s="206" t="n">
        <v>0.081028</v>
      </c>
      <c r="CW50" s="206" t="n">
        <v>0.083147</v>
      </c>
      <c r="CX50" s="208" t="n">
        <f aca="false">AVERAGE(CL50:CO50)</f>
        <v>0.0671915</v>
      </c>
      <c r="CY50" s="208" t="n">
        <f aca="false">_xlfn.STDEV.S(CL50:CO50)</f>
        <v>0.0119269326735754</v>
      </c>
      <c r="CZ50" s="208" t="n">
        <v>0.1</v>
      </c>
      <c r="DA50" s="172" t="n">
        <v>60</v>
      </c>
      <c r="DB50" s="209" t="e">
        <f aca="false">#REF!+(DA50/24)</f>
        <v>#REF!</v>
      </c>
      <c r="DC50" s="210" t="n">
        <v>2.5</v>
      </c>
      <c r="DD50" s="210" t="n">
        <v>4</v>
      </c>
      <c r="DE50" s="180" t="n">
        <f aca="false">DD50-DC50</f>
        <v>1.5</v>
      </c>
      <c r="DF50" s="180" t="n">
        <f aca="false">MAX(CM50:CX50)</f>
        <v>0.87836</v>
      </c>
      <c r="DG50" s="211" t="e">
        <f aca="false">(DB50-AE50)*24</f>
        <v>#REF!</v>
      </c>
      <c r="DH50" s="195" t="s">
        <v>587</v>
      </c>
      <c r="DI50" s="244" t="e">
        <f aca="false">(AQ50-DB50)*24</f>
        <v>#REF!</v>
      </c>
      <c r="DJ50" s="245" t="s">
        <v>600</v>
      </c>
      <c r="DK50" s="172" t="s">
        <v>152</v>
      </c>
      <c r="DL50" s="238" t="n">
        <v>48</v>
      </c>
      <c r="DM50" s="240" t="s">
        <v>181</v>
      </c>
      <c r="DO50" s="3"/>
      <c r="DP50" s="3"/>
      <c r="DQ50" s="3"/>
      <c r="DR50" s="3"/>
      <c r="DS50" s="3"/>
    </row>
    <row r="51" customFormat="false" ht="15.75" hidden="false" customHeight="true" outlineLevel="0" collapsed="false">
      <c r="A51" s="188" t="s">
        <v>148</v>
      </c>
      <c r="B51" s="238" t="n">
        <v>49</v>
      </c>
      <c r="C51" s="239" t="s">
        <v>251</v>
      </c>
      <c r="D51" s="240" t="s">
        <v>252</v>
      </c>
      <c r="E51" s="215" t="s">
        <v>253</v>
      </c>
      <c r="F51" s="239" t="n">
        <v>88485</v>
      </c>
      <c r="G51" s="193"/>
      <c r="H51" s="218" t="n">
        <v>44482</v>
      </c>
      <c r="I51" s="180" t="n">
        <v>1.56986301369863</v>
      </c>
      <c r="J51" s="218" t="n">
        <v>44884</v>
      </c>
      <c r="K51" s="219" t="n">
        <v>51.98</v>
      </c>
      <c r="L51" s="219" t="n">
        <v>3.5</v>
      </c>
      <c r="M51" s="220" t="n">
        <v>171</v>
      </c>
      <c r="N51" s="221" t="n">
        <v>175</v>
      </c>
      <c r="O51" s="221"/>
      <c r="P51" s="221" t="n">
        <v>1402</v>
      </c>
      <c r="Q51" s="221" t="n">
        <v>1316</v>
      </c>
      <c r="R51" s="221" t="n">
        <v>1410</v>
      </c>
      <c r="S51" s="221" t="n">
        <v>1295</v>
      </c>
      <c r="T51" s="221" t="n">
        <v>1160</v>
      </c>
      <c r="U51" s="222" t="s">
        <v>644</v>
      </c>
      <c r="V51" s="185" t="n">
        <f aca="false">EXP(1.204+(0.102*I51)+(0.007*N51)-(0.001*T51)+(0.008*M51)-2.723)</f>
        <v>1.07694252120704</v>
      </c>
      <c r="W51" s="185" t="n">
        <f aca="false">(V51/(1+V51))</f>
        <v>0.518523026136112</v>
      </c>
      <c r="X51" s="185" t="n">
        <f aca="false">EXP(2.859+(0.011*N51)-(0.002*T51)+(0.275*I51)-1.952)</f>
        <v>2.56950257288526</v>
      </c>
      <c r="Y51" s="185" t="n">
        <f aca="false">(X51/(1+X51))</f>
        <v>0.719848920239973</v>
      </c>
      <c r="Z51" s="238" t="n">
        <v>49</v>
      </c>
      <c r="AA51" s="186"/>
      <c r="AB51" s="187"/>
      <c r="AC51" s="187"/>
      <c r="AD51" s="180"/>
      <c r="AE51" s="187"/>
      <c r="AF51" s="187"/>
      <c r="AG51" s="180"/>
      <c r="AH51" s="180"/>
      <c r="AI51" s="187"/>
      <c r="AJ51" s="187"/>
      <c r="AK51" s="180"/>
      <c r="AL51" s="180"/>
      <c r="AM51" s="180"/>
      <c r="AN51" s="180"/>
      <c r="AO51" s="186"/>
      <c r="AP51" s="188" t="s">
        <v>582</v>
      </c>
      <c r="AQ51" s="189" t="n">
        <v>45057.6856836806</v>
      </c>
      <c r="AR51" s="186" t="s">
        <v>599</v>
      </c>
      <c r="AS51" s="180" t="s">
        <v>593</v>
      </c>
      <c r="AT51" s="172" t="n">
        <v>88</v>
      </c>
      <c r="AU51" s="190" t="n">
        <v>45079.5582523148</v>
      </c>
      <c r="AV51" s="190" t="n">
        <v>45085.6441782407</v>
      </c>
      <c r="AW51" s="191" t="n">
        <v>146.062222222332</v>
      </c>
      <c r="AX51" s="172"/>
      <c r="AY51" s="172"/>
      <c r="AZ51" s="172"/>
      <c r="BA51" s="180"/>
      <c r="BB51" s="172"/>
      <c r="BC51" s="172"/>
      <c r="BD51" s="172"/>
      <c r="BE51" s="172"/>
      <c r="BF51" s="193" t="n">
        <v>2</v>
      </c>
      <c r="BG51" s="194" t="n">
        <v>0</v>
      </c>
      <c r="BH51" s="194"/>
      <c r="BI51" s="194"/>
      <c r="BJ51" s="194" t="s">
        <v>585</v>
      </c>
      <c r="BK51" s="195" t="s">
        <v>587</v>
      </c>
      <c r="BL51" s="194"/>
      <c r="BM51" s="194" t="s">
        <v>543</v>
      </c>
      <c r="BN51" s="196" t="n">
        <f aca="false">AQ51+145</f>
        <v>45202.6856836806</v>
      </c>
      <c r="BO51" s="197"/>
      <c r="BP51" s="197" t="s">
        <v>585</v>
      </c>
      <c r="BQ51" s="195" t="s">
        <v>603</v>
      </c>
      <c r="BR51" s="199" t="n">
        <v>0.2</v>
      </c>
      <c r="BS51" s="199" t="n">
        <v>0.2</v>
      </c>
      <c r="BT51" s="199" t="n">
        <v>0.2</v>
      </c>
      <c r="BU51" s="199" t="n">
        <v>0.2</v>
      </c>
      <c r="BV51" s="199" t="n">
        <v>0.2</v>
      </c>
      <c r="BW51" s="199" t="n">
        <v>0.2</v>
      </c>
      <c r="BX51" s="199" t="n">
        <v>0.2</v>
      </c>
      <c r="BY51" s="199" t="n">
        <v>0.2</v>
      </c>
      <c r="BZ51" s="199" t="n">
        <v>0.2</v>
      </c>
      <c r="CA51" s="199" t="n">
        <v>0.2</v>
      </c>
      <c r="CB51" s="199" t="n">
        <v>0.2</v>
      </c>
      <c r="CC51" s="200" t="s">
        <v>588</v>
      </c>
      <c r="CD51" s="201" t="s">
        <v>582</v>
      </c>
      <c r="CE51" s="200" t="s">
        <v>588</v>
      </c>
      <c r="CF51" s="201" t="s">
        <v>582</v>
      </c>
      <c r="CG51" s="200" t="s">
        <v>588</v>
      </c>
      <c r="CH51" s="201" t="s">
        <v>582</v>
      </c>
      <c r="CI51" s="242"/>
      <c r="CJ51" s="242"/>
      <c r="CK51" s="204"/>
      <c r="CL51" s="205" t="n">
        <v>0.05</v>
      </c>
      <c r="CM51" s="205" t="n">
        <v>0.05</v>
      </c>
      <c r="CN51" s="205" t="n">
        <v>0.05</v>
      </c>
      <c r="CO51" s="206" t="n">
        <v>0.091394</v>
      </c>
      <c r="CP51" s="205" t="n">
        <v>0.05</v>
      </c>
      <c r="CQ51" s="206" t="n">
        <v>0.062683</v>
      </c>
      <c r="CR51" s="206" t="n">
        <v>0.065533</v>
      </c>
      <c r="CS51" s="207" t="n">
        <v>0.25314</v>
      </c>
      <c r="CT51" s="206" t="n">
        <v>0.090127</v>
      </c>
      <c r="CU51" s="205" t="n">
        <v>0.05</v>
      </c>
      <c r="CV51" s="205" t="n">
        <v>0.05</v>
      </c>
      <c r="CW51" s="205" t="n">
        <v>0.05</v>
      </c>
      <c r="CX51" s="208" t="n">
        <f aca="false">AVERAGE(CL51:CO51)</f>
        <v>0.0603485</v>
      </c>
      <c r="CY51" s="208" t="n">
        <f aca="false">_xlfn.STDEV.S(CL51:CO51)</f>
        <v>0.020697</v>
      </c>
      <c r="CZ51" s="208" t="n">
        <f aca="false">CX51+(2*CY51)</f>
        <v>0.1017425</v>
      </c>
      <c r="DA51" s="172" t="n">
        <v>84</v>
      </c>
      <c r="DB51" s="209" t="e">
        <f aca="false">#REF!+(DA51/24)</f>
        <v>#REF!</v>
      </c>
      <c r="DC51" s="210" t="n">
        <v>3.5</v>
      </c>
      <c r="DD51" s="210" t="n">
        <v>4</v>
      </c>
      <c r="DE51" s="180" t="n">
        <f aca="false">DD51-DC51</f>
        <v>0.5</v>
      </c>
      <c r="DF51" s="180" t="n">
        <f aca="false">MAX(CM51:CX51)</f>
        <v>0.25314</v>
      </c>
      <c r="DG51" s="211"/>
      <c r="DH51" s="195" t="s">
        <v>603</v>
      </c>
      <c r="DI51" s="212" t="e">
        <f aca="false">(AQ51-DB51)*24</f>
        <v>#REF!</v>
      </c>
      <c r="DJ51" s="213" t="s">
        <v>585</v>
      </c>
      <c r="DK51" s="188" t="s">
        <v>148</v>
      </c>
      <c r="DL51" s="238" t="n">
        <v>49</v>
      </c>
      <c r="DM51" s="240" t="s">
        <v>252</v>
      </c>
      <c r="DO51" s="267" t="s">
        <v>626</v>
      </c>
      <c r="DP51" s="242"/>
      <c r="DQ51" s="268" t="e">
        <f aca="false">(DQ41/(DP45+DQ41+DQ44)*100)</f>
        <v>#DIV/0!</v>
      </c>
      <c r="DR51" s="242"/>
      <c r="DS51" s="266" t="s">
        <v>645</v>
      </c>
    </row>
    <row r="52" customFormat="false" ht="15.75" hidden="false" customHeight="true" outlineLevel="0" collapsed="false">
      <c r="A52" s="172" t="s">
        <v>152</v>
      </c>
      <c r="B52" s="238" t="n">
        <v>50</v>
      </c>
      <c r="C52" s="239" t="s">
        <v>646</v>
      </c>
      <c r="D52" s="240" t="s">
        <v>647</v>
      </c>
      <c r="E52" s="215" t="s">
        <v>648</v>
      </c>
      <c r="F52" s="239"/>
      <c r="G52" s="193"/>
      <c r="H52" s="218" t="n">
        <v>44482</v>
      </c>
      <c r="I52" s="218"/>
      <c r="J52" s="218" t="n">
        <v>44882</v>
      </c>
      <c r="K52" s="219" t="n">
        <v>64.5</v>
      </c>
      <c r="L52" s="219" t="n">
        <v>3.75</v>
      </c>
      <c r="M52" s="220" t="n">
        <v>173</v>
      </c>
      <c r="N52" s="221" t="n">
        <v>207</v>
      </c>
      <c r="O52" s="221"/>
      <c r="P52" s="221"/>
      <c r="Q52" s="221"/>
      <c r="R52" s="221"/>
      <c r="S52" s="221"/>
      <c r="T52" s="221" t="n">
        <v>1276</v>
      </c>
      <c r="U52" s="288"/>
      <c r="V52" s="288"/>
      <c r="W52" s="289"/>
      <c r="X52" s="289"/>
      <c r="Y52" s="289"/>
      <c r="Z52" s="238" t="n">
        <v>50</v>
      </c>
      <c r="AA52" s="1"/>
      <c r="AB52" s="6"/>
      <c r="AC52" s="6"/>
      <c r="AD52" s="290"/>
      <c r="AE52" s="6"/>
      <c r="AF52" s="6"/>
      <c r="AG52" s="290"/>
      <c r="AH52" s="160"/>
      <c r="AI52" s="6"/>
      <c r="AJ52" s="6"/>
      <c r="AK52" s="290"/>
      <c r="AL52" s="160"/>
      <c r="AM52" s="290"/>
      <c r="AN52" s="290"/>
      <c r="AT52" s="140"/>
      <c r="AU52" s="151"/>
      <c r="AV52" s="151"/>
      <c r="AW52" s="290"/>
      <c r="AX52" s="151"/>
      <c r="AY52" s="151"/>
      <c r="AZ52" s="290"/>
      <c r="BA52" s="290"/>
      <c r="BB52" s="151"/>
      <c r="BC52" s="151"/>
      <c r="BD52" s="290"/>
      <c r="BE52" s="290"/>
      <c r="BF52" s="140"/>
      <c r="BG52" s="140"/>
      <c r="BH52" s="140"/>
      <c r="BI52" s="140"/>
      <c r="BJ52" s="140"/>
      <c r="BK52" s="291"/>
      <c r="BL52" s="140"/>
      <c r="BM52" s="292"/>
      <c r="BN52" s="292"/>
      <c r="BO52" s="289"/>
      <c r="BP52" s="289"/>
      <c r="BQ52" s="291"/>
      <c r="BR52" s="293"/>
      <c r="BS52" s="293"/>
      <c r="BT52" s="294"/>
      <c r="BU52" s="294"/>
      <c r="BV52" s="294"/>
      <c r="BW52" s="294"/>
      <c r="BX52" s="294"/>
      <c r="BY52" s="294"/>
      <c r="BZ52" s="294"/>
      <c r="CA52" s="294"/>
      <c r="CB52" s="294"/>
      <c r="CC52" s="203"/>
      <c r="CD52" s="203"/>
      <c r="CE52" s="203"/>
      <c r="CF52" s="203"/>
      <c r="CG52" s="203"/>
      <c r="CH52" s="203"/>
      <c r="CI52" s="203"/>
      <c r="CJ52" s="203"/>
      <c r="CK52" s="291"/>
      <c r="CL52" s="291"/>
      <c r="CM52" s="291"/>
      <c r="CN52" s="291"/>
      <c r="CO52" s="291"/>
      <c r="CP52" s="291"/>
      <c r="CQ52" s="291"/>
      <c r="CR52" s="291"/>
      <c r="CS52" s="291"/>
      <c r="CT52" s="291"/>
      <c r="CU52" s="291"/>
      <c r="CV52" s="291"/>
      <c r="CW52" s="291"/>
      <c r="CX52" s="291"/>
      <c r="CY52" s="291"/>
      <c r="CZ52" s="291"/>
      <c r="DA52" s="291"/>
      <c r="DB52" s="291"/>
      <c r="DC52" s="291"/>
      <c r="DD52" s="291"/>
      <c r="DE52" s="291"/>
      <c r="DF52" s="291"/>
      <c r="DG52" s="291"/>
      <c r="DH52" s="291"/>
      <c r="DI52" s="291"/>
      <c r="DJ52" s="140"/>
      <c r="DK52" s="172" t="s">
        <v>152</v>
      </c>
      <c r="DL52" s="238" t="n">
        <v>50</v>
      </c>
      <c r="DM52" s="240" t="s">
        <v>647</v>
      </c>
    </row>
    <row r="53" customFormat="false" ht="15.75" hidden="false" customHeight="true" outlineLevel="0" collapsed="false">
      <c r="A53" s="172" t="s">
        <v>152</v>
      </c>
      <c r="B53" s="238" t="n">
        <v>51</v>
      </c>
      <c r="C53" s="239" t="s">
        <v>419</v>
      </c>
      <c r="D53" s="240" t="s">
        <v>420</v>
      </c>
      <c r="E53" s="215" t="s">
        <v>421</v>
      </c>
      <c r="F53" s="239" t="n">
        <v>89051</v>
      </c>
      <c r="G53" s="193"/>
      <c r="H53" s="218" t="n">
        <v>44482</v>
      </c>
      <c r="I53" s="180" t="n">
        <v>1.56986301369863</v>
      </c>
      <c r="J53" s="218" t="n">
        <v>44881</v>
      </c>
      <c r="K53" s="219" t="n">
        <v>55.4</v>
      </c>
      <c r="L53" s="219" t="n">
        <v>3.25</v>
      </c>
      <c r="M53" s="220" t="n">
        <v>174</v>
      </c>
      <c r="N53" s="221" t="n">
        <v>211</v>
      </c>
      <c r="O53" s="221"/>
      <c r="P53" s="221"/>
      <c r="Q53" s="221" t="n">
        <v>1430</v>
      </c>
      <c r="R53" s="221" t="n">
        <v>1748</v>
      </c>
      <c r="S53" s="221" t="n">
        <v>1793</v>
      </c>
      <c r="T53" s="221" t="n">
        <v>1305</v>
      </c>
      <c r="U53" s="257"/>
      <c r="V53" s="185" t="n">
        <f aca="false">EXP(1.204+(0.102*I53)+(0.007*N53)-(0.001*T53)+(0.008*M53)-2.723)</f>
        <v>1.22767977650093</v>
      </c>
      <c r="W53" s="185" t="n">
        <f aca="false">(V53/(1+V53))</f>
        <v>0.55110244724189</v>
      </c>
      <c r="X53" s="185" t="n">
        <f aca="false">EXP(2.859+(0.011*N53)-(0.002*T53)+(0.275*I53)-1.952)</f>
        <v>2.85682917227365</v>
      </c>
      <c r="Y53" s="185" t="n">
        <f aca="false">(X53/(1+X53))</f>
        <v>0.740719654583382</v>
      </c>
      <c r="Z53" s="238" t="n">
        <v>51</v>
      </c>
      <c r="AA53" s="186" t="n">
        <v>2</v>
      </c>
      <c r="AB53" s="187" t="n">
        <v>45055.5053240741</v>
      </c>
      <c r="AC53" s="187" t="n">
        <v>45057.6998611111</v>
      </c>
      <c r="AD53" s="180" t="n">
        <v>52.6688888889039</v>
      </c>
      <c r="AE53" s="187"/>
      <c r="AF53" s="187"/>
      <c r="AG53" s="180"/>
      <c r="AH53" s="180"/>
      <c r="AI53" s="187"/>
      <c r="AJ53" s="187"/>
      <c r="AK53" s="180"/>
      <c r="AL53" s="180"/>
      <c r="AM53" s="180"/>
      <c r="AN53" s="180"/>
      <c r="AO53" s="186" t="n">
        <v>2</v>
      </c>
      <c r="AP53" s="188" t="s">
        <v>582</v>
      </c>
      <c r="AQ53" s="189" t="n">
        <v>45057.664049537</v>
      </c>
      <c r="AR53" s="186" t="s">
        <v>608</v>
      </c>
      <c r="AS53" s="180" t="s">
        <v>584</v>
      </c>
      <c r="AT53" s="172" t="n">
        <v>2</v>
      </c>
      <c r="AU53" s="187" t="n">
        <v>45068.4877199074</v>
      </c>
      <c r="AV53" s="187" t="n">
        <v>45079.4931712963</v>
      </c>
      <c r="AW53" s="180" t="n">
        <v>264.130833333184</v>
      </c>
      <c r="AX53" s="192" t="n">
        <v>45074.4008333333</v>
      </c>
      <c r="AY53" s="192" t="n">
        <v>45074.7588541667</v>
      </c>
      <c r="AZ53" s="180" t="n">
        <v>8.59250000008615</v>
      </c>
      <c r="BA53" s="180" t="n">
        <v>8.59250000008615</v>
      </c>
      <c r="BB53" s="187" t="n">
        <v>45079.4925925926</v>
      </c>
      <c r="BC53" s="187" t="n">
        <v>45079.4931712963</v>
      </c>
      <c r="BD53" s="180" t="n">
        <v>0.0138888888177462</v>
      </c>
      <c r="BE53" s="180" t="n">
        <v>1</v>
      </c>
      <c r="BF53" s="193" t="n">
        <v>23</v>
      </c>
      <c r="BG53" s="194" t="n">
        <v>0</v>
      </c>
      <c r="BH53" s="194"/>
      <c r="BI53" s="194"/>
      <c r="BJ53" s="194" t="s">
        <v>585</v>
      </c>
      <c r="BK53" s="195" t="s">
        <v>586</v>
      </c>
      <c r="BL53" s="194"/>
      <c r="BM53" s="196" t="s">
        <v>611</v>
      </c>
      <c r="BN53" s="196" t="n">
        <f aca="false">BB53+145</f>
        <v>45224.4925925926</v>
      </c>
      <c r="BO53" s="197"/>
      <c r="BP53" s="197" t="s">
        <v>585</v>
      </c>
      <c r="BQ53" s="195" t="s">
        <v>586</v>
      </c>
      <c r="BR53" s="199" t="n">
        <v>0.2</v>
      </c>
      <c r="BS53" s="199" t="n">
        <v>0.2</v>
      </c>
      <c r="BT53" s="199" t="n">
        <v>0.2</v>
      </c>
      <c r="BU53" s="199" t="n">
        <v>0.2</v>
      </c>
      <c r="BV53" s="199" t="n">
        <v>0.2</v>
      </c>
      <c r="BW53" s="199" t="n">
        <v>0.2</v>
      </c>
      <c r="BX53" s="199" t="n">
        <v>0.2</v>
      </c>
      <c r="BY53" s="199" t="n">
        <v>0.2</v>
      </c>
      <c r="BZ53" s="199" t="n">
        <v>0.2</v>
      </c>
      <c r="CA53" s="199" t="n">
        <v>0.8783</v>
      </c>
      <c r="CB53" s="199" t="n">
        <v>1.3899</v>
      </c>
      <c r="CC53" s="200" t="s">
        <v>588</v>
      </c>
      <c r="CD53" s="201" t="s">
        <v>582</v>
      </c>
      <c r="CE53" s="200" t="s">
        <v>588</v>
      </c>
      <c r="CF53" s="202" t="s">
        <v>589</v>
      </c>
      <c r="CG53" s="200" t="s">
        <v>588</v>
      </c>
      <c r="CH53" s="202" t="s">
        <v>589</v>
      </c>
      <c r="CI53" s="203"/>
      <c r="CJ53" s="200" t="s">
        <v>590</v>
      </c>
      <c r="CK53" s="204" t="n">
        <v>7</v>
      </c>
      <c r="CL53" s="205" t="n">
        <v>0.05</v>
      </c>
      <c r="CM53" s="206" t="n">
        <v>0.081204</v>
      </c>
      <c r="CN53" s="206" t="n">
        <v>0.097986</v>
      </c>
      <c r="CO53" s="206" t="n">
        <v>0.064692</v>
      </c>
      <c r="CP53" s="206" t="n">
        <v>0.061351</v>
      </c>
      <c r="CQ53" s="206" t="n">
        <v>0.061517</v>
      </c>
      <c r="CR53" s="206" t="n">
        <v>0.065533</v>
      </c>
      <c r="CS53" s="205" t="n">
        <v>0.05</v>
      </c>
      <c r="CT53" s="207" t="n">
        <v>0.28206</v>
      </c>
      <c r="CU53" s="206" t="n">
        <v>0.071304</v>
      </c>
      <c r="CV53" s="205" t="n">
        <v>0.05</v>
      </c>
      <c r="CW53" s="205" t="n">
        <v>0.05</v>
      </c>
      <c r="CX53" s="208" t="n">
        <f aca="false">AVERAGE(CL53:CO53)</f>
        <v>0.0734705</v>
      </c>
      <c r="CY53" s="208" t="n">
        <f aca="false">_xlfn.STDEV.S(CL53:CO53)</f>
        <v>0.020726337471922</v>
      </c>
      <c r="CZ53" s="208" t="n">
        <f aca="false">CX53+(2*CY53)</f>
        <v>0.114923174943844</v>
      </c>
      <c r="DA53" s="186" t="n">
        <v>96</v>
      </c>
      <c r="DB53" s="209" t="e">
        <f aca="false">#REF!+(DA53/24)</f>
        <v>#REF!</v>
      </c>
      <c r="DC53" s="210" t="n">
        <v>4</v>
      </c>
      <c r="DD53" s="210" t="n">
        <v>4.5</v>
      </c>
      <c r="DE53" s="180" t="n">
        <f aca="false">DD53-DC53</f>
        <v>0.5</v>
      </c>
      <c r="DF53" s="180" t="n">
        <f aca="false">MAX(CM53:CX53)</f>
        <v>0.28206</v>
      </c>
      <c r="DG53" s="211"/>
      <c r="DH53" s="195" t="s">
        <v>603</v>
      </c>
      <c r="DI53" s="212" t="e">
        <f aca="false">(AQ53-DB53)*24</f>
        <v>#REF!</v>
      </c>
      <c r="DJ53" s="213" t="s">
        <v>585</v>
      </c>
      <c r="DK53" s="172" t="s">
        <v>152</v>
      </c>
      <c r="DL53" s="238" t="n">
        <v>51</v>
      </c>
      <c r="DM53" s="240" t="s">
        <v>420</v>
      </c>
      <c r="DO53" s="3"/>
      <c r="DP53" s="3"/>
      <c r="DQ53" s="3"/>
      <c r="DR53" s="3"/>
      <c r="DS53" s="3"/>
    </row>
    <row r="54" customFormat="false" ht="15.75" hidden="false" customHeight="true" outlineLevel="0" collapsed="false">
      <c r="A54" s="188" t="s">
        <v>148</v>
      </c>
      <c r="B54" s="238" t="n">
        <v>52</v>
      </c>
      <c r="C54" s="239" t="s">
        <v>329</v>
      </c>
      <c r="D54" s="240" t="s">
        <v>330</v>
      </c>
      <c r="E54" s="215" t="s">
        <v>331</v>
      </c>
      <c r="F54" s="239" t="n">
        <v>89784</v>
      </c>
      <c r="G54" s="193"/>
      <c r="H54" s="218" t="n">
        <v>44482</v>
      </c>
      <c r="I54" s="180" t="n">
        <v>1.56986301369863</v>
      </c>
      <c r="J54" s="218" t="n">
        <v>44882</v>
      </c>
      <c r="K54" s="219" t="n">
        <v>60.9</v>
      </c>
      <c r="L54" s="219" t="n">
        <v>3</v>
      </c>
      <c r="M54" s="220" t="n">
        <v>173</v>
      </c>
      <c r="N54" s="221" t="n">
        <v>216</v>
      </c>
      <c r="O54" s="221"/>
      <c r="P54" s="221" t="n">
        <v>1285</v>
      </c>
      <c r="Q54" s="221" t="n">
        <v>2288</v>
      </c>
      <c r="R54" s="221" t="n">
        <v>1551</v>
      </c>
      <c r="S54" s="221" t="n">
        <v>1129</v>
      </c>
      <c r="T54" s="221" t="n">
        <v>1653</v>
      </c>
      <c r="U54" s="222" t="s">
        <v>636</v>
      </c>
      <c r="V54" s="185" t="n">
        <f aca="false">EXP(0.585+(0.102*I54)+(0.007*N54)-(0.001*T54)+(0.008*M54)-2.723)</f>
        <v>0.479565893607991</v>
      </c>
      <c r="W54" s="185" t="n">
        <f aca="false">(V54/(1+V54))</f>
        <v>0.324126080277876</v>
      </c>
      <c r="X54" s="185" t="n">
        <f aca="false">EXP(1.741+(0.011*N54)-(0.002*T54)+(0.275*I54)-1.952)</f>
        <v>0.491994534528778</v>
      </c>
      <c r="Y54" s="185" t="n">
        <f aca="false">(X54/(1+X54))</f>
        <v>0.329756257910265</v>
      </c>
      <c r="Z54" s="238" t="n">
        <v>52</v>
      </c>
      <c r="AA54" s="186" t="n">
        <v>51</v>
      </c>
      <c r="AB54" s="187" t="n">
        <v>45056.1256481482</v>
      </c>
      <c r="AC54" s="187" t="n">
        <v>45057.3909722222</v>
      </c>
      <c r="AD54" s="180" t="n">
        <v>30.3677777778357</v>
      </c>
      <c r="AE54" s="187" t="n">
        <v>45056.1256481482</v>
      </c>
      <c r="AF54" s="187" t="n">
        <v>45057.3909722222</v>
      </c>
      <c r="AG54" s="180" t="n">
        <v>30.3677777778357</v>
      </c>
      <c r="AH54" s="180" t="n">
        <v>30.3677777778357</v>
      </c>
      <c r="AI54" s="187"/>
      <c r="AJ54" s="187"/>
      <c r="AK54" s="180"/>
      <c r="AL54" s="180"/>
      <c r="AM54" s="180" t="e">
        <f aca="false">(AE54-#REF!)*24</f>
        <v>#REF!</v>
      </c>
      <c r="AN54" s="180" t="e">
        <f aca="false">AM54+35</f>
        <v>#REF!</v>
      </c>
      <c r="AO54" s="186" t="n">
        <v>68</v>
      </c>
      <c r="AP54" s="188" t="s">
        <v>582</v>
      </c>
      <c r="AQ54" s="189" t="n">
        <v>45057.6810362269</v>
      </c>
      <c r="AR54" s="186" t="s">
        <v>608</v>
      </c>
      <c r="AS54" s="180" t="s">
        <v>593</v>
      </c>
      <c r="AT54" s="172" t="n">
        <v>51</v>
      </c>
      <c r="AU54" s="187"/>
      <c r="AV54" s="187"/>
      <c r="AW54" s="180"/>
      <c r="AX54" s="187" t="n">
        <v>45074.486875</v>
      </c>
      <c r="AY54" s="187" t="n">
        <v>45075.8778125</v>
      </c>
      <c r="AZ54" s="180" t="n">
        <v>33.382500000007</v>
      </c>
      <c r="BA54" s="180" t="n">
        <v>33.382500000007</v>
      </c>
      <c r="BB54" s="172"/>
      <c r="BC54" s="172"/>
      <c r="BD54" s="172"/>
      <c r="BE54" s="172"/>
      <c r="BF54" s="193" t="n">
        <v>34</v>
      </c>
      <c r="BG54" s="194" t="n">
        <v>0</v>
      </c>
      <c r="BH54" s="194"/>
      <c r="BI54" s="194"/>
      <c r="BJ54" s="194" t="s">
        <v>585</v>
      </c>
      <c r="BK54" s="195" t="s">
        <v>587</v>
      </c>
      <c r="BL54" s="194" t="n">
        <v>1</v>
      </c>
      <c r="BM54" s="196" t="n">
        <v>45243</v>
      </c>
      <c r="BN54" s="196" t="n">
        <f aca="false">AX54+145</f>
        <v>45219.486875</v>
      </c>
      <c r="BO54" s="197" t="n">
        <f aca="false">BM54-AQ54</f>
        <v>185.318963773098</v>
      </c>
      <c r="BP54" s="197" t="s">
        <v>594</v>
      </c>
      <c r="BQ54" s="195" t="s">
        <v>587</v>
      </c>
      <c r="BR54" s="199" t="n">
        <v>0.2</v>
      </c>
      <c r="BS54" s="199" t="n">
        <v>0.2</v>
      </c>
      <c r="BT54" s="199" t="n">
        <v>0.2</v>
      </c>
      <c r="BU54" s="199" t="n">
        <v>0.2</v>
      </c>
      <c r="BV54" s="199" t="n">
        <v>0.2</v>
      </c>
      <c r="BW54" s="199" t="n">
        <v>0.2</v>
      </c>
      <c r="BX54" s="199" t="n">
        <v>0.2</v>
      </c>
      <c r="BY54" s="199" t="n">
        <v>0.2</v>
      </c>
      <c r="BZ54" s="199" t="n">
        <v>0.2</v>
      </c>
      <c r="CA54" s="199" t="n">
        <v>0.2</v>
      </c>
      <c r="CB54" s="199" t="n">
        <v>0.2</v>
      </c>
      <c r="CC54" s="200" t="s">
        <v>588</v>
      </c>
      <c r="CD54" s="201" t="s">
        <v>582</v>
      </c>
      <c r="CE54" s="200" t="s">
        <v>588</v>
      </c>
      <c r="CF54" s="201" t="s">
        <v>582</v>
      </c>
      <c r="CG54" s="200" t="s">
        <v>588</v>
      </c>
      <c r="CH54" s="201" t="s">
        <v>582</v>
      </c>
      <c r="CI54" s="203"/>
      <c r="CJ54" s="242"/>
      <c r="CK54" s="204"/>
      <c r="CL54" s="205" t="n">
        <v>0.05</v>
      </c>
      <c r="CM54" s="205" t="n">
        <v>0.05</v>
      </c>
      <c r="CN54" s="206" t="n">
        <v>0.067897</v>
      </c>
      <c r="CO54" s="205" t="n">
        <v>0.05</v>
      </c>
      <c r="CP54" s="286" t="n">
        <v>0.1625</v>
      </c>
      <c r="CQ54" s="207" t="n">
        <v>0.29605</v>
      </c>
      <c r="CR54" s="286" t="n">
        <v>0.12147</v>
      </c>
      <c r="CS54" s="205" t="n">
        <v>0.05</v>
      </c>
      <c r="CT54" s="205" t="n">
        <v>0.05</v>
      </c>
      <c r="CU54" s="205" t="n">
        <v>0.05</v>
      </c>
      <c r="CV54" s="205" t="n">
        <v>0.05</v>
      </c>
      <c r="CW54" s="205" t="n">
        <v>0.05</v>
      </c>
      <c r="CX54" s="208" t="n">
        <f aca="false">AVERAGE(CL54:CO54)</f>
        <v>0.05447425</v>
      </c>
      <c r="CY54" s="208" t="n">
        <f aca="false">_xlfn.STDEV.S(CL54:CO54)</f>
        <v>0.0089485</v>
      </c>
      <c r="CZ54" s="208" t="n">
        <v>0.1</v>
      </c>
      <c r="DA54" s="172" t="n">
        <v>48</v>
      </c>
      <c r="DB54" s="209" t="e">
        <f aca="false">#REF!+(DA54/24)</f>
        <v>#REF!</v>
      </c>
      <c r="DC54" s="210" t="n">
        <v>2</v>
      </c>
      <c r="DD54" s="210" t="n">
        <v>3.5</v>
      </c>
      <c r="DE54" s="180" t="n">
        <f aca="false">DD54-DC54</f>
        <v>1.5</v>
      </c>
      <c r="DF54" s="180" t="n">
        <f aca="false">MAX(CM54:CX54)</f>
        <v>0.29605</v>
      </c>
      <c r="DG54" s="211" t="e">
        <f aca="false">(DB54-AE54)*24</f>
        <v>#REF!</v>
      </c>
      <c r="DH54" s="195" t="s">
        <v>587</v>
      </c>
      <c r="DI54" s="211" t="e">
        <f aca="false">(AQ54-DB54)*24</f>
        <v>#REF!</v>
      </c>
      <c r="DJ54" s="194" t="s">
        <v>585</v>
      </c>
      <c r="DK54" s="188" t="s">
        <v>148</v>
      </c>
      <c r="DL54" s="238" t="n">
        <v>52</v>
      </c>
      <c r="DM54" s="240" t="s">
        <v>330</v>
      </c>
      <c r="DO54" s="282"/>
      <c r="DP54" s="242"/>
      <c r="DQ54" s="242"/>
      <c r="DR54" s="242"/>
      <c r="DS54" s="266"/>
    </row>
    <row r="55" customFormat="false" ht="15.75" hidden="false" customHeight="true" outlineLevel="0" collapsed="false">
      <c r="A55" s="172" t="s">
        <v>152</v>
      </c>
      <c r="B55" s="238" t="n">
        <v>53</v>
      </c>
      <c r="C55" s="239" t="s">
        <v>208</v>
      </c>
      <c r="D55" s="240" t="s">
        <v>209</v>
      </c>
      <c r="E55" s="215" t="s">
        <v>210</v>
      </c>
      <c r="F55" s="239" t="n">
        <v>88264</v>
      </c>
      <c r="G55" s="193"/>
      <c r="H55" s="218" t="n">
        <v>44483</v>
      </c>
      <c r="I55" s="180" t="n">
        <v>1.56712328767123</v>
      </c>
      <c r="J55" s="218" t="n">
        <v>44882</v>
      </c>
      <c r="K55" s="219" t="n">
        <v>59.6</v>
      </c>
      <c r="L55" s="219" t="n">
        <v>3</v>
      </c>
      <c r="M55" s="220" t="n">
        <v>173</v>
      </c>
      <c r="N55" s="221" t="n">
        <v>215</v>
      </c>
      <c r="O55" s="221"/>
      <c r="P55" s="221" t="n">
        <v>1168</v>
      </c>
      <c r="Q55" s="221" t="n">
        <v>1830</v>
      </c>
      <c r="R55" s="221" t="n">
        <v>1805</v>
      </c>
      <c r="S55" s="221" t="n">
        <v>1527</v>
      </c>
      <c r="T55" s="221" t="n">
        <v>1508</v>
      </c>
      <c r="U55" s="257"/>
      <c r="V55" s="185" t="n">
        <f aca="false">EXP(0.585+(0.102*I55)+(0.007*N55)-(0.001*T55)+(0.008*M55)-2.723)</f>
        <v>0.55037609538421</v>
      </c>
      <c r="W55" s="185" t="n">
        <f aca="false">(V55/(1+V55))</f>
        <v>0.354995215046719</v>
      </c>
      <c r="X55" s="185" t="n">
        <f aca="false">EXP(1.741+(0.011*N55)-(0.002*T55)+(0.275*I55)-1.952)</f>
        <v>0.649832204792926</v>
      </c>
      <c r="Y55" s="185" t="n">
        <f aca="false">(X55/(1+X55))</f>
        <v>0.393877754904468</v>
      </c>
      <c r="Z55" s="238" t="n">
        <v>53</v>
      </c>
      <c r="AA55" s="186" t="n">
        <v>27</v>
      </c>
      <c r="AB55" s="187" t="n">
        <v>45056.8732175926</v>
      </c>
      <c r="AC55" s="187" t="n">
        <v>45057.6084953704</v>
      </c>
      <c r="AD55" s="180" t="n">
        <v>17.6466666666674</v>
      </c>
      <c r="AE55" s="190" t="n">
        <v>45056.8732175926</v>
      </c>
      <c r="AF55" s="190" t="n">
        <v>45057.6084953704</v>
      </c>
      <c r="AG55" s="180" t="n">
        <v>17.6466666666674</v>
      </c>
      <c r="AH55" s="180" t="n">
        <v>17.6466666666674</v>
      </c>
      <c r="AI55" s="187"/>
      <c r="AJ55" s="187"/>
      <c r="AK55" s="180"/>
      <c r="AL55" s="180"/>
      <c r="AM55" s="180" t="e">
        <f aca="false">(AE55-#REF!)*24</f>
        <v>#REF!</v>
      </c>
      <c r="AN55" s="180" t="e">
        <f aca="false">AM55+35</f>
        <v>#REF!</v>
      </c>
      <c r="AO55" s="186" t="n">
        <v>2</v>
      </c>
      <c r="AP55" s="186" t="s">
        <v>589</v>
      </c>
      <c r="AQ55" s="189" t="n">
        <v>45057.6617960648</v>
      </c>
      <c r="AR55" s="188" t="s">
        <v>592</v>
      </c>
      <c r="AS55" s="180" t="s">
        <v>593</v>
      </c>
      <c r="AT55" s="172" t="n">
        <v>27</v>
      </c>
      <c r="AU55" s="190" t="n">
        <v>45069.4529050926</v>
      </c>
      <c r="AV55" s="190" t="n">
        <v>45077.4557986111</v>
      </c>
      <c r="AW55" s="191" t="n">
        <v>192.069444444438</v>
      </c>
      <c r="AX55" s="190" t="n">
        <v>45069.4529050926</v>
      </c>
      <c r="AY55" s="190" t="n">
        <v>45070.5446180556</v>
      </c>
      <c r="AZ55" s="191" t="n">
        <v>26.2011111112079</v>
      </c>
      <c r="BA55" s="191" t="n">
        <v>26.2011111112079</v>
      </c>
      <c r="BB55" s="190" t="n">
        <v>45077.4548726852</v>
      </c>
      <c r="BC55" s="190" t="n">
        <v>45077.4557986111</v>
      </c>
      <c r="BD55" s="191" t="n">
        <v>0.0222222221782431</v>
      </c>
      <c r="BE55" s="191" t="n">
        <v>1</v>
      </c>
      <c r="BF55" s="193" t="n">
        <v>6</v>
      </c>
      <c r="BG55" s="194" t="n">
        <v>0</v>
      </c>
      <c r="BH55" s="194"/>
      <c r="BI55" s="194"/>
      <c r="BJ55" s="194" t="s">
        <v>585</v>
      </c>
      <c r="BK55" s="195" t="s">
        <v>587</v>
      </c>
      <c r="BL55" s="194"/>
      <c r="BM55" s="196" t="s">
        <v>611</v>
      </c>
      <c r="BN55" s="196" t="n">
        <f aca="false">BB55+145</f>
        <v>45222.4548726852</v>
      </c>
      <c r="BO55" s="197"/>
      <c r="BP55" s="197" t="s">
        <v>585</v>
      </c>
      <c r="BQ55" s="195" t="s">
        <v>587</v>
      </c>
      <c r="BR55" s="199" t="n">
        <v>0.2</v>
      </c>
      <c r="BS55" s="199" t="n">
        <v>0.2</v>
      </c>
      <c r="BT55" s="199" t="n">
        <v>0.54296</v>
      </c>
      <c r="BU55" s="199" t="n">
        <v>0.2967</v>
      </c>
      <c r="BV55" s="199" t="n">
        <v>0.42102</v>
      </c>
      <c r="BW55" s="199" t="n">
        <v>0.76916</v>
      </c>
      <c r="BX55" s="199" t="n">
        <v>1.0108</v>
      </c>
      <c r="BY55" s="199" t="n">
        <v>0.95234</v>
      </c>
      <c r="BZ55" s="199" t="n">
        <v>0.9181</v>
      </c>
      <c r="CA55" s="199" t="n">
        <v>0.4747</v>
      </c>
      <c r="CB55" s="199" t="n">
        <v>0.4392</v>
      </c>
      <c r="CC55" s="200" t="s">
        <v>588</v>
      </c>
      <c r="CD55" s="201" t="s">
        <v>582</v>
      </c>
      <c r="CE55" s="200" t="s">
        <v>588</v>
      </c>
      <c r="CF55" s="201" t="s">
        <v>582</v>
      </c>
      <c r="CG55" s="200" t="s">
        <v>588</v>
      </c>
      <c r="CH55" s="201" t="s">
        <v>582</v>
      </c>
      <c r="CI55" s="203"/>
      <c r="CJ55" s="203"/>
      <c r="CK55" s="204"/>
      <c r="CL55" s="205" t="n">
        <v>0.05</v>
      </c>
      <c r="CM55" s="205" t="n">
        <v>0.05</v>
      </c>
      <c r="CN55" s="205" t="n">
        <v>0.05</v>
      </c>
      <c r="CO55" s="205" t="n">
        <v>0.05</v>
      </c>
      <c r="CP55" s="205" t="n">
        <v>0.05</v>
      </c>
      <c r="CQ55" s="205" t="n">
        <v>0.05</v>
      </c>
      <c r="CR55" s="205" t="n">
        <v>0.05</v>
      </c>
      <c r="CS55" s="205" t="n">
        <v>0.05</v>
      </c>
      <c r="CT55" s="205" t="n">
        <v>0.05</v>
      </c>
      <c r="CU55" s="205" t="n">
        <v>0.05</v>
      </c>
      <c r="CV55" s="205" t="n">
        <v>0.05</v>
      </c>
      <c r="CW55" s="205" t="n">
        <v>0.05</v>
      </c>
      <c r="CX55" s="208" t="n">
        <f aca="false">AVERAGE(CL55:CO55)</f>
        <v>0.05</v>
      </c>
      <c r="CY55" s="208" t="n">
        <f aca="false">_xlfn.STDEV.S(CL55:CO55)</f>
        <v>0</v>
      </c>
      <c r="CZ55" s="208" t="n">
        <v>0.1</v>
      </c>
      <c r="DA55" s="186"/>
      <c r="DB55" s="209"/>
      <c r="DC55" s="210"/>
      <c r="DD55" s="210"/>
      <c r="DE55" s="180"/>
      <c r="DF55" s="180"/>
      <c r="DG55" s="195"/>
      <c r="DH55" s="195"/>
      <c r="DI55" s="283"/>
      <c r="DJ55" s="213" t="s">
        <v>585</v>
      </c>
      <c r="DK55" s="172" t="s">
        <v>152</v>
      </c>
      <c r="DL55" s="238" t="n">
        <v>53</v>
      </c>
      <c r="DM55" s="240" t="s">
        <v>209</v>
      </c>
      <c r="DO55" s="171"/>
      <c r="DP55" s="171"/>
      <c r="DQ55" s="171"/>
      <c r="DR55" s="171"/>
      <c r="DS55" s="3"/>
    </row>
    <row r="56" customFormat="false" ht="15.75" hidden="false" customHeight="true" outlineLevel="0" collapsed="false">
      <c r="A56" s="172" t="s">
        <v>152</v>
      </c>
      <c r="B56" s="238" t="n">
        <v>54</v>
      </c>
      <c r="C56" s="239" t="s">
        <v>425</v>
      </c>
      <c r="D56" s="240" t="s">
        <v>426</v>
      </c>
      <c r="E56" s="215" t="s">
        <v>427</v>
      </c>
      <c r="F56" s="239" t="n">
        <v>89059</v>
      </c>
      <c r="G56" s="193"/>
      <c r="H56" s="218" t="n">
        <v>44483</v>
      </c>
      <c r="I56" s="180" t="n">
        <v>1.56712328767123</v>
      </c>
      <c r="J56" s="218" t="n">
        <v>44880</v>
      </c>
      <c r="K56" s="219" t="n">
        <v>60</v>
      </c>
      <c r="L56" s="219" t="n">
        <v>3.75</v>
      </c>
      <c r="M56" s="220" t="n">
        <v>175</v>
      </c>
      <c r="N56" s="221" t="n">
        <v>239</v>
      </c>
      <c r="O56" s="221"/>
      <c r="P56" s="221" t="n">
        <v>1956</v>
      </c>
      <c r="Q56" s="221" t="n">
        <v>1773</v>
      </c>
      <c r="R56" s="221" t="n">
        <v>1805</v>
      </c>
      <c r="S56" s="221" t="n">
        <v>1660</v>
      </c>
      <c r="T56" s="221" t="n">
        <v>1537</v>
      </c>
      <c r="U56" s="257"/>
      <c r="V56" s="185" t="n">
        <f aca="false">EXP(1.204+(0.102*I56)+(0.007*N56)-(0.001*T56)+(0.008*M56)-2.723)</f>
        <v>1.19344797473325</v>
      </c>
      <c r="W56" s="185" t="n">
        <f aca="false">(V56/(1+V56))</f>
        <v>0.54409677753054</v>
      </c>
      <c r="X56" s="185" t="n">
        <f aca="false">EXP(2.859+(0.011*N56)-(0.002*T56)+(0.275*I56)-1.952)</f>
        <v>2.44234563686241</v>
      </c>
      <c r="Y56" s="185" t="n">
        <f aca="false">(X56/(1+X56))</f>
        <v>0.709500408880652</v>
      </c>
      <c r="Z56" s="238" t="n">
        <v>54</v>
      </c>
      <c r="AA56" s="186" t="n">
        <v>7</v>
      </c>
      <c r="AB56" s="187" t="n">
        <v>45055.6764930556</v>
      </c>
      <c r="AC56" s="187" t="n">
        <v>45058.7399768519</v>
      </c>
      <c r="AD56" s="180" t="n">
        <v>73.5236111110426</v>
      </c>
      <c r="AE56" s="187" t="n">
        <v>45055.6764930556</v>
      </c>
      <c r="AF56" s="187" t="n">
        <v>45058.7399768519</v>
      </c>
      <c r="AG56" s="180" t="n">
        <v>73.5236111110426</v>
      </c>
      <c r="AH56" s="180" t="n">
        <v>73.5236111110426</v>
      </c>
      <c r="AI56" s="187"/>
      <c r="AJ56" s="187"/>
      <c r="AK56" s="180"/>
      <c r="AL56" s="180"/>
      <c r="AM56" s="180" t="e">
        <f aca="false">(AE56-#REF!)*24</f>
        <v>#REF!</v>
      </c>
      <c r="AN56" s="180" t="e">
        <f aca="false">AM56+35</f>
        <v>#REF!</v>
      </c>
      <c r="AO56" s="186" t="n">
        <v>79</v>
      </c>
      <c r="AP56" s="188" t="s">
        <v>582</v>
      </c>
      <c r="AQ56" s="189" t="n">
        <v>45057.6619762731</v>
      </c>
      <c r="AR56" s="186" t="s">
        <v>608</v>
      </c>
      <c r="AS56" s="180" t="s">
        <v>584</v>
      </c>
      <c r="AT56" s="172" t="n">
        <v>7</v>
      </c>
      <c r="AU56" s="172"/>
      <c r="AV56" s="172"/>
      <c r="AW56" s="172"/>
      <c r="AX56" s="284" t="n">
        <v>45077.6404166667</v>
      </c>
      <c r="AY56" s="284" t="n">
        <v>45077.6404166667</v>
      </c>
      <c r="AZ56" s="191" t="n">
        <v>0</v>
      </c>
      <c r="BA56" s="180" t="n">
        <v>1</v>
      </c>
      <c r="BB56" s="172"/>
      <c r="BC56" s="172"/>
      <c r="BD56" s="172"/>
      <c r="BE56" s="172"/>
      <c r="BF56" s="193" t="n">
        <v>1</v>
      </c>
      <c r="BG56" s="194" t="n">
        <v>0</v>
      </c>
      <c r="BH56" s="194"/>
      <c r="BI56" s="194"/>
      <c r="BJ56" s="194" t="s">
        <v>585</v>
      </c>
      <c r="BK56" s="195" t="s">
        <v>612</v>
      </c>
      <c r="BL56" s="194"/>
      <c r="BM56" s="196" t="s">
        <v>611</v>
      </c>
      <c r="BN56" s="196" t="n">
        <f aca="false">AX56+145</f>
        <v>45222.6404166667</v>
      </c>
      <c r="BO56" s="197"/>
      <c r="BP56" s="197" t="s">
        <v>585</v>
      </c>
      <c r="BQ56" s="195" t="s">
        <v>612</v>
      </c>
      <c r="BR56" s="199" t="n">
        <v>0.28232</v>
      </c>
      <c r="BS56" s="199" t="n">
        <v>0.2</v>
      </c>
      <c r="BT56" s="199" t="n">
        <v>0.58687</v>
      </c>
      <c r="BU56" s="199" t="n">
        <v>0.64562</v>
      </c>
      <c r="BV56" s="199" t="n">
        <v>0.63506</v>
      </c>
      <c r="BW56" s="199" t="n">
        <v>0.4747</v>
      </c>
      <c r="BX56" s="199" t="n">
        <v>0.85903</v>
      </c>
      <c r="BY56" s="199" t="n">
        <v>1.8469</v>
      </c>
      <c r="BZ56" s="199" t="n">
        <v>2.4842</v>
      </c>
      <c r="CA56" s="199" t="n">
        <v>3.1787</v>
      </c>
      <c r="CB56" s="199" t="n">
        <v>3.7432</v>
      </c>
      <c r="CC56" s="200" t="s">
        <v>588</v>
      </c>
      <c r="CD56" s="202" t="s">
        <v>589</v>
      </c>
      <c r="CE56" s="200" t="s">
        <v>588</v>
      </c>
      <c r="CF56" s="202" t="s">
        <v>589</v>
      </c>
      <c r="CG56" s="200" t="s">
        <v>588</v>
      </c>
      <c r="CH56" s="202" t="s">
        <v>589</v>
      </c>
      <c r="CI56" s="203"/>
      <c r="CJ56" s="200" t="s">
        <v>595</v>
      </c>
      <c r="CK56" s="204" t="n">
        <v>5</v>
      </c>
      <c r="CL56" s="205" t="n">
        <v>0.05</v>
      </c>
      <c r="CM56" s="205" t="n">
        <v>0.05</v>
      </c>
      <c r="CN56" s="206" t="n">
        <v>0.073882</v>
      </c>
      <c r="CO56" s="206" t="n">
        <v>0.068406</v>
      </c>
      <c r="CP56" s="206" t="n">
        <v>0.076211</v>
      </c>
      <c r="CQ56" s="207" t="n">
        <v>0.81255</v>
      </c>
      <c r="CR56" s="286" t="n">
        <v>0.2763</v>
      </c>
      <c r="CS56" s="206" t="n">
        <v>0.081154</v>
      </c>
      <c r="CT56" s="206" t="n">
        <v>0.061277</v>
      </c>
      <c r="CU56" s="206" t="n">
        <v>0.06875</v>
      </c>
      <c r="CV56" s="206" t="n">
        <v>0.061782</v>
      </c>
      <c r="CW56" s="205" t="n">
        <v>0.05</v>
      </c>
      <c r="CX56" s="208" t="n">
        <f aca="false">AVERAGE(CL56:CO56)</f>
        <v>0.060572</v>
      </c>
      <c r="CY56" s="208" t="n">
        <f aca="false">_xlfn.STDEV.S(CL56:CO56)</f>
        <v>0.0124105066240934</v>
      </c>
      <c r="CZ56" s="208" t="n">
        <v>0.1</v>
      </c>
      <c r="DA56" s="186" t="n">
        <v>60</v>
      </c>
      <c r="DB56" s="209" t="e">
        <f aca="false">#REF!+(DA56/24)</f>
        <v>#REF!</v>
      </c>
      <c r="DC56" s="210" t="n">
        <v>2.5</v>
      </c>
      <c r="DD56" s="210" t="n">
        <v>3.5</v>
      </c>
      <c r="DE56" s="180" t="n">
        <f aca="false">DD56-DC56</f>
        <v>1</v>
      </c>
      <c r="DF56" s="180" t="n">
        <f aca="false">MAX(CM56:CX56)</f>
        <v>0.81255</v>
      </c>
      <c r="DG56" s="211" t="e">
        <f aca="false">(DB56-AE56)*24</f>
        <v>#REF!</v>
      </c>
      <c r="DH56" s="195" t="s">
        <v>587</v>
      </c>
      <c r="DI56" s="211" t="e">
        <f aca="false">(AQ56-DB56)*24</f>
        <v>#REF!</v>
      </c>
      <c r="DJ56" s="194" t="s">
        <v>585</v>
      </c>
      <c r="DK56" s="172" t="s">
        <v>152</v>
      </c>
      <c r="DL56" s="238" t="n">
        <v>54</v>
      </c>
      <c r="DM56" s="240" t="s">
        <v>426</v>
      </c>
      <c r="DO56" s="3"/>
      <c r="DP56" s="3"/>
      <c r="DQ56" s="3"/>
      <c r="DR56" s="3"/>
    </row>
    <row r="57" customFormat="false" ht="15.75" hidden="false" customHeight="true" outlineLevel="0" collapsed="false">
      <c r="A57" s="188" t="s">
        <v>148</v>
      </c>
      <c r="B57" s="238" t="n">
        <v>55</v>
      </c>
      <c r="C57" s="239" t="s">
        <v>338</v>
      </c>
      <c r="D57" s="240" t="s">
        <v>339</v>
      </c>
      <c r="E57" s="215" t="s">
        <v>340</v>
      </c>
      <c r="F57" s="239" t="n">
        <v>89262</v>
      </c>
      <c r="G57" s="193"/>
      <c r="H57" s="218" t="n">
        <v>44483</v>
      </c>
      <c r="I57" s="180" t="n">
        <v>1.56712328767123</v>
      </c>
      <c r="J57" s="218" t="n">
        <v>44880</v>
      </c>
      <c r="K57" s="219" t="n">
        <v>68</v>
      </c>
      <c r="L57" s="219" t="n">
        <v>3.5</v>
      </c>
      <c r="M57" s="220" t="n">
        <v>175</v>
      </c>
      <c r="N57" s="221" t="n">
        <v>205</v>
      </c>
      <c r="O57" s="221"/>
      <c r="P57" s="221" t="n">
        <v>818</v>
      </c>
      <c r="Q57" s="221" t="n">
        <v>1773</v>
      </c>
      <c r="R57" s="221" t="n">
        <v>1692</v>
      </c>
      <c r="S57" s="221" t="n">
        <v>1494</v>
      </c>
      <c r="T57" s="221" t="n">
        <v>1595</v>
      </c>
      <c r="U57" s="222" t="s">
        <v>649</v>
      </c>
      <c r="V57" s="185" t="n">
        <f aca="false">EXP(1.204+(0.102*I57)+(0.007*N57)-(0.001*T57)+(0.008*M57)-2.723)</f>
        <v>0.887671599602737</v>
      </c>
      <c r="W57" s="185" t="n">
        <f aca="false">(V57/(1+V57))</f>
        <v>0.470246837315108</v>
      </c>
      <c r="X57" s="185" t="n">
        <f aca="false">EXP(2.859+(0.011*N57)-(0.002*T57)+(0.275*I57)-1.952)</f>
        <v>1.49624540086306</v>
      </c>
      <c r="Y57" s="185" t="n">
        <f aca="false">(X57/(1+X57))</f>
        <v>0.599398360572139</v>
      </c>
      <c r="Z57" s="238" t="n">
        <v>55</v>
      </c>
      <c r="AA57" s="186" t="n">
        <v>64</v>
      </c>
      <c r="AB57" s="187" t="n">
        <v>45057.0456481481</v>
      </c>
      <c r="AC57" s="187" t="n">
        <v>45066.4579050926</v>
      </c>
      <c r="AD57" s="180" t="n">
        <v>225.894166666665</v>
      </c>
      <c r="AE57" s="187" t="n">
        <v>45057.0456481481</v>
      </c>
      <c r="AF57" s="187" t="n">
        <v>45057.4960532407</v>
      </c>
      <c r="AG57" s="180" t="n">
        <v>10.8097222223296</v>
      </c>
      <c r="AH57" s="180" t="n">
        <v>10.8097222223296</v>
      </c>
      <c r="AI57" s="187"/>
      <c r="AJ57" s="187"/>
      <c r="AK57" s="180"/>
      <c r="AL57" s="180"/>
      <c r="AM57" s="180" t="e">
        <f aca="false">(AE57-#REF!)*24</f>
        <v>#REF!</v>
      </c>
      <c r="AN57" s="180" t="e">
        <f aca="false">AM57+35</f>
        <v>#REF!</v>
      </c>
      <c r="AO57" s="186" t="n">
        <v>3</v>
      </c>
      <c r="AP57" s="186" t="s">
        <v>589</v>
      </c>
      <c r="AQ57" s="189" t="n">
        <v>45057.6790802083</v>
      </c>
      <c r="AR57" s="186" t="s">
        <v>608</v>
      </c>
      <c r="AS57" s="180" t="s">
        <v>584</v>
      </c>
      <c r="AT57" s="172"/>
      <c r="AU57" s="187"/>
      <c r="AV57" s="187"/>
      <c r="AW57" s="180"/>
      <c r="AX57" s="187"/>
      <c r="AY57" s="187"/>
      <c r="AZ57" s="180"/>
      <c r="BA57" s="180"/>
      <c r="BB57" s="172"/>
      <c r="BC57" s="172"/>
      <c r="BD57" s="172"/>
      <c r="BE57" s="172"/>
      <c r="BF57" s="193"/>
      <c r="BG57" s="194" t="n">
        <v>1</v>
      </c>
      <c r="BH57" s="194" t="n">
        <v>1</v>
      </c>
      <c r="BI57" s="194"/>
      <c r="BJ57" s="194" t="s">
        <v>600</v>
      </c>
      <c r="BK57" s="195" t="s">
        <v>587</v>
      </c>
      <c r="BL57" s="194" t="n">
        <v>1</v>
      </c>
      <c r="BM57" s="196" t="n">
        <v>45205</v>
      </c>
      <c r="BN57" s="196" t="n">
        <f aca="false">AQ57+145</f>
        <v>45202.6790802083</v>
      </c>
      <c r="BO57" s="197" t="n">
        <f aca="false">BM57-AQ57</f>
        <v>147.320919791702</v>
      </c>
      <c r="BP57" s="197" t="s">
        <v>35</v>
      </c>
      <c r="BQ57" s="195" t="s">
        <v>587</v>
      </c>
      <c r="BR57" s="199" t="n">
        <v>0.2</v>
      </c>
      <c r="BS57" s="199" t="n">
        <v>4.1925</v>
      </c>
      <c r="BT57" s="199" t="n">
        <v>0.42711</v>
      </c>
      <c r="BU57" s="199" t="n">
        <v>0.42711</v>
      </c>
      <c r="BV57" s="199" t="n">
        <v>0.33133</v>
      </c>
      <c r="BW57" s="199" t="n">
        <v>0.56505</v>
      </c>
      <c r="BX57" s="199" t="n">
        <v>1.0884</v>
      </c>
      <c r="BY57" s="199" t="n">
        <v>1.0205</v>
      </c>
      <c r="BZ57" s="199" t="n">
        <v>2.4522</v>
      </c>
      <c r="CA57" s="199" t="n">
        <v>4.0495</v>
      </c>
      <c r="CB57" s="199" t="n">
        <v>3.9129</v>
      </c>
      <c r="CC57" s="251" t="s">
        <v>65</v>
      </c>
      <c r="CD57" s="252"/>
      <c r="CE57" s="251" t="s">
        <v>65</v>
      </c>
      <c r="CF57" s="252"/>
      <c r="CG57" s="251" t="s">
        <v>65</v>
      </c>
      <c r="CH57" s="252"/>
      <c r="CI57" s="200" t="s">
        <v>595</v>
      </c>
      <c r="CJ57" s="203"/>
      <c r="CK57" s="204" t="n">
        <v>4</v>
      </c>
      <c r="CL57" s="205" t="n">
        <v>0.05</v>
      </c>
      <c r="CM57" s="205" t="n">
        <v>0.05</v>
      </c>
      <c r="CN57" s="206" t="n">
        <v>0.069266</v>
      </c>
      <c r="CO57" s="206" t="n">
        <v>0.071162</v>
      </c>
      <c r="CP57" s="286" t="n">
        <v>0.34883</v>
      </c>
      <c r="CQ57" s="207" t="n">
        <v>0.44234</v>
      </c>
      <c r="CR57" s="286" t="n">
        <v>0.18316</v>
      </c>
      <c r="CS57" s="285" t="n">
        <v>0.082579</v>
      </c>
      <c r="CT57" s="206" t="n">
        <v>0.070644</v>
      </c>
      <c r="CU57" s="206" t="n">
        <v>0.063131</v>
      </c>
      <c r="CV57" s="206" t="n">
        <v>0.062793</v>
      </c>
      <c r="CW57" s="206" t="n">
        <v>0.065844</v>
      </c>
      <c r="CX57" s="208" t="n">
        <f aca="false">AVERAGE(CL57:CO57)</f>
        <v>0.060107</v>
      </c>
      <c r="CY57" s="208" t="n">
        <f aca="false">_xlfn.STDEV.S(CL57:CO57)</f>
        <v>0.0116961988697183</v>
      </c>
      <c r="CZ57" s="208" t="n">
        <v>0.1</v>
      </c>
      <c r="DA57" s="186" t="n">
        <v>48</v>
      </c>
      <c r="DB57" s="209" t="e">
        <f aca="false">#REF!+(DA57/24)</f>
        <v>#REF!</v>
      </c>
      <c r="DC57" s="210" t="n">
        <v>2</v>
      </c>
      <c r="DD57" s="210" t="n">
        <v>3.5</v>
      </c>
      <c r="DE57" s="180" t="n">
        <f aca="false">DD57-DC57</f>
        <v>1.5</v>
      </c>
      <c r="DF57" s="180" t="n">
        <f aca="false">MAX(CM57:CX57)</f>
        <v>0.44234</v>
      </c>
      <c r="DG57" s="211" t="e">
        <f aca="false">(DB57-AE57)*24</f>
        <v>#REF!</v>
      </c>
      <c r="DH57" s="195" t="s">
        <v>587</v>
      </c>
      <c r="DI57" s="244" t="e">
        <f aca="false">(AQ57-DB57)*24</f>
        <v>#REF!</v>
      </c>
      <c r="DJ57" s="245" t="s">
        <v>600</v>
      </c>
      <c r="DK57" s="188" t="s">
        <v>148</v>
      </c>
      <c r="DL57" s="238" t="n">
        <v>55</v>
      </c>
      <c r="DM57" s="240" t="s">
        <v>339</v>
      </c>
      <c r="DO57" s="282"/>
      <c r="DP57" s="242"/>
      <c r="DQ57" s="242"/>
      <c r="DR57" s="242"/>
      <c r="DS57" s="266"/>
    </row>
    <row r="58" customFormat="false" ht="15.75" hidden="false" customHeight="true" outlineLevel="0" collapsed="false">
      <c r="A58" s="188" t="s">
        <v>148</v>
      </c>
      <c r="B58" s="238" t="n">
        <v>56</v>
      </c>
      <c r="C58" s="239" t="s">
        <v>344</v>
      </c>
      <c r="D58" s="240" t="s">
        <v>345</v>
      </c>
      <c r="E58" s="215" t="s">
        <v>346</v>
      </c>
      <c r="F58" s="239" t="n">
        <v>88843</v>
      </c>
      <c r="G58" s="193"/>
      <c r="H58" s="218" t="n">
        <v>44483</v>
      </c>
      <c r="I58" s="180" t="n">
        <v>1.56712328767123</v>
      </c>
      <c r="J58" s="218" t="n">
        <v>44882</v>
      </c>
      <c r="K58" s="219" t="n">
        <v>57.4</v>
      </c>
      <c r="L58" s="219" t="n">
        <v>3</v>
      </c>
      <c r="M58" s="220" t="n">
        <v>173</v>
      </c>
      <c r="N58" s="221" t="n">
        <v>211</v>
      </c>
      <c r="O58" s="221"/>
      <c r="P58" s="221"/>
      <c r="Q58" s="221" t="n">
        <v>1430</v>
      </c>
      <c r="R58" s="221" t="n">
        <v>1579</v>
      </c>
      <c r="S58" s="221" t="n">
        <v>1826</v>
      </c>
      <c r="T58" s="221" t="n">
        <v>1479</v>
      </c>
      <c r="U58" s="222" t="s">
        <v>650</v>
      </c>
      <c r="V58" s="185" t="n">
        <f aca="false">EXP(0.585+(0.102*I58)+(0.007*N58)-(0.001*T58)+(0.008*M58)-2.723)</f>
        <v>0.550926746759394</v>
      </c>
      <c r="W58" s="185" t="n">
        <f aca="false">(V58/(1+V58))</f>
        <v>0.355224221847058</v>
      </c>
      <c r="X58" s="185" t="n">
        <f aca="false">EXP(1.741+(0.011*N58)-(0.002*T58)+(0.275*I58)-1.952)</f>
        <v>0.658993837449109</v>
      </c>
      <c r="Y58" s="185" t="n">
        <f aca="false">(X58/(1+X58))</f>
        <v>0.397225006249804</v>
      </c>
      <c r="Z58" s="238" t="n">
        <v>56</v>
      </c>
      <c r="AA58" s="186"/>
      <c r="AB58" s="187"/>
      <c r="AC58" s="187"/>
      <c r="AD58" s="180"/>
      <c r="AE58" s="187"/>
      <c r="AF58" s="187"/>
      <c r="AG58" s="180"/>
      <c r="AH58" s="180"/>
      <c r="AI58" s="187"/>
      <c r="AJ58" s="187"/>
      <c r="AK58" s="180"/>
      <c r="AL58" s="180"/>
      <c r="AM58" s="180"/>
      <c r="AN58" s="180"/>
      <c r="AO58" s="186"/>
      <c r="AP58" s="188" t="s">
        <v>582</v>
      </c>
      <c r="AQ58" s="189" t="n">
        <v>45057.6850402778</v>
      </c>
      <c r="AR58" s="186" t="s">
        <v>606</v>
      </c>
      <c r="AS58" s="180" t="s">
        <v>593</v>
      </c>
      <c r="AT58" s="172" t="n">
        <v>92</v>
      </c>
      <c r="AU58" s="172"/>
      <c r="AV58" s="172"/>
      <c r="AW58" s="172"/>
      <c r="AX58" s="190" t="n">
        <v>45086.4712615741</v>
      </c>
      <c r="AY58" s="190" t="n">
        <v>45086.4712615741</v>
      </c>
      <c r="AZ58" s="191" t="n">
        <v>0</v>
      </c>
      <c r="BA58" s="180" t="n">
        <v>1</v>
      </c>
      <c r="BB58" s="172"/>
      <c r="BC58" s="172"/>
      <c r="BD58" s="172"/>
      <c r="BE58" s="172"/>
      <c r="BF58" s="193" t="n">
        <v>1</v>
      </c>
      <c r="BG58" s="194" t="n">
        <v>0</v>
      </c>
      <c r="BH58" s="194"/>
      <c r="BI58" s="194"/>
      <c r="BJ58" s="194" t="s">
        <v>585</v>
      </c>
      <c r="BK58" s="195" t="s">
        <v>587</v>
      </c>
      <c r="BL58" s="194" t="n">
        <v>1</v>
      </c>
      <c r="BM58" s="196" t="n">
        <v>45254</v>
      </c>
      <c r="BN58" s="196" t="n">
        <f aca="false">AX58+145</f>
        <v>45231.4712615741</v>
      </c>
      <c r="BO58" s="197" t="n">
        <f aca="false">BM58-AQ58</f>
        <v>196.3149597222</v>
      </c>
      <c r="BP58" s="197" t="s">
        <v>594</v>
      </c>
      <c r="BQ58" s="195" t="s">
        <v>587</v>
      </c>
      <c r="BR58" s="199" t="n">
        <v>0.2</v>
      </c>
      <c r="BS58" s="199" t="n">
        <v>0.2</v>
      </c>
      <c r="BT58" s="199" t="n">
        <v>0.2</v>
      </c>
      <c r="BU58" s="199" t="n">
        <v>0.2</v>
      </c>
      <c r="BV58" s="199" t="n">
        <v>0.2</v>
      </c>
      <c r="BW58" s="199" t="n">
        <v>0.2</v>
      </c>
      <c r="BX58" s="199" t="n">
        <v>0.2</v>
      </c>
      <c r="BY58" s="199" t="n">
        <v>0.2</v>
      </c>
      <c r="BZ58" s="199" t="n">
        <v>0.2</v>
      </c>
      <c r="CA58" s="199" t="n">
        <v>1.5784</v>
      </c>
      <c r="CB58" s="199" t="n">
        <v>1.5055</v>
      </c>
      <c r="CC58" s="200" t="s">
        <v>588</v>
      </c>
      <c r="CD58" s="201" t="s">
        <v>582</v>
      </c>
      <c r="CE58" s="200" t="s">
        <v>588</v>
      </c>
      <c r="CF58" s="202" t="s">
        <v>589</v>
      </c>
      <c r="CG58" s="200" t="s">
        <v>588</v>
      </c>
      <c r="CH58" s="202" t="s">
        <v>589</v>
      </c>
      <c r="CI58" s="203"/>
      <c r="CJ58" s="200" t="s">
        <v>590</v>
      </c>
      <c r="CK58" s="204" t="n">
        <v>7</v>
      </c>
      <c r="CL58" s="205" t="n">
        <v>0.05</v>
      </c>
      <c r="CM58" s="205" t="n">
        <v>0.05</v>
      </c>
      <c r="CN58" s="205" t="n">
        <v>0.05</v>
      </c>
      <c r="CO58" s="205" t="n">
        <v>0.05</v>
      </c>
      <c r="CP58" s="205" t="n">
        <v>0.05</v>
      </c>
      <c r="CQ58" s="205" t="n">
        <v>0.05</v>
      </c>
      <c r="CR58" s="207" t="n">
        <v>0.15491</v>
      </c>
      <c r="CS58" s="285" t="n">
        <v>0.068407</v>
      </c>
      <c r="CT58" s="205" t="n">
        <v>0.05</v>
      </c>
      <c r="CU58" s="205" t="n">
        <v>0.05</v>
      </c>
      <c r="CV58" s="206" t="n">
        <v>0.071335</v>
      </c>
      <c r="CW58" s="205" t="n">
        <v>0.05</v>
      </c>
      <c r="CX58" s="208" t="n">
        <f aca="false">AVERAGE(CL58:CO58)</f>
        <v>0.05</v>
      </c>
      <c r="CY58" s="208" t="n">
        <f aca="false">_xlfn.STDEV.S(CL58:CO58)</f>
        <v>0</v>
      </c>
      <c r="CZ58" s="208" t="n">
        <v>0.1</v>
      </c>
      <c r="DA58" s="186" t="n">
        <v>72</v>
      </c>
      <c r="DB58" s="209" t="e">
        <f aca="false">#REF!+(DA58/24)</f>
        <v>#REF!</v>
      </c>
      <c r="DC58" s="210" t="n">
        <v>3</v>
      </c>
      <c r="DD58" s="210" t="n">
        <v>3.5</v>
      </c>
      <c r="DE58" s="180" t="n">
        <f aca="false">DD58-DC58</f>
        <v>0.5</v>
      </c>
      <c r="DF58" s="180" t="n">
        <f aca="false">MAX(CM58:CX58)</f>
        <v>0.15491</v>
      </c>
      <c r="DG58" s="211"/>
      <c r="DH58" s="195" t="s">
        <v>603</v>
      </c>
      <c r="DI58" s="212" t="e">
        <f aca="false">(AQ58-DB58)*24</f>
        <v>#REF!</v>
      </c>
      <c r="DJ58" s="213" t="s">
        <v>585</v>
      </c>
      <c r="DK58" s="188" t="s">
        <v>148</v>
      </c>
      <c r="DL58" s="238" t="n">
        <v>56</v>
      </c>
      <c r="DM58" s="240" t="s">
        <v>345</v>
      </c>
      <c r="DO58" s="282"/>
      <c r="DP58" s="242"/>
      <c r="DQ58" s="242"/>
      <c r="DR58" s="242"/>
      <c r="DS58" s="266"/>
    </row>
    <row r="59" customFormat="false" ht="15.75" hidden="false" customHeight="true" outlineLevel="0" collapsed="false">
      <c r="A59" s="188" t="s">
        <v>148</v>
      </c>
      <c r="B59" s="238" t="n">
        <v>57</v>
      </c>
      <c r="C59" s="239" t="s">
        <v>347</v>
      </c>
      <c r="D59" s="240" t="s">
        <v>348</v>
      </c>
      <c r="E59" s="215" t="s">
        <v>349</v>
      </c>
      <c r="F59" s="239" t="n">
        <v>89792</v>
      </c>
      <c r="G59" s="193"/>
      <c r="H59" s="218" t="n">
        <v>44483</v>
      </c>
      <c r="I59" s="180" t="n">
        <v>1.56712328767123</v>
      </c>
      <c r="J59" s="218" t="n">
        <v>44883</v>
      </c>
      <c r="K59" s="219" t="n">
        <v>66.2</v>
      </c>
      <c r="L59" s="219" t="n">
        <v>3.25</v>
      </c>
      <c r="M59" s="220" t="n">
        <v>172</v>
      </c>
      <c r="N59" s="221" t="n">
        <v>203</v>
      </c>
      <c r="O59" s="221"/>
      <c r="P59" s="221" t="n">
        <v>1022</v>
      </c>
      <c r="Q59" s="221" t="n">
        <v>1859</v>
      </c>
      <c r="R59" s="221" t="n">
        <v>1720</v>
      </c>
      <c r="S59" s="221" t="n">
        <v>1660</v>
      </c>
      <c r="T59" s="221" t="n">
        <v>1160</v>
      </c>
      <c r="U59" s="253"/>
      <c r="V59" s="185" t="n">
        <f aca="false">EXP(1.204+(0.102*I59)+(0.007*N59)-(0.001*T59)+(0.008*M59)-2.723)</f>
        <v>1.32028361760726</v>
      </c>
      <c r="W59" s="185" t="n">
        <f aca="false">(V59/(1+V59))</f>
        <v>0.569018204321407</v>
      </c>
      <c r="X59" s="185" t="n">
        <f aca="false">EXP(2.859+(0.011*N59)-(0.002*T59)+(0.275*I59)-1.952)</f>
        <v>3.49369146686076</v>
      </c>
      <c r="Y59" s="185" t="n">
        <f aca="false">(X59/(1+X59))</f>
        <v>0.77746580792771</v>
      </c>
      <c r="Z59" s="238" t="n">
        <v>57</v>
      </c>
      <c r="AA59" s="186"/>
      <c r="AB59" s="187"/>
      <c r="AC59" s="187"/>
      <c r="AD59" s="180"/>
      <c r="AE59" s="187"/>
      <c r="AF59" s="187"/>
      <c r="AG59" s="180"/>
      <c r="AH59" s="180"/>
      <c r="AI59" s="187"/>
      <c r="AJ59" s="187"/>
      <c r="AK59" s="180"/>
      <c r="AL59" s="180"/>
      <c r="AM59" s="180"/>
      <c r="AN59" s="180"/>
      <c r="AO59" s="186"/>
      <c r="AP59" s="188" t="s">
        <v>582</v>
      </c>
      <c r="AQ59" s="189" t="n">
        <v>45057.6861439815</v>
      </c>
      <c r="AR59" s="186" t="s">
        <v>608</v>
      </c>
      <c r="AS59" s="180" t="s">
        <v>584</v>
      </c>
      <c r="AT59" s="172"/>
      <c r="AU59" s="172"/>
      <c r="AV59" s="172"/>
      <c r="AW59" s="172"/>
      <c r="AX59" s="172"/>
      <c r="AY59" s="172"/>
      <c r="AZ59" s="172"/>
      <c r="BA59" s="180"/>
      <c r="BB59" s="172"/>
      <c r="BC59" s="172"/>
      <c r="BD59" s="172"/>
      <c r="BE59" s="172"/>
      <c r="BF59" s="193"/>
      <c r="BG59" s="194" t="n">
        <v>0</v>
      </c>
      <c r="BH59" s="194"/>
      <c r="BI59" s="194"/>
      <c r="BJ59" s="194" t="s">
        <v>585</v>
      </c>
      <c r="BK59" s="195" t="s">
        <v>587</v>
      </c>
      <c r="BL59" s="194"/>
      <c r="BM59" s="196" t="s">
        <v>611</v>
      </c>
      <c r="BN59" s="196" t="n">
        <f aca="false">AQ59+145</f>
        <v>45202.6861439815</v>
      </c>
      <c r="BO59" s="197"/>
      <c r="BP59" s="197" t="s">
        <v>585</v>
      </c>
      <c r="BQ59" s="195" t="s">
        <v>587</v>
      </c>
      <c r="BR59" s="199" t="n">
        <v>0.2</v>
      </c>
      <c r="BS59" s="199" t="n">
        <v>0.2</v>
      </c>
      <c r="BT59" s="199" t="n">
        <v>0.2</v>
      </c>
      <c r="BU59" s="199" t="n">
        <v>0.2</v>
      </c>
      <c r="BV59" s="199" t="n">
        <v>0.2</v>
      </c>
      <c r="BW59" s="199" t="n">
        <v>0.2</v>
      </c>
      <c r="BX59" s="199" t="n">
        <v>0.2</v>
      </c>
      <c r="BY59" s="199" t="n">
        <v>0.2</v>
      </c>
      <c r="BZ59" s="199" t="n">
        <v>0.2</v>
      </c>
      <c r="CA59" s="199" t="n">
        <v>0.2</v>
      </c>
      <c r="CB59" s="199" t="n">
        <v>0.2</v>
      </c>
      <c r="CC59" s="200" t="s">
        <v>588</v>
      </c>
      <c r="CD59" s="201" t="s">
        <v>582</v>
      </c>
      <c r="CE59" s="200" t="s">
        <v>588</v>
      </c>
      <c r="CF59" s="201" t="s">
        <v>582</v>
      </c>
      <c r="CG59" s="200" t="s">
        <v>588</v>
      </c>
      <c r="CH59" s="201" t="s">
        <v>582</v>
      </c>
      <c r="CI59" s="242"/>
      <c r="CJ59" s="242"/>
      <c r="CK59" s="204"/>
      <c r="CL59" s="205" t="n">
        <v>0.05</v>
      </c>
      <c r="CM59" s="205" t="n">
        <v>0.05</v>
      </c>
      <c r="CN59" s="206" t="n">
        <v>0.061445</v>
      </c>
      <c r="CO59" s="205" t="n">
        <v>0.05</v>
      </c>
      <c r="CP59" s="205" t="n">
        <v>0.05</v>
      </c>
      <c r="CQ59" s="205" t="n">
        <v>0.05</v>
      </c>
      <c r="CR59" s="205" t="n">
        <v>0.05</v>
      </c>
      <c r="CS59" s="205" t="n">
        <v>0.05</v>
      </c>
      <c r="CT59" s="205" t="n">
        <v>0.05</v>
      </c>
      <c r="CU59" s="205" t="n">
        <v>0.05</v>
      </c>
      <c r="CV59" s="205" t="n">
        <v>0.05</v>
      </c>
      <c r="CW59" s="205" t="n">
        <v>0.05</v>
      </c>
      <c r="CX59" s="208" t="n">
        <f aca="false">AVERAGE(CL59:CO59)</f>
        <v>0.05286125</v>
      </c>
      <c r="CY59" s="208" t="n">
        <f aca="false">_xlfn.STDEV.S(CL59:CO59)</f>
        <v>0.0057225</v>
      </c>
      <c r="CZ59" s="208" t="n">
        <v>0.1</v>
      </c>
      <c r="DA59" s="172"/>
      <c r="DB59" s="209"/>
      <c r="DC59" s="210"/>
      <c r="DD59" s="210"/>
      <c r="DE59" s="180"/>
      <c r="DF59" s="180"/>
      <c r="DG59" s="195"/>
      <c r="DH59" s="195"/>
      <c r="DI59" s="283"/>
      <c r="DJ59" s="213" t="s">
        <v>585</v>
      </c>
      <c r="DK59" s="188" t="s">
        <v>148</v>
      </c>
      <c r="DL59" s="238" t="n">
        <v>57</v>
      </c>
      <c r="DM59" s="240" t="s">
        <v>348</v>
      </c>
      <c r="DO59" s="282"/>
      <c r="DP59" s="242"/>
      <c r="DQ59" s="242"/>
      <c r="DR59" s="242"/>
      <c r="DS59" s="266"/>
    </row>
    <row r="60" customFormat="false" ht="15.75" hidden="false" customHeight="true" outlineLevel="0" collapsed="false">
      <c r="A60" s="188" t="s">
        <v>148</v>
      </c>
      <c r="B60" s="238" t="n">
        <v>58</v>
      </c>
      <c r="C60" s="239" t="s">
        <v>350</v>
      </c>
      <c r="D60" s="240" t="s">
        <v>351</v>
      </c>
      <c r="E60" s="215" t="s">
        <v>352</v>
      </c>
      <c r="F60" s="239" t="n">
        <v>88708</v>
      </c>
      <c r="G60" s="193"/>
      <c r="H60" s="218" t="n">
        <v>44484</v>
      </c>
      <c r="I60" s="180" t="n">
        <v>1.56438356164384</v>
      </c>
      <c r="J60" s="218" t="n">
        <v>44903</v>
      </c>
      <c r="K60" s="219" t="n">
        <v>67.2</v>
      </c>
      <c r="L60" s="219" t="n">
        <v>3</v>
      </c>
      <c r="M60" s="220" t="n">
        <v>152</v>
      </c>
      <c r="N60" s="221" t="n">
        <v>209</v>
      </c>
      <c r="O60" s="221"/>
      <c r="P60" s="221"/>
      <c r="Q60" s="221" t="n">
        <v>1716</v>
      </c>
      <c r="R60" s="221" t="n">
        <v>2030</v>
      </c>
      <c r="S60" s="221" t="n">
        <v>1926</v>
      </c>
      <c r="T60" s="221" t="n">
        <v>1653</v>
      </c>
      <c r="U60" s="253"/>
      <c r="V60" s="185" t="n">
        <f aca="false">EXP(0.585+(0.102*I60)+(0.007*N60)-(0.001*T60)+(0.008*M60)-2.723)</f>
        <v>0.385801273835841</v>
      </c>
      <c r="W60" s="185" t="n">
        <f aca="false">(V60/(1+V60))</f>
        <v>0.278395814118397</v>
      </c>
      <c r="X60" s="185" t="n">
        <f aca="false">EXP(1.741+(0.011*N60)-(0.002*T60)+(0.275*I60)-1.952)</f>
        <v>0.454846845246901</v>
      </c>
      <c r="Y60" s="185" t="n">
        <f aca="false">(X60/(1+X60))</f>
        <v>0.312642424687466</v>
      </c>
      <c r="Z60" s="238" t="n">
        <v>58</v>
      </c>
      <c r="AA60" s="186" t="n">
        <v>47</v>
      </c>
      <c r="AB60" s="187" t="n">
        <v>45055.5697569444</v>
      </c>
      <c r="AC60" s="187" t="n">
        <v>45057.1103356482</v>
      </c>
      <c r="AD60" s="180" t="n">
        <v>36.9738888888387</v>
      </c>
      <c r="AE60" s="187" t="n">
        <v>45056.6791435185</v>
      </c>
      <c r="AF60" s="187" t="n">
        <v>45057.1103356482</v>
      </c>
      <c r="AG60" s="180" t="n">
        <v>10.3486111111706</v>
      </c>
      <c r="AH60" s="180" t="n">
        <v>10.3486111111706</v>
      </c>
      <c r="AI60" s="187"/>
      <c r="AJ60" s="187"/>
      <c r="AK60" s="180"/>
      <c r="AL60" s="180"/>
      <c r="AM60" s="180" t="e">
        <f aca="false">(AE60-#REF!)*24</f>
        <v>#REF!</v>
      </c>
      <c r="AN60" s="180" t="e">
        <f aca="false">AM60+35</f>
        <v>#REF!</v>
      </c>
      <c r="AO60" s="186" t="n">
        <v>9</v>
      </c>
      <c r="AP60" s="186" t="s">
        <v>589</v>
      </c>
      <c r="AQ60" s="189" t="n">
        <v>45057.685343287</v>
      </c>
      <c r="AR60" s="186" t="s">
        <v>608</v>
      </c>
      <c r="AS60" s="180" t="s">
        <v>593</v>
      </c>
      <c r="AT60" s="172"/>
      <c r="AU60" s="172"/>
      <c r="AV60" s="172"/>
      <c r="AW60" s="172"/>
      <c r="AX60" s="172"/>
      <c r="AY60" s="172"/>
      <c r="AZ60" s="172"/>
      <c r="BA60" s="180"/>
      <c r="BB60" s="172"/>
      <c r="BC60" s="172"/>
      <c r="BD60" s="172"/>
      <c r="BE60" s="172"/>
      <c r="BF60" s="193"/>
      <c r="BG60" s="194" t="n">
        <v>0</v>
      </c>
      <c r="BH60" s="194"/>
      <c r="BI60" s="194"/>
      <c r="BJ60" s="194" t="s">
        <v>585</v>
      </c>
      <c r="BK60" s="195" t="s">
        <v>612</v>
      </c>
      <c r="BL60" s="194"/>
      <c r="BM60" s="196" t="s">
        <v>611</v>
      </c>
      <c r="BN60" s="196" t="n">
        <f aca="false">AQ60+145</f>
        <v>45202.685343287</v>
      </c>
      <c r="BO60" s="197"/>
      <c r="BP60" s="197" t="s">
        <v>585</v>
      </c>
      <c r="BQ60" s="195" t="s">
        <v>612</v>
      </c>
      <c r="BR60" s="199" t="n">
        <v>0.2</v>
      </c>
      <c r="BS60" s="199" t="n">
        <v>0.2</v>
      </c>
      <c r="BT60" s="199" t="n">
        <v>0.2</v>
      </c>
      <c r="BU60" s="199" t="n">
        <v>0.2</v>
      </c>
      <c r="BV60" s="199" t="n">
        <v>0.2</v>
      </c>
      <c r="BW60" s="199" t="n">
        <v>0.2</v>
      </c>
      <c r="BX60" s="199" t="n">
        <v>0.2</v>
      </c>
      <c r="BY60" s="199" t="n">
        <v>0.2</v>
      </c>
      <c r="BZ60" s="199" t="n">
        <v>2.2715</v>
      </c>
      <c r="CA60" s="199" t="n">
        <v>2.0857</v>
      </c>
      <c r="CB60" s="199" t="n">
        <v>0.2</v>
      </c>
      <c r="CC60" s="200" t="s">
        <v>588</v>
      </c>
      <c r="CD60" s="202" t="s">
        <v>589</v>
      </c>
      <c r="CE60" s="200" t="s">
        <v>588</v>
      </c>
      <c r="CF60" s="202" t="s">
        <v>589</v>
      </c>
      <c r="CG60" s="200" t="s">
        <v>588</v>
      </c>
      <c r="CH60" s="202" t="s">
        <v>589</v>
      </c>
      <c r="CI60" s="203"/>
      <c r="CJ60" s="200" t="s">
        <v>604</v>
      </c>
      <c r="CK60" s="204" t="n">
        <v>6</v>
      </c>
      <c r="CL60" s="205" t="n">
        <v>0.05</v>
      </c>
      <c r="CM60" s="205" t="n">
        <v>0.05</v>
      </c>
      <c r="CN60" s="206" t="n">
        <v>0.080621</v>
      </c>
      <c r="CO60" s="206" t="n">
        <v>0.064654</v>
      </c>
      <c r="CP60" s="207" t="n">
        <v>0.44557</v>
      </c>
      <c r="CQ60" s="286" t="n">
        <v>0.19137</v>
      </c>
      <c r="CR60" s="285" t="n">
        <v>0.10428</v>
      </c>
      <c r="CS60" s="206" t="n">
        <v>0.070126</v>
      </c>
      <c r="CT60" s="206" t="n">
        <v>0.064146</v>
      </c>
      <c r="CU60" s="205" t="n">
        <v>0.05</v>
      </c>
      <c r="CV60" s="206" t="n">
        <v>0.060438</v>
      </c>
      <c r="CW60" s="206" t="n">
        <v>0.060103</v>
      </c>
      <c r="CX60" s="208" t="n">
        <f aca="false">AVERAGE(CL60:CO60)</f>
        <v>0.06131875</v>
      </c>
      <c r="CY60" s="208" t="n">
        <f aca="false">_xlfn.STDEV.S(CL60:CO60)</f>
        <v>0.0146051241093665</v>
      </c>
      <c r="CZ60" s="208" t="n">
        <v>0.1</v>
      </c>
      <c r="DA60" s="186" t="n">
        <v>48</v>
      </c>
      <c r="DB60" s="209" t="e">
        <f aca="false">#REF!+(DA60/24)</f>
        <v>#REF!</v>
      </c>
      <c r="DC60" s="210" t="n">
        <v>2</v>
      </c>
      <c r="DD60" s="210" t="n">
        <v>3</v>
      </c>
      <c r="DE60" s="180" t="n">
        <f aca="false">DD60-DC60</f>
        <v>1</v>
      </c>
      <c r="DF60" s="180" t="n">
        <f aca="false">MAX(CM60:CX60)</f>
        <v>0.44557</v>
      </c>
      <c r="DG60" s="211" t="e">
        <f aca="false">(DB60-AE60)*24</f>
        <v>#REF!</v>
      </c>
      <c r="DH60" s="195" t="s">
        <v>587</v>
      </c>
      <c r="DI60" s="211" t="e">
        <f aca="false">(AQ60-DB60)*24</f>
        <v>#REF!</v>
      </c>
      <c r="DJ60" s="194" t="s">
        <v>585</v>
      </c>
      <c r="DK60" s="188" t="s">
        <v>148</v>
      </c>
      <c r="DL60" s="238" t="n">
        <v>58</v>
      </c>
      <c r="DM60" s="240" t="s">
        <v>351</v>
      </c>
      <c r="DO60" s="282"/>
      <c r="DP60" s="242"/>
      <c r="DQ60" s="242"/>
      <c r="DR60" s="242"/>
      <c r="DS60" s="266"/>
    </row>
    <row r="61" customFormat="false" ht="15.75" hidden="false" customHeight="true" outlineLevel="0" collapsed="false">
      <c r="A61" s="172" t="s">
        <v>152</v>
      </c>
      <c r="B61" s="238" t="n">
        <v>59</v>
      </c>
      <c r="C61" s="239" t="s">
        <v>341</v>
      </c>
      <c r="D61" s="240" t="s">
        <v>342</v>
      </c>
      <c r="E61" s="215" t="s">
        <v>343</v>
      </c>
      <c r="F61" s="239" t="n">
        <v>88609</v>
      </c>
      <c r="G61" s="193"/>
      <c r="H61" s="218" t="n">
        <v>44484</v>
      </c>
      <c r="I61" s="180" t="n">
        <v>1.56438356164384</v>
      </c>
      <c r="J61" s="218" t="n">
        <v>44882</v>
      </c>
      <c r="K61" s="219" t="n">
        <v>51</v>
      </c>
      <c r="L61" s="219" t="n">
        <v>3.5</v>
      </c>
      <c r="M61" s="220" t="n">
        <v>173</v>
      </c>
      <c r="N61" s="221" t="n">
        <v>191</v>
      </c>
      <c r="O61" s="221"/>
      <c r="P61" s="221"/>
      <c r="Q61" s="221" t="n">
        <v>1230</v>
      </c>
      <c r="R61" s="221" t="n">
        <v>1551</v>
      </c>
      <c r="S61" s="221" t="n">
        <v>1361</v>
      </c>
      <c r="T61" s="221" t="n">
        <v>1653</v>
      </c>
      <c r="U61" s="257"/>
      <c r="V61" s="185" t="n">
        <f aca="false">EXP(1.204+(0.102*I61)+(0.007*N61)-(0.001*T61)+(0.008*M61)-2.723)</f>
        <v>0.747192165914457</v>
      </c>
      <c r="W61" s="185" t="n">
        <f aca="false">(V61/(1+V61))</f>
        <v>0.427653111369914</v>
      </c>
      <c r="X61" s="185" t="n">
        <f aca="false">EXP(2.859+(0.011*N61)-(0.002*T61)+(0.275*I61)-1.952)</f>
        <v>1.14134281767089</v>
      </c>
      <c r="Y61" s="185" t="n">
        <f aca="false">(X61/(1+X61))</f>
        <v>0.533003313739513</v>
      </c>
      <c r="Z61" s="238" t="n">
        <v>59</v>
      </c>
      <c r="AA61" s="186" t="n">
        <v>41</v>
      </c>
      <c r="AB61" s="187" t="n">
        <v>45058.2472685185</v>
      </c>
      <c r="AC61" s="187" t="n">
        <v>45058.7335763889</v>
      </c>
      <c r="AD61" s="180" t="n">
        <v>11.6713888889062</v>
      </c>
      <c r="AE61" s="187" t="n">
        <v>45058.2472685185</v>
      </c>
      <c r="AF61" s="187" t="n">
        <v>45058.7335763889</v>
      </c>
      <c r="AG61" s="180" t="n">
        <v>11.6713888889062</v>
      </c>
      <c r="AH61" s="180" t="n">
        <v>11.6713888889062</v>
      </c>
      <c r="AI61" s="187"/>
      <c r="AJ61" s="187"/>
      <c r="AK61" s="180"/>
      <c r="AL61" s="180"/>
      <c r="AM61" s="180" t="e">
        <f aca="false">(AE61-#REF!)*24</f>
        <v>#REF!</v>
      </c>
      <c r="AN61" s="180" t="e">
        <f aca="false">AM61+35</f>
        <v>#REF!</v>
      </c>
      <c r="AO61" s="186" t="n">
        <v>6</v>
      </c>
      <c r="AP61" s="188" t="s">
        <v>582</v>
      </c>
      <c r="AQ61" s="189" t="n">
        <v>45057.6627435185</v>
      </c>
      <c r="AR61" s="186" t="s">
        <v>608</v>
      </c>
      <c r="AS61" s="180" t="s">
        <v>584</v>
      </c>
      <c r="AT61" s="172"/>
      <c r="AU61" s="172"/>
      <c r="AV61" s="172"/>
      <c r="AW61" s="172"/>
      <c r="AX61" s="172"/>
      <c r="AY61" s="172"/>
      <c r="AZ61" s="172"/>
      <c r="BA61" s="180"/>
      <c r="BB61" s="172"/>
      <c r="BC61" s="172"/>
      <c r="BD61" s="172"/>
      <c r="BE61" s="172"/>
      <c r="BF61" s="193"/>
      <c r="BG61" s="194" t="n">
        <v>0</v>
      </c>
      <c r="BH61" s="194"/>
      <c r="BI61" s="194"/>
      <c r="BJ61" s="194" t="s">
        <v>585</v>
      </c>
      <c r="BK61" s="195" t="s">
        <v>615</v>
      </c>
      <c r="BL61" s="194"/>
      <c r="BM61" s="196" t="s">
        <v>611</v>
      </c>
      <c r="BN61" s="196" t="n">
        <f aca="false">AQ61+145</f>
        <v>45202.6627435185</v>
      </c>
      <c r="BO61" s="197"/>
      <c r="BP61" s="197" t="s">
        <v>585</v>
      </c>
      <c r="BQ61" s="195" t="s">
        <v>615</v>
      </c>
      <c r="BR61" s="199" t="n">
        <v>0.2</v>
      </c>
      <c r="BS61" s="199" t="n">
        <v>0.2</v>
      </c>
      <c r="BT61" s="199" t="n">
        <v>0.2</v>
      </c>
      <c r="BU61" s="199" t="n">
        <v>0.2</v>
      </c>
      <c r="BV61" s="199" t="n">
        <v>0.2</v>
      </c>
      <c r="BW61" s="199" t="n">
        <v>0.2</v>
      </c>
      <c r="BX61" s="199" t="n">
        <v>0.2</v>
      </c>
      <c r="BY61" s="199" t="n">
        <v>0.2</v>
      </c>
      <c r="BZ61" s="199" t="n">
        <v>0.2</v>
      </c>
      <c r="CA61" s="199" t="n">
        <v>3.9896</v>
      </c>
      <c r="CB61" s="199" t="n">
        <v>0.2</v>
      </c>
      <c r="CC61" s="200" t="s">
        <v>588</v>
      </c>
      <c r="CD61" s="201" t="s">
        <v>632</v>
      </c>
      <c r="CE61" s="200" t="s">
        <v>588</v>
      </c>
      <c r="CF61" s="201" t="s">
        <v>632</v>
      </c>
      <c r="CG61" s="200" t="s">
        <v>588</v>
      </c>
      <c r="CH61" s="202" t="s">
        <v>589</v>
      </c>
      <c r="CI61" s="203"/>
      <c r="CJ61" s="200" t="s">
        <v>590</v>
      </c>
      <c r="CK61" s="204" t="n">
        <v>7</v>
      </c>
      <c r="CL61" s="205" t="n">
        <v>0.05</v>
      </c>
      <c r="CM61" s="205" t="n">
        <v>0.05</v>
      </c>
      <c r="CN61" s="206" t="n">
        <v>0.071162</v>
      </c>
      <c r="CO61" s="206" t="n">
        <v>0.06195</v>
      </c>
      <c r="CP61" s="205" t="n">
        <v>0.05</v>
      </c>
      <c r="CQ61" s="205" t="n">
        <v>0.05</v>
      </c>
      <c r="CR61" s="206" t="n">
        <v>0.065164</v>
      </c>
      <c r="CS61" s="207" t="n">
        <v>0.32972</v>
      </c>
      <c r="CT61" s="286" t="n">
        <v>0.11097</v>
      </c>
      <c r="CU61" s="206" t="n">
        <v>0.069782</v>
      </c>
      <c r="CV61" s="205" t="n">
        <v>0.05</v>
      </c>
      <c r="CW61" s="205" t="n">
        <v>0.05</v>
      </c>
      <c r="CX61" s="208" t="n">
        <f aca="false">AVERAGE(CL61:CO61)</f>
        <v>0.058278</v>
      </c>
      <c r="CY61" s="208" t="n">
        <f aca="false">_xlfn.STDEV.S(CL61:CO61)</f>
        <v>0.0102718321637379</v>
      </c>
      <c r="CZ61" s="208" t="n">
        <v>0.1</v>
      </c>
      <c r="DA61" s="172" t="n">
        <v>84</v>
      </c>
      <c r="DB61" s="209" t="e">
        <f aca="false">#REF!+(DA61/24)</f>
        <v>#REF!</v>
      </c>
      <c r="DC61" s="210" t="n">
        <v>3.5</v>
      </c>
      <c r="DD61" s="210" t="n">
        <v>4.5</v>
      </c>
      <c r="DE61" s="180" t="n">
        <f aca="false">DD61-DC61</f>
        <v>1</v>
      </c>
      <c r="DF61" s="180" t="n">
        <f aca="false">MAX(CM61:CX61)</f>
        <v>0.32972</v>
      </c>
      <c r="DG61" s="211" t="e">
        <f aca="false">(DB61-AE61)*24</f>
        <v>#REF!</v>
      </c>
      <c r="DH61" s="195" t="s">
        <v>587</v>
      </c>
      <c r="DI61" s="212" t="e">
        <f aca="false">(AQ61-DB61)*24</f>
        <v>#REF!</v>
      </c>
      <c r="DJ61" s="213" t="s">
        <v>585</v>
      </c>
      <c r="DK61" s="172" t="s">
        <v>152</v>
      </c>
      <c r="DL61" s="238" t="n">
        <v>59</v>
      </c>
      <c r="DM61" s="240" t="s">
        <v>342</v>
      </c>
      <c r="DO61" s="3"/>
      <c r="DP61" s="3"/>
      <c r="DQ61" s="3"/>
      <c r="DR61" s="3"/>
    </row>
    <row r="62" customFormat="false" ht="15.75" hidden="false" customHeight="true" outlineLevel="0" collapsed="false">
      <c r="A62" s="172" t="s">
        <v>152</v>
      </c>
      <c r="B62" s="238" t="n">
        <v>60</v>
      </c>
      <c r="C62" s="239" t="s">
        <v>295</v>
      </c>
      <c r="D62" s="240" t="s">
        <v>296</v>
      </c>
      <c r="E62" s="215" t="s">
        <v>297</v>
      </c>
      <c r="F62" s="239" t="n">
        <v>88527</v>
      </c>
      <c r="G62" s="193"/>
      <c r="H62" s="218" t="n">
        <v>44485</v>
      </c>
      <c r="I62" s="180" t="n">
        <v>1.56164383561644</v>
      </c>
      <c r="J62" s="218" t="n">
        <v>44881</v>
      </c>
      <c r="K62" s="219" t="n">
        <v>61.4</v>
      </c>
      <c r="L62" s="219" t="n">
        <v>3</v>
      </c>
      <c r="M62" s="220" t="n">
        <v>174</v>
      </c>
      <c r="N62" s="221" t="n">
        <v>217</v>
      </c>
      <c r="O62" s="221"/>
      <c r="P62" s="221"/>
      <c r="Q62" s="221" t="n">
        <v>2002</v>
      </c>
      <c r="R62" s="221" t="n">
        <v>1833</v>
      </c>
      <c r="S62" s="221" t="n">
        <v>1361</v>
      </c>
      <c r="T62" s="221" t="n">
        <v>812</v>
      </c>
      <c r="U62" s="184" t="s">
        <v>651</v>
      </c>
      <c r="V62" s="185" t="n">
        <f aca="false">EXP(0.585+(0.102*I62)+(0.007*N62)-(0.001*T62)+(0.008*M62)-2.723)</f>
        <v>1.12782124664606</v>
      </c>
      <c r="W62" s="185" t="n">
        <f aca="false">(V62/(1+V62))</f>
        <v>0.530035710670607</v>
      </c>
      <c r="X62" s="185" t="n">
        <f aca="false">EXP(1.741+(0.011*N62)-(0.002*T62)+(0.275*I62)-1.952)</f>
        <v>2.66832798870425</v>
      </c>
      <c r="Y62" s="185" t="n">
        <f aca="false">(X62/(1+X62))</f>
        <v>0.727396240718043</v>
      </c>
      <c r="Z62" s="238" t="n">
        <v>60</v>
      </c>
      <c r="AA62" s="186" t="n">
        <v>42</v>
      </c>
      <c r="AB62" s="187" t="n">
        <v>45058.454525463</v>
      </c>
      <c r="AC62" s="187" t="n">
        <v>45058.4554166667</v>
      </c>
      <c r="AD62" s="180" t="n">
        <v>0.0213888888247311</v>
      </c>
      <c r="AE62" s="190" t="n">
        <v>45058.454525463</v>
      </c>
      <c r="AF62" s="190" t="n">
        <v>45058.4554166667</v>
      </c>
      <c r="AG62" s="180" t="n">
        <v>0.0213888888247311</v>
      </c>
      <c r="AH62" s="180" t="n">
        <v>1</v>
      </c>
      <c r="AI62" s="187"/>
      <c r="AJ62" s="187"/>
      <c r="AK62" s="180"/>
      <c r="AL62" s="180"/>
      <c r="AM62" s="180" t="e">
        <f aca="false">(AE62-#REF!)*24</f>
        <v>#REF!</v>
      </c>
      <c r="AN62" s="180" t="e">
        <f aca="false">AM62+35</f>
        <v>#REF!</v>
      </c>
      <c r="AO62" s="186" t="n">
        <v>3</v>
      </c>
      <c r="AP62" s="188" t="s">
        <v>582</v>
      </c>
      <c r="AQ62" s="189" t="n">
        <v>45057.6640319444</v>
      </c>
      <c r="AR62" s="186" t="s">
        <v>608</v>
      </c>
      <c r="AS62" s="180" t="s">
        <v>593</v>
      </c>
      <c r="AT62" s="172" t="n">
        <v>42</v>
      </c>
      <c r="AU62" s="187" t="n">
        <v>45070.5454050926</v>
      </c>
      <c r="AV62" s="187" t="n">
        <v>45075.4177314815</v>
      </c>
      <c r="AW62" s="180" t="n">
        <v>116.935833333351</v>
      </c>
      <c r="AX62" s="192" t="n">
        <v>45074.761712963</v>
      </c>
      <c r="AY62" s="187" t="n">
        <v>45075.4177314815</v>
      </c>
      <c r="AZ62" s="180" t="n">
        <v>15.7444444443681</v>
      </c>
      <c r="BA62" s="180" t="n">
        <v>15.7444444443681</v>
      </c>
      <c r="BB62" s="172"/>
      <c r="BC62" s="172"/>
      <c r="BD62" s="172"/>
      <c r="BE62" s="172"/>
      <c r="BF62" s="193" t="n">
        <v>25</v>
      </c>
      <c r="BG62" s="194" t="n">
        <v>0</v>
      </c>
      <c r="BH62" s="194"/>
      <c r="BI62" s="194"/>
      <c r="BJ62" s="194" t="s">
        <v>585</v>
      </c>
      <c r="BK62" s="195" t="s">
        <v>586</v>
      </c>
      <c r="BL62" s="194" t="n">
        <v>2</v>
      </c>
      <c r="BM62" s="196" t="n">
        <v>45243</v>
      </c>
      <c r="BN62" s="196" t="n">
        <f aca="false">AX62+145</f>
        <v>45219.761712963</v>
      </c>
      <c r="BO62" s="197" t="n">
        <f aca="false">BM62-AQ62</f>
        <v>185.335968055602</v>
      </c>
      <c r="BP62" s="197" t="s">
        <v>594</v>
      </c>
      <c r="BQ62" s="195" t="s">
        <v>587</v>
      </c>
      <c r="BR62" s="199" t="n">
        <v>0.2</v>
      </c>
      <c r="BS62" s="199" t="n">
        <v>0.2</v>
      </c>
      <c r="BT62" s="199" t="n">
        <v>0.2</v>
      </c>
      <c r="BU62" s="199" t="n">
        <v>0.52264</v>
      </c>
      <c r="BV62" s="199" t="n">
        <v>0.2</v>
      </c>
      <c r="BW62" s="199" t="n">
        <v>0.48671</v>
      </c>
      <c r="BX62" s="199" t="n">
        <v>1.2562</v>
      </c>
      <c r="BY62" s="199" t="n">
        <v>1.9155</v>
      </c>
      <c r="BZ62" s="199" t="n">
        <v>2.4694</v>
      </c>
      <c r="CA62" s="199" t="n">
        <v>3.2857</v>
      </c>
      <c r="CB62" s="199" t="n">
        <v>3.5729</v>
      </c>
      <c r="CC62" s="200" t="s">
        <v>588</v>
      </c>
      <c r="CD62" s="202" t="s">
        <v>589</v>
      </c>
      <c r="CE62" s="200" t="s">
        <v>588</v>
      </c>
      <c r="CF62" s="202" t="s">
        <v>589</v>
      </c>
      <c r="CG62" s="200" t="s">
        <v>588</v>
      </c>
      <c r="CH62" s="202" t="s">
        <v>589</v>
      </c>
      <c r="CI62" s="203"/>
      <c r="CJ62" s="200" t="s">
        <v>595</v>
      </c>
      <c r="CK62" s="204" t="n">
        <v>4</v>
      </c>
      <c r="CL62" s="205" t="n">
        <v>0.05</v>
      </c>
      <c r="CM62" s="205" t="n">
        <v>0.05</v>
      </c>
      <c r="CN62" s="206" t="n">
        <v>0.096779</v>
      </c>
      <c r="CO62" s="206" t="n">
        <v>0.073938</v>
      </c>
      <c r="CP62" s="206" t="n">
        <v>0.065164</v>
      </c>
      <c r="CQ62" s="206" t="n">
        <v>0.062287</v>
      </c>
      <c r="CR62" s="206" t="n">
        <v>0.094742</v>
      </c>
      <c r="CS62" s="207" t="n">
        <v>0.20928</v>
      </c>
      <c r="CT62" s="206" t="n">
        <v>0.076211</v>
      </c>
      <c r="CU62" s="206" t="n">
        <v>0.063638</v>
      </c>
      <c r="CV62" s="205" t="n">
        <v>0.05</v>
      </c>
      <c r="CW62" s="205" t="n">
        <v>0.05</v>
      </c>
      <c r="CX62" s="208" t="n">
        <f aca="false">AVERAGE(CL62:CO62)</f>
        <v>0.06767925</v>
      </c>
      <c r="CY62" s="208" t="n">
        <f aca="false">_xlfn.STDEV.S(CL62:CO62)</f>
        <v>0.0224431070542828</v>
      </c>
      <c r="CZ62" s="208" t="n">
        <f aca="false">CX62+(2*CY62)</f>
        <v>0.112565464108566</v>
      </c>
      <c r="DA62" s="172" t="n">
        <v>84</v>
      </c>
      <c r="DB62" s="209" t="e">
        <f aca="false">#REF!+(DA62/24)</f>
        <v>#REF!</v>
      </c>
      <c r="DC62" s="210" t="n">
        <v>3.5</v>
      </c>
      <c r="DD62" s="210" t="n">
        <v>4</v>
      </c>
      <c r="DE62" s="180" t="n">
        <f aca="false">DD62-DC62</f>
        <v>0.5</v>
      </c>
      <c r="DF62" s="180" t="n">
        <f aca="false">MAX(CM62:CX62)</f>
        <v>0.20928</v>
      </c>
      <c r="DG62" s="211" t="e">
        <f aca="false">(DB62-AE62)*24</f>
        <v>#REF!</v>
      </c>
      <c r="DH62" s="195" t="s">
        <v>587</v>
      </c>
      <c r="DI62" s="212" t="e">
        <f aca="false">(AQ62-DB62)*24</f>
        <v>#REF!</v>
      </c>
      <c r="DJ62" s="213" t="s">
        <v>585</v>
      </c>
      <c r="DK62" s="172" t="s">
        <v>152</v>
      </c>
      <c r="DL62" s="238" t="n">
        <v>60</v>
      </c>
      <c r="DM62" s="240" t="s">
        <v>296</v>
      </c>
    </row>
    <row r="63" customFormat="false" ht="15.75" hidden="false" customHeight="true" outlineLevel="0" collapsed="false">
      <c r="A63" s="172" t="s">
        <v>152</v>
      </c>
      <c r="B63" s="238" t="n">
        <v>61</v>
      </c>
      <c r="C63" s="239" t="s">
        <v>431</v>
      </c>
      <c r="D63" s="240" t="s">
        <v>432</v>
      </c>
      <c r="E63" s="215" t="s">
        <v>433</v>
      </c>
      <c r="F63" s="239" t="n">
        <v>89376</v>
      </c>
      <c r="G63" s="193"/>
      <c r="H63" s="218" t="n">
        <v>44485</v>
      </c>
      <c r="I63" s="180" t="n">
        <v>1.56164383561644</v>
      </c>
      <c r="J63" s="218" t="n">
        <v>44900</v>
      </c>
      <c r="K63" s="219" t="n">
        <v>49.88</v>
      </c>
      <c r="L63" s="219" t="n">
        <v>3.25</v>
      </c>
      <c r="M63" s="220" t="n">
        <v>155</v>
      </c>
      <c r="N63" s="221" t="n">
        <v>173</v>
      </c>
      <c r="O63" s="221"/>
      <c r="P63" s="221" t="n">
        <v>1372</v>
      </c>
      <c r="Q63" s="221" t="n">
        <v>1230</v>
      </c>
      <c r="R63" s="221" t="n">
        <v>1777</v>
      </c>
      <c r="S63" s="221" t="n">
        <v>1428</v>
      </c>
      <c r="T63" s="221" t="n">
        <v>1450</v>
      </c>
      <c r="U63" s="184" t="s">
        <v>652</v>
      </c>
      <c r="V63" s="185" t="n">
        <f aca="false">EXP(1.204+(0.102*I63)+(0.007*N63)-(0.001*T63)+(0.008*M63)-2.723)</f>
        <v>0.698575282461901</v>
      </c>
      <c r="W63" s="185" t="n">
        <f aca="false">(V63/(1+V63))</f>
        <v>0.411271310535846</v>
      </c>
      <c r="X63" s="185" t="n">
        <f aca="false">EXP(2.859+(0.011*N63)-(0.002*T63)+(0.275*I63)-1.952)</f>
        <v>1.40417796714238</v>
      </c>
      <c r="Y63" s="185" t="n">
        <f aca="false">(X63/(1+X63))</f>
        <v>0.58405741435664</v>
      </c>
      <c r="Z63" s="238" t="n">
        <v>61</v>
      </c>
      <c r="AA63" s="186" t="n">
        <v>20</v>
      </c>
      <c r="AB63" s="187" t="n">
        <v>45056.5272453704</v>
      </c>
      <c r="AC63" s="187" t="n">
        <v>45057.9781828704</v>
      </c>
      <c r="AD63" s="180" t="n">
        <v>34.8224999999511</v>
      </c>
      <c r="AE63" s="187" t="n">
        <v>45056.5272453704</v>
      </c>
      <c r="AF63" s="187" t="n">
        <v>45057.9781828704</v>
      </c>
      <c r="AG63" s="180" t="n">
        <v>34.8224999999511</v>
      </c>
      <c r="AH63" s="180" t="n">
        <v>34.8224999999511</v>
      </c>
      <c r="AI63" s="187"/>
      <c r="AJ63" s="187"/>
      <c r="AK63" s="180"/>
      <c r="AL63" s="180"/>
      <c r="AM63" s="180" t="e">
        <f aca="false">(AE63-#REF!)*24</f>
        <v>#REF!</v>
      </c>
      <c r="AN63" s="180" t="e">
        <f aca="false">AM63+35</f>
        <v>#REF!</v>
      </c>
      <c r="AO63" s="186" t="n">
        <v>5</v>
      </c>
      <c r="AP63" s="186" t="s">
        <v>589</v>
      </c>
      <c r="AQ63" s="189" t="n">
        <v>45057.6573204861</v>
      </c>
      <c r="AR63" s="186" t="s">
        <v>599</v>
      </c>
      <c r="AS63" s="180" t="s">
        <v>584</v>
      </c>
      <c r="AT63" s="172"/>
      <c r="AU63" s="187"/>
      <c r="AV63" s="187"/>
      <c r="AW63" s="180"/>
      <c r="AX63" s="192"/>
      <c r="AY63" s="187"/>
      <c r="AZ63" s="180"/>
      <c r="BA63" s="180"/>
      <c r="BB63" s="172"/>
      <c r="BC63" s="172"/>
      <c r="BD63" s="172"/>
      <c r="BE63" s="172"/>
      <c r="BF63" s="193"/>
      <c r="BG63" s="194" t="n">
        <v>1</v>
      </c>
      <c r="BH63" s="194" t="n">
        <v>1</v>
      </c>
      <c r="BI63" s="194"/>
      <c r="BJ63" s="194" t="s">
        <v>600</v>
      </c>
      <c r="BK63" s="195" t="s">
        <v>587</v>
      </c>
      <c r="BL63" s="194" t="n">
        <v>1</v>
      </c>
      <c r="BM63" s="196" t="n">
        <v>45204</v>
      </c>
      <c r="BN63" s="196" t="n">
        <f aca="false">AQ63+145</f>
        <v>45202.6573204861</v>
      </c>
      <c r="BO63" s="197" t="n">
        <f aca="false">BM63-AQ63</f>
        <v>146.342679513902</v>
      </c>
      <c r="BP63" s="197" t="s">
        <v>35</v>
      </c>
      <c r="BQ63" s="195" t="s">
        <v>587</v>
      </c>
      <c r="BR63" s="199" t="n">
        <v>0.2</v>
      </c>
      <c r="BS63" s="199" t="n">
        <v>0.2</v>
      </c>
      <c r="BT63" s="199" t="n">
        <v>0.2</v>
      </c>
      <c r="BU63" s="199" t="n">
        <v>0.2</v>
      </c>
      <c r="BV63" s="199" t="n">
        <v>0.2</v>
      </c>
      <c r="BW63" s="199" t="n">
        <v>0.2</v>
      </c>
      <c r="BX63" s="199" t="n">
        <v>0.2</v>
      </c>
      <c r="BY63" s="199" t="n">
        <v>0.30124</v>
      </c>
      <c r="BZ63" s="199" t="n">
        <v>0.2</v>
      </c>
      <c r="CA63" s="199" t="n">
        <v>0.43379</v>
      </c>
      <c r="CB63" s="199" t="n">
        <v>1.7945</v>
      </c>
      <c r="CC63" s="200" t="s">
        <v>588</v>
      </c>
      <c r="CD63" s="201" t="s">
        <v>582</v>
      </c>
      <c r="CE63" s="200" t="s">
        <v>588</v>
      </c>
      <c r="CF63" s="202" t="s">
        <v>589</v>
      </c>
      <c r="CG63" s="200" t="s">
        <v>588</v>
      </c>
      <c r="CH63" s="202" t="s">
        <v>589</v>
      </c>
      <c r="CI63" s="203"/>
      <c r="CJ63" s="200" t="s">
        <v>590</v>
      </c>
      <c r="CK63" s="204" t="n">
        <v>8</v>
      </c>
      <c r="CL63" s="205" t="n">
        <v>0.05</v>
      </c>
      <c r="CM63" s="205" t="n">
        <v>0.05</v>
      </c>
      <c r="CN63" s="205" t="n">
        <v>0.05</v>
      </c>
      <c r="CO63" s="205" t="n">
        <v>0.05</v>
      </c>
      <c r="CP63" s="205" t="n">
        <v>0.05</v>
      </c>
      <c r="CQ63" s="295" t="n">
        <v>0.24114</v>
      </c>
      <c r="CR63" s="296" t="n">
        <v>0.13562</v>
      </c>
      <c r="CS63" s="297" t="n">
        <v>0.08757</v>
      </c>
      <c r="CT63" s="205" t="n">
        <v>0.05</v>
      </c>
      <c r="CU63" s="205" t="n">
        <v>0.05</v>
      </c>
      <c r="CV63" s="205" t="n">
        <v>0.05</v>
      </c>
      <c r="CW63" s="205" t="n">
        <v>0.05</v>
      </c>
      <c r="CX63" s="208" t="n">
        <f aca="false">AVERAGE(CL63:CO63)</f>
        <v>0.05</v>
      </c>
      <c r="CY63" s="208" t="n">
        <f aca="false">_xlfn.STDEV.S(CL63:CO63)</f>
        <v>0</v>
      </c>
      <c r="CZ63" s="208" t="n">
        <v>0.1</v>
      </c>
      <c r="DA63" s="172" t="n">
        <v>60</v>
      </c>
      <c r="DB63" s="209" t="e">
        <f aca="false">#REF!+(DA63/24)</f>
        <v>#REF!</v>
      </c>
      <c r="DC63" s="210" t="n">
        <v>2.5</v>
      </c>
      <c r="DD63" s="210" t="n">
        <v>3.5</v>
      </c>
      <c r="DE63" s="180" t="n">
        <f aca="false">DD63-DC63</f>
        <v>1</v>
      </c>
      <c r="DF63" s="180" t="n">
        <f aca="false">MAX(CM63:CX63)</f>
        <v>0.24114</v>
      </c>
      <c r="DG63" s="211" t="e">
        <f aca="false">(DB63-AE63)*24</f>
        <v>#REF!</v>
      </c>
      <c r="DH63" s="195" t="s">
        <v>587</v>
      </c>
      <c r="DI63" s="244" t="e">
        <f aca="false">(AQ63-DB63)*24</f>
        <v>#REF!</v>
      </c>
      <c r="DJ63" s="245" t="s">
        <v>600</v>
      </c>
      <c r="DK63" s="172" t="s">
        <v>152</v>
      </c>
      <c r="DL63" s="238" t="n">
        <v>61</v>
      </c>
      <c r="DM63" s="240" t="s">
        <v>432</v>
      </c>
    </row>
    <row r="64" customFormat="false" ht="15.75" hidden="false" customHeight="true" outlineLevel="0" collapsed="false">
      <c r="A64" s="172" t="s">
        <v>152</v>
      </c>
      <c r="B64" s="173" t="n">
        <v>63</v>
      </c>
      <c r="C64" s="177" t="s">
        <v>326</v>
      </c>
      <c r="D64" s="175" t="s">
        <v>327</v>
      </c>
      <c r="E64" s="176" t="s">
        <v>328</v>
      </c>
      <c r="F64" s="177" t="n">
        <v>88571</v>
      </c>
      <c r="G64" s="178" t="s">
        <v>437</v>
      </c>
      <c r="H64" s="179" t="n">
        <v>42653</v>
      </c>
      <c r="I64" s="180" t="n">
        <v>6.58082191780822</v>
      </c>
      <c r="J64" s="179" t="n">
        <v>44850</v>
      </c>
      <c r="K64" s="181" t="n">
        <v>74.8</v>
      </c>
      <c r="L64" s="181" t="n">
        <v>3</v>
      </c>
      <c r="M64" s="182" t="n">
        <v>205</v>
      </c>
      <c r="N64" s="183" t="n">
        <v>358</v>
      </c>
      <c r="O64" s="183" t="n">
        <v>2601</v>
      </c>
      <c r="P64" s="183" t="n">
        <v>2482</v>
      </c>
      <c r="Q64" s="183" t="n">
        <v>2374</v>
      </c>
      <c r="R64" s="183" t="n">
        <v>1861</v>
      </c>
      <c r="S64" s="183" t="n">
        <v>1926</v>
      </c>
      <c r="T64" s="183" t="n">
        <v>1711</v>
      </c>
      <c r="U64" s="184" t="s">
        <v>653</v>
      </c>
      <c r="V64" s="185" t="n">
        <f aca="false">EXP(0.585+(0.102*I64)+(0.007*N64)-(0.001*T64)+(0.008*M64)-2.723)</f>
        <v>2.63331586072844</v>
      </c>
      <c r="W64" s="185" t="n">
        <f aca="false">(V64/(1+V64))</f>
        <v>0.724769318624693</v>
      </c>
      <c r="X64" s="185" t="n">
        <f aca="false">EXP(1.741+(0.011*N64)-(0.002*T64)+(0.275*I64)-1.952)</f>
        <v>8.28731495781508</v>
      </c>
      <c r="Y64" s="185" t="n">
        <f aca="false">(X64/(1+X64))</f>
        <v>0.892326253115975</v>
      </c>
      <c r="Z64" s="173" t="n">
        <v>63</v>
      </c>
      <c r="AA64" s="186"/>
      <c r="AB64" s="187"/>
      <c r="AC64" s="187"/>
      <c r="AD64" s="180"/>
      <c r="AE64" s="187"/>
      <c r="AF64" s="187"/>
      <c r="AG64" s="180"/>
      <c r="AH64" s="180"/>
      <c r="AI64" s="187"/>
      <c r="AJ64" s="187"/>
      <c r="AK64" s="180"/>
      <c r="AL64" s="180"/>
      <c r="AM64" s="180"/>
      <c r="AN64" s="180"/>
      <c r="AO64" s="186"/>
      <c r="AP64" s="188" t="s">
        <v>582</v>
      </c>
      <c r="AQ64" s="189" t="n">
        <v>45057.6622451389</v>
      </c>
      <c r="AR64" s="188" t="s">
        <v>592</v>
      </c>
      <c r="AS64" s="180" t="s">
        <v>584</v>
      </c>
      <c r="AT64" s="172" t="n">
        <v>85</v>
      </c>
      <c r="AU64" s="172"/>
      <c r="AV64" s="172"/>
      <c r="AW64" s="172"/>
      <c r="AX64" s="190" t="n">
        <v>45075.5937615741</v>
      </c>
      <c r="AY64" s="190" t="n">
        <v>45075.5937615741</v>
      </c>
      <c r="AZ64" s="191" t="n">
        <v>0</v>
      </c>
      <c r="BA64" s="180" t="n">
        <v>1</v>
      </c>
      <c r="BB64" s="172"/>
      <c r="BC64" s="172"/>
      <c r="BD64" s="172"/>
      <c r="BE64" s="172"/>
      <c r="BF64" s="193" t="n">
        <v>1</v>
      </c>
      <c r="BG64" s="194" t="n">
        <v>1</v>
      </c>
      <c r="BH64" s="194" t="n">
        <v>2</v>
      </c>
      <c r="BI64" s="194"/>
      <c r="BJ64" s="194" t="s">
        <v>600</v>
      </c>
      <c r="BK64" s="195" t="s">
        <v>603</v>
      </c>
      <c r="BL64" s="194" t="n">
        <v>2</v>
      </c>
      <c r="BM64" s="196" t="n">
        <v>45206</v>
      </c>
      <c r="BN64" s="196" t="n">
        <f aca="false">AQ64+145</f>
        <v>45202.6622451389</v>
      </c>
      <c r="BO64" s="197" t="n">
        <f aca="false">BM64-AQ64</f>
        <v>148.337754861102</v>
      </c>
      <c r="BP64" s="197" t="s">
        <v>35</v>
      </c>
      <c r="BQ64" s="195" t="s">
        <v>654</v>
      </c>
      <c r="BR64" s="199" t="n">
        <v>0.26227</v>
      </c>
      <c r="BS64" s="199" t="n">
        <v>4.2822</v>
      </c>
      <c r="BT64" s="199" t="n">
        <v>0.46805</v>
      </c>
      <c r="BU64" s="199" t="n">
        <v>0.43996</v>
      </c>
      <c r="BV64" s="199" t="n">
        <v>0.50776</v>
      </c>
      <c r="BW64" s="199" t="n">
        <v>0.46405</v>
      </c>
      <c r="BX64" s="199" t="n">
        <v>1.0215</v>
      </c>
      <c r="BY64" s="199" t="n">
        <v>1.8026</v>
      </c>
      <c r="BZ64" s="199" t="n">
        <v>2.0978</v>
      </c>
      <c r="CA64" s="199" t="n">
        <v>3.4942</v>
      </c>
      <c r="CB64" s="199" t="n">
        <v>3.5241</v>
      </c>
      <c r="CC64" s="251" t="s">
        <v>65</v>
      </c>
      <c r="CD64" s="201"/>
      <c r="CE64" s="251" t="s">
        <v>65</v>
      </c>
      <c r="CF64" s="201"/>
      <c r="CG64" s="251" t="s">
        <v>65</v>
      </c>
      <c r="CH64" s="201"/>
      <c r="CI64" s="200" t="s">
        <v>595</v>
      </c>
      <c r="CJ64" s="203"/>
      <c r="CK64" s="204" t="n">
        <v>4</v>
      </c>
      <c r="CL64" s="205" t="n">
        <v>0.05</v>
      </c>
      <c r="CM64" s="205" t="n">
        <v>0.05</v>
      </c>
      <c r="CN64" s="205" t="n">
        <v>0.05</v>
      </c>
      <c r="CO64" s="205" t="n">
        <v>0.05</v>
      </c>
      <c r="CP64" s="296" t="n">
        <v>0.14027</v>
      </c>
      <c r="CQ64" s="295" t="n">
        <v>0.32195</v>
      </c>
      <c r="CR64" s="296" t="n">
        <v>0.16909</v>
      </c>
      <c r="CS64" s="297" t="n">
        <v>0.10024</v>
      </c>
      <c r="CT64" s="297" t="n">
        <v>0.074272</v>
      </c>
      <c r="CU64" s="205" t="n">
        <v>0.05</v>
      </c>
      <c r="CV64" s="205" t="n">
        <v>0.05</v>
      </c>
      <c r="CW64" s="205" t="n">
        <v>0.05</v>
      </c>
      <c r="CX64" s="208" t="n">
        <f aca="false">AVERAGE(CL64:CO64)</f>
        <v>0.05</v>
      </c>
      <c r="CY64" s="208" t="n">
        <f aca="false">_xlfn.STDEV.S(CL64:CO64)</f>
        <v>0</v>
      </c>
      <c r="CZ64" s="208" t="n">
        <v>0.1</v>
      </c>
      <c r="DA64" s="172" t="n">
        <v>48</v>
      </c>
      <c r="DB64" s="209" t="e">
        <f aca="false">#REF!+(DA64/24)</f>
        <v>#REF!</v>
      </c>
      <c r="DC64" s="210" t="n">
        <v>2</v>
      </c>
      <c r="DD64" s="210" t="n">
        <v>3.5</v>
      </c>
      <c r="DE64" s="180" t="n">
        <f aca="false">DD64-DC64</f>
        <v>1.5</v>
      </c>
      <c r="DF64" s="180" t="n">
        <f aca="false">MAX(CM64:CX64)</f>
        <v>0.32195</v>
      </c>
      <c r="DG64" s="211"/>
      <c r="DH64" s="195" t="s">
        <v>603</v>
      </c>
      <c r="DI64" s="244" t="e">
        <f aca="false">(AQ64-DB64)*24</f>
        <v>#REF!</v>
      </c>
      <c r="DJ64" s="245" t="s">
        <v>600</v>
      </c>
      <c r="DK64" s="172" t="s">
        <v>152</v>
      </c>
      <c r="DL64" s="173" t="n">
        <v>63</v>
      </c>
      <c r="DM64" s="175" t="s">
        <v>327</v>
      </c>
    </row>
    <row r="65" customFormat="false" ht="15.75" hidden="false" customHeight="true" outlineLevel="0" collapsed="false">
      <c r="A65" s="172" t="s">
        <v>152</v>
      </c>
      <c r="B65" s="238" t="n">
        <v>65</v>
      </c>
      <c r="C65" s="239" t="s">
        <v>422</v>
      </c>
      <c r="D65" s="240" t="s">
        <v>423</v>
      </c>
      <c r="E65" s="215" t="s">
        <v>424</v>
      </c>
      <c r="F65" s="239" t="n">
        <v>88888</v>
      </c>
      <c r="G65" s="193" t="s">
        <v>438</v>
      </c>
      <c r="H65" s="218" t="n">
        <v>42656</v>
      </c>
      <c r="I65" s="180" t="n">
        <v>6.57260273972603</v>
      </c>
      <c r="J65" s="218" t="n">
        <v>44847</v>
      </c>
      <c r="K65" s="219" t="n">
        <v>79.8</v>
      </c>
      <c r="L65" s="219" t="n">
        <v>3.25</v>
      </c>
      <c r="M65" s="220" t="n">
        <v>208</v>
      </c>
      <c r="N65" s="221" t="n">
        <v>275</v>
      </c>
      <c r="O65" s="221" t="n">
        <v>2785</v>
      </c>
      <c r="P65" s="221" t="n">
        <v>2628</v>
      </c>
      <c r="Q65" s="221" t="n">
        <v>2946</v>
      </c>
      <c r="R65" s="221" t="n">
        <v>1495</v>
      </c>
      <c r="S65" s="221" t="n">
        <v>1428</v>
      </c>
      <c r="T65" s="221" t="n">
        <v>1218</v>
      </c>
      <c r="U65" s="184" t="s">
        <v>655</v>
      </c>
      <c r="V65" s="185" t="n">
        <f aca="false">EXP(1.204+(0.102*I65)+(0.007*N65)-(0.001*T65)+(0.008*M65)-2.723)</f>
        <v>4.58323682771744</v>
      </c>
      <c r="W65" s="185" t="n">
        <f aca="false">(V65/(1+V65))</f>
        <v>0.82089242658746</v>
      </c>
      <c r="X65" s="185" t="n">
        <f aca="false">EXP(2.859+(0.011*N65)-(0.002*T65)+(0.275*I65)-1.952)</f>
        <v>27.2067676611325</v>
      </c>
      <c r="Y65" s="185" t="n">
        <f aca="false">(X65/(1+X65))</f>
        <v>0.964547515262518</v>
      </c>
      <c r="Z65" s="238" t="n">
        <v>65</v>
      </c>
      <c r="AA65" s="186" t="n">
        <v>25</v>
      </c>
      <c r="AB65" s="187" t="n">
        <v>45056.8087615741</v>
      </c>
      <c r="AC65" s="187" t="n">
        <v>45064.6811458333</v>
      </c>
      <c r="AD65" s="180" t="n">
        <v>188.937222222216</v>
      </c>
      <c r="AE65" s="187" t="n">
        <v>45056.8087615741</v>
      </c>
      <c r="AF65" s="187" t="n">
        <v>45057.5830902778</v>
      </c>
      <c r="AG65" s="180" t="n">
        <v>18.5838888888247</v>
      </c>
      <c r="AH65" s="180" t="n">
        <v>18.5838888888247</v>
      </c>
      <c r="AI65" s="187" t="n">
        <v>45064.680775463</v>
      </c>
      <c r="AJ65" s="187" t="n">
        <v>45064.6811458333</v>
      </c>
      <c r="AK65" s="180" t="n">
        <v>0.00888888887129724</v>
      </c>
      <c r="AL65" s="180" t="n">
        <v>1</v>
      </c>
      <c r="AM65" s="180" t="e">
        <f aca="false">(AE65-#REF!)*24</f>
        <v>#REF!</v>
      </c>
      <c r="AN65" s="180" t="e">
        <f aca="false">AM65+35</f>
        <v>#REF!</v>
      </c>
      <c r="AO65" s="186" t="n">
        <v>14</v>
      </c>
      <c r="AP65" s="186" t="s">
        <v>589</v>
      </c>
      <c r="AQ65" s="189" t="n">
        <v>45057.657308912</v>
      </c>
      <c r="AR65" s="188" t="s">
        <v>592</v>
      </c>
      <c r="AS65" s="180" t="s">
        <v>593</v>
      </c>
      <c r="AT65" s="172" t="n">
        <v>25</v>
      </c>
      <c r="AU65" s="172"/>
      <c r="AV65" s="172"/>
      <c r="AW65" s="172"/>
      <c r="AX65" s="284" t="n">
        <v>45074.3705092593</v>
      </c>
      <c r="AY65" s="284" t="n">
        <v>45074.3705092593</v>
      </c>
      <c r="AZ65" s="191" t="n">
        <v>0</v>
      </c>
      <c r="BA65" s="180" t="n">
        <v>1</v>
      </c>
      <c r="BB65" s="172"/>
      <c r="BC65" s="172"/>
      <c r="BD65" s="172"/>
      <c r="BE65" s="172"/>
      <c r="BF65" s="193" t="n">
        <v>1</v>
      </c>
      <c r="BG65" s="194" t="n">
        <v>1</v>
      </c>
      <c r="BH65" s="194" t="n">
        <v>2</v>
      </c>
      <c r="BI65" s="194"/>
      <c r="BJ65" s="194" t="s">
        <v>600</v>
      </c>
      <c r="BK65" s="195" t="s">
        <v>587</v>
      </c>
      <c r="BL65" s="194" t="n">
        <v>1</v>
      </c>
      <c r="BM65" s="196" t="n">
        <v>45205</v>
      </c>
      <c r="BN65" s="196" t="n">
        <f aca="false">AQ65+145</f>
        <v>45202.657308912</v>
      </c>
      <c r="BO65" s="197" t="n">
        <f aca="false">BM65-AQ65</f>
        <v>147.342691088001</v>
      </c>
      <c r="BP65" s="197" t="s">
        <v>35</v>
      </c>
      <c r="BQ65" s="195" t="s">
        <v>587</v>
      </c>
      <c r="BR65" s="199" t="n">
        <v>1.1694</v>
      </c>
      <c r="BS65" s="199" t="n">
        <v>3.8321</v>
      </c>
      <c r="BT65" s="199" t="n">
        <v>1.1527</v>
      </c>
      <c r="BU65" s="199" t="n">
        <v>1.1485</v>
      </c>
      <c r="BV65" s="199" t="n">
        <v>0.86234</v>
      </c>
      <c r="BW65" s="199" t="n">
        <v>0.88199</v>
      </c>
      <c r="BX65" s="199" t="n">
        <v>1.4532</v>
      </c>
      <c r="BY65" s="199" t="n">
        <v>1.3632</v>
      </c>
      <c r="BZ65" s="199" t="n">
        <v>1.7261</v>
      </c>
      <c r="CA65" s="199" t="n">
        <v>2.838</v>
      </c>
      <c r="CB65" s="199" t="n">
        <v>3.4159</v>
      </c>
      <c r="CC65" s="251" t="s">
        <v>65</v>
      </c>
      <c r="CD65" s="201"/>
      <c r="CE65" s="251" t="s">
        <v>65</v>
      </c>
      <c r="CF65" s="201"/>
      <c r="CG65" s="251" t="s">
        <v>65</v>
      </c>
      <c r="CH65" s="201"/>
      <c r="CI65" s="200" t="s">
        <v>595</v>
      </c>
      <c r="CJ65" s="203"/>
      <c r="CK65" s="204" t="n">
        <v>6</v>
      </c>
      <c r="CL65" s="205" t="n">
        <v>0.05</v>
      </c>
      <c r="CM65" s="205" t="n">
        <v>0.05</v>
      </c>
      <c r="CN65" s="205" t="n">
        <v>0.05</v>
      </c>
      <c r="CO65" s="205" t="n">
        <v>0.05</v>
      </c>
      <c r="CP65" s="296" t="n">
        <v>0.11908</v>
      </c>
      <c r="CQ65" s="295" t="n">
        <v>0.15538</v>
      </c>
      <c r="CR65" s="297" t="n">
        <v>0.10042</v>
      </c>
      <c r="CS65" s="297" t="n">
        <v>0.085616</v>
      </c>
      <c r="CT65" s="297" t="n">
        <v>0.081739</v>
      </c>
      <c r="CU65" s="297" t="n">
        <v>0.061758</v>
      </c>
      <c r="CV65" s="205" t="n">
        <v>0.05</v>
      </c>
      <c r="CW65" s="297" t="n">
        <v>0.062924</v>
      </c>
      <c r="CX65" s="208" t="n">
        <f aca="false">AVERAGE(CL65:CO65)</f>
        <v>0.05</v>
      </c>
      <c r="CY65" s="208" t="n">
        <f aca="false">_xlfn.STDEV.S(CL65:CO65)</f>
        <v>0</v>
      </c>
      <c r="CZ65" s="208" t="n">
        <v>0.1</v>
      </c>
      <c r="DA65" s="172" t="n">
        <v>48</v>
      </c>
      <c r="DB65" s="209" t="e">
        <f aca="false">#REF!+(DA65/24)</f>
        <v>#REF!</v>
      </c>
      <c r="DC65" s="210" t="n">
        <v>2</v>
      </c>
      <c r="DD65" s="210" t="n">
        <v>3</v>
      </c>
      <c r="DE65" s="180" t="n">
        <f aca="false">DD65-DC65</f>
        <v>1</v>
      </c>
      <c r="DF65" s="180" t="n">
        <f aca="false">MAX(CM65:CX65)</f>
        <v>0.15538</v>
      </c>
      <c r="DG65" s="211" t="e">
        <f aca="false">(DB65-AE65)*24</f>
        <v>#REF!</v>
      </c>
      <c r="DH65" s="195" t="s">
        <v>587</v>
      </c>
      <c r="DI65" s="244" t="e">
        <f aca="false">(AQ65-DB65)*24</f>
        <v>#REF!</v>
      </c>
      <c r="DJ65" s="245" t="s">
        <v>600</v>
      </c>
      <c r="DK65" s="172" t="s">
        <v>152</v>
      </c>
      <c r="DL65" s="238" t="n">
        <v>65</v>
      </c>
      <c r="DM65" s="240" t="s">
        <v>423</v>
      </c>
    </row>
    <row r="66" customFormat="false" ht="15.75" hidden="false" customHeight="true" outlineLevel="0" collapsed="false">
      <c r="A66" s="172" t="s">
        <v>152</v>
      </c>
      <c r="B66" s="238" t="n">
        <v>64</v>
      </c>
      <c r="C66" s="239" t="s">
        <v>316</v>
      </c>
      <c r="D66" s="240" t="s">
        <v>317</v>
      </c>
      <c r="E66" s="215" t="s">
        <v>318</v>
      </c>
      <c r="F66" s="239" t="n">
        <v>88567</v>
      </c>
      <c r="G66" s="193"/>
      <c r="H66" s="218" t="n">
        <v>42653</v>
      </c>
      <c r="I66" s="180" t="n">
        <v>6.58082191780822</v>
      </c>
      <c r="J66" s="218" t="n">
        <v>44846</v>
      </c>
      <c r="K66" s="219" t="n">
        <v>83.3</v>
      </c>
      <c r="L66" s="219" t="n">
        <v>3.75</v>
      </c>
      <c r="M66" s="220" t="n">
        <v>209</v>
      </c>
      <c r="N66" s="221" t="n">
        <v>320</v>
      </c>
      <c r="O66" s="221" t="n">
        <v>2479</v>
      </c>
      <c r="P66" s="221" t="n">
        <v>1986</v>
      </c>
      <c r="Q66" s="221" t="n">
        <v>2002</v>
      </c>
      <c r="R66" s="221" t="n">
        <v>1946</v>
      </c>
      <c r="S66" s="221" t="n">
        <v>1726</v>
      </c>
      <c r="T66" s="221" t="n">
        <v>1624</v>
      </c>
      <c r="U66" s="184" t="s">
        <v>656</v>
      </c>
      <c r="V66" s="185" t="n">
        <f aca="false">EXP(1.204+(0.102*I66)+(0.007*N66)-(0.001*T66)+(0.008*M66)-2.723)</f>
        <v>4.22172509844553</v>
      </c>
      <c r="W66" s="185" t="n">
        <f aca="false">(V66/(1+V66))</f>
        <v>0.808492407940492</v>
      </c>
      <c r="X66" s="185" t="n">
        <f aca="false">EXP(2.859+(0.011*N66)-(0.002*T66)+(0.275*I66)-1.952)</f>
        <v>19.860364807326</v>
      </c>
      <c r="Y66" s="185" t="n">
        <f aca="false">(X66/(1+X66))</f>
        <v>0.952062199811155</v>
      </c>
      <c r="Z66" s="238" t="n">
        <v>64</v>
      </c>
      <c r="AA66" s="186" t="n">
        <v>32</v>
      </c>
      <c r="AB66" s="187" t="n">
        <v>45057.4550347222</v>
      </c>
      <c r="AC66" s="187" t="n">
        <v>45058.0333796296</v>
      </c>
      <c r="AD66" s="180" t="n">
        <v>13.8802777777892</v>
      </c>
      <c r="AE66" s="187" t="n">
        <v>45057.4550347222</v>
      </c>
      <c r="AF66" s="187" t="n">
        <v>45058.0333796296</v>
      </c>
      <c r="AG66" s="180" t="n">
        <v>13.8802777777892</v>
      </c>
      <c r="AH66" s="180" t="n">
        <v>13.8802777777892</v>
      </c>
      <c r="AI66" s="187"/>
      <c r="AJ66" s="187"/>
      <c r="AK66" s="180"/>
      <c r="AL66" s="180"/>
      <c r="AM66" s="180" t="e">
        <f aca="false">(AE66-#REF!)*24</f>
        <v>#REF!</v>
      </c>
      <c r="AN66" s="180" t="e">
        <f aca="false">AM66+35</f>
        <v>#REF!</v>
      </c>
      <c r="AO66" s="186" t="n">
        <v>22</v>
      </c>
      <c r="AP66" s="186" t="s">
        <v>589</v>
      </c>
      <c r="AQ66" s="189" t="n">
        <v>45057.6597387731</v>
      </c>
      <c r="AR66" s="188" t="s">
        <v>592</v>
      </c>
      <c r="AS66" s="180" t="s">
        <v>593</v>
      </c>
      <c r="AT66" s="172" t="n">
        <v>32</v>
      </c>
      <c r="AU66" s="172"/>
      <c r="AV66" s="172"/>
      <c r="AW66" s="172"/>
      <c r="AX66" s="192" t="n">
        <v>45074.5176736111</v>
      </c>
      <c r="AY66" s="192" t="n">
        <v>45074.5950347222</v>
      </c>
      <c r="AZ66" s="180" t="n">
        <v>1.85666666674661</v>
      </c>
      <c r="BA66" s="180" t="n">
        <v>1.85666666674661</v>
      </c>
      <c r="BB66" s="172"/>
      <c r="BC66" s="172"/>
      <c r="BD66" s="172"/>
      <c r="BE66" s="172"/>
      <c r="BF66" s="193" t="n">
        <v>7</v>
      </c>
      <c r="BG66" s="194" t="n">
        <v>0</v>
      </c>
      <c r="BH66" s="194"/>
      <c r="BI66" s="194" t="s">
        <v>622</v>
      </c>
      <c r="BJ66" s="194" t="s">
        <v>543</v>
      </c>
      <c r="BK66" s="195" t="s">
        <v>587</v>
      </c>
      <c r="BL66" s="194"/>
      <c r="BM66" s="194" t="s">
        <v>543</v>
      </c>
      <c r="BN66" s="196" t="n">
        <f aca="false">AX66+145</f>
        <v>45219.5176736111</v>
      </c>
      <c r="BO66" s="197"/>
      <c r="BP66" s="197" t="s">
        <v>585</v>
      </c>
      <c r="BQ66" s="195" t="s">
        <v>587</v>
      </c>
      <c r="BR66" s="199" t="n">
        <v>2.7319</v>
      </c>
      <c r="BS66" s="199" t="n">
        <v>1.1989</v>
      </c>
      <c r="BT66" s="199" t="n">
        <v>0.2</v>
      </c>
      <c r="BU66" s="199" t="n">
        <v>0.39107</v>
      </c>
      <c r="BV66" s="199" t="n">
        <v>0.2</v>
      </c>
      <c r="BW66" s="199" t="n">
        <v>0.2</v>
      </c>
      <c r="BX66" s="199" t="n">
        <v>0.45203</v>
      </c>
      <c r="BY66" s="199" t="n">
        <v>2.5667</v>
      </c>
      <c r="BZ66" s="199" t="n">
        <v>1.1485</v>
      </c>
      <c r="CA66" s="199" t="n">
        <v>2.0805</v>
      </c>
      <c r="CB66" s="199" t="n">
        <v>2.6372</v>
      </c>
      <c r="CC66" s="251" t="s">
        <v>65</v>
      </c>
      <c r="CD66" s="252"/>
      <c r="CE66" s="251" t="s">
        <v>65</v>
      </c>
      <c r="CF66" s="252"/>
      <c r="CG66" s="251" t="s">
        <v>65</v>
      </c>
      <c r="CH66" s="252"/>
      <c r="CI66" s="200" t="s">
        <v>595</v>
      </c>
      <c r="CJ66" s="203"/>
      <c r="CK66" s="204" t="n">
        <v>5</v>
      </c>
      <c r="CL66" s="205" t="n">
        <v>0.05</v>
      </c>
      <c r="CM66" s="205" t="n">
        <v>0.05</v>
      </c>
      <c r="CN66" s="297" t="n">
        <v>0.068979</v>
      </c>
      <c r="CO66" s="297" t="n">
        <v>0.081038</v>
      </c>
      <c r="CP66" s="297" t="n">
        <v>0.078074</v>
      </c>
      <c r="CQ66" s="296" t="n">
        <v>0.15035</v>
      </c>
      <c r="CR66" s="295" t="n">
        <v>0.15643</v>
      </c>
      <c r="CS66" s="297" t="n">
        <v>0.091327</v>
      </c>
      <c r="CT66" s="297" t="n">
        <v>0.064429</v>
      </c>
      <c r="CU66" s="205" t="n">
        <v>0.05</v>
      </c>
      <c r="CV66" s="205" t="n">
        <v>0.05</v>
      </c>
      <c r="CW66" s="205" t="n">
        <v>0.05</v>
      </c>
      <c r="CX66" s="208" t="n">
        <f aca="false">AVERAGE(CL66:CO66)</f>
        <v>0.06250425</v>
      </c>
      <c r="CY66" s="208" t="n">
        <f aca="false">_xlfn.STDEV.S(CL66:CO66)</f>
        <v>0.0152548878806106</v>
      </c>
      <c r="CZ66" s="208" t="n">
        <v>0.1</v>
      </c>
      <c r="DA66" s="186" t="n">
        <v>60</v>
      </c>
      <c r="DB66" s="209" t="e">
        <f aca="false">#REF!+(DA66/24)</f>
        <v>#REF!</v>
      </c>
      <c r="DC66" s="210" t="n">
        <v>2.5</v>
      </c>
      <c r="DD66" s="210" t="n">
        <v>3.5</v>
      </c>
      <c r="DE66" s="180" t="n">
        <f aca="false">DD66-DC66</f>
        <v>1</v>
      </c>
      <c r="DF66" s="180" t="n">
        <f aca="false">MAX(CM66:CX66)</f>
        <v>0.15643</v>
      </c>
      <c r="DG66" s="211" t="e">
        <f aca="false">(DB66-AE66)*24</f>
        <v>#REF!</v>
      </c>
      <c r="DH66" s="195" t="s">
        <v>587</v>
      </c>
      <c r="DI66" s="211" t="e">
        <f aca="false">(AQ66-DB66)*24</f>
        <v>#REF!</v>
      </c>
      <c r="DJ66" s="194" t="s">
        <v>543</v>
      </c>
      <c r="DK66" s="172" t="s">
        <v>152</v>
      </c>
      <c r="DL66" s="238" t="n">
        <v>64</v>
      </c>
      <c r="DM66" s="240" t="s">
        <v>317</v>
      </c>
    </row>
    <row r="67" customFormat="false" ht="15.75" hidden="false" customHeight="true" outlineLevel="0" collapsed="false">
      <c r="A67" s="188" t="s">
        <v>148</v>
      </c>
      <c r="B67" s="238" t="n">
        <v>62</v>
      </c>
      <c r="C67" s="239" t="s">
        <v>355</v>
      </c>
      <c r="D67" s="240" t="s">
        <v>356</v>
      </c>
      <c r="E67" s="215" t="s">
        <v>357</v>
      </c>
      <c r="F67" s="239" t="n">
        <v>88726</v>
      </c>
      <c r="G67" s="193"/>
      <c r="H67" s="218" t="n">
        <v>42657</v>
      </c>
      <c r="I67" s="180" t="n">
        <v>6.56986301369863</v>
      </c>
      <c r="J67" s="218" t="n">
        <v>44876</v>
      </c>
      <c r="K67" s="219" t="n">
        <v>72.2</v>
      </c>
      <c r="L67" s="219" t="n">
        <v>3.75</v>
      </c>
      <c r="M67" s="220" t="n">
        <v>179</v>
      </c>
      <c r="N67" s="221" t="n">
        <v>276</v>
      </c>
      <c r="O67" s="221"/>
      <c r="P67" s="221" t="n">
        <v>2540</v>
      </c>
      <c r="Q67" s="221" t="n">
        <v>2002</v>
      </c>
      <c r="R67" s="221" t="n">
        <v>1551</v>
      </c>
      <c r="S67" s="221" t="n">
        <v>1361</v>
      </c>
      <c r="T67" s="221" t="n">
        <v>1247</v>
      </c>
      <c r="U67" s="222" t="s">
        <v>657</v>
      </c>
      <c r="V67" s="185" t="n">
        <f aca="false">EXP(1.204+(0.102*I67)+(0.007*N67)-(0.001*T67)+(0.008*M67)-2.723)</f>
        <v>3.55418587076096</v>
      </c>
      <c r="W67" s="185" t="n">
        <f aca="false">(V67/(1+V67))</f>
        <v>0.780421785939776</v>
      </c>
      <c r="X67" s="185" t="n">
        <f aca="false">EXP(2.859+(0.011*N67)-(0.002*T67)+(0.275*I67)-1.952)</f>
        <v>25.9380843985913</v>
      </c>
      <c r="Y67" s="185" t="n">
        <f aca="false">(X67/(1+X67))</f>
        <v>0.962877835513341</v>
      </c>
      <c r="Z67" s="238" t="n">
        <v>62</v>
      </c>
      <c r="AA67" s="186" t="n">
        <v>74</v>
      </c>
      <c r="AB67" s="187" t="n">
        <v>45059.764837963</v>
      </c>
      <c r="AC67" s="187" t="n">
        <v>45059.7650925926</v>
      </c>
      <c r="AD67" s="180" t="n">
        <v>0.0061111111426726</v>
      </c>
      <c r="AE67" s="190" t="n">
        <v>45059.764837963</v>
      </c>
      <c r="AF67" s="190" t="n">
        <v>45059.7650925926</v>
      </c>
      <c r="AG67" s="180" t="n">
        <v>0.0061111111426726</v>
      </c>
      <c r="AH67" s="180" t="n">
        <v>1</v>
      </c>
      <c r="AI67" s="186"/>
      <c r="AJ67" s="186"/>
      <c r="AK67" s="186"/>
      <c r="AL67" s="186"/>
      <c r="AM67" s="180" t="e">
        <f aca="false">(AE67-#REF!)*24</f>
        <v>#REF!</v>
      </c>
      <c r="AN67" s="180" t="e">
        <f aca="false">AM67+35</f>
        <v>#REF!</v>
      </c>
      <c r="AO67" s="186" t="n">
        <v>2</v>
      </c>
      <c r="AP67" s="188" t="s">
        <v>582</v>
      </c>
      <c r="AQ67" s="189" t="n">
        <v>45057.6842140046</v>
      </c>
      <c r="AR67" s="188" t="s">
        <v>592</v>
      </c>
      <c r="AS67" s="180" t="s">
        <v>593</v>
      </c>
      <c r="AT67" s="172"/>
      <c r="AU67" s="172"/>
      <c r="AV67" s="172"/>
      <c r="AW67" s="172"/>
      <c r="AX67" s="172"/>
      <c r="AY67" s="172"/>
      <c r="AZ67" s="172"/>
      <c r="BA67" s="180"/>
      <c r="BB67" s="172"/>
      <c r="BC67" s="172"/>
      <c r="BD67" s="172"/>
      <c r="BE67" s="172"/>
      <c r="BF67" s="193"/>
      <c r="BG67" s="194" t="n">
        <v>1</v>
      </c>
      <c r="BH67" s="194" t="n">
        <v>1</v>
      </c>
      <c r="BI67" s="194"/>
      <c r="BJ67" s="194" t="s">
        <v>600</v>
      </c>
      <c r="BK67" s="195" t="s">
        <v>617</v>
      </c>
      <c r="BL67" s="194" t="n">
        <v>2</v>
      </c>
      <c r="BM67" s="196" t="n">
        <v>45206</v>
      </c>
      <c r="BN67" s="196" t="n">
        <f aca="false">AQ67+145</f>
        <v>45202.6842140046</v>
      </c>
      <c r="BO67" s="197" t="n">
        <f aca="false">BM67-AQ67</f>
        <v>148.315785995401</v>
      </c>
      <c r="BP67" s="197" t="s">
        <v>35</v>
      </c>
      <c r="BQ67" s="195" t="s">
        <v>617</v>
      </c>
      <c r="BR67" s="199" t="n">
        <v>1.0961</v>
      </c>
      <c r="BS67" s="199" t="n">
        <v>3.7084</v>
      </c>
      <c r="BT67" s="199" t="n">
        <v>1.2239</v>
      </c>
      <c r="BU67" s="199" t="n">
        <v>1.6875</v>
      </c>
      <c r="BV67" s="199" t="n">
        <v>1.598</v>
      </c>
      <c r="BW67" s="199" t="n">
        <v>1.6925</v>
      </c>
      <c r="BX67" s="199" t="n">
        <v>1.0371</v>
      </c>
      <c r="BY67" s="199" t="n">
        <v>1.6812</v>
      </c>
      <c r="BZ67" s="199" t="n">
        <v>1.9189</v>
      </c>
      <c r="CA67" s="199" t="n">
        <v>3.7328</v>
      </c>
      <c r="CB67" s="199" t="n">
        <v>5.1618</v>
      </c>
      <c r="CC67" s="251" t="s">
        <v>65</v>
      </c>
      <c r="CD67" s="201"/>
      <c r="CE67" s="251" t="s">
        <v>65</v>
      </c>
      <c r="CF67" s="201"/>
      <c r="CG67" s="251" t="s">
        <v>65</v>
      </c>
      <c r="CH67" s="201"/>
      <c r="CI67" s="200" t="s">
        <v>590</v>
      </c>
      <c r="CJ67" s="242"/>
      <c r="CK67" s="204" t="n">
        <v>7</v>
      </c>
      <c r="CL67" s="205" t="n">
        <v>0.05</v>
      </c>
      <c r="CM67" s="205" t="n">
        <v>0.05</v>
      </c>
      <c r="CN67" s="205" t="n">
        <v>0.05</v>
      </c>
      <c r="CO67" s="205" t="n">
        <v>0.05</v>
      </c>
      <c r="CP67" s="297" t="n">
        <v>0.080164</v>
      </c>
      <c r="CQ67" s="295" t="n">
        <v>0.1799</v>
      </c>
      <c r="CR67" s="296" t="n">
        <v>0.10955</v>
      </c>
      <c r="CS67" s="297" t="n">
        <v>0.084555</v>
      </c>
      <c r="CT67" s="297" t="n">
        <v>0.065771</v>
      </c>
      <c r="CU67" s="297" t="n">
        <v>0.061426</v>
      </c>
      <c r="CV67" s="297" t="n">
        <v>0.06043</v>
      </c>
      <c r="CW67" s="297" t="n">
        <v>0.063091</v>
      </c>
      <c r="CX67" s="208" t="n">
        <f aca="false">AVERAGE(CL67:CO67)</f>
        <v>0.05</v>
      </c>
      <c r="CY67" s="208" t="n">
        <f aca="false">_xlfn.STDEV.S(CL67:CO67)</f>
        <v>0</v>
      </c>
      <c r="CZ67" s="208" t="n">
        <v>0.1</v>
      </c>
      <c r="DA67" s="172" t="n">
        <v>60</v>
      </c>
      <c r="DB67" s="209" t="e">
        <f aca="false">#REF!+(DA67/24)</f>
        <v>#REF!</v>
      </c>
      <c r="DC67" s="210" t="n">
        <v>2.5</v>
      </c>
      <c r="DD67" s="210" t="n">
        <v>3.5</v>
      </c>
      <c r="DE67" s="180" t="n">
        <f aca="false">DD67-DC67</f>
        <v>1</v>
      </c>
      <c r="DF67" s="180" t="n">
        <f aca="false">MAX(CM67:CX67)</f>
        <v>0.1799</v>
      </c>
      <c r="DG67" s="211" t="e">
        <f aca="false">(DB67-AE67)*24</f>
        <v>#REF!</v>
      </c>
      <c r="DH67" s="195" t="s">
        <v>596</v>
      </c>
      <c r="DI67" s="244" t="e">
        <f aca="false">(AQ67-DB67)*24</f>
        <v>#REF!</v>
      </c>
      <c r="DJ67" s="245" t="s">
        <v>600</v>
      </c>
      <c r="DK67" s="188" t="s">
        <v>148</v>
      </c>
      <c r="DL67" s="238" t="n">
        <v>62</v>
      </c>
      <c r="DM67" s="240" t="s">
        <v>356</v>
      </c>
      <c r="DO67" s="282"/>
      <c r="DP67" s="242"/>
      <c r="DQ67" s="242"/>
      <c r="DR67" s="242"/>
      <c r="DS67" s="266"/>
    </row>
    <row r="68" customFormat="false" ht="15.75" hidden="false" customHeight="true" outlineLevel="0" collapsed="false">
      <c r="A68" s="188" t="s">
        <v>148</v>
      </c>
      <c r="B68" s="238" t="n">
        <v>66</v>
      </c>
      <c r="C68" s="239" t="s">
        <v>364</v>
      </c>
      <c r="D68" s="240" t="s">
        <v>365</v>
      </c>
      <c r="E68" s="215" t="s">
        <v>366</v>
      </c>
      <c r="F68" s="239" t="n">
        <v>88662</v>
      </c>
      <c r="G68" s="193"/>
      <c r="H68" s="218" t="n">
        <v>43015</v>
      </c>
      <c r="I68" s="180" t="n">
        <v>5.58904109589041</v>
      </c>
      <c r="J68" s="218" t="n">
        <v>44880</v>
      </c>
      <c r="K68" s="219" t="n">
        <v>69</v>
      </c>
      <c r="L68" s="219" t="n">
        <v>3.25</v>
      </c>
      <c r="M68" s="220" t="n">
        <v>175</v>
      </c>
      <c r="N68" s="221" t="n">
        <v>226</v>
      </c>
      <c r="O68" s="221"/>
      <c r="P68" s="221" t="n">
        <v>2248</v>
      </c>
      <c r="Q68" s="221" t="n">
        <v>2059</v>
      </c>
      <c r="R68" s="221" t="n">
        <v>1607</v>
      </c>
      <c r="S68" s="221" t="n">
        <v>1560</v>
      </c>
      <c r="T68" s="221" t="n">
        <v>1247</v>
      </c>
      <c r="U68" s="222" t="s">
        <v>598</v>
      </c>
      <c r="V68" s="185" t="n">
        <f aca="false">EXP(1.204+(0.102*I68)+(0.007*N68)-(0.001*T68)+(0.008*M68)-2.723)</f>
        <v>2.19478082977462</v>
      </c>
      <c r="W68" s="185" t="n">
        <f aca="false">(V68/(1+V68))</f>
        <v>0.686989482758808</v>
      </c>
      <c r="X68" s="185" t="n">
        <f aca="false">EXP(2.859+(0.011*N68)-(0.002*T68)+(0.275*I68)-1.952)</f>
        <v>11.4270837054274</v>
      </c>
      <c r="Y68" s="185" t="n">
        <f aca="false">(X68/(1+X68))</f>
        <v>0.919530597547737</v>
      </c>
      <c r="Z68" s="238" t="n">
        <v>66</v>
      </c>
      <c r="AA68" s="186"/>
      <c r="AB68" s="186"/>
      <c r="AC68" s="186"/>
      <c r="AD68" s="186"/>
      <c r="AE68" s="187"/>
      <c r="AF68" s="187"/>
      <c r="AG68" s="180"/>
      <c r="AH68" s="180"/>
      <c r="AI68" s="186"/>
      <c r="AJ68" s="186"/>
      <c r="AK68" s="186"/>
      <c r="AL68" s="186"/>
      <c r="AM68" s="180"/>
      <c r="AN68" s="180"/>
      <c r="AO68" s="186"/>
      <c r="AP68" s="188" t="s">
        <v>582</v>
      </c>
      <c r="AQ68" s="189" t="n">
        <v>45057.6801193287</v>
      </c>
      <c r="AR68" s="188" t="s">
        <v>592</v>
      </c>
      <c r="AS68" s="180" t="s">
        <v>584</v>
      </c>
      <c r="AT68" s="172" t="n">
        <v>82</v>
      </c>
      <c r="AU68" s="172"/>
      <c r="AV68" s="172"/>
      <c r="AW68" s="172"/>
      <c r="AX68" s="187" t="n">
        <v>45072.7212037037</v>
      </c>
      <c r="AY68" s="187" t="n">
        <v>45073.6525578704</v>
      </c>
      <c r="AZ68" s="180" t="n">
        <v>22.3525000000955</v>
      </c>
      <c r="BA68" s="180" t="n">
        <v>22.3525000000955</v>
      </c>
      <c r="BB68" s="172"/>
      <c r="BC68" s="172"/>
      <c r="BD68" s="172"/>
      <c r="BE68" s="172"/>
      <c r="BF68" s="193" t="n">
        <v>102</v>
      </c>
      <c r="BG68" s="194" t="n">
        <v>0</v>
      </c>
      <c r="BH68" s="194"/>
      <c r="BI68" s="194" t="s">
        <v>622</v>
      </c>
      <c r="BJ68" s="194" t="s">
        <v>543</v>
      </c>
      <c r="BK68" s="195" t="s">
        <v>587</v>
      </c>
      <c r="BL68" s="194"/>
      <c r="BM68" s="194" t="s">
        <v>543</v>
      </c>
      <c r="BN68" s="196" t="n">
        <f aca="false">AX68+145</f>
        <v>45217.7212037037</v>
      </c>
      <c r="BO68" s="197"/>
      <c r="BP68" s="197" t="s">
        <v>585</v>
      </c>
      <c r="BQ68" s="195" t="s">
        <v>587</v>
      </c>
      <c r="BR68" s="199" t="n">
        <v>0.2</v>
      </c>
      <c r="BS68" s="199" t="n">
        <v>0.2</v>
      </c>
      <c r="BT68" s="199" t="n">
        <v>0.2</v>
      </c>
      <c r="BU68" s="199" t="n">
        <v>0.2</v>
      </c>
      <c r="BV68" s="199" t="n">
        <v>0.2</v>
      </c>
      <c r="BW68" s="199" t="n">
        <v>0.2</v>
      </c>
      <c r="BX68" s="199" t="n">
        <v>0.2</v>
      </c>
      <c r="BY68" s="199" t="n">
        <v>1.0295</v>
      </c>
      <c r="BZ68" s="199" t="n">
        <v>0.2</v>
      </c>
      <c r="CA68" s="199" t="n">
        <v>0.2</v>
      </c>
      <c r="CB68" s="199" t="n">
        <v>1.7666</v>
      </c>
      <c r="CC68" s="200" t="s">
        <v>588</v>
      </c>
      <c r="CD68" s="201" t="s">
        <v>582</v>
      </c>
      <c r="CE68" s="200" t="s">
        <v>588</v>
      </c>
      <c r="CF68" s="202" t="s">
        <v>589</v>
      </c>
      <c r="CG68" s="200" t="s">
        <v>588</v>
      </c>
      <c r="CH68" s="202" t="s">
        <v>589</v>
      </c>
      <c r="CI68" s="203"/>
      <c r="CJ68" s="200" t="s">
        <v>604</v>
      </c>
      <c r="CK68" s="204" t="n">
        <v>5</v>
      </c>
      <c r="CL68" s="297" t="n">
        <v>0.070678</v>
      </c>
      <c r="CM68" s="297" t="n">
        <v>0.066108</v>
      </c>
      <c r="CN68" s="297" t="n">
        <v>0.090609</v>
      </c>
      <c r="CO68" s="297" t="n">
        <v>0.09331</v>
      </c>
      <c r="CP68" s="297" t="n">
        <v>0.10449</v>
      </c>
      <c r="CQ68" s="295" t="n">
        <v>0.51661</v>
      </c>
      <c r="CR68" s="297" t="n">
        <v>0.39545</v>
      </c>
      <c r="CS68" s="296" t="n">
        <v>0.20306</v>
      </c>
      <c r="CT68" s="297" t="n">
        <v>0.090968</v>
      </c>
      <c r="CU68" s="297" t="n">
        <v>0.078943</v>
      </c>
      <c r="CV68" s="205" t="n">
        <v>0.05</v>
      </c>
      <c r="CW68" s="297" t="n">
        <v>0.080338</v>
      </c>
      <c r="CX68" s="208" t="n">
        <f aca="false">AVERAGE(CL68:CO68)</f>
        <v>0.08017625</v>
      </c>
      <c r="CY68" s="208" t="n">
        <f aca="false">_xlfn.STDEV.S(CL68:CO68)</f>
        <v>0.013777639768238</v>
      </c>
      <c r="CZ68" s="208" t="n">
        <f aca="false">CX68+(2*CY68)</f>
        <v>0.107731529536476</v>
      </c>
      <c r="DA68" s="172" t="n">
        <v>60</v>
      </c>
      <c r="DB68" s="209" t="e">
        <f aca="false">#REF!+(DA68/24)</f>
        <v>#REF!</v>
      </c>
      <c r="DC68" s="210" t="n">
        <v>2.5</v>
      </c>
      <c r="DD68" s="210" t="n">
        <v>4</v>
      </c>
      <c r="DE68" s="180" t="n">
        <f aca="false">DD68-DC68</f>
        <v>1.5</v>
      </c>
      <c r="DF68" s="180" t="n">
        <f aca="false">MAX(CM68:CX68)</f>
        <v>0.51661</v>
      </c>
      <c r="DG68" s="211"/>
      <c r="DH68" s="195" t="s">
        <v>603</v>
      </c>
      <c r="DI68" s="211" t="e">
        <f aca="false">(AQ68-DB68)*24</f>
        <v>#REF!</v>
      </c>
      <c r="DJ68" s="194" t="s">
        <v>543</v>
      </c>
      <c r="DK68" s="188" t="s">
        <v>148</v>
      </c>
      <c r="DL68" s="238" t="n">
        <v>66</v>
      </c>
      <c r="DM68" s="240" t="s">
        <v>365</v>
      </c>
      <c r="DO68" s="282"/>
      <c r="DP68" s="242"/>
      <c r="DQ68" s="242"/>
      <c r="DR68" s="242"/>
      <c r="DS68" s="266"/>
    </row>
    <row r="69" customFormat="false" ht="15.75" hidden="false" customHeight="true" outlineLevel="0" collapsed="false">
      <c r="A69" s="188" t="s">
        <v>148</v>
      </c>
      <c r="B69" s="238" t="n">
        <v>67</v>
      </c>
      <c r="C69" s="239" t="s">
        <v>370</v>
      </c>
      <c r="D69" s="240" t="s">
        <v>371</v>
      </c>
      <c r="E69" s="215" t="s">
        <v>372</v>
      </c>
      <c r="F69" s="239" t="n">
        <v>89220</v>
      </c>
      <c r="G69" s="193"/>
      <c r="H69" s="218" t="n">
        <v>43018</v>
      </c>
      <c r="I69" s="180" t="n">
        <v>5.58082191780822</v>
      </c>
      <c r="J69" s="218" t="n">
        <v>44848</v>
      </c>
      <c r="K69" s="219" t="n">
        <v>77</v>
      </c>
      <c r="L69" s="219" t="n">
        <v>3</v>
      </c>
      <c r="M69" s="220" t="n">
        <v>207</v>
      </c>
      <c r="N69" s="221" t="n">
        <v>285</v>
      </c>
      <c r="O69" s="221" t="n">
        <v>2754</v>
      </c>
      <c r="P69" s="221" t="n">
        <v>2219</v>
      </c>
      <c r="Q69" s="221" t="n">
        <v>1888</v>
      </c>
      <c r="R69" s="221" t="n">
        <v>1466</v>
      </c>
      <c r="S69" s="221" t="n">
        <v>1660</v>
      </c>
      <c r="T69" s="221" t="n">
        <v>1537</v>
      </c>
      <c r="U69" s="253"/>
      <c r="V69" s="185" t="n">
        <f aca="false">EXP(0.585+(0.102*I69)+(0.007*N69)-(0.001*T69)+(0.008*M69)-2.723)</f>
        <v>1.72502895459763</v>
      </c>
      <c r="W69" s="185" t="n">
        <f aca="false">(V69/(1+V69))</f>
        <v>0.633031422175234</v>
      </c>
      <c r="X69" s="185" t="n">
        <f aca="false">EXP(1.741+(0.011*N69)-(0.002*T69)+(0.275*I69)-1.952)</f>
        <v>3.99373158188009</v>
      </c>
      <c r="Y69" s="185" t="n">
        <f aca="false">(X69/(1+X69))</f>
        <v>0.799748948536095</v>
      </c>
      <c r="Z69" s="238" t="n">
        <v>67</v>
      </c>
      <c r="AA69" s="186" t="n">
        <v>59</v>
      </c>
      <c r="AB69" s="187" t="n">
        <v>45056.7995486111</v>
      </c>
      <c r="AC69" s="187" t="n">
        <v>45057.224837963</v>
      </c>
      <c r="AD69" s="180" t="n">
        <v>10.2069444443914</v>
      </c>
      <c r="AE69" s="187" t="n">
        <v>45056.7995486111</v>
      </c>
      <c r="AF69" s="187" t="n">
        <v>45057.224837963</v>
      </c>
      <c r="AG69" s="180" t="n">
        <v>10.2069444443914</v>
      </c>
      <c r="AH69" s="180" t="n">
        <v>10.2069444443914</v>
      </c>
      <c r="AI69" s="186"/>
      <c r="AJ69" s="186"/>
      <c r="AK69" s="186"/>
      <c r="AL69" s="186"/>
      <c r="AM69" s="180" t="e">
        <f aca="false">(AE69-#REF!)*24</f>
        <v>#REF!</v>
      </c>
      <c r="AN69" s="180" t="e">
        <f aca="false">AM69+35</f>
        <v>#REF!</v>
      </c>
      <c r="AO69" s="186" t="n">
        <v>14</v>
      </c>
      <c r="AP69" s="186" t="s">
        <v>589</v>
      </c>
      <c r="AQ69" s="189" t="n">
        <v>45057.6837755787</v>
      </c>
      <c r="AR69" s="188" t="s">
        <v>592</v>
      </c>
      <c r="AS69" s="180" t="s">
        <v>584</v>
      </c>
      <c r="AT69" s="172" t="n">
        <v>59</v>
      </c>
      <c r="AU69" s="172"/>
      <c r="AV69" s="172"/>
      <c r="AW69" s="172"/>
      <c r="AX69" s="190" t="n">
        <v>45072.6659606482</v>
      </c>
      <c r="AY69" s="190" t="n">
        <v>45072.6659606482</v>
      </c>
      <c r="AZ69" s="191" t="n">
        <v>0</v>
      </c>
      <c r="BA69" s="180" t="n">
        <v>1</v>
      </c>
      <c r="BB69" s="172"/>
      <c r="BC69" s="172"/>
      <c r="BD69" s="172"/>
      <c r="BE69" s="172"/>
      <c r="BF69" s="193" t="n">
        <v>1</v>
      </c>
      <c r="BG69" s="194" t="n">
        <v>1</v>
      </c>
      <c r="BH69" s="194" t="n">
        <v>2</v>
      </c>
      <c r="BI69" s="194"/>
      <c r="BJ69" s="194" t="s">
        <v>600</v>
      </c>
      <c r="BK69" s="195" t="s">
        <v>587</v>
      </c>
      <c r="BL69" s="194" t="n">
        <v>1</v>
      </c>
      <c r="BM69" s="196" t="n">
        <v>45206</v>
      </c>
      <c r="BN69" s="196" t="n">
        <f aca="false">AQ69+145</f>
        <v>45202.6837755787</v>
      </c>
      <c r="BO69" s="197" t="n">
        <f aca="false">BM69-AQ69</f>
        <v>148.316224421302</v>
      </c>
      <c r="BP69" s="197" t="s">
        <v>35</v>
      </c>
      <c r="BQ69" s="195" t="s">
        <v>587</v>
      </c>
      <c r="BR69" s="298" t="n">
        <v>1.7871</v>
      </c>
      <c r="BS69" s="199" t="n">
        <v>1.3279</v>
      </c>
      <c r="BT69" s="199" t="n">
        <v>0.91351</v>
      </c>
      <c r="BU69" s="199" t="n">
        <v>0.78418</v>
      </c>
      <c r="BV69" s="199" t="n">
        <v>1.4079</v>
      </c>
      <c r="BW69" s="199" t="n">
        <v>1.0376</v>
      </c>
      <c r="BX69" s="199" t="n">
        <v>1.0866</v>
      </c>
      <c r="BY69" s="199" t="n">
        <v>2.5806</v>
      </c>
      <c r="BZ69" s="199" t="n">
        <v>1.7819</v>
      </c>
      <c r="CA69" s="199" t="n">
        <v>3.0315</v>
      </c>
      <c r="CB69" s="199" t="n">
        <v>3.8889</v>
      </c>
      <c r="CC69" s="200" t="s">
        <v>588</v>
      </c>
      <c r="CD69" s="202" t="s">
        <v>589</v>
      </c>
      <c r="CE69" s="251" t="s">
        <v>65</v>
      </c>
      <c r="CF69" s="252"/>
      <c r="CG69" s="200" t="s">
        <v>588</v>
      </c>
      <c r="CH69" s="202" t="s">
        <v>589</v>
      </c>
      <c r="CI69" s="242"/>
      <c r="CJ69" s="200" t="s">
        <v>595</v>
      </c>
      <c r="CK69" s="204" t="n">
        <v>5</v>
      </c>
      <c r="CL69" s="205" t="n">
        <v>0.05</v>
      </c>
      <c r="CM69" s="205" t="n">
        <v>0.05</v>
      </c>
      <c r="CN69" s="297" t="n">
        <v>0.069488</v>
      </c>
      <c r="CO69" s="297" t="n">
        <v>0.068809</v>
      </c>
      <c r="CP69" s="296" t="n">
        <v>0.14931</v>
      </c>
      <c r="CQ69" s="295" t="n">
        <v>0.32134</v>
      </c>
      <c r="CR69" s="296" t="n">
        <v>0.17546</v>
      </c>
      <c r="CS69" s="297" t="n">
        <v>0.085971</v>
      </c>
      <c r="CT69" s="297" t="n">
        <v>0.074788</v>
      </c>
      <c r="CU69" s="205" t="n">
        <v>0.05</v>
      </c>
      <c r="CV69" s="205" t="n">
        <v>0.05</v>
      </c>
      <c r="CW69" s="205" t="n">
        <v>0.05</v>
      </c>
      <c r="CX69" s="208" t="n">
        <f aca="false">AVERAGE(CL69:CO69)</f>
        <v>0.05957425</v>
      </c>
      <c r="CY69" s="208" t="n">
        <f aca="false">_xlfn.STDEV.S(CL69:CO69)</f>
        <v>0.0110588663184795</v>
      </c>
      <c r="CZ69" s="208" t="n">
        <v>0.1</v>
      </c>
      <c r="DA69" s="186" t="n">
        <v>48</v>
      </c>
      <c r="DB69" s="209" t="e">
        <f aca="false">#REF!+(DA69/24)</f>
        <v>#REF!</v>
      </c>
      <c r="DC69" s="210" t="n">
        <v>2</v>
      </c>
      <c r="DD69" s="210" t="n">
        <v>3.5</v>
      </c>
      <c r="DE69" s="180" t="n">
        <f aca="false">DD69-DC69</f>
        <v>1.5</v>
      </c>
      <c r="DF69" s="180" t="n">
        <f aca="false">MAX(CM69:CX69)</f>
        <v>0.32134</v>
      </c>
      <c r="DG69" s="211" t="e">
        <f aca="false">(DB69-AE69)*24</f>
        <v>#REF!</v>
      </c>
      <c r="DH69" s="195" t="s">
        <v>587</v>
      </c>
      <c r="DI69" s="244" t="e">
        <f aca="false">(AQ69-DB69)*24</f>
        <v>#REF!</v>
      </c>
      <c r="DJ69" s="245" t="s">
        <v>600</v>
      </c>
      <c r="DK69" s="188" t="s">
        <v>148</v>
      </c>
      <c r="DL69" s="238" t="n">
        <v>67</v>
      </c>
      <c r="DM69" s="240" t="s">
        <v>371</v>
      </c>
      <c r="DO69" s="282"/>
      <c r="DP69" s="242"/>
      <c r="DQ69" s="242"/>
      <c r="DR69" s="242"/>
      <c r="DS69" s="266"/>
    </row>
    <row r="70" customFormat="false" ht="15.75" hidden="false" customHeight="true" outlineLevel="0" collapsed="false">
      <c r="A70" s="172" t="s">
        <v>152</v>
      </c>
      <c r="B70" s="238" t="n">
        <v>68</v>
      </c>
      <c r="C70" s="239" t="s">
        <v>353</v>
      </c>
      <c r="D70" s="240" t="s">
        <v>354</v>
      </c>
      <c r="E70" s="215" t="n">
        <v>8296</v>
      </c>
      <c r="F70" s="239" t="n">
        <v>88615</v>
      </c>
      <c r="G70" s="193"/>
      <c r="H70" s="218" t="n">
        <v>43018</v>
      </c>
      <c r="I70" s="180" t="n">
        <v>5.58082191780822</v>
      </c>
      <c r="J70" s="218" t="n">
        <v>44849</v>
      </c>
      <c r="K70" s="219" t="n">
        <v>75.6</v>
      </c>
      <c r="L70" s="219" t="n">
        <v>3.75</v>
      </c>
      <c r="M70" s="220" t="n">
        <v>206</v>
      </c>
      <c r="N70" s="221" t="n">
        <v>323</v>
      </c>
      <c r="O70" s="221" t="n">
        <v>2815</v>
      </c>
      <c r="P70" s="221" t="n">
        <v>2832</v>
      </c>
      <c r="Q70" s="221" t="n">
        <v>2488</v>
      </c>
      <c r="R70" s="221" t="n">
        <v>1833</v>
      </c>
      <c r="S70" s="221" t="n">
        <v>1328</v>
      </c>
      <c r="T70" s="221" t="n">
        <v>1073</v>
      </c>
      <c r="U70" s="184" t="s">
        <v>658</v>
      </c>
      <c r="V70" s="185" t="n">
        <f aca="false">EXP(1.204+(0.102*I70)+(0.007*N70)-(0.001*T70)+(0.008*M70)-2.723)</f>
        <v>6.59455188132915</v>
      </c>
      <c r="W70" s="185" t="n">
        <f aca="false">(V70/(1+V70))</f>
        <v>0.868326661582436</v>
      </c>
      <c r="X70" s="185" t="n">
        <f aca="false">EXP(2.859+(0.011*N70)-(0.002*T70)+(0.275*I70)-1.952)</f>
        <v>46.9332334753306</v>
      </c>
      <c r="Y70" s="185" t="n">
        <f aca="false">(X70/(1+X70))</f>
        <v>0.979137647775949</v>
      </c>
      <c r="Z70" s="238" t="n">
        <v>68</v>
      </c>
      <c r="AA70" s="186" t="n">
        <v>28</v>
      </c>
      <c r="AB70" s="187" t="n">
        <v>45056.9733564815</v>
      </c>
      <c r="AC70" s="187" t="n">
        <v>45062.7802430556</v>
      </c>
      <c r="AD70" s="180" t="n">
        <v>139.365277777717</v>
      </c>
      <c r="AE70" s="187" t="n">
        <v>45056.9733564815</v>
      </c>
      <c r="AF70" s="187" t="n">
        <v>45057.3491782407</v>
      </c>
      <c r="AG70" s="180" t="n">
        <v>9.01972222229233</v>
      </c>
      <c r="AH70" s="180" t="n">
        <v>9.01972222229233</v>
      </c>
      <c r="AI70" s="187" t="n">
        <v>45061.8837384259</v>
      </c>
      <c r="AJ70" s="187" t="n">
        <v>45062.7802430556</v>
      </c>
      <c r="AK70" s="180" t="n">
        <v>21.5161111110938</v>
      </c>
      <c r="AL70" s="180" t="n">
        <v>21.5161111110938</v>
      </c>
      <c r="AM70" s="180" t="e">
        <f aca="false">(AE70-#REF!)*24</f>
        <v>#REF!</v>
      </c>
      <c r="AN70" s="180" t="e">
        <f aca="false">AM70+35</f>
        <v>#REF!</v>
      </c>
      <c r="AO70" s="186" t="n">
        <v>27</v>
      </c>
      <c r="AP70" s="186" t="s">
        <v>589</v>
      </c>
      <c r="AQ70" s="189" t="n">
        <v>45057.6604988426</v>
      </c>
      <c r="AR70" s="186" t="s">
        <v>606</v>
      </c>
      <c r="AS70" s="180" t="s">
        <v>593</v>
      </c>
      <c r="AT70" s="172" t="n">
        <v>28</v>
      </c>
      <c r="AU70" s="172"/>
      <c r="AV70" s="172"/>
      <c r="AW70" s="172"/>
      <c r="AX70" s="187" t="n">
        <v>45079.1453587963</v>
      </c>
      <c r="AY70" s="187" t="n">
        <v>45079.1505671296</v>
      </c>
      <c r="AZ70" s="180" t="n">
        <v>0.125000000058208</v>
      </c>
      <c r="BA70" s="180" t="n">
        <v>1</v>
      </c>
      <c r="BB70" s="172"/>
      <c r="BC70" s="172"/>
      <c r="BD70" s="172"/>
      <c r="BE70" s="172"/>
      <c r="BF70" s="193" t="n">
        <v>15</v>
      </c>
      <c r="BG70" s="194" t="n">
        <v>0</v>
      </c>
      <c r="BH70" s="194"/>
      <c r="BI70" s="194" t="s">
        <v>622</v>
      </c>
      <c r="BJ70" s="194" t="s">
        <v>543</v>
      </c>
      <c r="BK70" s="195" t="s">
        <v>587</v>
      </c>
      <c r="BL70" s="194" t="n">
        <v>2</v>
      </c>
      <c r="BM70" s="196" t="n">
        <v>45225</v>
      </c>
      <c r="BN70" s="196" t="n">
        <f aca="false">AX70+145</f>
        <v>45224.1453587963</v>
      </c>
      <c r="BO70" s="197" t="n">
        <f aca="false">BM70-AQ70</f>
        <v>167.339501157403</v>
      </c>
      <c r="BP70" s="197" t="s">
        <v>543</v>
      </c>
      <c r="BQ70" s="195" t="s">
        <v>587</v>
      </c>
      <c r="BR70" s="199" t="n">
        <v>1.716</v>
      </c>
      <c r="BS70" s="199" t="n">
        <v>0.63673</v>
      </c>
      <c r="BT70" s="199" t="n">
        <v>0.87155</v>
      </c>
      <c r="BU70" s="199" t="n">
        <v>0.89381</v>
      </c>
      <c r="BV70" s="199" t="n">
        <v>0.67939</v>
      </c>
      <c r="BW70" s="199" t="n">
        <v>1.2328</v>
      </c>
      <c r="BX70" s="199" t="n">
        <v>2.1742</v>
      </c>
      <c r="BY70" s="199" t="n">
        <v>1.9515</v>
      </c>
      <c r="BZ70" s="199" t="n">
        <v>0.98524</v>
      </c>
      <c r="CA70" s="199" t="n">
        <v>0.72203</v>
      </c>
      <c r="CB70" s="199" t="n">
        <v>1.0702</v>
      </c>
      <c r="CC70" s="200" t="s">
        <v>588</v>
      </c>
      <c r="CD70" s="202" t="s">
        <v>589</v>
      </c>
      <c r="CE70" s="251" t="s">
        <v>65</v>
      </c>
      <c r="CF70" s="252"/>
      <c r="CG70" s="200" t="s">
        <v>588</v>
      </c>
      <c r="CH70" s="202" t="s">
        <v>589</v>
      </c>
      <c r="CI70" s="203"/>
      <c r="CJ70" s="200" t="s">
        <v>604</v>
      </c>
      <c r="CK70" s="204" t="n">
        <v>4</v>
      </c>
      <c r="CL70" s="297" t="n">
        <v>0.062343</v>
      </c>
      <c r="CM70" s="297" t="n">
        <v>0.060506</v>
      </c>
      <c r="CN70" s="297" t="n">
        <v>0.11014</v>
      </c>
      <c r="CO70" s="297" t="n">
        <v>0.08643</v>
      </c>
      <c r="CP70" s="296" t="n">
        <v>0.14964</v>
      </c>
      <c r="CQ70" s="295" t="n">
        <v>0.24677</v>
      </c>
      <c r="CR70" s="296" t="n">
        <v>0.13834</v>
      </c>
      <c r="CS70" s="297" t="n">
        <v>0.089491</v>
      </c>
      <c r="CT70" s="297" t="n">
        <v>0.061507</v>
      </c>
      <c r="CU70" s="205" t="n">
        <v>0.05</v>
      </c>
      <c r="CV70" s="205" t="n">
        <v>0.05</v>
      </c>
      <c r="CW70" s="205" t="n">
        <v>0.05</v>
      </c>
      <c r="CX70" s="208" t="n">
        <f aca="false">AVERAGE(CL70:CO70)</f>
        <v>0.07985475</v>
      </c>
      <c r="CY70" s="208" t="n">
        <f aca="false">_xlfn.STDEV.S(CL70:CO70)</f>
        <v>0.0233913502157671</v>
      </c>
      <c r="CZ70" s="208" t="n">
        <f aca="false">CX70+(2*CY70)</f>
        <v>0.126637450431534</v>
      </c>
      <c r="DA70" s="186" t="n">
        <v>48</v>
      </c>
      <c r="DB70" s="209" t="e">
        <f aca="false">#REF!+(DA70/24)</f>
        <v>#REF!</v>
      </c>
      <c r="DC70" s="210" t="n">
        <v>2</v>
      </c>
      <c r="DD70" s="210" t="n">
        <v>3.5</v>
      </c>
      <c r="DE70" s="180" t="n">
        <f aca="false">DD70-DC70</f>
        <v>1.5</v>
      </c>
      <c r="DF70" s="180" t="n">
        <f aca="false">MAX(CM70:CX70)</f>
        <v>0.24677</v>
      </c>
      <c r="DG70" s="211" t="e">
        <f aca="false">(DB70-AE70)*24</f>
        <v>#REF!</v>
      </c>
      <c r="DH70" s="195" t="s">
        <v>587</v>
      </c>
      <c r="DI70" s="211" t="e">
        <f aca="false">(AQ70-DB70)*24</f>
        <v>#REF!</v>
      </c>
      <c r="DJ70" s="194" t="s">
        <v>543</v>
      </c>
      <c r="DK70" s="172" t="s">
        <v>152</v>
      </c>
      <c r="DL70" s="238" t="n">
        <v>68</v>
      </c>
      <c r="DM70" s="240" t="s">
        <v>354</v>
      </c>
    </row>
    <row r="71" customFormat="false" ht="15.75" hidden="false" customHeight="true" outlineLevel="0" collapsed="false">
      <c r="A71" s="188" t="s">
        <v>148</v>
      </c>
      <c r="B71" s="238" t="n">
        <v>69</v>
      </c>
      <c r="C71" s="239" t="s">
        <v>242</v>
      </c>
      <c r="D71" s="240" t="s">
        <v>243</v>
      </c>
      <c r="E71" s="215" t="s">
        <v>244</v>
      </c>
      <c r="F71" s="239" t="n">
        <v>88475</v>
      </c>
      <c r="G71" s="193"/>
      <c r="H71" s="218" t="n">
        <v>43018</v>
      </c>
      <c r="I71" s="180" t="n">
        <v>5.58082191780822</v>
      </c>
      <c r="J71" s="218" t="n">
        <v>44847</v>
      </c>
      <c r="K71" s="219" t="n">
        <v>81.9</v>
      </c>
      <c r="L71" s="219" t="n">
        <v>4.25</v>
      </c>
      <c r="M71" s="220" t="n">
        <v>208</v>
      </c>
      <c r="N71" s="221" t="n">
        <v>290</v>
      </c>
      <c r="O71" s="221" t="n">
        <v>1714</v>
      </c>
      <c r="P71" s="221" t="n">
        <v>2044</v>
      </c>
      <c r="Q71" s="221" t="n">
        <v>2002</v>
      </c>
      <c r="R71" s="221" t="n">
        <v>1720</v>
      </c>
      <c r="S71" s="221" t="n">
        <v>1627</v>
      </c>
      <c r="T71" s="221" t="n">
        <v>1682</v>
      </c>
      <c r="U71" s="222" t="s">
        <v>659</v>
      </c>
      <c r="V71" s="185" t="n">
        <f aca="false">EXP(1.204+(0.102*I71)+(0.007*N71)-(0.001*T71)+(0.008*M71)-2.723)</f>
        <v>2.8928548028815</v>
      </c>
      <c r="W71" s="185" t="n">
        <f aca="false">(V71/(1+V71))</f>
        <v>0.743119111645316</v>
      </c>
      <c r="X71" s="185" t="n">
        <f aca="false">EXP(2.859+(0.011*N71)-(0.002*T71)+(0.275*I71)-1.952)</f>
        <v>9.6574151287077</v>
      </c>
      <c r="Y71" s="185" t="n">
        <f aca="false">(X71/(1+X71))</f>
        <v>0.906168617068663</v>
      </c>
      <c r="Z71" s="238" t="n">
        <v>69</v>
      </c>
      <c r="AA71" s="186" t="n">
        <v>56</v>
      </c>
      <c r="AB71" s="187" t="n">
        <v>45056.726099537</v>
      </c>
      <c r="AC71" s="187" t="n">
        <v>45057.2430439815</v>
      </c>
      <c r="AD71" s="180" t="n">
        <v>12.4066666665603</v>
      </c>
      <c r="AE71" s="187" t="n">
        <v>45056.726099537</v>
      </c>
      <c r="AF71" s="187" t="n">
        <v>45057.2430439815</v>
      </c>
      <c r="AG71" s="180" t="n">
        <v>12.4066666665603</v>
      </c>
      <c r="AH71" s="180" t="n">
        <v>12.4066666665603</v>
      </c>
      <c r="AI71" s="187"/>
      <c r="AJ71" s="187"/>
      <c r="AK71" s="180"/>
      <c r="AL71" s="180"/>
      <c r="AM71" s="180" t="e">
        <f aca="false">(AE71-#REF!)*24</f>
        <v>#REF!</v>
      </c>
      <c r="AN71" s="180" t="e">
        <f aca="false">AM71+35</f>
        <v>#REF!</v>
      </c>
      <c r="AO71" s="186" t="n">
        <v>21</v>
      </c>
      <c r="AP71" s="186" t="s">
        <v>589</v>
      </c>
      <c r="AQ71" s="189" t="n">
        <v>45057.679349537</v>
      </c>
      <c r="AR71" s="186" t="s">
        <v>606</v>
      </c>
      <c r="AS71" s="180" t="s">
        <v>584</v>
      </c>
      <c r="AT71" s="172" t="n">
        <v>56</v>
      </c>
      <c r="AU71" s="172"/>
      <c r="AV71" s="172"/>
      <c r="AW71" s="172"/>
      <c r="AX71" s="187" t="n">
        <v>45082.3491435185</v>
      </c>
      <c r="AY71" s="187" t="n">
        <v>45082.5403935185</v>
      </c>
      <c r="AZ71" s="180" t="n">
        <v>4.5899999999092</v>
      </c>
      <c r="BA71" s="180" t="n">
        <v>4.5899999999092</v>
      </c>
      <c r="BB71" s="172"/>
      <c r="BC71" s="172"/>
      <c r="BD71" s="172"/>
      <c r="BE71" s="172"/>
      <c r="BF71" s="193" t="n">
        <v>7</v>
      </c>
      <c r="BG71" s="194" t="n">
        <v>1</v>
      </c>
      <c r="BH71" s="194" t="n">
        <v>1</v>
      </c>
      <c r="BI71" s="194"/>
      <c r="BJ71" s="194" t="s">
        <v>600</v>
      </c>
      <c r="BK71" s="195" t="s">
        <v>586</v>
      </c>
      <c r="BL71" s="194" t="n">
        <v>1</v>
      </c>
      <c r="BM71" s="196" t="n">
        <v>45225</v>
      </c>
      <c r="BN71" s="196" t="n">
        <f aca="false">AX71+145</f>
        <v>45227.3491435185</v>
      </c>
      <c r="BO71" s="197" t="n">
        <f aca="false">BM71-AQ71</f>
        <v>167.320650463</v>
      </c>
      <c r="BP71" s="197" t="s">
        <v>543</v>
      </c>
      <c r="BQ71" s="195" t="s">
        <v>587</v>
      </c>
      <c r="BR71" s="199" t="n">
        <v>2.1094</v>
      </c>
      <c r="BS71" s="199" t="n">
        <v>0.84273</v>
      </c>
      <c r="BT71" s="199" t="n">
        <v>0.2</v>
      </c>
      <c r="BU71" s="199" t="n">
        <v>0.2</v>
      </c>
      <c r="BV71" s="199" t="n">
        <v>0.2</v>
      </c>
      <c r="BW71" s="199" t="n">
        <v>0.2</v>
      </c>
      <c r="BX71" s="199" t="n">
        <v>0.60502</v>
      </c>
      <c r="BY71" s="199" t="n">
        <v>1.6877</v>
      </c>
      <c r="BZ71" s="199" t="n">
        <v>2.6035</v>
      </c>
      <c r="CA71" s="199" t="n">
        <v>3.9188</v>
      </c>
      <c r="CB71" s="199" t="n">
        <v>4.0177</v>
      </c>
      <c r="CC71" s="251" t="s">
        <v>65</v>
      </c>
      <c r="CD71" s="201"/>
      <c r="CE71" s="251" t="s">
        <v>65</v>
      </c>
      <c r="CF71" s="201"/>
      <c r="CG71" s="251" t="s">
        <v>65</v>
      </c>
      <c r="CH71" s="201"/>
      <c r="CI71" s="200" t="s">
        <v>595</v>
      </c>
      <c r="CJ71" s="242"/>
      <c r="CK71" s="271" t="n">
        <v>5</v>
      </c>
      <c r="CL71" s="297" t="n">
        <v>0.07185</v>
      </c>
      <c r="CM71" s="297" t="n">
        <v>0.065709</v>
      </c>
      <c r="CN71" s="297" t="n">
        <v>0.075309</v>
      </c>
      <c r="CO71" s="297" t="n">
        <v>0.078626</v>
      </c>
      <c r="CP71" s="295" t="n">
        <v>0.30484</v>
      </c>
      <c r="CQ71" s="297" t="n">
        <v>0.17079</v>
      </c>
      <c r="CR71" s="296" t="n">
        <v>0.11225</v>
      </c>
      <c r="CS71" s="297" t="n">
        <v>0.062511</v>
      </c>
      <c r="CT71" s="297" t="n">
        <v>0.080914</v>
      </c>
      <c r="CU71" s="297" t="n">
        <v>0.063349</v>
      </c>
      <c r="CV71" s="297" t="n">
        <v>0.069791</v>
      </c>
      <c r="CW71" s="297" t="n">
        <v>0.062343</v>
      </c>
      <c r="CX71" s="208" t="n">
        <f aca="false">AVERAGE(CL71:CO71)</f>
        <v>0.0728735</v>
      </c>
      <c r="CY71" s="208" t="n">
        <f aca="false">_xlfn.STDEV.S(CL71:CO71)</f>
        <v>0.00551967779856759</v>
      </c>
      <c r="CZ71" s="208" t="n">
        <v>0.1</v>
      </c>
      <c r="DA71" s="172" t="n">
        <v>48</v>
      </c>
      <c r="DB71" s="209" t="e">
        <f aca="false">#REF!+(DA71/24)</f>
        <v>#REF!</v>
      </c>
      <c r="DC71" s="210" t="n">
        <v>2</v>
      </c>
      <c r="DD71" s="210" t="n">
        <v>3.5</v>
      </c>
      <c r="DE71" s="180" t="n">
        <f aca="false">DD71-DC71</f>
        <v>1.5</v>
      </c>
      <c r="DF71" s="180" t="n">
        <f aca="false">MAX(CM71:CX71)</f>
        <v>0.30484</v>
      </c>
      <c r="DG71" s="211" t="e">
        <f aca="false">(DB71-AE71)*24</f>
        <v>#REF!</v>
      </c>
      <c r="DH71" s="195" t="s">
        <v>587</v>
      </c>
      <c r="DI71" s="244" t="e">
        <f aca="false">(AQ71-DB71)*24</f>
        <v>#REF!</v>
      </c>
      <c r="DJ71" s="245" t="s">
        <v>600</v>
      </c>
      <c r="DK71" s="188" t="s">
        <v>148</v>
      </c>
      <c r="DL71" s="238" t="n">
        <v>69</v>
      </c>
      <c r="DM71" s="240" t="s">
        <v>243</v>
      </c>
      <c r="DO71" s="282"/>
      <c r="DP71" s="242"/>
      <c r="DQ71" s="242"/>
      <c r="DR71" s="242"/>
      <c r="DS71" s="266"/>
    </row>
    <row r="72" customFormat="false" ht="15.75" hidden="false" customHeight="true" outlineLevel="0" collapsed="false">
      <c r="A72" s="172" t="s">
        <v>152</v>
      </c>
      <c r="B72" s="238" t="n">
        <v>70</v>
      </c>
      <c r="C72" s="239" t="s">
        <v>442</v>
      </c>
      <c r="D72" s="240" t="s">
        <v>443</v>
      </c>
      <c r="E72" s="215" t="s">
        <v>444</v>
      </c>
      <c r="F72" s="239" t="n">
        <v>89397</v>
      </c>
      <c r="G72" s="193"/>
      <c r="H72" s="218" t="n">
        <v>43018</v>
      </c>
      <c r="I72" s="180" t="n">
        <v>5.58082191780822</v>
      </c>
      <c r="J72" s="218" t="n">
        <v>44848</v>
      </c>
      <c r="K72" s="219" t="n">
        <v>82.4</v>
      </c>
      <c r="L72" s="219" t="n">
        <v>3.5</v>
      </c>
      <c r="M72" s="220" t="n">
        <v>207</v>
      </c>
      <c r="N72" s="221" t="n">
        <v>290</v>
      </c>
      <c r="O72" s="221" t="n">
        <v>1989</v>
      </c>
      <c r="P72" s="221" t="n">
        <v>1810</v>
      </c>
      <c r="Q72" s="221" t="n">
        <v>1430</v>
      </c>
      <c r="R72" s="221" t="n">
        <v>1495</v>
      </c>
      <c r="S72" s="221" t="n">
        <v>1560</v>
      </c>
      <c r="T72" s="221" t="n">
        <v>1305</v>
      </c>
      <c r="U72" s="257"/>
      <c r="V72" s="185" t="n">
        <f aca="false">EXP(1.204+(0.102*I72)+(0.007*N72)-(0.001*T72)+(0.008*M72)-2.723)</f>
        <v>4.18390004063845</v>
      </c>
      <c r="W72" s="185" t="n">
        <f aca="false">(V72/(1+V72))</f>
        <v>0.807095045783938</v>
      </c>
      <c r="X72" s="185" t="n">
        <f aca="false">EXP(2.859+(0.011*N72)-(0.002*T72)+(0.275*I72)-1.952)</f>
        <v>20.5266907561408</v>
      </c>
      <c r="Y72" s="185" t="n">
        <f aca="false">(X72/(1+X72))</f>
        <v>0.953546041454851</v>
      </c>
      <c r="Z72" s="238" t="n">
        <v>70</v>
      </c>
      <c r="AA72" s="186"/>
      <c r="AB72" s="187"/>
      <c r="AC72" s="187"/>
      <c r="AD72" s="180"/>
      <c r="AE72" s="187"/>
      <c r="AF72" s="187"/>
      <c r="AG72" s="180"/>
      <c r="AH72" s="180"/>
      <c r="AI72" s="187"/>
      <c r="AJ72" s="187"/>
      <c r="AK72" s="180"/>
      <c r="AL72" s="180"/>
      <c r="AM72" s="180"/>
      <c r="AN72" s="180"/>
      <c r="AO72" s="186"/>
      <c r="AP72" s="188" t="s">
        <v>582</v>
      </c>
      <c r="AQ72" s="189" t="n">
        <v>45057.6583795139</v>
      </c>
      <c r="AR72" s="188" t="s">
        <v>592</v>
      </c>
      <c r="AS72" s="180" t="s">
        <v>593</v>
      </c>
      <c r="AT72" s="172"/>
      <c r="AU72" s="172"/>
      <c r="AV72" s="172"/>
      <c r="AW72" s="172"/>
      <c r="AX72" s="187"/>
      <c r="AY72" s="187"/>
      <c r="AZ72" s="180"/>
      <c r="BA72" s="180"/>
      <c r="BB72" s="172"/>
      <c r="BC72" s="172"/>
      <c r="BD72" s="172"/>
      <c r="BE72" s="172"/>
      <c r="BF72" s="193"/>
      <c r="BG72" s="194" t="n">
        <v>1</v>
      </c>
      <c r="BH72" s="194" t="n">
        <v>1</v>
      </c>
      <c r="BI72" s="194"/>
      <c r="BJ72" s="194" t="s">
        <v>600</v>
      </c>
      <c r="BK72" s="195" t="s">
        <v>603</v>
      </c>
      <c r="BL72" s="194" t="n">
        <v>1</v>
      </c>
      <c r="BM72" s="196" t="n">
        <v>45203</v>
      </c>
      <c r="BN72" s="196" t="n">
        <f aca="false">AQ72+145</f>
        <v>45202.6583795139</v>
      </c>
      <c r="BO72" s="197" t="n">
        <f aca="false">BM72-AQ72</f>
        <v>145.341620486099</v>
      </c>
      <c r="BP72" s="197" t="s">
        <v>35</v>
      </c>
      <c r="BQ72" s="195" t="s">
        <v>603</v>
      </c>
      <c r="BR72" s="199" t="n">
        <v>0.2</v>
      </c>
      <c r="BS72" s="199" t="n">
        <v>2.5899</v>
      </c>
      <c r="BT72" s="199" t="n">
        <v>0.2</v>
      </c>
      <c r="BU72" s="199" t="n">
        <v>0.2</v>
      </c>
      <c r="BV72" s="199" t="n">
        <v>0.33509</v>
      </c>
      <c r="BW72" s="199" t="n">
        <v>0.2</v>
      </c>
      <c r="BX72" s="199" t="n">
        <v>0.8157</v>
      </c>
      <c r="BY72" s="278"/>
      <c r="BZ72" s="199" t="n">
        <v>1.6318</v>
      </c>
      <c r="CA72" s="199" t="n">
        <v>3.0154</v>
      </c>
      <c r="CB72" s="199" t="n">
        <v>3.1698</v>
      </c>
      <c r="CC72" s="251" t="s">
        <v>65</v>
      </c>
      <c r="CD72" s="252"/>
      <c r="CE72" s="251" t="s">
        <v>65</v>
      </c>
      <c r="CF72" s="252"/>
      <c r="CG72" s="251" t="s">
        <v>65</v>
      </c>
      <c r="CH72" s="252"/>
      <c r="CI72" s="200" t="s">
        <v>595</v>
      </c>
      <c r="CJ72" s="203"/>
      <c r="CK72" s="204" t="n">
        <v>4</v>
      </c>
      <c r="CL72" s="205" t="n">
        <v>0.05</v>
      </c>
      <c r="CM72" s="205" t="n">
        <v>0.05</v>
      </c>
      <c r="CN72" s="205" t="n">
        <v>0.05</v>
      </c>
      <c r="CO72" s="297" t="n">
        <v>0.063181</v>
      </c>
      <c r="CP72" s="295" t="n">
        <v>0.42377</v>
      </c>
      <c r="CQ72" s="297" t="n">
        <v>0.19335</v>
      </c>
      <c r="CR72" s="296" t="n">
        <v>0.11592</v>
      </c>
      <c r="CS72" s="297" t="n">
        <v>0.078101</v>
      </c>
      <c r="CT72" s="297" t="n">
        <v>0.069791</v>
      </c>
      <c r="CU72" s="297" t="n">
        <v>0.062678</v>
      </c>
      <c r="CV72" s="205" t="n">
        <v>0.05</v>
      </c>
      <c r="CW72" s="205" t="n">
        <v>0.05</v>
      </c>
      <c r="CX72" s="208" t="n">
        <f aca="false">AVERAGE(CL72:CO72)</f>
        <v>0.05329525</v>
      </c>
      <c r="CY72" s="208" t="n">
        <f aca="false">_xlfn.STDEV.S(CL72:CO72)</f>
        <v>0.0065905</v>
      </c>
      <c r="CZ72" s="208" t="n">
        <v>0.1</v>
      </c>
      <c r="DA72" s="186" t="n">
        <v>48</v>
      </c>
      <c r="DB72" s="209" t="e">
        <f aca="false">#REF!+(DA72/24)</f>
        <v>#REF!</v>
      </c>
      <c r="DC72" s="210" t="n">
        <v>2</v>
      </c>
      <c r="DD72" s="210" t="n">
        <v>3.5</v>
      </c>
      <c r="DE72" s="180" t="n">
        <f aca="false">DD72-DC72</f>
        <v>1.5</v>
      </c>
      <c r="DF72" s="180" t="n">
        <f aca="false">MAX(CM72:CX72)</f>
        <v>0.42377</v>
      </c>
      <c r="DG72" s="211"/>
      <c r="DH72" s="195" t="s">
        <v>603</v>
      </c>
      <c r="DI72" s="244" t="e">
        <f aca="false">(AQ72-DB72)*24</f>
        <v>#REF!</v>
      </c>
      <c r="DJ72" s="245" t="s">
        <v>600</v>
      </c>
      <c r="DK72" s="172" t="s">
        <v>152</v>
      </c>
      <c r="DL72" s="238" t="n">
        <v>70</v>
      </c>
      <c r="DM72" s="240" t="s">
        <v>443</v>
      </c>
    </row>
    <row r="73" customFormat="false" ht="15.75" hidden="false" customHeight="true" outlineLevel="0" collapsed="false">
      <c r="A73" s="172" t="s">
        <v>152</v>
      </c>
      <c r="B73" s="238" t="n">
        <v>71</v>
      </c>
      <c r="C73" s="239" t="s">
        <v>335</v>
      </c>
      <c r="D73" s="240" t="s">
        <v>336</v>
      </c>
      <c r="E73" s="215" t="s">
        <v>337</v>
      </c>
      <c r="F73" s="239" t="n">
        <v>88604</v>
      </c>
      <c r="G73" s="193" t="s">
        <v>445</v>
      </c>
      <c r="H73" s="218" t="n">
        <v>43019</v>
      </c>
      <c r="I73" s="180" t="n">
        <v>5.57808219178082</v>
      </c>
      <c r="J73" s="218" t="n">
        <v>44847</v>
      </c>
      <c r="K73" s="219" t="n">
        <v>73.8</v>
      </c>
      <c r="L73" s="219" t="n">
        <v>3.75</v>
      </c>
      <c r="M73" s="220" t="n">
        <v>208</v>
      </c>
      <c r="N73" s="221" t="n">
        <v>299</v>
      </c>
      <c r="O73" s="221" t="n">
        <v>1836</v>
      </c>
      <c r="P73" s="221" t="n">
        <v>1956</v>
      </c>
      <c r="Q73" s="221" t="n">
        <v>1888</v>
      </c>
      <c r="R73" s="221" t="n">
        <v>1805</v>
      </c>
      <c r="S73" s="221" t="n">
        <v>1461</v>
      </c>
      <c r="T73" s="221" t="n">
        <v>1508</v>
      </c>
      <c r="U73" s="257"/>
      <c r="V73" s="185" t="n">
        <f aca="false">EXP(1.204+(0.102*I73)+(0.007*N73)-(0.001*T73)+(0.008*M73)-2.723)</f>
        <v>3.6654986506569</v>
      </c>
      <c r="W73" s="185" t="n">
        <f aca="false">(V73/(1+V73))</f>
        <v>0.785660638898867</v>
      </c>
      <c r="X73" s="185" t="n">
        <f aca="false">EXP(2.859+(0.011*N73)-(0.002*T73)+(0.275*I73)-1.952)</f>
        <v>15.0890996059594</v>
      </c>
      <c r="Y73" s="185" t="n">
        <f aca="false">(X73/(1+X73))</f>
        <v>0.937846117900246</v>
      </c>
      <c r="Z73" s="238" t="n">
        <v>71</v>
      </c>
      <c r="AA73" s="186" t="n">
        <v>26</v>
      </c>
      <c r="AB73" s="187" t="n">
        <v>45056.8312962963</v>
      </c>
      <c r="AC73" s="187" t="n">
        <v>45057.2161574074</v>
      </c>
      <c r="AD73" s="180" t="n">
        <v>9.23666666663485</v>
      </c>
      <c r="AE73" s="187" t="n">
        <v>45056.8312962963</v>
      </c>
      <c r="AF73" s="187" t="n">
        <v>45057.2161574074</v>
      </c>
      <c r="AG73" s="180" t="n">
        <v>9.23666666663485</v>
      </c>
      <c r="AH73" s="180" t="n">
        <v>9.23666666663485</v>
      </c>
      <c r="AI73" s="187"/>
      <c r="AJ73" s="187"/>
      <c r="AK73" s="180"/>
      <c r="AL73" s="180"/>
      <c r="AM73" s="180" t="e">
        <f aca="false">(AE73-#REF!)*24</f>
        <v>#REF!</v>
      </c>
      <c r="AN73" s="180" t="e">
        <f aca="false">AM73+35</f>
        <v>#REF!</v>
      </c>
      <c r="AO73" s="186" t="n">
        <v>33</v>
      </c>
      <c r="AP73" s="186" t="s">
        <v>589</v>
      </c>
      <c r="AQ73" s="189" t="n">
        <v>45057.6624847222</v>
      </c>
      <c r="AR73" s="188" t="s">
        <v>592</v>
      </c>
      <c r="AS73" s="180" t="s">
        <v>584</v>
      </c>
      <c r="AT73" s="172"/>
      <c r="AU73" s="172"/>
      <c r="AV73" s="172"/>
      <c r="AW73" s="172"/>
      <c r="AX73" s="187"/>
      <c r="AY73" s="187"/>
      <c r="AZ73" s="180"/>
      <c r="BA73" s="180"/>
      <c r="BB73" s="172"/>
      <c r="BC73" s="172"/>
      <c r="BD73" s="172"/>
      <c r="BE73" s="172"/>
      <c r="BF73" s="193"/>
      <c r="BG73" s="194" t="n">
        <v>1</v>
      </c>
      <c r="BH73" s="194" t="n">
        <v>2</v>
      </c>
      <c r="BI73" s="194"/>
      <c r="BJ73" s="194" t="s">
        <v>600</v>
      </c>
      <c r="BK73" s="195" t="s">
        <v>587</v>
      </c>
      <c r="BL73" s="194" t="n">
        <v>1</v>
      </c>
      <c r="BM73" s="196" t="n">
        <v>45204</v>
      </c>
      <c r="BN73" s="196" t="n">
        <f aca="false">AQ73+145</f>
        <v>45202.6624847222</v>
      </c>
      <c r="BO73" s="197" t="n">
        <f aca="false">BM73-AQ73</f>
        <v>146.337515277803</v>
      </c>
      <c r="BP73" s="197" t="s">
        <v>35</v>
      </c>
      <c r="BQ73" s="195" t="s">
        <v>587</v>
      </c>
      <c r="BR73" s="199" t="n">
        <v>2.329</v>
      </c>
      <c r="BS73" s="199" t="n">
        <v>0.41977</v>
      </c>
      <c r="BT73" s="199" t="n">
        <v>0.2</v>
      </c>
      <c r="BU73" s="199" t="n">
        <v>0.71136</v>
      </c>
      <c r="BV73" s="199" t="n">
        <v>0.2</v>
      </c>
      <c r="BW73" s="199" t="n">
        <v>0.46028</v>
      </c>
      <c r="BX73" s="199" t="n">
        <v>1.2418</v>
      </c>
      <c r="BY73" s="199" t="n">
        <v>1.6323</v>
      </c>
      <c r="BZ73" s="199" t="n">
        <v>1.85</v>
      </c>
      <c r="CA73" s="199" t="n">
        <v>2.7948</v>
      </c>
      <c r="CB73" s="199" t="n">
        <v>3.7101</v>
      </c>
      <c r="CC73" s="251" t="s">
        <v>65</v>
      </c>
      <c r="CD73" s="201"/>
      <c r="CE73" s="251" t="s">
        <v>65</v>
      </c>
      <c r="CF73" s="201"/>
      <c r="CG73" s="251" t="s">
        <v>65</v>
      </c>
      <c r="CH73" s="201"/>
      <c r="CI73" s="200" t="s">
        <v>595</v>
      </c>
      <c r="CJ73" s="203"/>
      <c r="CK73" s="204" t="n">
        <v>4</v>
      </c>
      <c r="CL73" s="297" t="n">
        <v>0.10614</v>
      </c>
      <c r="CM73" s="297" t="n">
        <v>0.096982</v>
      </c>
      <c r="CN73" s="297" t="n">
        <v>0.12378</v>
      </c>
      <c r="CO73" s="297" t="n">
        <v>0.11768</v>
      </c>
      <c r="CP73" s="295" t="n">
        <v>0.4818</v>
      </c>
      <c r="CQ73" s="296" t="n">
        <v>0.21075</v>
      </c>
      <c r="CR73" s="297" t="n">
        <v>0.14</v>
      </c>
      <c r="CS73" s="297" t="n">
        <v>0.10614</v>
      </c>
      <c r="CT73" s="297" t="n">
        <v>0.1216</v>
      </c>
      <c r="CU73" s="297" t="n">
        <v>0.10861</v>
      </c>
      <c r="CV73" s="297" t="n">
        <v>0.11341</v>
      </c>
      <c r="CW73" s="297" t="n">
        <v>0.10918</v>
      </c>
      <c r="CX73" s="208" t="n">
        <f aca="false">AVERAGE(CL73:CO73)</f>
        <v>0.1111455</v>
      </c>
      <c r="CY73" s="208" t="n">
        <f aca="false">_xlfn.STDEV.S(CL73:CO73)</f>
        <v>0.0119441763075847</v>
      </c>
      <c r="CZ73" s="208" t="n">
        <f aca="false">CX73+(2*CY73)</f>
        <v>0.135033852615169</v>
      </c>
      <c r="DA73" s="172" t="n">
        <v>48</v>
      </c>
      <c r="DB73" s="209" t="e">
        <f aca="false">#REF!+(DA73/24)</f>
        <v>#REF!</v>
      </c>
      <c r="DC73" s="210" t="n">
        <v>2</v>
      </c>
      <c r="DD73" s="210" t="n">
        <v>3</v>
      </c>
      <c r="DE73" s="180" t="n">
        <f aca="false">DD73-DC73</f>
        <v>1</v>
      </c>
      <c r="DF73" s="180" t="n">
        <f aca="false">MAX(CM73:CX73)</f>
        <v>0.4818</v>
      </c>
      <c r="DG73" s="211" t="e">
        <f aca="false">(DB73-AE73)*24</f>
        <v>#REF!</v>
      </c>
      <c r="DH73" s="195" t="s">
        <v>587</v>
      </c>
      <c r="DI73" s="244" t="e">
        <f aca="false">(AQ73-DB73)*24</f>
        <v>#REF!</v>
      </c>
      <c r="DJ73" s="245" t="s">
        <v>600</v>
      </c>
      <c r="DK73" s="172" t="s">
        <v>152</v>
      </c>
      <c r="DL73" s="238" t="n">
        <v>71</v>
      </c>
      <c r="DM73" s="240" t="s">
        <v>336</v>
      </c>
    </row>
    <row r="74" customFormat="false" ht="15.75" hidden="false" customHeight="true" outlineLevel="0" collapsed="false">
      <c r="A74" s="172" t="s">
        <v>152</v>
      </c>
      <c r="B74" s="238" t="n">
        <v>72</v>
      </c>
      <c r="C74" s="239" t="s">
        <v>279</v>
      </c>
      <c r="D74" s="240" t="s">
        <v>280</v>
      </c>
      <c r="E74" s="215" t="s">
        <v>281</v>
      </c>
      <c r="F74" s="239" t="n">
        <v>88513</v>
      </c>
      <c r="G74" s="193" t="s">
        <v>446</v>
      </c>
      <c r="H74" s="218" t="n">
        <v>43021</v>
      </c>
      <c r="I74" s="180" t="n">
        <v>5.57260273972603</v>
      </c>
      <c r="J74" s="218" t="n">
        <v>44868</v>
      </c>
      <c r="K74" s="219" t="n">
        <v>72.2</v>
      </c>
      <c r="L74" s="219" t="n">
        <v>3.5</v>
      </c>
      <c r="M74" s="220" t="n">
        <v>187</v>
      </c>
      <c r="N74" s="221" t="n">
        <v>301</v>
      </c>
      <c r="O74" s="221"/>
      <c r="P74" s="221" t="n">
        <v>2307</v>
      </c>
      <c r="Q74" s="221" t="n">
        <v>2317</v>
      </c>
      <c r="R74" s="221" t="n">
        <v>1974</v>
      </c>
      <c r="S74" s="221" t="n">
        <v>1859</v>
      </c>
      <c r="T74" s="221" t="n">
        <v>1530</v>
      </c>
      <c r="U74" s="184" t="s">
        <v>660</v>
      </c>
      <c r="V74" s="185" t="n">
        <f aca="false">EXP(1.204+(0.102*I74)+(0.007*N74)-(0.001*T74)+(0.008*M74)-2.723)</f>
        <v>3.07223552134779</v>
      </c>
      <c r="W74" s="185" t="n">
        <f aca="false">(V74/(1+V74))</f>
        <v>0.75443463553183</v>
      </c>
      <c r="X74" s="185" t="n">
        <f aca="false">EXP(2.859+(0.011*N74)-(0.002*T74)+(0.275*I74)-1.952)</f>
        <v>14.7385388470452</v>
      </c>
      <c r="Y74" s="185" t="n">
        <f aca="false">(X74/(1+X74))</f>
        <v>0.936461700179509</v>
      </c>
      <c r="Z74" s="238" t="n">
        <v>72</v>
      </c>
      <c r="AA74" s="186" t="n">
        <v>29</v>
      </c>
      <c r="AB74" s="187" t="n">
        <v>45057.062974537</v>
      </c>
      <c r="AC74" s="187" t="n">
        <v>45064.6685532407</v>
      </c>
      <c r="AD74" s="180" t="n">
        <v>182.533888888895</v>
      </c>
      <c r="AE74" s="187" t="n">
        <v>45057.062974537</v>
      </c>
      <c r="AF74" s="187" t="n">
        <v>45057.750625</v>
      </c>
      <c r="AG74" s="180" t="n">
        <v>16.5036111110821</v>
      </c>
      <c r="AH74" s="180" t="n">
        <v>16.5036111110821</v>
      </c>
      <c r="AI74" s="187"/>
      <c r="AJ74" s="187"/>
      <c r="AK74" s="180"/>
      <c r="AL74" s="180"/>
      <c r="AM74" s="180" t="e">
        <f aca="false">(AE74-#REF!)*24</f>
        <v>#REF!</v>
      </c>
      <c r="AN74" s="180" t="e">
        <f aca="false">AM74+35</f>
        <v>#REF!</v>
      </c>
      <c r="AO74" s="186" t="n">
        <v>35</v>
      </c>
      <c r="AP74" s="186" t="s">
        <v>589</v>
      </c>
      <c r="AQ74" s="189" t="n">
        <v>45057.6591131944</v>
      </c>
      <c r="AR74" s="188" t="s">
        <v>592</v>
      </c>
      <c r="AS74" s="180" t="s">
        <v>584</v>
      </c>
      <c r="AT74" s="172" t="n">
        <v>29</v>
      </c>
      <c r="AU74" s="190" t="n">
        <v>45067.4853125</v>
      </c>
      <c r="AV74" s="190" t="n">
        <v>45077.2418865741</v>
      </c>
      <c r="AW74" s="191" t="n">
        <v>234.157777777815</v>
      </c>
      <c r="AX74" s="190" t="n">
        <v>45077.2307175926</v>
      </c>
      <c r="AY74" s="190" t="n">
        <v>45077.2418865741</v>
      </c>
      <c r="AZ74" s="191" t="n">
        <v>0.268055555527099</v>
      </c>
      <c r="BA74" s="180" t="n">
        <v>1</v>
      </c>
      <c r="BB74" s="172"/>
      <c r="BC74" s="172"/>
      <c r="BD74" s="172"/>
      <c r="BE74" s="172"/>
      <c r="BF74" s="193" t="n">
        <v>4</v>
      </c>
      <c r="BG74" s="194" t="n">
        <v>1</v>
      </c>
      <c r="BH74" s="194" t="n">
        <v>2</v>
      </c>
      <c r="BI74" s="194"/>
      <c r="BJ74" s="194" t="s">
        <v>600</v>
      </c>
      <c r="BK74" s="195" t="s">
        <v>587</v>
      </c>
      <c r="BL74" s="194" t="n">
        <v>2</v>
      </c>
      <c r="BM74" s="196" t="n">
        <v>45205</v>
      </c>
      <c r="BN74" s="196" t="n">
        <f aca="false">AQ74+145</f>
        <v>45202.6591131944</v>
      </c>
      <c r="BO74" s="197" t="n">
        <f aca="false">BM74-AQ74</f>
        <v>147.340886805599</v>
      </c>
      <c r="BP74" s="197" t="s">
        <v>35</v>
      </c>
      <c r="BQ74" s="195" t="s">
        <v>587</v>
      </c>
      <c r="BR74" s="199" t="n">
        <v>0.57202</v>
      </c>
      <c r="BS74" s="199" t="n">
        <v>0.36742</v>
      </c>
      <c r="BT74" s="199" t="n">
        <v>0.5482</v>
      </c>
      <c r="BU74" s="199" t="n">
        <v>1.321</v>
      </c>
      <c r="BV74" s="199" t="n">
        <v>0.44522</v>
      </c>
      <c r="BW74" s="199" t="n">
        <v>0.8157</v>
      </c>
      <c r="BX74" s="199" t="n">
        <v>1.2094</v>
      </c>
      <c r="BY74" s="199" t="n">
        <v>2.0262</v>
      </c>
      <c r="BZ74" s="199" t="n">
        <v>2.5425</v>
      </c>
      <c r="CA74" s="199" t="n">
        <v>3.6602</v>
      </c>
      <c r="CB74" s="199" t="n">
        <v>4.5952</v>
      </c>
      <c r="CC74" s="200" t="s">
        <v>588</v>
      </c>
      <c r="CD74" s="202" t="s">
        <v>589</v>
      </c>
      <c r="CE74" s="200" t="s">
        <v>588</v>
      </c>
      <c r="CF74" s="202" t="s">
        <v>589</v>
      </c>
      <c r="CG74" s="200" t="s">
        <v>588</v>
      </c>
      <c r="CH74" s="202" t="s">
        <v>589</v>
      </c>
      <c r="CI74" s="203"/>
      <c r="CJ74" s="200" t="s">
        <v>595</v>
      </c>
      <c r="CK74" s="204" t="n">
        <v>5</v>
      </c>
      <c r="CL74" s="205" t="n">
        <v>0.05</v>
      </c>
      <c r="CM74" s="205" t="n">
        <v>0.05</v>
      </c>
      <c r="CN74" s="205" t="n">
        <v>0.05</v>
      </c>
      <c r="CO74" s="205" t="n">
        <v>0.05</v>
      </c>
      <c r="CP74" s="295" t="n">
        <v>0.26653</v>
      </c>
      <c r="CQ74" s="297" t="n">
        <v>0.26012</v>
      </c>
      <c r="CR74" s="299" t="n">
        <v>0.13343</v>
      </c>
      <c r="CS74" s="300" t="n">
        <v>0.072884</v>
      </c>
      <c r="CT74" s="297" t="n">
        <v>0.071334</v>
      </c>
      <c r="CU74" s="297" t="n">
        <v>0.096061</v>
      </c>
      <c r="CV74" s="205" t="n">
        <v>0.05</v>
      </c>
      <c r="CW74" s="205" t="n">
        <v>0.05</v>
      </c>
      <c r="CX74" s="208" t="n">
        <f aca="false">AVERAGE(CL74:CO74)</f>
        <v>0.05</v>
      </c>
      <c r="CY74" s="208" t="n">
        <f aca="false">_xlfn.STDEV.S(CL74:CO74)</f>
        <v>0</v>
      </c>
      <c r="CZ74" s="208" t="n">
        <v>0.1</v>
      </c>
      <c r="DA74" s="172" t="n">
        <v>48</v>
      </c>
      <c r="DB74" s="209" t="e">
        <f aca="false">#REF!+(DA74/24)</f>
        <v>#REF!</v>
      </c>
      <c r="DC74" s="210" t="n">
        <v>2</v>
      </c>
      <c r="DD74" s="210" t="n">
        <v>3.5</v>
      </c>
      <c r="DE74" s="180" t="n">
        <f aca="false">DD74-DC74</f>
        <v>1.5</v>
      </c>
      <c r="DF74" s="180" t="n">
        <f aca="false">MAX(CM74:CX74)</f>
        <v>0.26653</v>
      </c>
      <c r="DG74" s="211" t="e">
        <f aca="false">(DB74-AE74)*24</f>
        <v>#REF!</v>
      </c>
      <c r="DH74" s="195" t="s">
        <v>587</v>
      </c>
      <c r="DI74" s="244" t="e">
        <f aca="false">(AQ74-DB74)*24</f>
        <v>#REF!</v>
      </c>
      <c r="DJ74" s="245" t="s">
        <v>600</v>
      </c>
      <c r="DK74" s="172" t="s">
        <v>152</v>
      </c>
      <c r="DL74" s="238" t="n">
        <v>72</v>
      </c>
      <c r="DM74" s="240" t="s">
        <v>280</v>
      </c>
    </row>
    <row r="75" customFormat="false" ht="15.75" hidden="false" customHeight="true" outlineLevel="0" collapsed="false">
      <c r="A75" s="188" t="s">
        <v>148</v>
      </c>
      <c r="B75" s="238" t="n">
        <v>73</v>
      </c>
      <c r="C75" s="239" t="s">
        <v>373</v>
      </c>
      <c r="D75" s="240" t="s">
        <v>374</v>
      </c>
      <c r="E75" s="215" t="s">
        <v>375</v>
      </c>
      <c r="F75" s="239" t="n">
        <v>88987</v>
      </c>
      <c r="G75" s="193"/>
      <c r="H75" s="218" t="n">
        <v>43021</v>
      </c>
      <c r="I75" s="180" t="n">
        <v>5.57260273972603</v>
      </c>
      <c r="J75" s="218" t="n">
        <v>44908</v>
      </c>
      <c r="K75" s="219" t="n">
        <v>73.16</v>
      </c>
      <c r="L75" s="219" t="n">
        <v>3</v>
      </c>
      <c r="M75" s="220" t="n">
        <v>147</v>
      </c>
      <c r="N75" s="221" t="n">
        <v>324</v>
      </c>
      <c r="O75" s="221"/>
      <c r="P75" s="221"/>
      <c r="Q75" s="221" t="n">
        <v>2088</v>
      </c>
      <c r="R75" s="221" t="n">
        <v>1607</v>
      </c>
      <c r="S75" s="221" t="n">
        <v>1693</v>
      </c>
      <c r="T75" s="221" t="n">
        <v>1827</v>
      </c>
      <c r="U75" s="253"/>
      <c r="V75" s="185" t="n">
        <f aca="false">EXP(0.585+(0.102*I75)+(0.007*N75)-(0.001*T75)+(0.008*M75)-2.723)</f>
        <v>1.04854708719198</v>
      </c>
      <c r="W75" s="185" t="n">
        <f aca="false">(V75/(1+V75))</f>
        <v>0.511849150916645</v>
      </c>
      <c r="X75" s="185" t="n">
        <f aca="false">EXP(1.741+(0.011*N75)-(0.002*T75)+(0.275*I75)-1.952)</f>
        <v>3.4262478921367</v>
      </c>
      <c r="Y75" s="185" t="n">
        <f aca="false">(X75/(1+X75))</f>
        <v>0.774075012432874</v>
      </c>
      <c r="Z75" s="238" t="n">
        <v>73</v>
      </c>
      <c r="AA75" s="186" t="n">
        <v>61</v>
      </c>
      <c r="AB75" s="187" t="n">
        <v>45056.9009490741</v>
      </c>
      <c r="AC75" s="187" t="n">
        <v>45057.232349537</v>
      </c>
      <c r="AD75" s="180" t="n">
        <v>7.95361111115199</v>
      </c>
      <c r="AE75" s="187" t="n">
        <v>45056.9009490741</v>
      </c>
      <c r="AF75" s="187" t="n">
        <v>45057.232349537</v>
      </c>
      <c r="AG75" s="180" t="n">
        <v>7.95361111115199</v>
      </c>
      <c r="AH75" s="180" t="n">
        <v>7.95361111115199</v>
      </c>
      <c r="AI75" s="186"/>
      <c r="AJ75" s="186"/>
      <c r="AK75" s="186"/>
      <c r="AL75" s="186"/>
      <c r="AM75" s="180" t="e">
        <f aca="false">(AE75-#REF!)*24</f>
        <v>#REF!</v>
      </c>
      <c r="AN75" s="180" t="e">
        <f aca="false">AM75+35</f>
        <v>#REF!</v>
      </c>
      <c r="AO75" s="186" t="n">
        <v>5</v>
      </c>
      <c r="AP75" s="186" t="s">
        <v>589</v>
      </c>
      <c r="AQ75" s="189" t="n">
        <v>45057.6829793981</v>
      </c>
      <c r="AR75" s="188" t="s">
        <v>592</v>
      </c>
      <c r="AS75" s="180" t="s">
        <v>584</v>
      </c>
      <c r="AT75" s="172"/>
      <c r="AU75" s="172"/>
      <c r="AV75" s="172"/>
      <c r="AW75" s="172"/>
      <c r="AX75" s="187"/>
      <c r="AY75" s="187"/>
      <c r="AZ75" s="180"/>
      <c r="BA75" s="180"/>
      <c r="BB75" s="172"/>
      <c r="BC75" s="172"/>
      <c r="BD75" s="172"/>
      <c r="BE75" s="172"/>
      <c r="BF75" s="193"/>
      <c r="BG75" s="194" t="n">
        <v>1</v>
      </c>
      <c r="BH75" s="194" t="n">
        <v>2</v>
      </c>
      <c r="BI75" s="194"/>
      <c r="BJ75" s="194" t="s">
        <v>600</v>
      </c>
      <c r="BK75" s="195" t="s">
        <v>587</v>
      </c>
      <c r="BL75" s="194" t="n">
        <v>2</v>
      </c>
      <c r="BM75" s="196" t="n">
        <v>45205</v>
      </c>
      <c r="BN75" s="196" t="n">
        <f aca="false">AQ75+145</f>
        <v>45202.6829793981</v>
      </c>
      <c r="BO75" s="197" t="n">
        <f aca="false">BM75-AQ75</f>
        <v>147.317020601899</v>
      </c>
      <c r="BP75" s="197" t="s">
        <v>35</v>
      </c>
      <c r="BQ75" s="195" t="s">
        <v>587</v>
      </c>
      <c r="BR75" s="199" t="n">
        <v>0.61002</v>
      </c>
      <c r="BS75" s="199" t="n">
        <v>0.2</v>
      </c>
      <c r="BT75" s="199" t="n">
        <v>0.2</v>
      </c>
      <c r="BU75" s="199" t="n">
        <v>0.2</v>
      </c>
      <c r="BV75" s="199" t="n">
        <v>0.2</v>
      </c>
      <c r="BW75" s="199" t="n">
        <v>0.2</v>
      </c>
      <c r="BX75" s="199" t="n">
        <v>1.2929</v>
      </c>
      <c r="BY75" s="199" t="n">
        <v>0.91922</v>
      </c>
      <c r="BZ75" s="199" t="n">
        <v>1.9756</v>
      </c>
      <c r="CA75" s="199" t="n">
        <v>1.8932</v>
      </c>
      <c r="CB75" s="199" t="n">
        <v>2.2367</v>
      </c>
      <c r="CC75" s="200" t="s">
        <v>588</v>
      </c>
      <c r="CD75" s="202" t="s">
        <v>589</v>
      </c>
      <c r="CE75" s="200" t="s">
        <v>588</v>
      </c>
      <c r="CF75" s="202" t="s">
        <v>589</v>
      </c>
      <c r="CG75" s="200" t="s">
        <v>588</v>
      </c>
      <c r="CH75" s="202" t="s">
        <v>589</v>
      </c>
      <c r="CI75" s="203"/>
      <c r="CJ75" s="200" t="s">
        <v>595</v>
      </c>
      <c r="CK75" s="204" t="n">
        <v>4</v>
      </c>
      <c r="CL75" s="205" t="n">
        <v>0.05</v>
      </c>
      <c r="CM75" s="205" t="n">
        <v>0.05</v>
      </c>
      <c r="CN75" s="297" t="n">
        <v>0.067744</v>
      </c>
      <c r="CO75" s="297" t="n">
        <v>0.067234</v>
      </c>
      <c r="CP75" s="295" t="n">
        <v>0.2802</v>
      </c>
      <c r="CQ75" s="297" t="n">
        <v>0.21821</v>
      </c>
      <c r="CR75" s="296" t="n">
        <v>0.12121</v>
      </c>
      <c r="CS75" s="297" t="n">
        <v>0.08233</v>
      </c>
      <c r="CT75" s="297" t="n">
        <v>0.064527</v>
      </c>
      <c r="CU75" s="297" t="n">
        <v>0.063854</v>
      </c>
      <c r="CV75" s="297" t="n">
        <v>0.062343</v>
      </c>
      <c r="CW75" s="297" t="n">
        <v>0.061507</v>
      </c>
      <c r="CX75" s="208" t="n">
        <f aca="false">AVERAGE(CL75:CO75)</f>
        <v>0.0587445</v>
      </c>
      <c r="CY75" s="208" t="n">
        <f aca="false">_xlfn.STDEV.S(CL75:CO75)</f>
        <v>0.0100994252476729</v>
      </c>
      <c r="CZ75" s="208" t="n">
        <v>0.1</v>
      </c>
      <c r="DA75" s="186" t="n">
        <v>48</v>
      </c>
      <c r="DB75" s="209" t="e">
        <f aca="false">#REF!+(DA75/24)</f>
        <v>#REF!</v>
      </c>
      <c r="DC75" s="210" t="n">
        <v>2</v>
      </c>
      <c r="DD75" s="210" t="n">
        <v>3.5</v>
      </c>
      <c r="DE75" s="180" t="n">
        <f aca="false">DD75-DC75</f>
        <v>1.5</v>
      </c>
      <c r="DF75" s="180" t="n">
        <f aca="false">MAX(CM75:CX75)</f>
        <v>0.2802</v>
      </c>
      <c r="DG75" s="211" t="e">
        <f aca="false">(DB75-AE75)*24</f>
        <v>#REF!</v>
      </c>
      <c r="DH75" s="195" t="s">
        <v>587</v>
      </c>
      <c r="DI75" s="244" t="e">
        <f aca="false">(AQ75-DB75)*24</f>
        <v>#REF!</v>
      </c>
      <c r="DJ75" s="245" t="s">
        <v>600</v>
      </c>
      <c r="DK75" s="188" t="s">
        <v>148</v>
      </c>
      <c r="DL75" s="238" t="n">
        <v>73</v>
      </c>
      <c r="DM75" s="240" t="s">
        <v>374</v>
      </c>
      <c r="DO75" s="282"/>
      <c r="DP75" s="242"/>
      <c r="DQ75" s="242"/>
      <c r="DR75" s="242"/>
      <c r="DS75" s="266"/>
    </row>
    <row r="76" customFormat="false" ht="15.75" hidden="false" customHeight="true" outlineLevel="0" collapsed="false">
      <c r="A76" s="172" t="s">
        <v>152</v>
      </c>
      <c r="B76" s="238" t="n">
        <v>74</v>
      </c>
      <c r="C76" s="239" t="s">
        <v>361</v>
      </c>
      <c r="D76" s="240" t="s">
        <v>362</v>
      </c>
      <c r="E76" s="215" t="s">
        <v>363</v>
      </c>
      <c r="F76" s="239" t="n">
        <v>88623</v>
      </c>
      <c r="G76" s="193" t="s">
        <v>447</v>
      </c>
      <c r="H76" s="218" t="n">
        <v>43023</v>
      </c>
      <c r="I76" s="180" t="n">
        <v>5.56712328767123</v>
      </c>
      <c r="J76" s="218" t="n">
        <v>44878</v>
      </c>
      <c r="K76" s="219" t="n">
        <v>73.6</v>
      </c>
      <c r="L76" s="219" t="n">
        <v>3.25</v>
      </c>
      <c r="M76" s="220" t="n">
        <v>177</v>
      </c>
      <c r="N76" s="221" t="n">
        <v>266</v>
      </c>
      <c r="O76" s="221"/>
      <c r="P76" s="221" t="n">
        <v>2073</v>
      </c>
      <c r="Q76" s="221" t="n">
        <v>2231</v>
      </c>
      <c r="R76" s="221" t="n">
        <v>1889</v>
      </c>
      <c r="S76" s="221" t="n">
        <v>1660</v>
      </c>
      <c r="T76" s="221" t="n">
        <v>1479</v>
      </c>
      <c r="U76" s="257"/>
      <c r="V76" s="185" t="n">
        <f aca="false">EXP(1.204+(0.102*I76)+(0.007*N76)-(0.001*T76)+(0.008*M76)-2.723)</f>
        <v>2.33461401956265</v>
      </c>
      <c r="W76" s="185" t="n">
        <f aca="false">(V76/(1+V76))</f>
        <v>0.700115217493402</v>
      </c>
      <c r="X76" s="185" t="n">
        <f aca="false">EXP(2.859+(0.011*N76)-(0.002*T76)+(0.275*I76)-1.952)</f>
        <v>11.0890585294324</v>
      </c>
      <c r="Y76" s="185" t="n">
        <f aca="false">(X76/(1+X76))</f>
        <v>0.917280572547038</v>
      </c>
      <c r="Z76" s="238" t="n">
        <v>74</v>
      </c>
      <c r="AA76" s="186" t="n">
        <v>21</v>
      </c>
      <c r="AB76" s="187" t="n">
        <v>45056.5272453704</v>
      </c>
      <c r="AC76" s="187" t="n">
        <v>45057.7852314815</v>
      </c>
      <c r="AD76" s="180" t="n">
        <v>30.1916666665929</v>
      </c>
      <c r="AE76" s="187" t="n">
        <v>45057.6939814815</v>
      </c>
      <c r="AF76" s="187" t="n">
        <v>45057.7852314815</v>
      </c>
      <c r="AG76" s="180" t="n">
        <v>2.18999999994412</v>
      </c>
      <c r="AH76" s="180" t="n">
        <v>2.18999999994412</v>
      </c>
      <c r="AI76" s="187"/>
      <c r="AJ76" s="187"/>
      <c r="AK76" s="180"/>
      <c r="AL76" s="180"/>
      <c r="AM76" s="180" t="e">
        <f aca="false">(AE76-#REF!)*24</f>
        <v>#REF!</v>
      </c>
      <c r="AN76" s="180" t="e">
        <f aca="false">AM76+35</f>
        <v>#REF!</v>
      </c>
      <c r="AO76" s="186" t="n">
        <v>16</v>
      </c>
      <c r="AP76" s="186" t="s">
        <v>589</v>
      </c>
      <c r="AQ76" s="189" t="n">
        <v>45057.6598763889</v>
      </c>
      <c r="AR76" s="188" t="s">
        <v>592</v>
      </c>
      <c r="AS76" s="180" t="s">
        <v>584</v>
      </c>
      <c r="AT76" s="172" t="n">
        <v>21</v>
      </c>
      <c r="AU76" s="172"/>
      <c r="AV76" s="172"/>
      <c r="AW76" s="172"/>
      <c r="AX76" s="192" t="n">
        <v>45081.3606018519</v>
      </c>
      <c r="AY76" s="192" t="n">
        <v>45081.371412037</v>
      </c>
      <c r="AZ76" s="180" t="n">
        <v>0.25944444432389</v>
      </c>
      <c r="BA76" s="180" t="n">
        <v>1</v>
      </c>
      <c r="BB76" s="172"/>
      <c r="BC76" s="172"/>
      <c r="BD76" s="172"/>
      <c r="BE76" s="172"/>
      <c r="BF76" s="193" t="n">
        <v>2</v>
      </c>
      <c r="BG76" s="194" t="n">
        <v>0</v>
      </c>
      <c r="BH76" s="194"/>
      <c r="BI76" s="194"/>
      <c r="BJ76" s="194" t="s">
        <v>585</v>
      </c>
      <c r="BK76" s="195" t="s">
        <v>586</v>
      </c>
      <c r="BL76" s="194"/>
      <c r="BM76" s="196" t="s">
        <v>611</v>
      </c>
      <c r="BN76" s="196" t="n">
        <f aca="false">AX76+145</f>
        <v>45226.3606018519</v>
      </c>
      <c r="BO76" s="197"/>
      <c r="BP76" s="197" t="s">
        <v>585</v>
      </c>
      <c r="BQ76" s="195" t="s">
        <v>586</v>
      </c>
      <c r="BR76" s="199" t="n">
        <v>0.59092</v>
      </c>
      <c r="BS76" s="199" t="n">
        <v>1.6268</v>
      </c>
      <c r="BT76" s="199" t="n">
        <v>0.25391</v>
      </c>
      <c r="BU76" s="199" t="n">
        <v>0.2</v>
      </c>
      <c r="BV76" s="199" t="n">
        <v>0.84725</v>
      </c>
      <c r="BW76" s="199" t="n">
        <v>0.82472</v>
      </c>
      <c r="BX76" s="199" t="n">
        <v>1.2371</v>
      </c>
      <c r="BY76" s="199" t="n">
        <v>2.3352</v>
      </c>
      <c r="BZ76" s="199" t="n">
        <v>2.4761</v>
      </c>
      <c r="CA76" s="199" t="n">
        <v>3.3686</v>
      </c>
      <c r="CB76" s="199" t="n">
        <v>4.386</v>
      </c>
      <c r="CC76" s="200" t="s">
        <v>588</v>
      </c>
      <c r="CD76" s="202" t="s">
        <v>589</v>
      </c>
      <c r="CE76" s="251" t="s">
        <v>65</v>
      </c>
      <c r="CF76" s="201"/>
      <c r="CG76" s="200" t="s">
        <v>588</v>
      </c>
      <c r="CH76" s="202" t="s">
        <v>589</v>
      </c>
      <c r="CI76" s="203"/>
      <c r="CJ76" s="200" t="s">
        <v>595</v>
      </c>
      <c r="CK76" s="204" t="n">
        <v>5</v>
      </c>
      <c r="CL76" s="297" t="n">
        <v>0.083573</v>
      </c>
      <c r="CM76" s="297" t="n">
        <v>0.083929</v>
      </c>
      <c r="CN76" s="297" t="n">
        <v>0.11534</v>
      </c>
      <c r="CO76" s="297" t="n">
        <v>0.10728</v>
      </c>
      <c r="CP76" s="301" t="n">
        <v>0.6322</v>
      </c>
      <c r="CQ76" s="302" t="n">
        <v>0.24506</v>
      </c>
      <c r="CR76" s="303" t="n">
        <v>0.14488</v>
      </c>
      <c r="CS76" s="302" t="n">
        <v>0.11859</v>
      </c>
      <c r="CT76" s="302" t="n">
        <v>0.082424</v>
      </c>
      <c r="CU76" s="302" t="n">
        <v>0.094683</v>
      </c>
      <c r="CV76" s="302" t="n">
        <v>0.085405</v>
      </c>
      <c r="CW76" s="205" t="n">
        <v>0.05</v>
      </c>
      <c r="CX76" s="208" t="n">
        <f aca="false">AVERAGE(CL76:CO76)</f>
        <v>0.0975305</v>
      </c>
      <c r="CY76" s="208" t="n">
        <f aca="false">_xlfn.STDEV.S(CL76:CO76)</f>
        <v>0.016248524538144</v>
      </c>
      <c r="CZ76" s="208" t="n">
        <f aca="false">CX76+(2*CY76)</f>
        <v>0.130027549076288</v>
      </c>
      <c r="DA76" s="172" t="n">
        <v>48</v>
      </c>
      <c r="DB76" s="209" t="e">
        <f aca="false">#REF!+(DA76/24)</f>
        <v>#REF!</v>
      </c>
      <c r="DC76" s="210" t="n">
        <v>2</v>
      </c>
      <c r="DD76" s="210" t="n">
        <v>3.5</v>
      </c>
      <c r="DE76" s="180" t="n">
        <f aca="false">DD76-DC76</f>
        <v>1.5</v>
      </c>
      <c r="DF76" s="180" t="n">
        <f aca="false">MAX(CM76:CX76)</f>
        <v>0.6322</v>
      </c>
      <c r="DG76" s="211" t="e">
        <f aca="false">(DB76-AE76)*24</f>
        <v>#REF!</v>
      </c>
      <c r="DH76" s="195" t="s">
        <v>587</v>
      </c>
      <c r="DI76" s="211" t="e">
        <f aca="false">(AQ76-DB76)*24</f>
        <v>#REF!</v>
      </c>
      <c r="DJ76" s="194" t="s">
        <v>585</v>
      </c>
      <c r="DK76" s="172" t="s">
        <v>152</v>
      </c>
      <c r="DL76" s="238" t="n">
        <v>74</v>
      </c>
      <c r="DM76" s="240" t="s">
        <v>362</v>
      </c>
    </row>
    <row r="77" customFormat="false" ht="15.75" hidden="false" customHeight="true" outlineLevel="0" collapsed="false">
      <c r="A77" s="188" t="s">
        <v>148</v>
      </c>
      <c r="B77" s="238" t="n">
        <v>75</v>
      </c>
      <c r="C77" s="239" t="s">
        <v>379</v>
      </c>
      <c r="D77" s="240" t="s">
        <v>380</v>
      </c>
      <c r="E77" s="215" t="s">
        <v>381</v>
      </c>
      <c r="F77" s="239" t="n">
        <v>89447</v>
      </c>
      <c r="G77" s="193"/>
      <c r="H77" s="218" t="n">
        <v>43382</v>
      </c>
      <c r="I77" s="180" t="n">
        <v>4.58356164383562</v>
      </c>
      <c r="J77" s="218" t="n">
        <v>44851</v>
      </c>
      <c r="K77" s="219" t="n">
        <v>67.8</v>
      </c>
      <c r="L77" s="219" t="n">
        <v>3</v>
      </c>
      <c r="M77" s="220" t="n">
        <v>204</v>
      </c>
      <c r="N77" s="221" t="n">
        <v>276</v>
      </c>
      <c r="O77" s="221" t="n">
        <v>2142</v>
      </c>
      <c r="P77" s="221" t="n">
        <v>1723</v>
      </c>
      <c r="Q77" s="221" t="n">
        <v>1916</v>
      </c>
      <c r="R77" s="221" t="n">
        <v>1410</v>
      </c>
      <c r="S77" s="221" t="n">
        <v>1428</v>
      </c>
      <c r="T77" s="221" t="n">
        <v>1450</v>
      </c>
      <c r="U77" s="253"/>
      <c r="V77" s="185" t="n">
        <f aca="false">EXP(0.585+(0.102*I77)+(0.007*N77)-(0.001*T77)+(0.008*M77)-2.723)</f>
        <v>1.55818750134868</v>
      </c>
      <c r="W77" s="185" t="n">
        <f aca="false">(V77/(1+V77))</f>
        <v>0.609098238705021</v>
      </c>
      <c r="X77" s="185" t="n">
        <f aca="false">EXP(1.741+(0.011*N77)-(0.002*T77)+(0.275*I77)-1.952)</f>
        <v>3.27225533496656</v>
      </c>
      <c r="Y77" s="185" t="n">
        <f aca="false">(X77/(1+X77))</f>
        <v>0.765931593129411</v>
      </c>
      <c r="Z77" s="238" t="n">
        <v>75</v>
      </c>
      <c r="AA77" s="186"/>
      <c r="AB77" s="187"/>
      <c r="AC77" s="187"/>
      <c r="AD77" s="180"/>
      <c r="AE77" s="187"/>
      <c r="AF77" s="187"/>
      <c r="AG77" s="180"/>
      <c r="AH77" s="180"/>
      <c r="AI77" s="187"/>
      <c r="AJ77" s="187"/>
      <c r="AK77" s="180"/>
      <c r="AL77" s="180"/>
      <c r="AM77" s="180"/>
      <c r="AN77" s="180"/>
      <c r="AO77" s="193"/>
      <c r="AP77" s="188" t="s">
        <v>582</v>
      </c>
      <c r="AQ77" s="189" t="n">
        <v>45057.6802435185</v>
      </c>
      <c r="AR77" s="193" t="s">
        <v>599</v>
      </c>
      <c r="AS77" s="180" t="s">
        <v>593</v>
      </c>
      <c r="AT77" s="172" t="n">
        <v>89</v>
      </c>
      <c r="AU77" s="284" t="n">
        <v>45079.5944675926</v>
      </c>
      <c r="AV77" s="190" t="n">
        <v>45088.3667361111</v>
      </c>
      <c r="AW77" s="191" t="n">
        <v>210.534444444522</v>
      </c>
      <c r="AX77" s="172"/>
      <c r="AY77" s="172"/>
      <c r="AZ77" s="172"/>
      <c r="BA77" s="180"/>
      <c r="BB77" s="172"/>
      <c r="BC77" s="172"/>
      <c r="BD77" s="172"/>
      <c r="BE77" s="172"/>
      <c r="BF77" s="193" t="n">
        <v>2</v>
      </c>
      <c r="BG77" s="194" t="n">
        <v>1</v>
      </c>
      <c r="BH77" s="194" t="n">
        <v>1</v>
      </c>
      <c r="BI77" s="194"/>
      <c r="BJ77" s="194" t="s">
        <v>600</v>
      </c>
      <c r="BK77" s="195" t="s">
        <v>603</v>
      </c>
      <c r="BL77" s="194"/>
      <c r="BM77" s="196" t="s">
        <v>611</v>
      </c>
      <c r="BN77" s="196" t="n">
        <f aca="false">AQ77+145</f>
        <v>45202.6802435185</v>
      </c>
      <c r="BO77" s="197"/>
      <c r="BP77" s="197" t="s">
        <v>585</v>
      </c>
      <c r="BQ77" s="195" t="s">
        <v>587</v>
      </c>
      <c r="BR77" s="199" t="n">
        <v>0.2</v>
      </c>
      <c r="BS77" s="199" t="n">
        <v>3.6209</v>
      </c>
      <c r="BT77" s="199" t="n">
        <v>0.70679</v>
      </c>
      <c r="BU77" s="199" t="n">
        <v>0.5096</v>
      </c>
      <c r="BV77" s="199" t="n">
        <v>0.60502</v>
      </c>
      <c r="BW77" s="199" t="n">
        <v>0.88325</v>
      </c>
      <c r="BX77" s="199" t="n">
        <v>1.4543</v>
      </c>
      <c r="BY77" s="199" t="n">
        <v>1.647</v>
      </c>
      <c r="BZ77" s="199" t="n">
        <v>1.7113</v>
      </c>
      <c r="CA77" s="199" t="n">
        <v>3.0412</v>
      </c>
      <c r="CB77" s="199" t="n">
        <v>3.3776</v>
      </c>
      <c r="CC77" s="251" t="s">
        <v>65</v>
      </c>
      <c r="CD77" s="201"/>
      <c r="CE77" s="251" t="s">
        <v>65</v>
      </c>
      <c r="CF77" s="201"/>
      <c r="CG77" s="251" t="s">
        <v>65</v>
      </c>
      <c r="CH77" s="201"/>
      <c r="CI77" s="200" t="s">
        <v>595</v>
      </c>
      <c r="CJ77" s="242"/>
      <c r="CK77" s="204" t="n">
        <v>4</v>
      </c>
      <c r="CL77" s="205" t="n">
        <v>0.05</v>
      </c>
      <c r="CM77" s="205" t="n">
        <v>0.05</v>
      </c>
      <c r="CN77" s="205" t="n">
        <v>0.05</v>
      </c>
      <c r="CO77" s="205" t="n">
        <v>0.05</v>
      </c>
      <c r="CP77" s="301" t="n">
        <v>0.40435</v>
      </c>
      <c r="CQ77" s="302" t="n">
        <v>0.34537</v>
      </c>
      <c r="CR77" s="303" t="n">
        <v>0.18024</v>
      </c>
      <c r="CS77" s="302" t="n">
        <v>0.10145</v>
      </c>
      <c r="CT77" s="205" t="n">
        <v>0.05</v>
      </c>
      <c r="CU77" s="302" t="n">
        <v>0.064128</v>
      </c>
      <c r="CV77" s="205" t="n">
        <v>0.05</v>
      </c>
      <c r="CW77" s="205" t="n">
        <v>0.05</v>
      </c>
      <c r="CX77" s="208" t="n">
        <f aca="false">AVERAGE(CL77:CO77)</f>
        <v>0.05</v>
      </c>
      <c r="CY77" s="208" t="n">
        <f aca="false">_xlfn.STDEV.S(CL77:CO77)</f>
        <v>0</v>
      </c>
      <c r="CZ77" s="208" t="n">
        <v>0.1</v>
      </c>
      <c r="DA77" s="172" t="n">
        <v>48</v>
      </c>
      <c r="DB77" s="209" t="e">
        <f aca="false">#REF!+(DA77/24)</f>
        <v>#REF!</v>
      </c>
      <c r="DC77" s="210" t="n">
        <v>2</v>
      </c>
      <c r="DD77" s="210" t="n">
        <v>3.5</v>
      </c>
      <c r="DE77" s="180" t="n">
        <f aca="false">DD77-DC77</f>
        <v>1.5</v>
      </c>
      <c r="DF77" s="180" t="n">
        <f aca="false">MAX(CM77:CX77)</f>
        <v>0.40435</v>
      </c>
      <c r="DG77" s="211"/>
      <c r="DH77" s="195" t="s">
        <v>603</v>
      </c>
      <c r="DI77" s="244" t="e">
        <f aca="false">(AQ77-DB77)*24</f>
        <v>#REF!</v>
      </c>
      <c r="DJ77" s="245" t="s">
        <v>600</v>
      </c>
      <c r="DK77" s="188" t="s">
        <v>148</v>
      </c>
      <c r="DL77" s="238" t="n">
        <v>75</v>
      </c>
      <c r="DM77" s="240" t="s">
        <v>380</v>
      </c>
      <c r="DO77" s="282"/>
      <c r="DP77" s="242"/>
      <c r="DQ77" s="242"/>
      <c r="DR77" s="242"/>
    </row>
    <row r="78" customFormat="false" ht="15.75" hidden="false" customHeight="true" outlineLevel="0" collapsed="false">
      <c r="A78" s="172" t="s">
        <v>152</v>
      </c>
      <c r="B78" s="238" t="n">
        <v>76</v>
      </c>
      <c r="C78" s="239" t="s">
        <v>310</v>
      </c>
      <c r="D78" s="240" t="s">
        <v>311</v>
      </c>
      <c r="E78" s="215" t="s">
        <v>312</v>
      </c>
      <c r="F78" s="239" t="n">
        <v>88566</v>
      </c>
      <c r="G78" s="193"/>
      <c r="H78" s="218" t="n">
        <v>43383</v>
      </c>
      <c r="I78" s="180" t="n">
        <v>4.58082191780822</v>
      </c>
      <c r="J78" s="218" t="n">
        <v>44845</v>
      </c>
      <c r="K78" s="219" t="n">
        <v>77.6</v>
      </c>
      <c r="L78" s="219" t="n">
        <v>3</v>
      </c>
      <c r="M78" s="220" t="n">
        <v>210</v>
      </c>
      <c r="N78" s="221" t="n">
        <v>314</v>
      </c>
      <c r="O78" s="221" t="n">
        <v>2662</v>
      </c>
      <c r="P78" s="221" t="n">
        <v>2394</v>
      </c>
      <c r="Q78" s="221" t="n">
        <v>2059</v>
      </c>
      <c r="R78" s="221" t="n">
        <v>1692</v>
      </c>
      <c r="S78" s="221" t="n">
        <v>1162</v>
      </c>
      <c r="T78" s="221" t="n">
        <v>1247</v>
      </c>
      <c r="U78" s="184" t="s">
        <v>661</v>
      </c>
      <c r="V78" s="185" t="n">
        <f aca="false">EXP(0.585+(0.102*I78)+(0.007*N78)-(0.001*T78)+(0.008*M78)-2.723)</f>
        <v>2.61233337568924</v>
      </c>
      <c r="W78" s="185" t="n">
        <f aca="false">(V78/(1+V78))</f>
        <v>0.723170622420972</v>
      </c>
      <c r="X78" s="185" t="n">
        <f aca="false">EXP(1.741+(0.011*N78)-(0.002*T78)+(0.275*I78)-1.952)</f>
        <v>7.45381533942718</v>
      </c>
      <c r="Y78" s="185" t="n">
        <f aca="false">(X78/(1+X78))</f>
        <v>0.881710214873494</v>
      </c>
      <c r="Z78" s="238" t="n">
        <v>76</v>
      </c>
      <c r="AA78" s="186" t="n">
        <v>12</v>
      </c>
      <c r="AB78" s="187" t="n">
        <v>45055.9634837963</v>
      </c>
      <c r="AC78" s="187" t="n">
        <v>45057.7931018519</v>
      </c>
      <c r="AD78" s="180" t="n">
        <v>43.9108333333279</v>
      </c>
      <c r="AE78" s="187" t="n">
        <v>45055.9634837963</v>
      </c>
      <c r="AF78" s="187" t="n">
        <v>45057.7931018519</v>
      </c>
      <c r="AG78" s="180" t="n">
        <v>43.9108333333279</v>
      </c>
      <c r="AH78" s="180" t="n">
        <v>43.9108333333279</v>
      </c>
      <c r="AI78" s="187"/>
      <c r="AJ78" s="187"/>
      <c r="AK78" s="180"/>
      <c r="AL78" s="180"/>
      <c r="AM78" s="180" t="e">
        <f aca="false">(AE78-#REF!)*24</f>
        <v>#REF!</v>
      </c>
      <c r="AN78" s="180" t="e">
        <f aca="false">AM78+35</f>
        <v>#REF!</v>
      </c>
      <c r="AO78" s="186" t="n">
        <v>17</v>
      </c>
      <c r="AP78" s="188" t="s">
        <v>582</v>
      </c>
      <c r="AQ78" s="189" t="n">
        <v>45057.6582938657</v>
      </c>
      <c r="AR78" s="188" t="s">
        <v>592</v>
      </c>
      <c r="AS78" s="180" t="s">
        <v>584</v>
      </c>
      <c r="AT78" s="172" t="n">
        <v>12</v>
      </c>
      <c r="AU78" s="172"/>
      <c r="AV78" s="172"/>
      <c r="AW78" s="172"/>
      <c r="AX78" s="187" t="n">
        <v>45073.3066666667</v>
      </c>
      <c r="AY78" s="187" t="n">
        <v>45074.1189814815</v>
      </c>
      <c r="AZ78" s="180" t="n">
        <v>19.4955555555644</v>
      </c>
      <c r="BA78" s="180" t="n">
        <v>19.4955555555644</v>
      </c>
      <c r="BB78" s="172"/>
      <c r="BC78" s="172"/>
      <c r="BD78" s="172"/>
      <c r="BE78" s="172"/>
      <c r="BF78" s="193" t="n">
        <v>41</v>
      </c>
      <c r="BG78" s="194" t="n">
        <v>0</v>
      </c>
      <c r="BH78" s="194"/>
      <c r="BI78" s="194" t="s">
        <v>622</v>
      </c>
      <c r="BJ78" s="194" t="s">
        <v>543</v>
      </c>
      <c r="BK78" s="195" t="s">
        <v>587</v>
      </c>
      <c r="BL78" s="194" t="n">
        <v>1</v>
      </c>
      <c r="BM78" s="196" t="n">
        <v>45221</v>
      </c>
      <c r="BN78" s="196" t="n">
        <f aca="false">AX78+145</f>
        <v>45218.3066666667</v>
      </c>
      <c r="BO78" s="197" t="n">
        <f aca="false">BM78-AQ78</f>
        <v>163.341706134299</v>
      </c>
      <c r="BP78" s="197" t="s">
        <v>543</v>
      </c>
      <c r="BQ78" s="195" t="s">
        <v>587</v>
      </c>
      <c r="BR78" s="199" t="n">
        <v>1.3631</v>
      </c>
      <c r="BS78" s="199" t="n">
        <v>0.80703</v>
      </c>
      <c r="BT78" s="199" t="n">
        <v>0.68536</v>
      </c>
      <c r="BU78" s="199" t="n">
        <v>0.59351</v>
      </c>
      <c r="BV78" s="199" t="n">
        <v>0.92331</v>
      </c>
      <c r="BW78" s="199" t="n">
        <v>0.93225</v>
      </c>
      <c r="BX78" s="199" t="n">
        <v>1.9386</v>
      </c>
      <c r="BY78" s="199" t="n">
        <v>2.6256</v>
      </c>
      <c r="BZ78" s="199" t="n">
        <v>3.5815</v>
      </c>
      <c r="CA78" s="199" t="n">
        <v>4.861</v>
      </c>
      <c r="CB78" s="199" t="n">
        <v>5.4087</v>
      </c>
      <c r="CC78" s="200" t="s">
        <v>588</v>
      </c>
      <c r="CD78" s="202" t="s">
        <v>589</v>
      </c>
      <c r="CE78" s="251" t="s">
        <v>65</v>
      </c>
      <c r="CF78" s="252"/>
      <c r="CG78" s="200" t="s">
        <v>588</v>
      </c>
      <c r="CH78" s="202" t="s">
        <v>589</v>
      </c>
      <c r="CI78" s="203"/>
      <c r="CJ78" s="200" t="s">
        <v>595</v>
      </c>
      <c r="CK78" s="204" t="n">
        <v>4</v>
      </c>
      <c r="CL78" s="205" t="n">
        <v>0.05</v>
      </c>
      <c r="CM78" s="205" t="n">
        <v>0.05</v>
      </c>
      <c r="CN78" s="302" t="n">
        <v>0.063952</v>
      </c>
      <c r="CO78" s="302" t="n">
        <v>0.12104</v>
      </c>
      <c r="CP78" s="301" t="n">
        <v>0.21851</v>
      </c>
      <c r="CQ78" s="302" t="n">
        <v>0.11838</v>
      </c>
      <c r="CR78" s="302" t="n">
        <v>0.078179</v>
      </c>
      <c r="CS78" s="205" t="n">
        <v>0.05</v>
      </c>
      <c r="CT78" s="205" t="n">
        <v>0.05</v>
      </c>
      <c r="CU78" s="205" t="n">
        <v>0.05</v>
      </c>
      <c r="CV78" s="302" t="n">
        <v>0.061135</v>
      </c>
      <c r="CW78" s="205" t="n">
        <v>0.05</v>
      </c>
      <c r="CX78" s="208" t="n">
        <f aca="false">AVERAGE(CL78:CO78)</f>
        <v>0.071248</v>
      </c>
      <c r="CY78" s="208" t="n">
        <f aca="false">_xlfn.STDEV.S(CL78:CO78)</f>
        <v>0.0338399659574297</v>
      </c>
      <c r="CZ78" s="208" t="n">
        <f aca="false">CX78+(2*CY78)</f>
        <v>0.138927931914859</v>
      </c>
      <c r="DA78" s="186" t="n">
        <v>36</v>
      </c>
      <c r="DB78" s="209" t="e">
        <f aca="false">#REF!+(DA78/24)</f>
        <v>#REF!</v>
      </c>
      <c r="DC78" s="210" t="n">
        <v>2</v>
      </c>
      <c r="DD78" s="210" t="n">
        <v>2.5</v>
      </c>
      <c r="DE78" s="180" t="n">
        <f aca="false">DD78-DC78</f>
        <v>0.5</v>
      </c>
      <c r="DF78" s="180" t="n">
        <f aca="false">MAX(CM78:CX78)</f>
        <v>0.21851</v>
      </c>
      <c r="DG78" s="211" t="e">
        <f aca="false">(DB78-AE78)*24</f>
        <v>#REF!</v>
      </c>
      <c r="DH78" s="195" t="s">
        <v>587</v>
      </c>
      <c r="DI78" s="276" t="e">
        <f aca="false">(AQ78-DB78)*24</f>
        <v>#REF!</v>
      </c>
      <c r="DJ78" s="277" t="s">
        <v>543</v>
      </c>
      <c r="DK78" s="172" t="s">
        <v>152</v>
      </c>
      <c r="DL78" s="238" t="n">
        <v>76</v>
      </c>
      <c r="DM78" s="240" t="s">
        <v>311</v>
      </c>
    </row>
    <row r="79" customFormat="false" ht="15.75" hidden="false" customHeight="true" outlineLevel="0" collapsed="false">
      <c r="A79" s="172" t="s">
        <v>152</v>
      </c>
      <c r="B79" s="238" t="n">
        <v>77</v>
      </c>
      <c r="C79" s="239" t="s">
        <v>186</v>
      </c>
      <c r="D79" s="240" t="s">
        <v>187</v>
      </c>
      <c r="E79" s="215" t="s">
        <v>188</v>
      </c>
      <c r="F79" s="239" t="n">
        <v>88282</v>
      </c>
      <c r="G79" s="193" t="s">
        <v>451</v>
      </c>
      <c r="H79" s="218" t="n">
        <v>43383</v>
      </c>
      <c r="I79" s="180" t="n">
        <v>4.58082191780822</v>
      </c>
      <c r="J79" s="218" t="n">
        <v>44908</v>
      </c>
      <c r="K79" s="219" t="n">
        <v>69.2</v>
      </c>
      <c r="L79" s="219" t="n">
        <v>3.25</v>
      </c>
      <c r="M79" s="220" t="n">
        <v>147</v>
      </c>
      <c r="N79" s="221" t="n">
        <v>292</v>
      </c>
      <c r="O79" s="221"/>
      <c r="P79" s="221" t="n">
        <v>2336</v>
      </c>
      <c r="Q79" s="221" t="n">
        <v>2288</v>
      </c>
      <c r="R79" s="221" t="n">
        <v>1946</v>
      </c>
      <c r="S79" s="221" t="n">
        <v>1693</v>
      </c>
      <c r="T79" s="221" t="n">
        <v>1508</v>
      </c>
      <c r="U79" s="257"/>
      <c r="V79" s="185" t="n">
        <f aca="false">EXP(1.204+(0.102*I79)+(0.007*N79)-(0.001*T79)+(0.008*M79)-2.723)</f>
        <v>1.93526416320557</v>
      </c>
      <c r="W79" s="185" t="n">
        <f aca="false">(V79/(1+V79))</f>
        <v>0.659315160613036</v>
      </c>
      <c r="X79" s="185" t="n">
        <f aca="false">EXP(2.859+(0.011*N79)-(0.002*T79)+(0.275*I79)-1.952)</f>
        <v>10.6198620639122</v>
      </c>
      <c r="Y79" s="185" t="n">
        <f aca="false">(X79/(1+X79))</f>
        <v>0.913940458630254</v>
      </c>
      <c r="Z79" s="238" t="n">
        <v>77</v>
      </c>
      <c r="AA79" s="186" t="n">
        <v>36</v>
      </c>
      <c r="AB79" s="187" t="n">
        <v>45057.7067361111</v>
      </c>
      <c r="AC79" s="187" t="n">
        <v>45058.7284490741</v>
      </c>
      <c r="AD79" s="180" t="n">
        <v>24.5211111110402</v>
      </c>
      <c r="AE79" s="187" t="n">
        <v>45057.7067361111</v>
      </c>
      <c r="AF79" s="187" t="n">
        <v>45058.7284490741</v>
      </c>
      <c r="AG79" s="180" t="n">
        <v>24.5211111110402</v>
      </c>
      <c r="AH79" s="180" t="n">
        <v>24.5211111110402</v>
      </c>
      <c r="AI79" s="187"/>
      <c r="AJ79" s="187"/>
      <c r="AK79" s="180"/>
      <c r="AL79" s="180"/>
      <c r="AM79" s="180" t="e">
        <f aca="false">(AE79-#REF!)*24</f>
        <v>#REF!</v>
      </c>
      <c r="AN79" s="180" t="e">
        <f aca="false">AM79+35</f>
        <v>#REF!</v>
      </c>
      <c r="AO79" s="186" t="n">
        <v>12</v>
      </c>
      <c r="AP79" s="186" t="s">
        <v>589</v>
      </c>
      <c r="AQ79" s="189" t="n">
        <v>45057.662171875</v>
      </c>
      <c r="AR79" s="188" t="s">
        <v>592</v>
      </c>
      <c r="AS79" s="180" t="s">
        <v>593</v>
      </c>
      <c r="AT79" s="193" t="n">
        <v>36</v>
      </c>
      <c r="AU79" s="187" t="n">
        <v>45070.5413078704</v>
      </c>
      <c r="AV79" s="192" t="n">
        <v>45089.3280324074</v>
      </c>
      <c r="AW79" s="180" t="n">
        <v>450.881388888869</v>
      </c>
      <c r="AX79" s="192" t="n">
        <v>45074.4695833333</v>
      </c>
      <c r="AY79" s="187" t="n">
        <v>45074.7482986111</v>
      </c>
      <c r="AZ79" s="180" t="n">
        <v>6.68916666676523</v>
      </c>
      <c r="BA79" s="180" t="n">
        <v>6.68916666676523</v>
      </c>
      <c r="BB79" s="186"/>
      <c r="BC79" s="186"/>
      <c r="BD79" s="186"/>
      <c r="BE79" s="186"/>
      <c r="BF79" s="193" t="n">
        <v>4</v>
      </c>
      <c r="BG79" s="194" t="n">
        <v>0</v>
      </c>
      <c r="BH79" s="194"/>
      <c r="BI79" s="194" t="s">
        <v>622</v>
      </c>
      <c r="BJ79" s="194" t="s">
        <v>543</v>
      </c>
      <c r="BK79" s="195" t="s">
        <v>587</v>
      </c>
      <c r="BL79" s="194" t="n">
        <v>1</v>
      </c>
      <c r="BM79" s="196" t="n">
        <v>45225</v>
      </c>
      <c r="BN79" s="196" t="n">
        <f aca="false">AX79+145</f>
        <v>45219.4695833333</v>
      </c>
      <c r="BO79" s="197" t="n">
        <f aca="false">BM79-AQ79</f>
        <v>167.337828124997</v>
      </c>
      <c r="BP79" s="197" t="s">
        <v>543</v>
      </c>
      <c r="BQ79" s="195" t="s">
        <v>587</v>
      </c>
      <c r="BR79" s="199" t="n">
        <v>0.2</v>
      </c>
      <c r="BS79" s="199" t="n">
        <v>0.83389</v>
      </c>
      <c r="BT79" s="199" t="n">
        <v>0.26286</v>
      </c>
      <c r="BU79" s="199" t="n">
        <v>0.31993</v>
      </c>
      <c r="BV79" s="199" t="n">
        <v>0.30883</v>
      </c>
      <c r="BW79" s="199" t="n">
        <v>0.37364</v>
      </c>
      <c r="BX79" s="199" t="n">
        <v>1.4545</v>
      </c>
      <c r="BY79" s="199" t="n">
        <v>1.894</v>
      </c>
      <c r="BZ79" s="199" t="n">
        <v>1.8775</v>
      </c>
      <c r="CA79" s="199" t="n">
        <v>3.1</v>
      </c>
      <c r="CB79" s="199" t="n">
        <v>3.9832</v>
      </c>
      <c r="CC79" s="200" t="s">
        <v>588</v>
      </c>
      <c r="CD79" s="202" t="s">
        <v>589</v>
      </c>
      <c r="CE79" s="200" t="s">
        <v>588</v>
      </c>
      <c r="CF79" s="202" t="s">
        <v>589</v>
      </c>
      <c r="CG79" s="200" t="s">
        <v>588</v>
      </c>
      <c r="CH79" s="202" t="s">
        <v>589</v>
      </c>
      <c r="CI79" s="203"/>
      <c r="CJ79" s="200" t="s">
        <v>595</v>
      </c>
      <c r="CK79" s="204" t="n">
        <v>4</v>
      </c>
      <c r="CL79" s="205" t="n">
        <v>0.05</v>
      </c>
      <c r="CM79" s="205" t="n">
        <v>0.05</v>
      </c>
      <c r="CN79" s="302" t="n">
        <v>0.10853</v>
      </c>
      <c r="CO79" s="302" t="n">
        <v>0.069829</v>
      </c>
      <c r="CP79" s="302" t="n">
        <v>0.06786</v>
      </c>
      <c r="CQ79" s="302" t="n">
        <v>0.061486</v>
      </c>
      <c r="CR79" s="302" t="n">
        <v>0.088599</v>
      </c>
      <c r="CS79" s="301" t="n">
        <v>0.15813</v>
      </c>
      <c r="CT79" s="302" t="n">
        <v>0.072713</v>
      </c>
      <c r="CU79" s="302" t="n">
        <v>0.062013</v>
      </c>
      <c r="CV79" s="205" t="n">
        <v>0.05</v>
      </c>
      <c r="CW79" s="205" t="n">
        <v>0.05</v>
      </c>
      <c r="CX79" s="208" t="n">
        <f aca="false">AVERAGE(CL79:CO79)</f>
        <v>0.06958975</v>
      </c>
      <c r="CY79" s="208" t="n">
        <f aca="false">_xlfn.STDEV.S(CL79:CO79)</f>
        <v>0.0275917676173528</v>
      </c>
      <c r="CZ79" s="208" t="n">
        <f aca="false">CX79+(2*CY79)</f>
        <v>0.124773285234706</v>
      </c>
      <c r="DA79" s="186" t="n">
        <v>84</v>
      </c>
      <c r="DB79" s="209" t="e">
        <f aca="false">#REF!+(DA79/24)</f>
        <v>#REF!</v>
      </c>
      <c r="DC79" s="210" t="n">
        <v>3.5</v>
      </c>
      <c r="DD79" s="210" t="n">
        <v>4</v>
      </c>
      <c r="DE79" s="180" t="n">
        <f aca="false">DD79-DC79</f>
        <v>0.5</v>
      </c>
      <c r="DF79" s="180" t="n">
        <f aca="false">MAX(CM79:CX79)</f>
        <v>0.15813</v>
      </c>
      <c r="DG79" s="211" t="e">
        <f aca="false">(DB79-AE79)*24</f>
        <v>#REF!</v>
      </c>
      <c r="DH79" s="195" t="s">
        <v>587</v>
      </c>
      <c r="DI79" s="276" t="e">
        <f aca="false">(AQ79-DB79)*24</f>
        <v>#REF!</v>
      </c>
      <c r="DJ79" s="277" t="s">
        <v>543</v>
      </c>
      <c r="DK79" s="172" t="s">
        <v>152</v>
      </c>
      <c r="DL79" s="238" t="n">
        <v>77</v>
      </c>
      <c r="DM79" s="240" t="s">
        <v>187</v>
      </c>
    </row>
    <row r="80" customFormat="false" ht="15.75" hidden="false" customHeight="true" outlineLevel="0" collapsed="false">
      <c r="A80" s="188" t="s">
        <v>148</v>
      </c>
      <c r="B80" s="238" t="n">
        <v>78</v>
      </c>
      <c r="C80" s="239" t="s">
        <v>382</v>
      </c>
      <c r="D80" s="240" t="s">
        <v>383</v>
      </c>
      <c r="E80" s="215" t="s">
        <v>384</v>
      </c>
      <c r="F80" s="239" t="n">
        <v>89444</v>
      </c>
      <c r="G80" s="193"/>
      <c r="H80" s="218" t="n">
        <v>43383</v>
      </c>
      <c r="I80" s="180" t="n">
        <v>4.58082191780822</v>
      </c>
      <c r="J80" s="218" t="n">
        <v>44847</v>
      </c>
      <c r="K80" s="219" t="n">
        <v>65</v>
      </c>
      <c r="L80" s="219" t="n">
        <v>3.5</v>
      </c>
      <c r="M80" s="220" t="n">
        <v>208</v>
      </c>
      <c r="N80" s="221" t="n">
        <v>354</v>
      </c>
      <c r="O80" s="221" t="n">
        <v>3213</v>
      </c>
      <c r="P80" s="221" t="n">
        <v>2803</v>
      </c>
      <c r="Q80" s="221" t="n">
        <v>2374</v>
      </c>
      <c r="R80" s="221" t="n">
        <v>2143</v>
      </c>
      <c r="S80" s="221" t="n">
        <v>1627</v>
      </c>
      <c r="T80" s="221" t="n">
        <v>1856</v>
      </c>
      <c r="U80" s="253"/>
      <c r="V80" s="185" t="n">
        <f aca="false">EXP(1.204+(0.102*I80)+(0.007*N80)-(0.001*T80)+(0.008*M80)-2.723)</f>
        <v>3.43577952408874</v>
      </c>
      <c r="W80" s="185" t="n">
        <f aca="false">(V80/(1+V80))</f>
        <v>0.774560481518649</v>
      </c>
      <c r="X80" s="185" t="n">
        <f aca="false">EXP(2.859+(0.011*N80)-(0.002*T80)+(0.275*I80)-1.952)</f>
        <v>10.4722199016342</v>
      </c>
      <c r="Y80" s="185" t="n">
        <f aca="false">(X80/(1+X80))</f>
        <v>0.912832912150023</v>
      </c>
      <c r="Z80" s="238" t="n">
        <v>78</v>
      </c>
      <c r="AA80" s="186"/>
      <c r="AB80" s="187"/>
      <c r="AC80" s="187"/>
      <c r="AD80" s="180"/>
      <c r="AE80" s="187"/>
      <c r="AF80" s="187"/>
      <c r="AG80" s="180"/>
      <c r="AH80" s="180"/>
      <c r="AI80" s="187"/>
      <c r="AJ80" s="187"/>
      <c r="AK80" s="180"/>
      <c r="AL80" s="180"/>
      <c r="AM80" s="180"/>
      <c r="AN80" s="180"/>
      <c r="AO80" s="186"/>
      <c r="AP80" s="188" t="s">
        <v>582</v>
      </c>
      <c r="AQ80" s="189" t="n">
        <v>45057.6848773148</v>
      </c>
      <c r="AR80" s="186" t="s">
        <v>606</v>
      </c>
      <c r="AS80" s="180" t="s">
        <v>584</v>
      </c>
      <c r="AT80" s="172"/>
      <c r="AU80" s="172"/>
      <c r="AV80" s="172"/>
      <c r="AW80" s="172"/>
      <c r="AX80" s="172"/>
      <c r="AY80" s="172"/>
      <c r="AZ80" s="172"/>
      <c r="BA80" s="180"/>
      <c r="BB80" s="172"/>
      <c r="BC80" s="172"/>
      <c r="BD80" s="172"/>
      <c r="BE80" s="172"/>
      <c r="BF80" s="193"/>
      <c r="BG80" s="194" t="n">
        <v>1</v>
      </c>
      <c r="BH80" s="194" t="n">
        <v>2</v>
      </c>
      <c r="BI80" s="194"/>
      <c r="BJ80" s="194" t="s">
        <v>600</v>
      </c>
      <c r="BK80" s="195" t="s">
        <v>603</v>
      </c>
      <c r="BL80" s="194" t="n">
        <v>2</v>
      </c>
      <c r="BM80" s="196" t="n">
        <v>45203</v>
      </c>
      <c r="BN80" s="196" t="n">
        <f aca="false">AQ80+145</f>
        <v>45202.6848773148</v>
      </c>
      <c r="BO80" s="197" t="n">
        <f aca="false">BM80-AQ80</f>
        <v>145.315122685199</v>
      </c>
      <c r="BP80" s="197" t="s">
        <v>35</v>
      </c>
      <c r="BQ80" s="195" t="s">
        <v>603</v>
      </c>
      <c r="BR80" s="199" t="n">
        <v>0.73966</v>
      </c>
      <c r="BS80" s="199" t="n">
        <v>4.5908</v>
      </c>
      <c r="BT80" s="199" t="n">
        <v>0.61667</v>
      </c>
      <c r="BU80" s="199" t="n">
        <v>0.65344</v>
      </c>
      <c r="BV80" s="199" t="n">
        <v>0.77115</v>
      </c>
      <c r="BW80" s="199" t="n">
        <v>0.82047</v>
      </c>
      <c r="BX80" s="199" t="n">
        <v>1.3869</v>
      </c>
      <c r="BY80" s="199" t="n">
        <v>2.1417</v>
      </c>
      <c r="BZ80" s="199" t="n">
        <v>3.083</v>
      </c>
      <c r="CA80" s="199" t="n">
        <v>4.1267</v>
      </c>
      <c r="CB80" s="199" t="n">
        <v>4.5622</v>
      </c>
      <c r="CC80" s="251" t="s">
        <v>65</v>
      </c>
      <c r="CD80" s="201"/>
      <c r="CE80" s="251" t="s">
        <v>65</v>
      </c>
      <c r="CF80" s="201"/>
      <c r="CG80" s="251" t="s">
        <v>65</v>
      </c>
      <c r="CH80" s="201"/>
      <c r="CI80" s="200" t="s">
        <v>595</v>
      </c>
      <c r="CJ80" s="242"/>
      <c r="CK80" s="204" t="n">
        <v>4</v>
      </c>
      <c r="CL80" s="302" t="n">
        <v>0.069112</v>
      </c>
      <c r="CM80" s="205" t="n">
        <v>0.05</v>
      </c>
      <c r="CN80" s="302" t="n">
        <v>0.078914</v>
      </c>
      <c r="CO80" s="302" t="n">
        <v>0.062365</v>
      </c>
      <c r="CP80" s="301" t="n">
        <v>0.22868</v>
      </c>
      <c r="CQ80" s="302" t="n">
        <v>0.23132</v>
      </c>
      <c r="CR80" s="303" t="n">
        <v>0.13058</v>
      </c>
      <c r="CS80" s="302" t="n">
        <v>0.09049</v>
      </c>
      <c r="CT80" s="302" t="n">
        <v>0.068575</v>
      </c>
      <c r="CU80" s="205" t="n">
        <v>0.05</v>
      </c>
      <c r="CV80" s="302" t="n">
        <v>0.063422</v>
      </c>
      <c r="CW80" s="205" t="n">
        <v>0.05</v>
      </c>
      <c r="CX80" s="208" t="n">
        <f aca="false">AVERAGE(CL80:CO80)</f>
        <v>0.06509775</v>
      </c>
      <c r="CY80" s="208" t="n">
        <f aca="false">_xlfn.STDEV.S(CL80:CO80)</f>
        <v>0.0121437630734189</v>
      </c>
      <c r="CZ80" s="208" t="n">
        <v>0.1</v>
      </c>
      <c r="DA80" s="172" t="n">
        <v>48</v>
      </c>
      <c r="DB80" s="209" t="e">
        <f aca="false">#REF!+(DA80/24)</f>
        <v>#REF!</v>
      </c>
      <c r="DC80" s="210" t="n">
        <v>2</v>
      </c>
      <c r="DD80" s="210" t="n">
        <v>3.5</v>
      </c>
      <c r="DE80" s="180" t="n">
        <f aca="false">DD80-DC80</f>
        <v>1.5</v>
      </c>
      <c r="DF80" s="180" t="n">
        <f aca="false">MAX(CM80:CX80)</f>
        <v>0.23132</v>
      </c>
      <c r="DG80" s="211"/>
      <c r="DH80" s="195" t="s">
        <v>603</v>
      </c>
      <c r="DI80" s="244" t="e">
        <f aca="false">(AQ80-DB80)*24</f>
        <v>#REF!</v>
      </c>
      <c r="DJ80" s="245" t="s">
        <v>600</v>
      </c>
      <c r="DK80" s="188" t="s">
        <v>148</v>
      </c>
      <c r="DL80" s="238" t="n">
        <v>78</v>
      </c>
      <c r="DM80" s="240" t="s">
        <v>383</v>
      </c>
      <c r="DO80" s="282"/>
      <c r="DP80" s="242"/>
      <c r="DQ80" s="242"/>
      <c r="DR80" s="242"/>
    </row>
    <row r="81" customFormat="false" ht="15.75" hidden="false" customHeight="true" outlineLevel="0" collapsed="false">
      <c r="A81" s="188" t="s">
        <v>148</v>
      </c>
      <c r="B81" s="238" t="n">
        <v>79</v>
      </c>
      <c r="C81" s="239" t="s">
        <v>196</v>
      </c>
      <c r="D81" s="240" t="s">
        <v>197</v>
      </c>
      <c r="E81" s="215" t="s">
        <v>198</v>
      </c>
      <c r="F81" s="239" t="n">
        <v>88231</v>
      </c>
      <c r="G81" s="193"/>
      <c r="H81" s="218" t="n">
        <v>43383</v>
      </c>
      <c r="I81" s="180" t="n">
        <v>4.58082191780822</v>
      </c>
      <c r="J81" s="218" t="n">
        <v>44846</v>
      </c>
      <c r="K81" s="219" t="n">
        <v>53.5</v>
      </c>
      <c r="L81" s="219" t="n">
        <v>3</v>
      </c>
      <c r="M81" s="220" t="n">
        <v>209</v>
      </c>
      <c r="N81" s="221" t="n">
        <v>292</v>
      </c>
      <c r="O81" s="221" t="n">
        <v>1867</v>
      </c>
      <c r="P81" s="221" t="n">
        <v>1810</v>
      </c>
      <c r="Q81" s="221" t="n">
        <v>1888</v>
      </c>
      <c r="R81" s="221" t="n">
        <v>705</v>
      </c>
      <c r="S81" s="221" t="n">
        <v>1328</v>
      </c>
      <c r="T81" s="221" t="n">
        <v>1450</v>
      </c>
      <c r="U81" s="222" t="s">
        <v>662</v>
      </c>
      <c r="V81" s="185" t="n">
        <f aca="false">EXP(0.585+(0.102*I81)+(0.007*N81)-(0.001*T81)+(0.008*M81)-2.723)</f>
        <v>1.81347308038023</v>
      </c>
      <c r="W81" s="185" t="n">
        <f aca="false">(V81/(1+V81))</f>
        <v>0.644567418478782</v>
      </c>
      <c r="X81" s="185" t="n">
        <f aca="false">EXP(1.741+(0.011*N81)-(0.002*T81)+(0.275*I81)-1.952)</f>
        <v>3.89902307199839</v>
      </c>
      <c r="Y81" s="185" t="n">
        <f aca="false">(X81/(1+X81))</f>
        <v>0.795877670853245</v>
      </c>
      <c r="Z81" s="238" t="n">
        <v>79</v>
      </c>
      <c r="AA81" s="186"/>
      <c r="AB81" s="187"/>
      <c r="AC81" s="187"/>
      <c r="AD81" s="180"/>
      <c r="AE81" s="187"/>
      <c r="AF81" s="187"/>
      <c r="AG81" s="180"/>
      <c r="AH81" s="180"/>
      <c r="AI81" s="187"/>
      <c r="AJ81" s="187"/>
      <c r="AK81" s="180"/>
      <c r="AL81" s="180"/>
      <c r="AM81" s="180"/>
      <c r="AN81" s="180"/>
      <c r="AO81" s="186"/>
      <c r="AP81" s="188" t="s">
        <v>582</v>
      </c>
      <c r="AQ81" s="189" t="n">
        <v>45057.6835071759</v>
      </c>
      <c r="AR81" s="186" t="s">
        <v>606</v>
      </c>
      <c r="AS81" s="180" t="s">
        <v>584</v>
      </c>
      <c r="AT81" s="172" t="n">
        <v>86</v>
      </c>
      <c r="AU81" s="172"/>
      <c r="AV81" s="172"/>
      <c r="AW81" s="172"/>
      <c r="AX81" s="190" t="n">
        <v>45077.4278240741</v>
      </c>
      <c r="AY81" s="190" t="n">
        <v>45077.4308333333</v>
      </c>
      <c r="AZ81" s="191" t="n">
        <v>0.0722222221666016</v>
      </c>
      <c r="BA81" s="180" t="n">
        <v>1</v>
      </c>
      <c r="BB81" s="172"/>
      <c r="BC81" s="172"/>
      <c r="BD81" s="172"/>
      <c r="BE81" s="172"/>
      <c r="BF81" s="193" t="n">
        <v>3</v>
      </c>
      <c r="BG81" s="194" t="n">
        <v>1</v>
      </c>
      <c r="BH81" s="194" t="n">
        <v>2</v>
      </c>
      <c r="BI81" s="194"/>
      <c r="BJ81" s="194" t="s">
        <v>600</v>
      </c>
      <c r="BK81" s="195" t="s">
        <v>603</v>
      </c>
      <c r="BL81" s="194" t="n">
        <v>2</v>
      </c>
      <c r="BM81" s="196" t="n">
        <v>45203</v>
      </c>
      <c r="BN81" s="196" t="n">
        <f aca="false">AQ81+145</f>
        <v>45202.6835071759</v>
      </c>
      <c r="BO81" s="197" t="n">
        <f aca="false">BM81-AQ81</f>
        <v>145.316492824102</v>
      </c>
      <c r="BP81" s="197" t="s">
        <v>35</v>
      </c>
      <c r="BQ81" s="195" t="s">
        <v>654</v>
      </c>
      <c r="BR81" s="199" t="n">
        <v>0.2</v>
      </c>
      <c r="BS81" s="199" t="n">
        <v>0.2</v>
      </c>
      <c r="BT81" s="199" t="n">
        <v>0.2</v>
      </c>
      <c r="BU81" s="199" t="n">
        <v>0.2</v>
      </c>
      <c r="BV81" s="199" t="n">
        <v>0.2</v>
      </c>
      <c r="BW81" s="199" t="n">
        <v>0.2</v>
      </c>
      <c r="BX81" s="199" t="n">
        <v>0.28042</v>
      </c>
      <c r="BY81" s="199" t="n">
        <v>1.2178</v>
      </c>
      <c r="BZ81" s="199" t="n">
        <v>1.4496</v>
      </c>
      <c r="CA81" s="199" t="n">
        <v>1.5781</v>
      </c>
      <c r="CB81" s="199" t="n">
        <v>2.6113</v>
      </c>
      <c r="CC81" s="200" t="s">
        <v>588</v>
      </c>
      <c r="CD81" s="202" t="s">
        <v>589</v>
      </c>
      <c r="CE81" s="200" t="s">
        <v>588</v>
      </c>
      <c r="CF81" s="202" t="s">
        <v>589</v>
      </c>
      <c r="CG81" s="200" t="s">
        <v>588</v>
      </c>
      <c r="CH81" s="202" t="s">
        <v>589</v>
      </c>
      <c r="CI81" s="203"/>
      <c r="CJ81" s="200" t="s">
        <v>595</v>
      </c>
      <c r="CK81" s="204" t="n">
        <v>5</v>
      </c>
      <c r="CL81" s="302" t="n">
        <v>0.075983</v>
      </c>
      <c r="CM81" s="302" t="n">
        <v>0.073437</v>
      </c>
      <c r="CN81" s="302" t="n">
        <v>0.090679</v>
      </c>
      <c r="CO81" s="302" t="n">
        <v>0.083353</v>
      </c>
      <c r="CP81" s="302" t="n">
        <v>0.10164</v>
      </c>
      <c r="CQ81" s="301" t="n">
        <v>0.40397</v>
      </c>
      <c r="CR81" s="302" t="n">
        <v>0.28025</v>
      </c>
      <c r="CS81" s="303" t="n">
        <v>0.14315</v>
      </c>
      <c r="CT81" s="302" t="n">
        <v>0.098728</v>
      </c>
      <c r="CU81" s="302" t="n">
        <v>0.087093</v>
      </c>
      <c r="CV81" s="302" t="n">
        <v>0.085031</v>
      </c>
      <c r="CW81" s="302" t="n">
        <v>0.082981</v>
      </c>
      <c r="CX81" s="208" t="n">
        <f aca="false">AVERAGE(CL81:CO81)</f>
        <v>0.080863</v>
      </c>
      <c r="CY81" s="208" t="n">
        <f aca="false">_xlfn.STDEV.S(CL81:CO81)</f>
        <v>0.00777847097228412</v>
      </c>
      <c r="CZ81" s="208" t="n">
        <f aca="false">CX81+(2*CY81)</f>
        <v>0.0964199419445682</v>
      </c>
      <c r="DA81" s="172" t="n">
        <v>60</v>
      </c>
      <c r="DB81" s="209" t="e">
        <f aca="false">#REF!+(DA81/24)</f>
        <v>#REF!</v>
      </c>
      <c r="DC81" s="210" t="n">
        <v>2.5</v>
      </c>
      <c r="DD81" s="210" t="n">
        <v>4</v>
      </c>
      <c r="DE81" s="180" t="n">
        <f aca="false">DD81-DC81</f>
        <v>1.5</v>
      </c>
      <c r="DF81" s="180" t="n">
        <f aca="false">MAX(CM81:CX81)</f>
        <v>0.40397</v>
      </c>
      <c r="DG81" s="211"/>
      <c r="DH81" s="195" t="s">
        <v>603</v>
      </c>
      <c r="DI81" s="244" t="e">
        <f aca="false">(AQ81-DB81)*24</f>
        <v>#REF!</v>
      </c>
      <c r="DJ81" s="245" t="s">
        <v>600</v>
      </c>
      <c r="DK81" s="188" t="s">
        <v>148</v>
      </c>
      <c r="DL81" s="238" t="n">
        <v>79</v>
      </c>
      <c r="DM81" s="240" t="s">
        <v>197</v>
      </c>
    </row>
    <row r="82" customFormat="false" ht="15.75" hidden="false" customHeight="true" outlineLevel="0" collapsed="false">
      <c r="A82" s="188" t="s">
        <v>148</v>
      </c>
      <c r="B82" s="238" t="n">
        <v>80</v>
      </c>
      <c r="C82" s="239" t="s">
        <v>376</v>
      </c>
      <c r="D82" s="240" t="s">
        <v>377</v>
      </c>
      <c r="E82" s="215" t="s">
        <v>378</v>
      </c>
      <c r="F82" s="239" t="n">
        <v>88665</v>
      </c>
      <c r="G82" s="193"/>
      <c r="H82" s="218" t="n">
        <v>43383</v>
      </c>
      <c r="I82" s="180" t="n">
        <v>4.58082191780822</v>
      </c>
      <c r="J82" s="218" t="n">
        <v>44847</v>
      </c>
      <c r="K82" s="219" t="n">
        <v>75.5</v>
      </c>
      <c r="L82" s="219" t="n">
        <v>4</v>
      </c>
      <c r="M82" s="220" t="n">
        <v>208</v>
      </c>
      <c r="N82" s="221" t="n">
        <v>319</v>
      </c>
      <c r="O82" s="221" t="n">
        <v>3366</v>
      </c>
      <c r="P82" s="221" t="n">
        <v>1898</v>
      </c>
      <c r="Q82" s="221" t="n">
        <v>2002</v>
      </c>
      <c r="R82" s="221" t="n">
        <v>1410</v>
      </c>
      <c r="S82" s="221" t="n">
        <v>1494</v>
      </c>
      <c r="T82" s="221" t="n">
        <v>1363</v>
      </c>
      <c r="U82" s="253"/>
      <c r="V82" s="185" t="n">
        <f aca="false">EXP(1.204+(0.102*I82)+(0.007*N82)-(0.001*T82)+(0.008*M82)-2.723)</f>
        <v>4.40281379597236</v>
      </c>
      <c r="W82" s="185" t="n">
        <f aca="false">(V82/(1+V82))</f>
        <v>0.81491125962078</v>
      </c>
      <c r="X82" s="185" t="n">
        <f aca="false">EXP(2.859+(0.011*N82)-(0.002*T82)+(0.275*I82)-1.952)</f>
        <v>19.1007199373513</v>
      </c>
      <c r="Y82" s="185" t="n">
        <f aca="false">(X82/(1+X82))</f>
        <v>0.95025053813412</v>
      </c>
      <c r="Z82" s="238" t="n">
        <v>80</v>
      </c>
      <c r="AA82" s="186" t="n">
        <v>58</v>
      </c>
      <c r="AB82" s="187" t="n">
        <v>45056.735150463</v>
      </c>
      <c r="AC82" s="187" t="n">
        <v>45057.2696412037</v>
      </c>
      <c r="AD82" s="180" t="n">
        <v>12.8277777777985</v>
      </c>
      <c r="AE82" s="187" t="n">
        <v>45056.735150463</v>
      </c>
      <c r="AF82" s="187" t="n">
        <v>45057.2696412037</v>
      </c>
      <c r="AG82" s="180" t="n">
        <v>12.8277777777985</v>
      </c>
      <c r="AH82" s="180" t="n">
        <v>12.8277777777985</v>
      </c>
      <c r="AI82" s="187"/>
      <c r="AJ82" s="187"/>
      <c r="AK82" s="180"/>
      <c r="AL82" s="180"/>
      <c r="AM82" s="180" t="e">
        <f aca="false">(AE82-#REF!)*24</f>
        <v>#REF!</v>
      </c>
      <c r="AN82" s="180" t="e">
        <f aca="false">AM82+35</f>
        <v>#REF!</v>
      </c>
      <c r="AO82" s="186" t="n">
        <v>16</v>
      </c>
      <c r="AP82" s="186" t="s">
        <v>589</v>
      </c>
      <c r="AQ82" s="189" t="n">
        <v>45057.6833011574</v>
      </c>
      <c r="AR82" s="186" t="s">
        <v>599</v>
      </c>
      <c r="AS82" s="180" t="s">
        <v>593</v>
      </c>
      <c r="AT82" s="172"/>
      <c r="AU82" s="172"/>
      <c r="AV82" s="172"/>
      <c r="AW82" s="172"/>
      <c r="AX82" s="187"/>
      <c r="AY82" s="187"/>
      <c r="AZ82" s="180"/>
      <c r="BA82" s="180"/>
      <c r="BB82" s="172"/>
      <c r="BC82" s="172"/>
      <c r="BD82" s="172"/>
      <c r="BE82" s="172"/>
      <c r="BF82" s="193"/>
      <c r="BG82" s="194" t="n">
        <v>1</v>
      </c>
      <c r="BH82" s="194" t="n">
        <v>2</v>
      </c>
      <c r="BI82" s="194"/>
      <c r="BJ82" s="194" t="s">
        <v>600</v>
      </c>
      <c r="BK82" s="195" t="s">
        <v>587</v>
      </c>
      <c r="BL82" s="194" t="n">
        <v>2</v>
      </c>
      <c r="BM82" s="196" t="n">
        <v>45205</v>
      </c>
      <c r="BN82" s="196" t="n">
        <f aca="false">AQ82+145</f>
        <v>45202.6833011574</v>
      </c>
      <c r="BO82" s="197" t="n">
        <f aca="false">BM82-AQ82</f>
        <v>147.316698842602</v>
      </c>
      <c r="BP82" s="197" t="s">
        <v>35</v>
      </c>
      <c r="BQ82" s="195" t="s">
        <v>587</v>
      </c>
      <c r="BR82" s="199" t="n">
        <v>2.7949</v>
      </c>
      <c r="BS82" s="199" t="n">
        <v>4.2138</v>
      </c>
      <c r="BT82" s="199" t="n">
        <v>0.98601</v>
      </c>
      <c r="BU82" s="199" t="n">
        <v>0.74867</v>
      </c>
      <c r="BV82" s="199" t="n">
        <v>0.62129</v>
      </c>
      <c r="BW82" s="199" t="n">
        <v>0.4697</v>
      </c>
      <c r="BX82" s="199" t="n">
        <v>1.1855</v>
      </c>
      <c r="BY82" s="199" t="n">
        <v>2.053</v>
      </c>
      <c r="BZ82" s="199" t="n">
        <v>3.0662</v>
      </c>
      <c r="CA82" s="199" t="n">
        <v>3.6428</v>
      </c>
      <c r="CB82" s="199" t="n">
        <v>4.4506</v>
      </c>
      <c r="CC82" s="251" t="s">
        <v>65</v>
      </c>
      <c r="CD82" s="201"/>
      <c r="CE82" s="251" t="s">
        <v>65</v>
      </c>
      <c r="CF82" s="201"/>
      <c r="CG82" s="251" t="s">
        <v>65</v>
      </c>
      <c r="CH82" s="201"/>
      <c r="CI82" s="200" t="s">
        <v>595</v>
      </c>
      <c r="CJ82" s="242"/>
      <c r="CK82" s="204" t="n">
        <v>4</v>
      </c>
      <c r="CL82" s="304" t="n">
        <v>0.05</v>
      </c>
      <c r="CM82" s="304" t="n">
        <v>0.05</v>
      </c>
      <c r="CN82" s="297" t="n">
        <v>0.064878</v>
      </c>
      <c r="CO82" s="302" t="n">
        <v>0.065368</v>
      </c>
      <c r="CP82" s="301" t="n">
        <v>0.46842</v>
      </c>
      <c r="CQ82" s="302" t="n">
        <v>0.31537</v>
      </c>
      <c r="CR82" s="302" t="n">
        <v>0.19028</v>
      </c>
      <c r="CS82" s="303" t="n">
        <v>0.11152</v>
      </c>
      <c r="CT82" s="302" t="n">
        <v>0.071088</v>
      </c>
      <c r="CU82" s="302" t="n">
        <v>0.061135</v>
      </c>
      <c r="CV82" s="304" t="n">
        <v>0.05</v>
      </c>
      <c r="CW82" s="304" t="n">
        <v>0.05</v>
      </c>
      <c r="CX82" s="208" t="n">
        <f aca="false">AVERAGE(CL82:CO82)</f>
        <v>0.0575615</v>
      </c>
      <c r="CY82" s="208" t="n">
        <f aca="false">_xlfn.STDEV.S(CL82:CO82)</f>
        <v>0.00873355939274856</v>
      </c>
      <c r="CZ82" s="208" t="n">
        <v>0.1</v>
      </c>
      <c r="DA82" s="172" t="n">
        <v>48</v>
      </c>
      <c r="DB82" s="209" t="e">
        <f aca="false">#REF!+(DA82/24)</f>
        <v>#REF!</v>
      </c>
      <c r="DC82" s="210" t="n">
        <v>2</v>
      </c>
      <c r="DD82" s="210" t="n">
        <v>4</v>
      </c>
      <c r="DE82" s="180" t="n">
        <f aca="false">DD82-DC82</f>
        <v>2</v>
      </c>
      <c r="DF82" s="180" t="n">
        <f aca="false">MAX(CM82:CX82)</f>
        <v>0.46842</v>
      </c>
      <c r="DG82" s="211" t="e">
        <f aca="false">(DB82-AE82)*24</f>
        <v>#REF!</v>
      </c>
      <c r="DH82" s="195" t="s">
        <v>587</v>
      </c>
      <c r="DI82" s="244" t="e">
        <f aca="false">(AQ82-DB82)*24</f>
        <v>#REF!</v>
      </c>
      <c r="DJ82" s="245" t="s">
        <v>600</v>
      </c>
      <c r="DK82" s="188" t="s">
        <v>148</v>
      </c>
      <c r="DL82" s="238" t="n">
        <v>80</v>
      </c>
      <c r="DM82" s="240" t="s">
        <v>377</v>
      </c>
    </row>
    <row r="83" customFormat="false" ht="15.75" hidden="false" customHeight="true" outlineLevel="0" collapsed="false">
      <c r="A83" s="188" t="s">
        <v>148</v>
      </c>
      <c r="B83" s="238" t="n">
        <v>81</v>
      </c>
      <c r="C83" s="239" t="s">
        <v>391</v>
      </c>
      <c r="D83" s="240" t="s">
        <v>392</v>
      </c>
      <c r="E83" s="215" t="s">
        <v>393</v>
      </c>
      <c r="F83" s="239" t="n">
        <v>89138</v>
      </c>
      <c r="G83" s="193"/>
      <c r="H83" s="218" t="n">
        <v>43383</v>
      </c>
      <c r="I83" s="180" t="n">
        <v>4.58082191780822</v>
      </c>
      <c r="J83" s="218" t="n">
        <v>44862</v>
      </c>
      <c r="K83" s="219" t="n">
        <v>64.9</v>
      </c>
      <c r="L83" s="219" t="n">
        <v>3.25</v>
      </c>
      <c r="M83" s="220" t="n">
        <v>193</v>
      </c>
      <c r="N83" s="221" t="n">
        <v>235</v>
      </c>
      <c r="O83" s="221"/>
      <c r="P83" s="221" t="n">
        <v>2161</v>
      </c>
      <c r="Q83" s="221" t="n">
        <v>2059</v>
      </c>
      <c r="R83" s="221" t="n">
        <v>1495</v>
      </c>
      <c r="S83" s="221" t="n">
        <v>1394</v>
      </c>
      <c r="T83" s="221" t="n">
        <v>1247</v>
      </c>
      <c r="U83" s="253"/>
      <c r="V83" s="185" t="n">
        <f aca="false">EXP(1.204+(0.102*I83)+(0.007*N83)-(0.001*T83)+(0.008*M83)-2.723)</f>
        <v>2.43572349502669</v>
      </c>
      <c r="W83" s="185" t="n">
        <f aca="false">(V83/(1+V83))</f>
        <v>0.708940489114584</v>
      </c>
      <c r="X83" s="185" t="n">
        <f aca="false">EXP(2.859+(0.011*N83)-(0.002*T83)+(0.275*I83)-1.952)</f>
        <v>9.56132224262376</v>
      </c>
      <c r="Y83" s="185" t="n">
        <f aca="false">(X83/(1+X83))</f>
        <v>0.905314886050521</v>
      </c>
      <c r="Z83" s="238" t="n">
        <v>81</v>
      </c>
      <c r="AA83" s="186"/>
      <c r="AB83" s="187"/>
      <c r="AC83" s="187"/>
      <c r="AD83" s="180"/>
      <c r="AE83" s="187"/>
      <c r="AF83" s="187"/>
      <c r="AG83" s="180"/>
      <c r="AH83" s="180"/>
      <c r="AI83" s="187"/>
      <c r="AJ83" s="187"/>
      <c r="AK83" s="180"/>
      <c r="AL83" s="180"/>
      <c r="AM83" s="180"/>
      <c r="AN83" s="180"/>
      <c r="AO83" s="186"/>
      <c r="AP83" s="188" t="s">
        <v>582</v>
      </c>
      <c r="AQ83" s="189" t="n">
        <v>45057.681278125</v>
      </c>
      <c r="AR83" s="188" t="s">
        <v>592</v>
      </c>
      <c r="AS83" s="180" t="s">
        <v>584</v>
      </c>
      <c r="AT83" s="172"/>
      <c r="AU83" s="172"/>
      <c r="AV83" s="172"/>
      <c r="AW83" s="172"/>
      <c r="AX83" s="187"/>
      <c r="AY83" s="187"/>
      <c r="AZ83" s="180"/>
      <c r="BA83" s="180"/>
      <c r="BB83" s="172"/>
      <c r="BC83" s="172"/>
      <c r="BD83" s="172"/>
      <c r="BE83" s="172"/>
      <c r="BF83" s="193"/>
      <c r="BG83" s="194" t="n">
        <v>0</v>
      </c>
      <c r="BH83" s="194"/>
      <c r="BI83" s="194"/>
      <c r="BJ83" s="194" t="s">
        <v>585</v>
      </c>
      <c r="BK83" s="195" t="s">
        <v>587</v>
      </c>
      <c r="BL83" s="194" t="n">
        <v>1</v>
      </c>
      <c r="BM83" s="196" t="n">
        <v>45238</v>
      </c>
      <c r="BN83" s="196" t="n">
        <f aca="false">AQ83+145</f>
        <v>45202.681278125</v>
      </c>
      <c r="BO83" s="197" t="n">
        <f aca="false">BM83-AQ83</f>
        <v>180.318721875003</v>
      </c>
      <c r="BP83" s="197" t="s">
        <v>594</v>
      </c>
      <c r="BQ83" s="195" t="s">
        <v>603</v>
      </c>
      <c r="BR83" s="199" t="n">
        <v>0.2</v>
      </c>
      <c r="BS83" s="199" t="n">
        <v>0.2</v>
      </c>
      <c r="BT83" s="199" t="n">
        <v>0.58419</v>
      </c>
      <c r="BU83" s="199" t="n">
        <v>0.90542</v>
      </c>
      <c r="BV83" s="199" t="n">
        <v>0.97704</v>
      </c>
      <c r="BW83" s="199" t="n">
        <v>0.9412</v>
      </c>
      <c r="BX83" s="199" t="n">
        <v>1.4887</v>
      </c>
      <c r="BY83" s="199" t="n">
        <v>2.2086</v>
      </c>
      <c r="BZ83" s="199" t="n">
        <v>2.8332</v>
      </c>
      <c r="CA83" s="199" t="n">
        <v>3.462</v>
      </c>
      <c r="CB83" s="199" t="n">
        <v>3.9832</v>
      </c>
      <c r="CC83" s="200" t="s">
        <v>588</v>
      </c>
      <c r="CD83" s="202" t="s">
        <v>589</v>
      </c>
      <c r="CE83" s="200" t="s">
        <v>588</v>
      </c>
      <c r="CF83" s="202" t="s">
        <v>589</v>
      </c>
      <c r="CG83" s="200" t="s">
        <v>588</v>
      </c>
      <c r="CH83" s="202" t="s">
        <v>589</v>
      </c>
      <c r="CI83" s="242"/>
      <c r="CJ83" s="200" t="s">
        <v>595</v>
      </c>
      <c r="CK83" s="204" t="n">
        <v>4</v>
      </c>
      <c r="CL83" s="304" t="n">
        <v>0.05</v>
      </c>
      <c r="CM83" s="302" t="n">
        <v>0.065661</v>
      </c>
      <c r="CN83" s="301" t="n">
        <v>0.24318</v>
      </c>
      <c r="CO83" s="302" t="n">
        <v>0.15682</v>
      </c>
      <c r="CP83" s="303" t="n">
        <v>0.1278</v>
      </c>
      <c r="CQ83" s="302" t="n">
        <v>0.07221</v>
      </c>
      <c r="CR83" s="302" t="n">
        <v>0.069438</v>
      </c>
      <c r="CS83" s="302" t="n">
        <v>0.060907</v>
      </c>
      <c r="CT83" s="304" t="n">
        <v>0.05</v>
      </c>
      <c r="CU83" s="304" t="n">
        <v>0.05</v>
      </c>
      <c r="CV83" s="304" t="n">
        <v>0.05</v>
      </c>
      <c r="CW83" s="304" t="n">
        <v>0.05</v>
      </c>
      <c r="CX83" s="208" t="n">
        <f aca="false">AVERAGE(CQ83:CW83)</f>
        <v>0.0575078571428571</v>
      </c>
      <c r="CY83" s="208" t="n">
        <f aca="false">_xlfn.STDEV.S(CQ83:CW83)</f>
        <v>0.00996248932125854</v>
      </c>
      <c r="CZ83" s="208" t="n">
        <v>0.1</v>
      </c>
      <c r="DA83" s="186" t="n">
        <v>24</v>
      </c>
      <c r="DB83" s="209" t="e">
        <f aca="false">#REF!+(DA83/24)</f>
        <v>#REF!</v>
      </c>
      <c r="DC83" s="210" t="n">
        <v>1</v>
      </c>
      <c r="DD83" s="210" t="n">
        <v>2</v>
      </c>
      <c r="DE83" s="180" t="n">
        <f aca="false">DD83-DC83</f>
        <v>1</v>
      </c>
      <c r="DF83" s="180" t="n">
        <f aca="false">MAX(CM83:CX83)</f>
        <v>0.24318</v>
      </c>
      <c r="DG83" s="211"/>
      <c r="DH83" s="195" t="s">
        <v>603</v>
      </c>
      <c r="DI83" s="212" t="e">
        <f aca="false">(AQ83-DB83)*24</f>
        <v>#REF!</v>
      </c>
      <c r="DJ83" s="213" t="s">
        <v>585</v>
      </c>
      <c r="DK83" s="188" t="s">
        <v>148</v>
      </c>
      <c r="DL83" s="238" t="n">
        <v>81</v>
      </c>
      <c r="DM83" s="240" t="s">
        <v>392</v>
      </c>
    </row>
    <row r="84" customFormat="false" ht="15.75" hidden="false" customHeight="true" outlineLevel="0" collapsed="false">
      <c r="A84" s="188" t="s">
        <v>148</v>
      </c>
      <c r="B84" s="238" t="n">
        <v>82</v>
      </c>
      <c r="C84" s="239" t="s">
        <v>394</v>
      </c>
      <c r="D84" s="240" t="s">
        <v>395</v>
      </c>
      <c r="E84" s="215" t="s">
        <v>396</v>
      </c>
      <c r="F84" s="239" t="n">
        <v>88864</v>
      </c>
      <c r="G84" s="193"/>
      <c r="H84" s="218" t="n">
        <v>43384</v>
      </c>
      <c r="I84" s="180" t="n">
        <v>4.57808219178082</v>
      </c>
      <c r="J84" s="218" t="n">
        <v>44846</v>
      </c>
      <c r="K84" s="219" t="n">
        <v>95</v>
      </c>
      <c r="L84" s="219" t="n">
        <v>3.75</v>
      </c>
      <c r="M84" s="220" t="n">
        <v>209</v>
      </c>
      <c r="N84" s="221" t="n">
        <v>322</v>
      </c>
      <c r="O84" s="221" t="n">
        <v>2907</v>
      </c>
      <c r="P84" s="221" t="n">
        <v>2774</v>
      </c>
      <c r="Q84" s="221" t="n">
        <v>2288</v>
      </c>
      <c r="R84" s="221" t="n">
        <v>1861</v>
      </c>
      <c r="S84" s="221" t="n">
        <v>1693</v>
      </c>
      <c r="T84" s="221" t="n">
        <v>1450</v>
      </c>
      <c r="U84" s="222" t="s">
        <v>663</v>
      </c>
      <c r="V84" s="185" t="n">
        <f aca="false">EXP(1.204+(0.102*I84)+(0.007*N84)-(0.001*T84)+(0.008*M84)-2.723)</f>
        <v>4.1535541257104</v>
      </c>
      <c r="W84" s="185" t="n">
        <f aca="false">(V84/(1+V84))</f>
        <v>0.80595915447727</v>
      </c>
      <c r="X84" s="185" t="n">
        <f aca="false">EXP(2.859+(0.011*N84)-(0.002*T84)+(0.275*I84)-1.952)</f>
        <v>16.5762774292418</v>
      </c>
      <c r="Y84" s="185" t="n">
        <f aca="false">(X84/(1+X84))</f>
        <v>0.943105131104935</v>
      </c>
      <c r="Z84" s="238" t="n">
        <v>82</v>
      </c>
      <c r="AA84" s="186" t="n">
        <v>68</v>
      </c>
      <c r="AB84" s="187" t="n">
        <v>45057.1954166667</v>
      </c>
      <c r="AC84" s="187" t="n">
        <v>45057.1954166667</v>
      </c>
      <c r="AD84" s="180" t="n">
        <v>0</v>
      </c>
      <c r="AE84" s="190" t="n">
        <v>45057.1954166667</v>
      </c>
      <c r="AF84" s="190" t="n">
        <v>45057.1954166667</v>
      </c>
      <c r="AG84" s="180" t="n">
        <v>0</v>
      </c>
      <c r="AH84" s="180" t="n">
        <v>1</v>
      </c>
      <c r="AI84" s="187"/>
      <c r="AJ84" s="187"/>
      <c r="AK84" s="180"/>
      <c r="AL84" s="180"/>
      <c r="AM84" s="180" t="e">
        <f aca="false">(AE84-#REF!)*24</f>
        <v>#REF!</v>
      </c>
      <c r="AN84" s="180" t="e">
        <f aca="false">AM84+35</f>
        <v>#REF!</v>
      </c>
      <c r="AO84" s="186" t="n">
        <v>1</v>
      </c>
      <c r="AP84" s="186" t="s">
        <v>589</v>
      </c>
      <c r="AQ84" s="189" t="n">
        <v>45057.6804388889</v>
      </c>
      <c r="AR84" s="188" t="s">
        <v>592</v>
      </c>
      <c r="AS84" s="180" t="s">
        <v>593</v>
      </c>
      <c r="AT84" s="172" t="n">
        <v>68</v>
      </c>
      <c r="AU84" s="172"/>
      <c r="AV84" s="172"/>
      <c r="AW84" s="172"/>
      <c r="AX84" s="190" t="n">
        <v>45077.4291435185</v>
      </c>
      <c r="AY84" s="190" t="n">
        <v>45077.4291435185</v>
      </c>
      <c r="AZ84" s="191" t="n">
        <v>0</v>
      </c>
      <c r="BA84" s="180" t="n">
        <v>1</v>
      </c>
      <c r="BB84" s="172"/>
      <c r="BC84" s="172"/>
      <c r="BD84" s="172"/>
      <c r="BE84" s="172"/>
      <c r="BF84" s="193" t="n">
        <v>1</v>
      </c>
      <c r="BG84" s="194" t="n">
        <v>1</v>
      </c>
      <c r="BH84" s="194" t="n">
        <v>2</v>
      </c>
      <c r="BI84" s="194"/>
      <c r="BJ84" s="194" t="s">
        <v>600</v>
      </c>
      <c r="BK84" s="195" t="s">
        <v>587</v>
      </c>
      <c r="BL84" s="194" t="n">
        <v>2</v>
      </c>
      <c r="BM84" s="196" t="n">
        <v>45204</v>
      </c>
      <c r="BN84" s="196" t="n">
        <f aca="false">AQ84+145</f>
        <v>45202.6804388889</v>
      </c>
      <c r="BO84" s="197" t="n">
        <f aca="false">BM84-AQ84</f>
        <v>146.3195611111</v>
      </c>
      <c r="BP84" s="197" t="s">
        <v>35</v>
      </c>
      <c r="BQ84" s="195" t="s">
        <v>587</v>
      </c>
      <c r="BR84" s="199" t="n">
        <v>3.2</v>
      </c>
      <c r="BS84" s="199" t="n">
        <v>1.0625</v>
      </c>
      <c r="BT84" s="199" t="n">
        <v>0.72161</v>
      </c>
      <c r="BU84" s="199" t="n">
        <v>0.9432</v>
      </c>
      <c r="BV84" s="199" t="n">
        <v>0.43764</v>
      </c>
      <c r="BW84" s="199" t="n">
        <v>0.69764</v>
      </c>
      <c r="BX84" s="199" t="n">
        <v>0.65126</v>
      </c>
      <c r="BY84" s="199" t="n">
        <v>1.6435</v>
      </c>
      <c r="BZ84" s="199" t="n">
        <v>2.3535</v>
      </c>
      <c r="CA84" s="199" t="n">
        <v>2.4844</v>
      </c>
      <c r="CB84" s="199" t="n">
        <v>4.9634</v>
      </c>
      <c r="CC84" s="251" t="s">
        <v>65</v>
      </c>
      <c r="CD84" s="201"/>
      <c r="CE84" s="251" t="s">
        <v>65</v>
      </c>
      <c r="CF84" s="201"/>
      <c r="CG84" s="251" t="s">
        <v>65</v>
      </c>
      <c r="CH84" s="201"/>
      <c r="CI84" s="200" t="s">
        <v>595</v>
      </c>
      <c r="CJ84" s="242"/>
      <c r="CK84" s="204" t="n">
        <v>5</v>
      </c>
      <c r="CL84" s="304" t="n">
        <v>0.05</v>
      </c>
      <c r="CM84" s="304" t="n">
        <v>0.05</v>
      </c>
      <c r="CN84" s="302" t="n">
        <v>0.067889</v>
      </c>
      <c r="CO84" s="302" t="n">
        <v>0.068577</v>
      </c>
      <c r="CP84" s="303" t="n">
        <v>0.32395</v>
      </c>
      <c r="CQ84" s="301" t="n">
        <v>0.37269</v>
      </c>
      <c r="CR84" s="303" t="n">
        <v>0.18088</v>
      </c>
      <c r="CS84" s="302" t="n">
        <v>0.10014</v>
      </c>
      <c r="CT84" s="302" t="n">
        <v>0.069438</v>
      </c>
      <c r="CU84" s="304" t="n">
        <v>0.05</v>
      </c>
      <c r="CV84" s="304" t="n">
        <v>0.05</v>
      </c>
      <c r="CW84" s="304" t="n">
        <v>0.05</v>
      </c>
      <c r="CX84" s="208" t="n">
        <f aca="false">AVERAGE(CL84:CO84)</f>
        <v>0.0591165</v>
      </c>
      <c r="CY84" s="208" t="n">
        <f aca="false">_xlfn.STDEV.S(CL84:CO84)</f>
        <v>0.0105305739159839</v>
      </c>
      <c r="CZ84" s="208" t="n">
        <v>0.1</v>
      </c>
      <c r="DA84" s="172" t="n">
        <v>48</v>
      </c>
      <c r="DB84" s="209" t="e">
        <f aca="false">#REF!+(DA84/24)</f>
        <v>#REF!</v>
      </c>
      <c r="DC84" s="210" t="n">
        <v>2</v>
      </c>
      <c r="DD84" s="210" t="n">
        <v>3.5</v>
      </c>
      <c r="DE84" s="180" t="n">
        <f aca="false">DD84-DC84</f>
        <v>1.5</v>
      </c>
      <c r="DF84" s="180" t="n">
        <f aca="false">MAX(CM84:CX84)</f>
        <v>0.37269</v>
      </c>
      <c r="DG84" s="211" t="e">
        <f aca="false">(DB84-AE84)*24</f>
        <v>#REF!</v>
      </c>
      <c r="DH84" s="195" t="s">
        <v>587</v>
      </c>
      <c r="DI84" s="244" t="e">
        <f aca="false">(AQ84-DB84)*24</f>
        <v>#REF!</v>
      </c>
      <c r="DJ84" s="245" t="s">
        <v>600</v>
      </c>
      <c r="DK84" s="188" t="s">
        <v>148</v>
      </c>
      <c r="DL84" s="238" t="n">
        <v>82</v>
      </c>
      <c r="DM84" s="240" t="s">
        <v>395</v>
      </c>
    </row>
    <row r="85" customFormat="false" ht="15.75" hidden="false" customHeight="true" outlineLevel="0" collapsed="false">
      <c r="A85" s="188" t="s">
        <v>148</v>
      </c>
      <c r="B85" s="238" t="n">
        <v>83</v>
      </c>
      <c r="C85" s="239" t="s">
        <v>400</v>
      </c>
      <c r="D85" s="240" t="s">
        <v>401</v>
      </c>
      <c r="E85" s="215" t="s">
        <v>402</v>
      </c>
      <c r="F85" s="239" t="n">
        <v>88798</v>
      </c>
      <c r="G85" s="193"/>
      <c r="H85" s="218" t="n">
        <v>43384</v>
      </c>
      <c r="I85" s="180" t="n">
        <v>4.57808219178082</v>
      </c>
      <c r="J85" s="218" t="n">
        <v>44850</v>
      </c>
      <c r="K85" s="219" t="n">
        <v>78</v>
      </c>
      <c r="L85" s="219" t="n">
        <v>3.75</v>
      </c>
      <c r="M85" s="220" t="n">
        <v>205</v>
      </c>
      <c r="N85" s="221" t="n">
        <v>288</v>
      </c>
      <c r="O85" s="221" t="n">
        <v>2815</v>
      </c>
      <c r="P85" s="221" t="n">
        <v>1986</v>
      </c>
      <c r="Q85" s="221" t="n">
        <v>2145</v>
      </c>
      <c r="R85" s="221" t="n">
        <v>1636</v>
      </c>
      <c r="S85" s="221" t="n">
        <v>1527</v>
      </c>
      <c r="T85" s="221" t="n">
        <v>1160</v>
      </c>
      <c r="U85" s="222" t="s">
        <v>664</v>
      </c>
      <c r="V85" s="185" t="n">
        <f aca="false">EXP(1.204+(0.102*I85)+(0.007*N85)-(0.001*T85)+(0.008*M85)-2.723)</f>
        <v>4.23746148492341</v>
      </c>
      <c r="W85" s="185" t="n">
        <f aca="false">(V85/(1+V85))</f>
        <v>0.809067808349788</v>
      </c>
      <c r="X85" s="185" t="n">
        <f aca="false">EXP(2.859+(0.011*N85)-(0.002*T85)+(0.275*I85)-1.952)</f>
        <v>20.368154001496</v>
      </c>
      <c r="Y85" s="185" t="n">
        <f aca="false">(X85/(1+X85))</f>
        <v>0.953201385579213</v>
      </c>
      <c r="Z85" s="238" t="n">
        <v>83</v>
      </c>
      <c r="AA85" s="186" t="n">
        <v>55</v>
      </c>
      <c r="AB85" s="187" t="n">
        <v>45056.6984490741</v>
      </c>
      <c r="AC85" s="187" t="n">
        <v>45057.2538541667</v>
      </c>
      <c r="AD85" s="180" t="n">
        <v>13.3297222222318</v>
      </c>
      <c r="AE85" s="187" t="n">
        <v>45056.6984490741</v>
      </c>
      <c r="AF85" s="187" t="n">
        <v>45057.2538541667</v>
      </c>
      <c r="AG85" s="180" t="n">
        <v>13.3297222222318</v>
      </c>
      <c r="AH85" s="180" t="n">
        <v>13.3297222222318</v>
      </c>
      <c r="AI85" s="187"/>
      <c r="AJ85" s="187"/>
      <c r="AK85" s="180"/>
      <c r="AL85" s="180"/>
      <c r="AM85" s="180" t="e">
        <f aca="false">(AE85-#REF!)*24</f>
        <v>#REF!</v>
      </c>
      <c r="AN85" s="180" t="e">
        <f aca="false">AM85+35</f>
        <v>#REF!</v>
      </c>
      <c r="AO85" s="186" t="n">
        <v>11</v>
      </c>
      <c r="AP85" s="186" t="s">
        <v>589</v>
      </c>
      <c r="AQ85" s="189" t="n">
        <v>45057.6784834491</v>
      </c>
      <c r="AR85" s="188" t="s">
        <v>592</v>
      </c>
      <c r="AS85" s="180" t="s">
        <v>584</v>
      </c>
      <c r="AT85" s="172" t="n">
        <v>55</v>
      </c>
      <c r="AU85" s="187" t="n">
        <v>45073.4702893519</v>
      </c>
      <c r="AV85" s="187" t="n">
        <v>45085.6873611111</v>
      </c>
      <c r="AW85" s="180" t="n">
        <v>293.209722222062</v>
      </c>
      <c r="AX85" s="187" t="n">
        <v>45073.4702893519</v>
      </c>
      <c r="AY85" s="187" t="n">
        <v>45077.4315277778</v>
      </c>
      <c r="AZ85" s="180" t="n">
        <v>95.0697222221643</v>
      </c>
      <c r="BA85" s="180" t="n">
        <v>95.0697222221643</v>
      </c>
      <c r="BB85" s="172"/>
      <c r="BC85" s="172"/>
      <c r="BD85" s="172"/>
      <c r="BE85" s="172"/>
      <c r="BF85" s="193" t="n">
        <v>48</v>
      </c>
      <c r="BG85" s="194" t="n">
        <v>0</v>
      </c>
      <c r="BH85" s="194"/>
      <c r="BI85" s="194" t="s">
        <v>622</v>
      </c>
      <c r="BJ85" s="194" t="s">
        <v>543</v>
      </c>
      <c r="BK85" s="195" t="s">
        <v>587</v>
      </c>
      <c r="BL85" s="194"/>
      <c r="BM85" s="194" t="s">
        <v>543</v>
      </c>
      <c r="BN85" s="196" t="n">
        <f aca="false">AX85+145</f>
        <v>45218.4702893519</v>
      </c>
      <c r="BO85" s="197"/>
      <c r="BP85" s="197" t="s">
        <v>585</v>
      </c>
      <c r="BQ85" s="195" t="s">
        <v>587</v>
      </c>
      <c r="BR85" s="199" t="n">
        <v>0.2</v>
      </c>
      <c r="BS85" s="199" t="n">
        <v>0.27221</v>
      </c>
      <c r="BT85" s="199" t="n">
        <v>0.2</v>
      </c>
      <c r="BU85" s="199" t="n">
        <v>0.2</v>
      </c>
      <c r="BV85" s="199" t="n">
        <v>0.2</v>
      </c>
      <c r="BW85" s="199" t="n">
        <v>0.34727</v>
      </c>
      <c r="BX85" s="199" t="n">
        <v>0.2</v>
      </c>
      <c r="BY85" s="199" t="n">
        <v>1.97</v>
      </c>
      <c r="BZ85" s="199" t="n">
        <v>2.2902</v>
      </c>
      <c r="CA85" s="199" t="n">
        <v>3.5976</v>
      </c>
      <c r="CB85" s="199" t="n">
        <v>4.1226</v>
      </c>
      <c r="CC85" s="200" t="s">
        <v>588</v>
      </c>
      <c r="CD85" s="202" t="s">
        <v>589</v>
      </c>
      <c r="CE85" s="200" t="s">
        <v>588</v>
      </c>
      <c r="CF85" s="202" t="s">
        <v>589</v>
      </c>
      <c r="CG85" s="200" t="s">
        <v>588</v>
      </c>
      <c r="CH85" s="202" t="s">
        <v>589</v>
      </c>
      <c r="CI85" s="203"/>
      <c r="CJ85" s="200" t="s">
        <v>595</v>
      </c>
      <c r="CK85" s="204" t="n">
        <v>5</v>
      </c>
      <c r="CL85" s="304" t="n">
        <v>0.05</v>
      </c>
      <c r="CM85" s="304" t="n">
        <v>0.05</v>
      </c>
      <c r="CN85" s="302" t="n">
        <v>0.074476</v>
      </c>
      <c r="CO85" s="302" t="n">
        <v>0.067373</v>
      </c>
      <c r="CP85" s="301" t="n">
        <v>0.51725</v>
      </c>
      <c r="CQ85" s="302" t="n">
        <v>0.24396</v>
      </c>
      <c r="CR85" s="303" t="n">
        <v>0.13162</v>
      </c>
      <c r="CS85" s="302" t="n">
        <v>0.082606</v>
      </c>
      <c r="CT85" s="302" t="n">
        <v>0.068749</v>
      </c>
      <c r="CU85" s="304" t="n">
        <v>0.05</v>
      </c>
      <c r="CV85" s="304" t="n">
        <v>0.05</v>
      </c>
      <c r="CW85" s="304" t="n">
        <v>0.05</v>
      </c>
      <c r="CX85" s="208" t="n">
        <f aca="false">AVERAGE(CL85:CO85)</f>
        <v>0.06046225</v>
      </c>
      <c r="CY85" s="208" t="n">
        <f aca="false">_xlfn.STDEV.S(CL85:CO85)</f>
        <v>0.0124239151739699</v>
      </c>
      <c r="CZ85" s="208" t="n">
        <v>0.1</v>
      </c>
      <c r="DA85" s="186" t="n">
        <v>48</v>
      </c>
      <c r="DB85" s="209" t="e">
        <f aca="false">#REF!+(DA85/24)</f>
        <v>#REF!</v>
      </c>
      <c r="DC85" s="210" t="n">
        <v>2</v>
      </c>
      <c r="DD85" s="210" t="n">
        <v>3.5</v>
      </c>
      <c r="DE85" s="180" t="n">
        <f aca="false">DD85-DC85</f>
        <v>1.5</v>
      </c>
      <c r="DF85" s="180" t="n">
        <f aca="false">MAX(CM85:CX85)</f>
        <v>0.51725</v>
      </c>
      <c r="DG85" s="211" t="e">
        <f aca="false">(DB85-AE85)*24</f>
        <v>#REF!</v>
      </c>
      <c r="DH85" s="195" t="s">
        <v>587</v>
      </c>
      <c r="DI85" s="211" t="e">
        <f aca="false">(AQ85-DB85)*24</f>
        <v>#REF!</v>
      </c>
      <c r="DJ85" s="194" t="s">
        <v>543</v>
      </c>
      <c r="DK85" s="188" t="s">
        <v>148</v>
      </c>
      <c r="DL85" s="238" t="n">
        <v>83</v>
      </c>
      <c r="DM85" s="240" t="s">
        <v>401</v>
      </c>
    </row>
    <row r="86" customFormat="false" ht="15.75" hidden="false" customHeight="true" outlineLevel="0" collapsed="false">
      <c r="A86" s="172" t="s">
        <v>152</v>
      </c>
      <c r="B86" s="238" t="n">
        <v>84</v>
      </c>
      <c r="C86" s="239" t="s">
        <v>388</v>
      </c>
      <c r="D86" s="240" t="s">
        <v>389</v>
      </c>
      <c r="E86" s="215" t="s">
        <v>390</v>
      </c>
      <c r="F86" s="239" t="n">
        <v>88715</v>
      </c>
      <c r="G86" s="193"/>
      <c r="H86" s="218" t="n">
        <v>43385</v>
      </c>
      <c r="I86" s="180" t="n">
        <v>4.57534246575342</v>
      </c>
      <c r="J86" s="218" t="n">
        <v>44846</v>
      </c>
      <c r="K86" s="219" t="n">
        <v>79.9</v>
      </c>
      <c r="L86" s="219" t="n">
        <v>3</v>
      </c>
      <c r="M86" s="220" t="n">
        <v>209</v>
      </c>
      <c r="N86" s="221" t="n">
        <v>287</v>
      </c>
      <c r="O86" s="221" t="n">
        <v>2448</v>
      </c>
      <c r="P86" s="221" t="n">
        <v>1898</v>
      </c>
      <c r="Q86" s="221" t="n">
        <v>1602</v>
      </c>
      <c r="R86" s="221" t="n">
        <v>1551</v>
      </c>
      <c r="S86" s="221" t="n">
        <v>1162</v>
      </c>
      <c r="T86" s="221" t="n">
        <v>1769</v>
      </c>
      <c r="U86" s="184" t="s">
        <v>665</v>
      </c>
      <c r="V86" s="185" t="n">
        <f aca="false">EXP(0.585+(0.102*I86)+(0.007*N86)-(0.001*T86)+(0.008*M86)-2.723)</f>
        <v>1.27212016717691</v>
      </c>
      <c r="W86" s="185" t="n">
        <f aca="false">(V86/(1+V86))</f>
        <v>0.559882432960184</v>
      </c>
      <c r="X86" s="185" t="n">
        <f aca="false">EXP(1.741+(0.011*N86)-(0.002*T86)+(0.275*I86)-1.952)</f>
        <v>1.94686264728963</v>
      </c>
      <c r="Y86" s="185" t="n">
        <f aca="false">(X86/(1+X86))</f>
        <v>0.660656053678054</v>
      </c>
      <c r="Z86" s="238" t="n">
        <v>84</v>
      </c>
      <c r="AA86" s="186" t="n">
        <v>18</v>
      </c>
      <c r="AB86" s="187" t="n">
        <v>45056.3571296296</v>
      </c>
      <c r="AC86" s="187" t="n">
        <v>45058.2856828704</v>
      </c>
      <c r="AD86" s="180" t="n">
        <v>46.2852777778753</v>
      </c>
      <c r="AE86" s="187" t="n">
        <v>45056.3571296296</v>
      </c>
      <c r="AF86" s="187" t="n">
        <v>45058.2856828704</v>
      </c>
      <c r="AG86" s="180" t="n">
        <v>46.2852777778753</v>
      </c>
      <c r="AH86" s="180" t="n">
        <v>46.2852777778753</v>
      </c>
      <c r="AI86" s="187"/>
      <c r="AJ86" s="187"/>
      <c r="AK86" s="180"/>
      <c r="AL86" s="180"/>
      <c r="AM86" s="180" t="e">
        <f aca="false">(AE86-#REF!)*24</f>
        <v>#REF!</v>
      </c>
      <c r="AN86" s="180" t="e">
        <f aca="false">AM86+35</f>
        <v>#REF!</v>
      </c>
      <c r="AO86" s="186" t="n">
        <v>30</v>
      </c>
      <c r="AP86" s="186" t="s">
        <v>589</v>
      </c>
      <c r="AQ86" s="189" t="n">
        <v>45057.6617278935</v>
      </c>
      <c r="AR86" s="188" t="s">
        <v>592</v>
      </c>
      <c r="AS86" s="180" t="s">
        <v>584</v>
      </c>
      <c r="AT86" s="172" t="n">
        <v>18</v>
      </c>
      <c r="AU86" s="172"/>
      <c r="AV86" s="172"/>
      <c r="AW86" s="172"/>
      <c r="AX86" s="190" t="n">
        <v>45072.4615393519</v>
      </c>
      <c r="AY86" s="190" t="n">
        <v>45072.4615393519</v>
      </c>
      <c r="AZ86" s="191" t="n">
        <v>0</v>
      </c>
      <c r="BA86" s="180" t="n">
        <v>1</v>
      </c>
      <c r="BB86" s="172"/>
      <c r="BC86" s="172"/>
      <c r="BD86" s="172"/>
      <c r="BE86" s="172"/>
      <c r="BF86" s="193" t="n">
        <v>1</v>
      </c>
      <c r="BG86" s="194" t="n">
        <v>1</v>
      </c>
      <c r="BH86" s="194" t="n">
        <v>1</v>
      </c>
      <c r="BI86" s="194"/>
      <c r="BJ86" s="194" t="s">
        <v>600</v>
      </c>
      <c r="BK86" s="195" t="s">
        <v>587</v>
      </c>
      <c r="BL86" s="194" t="n">
        <v>1</v>
      </c>
      <c r="BM86" s="196" t="n">
        <v>45201</v>
      </c>
      <c r="BN86" s="196" t="n">
        <f aca="false">AQ86+145</f>
        <v>45202.6617278935</v>
      </c>
      <c r="BO86" s="197" t="n">
        <f aca="false">BM86-AQ86</f>
        <v>143.338272106499</v>
      </c>
      <c r="BP86" s="197" t="s">
        <v>35</v>
      </c>
      <c r="BQ86" s="195" t="s">
        <v>587</v>
      </c>
      <c r="BR86" s="258" t="n">
        <v>0.2</v>
      </c>
      <c r="BS86" s="298" t="n">
        <v>1.8269</v>
      </c>
      <c r="BT86" s="199" t="n">
        <v>0.63255</v>
      </c>
      <c r="BU86" s="199" t="n">
        <v>0.39596</v>
      </c>
      <c r="BV86" s="199" t="n">
        <v>0.58532</v>
      </c>
      <c r="BW86" s="199" t="n">
        <v>0.49807</v>
      </c>
      <c r="BX86" s="199" t="n">
        <v>1.2218</v>
      </c>
      <c r="BY86" s="199" t="n">
        <v>2.0268</v>
      </c>
      <c r="BZ86" s="199" t="n">
        <v>1.7001</v>
      </c>
      <c r="CA86" s="199" t="n">
        <v>3.286</v>
      </c>
      <c r="CB86" s="199" t="n">
        <v>3.3401</v>
      </c>
      <c r="CC86" s="200" t="s">
        <v>588</v>
      </c>
      <c r="CD86" s="202" t="s">
        <v>589</v>
      </c>
      <c r="CE86" s="251" t="s">
        <v>65</v>
      </c>
      <c r="CF86" s="252"/>
      <c r="CG86" s="251" t="s">
        <v>65</v>
      </c>
      <c r="CH86" s="252"/>
      <c r="CI86" s="200" t="s">
        <v>595</v>
      </c>
      <c r="CJ86" s="203"/>
      <c r="CK86" s="204" t="n">
        <v>5</v>
      </c>
      <c r="CL86" s="304" t="n">
        <v>0.05</v>
      </c>
      <c r="CM86" s="304" t="n">
        <v>0.05</v>
      </c>
      <c r="CN86" s="302" t="n">
        <v>0.086555</v>
      </c>
      <c r="CO86" s="302" t="n">
        <v>0.065661</v>
      </c>
      <c r="CP86" s="303" t="n">
        <v>0.11967</v>
      </c>
      <c r="CQ86" s="301" t="n">
        <v>0.3055</v>
      </c>
      <c r="CR86" s="303" t="n">
        <v>0.14143</v>
      </c>
      <c r="CS86" s="302" t="n">
        <v>0.090728</v>
      </c>
      <c r="CT86" s="302" t="n">
        <v>0.074651</v>
      </c>
      <c r="CU86" s="302" t="n">
        <v>0.064297</v>
      </c>
      <c r="CV86" s="302" t="n">
        <v>0.068232</v>
      </c>
      <c r="CW86" s="302" t="n">
        <v>0.067202</v>
      </c>
      <c r="CX86" s="208" t="n">
        <f aca="false">AVERAGE(CL86:CO86)</f>
        <v>0.063054</v>
      </c>
      <c r="CY86" s="208" t="n">
        <f aca="false">_xlfn.STDEV.S(CL86:CO86)</f>
        <v>0.0173196158733385</v>
      </c>
      <c r="CZ86" s="208" t="n">
        <f aca="false">CX86+(2*CY86)</f>
        <v>0.0976932317466771</v>
      </c>
      <c r="DA86" s="186" t="n">
        <v>60</v>
      </c>
      <c r="DB86" s="209" t="e">
        <f aca="false">#REF!+(DA86/24)</f>
        <v>#REF!</v>
      </c>
      <c r="DC86" s="210" t="n">
        <v>2</v>
      </c>
      <c r="DD86" s="210" t="n">
        <v>3.5</v>
      </c>
      <c r="DE86" s="180" t="n">
        <f aca="false">DD86-DC86</f>
        <v>1.5</v>
      </c>
      <c r="DF86" s="180" t="n">
        <f aca="false">MAX(CM86:CX86)</f>
        <v>0.3055</v>
      </c>
      <c r="DG86" s="211" t="e">
        <f aca="false">(DB86-AE86)*24</f>
        <v>#REF!</v>
      </c>
      <c r="DH86" s="195" t="s">
        <v>587</v>
      </c>
      <c r="DI86" s="244" t="e">
        <f aca="false">(AQ86-DB86)*24</f>
        <v>#REF!</v>
      </c>
      <c r="DJ86" s="245" t="s">
        <v>600</v>
      </c>
      <c r="DK86" s="172" t="s">
        <v>152</v>
      </c>
      <c r="DL86" s="238" t="n">
        <v>84</v>
      </c>
      <c r="DM86" s="240" t="s">
        <v>389</v>
      </c>
    </row>
    <row r="87" customFormat="false" ht="15.75" hidden="false" customHeight="true" outlineLevel="0" collapsed="false">
      <c r="A87" s="172" t="s">
        <v>152</v>
      </c>
      <c r="B87" s="238" t="n">
        <v>85</v>
      </c>
      <c r="C87" s="239" t="s">
        <v>202</v>
      </c>
      <c r="D87" s="240" t="s">
        <v>203</v>
      </c>
      <c r="E87" s="215" t="s">
        <v>204</v>
      </c>
      <c r="F87" s="239" t="n">
        <v>88256</v>
      </c>
      <c r="G87" s="193"/>
      <c r="H87" s="218" t="n">
        <v>43385</v>
      </c>
      <c r="I87" s="180" t="n">
        <v>4.57534246575342</v>
      </c>
      <c r="J87" s="218" t="n">
        <v>44880</v>
      </c>
      <c r="K87" s="219" t="n">
        <v>53.49</v>
      </c>
      <c r="L87" s="219" t="n">
        <v>3</v>
      </c>
      <c r="M87" s="220" t="n">
        <v>175</v>
      </c>
      <c r="N87" s="221" t="n">
        <v>244</v>
      </c>
      <c r="O87" s="221"/>
      <c r="P87" s="221" t="n">
        <v>1810</v>
      </c>
      <c r="Q87" s="221" t="n">
        <v>1859</v>
      </c>
      <c r="R87" s="221" t="n">
        <v>1438</v>
      </c>
      <c r="S87" s="221" t="n">
        <v>1660</v>
      </c>
      <c r="T87" s="221" t="n">
        <v>1595</v>
      </c>
      <c r="U87" s="257"/>
      <c r="V87" s="185" t="n">
        <f aca="false">EXP(0.585+(0.102*I87)+(0.007*N87)-(0.001*T87)+(0.008*M87)-2.723)</f>
        <v>0.853580803179895</v>
      </c>
      <c r="W87" s="185" t="n">
        <f aca="false">(V87/(1+V87))</f>
        <v>0.460503691943476</v>
      </c>
      <c r="X87" s="185" t="n">
        <f aca="false">EXP(1.741+(0.011*N87)-(0.002*T87)+(0.275*I87)-1.952)</f>
        <v>1.71810025599075</v>
      </c>
      <c r="Y87" s="185" t="n">
        <f aca="false">(X87/(1+X87))</f>
        <v>0.632095984025615</v>
      </c>
      <c r="Z87" s="238" t="n">
        <v>85</v>
      </c>
      <c r="AA87" s="186"/>
      <c r="AB87" s="187"/>
      <c r="AC87" s="187"/>
      <c r="AD87" s="180"/>
      <c r="AE87" s="187"/>
      <c r="AF87" s="187"/>
      <c r="AG87" s="180"/>
      <c r="AH87" s="180"/>
      <c r="AI87" s="187"/>
      <c r="AJ87" s="187"/>
      <c r="AK87" s="180"/>
      <c r="AL87" s="180"/>
      <c r="AM87" s="180"/>
      <c r="AN87" s="180"/>
      <c r="AO87" s="186"/>
      <c r="AP87" s="188" t="s">
        <v>582</v>
      </c>
      <c r="AQ87" s="189" t="n">
        <v>45057.6647314815</v>
      </c>
      <c r="AR87" s="188" t="s">
        <v>592</v>
      </c>
      <c r="AS87" s="180" t="s">
        <v>593</v>
      </c>
      <c r="AT87" s="172" t="n">
        <v>79</v>
      </c>
      <c r="AU87" s="187" t="n">
        <v>45067.4845023148</v>
      </c>
      <c r="AV87" s="192" t="n">
        <v>45075.3629398148</v>
      </c>
      <c r="AW87" s="180" t="n">
        <v>189.082499999902</v>
      </c>
      <c r="AX87" s="192" t="n">
        <v>45074.8490625</v>
      </c>
      <c r="AY87" s="192" t="n">
        <v>45075.3629398148</v>
      </c>
      <c r="AZ87" s="180" t="n">
        <v>12.3330555555294</v>
      </c>
      <c r="BA87" s="180" t="n">
        <v>12.3330555555294</v>
      </c>
      <c r="BB87" s="172"/>
      <c r="BC87" s="172"/>
      <c r="BD87" s="172"/>
      <c r="BE87" s="172"/>
      <c r="BF87" s="193" t="n">
        <v>16</v>
      </c>
      <c r="BG87" s="194" t="n">
        <v>0</v>
      </c>
      <c r="BH87" s="194"/>
      <c r="BI87" s="194" t="s">
        <v>622</v>
      </c>
      <c r="BJ87" s="194" t="s">
        <v>543</v>
      </c>
      <c r="BK87" s="195" t="s">
        <v>587</v>
      </c>
      <c r="BL87" s="194" t="n">
        <v>1</v>
      </c>
      <c r="BM87" s="196" t="n">
        <v>45221</v>
      </c>
      <c r="BN87" s="196" t="n">
        <f aca="false">AX87+145</f>
        <v>45219.8490625</v>
      </c>
      <c r="BO87" s="197" t="n">
        <f aca="false">BM87-AQ87</f>
        <v>163.335268518502</v>
      </c>
      <c r="BP87" s="197" t="s">
        <v>543</v>
      </c>
      <c r="BQ87" s="195" t="s">
        <v>587</v>
      </c>
      <c r="BR87" s="199" t="n">
        <v>3.6889</v>
      </c>
      <c r="BS87" s="199" t="n">
        <v>2.4379</v>
      </c>
      <c r="BT87" s="199" t="n">
        <v>1.1067</v>
      </c>
      <c r="BU87" s="199" t="n">
        <v>1.3581</v>
      </c>
      <c r="BV87" s="199" t="n">
        <v>1.4836</v>
      </c>
      <c r="BW87" s="199" t="n">
        <v>0.92963</v>
      </c>
      <c r="BX87" s="199" t="n">
        <v>1.4446</v>
      </c>
      <c r="BY87" s="199" t="n">
        <v>1.8323</v>
      </c>
      <c r="BZ87" s="199" t="n">
        <v>2.4578</v>
      </c>
      <c r="CA87" s="199" t="n">
        <v>3.6076</v>
      </c>
      <c r="CB87" s="199" t="n">
        <v>3.5976</v>
      </c>
      <c r="CC87" s="251" t="s">
        <v>65</v>
      </c>
      <c r="CD87" s="252"/>
      <c r="CE87" s="251" t="s">
        <v>65</v>
      </c>
      <c r="CF87" s="252"/>
      <c r="CG87" s="251" t="s">
        <v>65</v>
      </c>
      <c r="CH87" s="252"/>
      <c r="CI87" s="200" t="s">
        <v>595</v>
      </c>
      <c r="CJ87" s="203"/>
      <c r="CK87" s="204" t="n">
        <v>5</v>
      </c>
      <c r="CL87" s="304" t="n">
        <v>0.05</v>
      </c>
      <c r="CM87" s="304" t="n">
        <v>0.05</v>
      </c>
      <c r="CN87" s="304" t="n">
        <v>0.05</v>
      </c>
      <c r="CO87" s="304" t="n">
        <v>0.05</v>
      </c>
      <c r="CP87" s="302" t="n">
        <v>0.060907</v>
      </c>
      <c r="CQ87" s="303" t="n">
        <v>0.11908</v>
      </c>
      <c r="CR87" s="301" t="n">
        <v>0.22829</v>
      </c>
      <c r="CS87" s="302" t="n">
        <v>0.10409</v>
      </c>
      <c r="CT87" s="302" t="n">
        <v>0.063786</v>
      </c>
      <c r="CU87" s="304" t="n">
        <v>0.05</v>
      </c>
      <c r="CV87" s="304" t="n">
        <v>0.05</v>
      </c>
      <c r="CW87" s="304" t="n">
        <v>0.05</v>
      </c>
      <c r="CX87" s="208" t="n">
        <f aca="false">AVERAGE(CL87:CO87)</f>
        <v>0.05</v>
      </c>
      <c r="CY87" s="208" t="n">
        <f aca="false">_xlfn.STDEV.S(CL87:CO87)</f>
        <v>0</v>
      </c>
      <c r="CZ87" s="208" t="n">
        <v>0.1</v>
      </c>
      <c r="DA87" s="186" t="n">
        <v>60</v>
      </c>
      <c r="DB87" s="209" t="e">
        <f aca="false">#REF!+(DA87/24)</f>
        <v>#REF!</v>
      </c>
      <c r="DC87" s="210" t="n">
        <v>2.5</v>
      </c>
      <c r="DD87" s="210" t="n">
        <v>3.5</v>
      </c>
      <c r="DE87" s="180" t="n">
        <f aca="false">DD87-DC87</f>
        <v>1</v>
      </c>
      <c r="DF87" s="180" t="n">
        <f aca="false">MAX(CM87:CX87)</f>
        <v>0.22829</v>
      </c>
      <c r="DG87" s="211"/>
      <c r="DH87" s="195" t="s">
        <v>603</v>
      </c>
      <c r="DI87" s="211" t="e">
        <f aca="false">(AQ87-DB87)*24</f>
        <v>#REF!</v>
      </c>
      <c r="DJ87" s="194" t="s">
        <v>543</v>
      </c>
      <c r="DK87" s="172" t="s">
        <v>152</v>
      </c>
      <c r="DL87" s="238" t="n">
        <v>85</v>
      </c>
      <c r="DM87" s="240" t="s">
        <v>203</v>
      </c>
    </row>
    <row r="88" customFormat="false" ht="15.75" hidden="false" customHeight="true" outlineLevel="0" collapsed="false">
      <c r="A88" s="188" t="s">
        <v>148</v>
      </c>
      <c r="B88" s="238" t="n">
        <v>86</v>
      </c>
      <c r="C88" s="239" t="s">
        <v>403</v>
      </c>
      <c r="D88" s="240" t="s">
        <v>404</v>
      </c>
      <c r="E88" s="215" t="s">
        <v>405</v>
      </c>
      <c r="F88" s="239" t="n">
        <v>88896</v>
      </c>
      <c r="G88" s="193"/>
      <c r="H88" s="218" t="n">
        <v>43385</v>
      </c>
      <c r="I88" s="180" t="n">
        <v>4.57534246575342</v>
      </c>
      <c r="J88" s="218" t="n">
        <v>44848</v>
      </c>
      <c r="K88" s="219" t="n">
        <v>69.5</v>
      </c>
      <c r="L88" s="219" t="n">
        <v>3</v>
      </c>
      <c r="M88" s="220" t="n">
        <v>207</v>
      </c>
      <c r="N88" s="221" t="n">
        <v>332</v>
      </c>
      <c r="O88" s="221" t="n">
        <v>2540</v>
      </c>
      <c r="P88" s="221" t="n">
        <v>1898</v>
      </c>
      <c r="Q88" s="221" t="n">
        <v>2288</v>
      </c>
      <c r="R88" s="221" t="n">
        <v>2030</v>
      </c>
      <c r="S88" s="221" t="n">
        <v>1859</v>
      </c>
      <c r="T88" s="221" t="n">
        <v>1798</v>
      </c>
      <c r="U88" s="253"/>
      <c r="V88" s="185" t="n">
        <f aca="false">EXP(0.585+(0.102*I88)+(0.007*N88)-(0.001*T88)+(0.008*M88)-2.723)</f>
        <v>1.66643219606258</v>
      </c>
      <c r="W88" s="185" t="n">
        <f aca="false">(V88/(1+V88))</f>
        <v>0.624967024671896</v>
      </c>
      <c r="X88" s="185" t="n">
        <f aca="false">EXP(1.741+(0.011*N88)-(0.002*T88)+(0.275*I88)-1.952)</f>
        <v>3.01385255233071</v>
      </c>
      <c r="Y88" s="185" t="n">
        <f aca="false">(X88/(1+X88))</f>
        <v>0.750862796537124</v>
      </c>
      <c r="Z88" s="238" t="n">
        <v>86</v>
      </c>
      <c r="AA88" s="186" t="n">
        <v>71</v>
      </c>
      <c r="AB88" s="187" t="n">
        <v>45057.7657291667</v>
      </c>
      <c r="AC88" s="187" t="n">
        <v>45057.7657291667</v>
      </c>
      <c r="AD88" s="180" t="n">
        <v>0</v>
      </c>
      <c r="AE88" s="190" t="n">
        <v>45057.7657291667</v>
      </c>
      <c r="AF88" s="190" t="n">
        <v>45057.7657291667</v>
      </c>
      <c r="AG88" s="180" t="n">
        <v>0</v>
      </c>
      <c r="AH88" s="180" t="n">
        <v>1</v>
      </c>
      <c r="AI88" s="187"/>
      <c r="AJ88" s="187"/>
      <c r="AK88" s="180"/>
      <c r="AL88" s="180"/>
      <c r="AM88" s="180" t="e">
        <f aca="false">(AE88-#REF!)*24</f>
        <v>#REF!</v>
      </c>
      <c r="AN88" s="180" t="e">
        <f aca="false">AM88+35</f>
        <v>#REF!</v>
      </c>
      <c r="AO88" s="186" t="n">
        <v>1</v>
      </c>
      <c r="AP88" s="188" t="s">
        <v>582</v>
      </c>
      <c r="AQ88" s="189" t="n">
        <v>45057.6825555556</v>
      </c>
      <c r="AR88" s="186" t="s">
        <v>599</v>
      </c>
      <c r="AS88" s="180" t="s">
        <v>593</v>
      </c>
      <c r="AT88" s="172"/>
      <c r="AU88" s="187"/>
      <c r="AV88" s="187"/>
      <c r="AW88" s="180"/>
      <c r="AX88" s="187"/>
      <c r="AY88" s="187"/>
      <c r="AZ88" s="180"/>
      <c r="BA88" s="180"/>
      <c r="BB88" s="172"/>
      <c r="BC88" s="172"/>
      <c r="BD88" s="172"/>
      <c r="BE88" s="172"/>
      <c r="BF88" s="193"/>
      <c r="BG88" s="194" t="n">
        <v>1</v>
      </c>
      <c r="BH88" s="194" t="n">
        <v>1</v>
      </c>
      <c r="BI88" s="194"/>
      <c r="BJ88" s="194" t="s">
        <v>600</v>
      </c>
      <c r="BK88" s="195" t="s">
        <v>617</v>
      </c>
      <c r="BL88" s="194" t="n">
        <v>1</v>
      </c>
      <c r="BM88" s="196" t="n">
        <v>45203</v>
      </c>
      <c r="BN88" s="196" t="n">
        <f aca="false">AQ88+145</f>
        <v>45202.6825555556</v>
      </c>
      <c r="BO88" s="197" t="n">
        <f aca="false">BM88-AQ88</f>
        <v>145.317444444401</v>
      </c>
      <c r="BP88" s="197" t="s">
        <v>35</v>
      </c>
      <c r="BQ88" s="195" t="s">
        <v>617</v>
      </c>
      <c r="BR88" s="199" t="n">
        <v>1.2358</v>
      </c>
      <c r="BS88" s="199" t="n">
        <v>1.5033</v>
      </c>
      <c r="BT88" s="199" t="n">
        <v>1.0838</v>
      </c>
      <c r="BU88" s="199" t="n">
        <v>1.0975</v>
      </c>
      <c r="BV88" s="199" t="n">
        <v>0.98392</v>
      </c>
      <c r="BW88" s="199" t="n">
        <v>0.91155</v>
      </c>
      <c r="BX88" s="199" t="n">
        <v>1.2404</v>
      </c>
      <c r="BY88" s="199" t="n">
        <v>0.94772</v>
      </c>
      <c r="BZ88" s="199" t="n">
        <v>1.7105</v>
      </c>
      <c r="CA88" s="199" t="n">
        <v>2.5317</v>
      </c>
      <c r="CB88" s="199" t="n">
        <v>2.9183</v>
      </c>
      <c r="CC88" s="200" t="s">
        <v>588</v>
      </c>
      <c r="CD88" s="202" t="s">
        <v>589</v>
      </c>
      <c r="CE88" s="251" t="s">
        <v>65</v>
      </c>
      <c r="CF88" s="201"/>
      <c r="CG88" s="200" t="s">
        <v>588</v>
      </c>
      <c r="CH88" s="202" t="s">
        <v>589</v>
      </c>
      <c r="CI88" s="203"/>
      <c r="CJ88" s="200" t="s">
        <v>595</v>
      </c>
      <c r="CK88" s="204" t="n">
        <v>6</v>
      </c>
      <c r="CL88" s="304" t="n">
        <v>0.05</v>
      </c>
      <c r="CM88" s="304" t="n">
        <v>0.05</v>
      </c>
      <c r="CN88" s="302" t="n">
        <v>0.060907</v>
      </c>
      <c r="CO88" s="302" t="n">
        <v>0.062598</v>
      </c>
      <c r="CP88" s="302" t="n">
        <v>0.076229</v>
      </c>
      <c r="CQ88" s="301" t="n">
        <v>0.15446</v>
      </c>
      <c r="CR88" s="303" t="n">
        <v>0.12421</v>
      </c>
      <c r="CS88" s="302" t="n">
        <v>0.076756</v>
      </c>
      <c r="CT88" s="304" t="n">
        <v>0.05</v>
      </c>
      <c r="CU88" s="304" t="n">
        <v>0.05</v>
      </c>
      <c r="CV88" s="304" t="n">
        <v>0.05</v>
      </c>
      <c r="CW88" s="304" t="n">
        <v>0.05</v>
      </c>
      <c r="CX88" s="208" t="n">
        <f aca="false">AVERAGE(CL88:CO88)</f>
        <v>0.05587625</v>
      </c>
      <c r="CY88" s="208" t="n">
        <f aca="false">_xlfn.STDEV.S(CL88:CO88)</f>
        <v>0.00682033715564463</v>
      </c>
      <c r="CZ88" s="208" t="n">
        <v>0.1</v>
      </c>
      <c r="DA88" s="172" t="n">
        <v>60</v>
      </c>
      <c r="DB88" s="209" t="e">
        <f aca="false">#REF!+(DA88/24)</f>
        <v>#REF!</v>
      </c>
      <c r="DC88" s="210" t="n">
        <v>2.5</v>
      </c>
      <c r="DD88" s="210" t="n">
        <v>3.5</v>
      </c>
      <c r="DE88" s="180" t="n">
        <f aca="false">DD88-DC88</f>
        <v>1</v>
      </c>
      <c r="DF88" s="180" t="n">
        <f aca="false">MAX(CM88:CX88)</f>
        <v>0.15446</v>
      </c>
      <c r="DG88" s="211" t="e">
        <f aca="false">(DB88-AE88)*24</f>
        <v>#REF!</v>
      </c>
      <c r="DH88" s="195" t="s">
        <v>587</v>
      </c>
      <c r="DI88" s="244" t="e">
        <f aca="false">(AQ88-DB88)*24</f>
        <v>#REF!</v>
      </c>
      <c r="DJ88" s="245" t="s">
        <v>600</v>
      </c>
      <c r="DK88" s="188" t="s">
        <v>148</v>
      </c>
      <c r="DL88" s="238" t="n">
        <v>86</v>
      </c>
      <c r="DM88" s="240" t="s">
        <v>404</v>
      </c>
    </row>
    <row r="89" customFormat="false" ht="15.75" hidden="false" customHeight="true" outlineLevel="0" collapsed="false">
      <c r="A89" s="188" t="s">
        <v>148</v>
      </c>
      <c r="B89" s="238" t="n">
        <v>87</v>
      </c>
      <c r="C89" s="239" t="s">
        <v>301</v>
      </c>
      <c r="D89" s="240" t="s">
        <v>302</v>
      </c>
      <c r="E89" s="215" t="s">
        <v>303</v>
      </c>
      <c r="F89" s="239" t="n">
        <v>88529</v>
      </c>
      <c r="G89" s="193"/>
      <c r="H89" s="218" t="n">
        <v>43385</v>
      </c>
      <c r="I89" s="180" t="n">
        <v>4.57534246575342</v>
      </c>
      <c r="J89" s="218" t="n">
        <v>44849</v>
      </c>
      <c r="K89" s="219" t="n">
        <v>71.9</v>
      </c>
      <c r="L89" s="219" t="n">
        <v>3.5</v>
      </c>
      <c r="M89" s="220" t="n">
        <v>206</v>
      </c>
      <c r="N89" s="221" t="n">
        <v>305</v>
      </c>
      <c r="O89" s="221" t="n">
        <v>3029</v>
      </c>
      <c r="P89" s="221" t="n">
        <v>3358</v>
      </c>
      <c r="Q89" s="221" t="n">
        <v>2431</v>
      </c>
      <c r="R89" s="221" t="n">
        <v>1692</v>
      </c>
      <c r="S89" s="221" t="n">
        <v>1560</v>
      </c>
      <c r="T89" s="221" t="n">
        <v>1247</v>
      </c>
      <c r="U89" s="222" t="s">
        <v>666</v>
      </c>
      <c r="V89" s="185" t="n">
        <f aca="false">EXP(1.204+(0.102*I89)+(0.007*N89)-(0.001*T89)+(0.008*M89)-2.723)</f>
        <v>4.40916324682489</v>
      </c>
      <c r="W89" s="185" t="n">
        <f aca="false">(V89/(1+V89))</f>
        <v>0.815128522773465</v>
      </c>
      <c r="X89" s="185" t="n">
        <f aca="false">EXP(2.859+(0.011*N89)-(0.002*T89)+(0.275*I89)-1.952)</f>
        <v>20.6191277820012</v>
      </c>
      <c r="Y89" s="185" t="n">
        <f aca="false">(X89/(1+X89))</f>
        <v>0.953744664905837</v>
      </c>
      <c r="Z89" s="238" t="n">
        <v>87</v>
      </c>
      <c r="AA89" s="186" t="n">
        <v>54</v>
      </c>
      <c r="AB89" s="187" t="n">
        <v>45056.6603472222</v>
      </c>
      <c r="AC89" s="187" t="n">
        <v>45056.8553587963</v>
      </c>
      <c r="AD89" s="180" t="n">
        <v>4.68027777783573</v>
      </c>
      <c r="AE89" s="187" t="n">
        <v>45056.6603472222</v>
      </c>
      <c r="AF89" s="187" t="n">
        <v>45056.8553587963</v>
      </c>
      <c r="AG89" s="180" t="n">
        <v>4.68027777783573</v>
      </c>
      <c r="AH89" s="180" t="n">
        <v>4.68027777783573</v>
      </c>
      <c r="AI89" s="187"/>
      <c r="AJ89" s="187"/>
      <c r="AK89" s="180"/>
      <c r="AL89" s="180"/>
      <c r="AM89" s="180" t="e">
        <f aca="false">(AE89-#REF!)*24</f>
        <v>#REF!</v>
      </c>
      <c r="AN89" s="180" t="e">
        <f aca="false">AM89+35</f>
        <v>#REF!</v>
      </c>
      <c r="AO89" s="186" t="n">
        <v>19</v>
      </c>
      <c r="AP89" s="186" t="s">
        <v>589</v>
      </c>
      <c r="AQ89" s="189" t="n">
        <v>45057.684762037</v>
      </c>
      <c r="AR89" s="188" t="s">
        <v>592</v>
      </c>
      <c r="AS89" s="180" t="s">
        <v>593</v>
      </c>
      <c r="AT89" s="172" t="n">
        <v>54</v>
      </c>
      <c r="AU89" s="172"/>
      <c r="AV89" s="172"/>
      <c r="AW89" s="172"/>
      <c r="AX89" s="187" t="n">
        <v>45075.1363310185</v>
      </c>
      <c r="AY89" s="187" t="n">
        <v>45075.8199421296</v>
      </c>
      <c r="AZ89" s="180" t="n">
        <v>16.4066666666768</v>
      </c>
      <c r="BA89" s="180" t="n">
        <v>16.4066666666768</v>
      </c>
      <c r="BB89" s="172"/>
      <c r="BC89" s="172"/>
      <c r="BD89" s="172"/>
      <c r="BE89" s="172"/>
      <c r="BF89" s="193" t="n">
        <v>34</v>
      </c>
      <c r="BG89" s="194" t="n">
        <v>0</v>
      </c>
      <c r="BH89" s="194"/>
      <c r="BI89" s="194" t="s">
        <v>622</v>
      </c>
      <c r="BJ89" s="194" t="s">
        <v>543</v>
      </c>
      <c r="BK89" s="195" t="s">
        <v>587</v>
      </c>
      <c r="BL89" s="194" t="n">
        <v>1</v>
      </c>
      <c r="BM89" s="196" t="n">
        <v>45225</v>
      </c>
      <c r="BN89" s="196" t="n">
        <f aca="false">AX89+145</f>
        <v>45220.1363310185</v>
      </c>
      <c r="BO89" s="197" t="n">
        <f aca="false">BM89-AQ89</f>
        <v>167.315237962997</v>
      </c>
      <c r="BP89" s="197" t="s">
        <v>543</v>
      </c>
      <c r="BQ89" s="195" t="s">
        <v>587</v>
      </c>
      <c r="BR89" s="258" t="n">
        <v>1.8703</v>
      </c>
      <c r="BS89" s="258" t="n">
        <v>1.0838</v>
      </c>
      <c r="BT89" s="199" t="n">
        <v>0.76187</v>
      </c>
      <c r="BU89" s="199" t="n">
        <v>0.3077</v>
      </c>
      <c r="BV89" s="199" t="n">
        <v>0.61375</v>
      </c>
      <c r="BW89" s="199" t="n">
        <v>0.66987</v>
      </c>
      <c r="BX89" s="199" t="n">
        <v>0.91351</v>
      </c>
      <c r="BY89" s="199" t="n">
        <v>1.8921</v>
      </c>
      <c r="BZ89" s="199" t="n">
        <v>3.0547</v>
      </c>
      <c r="CA89" s="199" t="n">
        <v>3.9143</v>
      </c>
      <c r="CB89" s="199" t="n">
        <v>3.794</v>
      </c>
      <c r="CC89" s="200" t="s">
        <v>588</v>
      </c>
      <c r="CD89" s="202" t="s">
        <v>589</v>
      </c>
      <c r="CE89" s="251" t="s">
        <v>65</v>
      </c>
      <c r="CF89" s="252"/>
      <c r="CG89" s="251" t="s">
        <v>65</v>
      </c>
      <c r="CH89" s="252"/>
      <c r="CI89" s="200" t="s">
        <v>595</v>
      </c>
      <c r="CJ89" s="203"/>
      <c r="CK89" s="204" t="n">
        <v>5</v>
      </c>
      <c r="CL89" s="302" t="n">
        <v>0.078519</v>
      </c>
      <c r="CM89" s="302" t="n">
        <v>0.066003</v>
      </c>
      <c r="CN89" s="302" t="n">
        <v>0.080468</v>
      </c>
      <c r="CO89" s="302" t="n">
        <v>0.083679</v>
      </c>
      <c r="CP89" s="301" t="n">
        <v>0.86297</v>
      </c>
      <c r="CQ89" s="302" t="n">
        <v>0.3643</v>
      </c>
      <c r="CR89" s="302" t="n">
        <v>0.19145</v>
      </c>
      <c r="CS89" s="303" t="n">
        <v>0.16178</v>
      </c>
      <c r="CT89" s="297" t="n">
        <v>0.093951</v>
      </c>
      <c r="CU89" s="297" t="n">
        <v>0.07068</v>
      </c>
      <c r="CV89" s="297" t="n">
        <v>0.080445</v>
      </c>
      <c r="CW89" s="297" t="n">
        <v>0.07379</v>
      </c>
      <c r="CX89" s="208" t="n">
        <f aca="false">AVERAGE(CL89:CO89)</f>
        <v>0.07716725</v>
      </c>
      <c r="CY89" s="208" t="n">
        <f aca="false">_xlfn.STDEV.S(CL89:CO89)</f>
        <v>0.00774092037486499</v>
      </c>
      <c r="CZ89" s="208" t="n">
        <v>0.1</v>
      </c>
      <c r="DA89" s="186" t="n">
        <v>48</v>
      </c>
      <c r="DB89" s="209" t="e">
        <f aca="false">#REF!+(DA89/24)</f>
        <v>#REF!</v>
      </c>
      <c r="DC89" s="210" t="n">
        <v>2</v>
      </c>
      <c r="DD89" s="210" t="n">
        <v>4</v>
      </c>
      <c r="DE89" s="180" t="n">
        <f aca="false">DD89-DC89</f>
        <v>2</v>
      </c>
      <c r="DF89" s="180" t="n">
        <f aca="false">MAX(CM89:CX89)</f>
        <v>0.86297</v>
      </c>
      <c r="DG89" s="211" t="e">
        <f aca="false">(DB89-AE89)*24</f>
        <v>#REF!</v>
      </c>
      <c r="DH89" s="195" t="s">
        <v>587</v>
      </c>
      <c r="DI89" s="211" t="e">
        <f aca="false">(AQ89-DB89)*24</f>
        <v>#REF!</v>
      </c>
      <c r="DJ89" s="194" t="s">
        <v>543</v>
      </c>
      <c r="DK89" s="188" t="s">
        <v>148</v>
      </c>
      <c r="DL89" s="238" t="n">
        <v>87</v>
      </c>
      <c r="DM89" s="240" t="s">
        <v>302</v>
      </c>
    </row>
    <row r="90" customFormat="false" ht="15.75" hidden="false" customHeight="true" outlineLevel="0" collapsed="false">
      <c r="A90" s="172" t="s">
        <v>152</v>
      </c>
      <c r="B90" s="238" t="n">
        <v>88</v>
      </c>
      <c r="C90" s="239" t="s">
        <v>453</v>
      </c>
      <c r="D90" s="240" t="s">
        <v>454</v>
      </c>
      <c r="E90" s="215" t="s">
        <v>455</v>
      </c>
      <c r="F90" s="239" t="n">
        <v>89350</v>
      </c>
      <c r="G90" s="193"/>
      <c r="H90" s="218" t="n">
        <v>43385</v>
      </c>
      <c r="I90" s="180" t="n">
        <v>4.57534246575342</v>
      </c>
      <c r="J90" s="218" t="n">
        <v>44849</v>
      </c>
      <c r="K90" s="219" t="n">
        <v>83.8</v>
      </c>
      <c r="L90" s="219" t="n">
        <v>3.5</v>
      </c>
      <c r="M90" s="220" t="n">
        <v>206</v>
      </c>
      <c r="N90" s="221" t="n">
        <v>290</v>
      </c>
      <c r="O90" s="221" t="n">
        <v>2295</v>
      </c>
      <c r="P90" s="221" t="n">
        <v>1635</v>
      </c>
      <c r="Q90" s="221" t="n">
        <v>1773</v>
      </c>
      <c r="R90" s="221" t="n">
        <v>1410</v>
      </c>
      <c r="S90" s="221" t="n">
        <v>1328</v>
      </c>
      <c r="T90" s="221" t="n">
        <v>1450</v>
      </c>
      <c r="U90" s="184" t="s">
        <v>667</v>
      </c>
      <c r="V90" s="185" t="n">
        <f aca="false">EXP(1.204+(0.102*I90)+(0.007*N90)-(0.001*T90)+(0.008*M90)-2.723)</f>
        <v>3.24036160969421</v>
      </c>
      <c r="W90" s="185" t="n">
        <f aca="false">(V90/(1+V90))</f>
        <v>0.764171056139688</v>
      </c>
      <c r="X90" s="185" t="n">
        <f aca="false">EXP(2.859+(0.011*N90)-(0.002*T90)+(0.275*I90)-1.952)</f>
        <v>11.6489864716112</v>
      </c>
      <c r="Y90" s="185" t="n">
        <f aca="false">(X90/(1+X90))</f>
        <v>0.920942282431533</v>
      </c>
      <c r="Z90" s="238" t="n">
        <v>88</v>
      </c>
      <c r="AA90" s="186" t="n">
        <v>31</v>
      </c>
      <c r="AB90" s="187" t="n">
        <v>45057.1940046296</v>
      </c>
      <c r="AC90" s="187" t="n">
        <v>45057.1940046296</v>
      </c>
      <c r="AD90" s="180" t="n">
        <v>0</v>
      </c>
      <c r="AE90" s="190" t="n">
        <v>45057.1940046296</v>
      </c>
      <c r="AF90" s="190" t="n">
        <v>45057.1940046296</v>
      </c>
      <c r="AG90" s="180" t="n">
        <v>0</v>
      </c>
      <c r="AH90" s="180" t="n">
        <v>1</v>
      </c>
      <c r="AI90" s="187"/>
      <c r="AJ90" s="187"/>
      <c r="AK90" s="180"/>
      <c r="AL90" s="180"/>
      <c r="AM90" s="180" t="e">
        <f aca="false">(AE90-#REF!)*24</f>
        <v>#REF!</v>
      </c>
      <c r="AN90" s="180" t="e">
        <f aca="false">AM90+35</f>
        <v>#REF!</v>
      </c>
      <c r="AO90" s="186" t="n">
        <v>1</v>
      </c>
      <c r="AP90" s="186" t="s">
        <v>589</v>
      </c>
      <c r="AQ90" s="189" t="n">
        <v>45057.6652090278</v>
      </c>
      <c r="AR90" s="186" t="s">
        <v>606</v>
      </c>
      <c r="AS90" s="180" t="s">
        <v>593</v>
      </c>
      <c r="AT90" s="172" t="n">
        <v>31</v>
      </c>
      <c r="AU90" s="187" t="n">
        <v>45076.016087963</v>
      </c>
      <c r="AV90" s="192" t="n">
        <v>45084.6571875</v>
      </c>
      <c r="AW90" s="180" t="n">
        <v>207.386388888932</v>
      </c>
      <c r="AX90" s="187" t="n">
        <v>45076.016087963</v>
      </c>
      <c r="AY90" s="187" t="n">
        <v>45078.6543402778</v>
      </c>
      <c r="AZ90" s="180" t="n">
        <v>63.3180555555155</v>
      </c>
      <c r="BA90" s="180" t="n">
        <v>63.3180555555155</v>
      </c>
      <c r="BB90" s="172"/>
      <c r="BC90" s="172"/>
      <c r="BD90" s="172"/>
      <c r="BE90" s="172"/>
      <c r="BF90" s="193" t="n">
        <v>26</v>
      </c>
      <c r="BG90" s="194" t="n">
        <v>1</v>
      </c>
      <c r="BH90" s="194" t="n">
        <v>1</v>
      </c>
      <c r="BI90" s="194"/>
      <c r="BJ90" s="194" t="s">
        <v>600</v>
      </c>
      <c r="BK90" s="195" t="s">
        <v>586</v>
      </c>
      <c r="BL90" s="194" t="n">
        <v>1</v>
      </c>
      <c r="BM90" s="196" t="n">
        <v>45204</v>
      </c>
      <c r="BN90" s="196" t="n">
        <f aca="false">AQ90+145</f>
        <v>45202.6652090278</v>
      </c>
      <c r="BO90" s="197" t="n">
        <f aca="false">BM90-AQ90</f>
        <v>146.3347909722</v>
      </c>
      <c r="BP90" s="197" t="s">
        <v>35</v>
      </c>
      <c r="BQ90" s="195" t="s">
        <v>586</v>
      </c>
      <c r="BR90" s="298" t="n">
        <v>1.8054</v>
      </c>
      <c r="BS90" s="199" t="n">
        <v>2.9498</v>
      </c>
      <c r="BT90" s="199" t="n">
        <v>1.3296</v>
      </c>
      <c r="BU90" s="199" t="n">
        <v>1.4204</v>
      </c>
      <c r="BV90" s="199" t="n">
        <v>1.3916</v>
      </c>
      <c r="BW90" s="199" t="n">
        <v>1.5678</v>
      </c>
      <c r="BX90" s="199" t="n">
        <v>1.7314</v>
      </c>
      <c r="BY90" s="199" t="n">
        <v>2.2715</v>
      </c>
      <c r="BZ90" s="199" t="n">
        <v>3.3401</v>
      </c>
      <c r="CA90" s="199" t="n">
        <v>5.1962</v>
      </c>
      <c r="CB90" s="199" t="n">
        <v>5.8055</v>
      </c>
      <c r="CC90" s="251" t="s">
        <v>65</v>
      </c>
      <c r="CD90" s="252"/>
      <c r="CE90" s="251" t="s">
        <v>65</v>
      </c>
      <c r="CF90" s="252"/>
      <c r="CG90" s="251" t="s">
        <v>65</v>
      </c>
      <c r="CH90" s="252"/>
      <c r="CI90" s="200" t="s">
        <v>595</v>
      </c>
      <c r="CJ90" s="203"/>
      <c r="CK90" s="204" t="n">
        <v>5</v>
      </c>
      <c r="CL90" s="297" t="n">
        <v>0.066405</v>
      </c>
      <c r="CM90" s="297" t="n">
        <v>0.065895</v>
      </c>
      <c r="CN90" s="297" t="n">
        <v>0.071369</v>
      </c>
      <c r="CO90" s="297" t="n">
        <v>0.066065</v>
      </c>
      <c r="CP90" s="296" t="n">
        <v>0.22181</v>
      </c>
      <c r="CQ90" s="295" t="n">
        <v>0.39271</v>
      </c>
      <c r="CR90" s="296" t="n">
        <v>0.18182</v>
      </c>
      <c r="CS90" s="297" t="n">
        <v>0.098565</v>
      </c>
      <c r="CT90" s="297" t="n">
        <v>0.071541</v>
      </c>
      <c r="CU90" s="297" t="n">
        <v>0.063527</v>
      </c>
      <c r="CV90" s="297" t="n">
        <v>0.062685</v>
      </c>
      <c r="CW90" s="297" t="n">
        <v>0.060004</v>
      </c>
      <c r="CX90" s="208" t="n">
        <f aca="false">AVERAGE(CL90:CO90)</f>
        <v>0.0674335</v>
      </c>
      <c r="CY90" s="208" t="n">
        <f aca="false">_xlfn.STDEV.S(CL90:CO90)</f>
        <v>0.00263222003892785</v>
      </c>
      <c r="CZ90" s="208" t="n">
        <v>0.1</v>
      </c>
      <c r="DA90" s="186" t="n">
        <v>48</v>
      </c>
      <c r="DB90" s="209" t="e">
        <f aca="false">#REF!+(DA90/24)</f>
        <v>#REF!</v>
      </c>
      <c r="DC90" s="210" t="n">
        <v>2</v>
      </c>
      <c r="DD90" s="210" t="n">
        <v>3.5</v>
      </c>
      <c r="DE90" s="180" t="n">
        <f aca="false">DD90-DC90</f>
        <v>1.5</v>
      </c>
      <c r="DF90" s="180" t="n">
        <f aca="false">MAX(CM90:CX90)</f>
        <v>0.39271</v>
      </c>
      <c r="DG90" s="211" t="e">
        <f aca="false">(DB90-AE90)*24</f>
        <v>#REF!</v>
      </c>
      <c r="DH90" s="195" t="s">
        <v>587</v>
      </c>
      <c r="DI90" s="244" t="e">
        <f aca="false">(AQ90-DB90)*24</f>
        <v>#REF!</v>
      </c>
      <c r="DJ90" s="245" t="s">
        <v>600</v>
      </c>
      <c r="DK90" s="172" t="s">
        <v>152</v>
      </c>
      <c r="DL90" s="238" t="n">
        <v>88</v>
      </c>
      <c r="DM90" s="240" t="s">
        <v>454</v>
      </c>
    </row>
    <row r="91" customFormat="false" ht="15.75" hidden="false" customHeight="true" outlineLevel="0" collapsed="false">
      <c r="A91" s="172" t="s">
        <v>152</v>
      </c>
      <c r="B91" s="238" t="n">
        <v>89</v>
      </c>
      <c r="C91" s="239" t="s">
        <v>434</v>
      </c>
      <c r="D91" s="240" t="s">
        <v>435</v>
      </c>
      <c r="E91" s="215" t="s">
        <v>436</v>
      </c>
      <c r="F91" s="239" t="n">
        <v>88991</v>
      </c>
      <c r="G91" s="193"/>
      <c r="H91" s="218" t="n">
        <v>43385</v>
      </c>
      <c r="I91" s="180" t="n">
        <v>4.57534246575342</v>
      </c>
      <c r="J91" s="218" t="n">
        <v>44866</v>
      </c>
      <c r="K91" s="219" t="n">
        <v>66.9</v>
      </c>
      <c r="L91" s="219" t="n">
        <v>3</v>
      </c>
      <c r="M91" s="220" t="n">
        <v>189</v>
      </c>
      <c r="N91" s="221" t="n">
        <v>343</v>
      </c>
      <c r="O91" s="221"/>
      <c r="P91" s="221" t="n">
        <v>2570</v>
      </c>
      <c r="Q91" s="221" t="n">
        <v>2202</v>
      </c>
      <c r="R91" s="221" t="n">
        <v>1692</v>
      </c>
      <c r="S91" s="221" t="n">
        <v>1892</v>
      </c>
      <c r="T91" s="221" t="n">
        <v>1769</v>
      </c>
      <c r="U91" s="257"/>
      <c r="V91" s="185" t="n">
        <f aca="false">EXP(0.585+(0.102*I91)+(0.007*N91)-(0.001*T91)+(0.008*M91)-2.723)</f>
        <v>1.60429584026719</v>
      </c>
      <c r="W91" s="185" t="n">
        <f aca="false">(V91/(1+V91))</f>
        <v>0.616019046477683</v>
      </c>
      <c r="X91" s="185" t="n">
        <f aca="false">EXP(1.741+(0.011*N91)-(0.002*T91)+(0.275*I91)-1.952)</f>
        <v>3.60463017245084</v>
      </c>
      <c r="Y91" s="185" t="n">
        <f aca="false">(X91/(1+X91))</f>
        <v>0.782827292844727</v>
      </c>
      <c r="Z91" s="238" t="n">
        <v>89</v>
      </c>
      <c r="AA91" s="186" t="n">
        <v>30</v>
      </c>
      <c r="AB91" s="187" t="n">
        <v>45057.0868287037</v>
      </c>
      <c r="AC91" s="187" t="n">
        <v>45057.8525462963</v>
      </c>
      <c r="AD91" s="180" t="n">
        <v>18.3772222222178</v>
      </c>
      <c r="AE91" s="187" t="n">
        <v>45057.0868287037</v>
      </c>
      <c r="AF91" s="187" t="n">
        <v>45057.8525462963</v>
      </c>
      <c r="AG91" s="180" t="n">
        <v>18.3772222222178</v>
      </c>
      <c r="AH91" s="180" t="n">
        <v>18.3772222222178</v>
      </c>
      <c r="AI91" s="187"/>
      <c r="AJ91" s="187"/>
      <c r="AK91" s="180"/>
      <c r="AL91" s="180"/>
      <c r="AM91" s="180" t="e">
        <f aca="false">(AE91-#REF!)*24</f>
        <v>#REF!</v>
      </c>
      <c r="AN91" s="180" t="e">
        <f aca="false">AM91+35</f>
        <v>#REF!</v>
      </c>
      <c r="AO91" s="186" t="n">
        <v>31</v>
      </c>
      <c r="AP91" s="186" t="s">
        <v>589</v>
      </c>
      <c r="AQ91" s="189" t="n">
        <v>45057.663759838</v>
      </c>
      <c r="AR91" s="186" t="s">
        <v>599</v>
      </c>
      <c r="AS91" s="180" t="s">
        <v>593</v>
      </c>
      <c r="AT91" s="172" t="n">
        <v>30</v>
      </c>
      <c r="AU91" s="172"/>
      <c r="AV91" s="172"/>
      <c r="AW91" s="172"/>
      <c r="AX91" s="187" t="n">
        <v>45072.4728125</v>
      </c>
      <c r="AY91" s="187" t="n">
        <v>45072.5069907407</v>
      </c>
      <c r="AZ91" s="180" t="n">
        <v>0.820277777791489</v>
      </c>
      <c r="BA91" s="180" t="n">
        <v>1</v>
      </c>
      <c r="BB91" s="172"/>
      <c r="BC91" s="172"/>
      <c r="BD91" s="172"/>
      <c r="BE91" s="172"/>
      <c r="BF91" s="193" t="n">
        <v>2</v>
      </c>
      <c r="BG91" s="194" t="n">
        <v>1</v>
      </c>
      <c r="BH91" s="194" t="n">
        <v>1</v>
      </c>
      <c r="BI91" s="194"/>
      <c r="BJ91" s="194" t="s">
        <v>600</v>
      </c>
      <c r="BK91" s="195" t="s">
        <v>586</v>
      </c>
      <c r="BL91" s="194"/>
      <c r="BM91" s="196" t="s">
        <v>668</v>
      </c>
      <c r="BN91" s="196" t="n">
        <f aca="false">AX91+145</f>
        <v>45217.4728125</v>
      </c>
      <c r="BO91" s="197"/>
      <c r="BP91" s="197" t="s">
        <v>585</v>
      </c>
      <c r="BQ91" s="195" t="s">
        <v>587</v>
      </c>
      <c r="BR91" s="258" t="n">
        <v>0.2</v>
      </c>
      <c r="BS91" s="298" t="n">
        <v>1.8136</v>
      </c>
      <c r="BT91" s="199" t="n">
        <v>0.2</v>
      </c>
      <c r="BU91" s="199" t="n">
        <v>0.40034</v>
      </c>
      <c r="BV91" s="199" t="n">
        <v>0.2601</v>
      </c>
      <c r="BW91" s="199" t="n">
        <v>0.40034</v>
      </c>
      <c r="BX91" s="199" t="n">
        <v>0.40973</v>
      </c>
      <c r="BY91" s="199" t="n">
        <v>1.1258</v>
      </c>
      <c r="BZ91" s="199" t="n">
        <v>1.1777</v>
      </c>
      <c r="CA91" s="199" t="n">
        <v>2.0011</v>
      </c>
      <c r="CB91" s="199" t="n">
        <v>2.7253</v>
      </c>
      <c r="CC91" s="200" t="s">
        <v>588</v>
      </c>
      <c r="CD91" s="202" t="s">
        <v>589</v>
      </c>
      <c r="CE91" s="251" t="s">
        <v>65</v>
      </c>
      <c r="CF91" s="201"/>
      <c r="CG91" s="251" t="s">
        <v>65</v>
      </c>
      <c r="CH91" s="201"/>
      <c r="CI91" s="200" t="s">
        <v>595</v>
      </c>
      <c r="CJ91" s="203"/>
      <c r="CK91" s="204" t="n">
        <v>5</v>
      </c>
      <c r="CL91" s="305" t="n">
        <v>0.05</v>
      </c>
      <c r="CM91" s="305" t="n">
        <v>0.05</v>
      </c>
      <c r="CN91" s="297" t="n">
        <v>0.066745</v>
      </c>
      <c r="CO91" s="297" t="n">
        <v>0.063864</v>
      </c>
      <c r="CP91" s="295" t="n">
        <v>0.3076</v>
      </c>
      <c r="CQ91" s="296" t="n">
        <v>0.11859</v>
      </c>
      <c r="CR91" s="297" t="n">
        <v>0.076402</v>
      </c>
      <c r="CS91" s="305" t="n">
        <v>0.05</v>
      </c>
      <c r="CT91" s="305" t="n">
        <v>0.05</v>
      </c>
      <c r="CU91" s="305" t="n">
        <v>0.05</v>
      </c>
      <c r="CV91" s="305" t="n">
        <v>0.05</v>
      </c>
      <c r="CW91" s="297" t="n">
        <v>0.14056</v>
      </c>
      <c r="CX91" s="208" t="n">
        <f aca="false">AVERAGE(CL91:CO91)</f>
        <v>0.05765225</v>
      </c>
      <c r="CY91" s="208" t="n">
        <f aca="false">_xlfn.STDEV.S(CL91:CO91)</f>
        <v>0.00891399275951392</v>
      </c>
      <c r="CZ91" s="208" t="n">
        <v>0.1</v>
      </c>
      <c r="DA91" s="172" t="n">
        <v>48</v>
      </c>
      <c r="DB91" s="209" t="e">
        <f aca="false">#REF!+(DA91/24)</f>
        <v>#REF!</v>
      </c>
      <c r="DC91" s="210" t="n">
        <v>2</v>
      </c>
      <c r="DD91" s="210" t="n">
        <v>3</v>
      </c>
      <c r="DE91" s="180" t="n">
        <f aca="false">DD91-DC91</f>
        <v>1</v>
      </c>
      <c r="DF91" s="180" t="n">
        <f aca="false">MAX(CM91:CX91)</f>
        <v>0.3076</v>
      </c>
      <c r="DG91" s="211" t="e">
        <f aca="false">(DB91-AE91)*24</f>
        <v>#REF!</v>
      </c>
      <c r="DH91" s="195" t="s">
        <v>587</v>
      </c>
      <c r="DI91" s="244" t="e">
        <f aca="false">(AQ91-DB91)*24</f>
        <v>#REF!</v>
      </c>
      <c r="DJ91" s="245" t="s">
        <v>600</v>
      </c>
      <c r="DK91" s="172" t="s">
        <v>152</v>
      </c>
      <c r="DL91" s="238" t="n">
        <v>89</v>
      </c>
      <c r="DM91" s="240" t="s">
        <v>435</v>
      </c>
    </row>
    <row r="92" customFormat="false" ht="15.75" hidden="false" customHeight="true" outlineLevel="0" collapsed="false">
      <c r="A92" s="172" t="s">
        <v>152</v>
      </c>
      <c r="B92" s="238" t="n">
        <v>90</v>
      </c>
      <c r="C92" s="239" t="s">
        <v>456</v>
      </c>
      <c r="D92" s="240" t="s">
        <v>457</v>
      </c>
      <c r="E92" s="215" t="s">
        <v>458</v>
      </c>
      <c r="F92" s="239" t="n">
        <v>89389</v>
      </c>
      <c r="G92" s="193"/>
      <c r="H92" s="218" t="n">
        <v>43385</v>
      </c>
      <c r="I92" s="180" t="n">
        <v>4.57534246575342</v>
      </c>
      <c r="J92" s="218" t="n">
        <v>44846</v>
      </c>
      <c r="K92" s="219" t="n">
        <v>76.3</v>
      </c>
      <c r="L92" s="219" t="n">
        <v>4</v>
      </c>
      <c r="M92" s="220" t="n">
        <v>209</v>
      </c>
      <c r="N92" s="221" t="n">
        <v>290</v>
      </c>
      <c r="O92" s="221" t="n">
        <v>2295</v>
      </c>
      <c r="P92" s="221" t="n">
        <v>2278</v>
      </c>
      <c r="Q92" s="221" t="n">
        <v>2145</v>
      </c>
      <c r="R92" s="221" t="n">
        <v>1495</v>
      </c>
      <c r="S92" s="221" t="n">
        <v>1062</v>
      </c>
      <c r="T92" s="221" t="n">
        <v>609</v>
      </c>
      <c r="U92" s="257"/>
      <c r="V92" s="185" t="n">
        <f aca="false">EXP(1.204+(0.102*I92)+(0.007*N92)-(0.001*T92)+(0.008*M92)-2.723)</f>
        <v>7.69587854379035</v>
      </c>
      <c r="W92" s="185" t="n">
        <f aca="false">(V92/(1+V92))</f>
        <v>0.885002993663695</v>
      </c>
      <c r="X92" s="185" t="n">
        <f aca="false">EXP(2.859+(0.011*N92)-(0.002*T92)+(0.275*I92)-1.952)</f>
        <v>62.6284205880704</v>
      </c>
      <c r="Y92" s="185" t="n">
        <f aca="false">(X92/(1+X92))</f>
        <v>0.984283752594238</v>
      </c>
      <c r="Z92" s="238" t="n">
        <v>90</v>
      </c>
      <c r="AA92" s="186" t="n">
        <v>23</v>
      </c>
      <c r="AB92" s="187" t="n">
        <v>45056.7631134259</v>
      </c>
      <c r="AC92" s="187" t="n">
        <v>45064.6788425926</v>
      </c>
      <c r="AD92" s="180" t="n">
        <v>189.977499999921</v>
      </c>
      <c r="AE92" s="187" t="n">
        <v>45056.7631134259</v>
      </c>
      <c r="AF92" s="187" t="n">
        <v>45057.0614467593</v>
      </c>
      <c r="AG92" s="180" t="n">
        <v>7.15999999997439</v>
      </c>
      <c r="AH92" s="180" t="n">
        <v>7.15999999997439</v>
      </c>
      <c r="AI92" s="187"/>
      <c r="AJ92" s="187"/>
      <c r="AK92" s="180"/>
      <c r="AL92" s="180"/>
      <c r="AM92" s="180" t="e">
        <f aca="false">(AE92-#REF!)*24</f>
        <v>#REF!</v>
      </c>
      <c r="AN92" s="180" t="e">
        <f aca="false">AM92+35</f>
        <v>#REF!</v>
      </c>
      <c r="AO92" s="186" t="n">
        <v>16</v>
      </c>
      <c r="AP92" s="186" t="s">
        <v>589</v>
      </c>
      <c r="AQ92" s="189" t="n">
        <v>45057.6633099537</v>
      </c>
      <c r="AR92" s="188" t="s">
        <v>592</v>
      </c>
      <c r="AS92" s="180" t="s">
        <v>584</v>
      </c>
      <c r="AT92" s="172" t="n">
        <v>23</v>
      </c>
      <c r="AU92" s="187" t="n">
        <v>45072.6116203704</v>
      </c>
      <c r="AV92" s="187" t="n">
        <v>45084.3355787037</v>
      </c>
      <c r="AW92" s="180" t="n">
        <v>281.375000000058</v>
      </c>
      <c r="AX92" s="187" t="n">
        <v>45072.6116203704</v>
      </c>
      <c r="AY92" s="187" t="n">
        <v>45073.5016435185</v>
      </c>
      <c r="AZ92" s="180" t="n">
        <v>21.3605555554968</v>
      </c>
      <c r="BA92" s="180" t="n">
        <v>21.3605555554968</v>
      </c>
      <c r="BB92" s="172"/>
      <c r="BC92" s="172"/>
      <c r="BD92" s="172"/>
      <c r="BE92" s="172"/>
      <c r="BF92" s="193" t="n">
        <v>47</v>
      </c>
      <c r="BG92" s="194" t="n">
        <v>0</v>
      </c>
      <c r="BH92" s="194"/>
      <c r="BI92" s="194" t="s">
        <v>622</v>
      </c>
      <c r="BJ92" s="194" t="s">
        <v>543</v>
      </c>
      <c r="BK92" s="195" t="s">
        <v>587</v>
      </c>
      <c r="BL92" s="194" t="n">
        <v>1</v>
      </c>
      <c r="BM92" s="196" t="n">
        <v>45238</v>
      </c>
      <c r="BN92" s="196" t="n">
        <f aca="false">AX92+145</f>
        <v>45217.6116203704</v>
      </c>
      <c r="BO92" s="197" t="n">
        <f aca="false">BM92-AQ92</f>
        <v>180.336690046301</v>
      </c>
      <c r="BP92" s="197" t="s">
        <v>594</v>
      </c>
      <c r="BQ92" s="195" t="s">
        <v>587</v>
      </c>
      <c r="BR92" s="199" t="n">
        <v>0.53625</v>
      </c>
      <c r="BS92" s="199" t="n">
        <v>0.88413</v>
      </c>
      <c r="BT92" s="199" t="n">
        <v>1.036</v>
      </c>
      <c r="BU92" s="199" t="n">
        <v>0.55812</v>
      </c>
      <c r="BV92" s="199" t="n">
        <v>0.71205</v>
      </c>
      <c r="BW92" s="199" t="n">
        <v>0.74994</v>
      </c>
      <c r="BX92" s="199" t="n">
        <v>1.2922</v>
      </c>
      <c r="BY92" s="199" t="n">
        <v>1.9681</v>
      </c>
      <c r="BZ92" s="199" t="n">
        <v>2.7471</v>
      </c>
      <c r="CA92" s="199" t="n">
        <v>3.9282</v>
      </c>
      <c r="CB92" s="199" t="n">
        <v>4.6716</v>
      </c>
      <c r="CC92" s="200" t="s">
        <v>588</v>
      </c>
      <c r="CD92" s="202" t="s">
        <v>589</v>
      </c>
      <c r="CE92" s="200" t="s">
        <v>588</v>
      </c>
      <c r="CF92" s="202" t="s">
        <v>589</v>
      </c>
      <c r="CG92" s="200" t="s">
        <v>588</v>
      </c>
      <c r="CH92" s="202" t="s">
        <v>589</v>
      </c>
      <c r="CI92" s="203"/>
      <c r="CJ92" s="200" t="s">
        <v>595</v>
      </c>
      <c r="CK92" s="204" t="n">
        <v>4</v>
      </c>
      <c r="CL92" s="297" t="n">
        <v>0.069992</v>
      </c>
      <c r="CM92" s="297" t="n">
        <v>0.071886</v>
      </c>
      <c r="CN92" s="302" t="n">
        <v>0.084658</v>
      </c>
      <c r="CO92" s="297" t="n">
        <v>0.080269</v>
      </c>
      <c r="CP92" s="295" t="n">
        <v>0.36762</v>
      </c>
      <c r="CQ92" s="297" t="n">
        <v>0.28004</v>
      </c>
      <c r="CR92" s="296" t="n">
        <v>0.15665</v>
      </c>
      <c r="CS92" s="297" t="n">
        <v>0.10099</v>
      </c>
      <c r="CT92" s="297" t="n">
        <v>0.080269</v>
      </c>
      <c r="CU92" s="297" t="n">
        <v>0.068792</v>
      </c>
      <c r="CV92" s="297" t="n">
        <v>0.066915</v>
      </c>
      <c r="CW92" s="297" t="n">
        <v>0.07327</v>
      </c>
      <c r="CX92" s="208" t="n">
        <f aca="false">AVERAGE(CL92:CO92)</f>
        <v>0.07670125</v>
      </c>
      <c r="CY92" s="208" t="n">
        <f aca="false">_xlfn.STDEV.S(CL92:CO92)</f>
        <v>0.00693395939681411</v>
      </c>
      <c r="CZ92" s="208" t="n">
        <v>0.1</v>
      </c>
      <c r="DA92" s="186" t="n">
        <v>48</v>
      </c>
      <c r="DB92" s="209" t="e">
        <f aca="false">#REF!+(DA92/24)</f>
        <v>#REF!</v>
      </c>
      <c r="DC92" s="210" t="n">
        <v>2</v>
      </c>
      <c r="DD92" s="210" t="n">
        <v>3.5</v>
      </c>
      <c r="DE92" s="180" t="n">
        <f aca="false">DD92-DC92</f>
        <v>1.5</v>
      </c>
      <c r="DF92" s="180" t="n">
        <f aca="false">MAX(CM92:CX92)</f>
        <v>0.36762</v>
      </c>
      <c r="DG92" s="211" t="e">
        <f aca="false">(DB92-AE92)*24</f>
        <v>#REF!</v>
      </c>
      <c r="DH92" s="195" t="s">
        <v>587</v>
      </c>
      <c r="DI92" s="211" t="e">
        <f aca="false">(AQ92-DB92)*24</f>
        <v>#REF!</v>
      </c>
      <c r="DJ92" s="194" t="s">
        <v>543</v>
      </c>
      <c r="DK92" s="172" t="s">
        <v>152</v>
      </c>
      <c r="DL92" s="238" t="n">
        <v>90</v>
      </c>
      <c r="DM92" s="240" t="s">
        <v>457</v>
      </c>
    </row>
    <row r="93" customFormat="false" ht="15.75" hidden="false" customHeight="true" outlineLevel="0" collapsed="false">
      <c r="A93" s="172" t="s">
        <v>152</v>
      </c>
      <c r="B93" s="238" t="n">
        <v>91</v>
      </c>
      <c r="C93" s="239" t="s">
        <v>439</v>
      </c>
      <c r="D93" s="240" t="s">
        <v>440</v>
      </c>
      <c r="E93" s="215" t="s">
        <v>441</v>
      </c>
      <c r="F93" s="239" t="n">
        <v>89101</v>
      </c>
      <c r="G93" s="193"/>
      <c r="H93" s="218" t="n">
        <v>43386</v>
      </c>
      <c r="I93" s="180" t="n">
        <v>4.57260273972603</v>
      </c>
      <c r="J93" s="218" t="n">
        <v>44851</v>
      </c>
      <c r="K93" s="219" t="n">
        <v>79.5</v>
      </c>
      <c r="L93" s="219" t="n">
        <v>3.5</v>
      </c>
      <c r="M93" s="220" t="n">
        <v>204</v>
      </c>
      <c r="N93" s="221" t="n">
        <v>308</v>
      </c>
      <c r="O93" s="221" t="n">
        <v>3305</v>
      </c>
      <c r="P93" s="221" t="n">
        <v>2511</v>
      </c>
      <c r="Q93" s="221" t="n">
        <v>2202</v>
      </c>
      <c r="R93" s="221" t="n">
        <v>1720</v>
      </c>
      <c r="S93" s="221" t="n">
        <v>1096</v>
      </c>
      <c r="T93" s="221" t="n">
        <v>1160</v>
      </c>
      <c r="U93" s="257"/>
      <c r="V93" s="185" t="n">
        <f aca="false">EXP(1.204+(0.102*I93)+(0.007*N93)-(0.001*T93)+(0.008*M93)-2.723)</f>
        <v>4.83270078174807</v>
      </c>
      <c r="W93" s="185" t="n">
        <f aca="false">(V93/(1+V93))</f>
        <v>0.82855283728436</v>
      </c>
      <c r="X93" s="185" t="n">
        <f aca="false">EXP(2.859+(0.011*N93)-(0.002*T93)+(0.275*I93)-1.952)</f>
        <v>25.3420672843143</v>
      </c>
      <c r="Y93" s="185" t="n">
        <f aca="false">(X93/(1+X93))</f>
        <v>0.962037907305952</v>
      </c>
      <c r="Z93" s="238" t="n">
        <v>91</v>
      </c>
      <c r="AA93" s="186"/>
      <c r="AB93" s="187"/>
      <c r="AC93" s="187"/>
      <c r="AD93" s="180"/>
      <c r="AE93" s="187"/>
      <c r="AF93" s="187"/>
      <c r="AG93" s="180"/>
      <c r="AH93" s="180"/>
      <c r="AI93" s="187"/>
      <c r="AJ93" s="187"/>
      <c r="AK93" s="180"/>
      <c r="AL93" s="180"/>
      <c r="AM93" s="180"/>
      <c r="AN93" s="180"/>
      <c r="AO93" s="186"/>
      <c r="AP93" s="188" t="s">
        <v>582</v>
      </c>
      <c r="AQ93" s="189" t="n">
        <v>45057.6586887732</v>
      </c>
      <c r="AR93" s="186" t="s">
        <v>625</v>
      </c>
      <c r="AS93" s="180" t="s">
        <v>593</v>
      </c>
      <c r="AT93" s="172" t="n">
        <v>84</v>
      </c>
      <c r="AU93" s="172"/>
      <c r="AV93" s="172"/>
      <c r="AW93" s="172"/>
      <c r="AX93" s="187" t="n">
        <v>45074.0339351852</v>
      </c>
      <c r="AY93" s="187" t="n">
        <v>45074.3272685185</v>
      </c>
      <c r="AZ93" s="180" t="n">
        <v>7.04000000003725</v>
      </c>
      <c r="BA93" s="180" t="n">
        <v>7.04000000003725</v>
      </c>
      <c r="BB93" s="172"/>
      <c r="BC93" s="172"/>
      <c r="BD93" s="172"/>
      <c r="BE93" s="172"/>
      <c r="BF93" s="193" t="n">
        <v>6</v>
      </c>
      <c r="BG93" s="194" t="n">
        <v>0</v>
      </c>
      <c r="BH93" s="194"/>
      <c r="BI93" s="194"/>
      <c r="BJ93" s="194" t="s">
        <v>585</v>
      </c>
      <c r="BK93" s="195" t="s">
        <v>586</v>
      </c>
      <c r="BL93" s="194"/>
      <c r="BM93" s="196" t="s">
        <v>611</v>
      </c>
      <c r="BN93" s="196" t="n">
        <f aca="false">AX93+145</f>
        <v>45219.0339351852</v>
      </c>
      <c r="BO93" s="197"/>
      <c r="BP93" s="197" t="s">
        <v>585</v>
      </c>
      <c r="BQ93" s="195" t="s">
        <v>586</v>
      </c>
      <c r="BR93" s="199" t="n">
        <v>4.6698</v>
      </c>
      <c r="BS93" s="254" t="n">
        <v>5.0816</v>
      </c>
      <c r="BT93" s="254" t="n">
        <v>1.2721</v>
      </c>
      <c r="BU93" s="254" t="n">
        <v>1.3644</v>
      </c>
      <c r="BV93" s="254" t="n">
        <v>1.4887</v>
      </c>
      <c r="BW93" s="254" t="n">
        <v>1.7705</v>
      </c>
      <c r="BX93" s="254" t="n">
        <v>2.3344</v>
      </c>
      <c r="BY93" s="254" t="n">
        <v>3.625</v>
      </c>
      <c r="BZ93" s="254" t="n">
        <v>4.8063</v>
      </c>
      <c r="CA93" s="254" t="n">
        <v>6.0063</v>
      </c>
      <c r="CB93" s="254" t="n">
        <v>7.5936</v>
      </c>
      <c r="CC93" s="251" t="s">
        <v>65</v>
      </c>
      <c r="CD93" s="252"/>
      <c r="CE93" s="251" t="s">
        <v>65</v>
      </c>
      <c r="CF93" s="252"/>
      <c r="CG93" s="251" t="s">
        <v>65</v>
      </c>
      <c r="CH93" s="252"/>
      <c r="CI93" s="200" t="s">
        <v>595</v>
      </c>
      <c r="CJ93" s="203"/>
      <c r="CK93" s="204" t="n">
        <v>4</v>
      </c>
      <c r="CL93" s="305" t="n">
        <v>0.05</v>
      </c>
      <c r="CM93" s="305" t="n">
        <v>0.05</v>
      </c>
      <c r="CN93" s="297" t="n">
        <v>0.08133</v>
      </c>
      <c r="CO93" s="297" t="n">
        <v>0.073443</v>
      </c>
      <c r="CP93" s="297" t="n">
        <v>0.070852</v>
      </c>
      <c r="CQ93" s="297" t="n">
        <v>0.093401</v>
      </c>
      <c r="CR93" s="297" t="n">
        <v>0.077979</v>
      </c>
      <c r="CS93" s="297" t="n">
        <v>0.068792</v>
      </c>
      <c r="CT93" s="297" t="n">
        <v>0.065217</v>
      </c>
      <c r="CU93" s="305" t="n">
        <v>0.05</v>
      </c>
      <c r="CV93" s="305" t="n">
        <v>0.05</v>
      </c>
      <c r="CW93" s="295" t="n">
        <v>0.1743</v>
      </c>
      <c r="CX93" s="208" t="n">
        <f aca="false">AVERAGE(CL93:CO93)</f>
        <v>0.06369325</v>
      </c>
      <c r="CY93" s="208" t="n">
        <f aca="false">_xlfn.STDEV.S(CL93:CO93)</f>
        <v>0.0161361164963362</v>
      </c>
      <c r="CZ93" s="208" t="n">
        <f aca="false">CX93+(2*CY93)</f>
        <v>0.0959654829926724</v>
      </c>
      <c r="DA93" s="186" t="n">
        <v>132</v>
      </c>
      <c r="DB93" s="209" t="e">
        <f aca="false">#REF!+(DA93/24)</f>
        <v>#REF!</v>
      </c>
      <c r="DC93" s="210" t="n">
        <v>5.5</v>
      </c>
      <c r="DD93" s="210" t="n">
        <v>6</v>
      </c>
      <c r="DE93" s="180" t="n">
        <f aca="false">DD93-DC93</f>
        <v>0.5</v>
      </c>
      <c r="DF93" s="180" t="n">
        <f aca="false">MAX(CM93:CX93)</f>
        <v>0.1743</v>
      </c>
      <c r="DG93" s="211"/>
      <c r="DH93" s="195" t="s">
        <v>603</v>
      </c>
      <c r="DI93" s="212" t="e">
        <f aca="false">(AQ93-DB93)*24</f>
        <v>#REF!</v>
      </c>
      <c r="DJ93" s="213" t="s">
        <v>585</v>
      </c>
      <c r="DK93" s="172" t="s">
        <v>152</v>
      </c>
      <c r="DL93" s="238" t="n">
        <v>91</v>
      </c>
      <c r="DM93" s="240" t="s">
        <v>440</v>
      </c>
    </row>
    <row r="94" customFormat="false" ht="15.75" hidden="false" customHeight="true" outlineLevel="0" collapsed="false">
      <c r="A94" s="172" t="s">
        <v>152</v>
      </c>
      <c r="B94" s="238" t="n">
        <v>92</v>
      </c>
      <c r="C94" s="239" t="s">
        <v>224</v>
      </c>
      <c r="D94" s="240" t="s">
        <v>225</v>
      </c>
      <c r="E94" s="215" t="s">
        <v>226</v>
      </c>
      <c r="F94" s="239" t="n">
        <v>88290</v>
      </c>
      <c r="G94" s="193"/>
      <c r="H94" s="218" t="n">
        <v>43386</v>
      </c>
      <c r="I94" s="180" t="n">
        <v>4.57260273972603</v>
      </c>
      <c r="J94" s="218" t="n">
        <v>44846</v>
      </c>
      <c r="K94" s="219" t="n">
        <v>62.8</v>
      </c>
      <c r="L94" s="219" t="n">
        <v>3.25</v>
      </c>
      <c r="M94" s="220" t="n">
        <v>209</v>
      </c>
      <c r="N94" s="221" t="n">
        <v>278</v>
      </c>
      <c r="O94" s="221" t="n">
        <v>2570</v>
      </c>
      <c r="P94" s="221" t="n">
        <v>1840</v>
      </c>
      <c r="Q94" s="221" t="n">
        <v>1830</v>
      </c>
      <c r="R94" s="221" t="n">
        <v>1579</v>
      </c>
      <c r="S94" s="221" t="n">
        <v>1328</v>
      </c>
      <c r="T94" s="221" t="n">
        <v>1595</v>
      </c>
      <c r="U94" s="184" t="s">
        <v>669</v>
      </c>
      <c r="V94" s="185" t="n">
        <f aca="false">EXP(1.204+(0.102*I94)+(0.007*N94)-(0.001*T94)+(0.008*M94)-2.723)</f>
        <v>2.63901430851435</v>
      </c>
      <c r="W94" s="185" t="n">
        <f aca="false">(V94/(1+V94))</f>
        <v>0.725200311067682</v>
      </c>
      <c r="X94" s="185" t="n">
        <f aca="false">EXP(2.859+(0.011*N94)-(0.002*T94)+(0.275*I94)-1.952)</f>
        <v>7.63288398392503</v>
      </c>
      <c r="Y94" s="185" t="n">
        <f aca="false">(X94/(1+X94))</f>
        <v>0.884163855107741</v>
      </c>
      <c r="Z94" s="238" t="n">
        <v>92</v>
      </c>
      <c r="AA94" s="186" t="n">
        <v>34</v>
      </c>
      <c r="AB94" s="187" t="n">
        <v>45057.6082175926</v>
      </c>
      <c r="AC94" s="187" t="n">
        <v>45057.8832291667</v>
      </c>
      <c r="AD94" s="180" t="n">
        <v>6.60027777787764</v>
      </c>
      <c r="AE94" s="187" t="n">
        <v>45057.6082175926</v>
      </c>
      <c r="AF94" s="187" t="n">
        <v>45057.8832291667</v>
      </c>
      <c r="AG94" s="180" t="n">
        <v>6.60027777787764</v>
      </c>
      <c r="AH94" s="180" t="n">
        <v>6.60027777787764</v>
      </c>
      <c r="AI94" s="187"/>
      <c r="AJ94" s="187"/>
      <c r="AK94" s="180"/>
      <c r="AL94" s="180"/>
      <c r="AM94" s="180" t="e">
        <f aca="false">(AE94-#REF!)*24</f>
        <v>#REF!</v>
      </c>
      <c r="AN94" s="180" t="e">
        <f aca="false">AM94+35</f>
        <v>#REF!</v>
      </c>
      <c r="AO94" s="186" t="n">
        <v>36</v>
      </c>
      <c r="AP94" s="186" t="s">
        <v>589</v>
      </c>
      <c r="AQ94" s="189" t="n">
        <v>45057.6585546296</v>
      </c>
      <c r="AR94" s="186" t="s">
        <v>599</v>
      </c>
      <c r="AS94" s="180" t="s">
        <v>584</v>
      </c>
      <c r="AT94" s="172"/>
      <c r="AU94" s="172"/>
      <c r="AV94" s="172"/>
      <c r="AW94" s="172"/>
      <c r="AX94" s="187"/>
      <c r="AY94" s="187"/>
      <c r="AZ94" s="180"/>
      <c r="BA94" s="180"/>
      <c r="BB94" s="172"/>
      <c r="BC94" s="172"/>
      <c r="BD94" s="172"/>
      <c r="BE94" s="172"/>
      <c r="BF94" s="193"/>
      <c r="BG94" s="194" t="n">
        <v>1</v>
      </c>
      <c r="BH94" s="194" t="n">
        <v>1</v>
      </c>
      <c r="BI94" s="194"/>
      <c r="BJ94" s="194" t="s">
        <v>600</v>
      </c>
      <c r="BK94" s="195" t="s">
        <v>587</v>
      </c>
      <c r="BL94" s="194" t="n">
        <v>1</v>
      </c>
      <c r="BM94" s="196" t="n">
        <v>45205</v>
      </c>
      <c r="BN94" s="196" t="n">
        <f aca="false">AQ94+145</f>
        <v>45202.6585546296</v>
      </c>
      <c r="BO94" s="197" t="n">
        <f aca="false">BM94-AQ94</f>
        <v>147.341445370403</v>
      </c>
      <c r="BP94" s="197" t="s">
        <v>35</v>
      </c>
      <c r="BQ94" s="195" t="s">
        <v>587</v>
      </c>
      <c r="BR94" s="254" t="n">
        <v>2.1356</v>
      </c>
      <c r="BS94" s="254" t="n">
        <v>3.0835</v>
      </c>
      <c r="BT94" s="254" t="n">
        <v>1.0966</v>
      </c>
      <c r="BU94" s="254" t="n">
        <v>1.6901</v>
      </c>
      <c r="BV94" s="254" t="n">
        <v>0.58261</v>
      </c>
      <c r="BW94" s="254" t="n">
        <v>0.56367</v>
      </c>
      <c r="BX94" s="254" t="n">
        <v>1.4187</v>
      </c>
      <c r="BY94" s="254" t="n">
        <v>1.6427</v>
      </c>
      <c r="BZ94" s="254" t="n">
        <v>1.5547</v>
      </c>
      <c r="CA94" s="254" t="n">
        <v>3.1912</v>
      </c>
      <c r="CB94" s="254" t="n">
        <v>2.8407</v>
      </c>
      <c r="CC94" s="251" t="s">
        <v>65</v>
      </c>
      <c r="CD94" s="201"/>
      <c r="CE94" s="251" t="s">
        <v>65</v>
      </c>
      <c r="CF94" s="201"/>
      <c r="CG94" s="251" t="s">
        <v>65</v>
      </c>
      <c r="CH94" s="201"/>
      <c r="CI94" s="200" t="s">
        <v>590</v>
      </c>
      <c r="CJ94" s="203"/>
      <c r="CK94" s="204" t="n">
        <v>7</v>
      </c>
      <c r="CL94" s="305" t="n">
        <v>0.05</v>
      </c>
      <c r="CM94" s="305" t="n">
        <v>0.05</v>
      </c>
      <c r="CN94" s="297" t="n">
        <v>0.071541</v>
      </c>
      <c r="CO94" s="305" t="n">
        <v>0.05</v>
      </c>
      <c r="CP94" s="297" t="n">
        <v>0.078682</v>
      </c>
      <c r="CQ94" s="295" t="n">
        <v>0.41228</v>
      </c>
      <c r="CR94" s="297" t="n">
        <v>0.25703</v>
      </c>
      <c r="CS94" s="296" t="n">
        <v>0.11161</v>
      </c>
      <c r="CT94" s="297" t="n">
        <v>0.061342</v>
      </c>
      <c r="CU94" s="305" t="n">
        <v>0.05</v>
      </c>
      <c r="CV94" s="305" t="n">
        <v>0.05</v>
      </c>
      <c r="CW94" s="297" t="n">
        <v>0.060338</v>
      </c>
      <c r="CX94" s="208" t="n">
        <f aca="false">AVERAGE(CL94:CO94)</f>
        <v>0.05538525</v>
      </c>
      <c r="CY94" s="208" t="n">
        <f aca="false">_xlfn.STDEV.S(CL94:CO94)</f>
        <v>0.0107705</v>
      </c>
      <c r="CZ94" s="208" t="n">
        <v>0.1</v>
      </c>
      <c r="DA94" s="172" t="n">
        <v>60</v>
      </c>
      <c r="DB94" s="209" t="e">
        <f aca="false">#REF!+(DA94/24)</f>
        <v>#REF!</v>
      </c>
      <c r="DC94" s="210" t="n">
        <v>2.5</v>
      </c>
      <c r="DD94" s="210" t="n">
        <v>4</v>
      </c>
      <c r="DE94" s="180" t="n">
        <f aca="false">DD94-DC94</f>
        <v>1.5</v>
      </c>
      <c r="DF94" s="180" t="n">
        <f aca="false">MAX(CM94:CX94)</f>
        <v>0.41228</v>
      </c>
      <c r="DG94" s="211" t="e">
        <f aca="false">(DB94-AE94)*24</f>
        <v>#REF!</v>
      </c>
      <c r="DH94" s="195" t="s">
        <v>587</v>
      </c>
      <c r="DI94" s="244" t="e">
        <f aca="false">(AQ94-DB94)*24</f>
        <v>#REF!</v>
      </c>
      <c r="DJ94" s="245" t="s">
        <v>600</v>
      </c>
      <c r="DK94" s="172" t="s">
        <v>152</v>
      </c>
      <c r="DL94" s="238" t="n">
        <v>92</v>
      </c>
      <c r="DM94" s="240" t="s">
        <v>225</v>
      </c>
    </row>
    <row r="95" customFormat="false" ht="15.75" hidden="false" customHeight="true" outlineLevel="0" collapsed="false">
      <c r="A95" s="188" t="s">
        <v>148</v>
      </c>
      <c r="B95" s="238" t="n">
        <v>93</v>
      </c>
      <c r="C95" s="239" t="s">
        <v>409</v>
      </c>
      <c r="D95" s="240" t="s">
        <v>410</v>
      </c>
      <c r="E95" s="215" t="s">
        <v>411</v>
      </c>
      <c r="F95" s="239" t="n">
        <v>89372</v>
      </c>
      <c r="G95" s="193"/>
      <c r="H95" s="218" t="n">
        <v>43386</v>
      </c>
      <c r="I95" s="180" t="n">
        <v>4.57260273972603</v>
      </c>
      <c r="J95" s="218" t="n">
        <v>44908</v>
      </c>
      <c r="K95" s="219" t="n">
        <v>65.6</v>
      </c>
      <c r="L95" s="219" t="n">
        <v>3</v>
      </c>
      <c r="M95" s="220" t="n">
        <v>147</v>
      </c>
      <c r="N95" s="221" t="n">
        <v>276</v>
      </c>
      <c r="O95" s="221"/>
      <c r="P95" s="221"/>
      <c r="Q95" s="221" t="n">
        <v>2860</v>
      </c>
      <c r="R95" s="221" t="n">
        <v>2171</v>
      </c>
      <c r="S95" s="221" t="n">
        <v>1926</v>
      </c>
      <c r="T95" s="221" t="n">
        <v>1769</v>
      </c>
      <c r="U95" s="222" t="s">
        <v>670</v>
      </c>
      <c r="V95" s="185" t="n">
        <f aca="false">EXP(0.585+(0.102*I95)+(0.007*N95)-(0.001*T95)+(0.008*M95)-2.723)</f>
        <v>0.717060888672618</v>
      </c>
      <c r="W95" s="185" t="n">
        <f aca="false">(V95/(1+V95))</f>
        <v>0.417609470580246</v>
      </c>
      <c r="X95" s="185" t="n">
        <f aca="false">EXP(1.741+(0.011*N95)-(0.002*T95)+(0.275*I95)-1.952)</f>
        <v>1.72368726232887</v>
      </c>
      <c r="Y95" s="185" t="n">
        <f aca="false">(X95/(1+X95))</f>
        <v>0.632850652925198</v>
      </c>
      <c r="Z95" s="238" t="n">
        <v>93</v>
      </c>
      <c r="AA95" s="186" t="n">
        <v>65</v>
      </c>
      <c r="AB95" s="187" t="n">
        <v>45057.0849074074</v>
      </c>
      <c r="AC95" s="187" t="n">
        <v>45057.1821180556</v>
      </c>
      <c r="AD95" s="180" t="n">
        <v>2.33305555558763</v>
      </c>
      <c r="AE95" s="187" t="n">
        <v>45057.0849074074</v>
      </c>
      <c r="AF95" s="187" t="n">
        <v>45057.1821180556</v>
      </c>
      <c r="AG95" s="180" t="n">
        <v>2.33305555558763</v>
      </c>
      <c r="AH95" s="180" t="n">
        <v>2.33305555558763</v>
      </c>
      <c r="AI95" s="187"/>
      <c r="AJ95" s="187"/>
      <c r="AK95" s="180"/>
      <c r="AL95" s="180"/>
      <c r="AM95" s="180" t="e">
        <f aca="false">(AE95-#REF!)*24</f>
        <v>#REF!</v>
      </c>
      <c r="AN95" s="180" t="e">
        <f aca="false">AM95+35</f>
        <v>#REF!</v>
      </c>
      <c r="AO95" s="186" t="n">
        <v>3</v>
      </c>
      <c r="AP95" s="186" t="s">
        <v>589</v>
      </c>
      <c r="AQ95" s="189" t="n">
        <v>45057.6845399306</v>
      </c>
      <c r="AR95" s="188" t="s">
        <v>592</v>
      </c>
      <c r="AS95" s="180" t="s">
        <v>593</v>
      </c>
      <c r="AT95" s="172"/>
      <c r="AU95" s="172"/>
      <c r="AV95" s="172"/>
      <c r="AW95" s="172"/>
      <c r="AX95" s="187"/>
      <c r="AY95" s="187"/>
      <c r="AZ95" s="180"/>
      <c r="BA95" s="180"/>
      <c r="BB95" s="172"/>
      <c r="BC95" s="172"/>
      <c r="BD95" s="172"/>
      <c r="BE95" s="172"/>
      <c r="BF95" s="193"/>
      <c r="BG95" s="194" t="n">
        <v>1</v>
      </c>
      <c r="BH95" s="194" t="n">
        <v>2</v>
      </c>
      <c r="BI95" s="194"/>
      <c r="BJ95" s="194" t="s">
        <v>600</v>
      </c>
      <c r="BK95" s="195" t="s">
        <v>587</v>
      </c>
      <c r="BL95" s="194" t="n">
        <v>2</v>
      </c>
      <c r="BM95" s="196" t="n">
        <v>45207</v>
      </c>
      <c r="BN95" s="196" t="n">
        <f aca="false">AQ95+145</f>
        <v>45202.6845399306</v>
      </c>
      <c r="BO95" s="197" t="n">
        <f aca="false">BM95-AQ95</f>
        <v>149.315460069403</v>
      </c>
      <c r="BP95" s="197" t="s">
        <v>35</v>
      </c>
      <c r="BQ95" s="195" t="s">
        <v>587</v>
      </c>
      <c r="BR95" s="254" t="n">
        <v>7.5936</v>
      </c>
      <c r="BS95" s="254" t="n">
        <v>2.3152</v>
      </c>
      <c r="BT95" s="254" t="n">
        <v>0.704</v>
      </c>
      <c r="BU95" s="254" t="n">
        <v>1.3351</v>
      </c>
      <c r="BV95" s="254" t="n">
        <v>1.4236</v>
      </c>
      <c r="BW95" s="254" t="n">
        <v>1.2866</v>
      </c>
      <c r="BX95" s="254" t="n">
        <v>1.627</v>
      </c>
      <c r="BY95" s="254" t="n">
        <v>2.6367</v>
      </c>
      <c r="BZ95" s="254" t="n">
        <v>2.8862</v>
      </c>
      <c r="CA95" s="254" t="n">
        <v>4.6299</v>
      </c>
      <c r="CB95" s="254" t="n">
        <v>5.5832</v>
      </c>
      <c r="CC95" s="251" t="s">
        <v>65</v>
      </c>
      <c r="CD95" s="201"/>
      <c r="CE95" s="251" t="s">
        <v>65</v>
      </c>
      <c r="CF95" s="201"/>
      <c r="CG95" s="251" t="s">
        <v>65</v>
      </c>
      <c r="CH95" s="201"/>
      <c r="CI95" s="200" t="s">
        <v>595</v>
      </c>
      <c r="CJ95" s="242"/>
      <c r="CK95" s="204" t="n">
        <v>5</v>
      </c>
      <c r="CL95" s="305" t="n">
        <v>0.05</v>
      </c>
      <c r="CM95" s="305" t="n">
        <v>0.05</v>
      </c>
      <c r="CN95" s="297" t="n">
        <v>0.060171</v>
      </c>
      <c r="CO95" s="305" t="n">
        <v>0.05</v>
      </c>
      <c r="CP95" s="295" t="n">
        <v>0.30033</v>
      </c>
      <c r="CQ95" s="297" t="n">
        <v>0.30063</v>
      </c>
      <c r="CR95" s="296" t="n">
        <v>0.156</v>
      </c>
      <c r="CS95" s="297" t="n">
        <v>0.099681</v>
      </c>
      <c r="CT95" s="297" t="n">
        <v>0.067256</v>
      </c>
      <c r="CU95" s="297" t="n">
        <v>0.062181</v>
      </c>
      <c r="CV95" s="297" t="n">
        <v>0.060338</v>
      </c>
      <c r="CW95" s="305" t="n">
        <v>0.05</v>
      </c>
      <c r="CX95" s="208" t="n">
        <f aca="false">AVERAGE(CL95:CO95)</f>
        <v>0.05254275</v>
      </c>
      <c r="CY95" s="208" t="n">
        <f aca="false">_xlfn.STDEV.S(CL95:CO95)</f>
        <v>0.0050855</v>
      </c>
      <c r="CZ95" s="208" t="n">
        <v>0.1</v>
      </c>
      <c r="DA95" s="172" t="n">
        <v>48</v>
      </c>
      <c r="DB95" s="209" t="e">
        <f aca="false">#REF!+(DA95/24)</f>
        <v>#REF!</v>
      </c>
      <c r="DC95" s="210" t="n">
        <v>2</v>
      </c>
      <c r="DD95" s="210" t="n">
        <v>3.5</v>
      </c>
      <c r="DE95" s="180" t="n">
        <f aca="false">DD95-DC95</f>
        <v>1.5</v>
      </c>
      <c r="DF95" s="180" t="n">
        <f aca="false">MAX(CM95:CX95)</f>
        <v>0.30063</v>
      </c>
      <c r="DG95" s="211" t="e">
        <f aca="false">(DB95-AE95)*24</f>
        <v>#REF!</v>
      </c>
      <c r="DH95" s="195" t="s">
        <v>587</v>
      </c>
      <c r="DI95" s="244" t="e">
        <f aca="false">(AQ95-DB95)*24</f>
        <v>#REF!</v>
      </c>
      <c r="DJ95" s="245" t="s">
        <v>600</v>
      </c>
      <c r="DK95" s="188" t="s">
        <v>148</v>
      </c>
      <c r="DL95" s="238" t="n">
        <v>93</v>
      </c>
      <c r="DM95" s="240" t="s">
        <v>410</v>
      </c>
    </row>
    <row r="96" customFormat="false" ht="15.75" hidden="false" customHeight="true" outlineLevel="0" collapsed="false">
      <c r="A96" s="172" t="s">
        <v>152</v>
      </c>
      <c r="B96" s="238" t="n">
        <v>94</v>
      </c>
      <c r="C96" s="239" t="s">
        <v>412</v>
      </c>
      <c r="D96" s="240" t="s">
        <v>413</v>
      </c>
      <c r="E96" s="215" t="s">
        <v>414</v>
      </c>
      <c r="F96" s="239" t="n">
        <v>88839</v>
      </c>
      <c r="G96" s="193"/>
      <c r="H96" s="218" t="n">
        <v>43386</v>
      </c>
      <c r="I96" s="180" t="n">
        <v>4.57260273972603</v>
      </c>
      <c r="J96" s="218" t="n">
        <v>44847</v>
      </c>
      <c r="K96" s="219" t="n">
        <v>72.9</v>
      </c>
      <c r="L96" s="219" t="n">
        <v>3</v>
      </c>
      <c r="M96" s="220" t="n">
        <v>208</v>
      </c>
      <c r="N96" s="221" t="n">
        <v>280</v>
      </c>
      <c r="O96" s="221" t="n">
        <v>2264</v>
      </c>
      <c r="P96" s="221" t="n">
        <v>2132</v>
      </c>
      <c r="Q96" s="221" t="n">
        <v>2145</v>
      </c>
      <c r="R96" s="221" t="n">
        <v>1720</v>
      </c>
      <c r="S96" s="221" t="n">
        <v>1262</v>
      </c>
      <c r="T96" s="221" t="n">
        <v>1421</v>
      </c>
      <c r="U96" s="257"/>
      <c r="V96" s="185" t="n">
        <f aca="false">EXP(0.585+(0.102*I96)+(0.007*N96)-(0.001*T96)+(0.008*M96)-2.723)</f>
        <v>1.70132180186723</v>
      </c>
      <c r="W96" s="185" t="n">
        <f aca="false">(V96/(1+V96))</f>
        <v>0.629810858036695</v>
      </c>
      <c r="X96" s="185" t="n">
        <f aca="false">EXP(1.741+(0.011*N96)-(0.002*T96)+(0.275*I96)-1.952)</f>
        <v>3.61273734899664</v>
      </c>
      <c r="Y96" s="185" t="n">
        <f aca="false">(X96/(1+X96))</f>
        <v>0.783208987561904</v>
      </c>
      <c r="Z96" s="238" t="n">
        <v>94</v>
      </c>
      <c r="AA96" s="186" t="n">
        <v>14</v>
      </c>
      <c r="AB96" s="187" t="n">
        <v>45056.0032291667</v>
      </c>
      <c r="AC96" s="187" t="n">
        <v>45057.6070717593</v>
      </c>
      <c r="AD96" s="180" t="n">
        <v>38.4922222222667</v>
      </c>
      <c r="AE96" s="187" t="n">
        <v>45056.0032291667</v>
      </c>
      <c r="AF96" s="187" t="n">
        <v>45057.6070717593</v>
      </c>
      <c r="AG96" s="180" t="n">
        <v>38.4922222222667</v>
      </c>
      <c r="AH96" s="180" t="n">
        <v>38.4922222222667</v>
      </c>
      <c r="AI96" s="187"/>
      <c r="AJ96" s="187"/>
      <c r="AK96" s="180"/>
      <c r="AL96" s="180"/>
      <c r="AM96" s="180" t="e">
        <f aca="false">(AE96-#REF!)*24</f>
        <v>#REF!</v>
      </c>
      <c r="AN96" s="180" t="e">
        <f aca="false">AM96+35</f>
        <v>#REF!</v>
      </c>
      <c r="AO96" s="186" t="n">
        <v>53</v>
      </c>
      <c r="AP96" s="188" t="s">
        <v>582</v>
      </c>
      <c r="AQ96" s="189" t="n">
        <v>45057.6614395833</v>
      </c>
      <c r="AR96" s="188" t="s">
        <v>592</v>
      </c>
      <c r="AS96" s="180" t="s">
        <v>584</v>
      </c>
      <c r="AT96" s="172" t="n">
        <v>14</v>
      </c>
      <c r="AU96" s="172"/>
      <c r="AV96" s="172"/>
      <c r="AW96" s="172"/>
      <c r="AX96" s="190" t="n">
        <v>45068.6102314815</v>
      </c>
      <c r="AY96" s="190" t="n">
        <v>45068.6102314815</v>
      </c>
      <c r="AZ96" s="191" t="n">
        <v>0</v>
      </c>
      <c r="BA96" s="180" t="n">
        <v>1</v>
      </c>
      <c r="BB96" s="172"/>
      <c r="BC96" s="172"/>
      <c r="BD96" s="172"/>
      <c r="BE96" s="172"/>
      <c r="BF96" s="193" t="n">
        <v>1</v>
      </c>
      <c r="BG96" s="194" t="n">
        <v>1</v>
      </c>
      <c r="BH96" s="194" t="n">
        <v>1</v>
      </c>
      <c r="BI96" s="194"/>
      <c r="BJ96" s="194" t="s">
        <v>600</v>
      </c>
      <c r="BK96" s="195" t="s">
        <v>587</v>
      </c>
      <c r="BL96" s="194" t="n">
        <v>1</v>
      </c>
      <c r="BM96" s="196" t="n">
        <v>45203</v>
      </c>
      <c r="BN96" s="196" t="n">
        <f aca="false">AQ96+145</f>
        <v>45202.6614395833</v>
      </c>
      <c r="BO96" s="197" t="n">
        <f aca="false">BM96-AQ96</f>
        <v>145.338560416698</v>
      </c>
      <c r="BP96" s="197" t="s">
        <v>35</v>
      </c>
      <c r="BQ96" s="195" t="s">
        <v>587</v>
      </c>
      <c r="BR96" s="306" t="n">
        <v>0.79162</v>
      </c>
      <c r="BS96" s="306" t="n">
        <v>1.8638</v>
      </c>
      <c r="BT96" s="254" t="n">
        <v>1.1577</v>
      </c>
      <c r="BU96" s="254" t="n">
        <v>1.3693</v>
      </c>
      <c r="BV96" s="254" t="n">
        <v>1.1625</v>
      </c>
      <c r="BW96" s="254" t="n">
        <v>1.0593</v>
      </c>
      <c r="BX96" s="254" t="n">
        <v>1.9826</v>
      </c>
      <c r="BY96" s="254" t="n">
        <v>2.1236</v>
      </c>
      <c r="BZ96" s="254" t="n">
        <v>3.2081</v>
      </c>
      <c r="CA96" s="254" t="n">
        <v>5.8164</v>
      </c>
      <c r="CB96" s="254" t="n">
        <v>5.7612</v>
      </c>
      <c r="CC96" s="200" t="s">
        <v>588</v>
      </c>
      <c r="CD96" s="202" t="s">
        <v>589</v>
      </c>
      <c r="CE96" s="251" t="s">
        <v>65</v>
      </c>
      <c r="CF96" s="252"/>
      <c r="CG96" s="251" t="s">
        <v>65</v>
      </c>
      <c r="CH96" s="252"/>
      <c r="CI96" s="200" t="s">
        <v>595</v>
      </c>
      <c r="CJ96" s="203"/>
      <c r="CK96" s="204" t="n">
        <v>4</v>
      </c>
      <c r="CL96" s="297" t="n">
        <v>0.24197</v>
      </c>
      <c r="CM96" s="297" t="n">
        <v>0.22055</v>
      </c>
      <c r="CN96" s="297" t="n">
        <v>0.25349</v>
      </c>
      <c r="CO96" s="297" t="n">
        <v>0.2354</v>
      </c>
      <c r="CP96" s="295" t="n">
        <v>0.5472</v>
      </c>
      <c r="CQ96" s="297" t="n">
        <v>0.39766</v>
      </c>
      <c r="CR96" s="296" t="n">
        <v>0.32245</v>
      </c>
      <c r="CS96" s="297" t="n">
        <v>0.20088</v>
      </c>
      <c r="CT96" s="297" t="n">
        <v>0.17568</v>
      </c>
      <c r="CU96" s="297" t="n">
        <v>0.21006</v>
      </c>
      <c r="CV96" s="297" t="n">
        <v>0.17687</v>
      </c>
      <c r="CW96" s="297" t="n">
        <v>0.24411</v>
      </c>
      <c r="CX96" s="208" t="n">
        <f aca="false">AVERAGE(CL96:CO96)</f>
        <v>0.2378525</v>
      </c>
      <c r="CY96" s="208" t="n">
        <f aca="false">_xlfn.STDEV.S(CL96:CO96)</f>
        <v>0.0137462294830255</v>
      </c>
      <c r="CZ96" s="208" t="n">
        <f aca="false">CX96+(2*CY96)</f>
        <v>0.265344958966051</v>
      </c>
      <c r="DA96" s="186" t="n">
        <v>48</v>
      </c>
      <c r="DB96" s="209" t="e">
        <f aca="false">#REF!+(DA96/24)</f>
        <v>#REF!</v>
      </c>
      <c r="DC96" s="210" t="n">
        <v>2</v>
      </c>
      <c r="DD96" s="210" t="n">
        <v>3.5</v>
      </c>
      <c r="DE96" s="180" t="n">
        <f aca="false">DD96-DC96</f>
        <v>1.5</v>
      </c>
      <c r="DF96" s="180" t="n">
        <f aca="false">MAX(CM96:CX96)</f>
        <v>0.5472</v>
      </c>
      <c r="DG96" s="211" t="e">
        <f aca="false">(DB96-AE96)*24</f>
        <v>#REF!</v>
      </c>
      <c r="DH96" s="195" t="s">
        <v>587</v>
      </c>
      <c r="DI96" s="244" t="e">
        <f aca="false">(AQ96-DB96)*24</f>
        <v>#REF!</v>
      </c>
      <c r="DJ96" s="245" t="s">
        <v>600</v>
      </c>
      <c r="DK96" s="172" t="s">
        <v>152</v>
      </c>
      <c r="DL96" s="238" t="n">
        <v>94</v>
      </c>
      <c r="DM96" s="240" t="s">
        <v>413</v>
      </c>
    </row>
    <row r="97" customFormat="false" ht="15.75" hidden="false" customHeight="true" outlineLevel="0" collapsed="false">
      <c r="A97" s="172" t="s">
        <v>152</v>
      </c>
      <c r="B97" s="238" t="n">
        <v>95</v>
      </c>
      <c r="C97" s="239" t="s">
        <v>448</v>
      </c>
      <c r="D97" s="240" t="s">
        <v>449</v>
      </c>
      <c r="E97" s="215" t="s">
        <v>450</v>
      </c>
      <c r="F97" s="239" t="n">
        <v>89203</v>
      </c>
      <c r="G97" s="193"/>
      <c r="H97" s="218" t="n">
        <v>43387</v>
      </c>
      <c r="I97" s="180" t="n">
        <v>4.56986301369863</v>
      </c>
      <c r="J97" s="218" t="n">
        <v>44851</v>
      </c>
      <c r="K97" s="219" t="n">
        <v>74.6</v>
      </c>
      <c r="L97" s="219" t="n">
        <v>3.25</v>
      </c>
      <c r="M97" s="220" t="n">
        <v>204</v>
      </c>
      <c r="N97" s="221" t="n">
        <v>284</v>
      </c>
      <c r="O97" s="221" t="n">
        <v>2234</v>
      </c>
      <c r="P97" s="221" t="n">
        <v>1898</v>
      </c>
      <c r="Q97" s="221" t="n">
        <v>1745</v>
      </c>
      <c r="R97" s="221" t="n">
        <v>1410</v>
      </c>
      <c r="S97" s="221" t="n">
        <v>1195</v>
      </c>
      <c r="T97" s="221" t="n">
        <v>1305</v>
      </c>
      <c r="U97" s="257"/>
      <c r="V97" s="185" t="n">
        <f aca="false">EXP(1.204+(0.102*I97)+(0.007*N97)-(0.001*T97)+(0.008*M97)-2.723)</f>
        <v>3.53292460312308</v>
      </c>
      <c r="W97" s="185" t="n">
        <f aca="false">(V97/(1+V97))</f>
        <v>0.779391874439953</v>
      </c>
      <c r="X97" s="185" t="n">
        <f aca="false">EXP(2.859+(0.011*N97)-(0.002*T97)+(0.275*I97)-1.952)</f>
        <v>14.5517655335355</v>
      </c>
      <c r="Y97" s="185" t="n">
        <f aca="false">(X97/(1+X97))</f>
        <v>0.93569861905109</v>
      </c>
      <c r="Z97" s="238" t="n">
        <v>95</v>
      </c>
      <c r="AA97" s="186" t="n">
        <v>16</v>
      </c>
      <c r="AB97" s="187" t="n">
        <v>45056.0367476852</v>
      </c>
      <c r="AC97" s="187" t="n">
        <v>45065.4772569445</v>
      </c>
      <c r="AD97" s="180" t="n">
        <v>226.572222222341</v>
      </c>
      <c r="AE97" s="187" t="n">
        <v>45056.0367476852</v>
      </c>
      <c r="AF97" s="187" t="n">
        <v>45057.3884027778</v>
      </c>
      <c r="AG97" s="180" t="n">
        <v>32.4397222222178</v>
      </c>
      <c r="AH97" s="180" t="n">
        <v>32.4397222222178</v>
      </c>
      <c r="AI97" s="187"/>
      <c r="AJ97" s="187"/>
      <c r="AK97" s="180"/>
      <c r="AL97" s="180"/>
      <c r="AM97" s="180" t="e">
        <f aca="false">(AE97-#REF!)*24</f>
        <v>#REF!</v>
      </c>
      <c r="AN97" s="180" t="e">
        <f aca="false">AM97+35</f>
        <v>#REF!</v>
      </c>
      <c r="AO97" s="186" t="n">
        <v>156</v>
      </c>
      <c r="AP97" s="188" t="s">
        <v>582</v>
      </c>
      <c r="AQ97" s="189" t="n">
        <v>45057.6577355324</v>
      </c>
      <c r="AR97" s="188" t="s">
        <v>592</v>
      </c>
      <c r="AS97" s="180" t="s">
        <v>584</v>
      </c>
      <c r="AT97" s="172"/>
      <c r="AU97" s="172"/>
      <c r="AV97" s="172"/>
      <c r="AW97" s="172"/>
      <c r="AX97" s="172"/>
      <c r="AY97" s="172"/>
      <c r="AZ97" s="172"/>
      <c r="BA97" s="180"/>
      <c r="BB97" s="172"/>
      <c r="BC97" s="172"/>
      <c r="BD97" s="172"/>
      <c r="BE97" s="172"/>
      <c r="BF97" s="193"/>
      <c r="BG97" s="194" t="n">
        <v>1</v>
      </c>
      <c r="BH97" s="194" t="n">
        <v>2</v>
      </c>
      <c r="BI97" s="194"/>
      <c r="BJ97" s="194" t="s">
        <v>600</v>
      </c>
      <c r="BK97" s="195" t="s">
        <v>587</v>
      </c>
      <c r="BL97" s="194" t="n">
        <v>2</v>
      </c>
      <c r="BM97" s="196" t="n">
        <v>45208</v>
      </c>
      <c r="BN97" s="196" t="n">
        <f aca="false">AQ97+145</f>
        <v>45202.6577355324</v>
      </c>
      <c r="BO97" s="197" t="n">
        <f aca="false">BM97-AQ97</f>
        <v>150.342264467603</v>
      </c>
      <c r="BP97" s="197" t="s">
        <v>35</v>
      </c>
      <c r="BQ97" s="195" t="s">
        <v>587</v>
      </c>
      <c r="BR97" s="254" t="n">
        <v>1.0221</v>
      </c>
      <c r="BS97" s="254" t="n">
        <v>5.397</v>
      </c>
      <c r="BT97" s="254" t="n">
        <v>1.2337</v>
      </c>
      <c r="BU97" s="254" t="n">
        <v>2.4188</v>
      </c>
      <c r="BV97" s="254" t="n">
        <v>1.9596</v>
      </c>
      <c r="BW97" s="254" t="n">
        <v>1.1719</v>
      </c>
      <c r="BX97" s="254" t="n">
        <v>3.4644</v>
      </c>
      <c r="BY97" s="254" t="n">
        <v>4.4499</v>
      </c>
      <c r="BZ97" s="254" t="n">
        <v>6.3742</v>
      </c>
      <c r="CA97" s="254" t="n">
        <v>7.6226</v>
      </c>
      <c r="CB97" s="254" t="n">
        <v>7.801</v>
      </c>
      <c r="CC97" s="251" t="s">
        <v>65</v>
      </c>
      <c r="CD97" s="201"/>
      <c r="CE97" s="251" t="s">
        <v>65</v>
      </c>
      <c r="CF97" s="201"/>
      <c r="CG97" s="251" t="s">
        <v>65</v>
      </c>
      <c r="CH97" s="201"/>
      <c r="CI97" s="200" t="s">
        <v>595</v>
      </c>
      <c r="CJ97" s="203"/>
      <c r="CK97" s="204" t="n">
        <v>4</v>
      </c>
      <c r="CL97" s="305" t="n">
        <v>0.05</v>
      </c>
      <c r="CM97" s="305" t="n">
        <v>0.05</v>
      </c>
      <c r="CN97" s="297" t="n">
        <v>0.06021</v>
      </c>
      <c r="CO97" s="305" t="n">
        <v>0.05</v>
      </c>
      <c r="CP97" s="295" t="n">
        <v>0.30588</v>
      </c>
      <c r="CQ97" s="297" t="n">
        <v>0.20392</v>
      </c>
      <c r="CR97" s="296" t="n">
        <v>0.12557</v>
      </c>
      <c r="CS97" s="297" t="n">
        <v>0.088013</v>
      </c>
      <c r="CT97" s="297" t="n">
        <v>0.060909</v>
      </c>
      <c r="CU97" s="305" t="n">
        <v>0.05</v>
      </c>
      <c r="CV97" s="305" t="n">
        <v>0.05</v>
      </c>
      <c r="CW97" s="305" t="n">
        <v>0.05</v>
      </c>
      <c r="CX97" s="208" t="n">
        <f aca="false">AVERAGE(CL97:CO97)</f>
        <v>0.0525525</v>
      </c>
      <c r="CY97" s="208" t="n">
        <f aca="false">_xlfn.STDEV.S(CL97:CO97)</f>
        <v>0.005105</v>
      </c>
      <c r="CZ97" s="208" t="n">
        <v>0.1</v>
      </c>
      <c r="DA97" s="172" t="n">
        <v>48</v>
      </c>
      <c r="DB97" s="209" t="e">
        <f aca="false">#REF!+(DA97/24)</f>
        <v>#REF!</v>
      </c>
      <c r="DC97" s="210" t="n">
        <v>2</v>
      </c>
      <c r="DD97" s="210" t="n">
        <v>3.5</v>
      </c>
      <c r="DE97" s="180" t="n">
        <f aca="false">DD97-DC97</f>
        <v>1.5</v>
      </c>
      <c r="DF97" s="180" t="n">
        <f aca="false">MAX(CM97:CX97)</f>
        <v>0.30588</v>
      </c>
      <c r="DG97" s="211" t="e">
        <f aca="false">(DB97-AE97)*24</f>
        <v>#REF!</v>
      </c>
      <c r="DH97" s="195" t="s">
        <v>587</v>
      </c>
      <c r="DI97" s="244" t="e">
        <f aca="false">(AQ97-DB97)*24</f>
        <v>#REF!</v>
      </c>
      <c r="DJ97" s="245" t="s">
        <v>600</v>
      </c>
      <c r="DK97" s="172" t="s">
        <v>152</v>
      </c>
      <c r="DL97" s="238" t="n">
        <v>95</v>
      </c>
      <c r="DM97" s="240" t="s">
        <v>449</v>
      </c>
    </row>
    <row r="98" customFormat="false" ht="15.75" hidden="false" customHeight="true" outlineLevel="0" collapsed="false">
      <c r="A98" s="188" t="s">
        <v>148</v>
      </c>
      <c r="B98" s="238" t="n">
        <v>96</v>
      </c>
      <c r="C98" s="239" t="s">
        <v>397</v>
      </c>
      <c r="D98" s="240" t="s">
        <v>398</v>
      </c>
      <c r="E98" s="215" t="s">
        <v>399</v>
      </c>
      <c r="F98" s="239" t="n">
        <v>88763</v>
      </c>
      <c r="G98" s="193"/>
      <c r="H98" s="218" t="n">
        <v>43387</v>
      </c>
      <c r="I98" s="180" t="n">
        <v>4.56986301369863</v>
      </c>
      <c r="J98" s="218" t="n">
        <v>44848</v>
      </c>
      <c r="K98" s="219" t="n">
        <v>82.2</v>
      </c>
      <c r="L98" s="219" t="n">
        <v>4</v>
      </c>
      <c r="M98" s="220" t="n">
        <v>207</v>
      </c>
      <c r="N98" s="221" t="n">
        <v>326</v>
      </c>
      <c r="O98" s="221" t="n">
        <v>2754</v>
      </c>
      <c r="P98" s="221" t="n">
        <v>2365</v>
      </c>
      <c r="Q98" s="221" t="n">
        <v>2116</v>
      </c>
      <c r="R98" s="221" t="n">
        <v>2002</v>
      </c>
      <c r="S98" s="221" t="n">
        <v>1062</v>
      </c>
      <c r="T98" s="221" t="n">
        <v>812</v>
      </c>
      <c r="U98" s="222" t="s">
        <v>671</v>
      </c>
      <c r="V98" s="185" t="n">
        <f aca="false">EXP(1.204+(0.102*I98)+(0.007*N98)-(0.001*T98)+(0.008*M98)-2.723)</f>
        <v>7.94963509328652</v>
      </c>
      <c r="W98" s="185" t="n">
        <f aca="false">(V98/(1+V98))</f>
        <v>0.88826360074165</v>
      </c>
      <c r="X98" s="185" t="n">
        <f aca="false">EXP(2.859+(0.011*N98)-(0.002*T98)+(0.275*I98)-1.952)</f>
        <v>61.9118951706263</v>
      </c>
      <c r="Y98" s="185" t="n">
        <f aca="false">(X98/(1+X98))</f>
        <v>0.984104754795769</v>
      </c>
      <c r="Z98" s="238" t="n">
        <v>96</v>
      </c>
      <c r="AA98" s="186" t="n">
        <v>53</v>
      </c>
      <c r="AB98" s="187" t="n">
        <v>45056.6425925926</v>
      </c>
      <c r="AC98" s="187" t="n">
        <v>45056.9422222222</v>
      </c>
      <c r="AD98" s="180" t="n">
        <v>7.19111111102393</v>
      </c>
      <c r="AE98" s="187" t="n">
        <v>45056.6425925926</v>
      </c>
      <c r="AF98" s="187" t="n">
        <v>45056.9422222222</v>
      </c>
      <c r="AG98" s="180" t="n">
        <v>7.19111111102393</v>
      </c>
      <c r="AH98" s="180" t="n">
        <v>7.19111111102393</v>
      </c>
      <c r="AI98" s="187"/>
      <c r="AJ98" s="187"/>
      <c r="AK98" s="180"/>
      <c r="AL98" s="180"/>
      <c r="AM98" s="180" t="e">
        <f aca="false">(AE98-#REF!)*24</f>
        <v>#REF!</v>
      </c>
      <c r="AN98" s="180" t="e">
        <f aca="false">AM98+35</f>
        <v>#REF!</v>
      </c>
      <c r="AO98" s="186" t="n">
        <v>8</v>
      </c>
      <c r="AP98" s="186" t="s">
        <v>589</v>
      </c>
      <c r="AQ98" s="189" t="n">
        <v>45057.6804179398</v>
      </c>
      <c r="AR98" s="188" t="s">
        <v>592</v>
      </c>
      <c r="AS98" s="180" t="s">
        <v>584</v>
      </c>
      <c r="AT98" s="172" t="n">
        <v>53</v>
      </c>
      <c r="AU98" s="172"/>
      <c r="AV98" s="172"/>
      <c r="AW98" s="172"/>
      <c r="AX98" s="190" t="n">
        <v>45086.4802893519</v>
      </c>
      <c r="AY98" s="190" t="n">
        <v>45086.4802893519</v>
      </c>
      <c r="AZ98" s="191" t="n">
        <v>0</v>
      </c>
      <c r="BA98" s="180" t="n">
        <v>1</v>
      </c>
      <c r="BB98" s="172"/>
      <c r="BC98" s="172"/>
      <c r="BD98" s="172"/>
      <c r="BE98" s="172"/>
      <c r="BF98" s="193" t="n">
        <v>1</v>
      </c>
      <c r="BG98" s="194" t="n">
        <v>1</v>
      </c>
      <c r="BH98" s="194" t="n">
        <v>1</v>
      </c>
      <c r="BI98" s="194"/>
      <c r="BJ98" s="194" t="s">
        <v>600</v>
      </c>
      <c r="BK98" s="195" t="s">
        <v>587</v>
      </c>
      <c r="BL98" s="194" t="n">
        <v>1</v>
      </c>
      <c r="BM98" s="196" t="n">
        <v>45205</v>
      </c>
      <c r="BN98" s="196" t="n">
        <f aca="false">AQ98+145</f>
        <v>45202.6804179398</v>
      </c>
      <c r="BO98" s="197" t="n">
        <f aca="false">BM98-AQ98</f>
        <v>147.319582060198</v>
      </c>
      <c r="BP98" s="197" t="s">
        <v>35</v>
      </c>
      <c r="BQ98" s="195" t="s">
        <v>587</v>
      </c>
      <c r="BR98" s="254" t="n">
        <v>2.1659</v>
      </c>
      <c r="BS98" s="254" t="n">
        <v>1.0267</v>
      </c>
      <c r="BT98" s="254" t="n">
        <v>1.2625</v>
      </c>
      <c r="BU98" s="254" t="n">
        <v>1.5445</v>
      </c>
      <c r="BV98" s="254" t="n">
        <v>1.3059</v>
      </c>
      <c r="BW98" s="254" t="n">
        <v>1.3059</v>
      </c>
      <c r="BX98" s="254" t="n">
        <v>1.7381</v>
      </c>
      <c r="BY98" s="254" t="n">
        <v>2.2962</v>
      </c>
      <c r="BZ98" s="254" t="n">
        <v>3.6056</v>
      </c>
      <c r="CA98" s="254" t="n">
        <v>4.5003</v>
      </c>
      <c r="CB98" s="254" t="n">
        <v>4.7102</v>
      </c>
      <c r="CC98" s="251" t="s">
        <v>65</v>
      </c>
      <c r="CD98" s="201"/>
      <c r="CE98" s="251" t="s">
        <v>65</v>
      </c>
      <c r="CF98" s="201"/>
      <c r="CG98" s="251" t="s">
        <v>65</v>
      </c>
      <c r="CH98" s="201"/>
      <c r="CI98" s="200" t="s">
        <v>595</v>
      </c>
      <c r="CJ98" s="242"/>
      <c r="CK98" s="204" t="n">
        <v>5</v>
      </c>
      <c r="CL98" s="305" t="n">
        <v>0.05</v>
      </c>
      <c r="CM98" s="305" t="n">
        <v>0.05</v>
      </c>
      <c r="CN98" s="297" t="n">
        <v>0.069776</v>
      </c>
      <c r="CO98" s="297" t="n">
        <v>0.068164</v>
      </c>
      <c r="CP98" s="295" t="n">
        <v>0.38738</v>
      </c>
      <c r="CQ98" s="296" t="n">
        <v>0.1431</v>
      </c>
      <c r="CR98" s="297" t="n">
        <v>0.086317</v>
      </c>
      <c r="CS98" s="297" t="n">
        <v>0.069417</v>
      </c>
      <c r="CT98" s="297" t="n">
        <v>0.06126</v>
      </c>
      <c r="CU98" s="297" t="n">
        <v>0.06126</v>
      </c>
      <c r="CV98" s="305" t="n">
        <v>0.05</v>
      </c>
      <c r="CW98" s="305" t="n">
        <v>0.05</v>
      </c>
      <c r="CX98" s="208" t="n">
        <f aca="false">AVERAGE(CL98:CO98)</f>
        <v>0.059485</v>
      </c>
      <c r="CY98" s="208" t="n">
        <f aca="false">_xlfn.STDEV.S(CL98:CO98)</f>
        <v>0.0109720884064976</v>
      </c>
      <c r="CZ98" s="208" t="n">
        <v>0.1</v>
      </c>
      <c r="DA98" s="172" t="n">
        <v>48</v>
      </c>
      <c r="DB98" s="209" t="e">
        <f aca="false">#REF!+(DA98/24)</f>
        <v>#REF!</v>
      </c>
      <c r="DC98" s="210" t="n">
        <v>2</v>
      </c>
      <c r="DD98" s="210" t="n">
        <v>3</v>
      </c>
      <c r="DE98" s="180" t="n">
        <f aca="false">DD98-DC98</f>
        <v>1</v>
      </c>
      <c r="DF98" s="180" t="n">
        <f aca="false">MAX(CM98:CX98)</f>
        <v>0.38738</v>
      </c>
      <c r="DG98" s="211" t="e">
        <f aca="false">(DB98-AE98)*24</f>
        <v>#REF!</v>
      </c>
      <c r="DH98" s="195" t="s">
        <v>587</v>
      </c>
      <c r="DI98" s="244" t="e">
        <f aca="false">(AQ98-DB98)*24</f>
        <v>#REF!</v>
      </c>
      <c r="DJ98" s="245" t="s">
        <v>600</v>
      </c>
      <c r="DK98" s="188" t="s">
        <v>148</v>
      </c>
      <c r="DL98" s="238" t="n">
        <v>96</v>
      </c>
      <c r="DM98" s="240" t="s">
        <v>398</v>
      </c>
    </row>
    <row r="99" customFormat="false" ht="15.75" hidden="false" customHeight="true" outlineLevel="0" collapsed="false">
      <c r="A99" s="172" t="s">
        <v>152</v>
      </c>
      <c r="B99" s="238" t="n">
        <v>97</v>
      </c>
      <c r="C99" s="239" t="s">
        <v>428</v>
      </c>
      <c r="D99" s="240" t="s">
        <v>429</v>
      </c>
      <c r="E99" s="215" t="s">
        <v>430</v>
      </c>
      <c r="F99" s="239" t="n">
        <v>88913</v>
      </c>
      <c r="G99" s="193"/>
      <c r="H99" s="218" t="n">
        <v>43387</v>
      </c>
      <c r="I99" s="180" t="n">
        <v>4.56986301369863</v>
      </c>
      <c r="J99" s="218" t="n">
        <v>44871</v>
      </c>
      <c r="K99" s="219" t="n">
        <v>78.2</v>
      </c>
      <c r="L99" s="219" t="n">
        <v>3.75</v>
      </c>
      <c r="M99" s="220" t="n">
        <v>184</v>
      </c>
      <c r="N99" s="221" t="n">
        <v>298</v>
      </c>
      <c r="O99" s="221"/>
      <c r="P99" s="221" t="n">
        <v>2278</v>
      </c>
      <c r="Q99" s="221" t="n">
        <v>2431</v>
      </c>
      <c r="R99" s="221" t="n">
        <v>1523</v>
      </c>
      <c r="S99" s="221" t="n">
        <v>2158</v>
      </c>
      <c r="T99" s="221" t="n">
        <v>2088</v>
      </c>
      <c r="U99" s="257"/>
      <c r="V99" s="185" t="n">
        <f aca="false">EXP(1.204+(0.102*I99)+(0.007*N99)-(0.001*T99)+(0.008*M99)-2.723)</f>
        <v>1.51759375927527</v>
      </c>
      <c r="W99" s="185" t="n">
        <f aca="false">(V99/(1+V99))</f>
        <v>0.602795329343418</v>
      </c>
      <c r="X99" s="185" t="n">
        <f aca="false">EXP(2.859+(0.011*N99)-(0.002*T99)+(0.275*I99)-1.952)</f>
        <v>3.54561748210734</v>
      </c>
      <c r="Y99" s="185" t="n">
        <f aca="false">(X99/(1+X99))</f>
        <v>0.780007885851319</v>
      </c>
      <c r="Z99" s="238" t="n">
        <v>97</v>
      </c>
      <c r="AA99" s="186"/>
      <c r="AB99" s="187"/>
      <c r="AC99" s="187"/>
      <c r="AD99" s="180"/>
      <c r="AE99" s="187"/>
      <c r="AF99" s="187"/>
      <c r="AG99" s="180"/>
      <c r="AH99" s="180"/>
      <c r="AI99" s="187"/>
      <c r="AJ99" s="187"/>
      <c r="AK99" s="180"/>
      <c r="AL99" s="180"/>
      <c r="AM99" s="180"/>
      <c r="AN99" s="180"/>
      <c r="AO99" s="186"/>
      <c r="AP99" s="188" t="s">
        <v>582</v>
      </c>
      <c r="AQ99" s="189" t="n">
        <v>45057.6588449074</v>
      </c>
      <c r="AR99" s="186" t="s">
        <v>608</v>
      </c>
      <c r="AS99" s="180" t="s">
        <v>584</v>
      </c>
      <c r="AT99" s="172" t="n">
        <v>81</v>
      </c>
      <c r="AU99" s="172"/>
      <c r="AV99" s="172"/>
      <c r="AW99" s="172"/>
      <c r="AX99" s="192" t="n">
        <v>45072.6098263889</v>
      </c>
      <c r="AY99" s="192" t="n">
        <v>45072.7467361111</v>
      </c>
      <c r="AZ99" s="180" t="n">
        <v>3.28583333344432</v>
      </c>
      <c r="BA99" s="180" t="n">
        <v>3.28583333344432</v>
      </c>
      <c r="BB99" s="172"/>
      <c r="BC99" s="172"/>
      <c r="BD99" s="172"/>
      <c r="BE99" s="172"/>
      <c r="BF99" s="193" t="n">
        <v>103</v>
      </c>
      <c r="BG99" s="194" t="n">
        <v>0</v>
      </c>
      <c r="BH99" s="194"/>
      <c r="BI99" s="194"/>
      <c r="BJ99" s="194" t="s">
        <v>585</v>
      </c>
      <c r="BK99" s="195" t="s">
        <v>586</v>
      </c>
      <c r="BL99" s="194"/>
      <c r="BM99" s="196" t="s">
        <v>611</v>
      </c>
      <c r="BN99" s="196" t="n">
        <f aca="false">AX99+145</f>
        <v>45217.6098263889</v>
      </c>
      <c r="BO99" s="197"/>
      <c r="BP99" s="197" t="s">
        <v>585</v>
      </c>
      <c r="BQ99" s="195" t="s">
        <v>586</v>
      </c>
      <c r="BR99" s="258" t="n">
        <v>1.9085</v>
      </c>
      <c r="BS99" s="258" t="n">
        <v>0.73311</v>
      </c>
      <c r="BT99" s="199" t="n">
        <v>0.2</v>
      </c>
      <c r="BU99" s="254" t="n">
        <v>0.2</v>
      </c>
      <c r="BV99" s="254" t="n">
        <v>0.2</v>
      </c>
      <c r="BW99" s="254" t="n">
        <v>0.2</v>
      </c>
      <c r="BX99" s="254" t="n">
        <v>1.1503</v>
      </c>
      <c r="BY99" s="254" t="n">
        <v>1.6938</v>
      </c>
      <c r="BZ99" s="254" t="n">
        <v>1.9376</v>
      </c>
      <c r="CA99" s="254" t="n">
        <v>2.9811</v>
      </c>
      <c r="CB99" s="254" t="n">
        <v>3.7221</v>
      </c>
      <c r="CC99" s="200" t="s">
        <v>588</v>
      </c>
      <c r="CD99" s="202" t="s">
        <v>589</v>
      </c>
      <c r="CE99" s="251" t="s">
        <v>65</v>
      </c>
      <c r="CF99" s="252"/>
      <c r="CG99" s="251" t="s">
        <v>65</v>
      </c>
      <c r="CH99" s="252"/>
      <c r="CI99" s="200" t="s">
        <v>595</v>
      </c>
      <c r="CJ99" s="203"/>
      <c r="CK99" s="204" t="n">
        <v>4</v>
      </c>
      <c r="CL99" s="305" t="n">
        <v>0.05</v>
      </c>
      <c r="CM99" s="305" t="n">
        <v>0.05</v>
      </c>
      <c r="CN99" s="297" t="n">
        <v>0.087635</v>
      </c>
      <c r="CO99" s="295" t="n">
        <v>0.11689</v>
      </c>
      <c r="CP99" s="297" t="n">
        <v>0.092003</v>
      </c>
      <c r="CQ99" s="297" t="n">
        <v>0.072842</v>
      </c>
      <c r="CR99" s="297" t="n">
        <v>0.078503</v>
      </c>
      <c r="CS99" s="297" t="n">
        <v>0.067985</v>
      </c>
      <c r="CT99" s="305" t="n">
        <v>0.05</v>
      </c>
      <c r="CU99" s="305" t="n">
        <v>0.05</v>
      </c>
      <c r="CV99" s="305" t="n">
        <v>0.05</v>
      </c>
      <c r="CW99" s="305" t="n">
        <v>0.05</v>
      </c>
      <c r="CX99" s="208" t="n">
        <f aca="false">AVERAGE(CT99:CW99)</f>
        <v>0.05</v>
      </c>
      <c r="CY99" s="208" t="n">
        <f aca="false">_xlfn.STDEV.S(CT99:CW99)</f>
        <v>0</v>
      </c>
      <c r="CZ99" s="208" t="n">
        <v>0.1</v>
      </c>
      <c r="DA99" s="186" t="n">
        <v>36</v>
      </c>
      <c r="DB99" s="209" t="e">
        <f aca="false">#REF!+(DA99/24)</f>
        <v>#REF!</v>
      </c>
      <c r="DC99" s="210" t="n">
        <v>1.5</v>
      </c>
      <c r="DD99" s="210" t="n">
        <v>2</v>
      </c>
      <c r="DE99" s="180" t="n">
        <f aca="false">DD99-DC99</f>
        <v>0.5</v>
      </c>
      <c r="DF99" s="180" t="n">
        <f aca="false">MAX(CM99:CX99)</f>
        <v>0.11689</v>
      </c>
      <c r="DG99" s="211"/>
      <c r="DH99" s="195" t="s">
        <v>603</v>
      </c>
      <c r="DI99" s="212" t="e">
        <f aca="false">(AQ99-DB99)*24</f>
        <v>#REF!</v>
      </c>
      <c r="DJ99" s="213" t="s">
        <v>585</v>
      </c>
      <c r="DK99" s="172" t="s">
        <v>152</v>
      </c>
      <c r="DL99" s="238" t="n">
        <v>97</v>
      </c>
      <c r="DM99" s="240" t="s">
        <v>429</v>
      </c>
    </row>
    <row r="100" customFormat="false" ht="15.75" hidden="false" customHeight="true" outlineLevel="0" collapsed="false">
      <c r="A100" s="188" t="s">
        <v>148</v>
      </c>
      <c r="B100" s="238" t="n">
        <v>98</v>
      </c>
      <c r="C100" s="239" t="s">
        <v>415</v>
      </c>
      <c r="D100" s="240" t="s">
        <v>416</v>
      </c>
      <c r="E100" s="215" t="s">
        <v>417</v>
      </c>
      <c r="F100" s="239" t="n">
        <v>89401</v>
      </c>
      <c r="G100" s="193"/>
      <c r="H100" s="218" t="n">
        <v>43388</v>
      </c>
      <c r="I100" s="180" t="n">
        <v>4.56712328767123</v>
      </c>
      <c r="J100" s="218" t="n">
        <v>44904</v>
      </c>
      <c r="K100" s="219" t="n">
        <v>71.7</v>
      </c>
      <c r="L100" s="219" t="n">
        <v>3.25</v>
      </c>
      <c r="M100" s="220" t="n">
        <v>151</v>
      </c>
      <c r="N100" s="221" t="n">
        <v>281</v>
      </c>
      <c r="O100" s="221"/>
      <c r="P100" s="221"/>
      <c r="Q100" s="221" t="n">
        <v>2402</v>
      </c>
      <c r="R100" s="221" t="n">
        <v>2171</v>
      </c>
      <c r="S100" s="221" t="n">
        <v>1428</v>
      </c>
      <c r="T100" s="221" t="n">
        <v>1653</v>
      </c>
      <c r="U100" s="222" t="s">
        <v>672</v>
      </c>
      <c r="V100" s="185" t="n">
        <f aca="false">EXP(1.204+(0.102*I100)+(0.007*N100)-(0.001*T100)+(0.008*M100)-2.723)</f>
        <v>1.5981497843608</v>
      </c>
      <c r="W100" s="185" t="n">
        <f aca="false">(V100/(1+V100))</f>
        <v>0.61511071993641</v>
      </c>
      <c r="X100" s="185" t="n">
        <f aca="false">EXP(2.859+(0.011*N100)-(0.002*T100)+(0.275*I100)-1.952)</f>
        <v>7.0143559863082</v>
      </c>
      <c r="Y100" s="185" t="n">
        <f aca="false">(X100/(1+X100))</f>
        <v>0.875223910479094</v>
      </c>
      <c r="Z100" s="238" t="n">
        <v>98</v>
      </c>
      <c r="AA100" s="186" t="n">
        <v>48</v>
      </c>
      <c r="AB100" s="187" t="n">
        <v>45055.6178703704</v>
      </c>
      <c r="AC100" s="187" t="n">
        <v>45055.6178703704</v>
      </c>
      <c r="AD100" s="180" t="n">
        <v>0</v>
      </c>
      <c r="AE100" s="190" t="n">
        <v>45055.6178703704</v>
      </c>
      <c r="AF100" s="190" t="n">
        <v>45055.6178703704</v>
      </c>
      <c r="AG100" s="180" t="n">
        <v>0</v>
      </c>
      <c r="AH100" s="180" t="n">
        <v>1</v>
      </c>
      <c r="AI100" s="187"/>
      <c r="AJ100" s="187"/>
      <c r="AK100" s="180"/>
      <c r="AL100" s="180"/>
      <c r="AM100" s="180" t="e">
        <f aca="false">(AE100-#REF!)*24</f>
        <v>#REF!</v>
      </c>
      <c r="AN100" s="180" t="e">
        <f aca="false">AM100+35</f>
        <v>#REF!</v>
      </c>
      <c r="AO100" s="186" t="n">
        <v>1</v>
      </c>
      <c r="AP100" s="188" t="s">
        <v>582</v>
      </c>
      <c r="AQ100" s="189" t="n">
        <v>45057.6838770833</v>
      </c>
      <c r="AR100" s="188" t="s">
        <v>592</v>
      </c>
      <c r="AS100" s="180" t="s">
        <v>593</v>
      </c>
      <c r="AT100" s="172"/>
      <c r="AU100" s="172"/>
      <c r="AV100" s="172"/>
      <c r="AW100" s="172"/>
      <c r="AX100" s="172"/>
      <c r="AY100" s="172"/>
      <c r="AZ100" s="172"/>
      <c r="BA100" s="180"/>
      <c r="BB100" s="172"/>
      <c r="BC100" s="172"/>
      <c r="BD100" s="172"/>
      <c r="BE100" s="172"/>
      <c r="BF100" s="193"/>
      <c r="BG100" s="194" t="n">
        <v>1</v>
      </c>
      <c r="BH100" s="194" t="n">
        <v>1</v>
      </c>
      <c r="BI100" s="194"/>
      <c r="BJ100" s="194" t="s">
        <v>600</v>
      </c>
      <c r="BK100" s="195" t="s">
        <v>587</v>
      </c>
      <c r="BL100" s="194" t="n">
        <v>1</v>
      </c>
      <c r="BM100" s="196" t="n">
        <v>45209</v>
      </c>
      <c r="BN100" s="196" t="n">
        <f aca="false">AQ100+145</f>
        <v>45202.6838770833</v>
      </c>
      <c r="BO100" s="197" t="n">
        <f aca="false">BM100-AQ100</f>
        <v>151.316122916702</v>
      </c>
      <c r="BP100" s="197" t="s">
        <v>35</v>
      </c>
      <c r="BQ100" s="195" t="s">
        <v>587</v>
      </c>
      <c r="BR100" s="254" t="n">
        <v>0.2</v>
      </c>
      <c r="BS100" s="254" t="n">
        <v>0.2</v>
      </c>
      <c r="BT100" s="254" t="n">
        <v>0.2</v>
      </c>
      <c r="BU100" s="254" t="n">
        <v>0.2</v>
      </c>
      <c r="BV100" s="199" t="n">
        <v>0.2</v>
      </c>
      <c r="BW100" s="254" t="n">
        <v>0.2</v>
      </c>
      <c r="BX100" s="254" t="n">
        <v>0.2</v>
      </c>
      <c r="BY100" s="254" t="n">
        <v>0.80459</v>
      </c>
      <c r="BZ100" s="254" t="n">
        <v>1.9884</v>
      </c>
      <c r="CA100" s="254" t="n">
        <v>1.6365</v>
      </c>
      <c r="CB100" s="254" t="n">
        <v>1.8875</v>
      </c>
      <c r="CC100" s="200" t="s">
        <v>588</v>
      </c>
      <c r="CD100" s="201" t="s">
        <v>582</v>
      </c>
      <c r="CE100" s="200" t="s">
        <v>588</v>
      </c>
      <c r="CF100" s="202" t="s">
        <v>589</v>
      </c>
      <c r="CG100" s="200" t="s">
        <v>588</v>
      </c>
      <c r="CH100" s="202" t="s">
        <v>589</v>
      </c>
      <c r="CI100" s="203"/>
      <c r="CJ100" s="200" t="s">
        <v>595</v>
      </c>
      <c r="CK100" s="204" t="n">
        <v>6</v>
      </c>
      <c r="CL100" s="305" t="n">
        <v>0.05</v>
      </c>
      <c r="CM100" s="305" t="n">
        <v>0.05</v>
      </c>
      <c r="CN100" s="297" t="n">
        <v>0.067093</v>
      </c>
      <c r="CO100" s="297" t="n">
        <v>0.062665</v>
      </c>
      <c r="CP100" s="296" t="n">
        <v>0.13041</v>
      </c>
      <c r="CQ100" s="295" t="n">
        <v>0.40268</v>
      </c>
      <c r="CR100" s="297" t="n">
        <v>0.2142</v>
      </c>
      <c r="CS100" s="296" t="n">
        <v>0.11976</v>
      </c>
      <c r="CT100" s="297" t="n">
        <v>0.084441</v>
      </c>
      <c r="CU100" s="297" t="n">
        <v>0.064606</v>
      </c>
      <c r="CV100" s="297" t="n">
        <v>0.070315</v>
      </c>
      <c r="CW100" s="297" t="n">
        <v>0.064783</v>
      </c>
      <c r="CX100" s="208" t="n">
        <f aca="false">AVERAGE(CL100:CO100)</f>
        <v>0.0574395</v>
      </c>
      <c r="CY100" s="208" t="n">
        <f aca="false">_xlfn.STDEV.S(CL100:CO100)</f>
        <v>0.00877853884956564</v>
      </c>
      <c r="CZ100" s="208" t="n">
        <v>0.1</v>
      </c>
      <c r="DA100" s="186" t="n">
        <v>48</v>
      </c>
      <c r="DB100" s="209" t="e">
        <f aca="false">#REF!+(DA100/24)</f>
        <v>#REF!</v>
      </c>
      <c r="DC100" s="210" t="n">
        <v>2</v>
      </c>
      <c r="DD100" s="210" t="n">
        <v>4</v>
      </c>
      <c r="DE100" s="180" t="n">
        <f aca="false">DD100-DC100</f>
        <v>2</v>
      </c>
      <c r="DF100" s="180" t="n">
        <f aca="false">MAX(CM100:CX100)</f>
        <v>0.40268</v>
      </c>
      <c r="DG100" s="211" t="e">
        <f aca="false">(DB100-AE100)*24</f>
        <v>#REF!</v>
      </c>
      <c r="DH100" s="195" t="s">
        <v>587</v>
      </c>
      <c r="DI100" s="244" t="e">
        <f aca="false">(AQ100-DB100)*24</f>
        <v>#REF!</v>
      </c>
      <c r="DJ100" s="245" t="s">
        <v>600</v>
      </c>
      <c r="DK100" s="188" t="s">
        <v>148</v>
      </c>
      <c r="DL100" s="238" t="n">
        <v>98</v>
      </c>
      <c r="DM100" s="240" t="s">
        <v>416</v>
      </c>
    </row>
    <row r="101" customFormat="false" ht="15.75" hidden="false" customHeight="true" outlineLevel="0" collapsed="false">
      <c r="A101" s="188" t="s">
        <v>148</v>
      </c>
      <c r="B101" s="238" t="n">
        <v>99</v>
      </c>
      <c r="C101" s="239" t="s">
        <v>165</v>
      </c>
      <c r="D101" s="240" t="s">
        <v>166</v>
      </c>
      <c r="E101" s="215" t="s">
        <v>167</v>
      </c>
      <c r="F101" s="239" t="n">
        <v>88205</v>
      </c>
      <c r="G101" s="193"/>
      <c r="H101" s="218" t="n">
        <v>43388</v>
      </c>
      <c r="I101" s="180" t="n">
        <v>4.56712328767123</v>
      </c>
      <c r="J101" s="218" t="n">
        <v>44871</v>
      </c>
      <c r="K101" s="219" t="n">
        <v>67.7</v>
      </c>
      <c r="L101" s="219" t="n">
        <v>2.5</v>
      </c>
      <c r="M101" s="220" t="n">
        <v>184</v>
      </c>
      <c r="N101" s="221" t="n">
        <v>359</v>
      </c>
      <c r="O101" s="221"/>
      <c r="P101" s="221" t="n">
        <v>2278</v>
      </c>
      <c r="Q101" s="221" t="n">
        <v>1859</v>
      </c>
      <c r="R101" s="221" t="n">
        <v>1692</v>
      </c>
      <c r="S101" s="221" t="n">
        <v>1594</v>
      </c>
      <c r="T101" s="221" t="n">
        <v>1421</v>
      </c>
      <c r="U101" s="253"/>
      <c r="V101" s="185" t="n">
        <f aca="false">EXP(0.585+(0.102*I101)+(0.007*N101)-(0.001*T101)+(0.008*M101)-2.723)</f>
        <v>2.43963045591816</v>
      </c>
      <c r="W101" s="185" t="n">
        <f aca="false">(V101/(1+V101))</f>
        <v>0.709271093852707</v>
      </c>
      <c r="X101" s="185" t="n">
        <f aca="false">EXP(1.741+(0.011*N101)-(0.002*T101)+(0.275*I101)-1.952)</f>
        <v>8.60169179369425</v>
      </c>
      <c r="Y101" s="185" t="n">
        <f aca="false">(X101/(1+X101))</f>
        <v>0.895851687235292</v>
      </c>
      <c r="Z101" s="238" t="n">
        <v>99</v>
      </c>
      <c r="AA101" s="186" t="n">
        <v>67</v>
      </c>
      <c r="AB101" s="187" t="n">
        <v>45057.1947685185</v>
      </c>
      <c r="AC101" s="187" t="n">
        <v>45057.1947685185</v>
      </c>
      <c r="AD101" s="180" t="n">
        <v>0</v>
      </c>
      <c r="AE101" s="190" t="n">
        <v>45057.1947685185</v>
      </c>
      <c r="AF101" s="190" t="n">
        <v>45057.1947685185</v>
      </c>
      <c r="AG101" s="180" t="n">
        <v>0</v>
      </c>
      <c r="AH101" s="180" t="n">
        <v>1</v>
      </c>
      <c r="AI101" s="187"/>
      <c r="AJ101" s="187"/>
      <c r="AK101" s="180"/>
      <c r="AL101" s="180"/>
      <c r="AM101" s="180" t="e">
        <f aca="false">(AE101-#REF!)*24</f>
        <v>#REF!</v>
      </c>
      <c r="AN101" s="180" t="e">
        <f aca="false">AM101+35</f>
        <v>#REF!</v>
      </c>
      <c r="AO101" s="186" t="n">
        <v>1</v>
      </c>
      <c r="AP101" s="186" t="s">
        <v>589</v>
      </c>
      <c r="AQ101" s="189" t="n">
        <v>45057.6784685185</v>
      </c>
      <c r="AR101" s="188" t="s">
        <v>592</v>
      </c>
      <c r="AS101" s="180" t="s">
        <v>593</v>
      </c>
      <c r="AT101" s="172"/>
      <c r="AU101" s="172"/>
      <c r="AV101" s="172"/>
      <c r="AW101" s="172"/>
      <c r="AX101" s="172"/>
      <c r="AY101" s="172"/>
      <c r="AZ101" s="172"/>
      <c r="BA101" s="180"/>
      <c r="BB101" s="172"/>
      <c r="BC101" s="172"/>
      <c r="BD101" s="172"/>
      <c r="BE101" s="172"/>
      <c r="BF101" s="193"/>
      <c r="BG101" s="194" t="n">
        <v>1</v>
      </c>
      <c r="BH101" s="194" t="n">
        <v>2</v>
      </c>
      <c r="BI101" s="194"/>
      <c r="BJ101" s="194" t="s">
        <v>600</v>
      </c>
      <c r="BK101" s="195" t="s">
        <v>587</v>
      </c>
      <c r="BL101" s="194" t="n">
        <v>2</v>
      </c>
      <c r="BM101" s="196" t="n">
        <v>45207</v>
      </c>
      <c r="BN101" s="196" t="n">
        <f aca="false">AQ101+145</f>
        <v>45202.6784685185</v>
      </c>
      <c r="BO101" s="197" t="n">
        <f aca="false">BM101-AQ101</f>
        <v>149.321531481502</v>
      </c>
      <c r="BP101" s="197" t="s">
        <v>35</v>
      </c>
      <c r="BQ101" s="195" t="s">
        <v>587</v>
      </c>
      <c r="BR101" s="254" t="n">
        <v>0.2</v>
      </c>
      <c r="BS101" s="254" t="n">
        <v>0.2</v>
      </c>
      <c r="BT101" s="254" t="n">
        <v>0.2</v>
      </c>
      <c r="BU101" s="254" t="n">
        <v>0.2</v>
      </c>
      <c r="BV101" s="254" t="n">
        <v>0.2</v>
      </c>
      <c r="BW101" s="254" t="n">
        <v>0.2</v>
      </c>
      <c r="BX101" s="254" t="n">
        <v>0.2</v>
      </c>
      <c r="BY101" s="254" t="n">
        <v>0.2</v>
      </c>
      <c r="BZ101" s="199" t="n">
        <v>0.2</v>
      </c>
      <c r="CA101" s="199" t="n">
        <v>5.1107</v>
      </c>
      <c r="CB101" s="199" t="n">
        <v>1.3686</v>
      </c>
      <c r="CC101" s="200" t="s">
        <v>588</v>
      </c>
      <c r="CD101" s="202" t="s">
        <v>589</v>
      </c>
      <c r="CE101" s="200" t="s">
        <v>588</v>
      </c>
      <c r="CF101" s="202" t="s">
        <v>589</v>
      </c>
      <c r="CG101" s="200" t="s">
        <v>588</v>
      </c>
      <c r="CH101" s="202" t="s">
        <v>589</v>
      </c>
      <c r="CI101" s="203"/>
      <c r="CJ101" s="200" t="s">
        <v>590</v>
      </c>
      <c r="CK101" s="204" t="n">
        <v>7</v>
      </c>
      <c r="CL101" s="305" t="n">
        <v>0.05</v>
      </c>
      <c r="CM101" s="305" t="n">
        <v>0.05</v>
      </c>
      <c r="CN101" s="297" t="n">
        <v>0.064783</v>
      </c>
      <c r="CO101" s="305" t="n">
        <v>0.05</v>
      </c>
      <c r="CP101" s="296" t="n">
        <v>0.10109</v>
      </c>
      <c r="CQ101" s="295" t="n">
        <v>0.2197</v>
      </c>
      <c r="CR101" s="296" t="n">
        <v>0.14662</v>
      </c>
      <c r="CS101" s="297" t="n">
        <v>0.07685</v>
      </c>
      <c r="CT101" s="297" t="n">
        <v>0.070315</v>
      </c>
      <c r="CU101" s="305" t="n">
        <v>0.05</v>
      </c>
      <c r="CV101" s="297" t="n">
        <v>0.060035</v>
      </c>
      <c r="CW101" s="297" t="n">
        <v>0.060559</v>
      </c>
      <c r="CX101" s="208" t="n">
        <f aca="false">AVERAGE(CL101:CO101)</f>
        <v>0.05369575</v>
      </c>
      <c r="CY101" s="208" t="n">
        <f aca="false">_xlfn.STDEV.S(CL101:CO101)</f>
        <v>0.0073915</v>
      </c>
      <c r="CZ101" s="208" t="n">
        <v>0.1</v>
      </c>
      <c r="DA101" s="186" t="n">
        <v>48</v>
      </c>
      <c r="DB101" s="209" t="e">
        <f aca="false">#REF!+(DA101/24)</f>
        <v>#REF!</v>
      </c>
      <c r="DC101" s="210" t="n">
        <v>2</v>
      </c>
      <c r="DD101" s="210" t="n">
        <v>3.5</v>
      </c>
      <c r="DE101" s="180" t="n">
        <f aca="false">DD101-DC101</f>
        <v>1.5</v>
      </c>
      <c r="DF101" s="180" t="n">
        <f aca="false">MAX(CM101:CX101)</f>
        <v>0.2197</v>
      </c>
      <c r="DG101" s="211" t="e">
        <f aca="false">(DB101-AE101)*24</f>
        <v>#REF!</v>
      </c>
      <c r="DH101" s="195" t="s">
        <v>587</v>
      </c>
      <c r="DI101" s="244" t="e">
        <f aca="false">(AQ101-DB101)*24</f>
        <v>#REF!</v>
      </c>
      <c r="DJ101" s="245" t="s">
        <v>600</v>
      </c>
      <c r="DK101" s="188" t="s">
        <v>148</v>
      </c>
      <c r="DL101" s="238" t="n">
        <v>99</v>
      </c>
      <c r="DM101" s="240" t="s">
        <v>166</v>
      </c>
    </row>
    <row r="102" customFormat="false" ht="15" hidden="false" customHeight="false" outlineLevel="0" collapsed="false">
      <c r="A102" s="188" t="s">
        <v>148</v>
      </c>
      <c r="B102" s="238" t="n">
        <v>100</v>
      </c>
      <c r="C102" s="239" t="s">
        <v>159</v>
      </c>
      <c r="D102" s="240" t="s">
        <v>160</v>
      </c>
      <c r="E102" s="215" t="s">
        <v>161</v>
      </c>
      <c r="F102" s="239" t="n">
        <v>88181</v>
      </c>
      <c r="G102" s="193"/>
      <c r="H102" s="218" t="n">
        <v>43403</v>
      </c>
      <c r="I102" s="180" t="n">
        <v>4.52602739726027</v>
      </c>
      <c r="J102" s="218" t="n">
        <v>44896</v>
      </c>
      <c r="K102" s="219" t="n">
        <v>77</v>
      </c>
      <c r="L102" s="219" t="n">
        <v>3.25</v>
      </c>
      <c r="M102" s="220" t="n">
        <v>159</v>
      </c>
      <c r="N102" s="221" t="n">
        <v>285</v>
      </c>
      <c r="O102" s="221"/>
      <c r="P102" s="221"/>
      <c r="Q102" s="221" t="n">
        <v>2660</v>
      </c>
      <c r="R102" s="221" t="n">
        <v>2397</v>
      </c>
      <c r="S102" s="221" t="n">
        <v>2324</v>
      </c>
      <c r="T102" s="221" t="n">
        <v>1595</v>
      </c>
      <c r="U102" s="222" t="s">
        <v>673</v>
      </c>
      <c r="V102" s="185" t="n">
        <f aca="false">EXP(1.204+(0.102*I102)+(0.007*N102)-(0.001*T102)+(0.008*M102)-2.723)</f>
        <v>1.84901819816122</v>
      </c>
      <c r="W102" s="185" t="n">
        <f aca="false">(V102/(1+V102))</f>
        <v>0.649001891021473</v>
      </c>
      <c r="X102" s="185" t="n">
        <f aca="false">EXP(2.859+(0.011*N102)-(0.002*T102)+(0.275*I102)-1.952)</f>
        <v>8.13892033505758</v>
      </c>
      <c r="Y102" s="185" t="n">
        <f aca="false">(X102/(1+X102))</f>
        <v>0.890577884111329</v>
      </c>
      <c r="Z102" s="238" t="n">
        <v>100</v>
      </c>
      <c r="AA102" s="186" t="n">
        <v>66</v>
      </c>
      <c r="AB102" s="187" t="n">
        <v>45057.1067476852</v>
      </c>
      <c r="AC102" s="187" t="n">
        <v>45057.1096643519</v>
      </c>
      <c r="AD102" s="180" t="n">
        <v>0.0700000001234002</v>
      </c>
      <c r="AE102" s="190" t="n">
        <v>45057.1067476852</v>
      </c>
      <c r="AF102" s="190" t="n">
        <v>45057.1096643519</v>
      </c>
      <c r="AG102" s="180" t="n">
        <v>0.0700000001234002</v>
      </c>
      <c r="AH102" s="180" t="n">
        <v>1</v>
      </c>
      <c r="AI102" s="187"/>
      <c r="AJ102" s="187"/>
      <c r="AK102" s="180"/>
      <c r="AL102" s="180"/>
      <c r="AM102" s="180" t="e">
        <f aca="false">(AE102-#REF!)*24</f>
        <v>#REF!</v>
      </c>
      <c r="AN102" s="180" t="e">
        <f aca="false">AM102+35</f>
        <v>#REF!</v>
      </c>
      <c r="AO102" s="186" t="n">
        <v>3</v>
      </c>
      <c r="AP102" s="186" t="s">
        <v>589</v>
      </c>
      <c r="AQ102" s="189" t="n">
        <v>45057.6810155093</v>
      </c>
      <c r="AR102" s="188" t="s">
        <v>592</v>
      </c>
      <c r="AS102" s="180" t="s">
        <v>584</v>
      </c>
      <c r="AT102" s="172" t="n">
        <v>66</v>
      </c>
      <c r="AU102" s="172"/>
      <c r="AV102" s="172"/>
      <c r="AW102" s="172"/>
      <c r="AX102" s="190" t="n">
        <v>45082.4874884259</v>
      </c>
      <c r="AY102" s="190" t="n">
        <v>45082.4874884259</v>
      </c>
      <c r="AZ102" s="191" t="n">
        <v>0</v>
      </c>
      <c r="BA102" s="180" t="n">
        <v>1</v>
      </c>
      <c r="BB102" s="172"/>
      <c r="BC102" s="172"/>
      <c r="BD102" s="172"/>
      <c r="BE102" s="172"/>
      <c r="BF102" s="193" t="n">
        <v>1</v>
      </c>
      <c r="BG102" s="194" t="n">
        <v>1</v>
      </c>
      <c r="BH102" s="194" t="n">
        <v>3</v>
      </c>
      <c r="BI102" s="194"/>
      <c r="BJ102" s="194" t="s">
        <v>600</v>
      </c>
      <c r="BK102" s="195" t="s">
        <v>587</v>
      </c>
      <c r="BL102" s="194" t="n">
        <v>3</v>
      </c>
      <c r="BM102" s="196" t="n">
        <v>45205</v>
      </c>
      <c r="BN102" s="196" t="n">
        <f aca="false">AQ102+145</f>
        <v>45202.6810155093</v>
      </c>
      <c r="BO102" s="197" t="n">
        <f aca="false">BM102-AQ102</f>
        <v>147.318984490703</v>
      </c>
      <c r="BP102" s="197" t="s">
        <v>35</v>
      </c>
      <c r="BQ102" s="195" t="s">
        <v>587</v>
      </c>
      <c r="BR102" s="199" t="n">
        <v>0.2</v>
      </c>
      <c r="BS102" s="199" t="n">
        <v>0.2</v>
      </c>
      <c r="BT102" s="199" t="n">
        <v>0.2</v>
      </c>
      <c r="BU102" s="199" t="n">
        <v>0.2</v>
      </c>
      <c r="BV102" s="199" t="n">
        <v>0.2</v>
      </c>
      <c r="BW102" s="199" t="n">
        <v>0.2</v>
      </c>
      <c r="BX102" s="199" t="n">
        <v>0.2</v>
      </c>
      <c r="BY102" s="199" t="n">
        <v>0.2</v>
      </c>
      <c r="BZ102" s="199" t="n">
        <v>0.2</v>
      </c>
      <c r="CA102" s="199" t="n">
        <v>0.2</v>
      </c>
      <c r="CB102" s="199" t="n">
        <v>0.2</v>
      </c>
      <c r="CC102" s="200" t="s">
        <v>588</v>
      </c>
      <c r="CD102" s="201" t="s">
        <v>582</v>
      </c>
      <c r="CE102" s="200" t="s">
        <v>588</v>
      </c>
      <c r="CF102" s="201" t="s">
        <v>582</v>
      </c>
      <c r="CG102" s="200" t="s">
        <v>588</v>
      </c>
      <c r="CH102" s="201" t="s">
        <v>582</v>
      </c>
      <c r="CI102" s="203"/>
      <c r="CJ102" s="203"/>
      <c r="CK102" s="204"/>
      <c r="CL102" s="305" t="n">
        <v>0.05</v>
      </c>
      <c r="CM102" s="297" t="n">
        <v>0.062489</v>
      </c>
      <c r="CN102" s="297" t="n">
        <v>0.069776</v>
      </c>
      <c r="CO102" s="297" t="n">
        <v>0.063723</v>
      </c>
      <c r="CP102" s="295" t="n">
        <v>0.86584</v>
      </c>
      <c r="CQ102" s="296" t="n">
        <v>0.17806</v>
      </c>
      <c r="CR102" s="297" t="n">
        <v>0.095458</v>
      </c>
      <c r="CS102" s="297" t="n">
        <v>0.061611</v>
      </c>
      <c r="CT102" s="297" t="n">
        <v>0.061435</v>
      </c>
      <c r="CU102" s="305" t="n">
        <v>0.05</v>
      </c>
      <c r="CV102" s="297" t="n">
        <v>0.060734</v>
      </c>
      <c r="CW102" s="297" t="n">
        <v>0.061611</v>
      </c>
      <c r="CX102" s="208" t="n">
        <f aca="false">AVERAGE(CL102:CO102)</f>
        <v>0.061497</v>
      </c>
      <c r="CY102" s="208" t="n">
        <f aca="false">_xlfn.STDEV.S(CL102:CO102)</f>
        <v>0.00829983915506801</v>
      </c>
      <c r="CZ102" s="208" t="n">
        <v>0.1</v>
      </c>
      <c r="DA102" s="186" t="n">
        <v>48</v>
      </c>
      <c r="DB102" s="209" t="e">
        <f aca="false">#REF!+(DA102/24)</f>
        <v>#REF!</v>
      </c>
      <c r="DC102" s="210" t="n">
        <v>2</v>
      </c>
      <c r="DD102" s="210" t="n">
        <v>3</v>
      </c>
      <c r="DE102" s="180" t="n">
        <f aca="false">DD102-DC102</f>
        <v>1</v>
      </c>
      <c r="DF102" s="180" t="n">
        <f aca="false">MAX(CM102:CX102)</f>
        <v>0.86584</v>
      </c>
      <c r="DG102" s="211" t="e">
        <f aca="false">(DB102-AE102)*24</f>
        <v>#REF!</v>
      </c>
      <c r="DH102" s="195" t="s">
        <v>587</v>
      </c>
      <c r="DI102" s="244" t="e">
        <f aca="false">(AQ102-DB102)*24</f>
        <v>#REF!</v>
      </c>
      <c r="DJ102" s="245" t="s">
        <v>600</v>
      </c>
      <c r="DK102" s="188" t="s">
        <v>148</v>
      </c>
      <c r="DL102" s="238" t="n">
        <v>100</v>
      </c>
      <c r="DM102" s="240" t="s">
        <v>160</v>
      </c>
    </row>
    <row r="103" customFormat="false" ht="15" hidden="false" customHeight="false" outlineLevel="0" collapsed="false">
      <c r="A103" s="140"/>
      <c r="B103" s="307"/>
      <c r="C103" s="308"/>
      <c r="D103" s="309"/>
      <c r="E103" s="310"/>
      <c r="F103" s="308"/>
      <c r="G103" s="289"/>
      <c r="H103" s="292"/>
      <c r="I103" s="292"/>
      <c r="J103" s="292"/>
      <c r="K103" s="311"/>
      <c r="L103" s="311"/>
      <c r="M103" s="312"/>
      <c r="N103" s="288"/>
      <c r="O103" s="288"/>
      <c r="P103" s="288"/>
      <c r="Q103" s="288"/>
      <c r="R103" s="288"/>
      <c r="S103" s="288"/>
      <c r="T103" s="288"/>
      <c r="U103" s="288"/>
      <c r="V103" s="288"/>
      <c r="W103" s="289"/>
      <c r="X103" s="289"/>
      <c r="Y103" s="289"/>
      <c r="Z103" s="307"/>
      <c r="AA103" s="1"/>
      <c r="AB103" s="6"/>
      <c r="AC103" s="6"/>
      <c r="AD103" s="290"/>
      <c r="AE103" s="6"/>
      <c r="AF103" s="6"/>
      <c r="AG103" s="290"/>
      <c r="AH103" s="160"/>
      <c r="AI103" s="6"/>
      <c r="AJ103" s="6"/>
      <c r="AK103" s="290"/>
      <c r="AL103" s="160"/>
      <c r="AM103" s="290"/>
      <c r="AN103" s="290"/>
      <c r="AT103" s="140"/>
      <c r="AU103" s="151"/>
      <c r="AV103" s="151"/>
      <c r="AW103" s="290"/>
      <c r="AX103" s="151"/>
      <c r="AY103" s="151"/>
      <c r="AZ103" s="290"/>
      <c r="BA103" s="290"/>
      <c r="BB103" s="151"/>
      <c r="BC103" s="151"/>
      <c r="BD103" s="290"/>
      <c r="BE103" s="290"/>
      <c r="BF103" s="140"/>
      <c r="BG103" s="140"/>
      <c r="BH103" s="140"/>
      <c r="BI103" s="140"/>
      <c r="BJ103" s="140"/>
      <c r="BK103" s="291"/>
      <c r="BL103" s="140"/>
      <c r="BM103" s="292"/>
      <c r="BN103" s="292"/>
      <c r="BO103" s="289"/>
      <c r="BP103" s="289"/>
      <c r="BQ103" s="291"/>
      <c r="BR103" s="293"/>
      <c r="BS103" s="293"/>
      <c r="BT103" s="294"/>
      <c r="BU103" s="294"/>
      <c r="BV103" s="294"/>
      <c r="BW103" s="294"/>
      <c r="BX103" s="294"/>
      <c r="BY103" s="294"/>
      <c r="BZ103" s="294"/>
      <c r="CA103" s="294"/>
      <c r="CB103" s="294"/>
      <c r="CC103" s="203"/>
      <c r="CD103" s="203"/>
      <c r="CE103" s="203"/>
      <c r="CF103" s="203"/>
      <c r="CG103" s="203"/>
      <c r="CH103" s="203"/>
      <c r="CI103" s="203"/>
      <c r="CJ103" s="203"/>
      <c r="CK103" s="291"/>
      <c r="CL103" s="291"/>
      <c r="CM103" s="291"/>
      <c r="CN103" s="291"/>
      <c r="CO103" s="291"/>
      <c r="CP103" s="291"/>
      <c r="CQ103" s="291"/>
      <c r="CR103" s="291"/>
      <c r="CS103" s="291"/>
      <c r="CT103" s="291"/>
      <c r="CU103" s="291"/>
      <c r="CV103" s="291"/>
      <c r="CW103" s="291"/>
      <c r="CX103" s="291"/>
      <c r="CY103" s="291"/>
      <c r="CZ103" s="291"/>
      <c r="DA103" s="291"/>
      <c r="DB103" s="291"/>
      <c r="DC103" s="291"/>
      <c r="DD103" s="291"/>
      <c r="DE103" s="291"/>
      <c r="DF103" s="291"/>
      <c r="DG103" s="291"/>
      <c r="DH103" s="291"/>
      <c r="DI103" s="291"/>
      <c r="DJ103" s="140"/>
      <c r="DK103" s="140"/>
      <c r="DL103" s="307"/>
      <c r="DM103" s="309"/>
    </row>
    <row r="104" customFormat="false" ht="15" hidden="false" customHeight="false" outlineLevel="0" collapsed="false">
      <c r="BK104" s="291"/>
      <c r="BQ104" s="291"/>
      <c r="BR104" s="293"/>
      <c r="BS104" s="293"/>
      <c r="BT104" s="294"/>
      <c r="BU104" s="294"/>
      <c r="BV104" s="294"/>
      <c r="BW104" s="294"/>
      <c r="BX104" s="294"/>
      <c r="BY104" s="294"/>
      <c r="BZ104" s="294"/>
      <c r="CA104" s="294"/>
      <c r="CB104" s="294"/>
      <c r="CC104" s="203"/>
      <c r="CD104" s="203"/>
      <c r="CE104" s="203"/>
      <c r="CF104" s="203"/>
      <c r="CG104" s="203"/>
      <c r="CH104" s="203"/>
      <c r="CI104" s="203"/>
      <c r="CJ104" s="203"/>
      <c r="CK104" s="291"/>
      <c r="CL104" s="291"/>
      <c r="CM104" s="291"/>
      <c r="CN104" s="291"/>
      <c r="CO104" s="291"/>
      <c r="CP104" s="291"/>
      <c r="CQ104" s="291"/>
      <c r="CR104" s="291"/>
      <c r="CS104" s="291"/>
      <c r="CT104" s="291"/>
      <c r="CU104" s="291"/>
      <c r="CV104" s="291"/>
      <c r="CW104" s="291"/>
      <c r="CX104" s="291"/>
      <c r="CY104" s="291"/>
      <c r="CZ104" s="291"/>
      <c r="DA104" s="291"/>
      <c r="DB104" s="291"/>
      <c r="DC104" s="291"/>
      <c r="DD104" s="291"/>
      <c r="DE104" s="291"/>
      <c r="DF104" s="291"/>
      <c r="DG104" s="291"/>
      <c r="DH104" s="291"/>
      <c r="DI104" s="291"/>
    </row>
    <row r="105" customFormat="false" ht="15" hidden="false" customHeight="false" outlineLevel="0" collapsed="false">
      <c r="H105" s="140" t="s">
        <v>674</v>
      </c>
      <c r="I105" s="280" t="n">
        <v>3.38978082191781</v>
      </c>
      <c r="J105" s="313" t="n">
        <f aca="false">SUBTOTAL(1,J2:J101)</f>
        <v>44864.9</v>
      </c>
      <c r="K105" s="280" t="n">
        <f aca="false">SUBTOTAL(1,K2:K101)</f>
        <v>68.2088</v>
      </c>
      <c r="L105" s="280" t="n">
        <f aca="false">SUBTOTAL(1,L2:L101)</f>
        <v>3.3675</v>
      </c>
      <c r="M105" s="280" t="n">
        <v>189.96</v>
      </c>
      <c r="N105" s="280" t="n">
        <f aca="false">SUBTOTAL(1,N2:N101)</f>
        <v>262.45</v>
      </c>
      <c r="O105" s="280"/>
      <c r="P105" s="280"/>
      <c r="Q105" s="280"/>
      <c r="R105" s="280"/>
      <c r="S105" s="280"/>
      <c r="T105" s="280" t="n">
        <f aca="false">SUBTOTAL(1,T2:T101)</f>
        <v>1437.37</v>
      </c>
      <c r="U105" s="280"/>
      <c r="W105" s="280" t="n">
        <f aca="false">SUBTOTAL(1,W2:W101)</f>
        <v>0.619771639886508</v>
      </c>
      <c r="Y105" s="280" t="n">
        <f aca="false">SUBTOTAL(1,Y2:Y101)</f>
        <v>0.76409148770584</v>
      </c>
      <c r="AB105" s="314" t="n">
        <f aca="false">SUBTOTAL(1,AB2:AB101)</f>
        <v>45057.3334051828</v>
      </c>
      <c r="AC105" s="314" t="n">
        <f aca="false">SUBTOTAL(1,AC2:AC101)</f>
        <v>45059.6885612073</v>
      </c>
      <c r="AD105" s="280" t="n">
        <f aca="false">SUBTOTAL(1,AD2:AD101)</f>
        <v>56.523744588733</v>
      </c>
      <c r="AE105" s="314" t="n">
        <f aca="false">SUBTOTAL(1,AE2:AE101)</f>
        <v>45057.4913810185</v>
      </c>
      <c r="AF105" s="314" t="n">
        <f aca="false">SUBTOTAL(1,AF2:AF101)</f>
        <v>45058.1825037037</v>
      </c>
      <c r="AG105" s="280" t="n">
        <f aca="false">SUBTOTAL(1,AG2:AG101)</f>
        <v>16.5869444444403</v>
      </c>
      <c r="AH105" s="280" t="n">
        <f aca="false">SUBTOTAL(1,AH2:AH101)</f>
        <v>16.7998925925892</v>
      </c>
      <c r="AI105" s="314" t="n">
        <f aca="false">SUBTOTAL(1,AI2:AI101)</f>
        <v>45063.2822569445</v>
      </c>
      <c r="AJ105" s="314" t="n">
        <f aca="false">SUBTOTAL(1,AJ2:AJ101)</f>
        <v>45063.7306944445</v>
      </c>
      <c r="AK105" s="280" t="n">
        <f aca="false">SUBTOTAL(1,AK2:AK101)</f>
        <v>10.7624999999825</v>
      </c>
      <c r="AL105" s="280" t="n">
        <f aca="false">SUBTOTAL(1,AL2:AL101)</f>
        <v>11.2580555555469</v>
      </c>
      <c r="AM105" s="280" t="e">
        <f aca="false">SUBTOTAL(1,AM2:AM101)</f>
        <v>#REF!</v>
      </c>
      <c r="AN105" s="280" t="e">
        <f aca="false">SUBTOTAL(1,AN2:AN101)</f>
        <v>#REF!</v>
      </c>
      <c r="AO105" s="280" t="n">
        <f aca="false">SUBTOTAL(1,AO2:AO101)</f>
        <v>19.7012987012987</v>
      </c>
      <c r="AP105" s="280"/>
      <c r="AQ105" s="280"/>
      <c r="AR105" s="280"/>
      <c r="AS105" s="280"/>
      <c r="AU105" s="314" t="n">
        <f aca="false">SUBTOTAL(1,AU2:AU101)</f>
        <v>45073.1030058991</v>
      </c>
      <c r="AV105" s="314" t="n">
        <f aca="false">SUBTOTAL(1,AV2:AV101)</f>
        <v>45082.578823178</v>
      </c>
      <c r="AW105" s="280" t="n">
        <f aca="false">SUBTOTAL(1,AW2:AW101)</f>
        <v>227.419614695339</v>
      </c>
      <c r="AX105" s="314" t="n">
        <f aca="false">SUBTOTAL(1,AX2:AX101)</f>
        <v>45075.4021802126</v>
      </c>
      <c r="AY105" s="314" t="n">
        <f aca="false">SUBTOTAL(1,AY2:AY101)</f>
        <v>45076.0039433299</v>
      </c>
      <c r="AZ105" s="280" t="n">
        <f aca="false">SUBTOTAL(1,AZ2:AZ101)</f>
        <v>14.4423148148182</v>
      </c>
      <c r="BA105" s="280" t="n">
        <f aca="false">SUBTOTAL(1,BA2:BA101)</f>
        <v>14.813271604944</v>
      </c>
      <c r="BB105" s="314" t="n">
        <f aca="false">SUBTOTAL(1,BB2:BB101)</f>
        <v>45078.5811772487</v>
      </c>
      <c r="BC105" s="314" t="n">
        <f aca="false">SUBTOTAL(1,BC2:BC101)</f>
        <v>45079.1853918651</v>
      </c>
      <c r="BE105" s="280" t="n">
        <f aca="false">SUBTOTAL(1,BE2:BE101)</f>
        <v>14.7817063492091</v>
      </c>
      <c r="BF105" s="280" t="n">
        <f aca="false">SUBTOTAL(1,BF2:BF101)</f>
        <v>18.8709677419355</v>
      </c>
      <c r="BH105" s="280" t="n">
        <f aca="false">SUBTOTAL(1,BH2:BH101)</f>
        <v>1.43859649122807</v>
      </c>
      <c r="BK105" s="291"/>
      <c r="BL105" s="280" t="n">
        <f aca="false">SUBTOTAL(1,BL2:BL101)</f>
        <v>1.35526315789474</v>
      </c>
      <c r="BO105" s="280" t="n">
        <f aca="false">SUBTOTAL(1,BO2:BO101)</f>
        <v>156.643051522905</v>
      </c>
      <c r="BP105" s="280"/>
      <c r="BQ105" s="291"/>
      <c r="BR105" s="280" t="n">
        <f aca="false">SUBTOTAL(1,BR2:BR101)</f>
        <v>0.939614285714286</v>
      </c>
      <c r="BS105" s="280" t="n">
        <f aca="false">SUBTOTAL(1,BS2:BS101)</f>
        <v>1.39745112244898</v>
      </c>
      <c r="BT105" s="280" t="n">
        <f aca="false">SUBTOTAL(1,BT2:BT101)</f>
        <v>0.524370808080808</v>
      </c>
      <c r="BU105" s="280" t="n">
        <f aca="false">SUBTOTAL(1,BU2:BU101)</f>
        <v>0.610606464646465</v>
      </c>
      <c r="BV105" s="280" t="n">
        <f aca="false">SUBTOTAL(1,BV2:BV101)</f>
        <v>0.601793636363636</v>
      </c>
      <c r="BW105" s="280" t="n">
        <f aca="false">SUBTOTAL(1,BW2:BW101)</f>
        <v>0.613162142857143</v>
      </c>
      <c r="BX105" s="280" t="n">
        <f aca="false">SUBTOTAL(1,BX2:BX101)</f>
        <v>1.05930858585859</v>
      </c>
      <c r="BY105" s="280" t="n">
        <f aca="false">SUBTOTAL(1,BY2:BY101)</f>
        <v>1.63724835051546</v>
      </c>
      <c r="BZ105" s="280" t="n">
        <f aca="false">SUBTOTAL(1,BZ2:BZ101)</f>
        <v>1.99119755102041</v>
      </c>
      <c r="CA105" s="280" t="n">
        <f aca="false">SUBTOTAL(1,CA2:CA101)</f>
        <v>3.12777616161616</v>
      </c>
      <c r="CB105" s="280" t="n">
        <f aca="false">SUBTOTAL(1,CB2:CB101)</f>
        <v>3.4333696969697</v>
      </c>
      <c r="CC105" s="203"/>
      <c r="CD105" s="203"/>
      <c r="CE105" s="203"/>
      <c r="CF105" s="203"/>
      <c r="CG105" s="203"/>
      <c r="CH105" s="203"/>
      <c r="CI105" s="203"/>
      <c r="CJ105" s="203"/>
      <c r="CK105" s="291"/>
      <c r="CL105" s="291"/>
      <c r="CM105" s="291"/>
      <c r="CN105" s="291"/>
      <c r="CO105" s="291"/>
      <c r="CP105" s="291"/>
      <c r="CQ105" s="291"/>
      <c r="CR105" s="291"/>
      <c r="CS105" s="291"/>
      <c r="CT105" s="291"/>
      <c r="CU105" s="291"/>
      <c r="CV105" s="291"/>
      <c r="CW105" s="291"/>
      <c r="CX105" s="291"/>
      <c r="CY105" s="291"/>
      <c r="CZ105" s="291"/>
      <c r="DA105" s="280" t="n">
        <f aca="false">SUBTOTAL(1,DA2:DA101)</f>
        <v>57.221052631579</v>
      </c>
      <c r="DB105" s="314" t="e">
        <f aca="false">SUBTOTAL(1,DB2:DB101)</f>
        <v>#REF!</v>
      </c>
      <c r="DC105" s="314"/>
      <c r="DD105" s="314"/>
      <c r="DE105" s="314"/>
      <c r="DF105" s="314"/>
      <c r="DG105" s="280" t="e">
        <f aca="false">SUBTOTAL(1,DG2:DG101)</f>
        <v>#REF!</v>
      </c>
      <c r="DH105" s="291"/>
      <c r="DI105" s="280" t="e">
        <f aca="false">SUBTOTAL(1,DI2:DI101)</f>
        <v>#REF!</v>
      </c>
    </row>
    <row r="106" customFormat="false" ht="15" hidden="false" customHeight="false" outlineLevel="0" collapsed="false">
      <c r="H106" s="140" t="s">
        <v>675</v>
      </c>
      <c r="I106" s="280" t="n">
        <v>1.51267715143283</v>
      </c>
      <c r="J106" s="280" t="n">
        <f aca="false">SUBTOTAL(7,J2:J101)</f>
        <v>20.0078267513774</v>
      </c>
      <c r="K106" s="280" t="n">
        <f aca="false">SUBTOTAL(7,K2:K101)</f>
        <v>9.90530806377994</v>
      </c>
      <c r="L106" s="280" t="n">
        <f aca="false">SUBTOTAL(7,L2:L101)</f>
        <v>0.399581536160524</v>
      </c>
      <c r="M106" s="280" t="n">
        <v>20.1769545509101</v>
      </c>
      <c r="N106" s="280" t="n">
        <f aca="false">SUBTOTAL(7,N2:N101)</f>
        <v>53.4348229437537</v>
      </c>
      <c r="O106" s="280"/>
      <c r="P106" s="280"/>
      <c r="Q106" s="280"/>
      <c r="R106" s="280"/>
      <c r="S106" s="280"/>
      <c r="T106" s="280" t="n">
        <f aca="false">SUBTOTAL(7,T2:T101)</f>
        <v>300.909686608706</v>
      </c>
      <c r="U106" s="280"/>
      <c r="W106" s="280" t="n">
        <f aca="false">SUBTOTAL(7,W2:W101)</f>
        <v>0.149595565283365</v>
      </c>
      <c r="Y106" s="280" t="n">
        <f aca="false">SUBTOTAL(7,Y2:Y101)</f>
        <v>0.17247776079462</v>
      </c>
      <c r="AB106" s="280" t="n">
        <f aca="false">SUBTOTAL(7,AB2:AB101)</f>
        <v>2.30624603684138</v>
      </c>
      <c r="AC106" s="280" t="n">
        <f aca="false">SUBTOTAL(7,AC2:AC101)</f>
        <v>3.64946479246995</v>
      </c>
      <c r="AD106" s="280" t="n">
        <f aca="false">SUBTOTAL(7,AD2:AD101)</f>
        <v>82.4656519902675</v>
      </c>
      <c r="AE106" s="280" t="n">
        <f aca="false">SUBTOTAL(7,AE2:AE101)</f>
        <v>2.44065386671047</v>
      </c>
      <c r="AF106" s="280" t="n">
        <f aca="false">SUBTOTAL(7,AF2:AF101)</f>
        <v>2.21639972339318</v>
      </c>
      <c r="AG106" s="280" t="n">
        <f aca="false">SUBTOTAL(7,AG2:AG101)</f>
        <v>19.0039515407039</v>
      </c>
      <c r="AH106" s="280" t="n">
        <f aca="false">SUBTOTAL(7,AH2:AH101)</f>
        <v>18.8191562510632</v>
      </c>
      <c r="AI106" s="280" t="n">
        <f aca="false">SUBTOTAL(7,AI2:AI101)</f>
        <v>1.97780385616104</v>
      </c>
      <c r="AJ106" s="280" t="n">
        <f aca="false">SUBTOTAL(7,AJ2:AJ101)</f>
        <v>1.34414124449261</v>
      </c>
      <c r="AK106" s="280" t="n">
        <f aca="false">SUBTOTAL(7,AK2:AK101)</f>
        <v>15.2079026778195</v>
      </c>
      <c r="AL106" s="280" t="n">
        <f aca="false">SUBTOTAL(7,AL2:AL101)</f>
        <v>14.5070812902311</v>
      </c>
      <c r="AM106" s="280" t="e">
        <f aca="false">SUBTOTAL(7,AM2:AM101)</f>
        <v>#REF!</v>
      </c>
      <c r="AN106" s="280" t="e">
        <f aca="false">SUBTOTAL(7,AN2:AN101)</f>
        <v>#REF!</v>
      </c>
      <c r="AO106" s="280" t="n">
        <f aca="false">SUBTOTAL(7,AO2:AO101)</f>
        <v>27.2445382914124</v>
      </c>
      <c r="AP106" s="280"/>
      <c r="AQ106" s="280"/>
      <c r="AR106" s="280"/>
      <c r="AS106" s="280"/>
      <c r="AU106" s="280" t="n">
        <f aca="false">SUBTOTAL(7,AU2:AU101)</f>
        <v>4.4550255540043</v>
      </c>
      <c r="AV106" s="280" t="n">
        <f aca="false">SUBTOTAL(7,AV2:AV101)</f>
        <v>4.89721179112583</v>
      </c>
      <c r="AW106" s="280" t="n">
        <f aca="false">SUBTOTAL(7,AW2:AW101)</f>
        <v>110.832461845241</v>
      </c>
      <c r="AX106" s="280" t="n">
        <f aca="false">SUBTOTAL(7,AX2:AX101)</f>
        <v>4.70684030667784</v>
      </c>
      <c r="AY106" s="280" t="n">
        <f aca="false">SUBTOTAL(7,AY2:AY101)</f>
        <v>4.49089930861549</v>
      </c>
      <c r="AZ106" s="280" t="n">
        <f aca="false">SUBTOTAL(7,AZ2:AZ101)</f>
        <v>23.150947647181</v>
      </c>
      <c r="BA106" s="280" t="n">
        <f aca="false">SUBTOTAL(7,BA2:BA101)</f>
        <v>22.9198042939193</v>
      </c>
      <c r="BB106" s="280" t="n">
        <f aca="false">SUBTOTAL(7,BB2:BB101)</f>
        <v>3.31782138052241</v>
      </c>
      <c r="BC106" s="280" t="n">
        <f aca="false">SUBTOTAL(7,BC2:BC101)</f>
        <v>4.08589673768013</v>
      </c>
      <c r="BE106" s="280" t="n">
        <f aca="false">SUBTOTAL(7,BE2:BE101)</f>
        <v>23.8701784600642</v>
      </c>
      <c r="BF106" s="280" t="n">
        <f aca="false">SUBTOTAL(7,BF2:BF101)</f>
        <v>27.7928424982061</v>
      </c>
      <c r="BH106" s="280" t="n">
        <f aca="false">SUBTOTAL(7,BH2:BH101)</f>
        <v>0.567499020126565</v>
      </c>
      <c r="BK106" s="291"/>
      <c r="BL106" s="280" t="n">
        <f aca="false">SUBTOTAL(7,BL2:BL101)</f>
        <v>0.508696304119228</v>
      </c>
      <c r="BO106" s="280" t="n">
        <f aca="false">SUBTOTAL(7,BO2:BO101)</f>
        <v>16.1782091488918</v>
      </c>
      <c r="BP106" s="280"/>
      <c r="BQ106" s="291"/>
      <c r="BR106" s="280" t="n">
        <f aca="false">SUBTOTAL(7,BR2:BR101)</f>
        <v>1.24697386489283</v>
      </c>
      <c r="BS106" s="280" t="n">
        <f aca="false">SUBTOTAL(7,BS2:BS101)</f>
        <v>1.62066816717062</v>
      </c>
      <c r="BT106" s="280" t="n">
        <f aca="false">SUBTOTAL(7,BT2:BT101)</f>
        <v>0.396827921287837</v>
      </c>
      <c r="BU106" s="280" t="n">
        <f aca="false">SUBTOTAL(7,BU2:BU101)</f>
        <v>0.535001827979546</v>
      </c>
      <c r="BV106" s="280" t="n">
        <f aca="false">SUBTOTAL(7,BV2:BV101)</f>
        <v>0.523670560770084</v>
      </c>
      <c r="BW106" s="280" t="n">
        <f aca="false">SUBTOTAL(7,BW2:BW101)</f>
        <v>0.549692911081541</v>
      </c>
      <c r="BX106" s="280" t="n">
        <f aca="false">SUBTOTAL(7,BX2:BX101)</f>
        <v>0.799836416517637</v>
      </c>
      <c r="BY106" s="280" t="n">
        <f aca="false">SUBTOTAL(7,BY2:BY101)</f>
        <v>1.02256597288154</v>
      </c>
      <c r="BZ106" s="280" t="n">
        <f aca="false">SUBTOTAL(7,BZ2:BZ101)</f>
        <v>1.25974967684679</v>
      </c>
      <c r="CA106" s="280" t="n">
        <f aca="false">SUBTOTAL(7,CA2:CA101)</f>
        <v>1.58573212113889</v>
      </c>
      <c r="CB106" s="280" t="n">
        <f aca="false">SUBTOTAL(7,CB2:CB101)</f>
        <v>1.77253155229074</v>
      </c>
      <c r="CC106" s="203"/>
      <c r="CD106" s="203"/>
      <c r="CE106" s="203"/>
      <c r="CF106" s="203"/>
      <c r="CG106" s="203"/>
      <c r="CH106" s="203"/>
      <c r="CI106" s="203"/>
      <c r="CJ106" s="203"/>
      <c r="CK106" s="291"/>
      <c r="CL106" s="291"/>
      <c r="CM106" s="291"/>
      <c r="CN106" s="291"/>
      <c r="CO106" s="291"/>
      <c r="CP106" s="291"/>
      <c r="CQ106" s="291"/>
      <c r="CR106" s="291"/>
      <c r="CS106" s="291"/>
      <c r="CT106" s="291"/>
      <c r="CU106" s="291"/>
      <c r="CV106" s="291"/>
      <c r="CW106" s="291"/>
      <c r="CX106" s="291"/>
      <c r="CY106" s="291"/>
      <c r="CZ106" s="291"/>
      <c r="DA106" s="280" t="n">
        <f aca="false">SUBTOTAL(7,DA2:DA101)</f>
        <v>16.2750160619383</v>
      </c>
      <c r="DB106" s="280" t="e">
        <f aca="false">SUBTOTAL(7,DB2:DB101)</f>
        <v>#REF!</v>
      </c>
      <c r="DC106" s="280"/>
      <c r="DD106" s="280"/>
      <c r="DE106" s="280"/>
      <c r="DF106" s="280"/>
      <c r="DG106" s="280" t="e">
        <f aca="false">SUBTOTAL(7,DG2:DG101)</f>
        <v>#REF!</v>
      </c>
      <c r="DH106" s="291"/>
      <c r="DI106" s="280" t="e">
        <f aca="false">SUBTOTAL(7,DI2:DI101)</f>
        <v>#REF!</v>
      </c>
    </row>
    <row r="107" customFormat="false" ht="15" hidden="false" customHeight="false" outlineLevel="0" collapsed="false">
      <c r="H107" s="140" t="s">
        <v>676</v>
      </c>
      <c r="I107" s="280" t="n">
        <v>0.151267715143283</v>
      </c>
      <c r="J107" s="280" t="n">
        <f aca="false">J106/(SQRT(J108))</f>
        <v>2.00078267513774</v>
      </c>
      <c r="K107" s="280" t="n">
        <f aca="false">K106/(SQRT(K108))</f>
        <v>0.990530806377994</v>
      </c>
      <c r="L107" s="280" t="n">
        <f aca="false">L106/(SQRT(L108))</f>
        <v>0.0399581536160524</v>
      </c>
      <c r="M107" s="280" t="n">
        <v>2.01769545509101</v>
      </c>
      <c r="N107" s="280" t="n">
        <f aca="false">N106/(SQRT(N108))</f>
        <v>5.34348229437537</v>
      </c>
      <c r="O107" s="280"/>
      <c r="P107" s="280"/>
      <c r="Q107" s="280"/>
      <c r="R107" s="280"/>
      <c r="S107" s="280"/>
      <c r="T107" s="280" t="n">
        <f aca="false">T106/(SQRT(T108))</f>
        <v>30.0909686608706</v>
      </c>
      <c r="U107" s="280"/>
      <c r="W107" s="280" t="n">
        <f aca="false">W106/(SQRT(W108))</f>
        <v>0.015034920010486</v>
      </c>
      <c r="Y107" s="280" t="n">
        <f aca="false">Y106/(SQRT(Y108))</f>
        <v>0.0173346671889826</v>
      </c>
      <c r="AB107" s="280" t="n">
        <f aca="false">AB106/(SQRT(AB108))</f>
        <v>0.262821127816199</v>
      </c>
      <c r="AC107" s="280" t="n">
        <f aca="false">AC106/(SQRT(AC108))</f>
        <v>0.415895111519028</v>
      </c>
      <c r="AD107" s="280" t="n">
        <f aca="false">AD106/(SQRT(AD108))</f>
        <v>9.39783323893078</v>
      </c>
      <c r="AE107" s="280" t="n">
        <f aca="false">AE106/(SQRT(AE108))</f>
        <v>0.281822433388798</v>
      </c>
      <c r="AF107" s="280" t="n">
        <f aca="false">AF106/(SQRT(AF108))</f>
        <v>0.255927795386573</v>
      </c>
      <c r="AG107" s="280" t="n">
        <f aca="false">AG106/(SQRT(AG108))</f>
        <v>2.1943873075384</v>
      </c>
      <c r="AH107" s="280" t="n">
        <f aca="false">AH106/(SQRT(AH108))</f>
        <v>2.17304898549459</v>
      </c>
      <c r="AI107" s="280" t="n">
        <f aca="false">AI106/(SQRT(AI108))</f>
        <v>1.39851851854837</v>
      </c>
      <c r="AJ107" s="280" t="n">
        <f aca="false">AJ106/(SQRT(AJ108))</f>
        <v>0.950451388853253</v>
      </c>
      <c r="AK107" s="280" t="n">
        <f aca="false">AK106/(SQRT(AK108))</f>
        <v>10.7536111111113</v>
      </c>
      <c r="AL107" s="280" t="n">
        <f aca="false">AL106/(SQRT(AL108))</f>
        <v>10.2580555555469</v>
      </c>
      <c r="AM107" s="280" t="e">
        <f aca="false">AM106/(SQRT(AM108))</f>
        <v>#REF!</v>
      </c>
      <c r="AN107" s="280" t="e">
        <f aca="false">AN106/(SQRT(AN108))</f>
        <v>#REF!</v>
      </c>
      <c r="AO107" s="280" t="n">
        <f aca="false">AO106/(SQRT(AO108))</f>
        <v>3.10480328906603</v>
      </c>
      <c r="AP107" s="280"/>
      <c r="AQ107" s="280"/>
      <c r="AR107" s="280"/>
      <c r="AS107" s="280"/>
      <c r="AU107" s="280" t="n">
        <f aca="false">AU106/(SQRT(AU108))</f>
        <v>0.800146210163942</v>
      </c>
      <c r="AV107" s="280" t="n">
        <f aca="false">AV106/(SQRT(AV108))</f>
        <v>0.879565202834238</v>
      </c>
      <c r="AW107" s="280" t="n">
        <f aca="false">AW106/(SQRT(AW108))</f>
        <v>19.9060977840855</v>
      </c>
      <c r="AX107" s="280" t="n">
        <f aca="false">AX106/(SQRT(AX108))</f>
        <v>0.640519836229211</v>
      </c>
      <c r="AY107" s="280" t="n">
        <f aca="false">AY106/(SQRT(AY108))</f>
        <v>0.611133988462539</v>
      </c>
      <c r="AZ107" s="280" t="n">
        <f aca="false">AZ106/(SQRT(AZ108))</f>
        <v>3.15044493319335</v>
      </c>
      <c r="BA107" s="280" t="n">
        <f aca="false">BA106/(SQRT(BA108))</f>
        <v>3.11899030691962</v>
      </c>
      <c r="BB107" s="280" t="n">
        <f aca="false">BB106/(SQRT(BB108))</f>
        <v>1.2540186096279</v>
      </c>
      <c r="BC107" s="280" t="n">
        <f aca="false">BC106/(SQRT(BC108))</f>
        <v>1.54432380722739</v>
      </c>
      <c r="BE107" s="280" t="n">
        <f aca="false">BE106/(SQRT(BE108))</f>
        <v>9.02207942229438</v>
      </c>
      <c r="BF107" s="280" t="n">
        <f aca="false">BF106/(SQRT(BF108))</f>
        <v>3.52969452696846</v>
      </c>
      <c r="BH107" s="280" t="n">
        <f aca="false">BH106/(SQRT(BH108))</f>
        <v>0.0751670814760342</v>
      </c>
      <c r="BK107" s="291"/>
      <c r="BL107" s="280" t="n">
        <f aca="false">BL106/(SQRT(BL108))</f>
        <v>0.0583514679633775</v>
      </c>
      <c r="BO107" s="280" t="n">
        <f aca="false">BO106/(SQRT(BO108))</f>
        <v>1.85576786230223</v>
      </c>
      <c r="BP107" s="280"/>
      <c r="BQ107" s="291"/>
      <c r="BR107" s="280" t="n">
        <f aca="false">BR106/(SQRT(BR108))</f>
        <v>0.12596338226116</v>
      </c>
      <c r="BS107" s="280" t="n">
        <f aca="false">BS106/(SQRT(BS108))</f>
        <v>0.163712207294217</v>
      </c>
      <c r="BT107" s="280" t="n">
        <f aca="false">BT106/(SQRT(BT108))</f>
        <v>0.0398827067044983</v>
      </c>
      <c r="BU107" s="280" t="n">
        <f aca="false">BU106/(SQRT(BU108))</f>
        <v>0.0537697068352247</v>
      </c>
      <c r="BV107" s="280" t="n">
        <f aca="false">BV106/(SQRT(BV108))</f>
        <v>0.0526308716311932</v>
      </c>
      <c r="BW107" s="280" t="n">
        <f aca="false">BW106/(SQRT(BW108))</f>
        <v>0.0555273692851331</v>
      </c>
      <c r="BX107" s="280" t="n">
        <f aca="false">BX106/(SQRT(BX108))</f>
        <v>0.0803865844621644</v>
      </c>
      <c r="BY107" s="280" t="n">
        <f aca="false">BY106/(SQRT(BY108))</f>
        <v>0.10382584391614</v>
      </c>
      <c r="BZ107" s="280" t="n">
        <f aca="false">BZ106/(SQRT(BZ108))</f>
        <v>0.127253934156561</v>
      </c>
      <c r="CA107" s="280" t="n">
        <f aca="false">CA106/(SQRT(CA108))</f>
        <v>0.159372074661579</v>
      </c>
      <c r="CB107" s="280" t="n">
        <f aca="false">CB106/(SQRT(CB108))</f>
        <v>0.178146123879231</v>
      </c>
      <c r="CC107" s="203"/>
      <c r="CD107" s="203"/>
      <c r="CE107" s="203"/>
      <c r="CF107" s="203"/>
      <c r="CG107" s="203"/>
      <c r="CH107" s="203"/>
      <c r="CI107" s="203"/>
      <c r="CJ107" s="203"/>
      <c r="CK107" s="291"/>
      <c r="CL107" s="291"/>
      <c r="CM107" s="291"/>
      <c r="CN107" s="291"/>
      <c r="CO107" s="291"/>
      <c r="CP107" s="291"/>
      <c r="CQ107" s="291"/>
      <c r="CR107" s="291"/>
      <c r="CS107" s="291"/>
      <c r="CT107" s="291"/>
      <c r="CU107" s="291"/>
      <c r="CV107" s="291"/>
      <c r="CW107" s="291"/>
      <c r="CX107" s="291"/>
      <c r="CY107" s="291"/>
      <c r="CZ107" s="291"/>
      <c r="DA107" s="280" t="n">
        <f aca="false">DA106/(SQRT(DA108))</f>
        <v>1.66978141593869</v>
      </c>
      <c r="DB107" s="280" t="e">
        <f aca="false">DB106/(SQRT(DB108))</f>
        <v>#REF!</v>
      </c>
      <c r="DC107" s="280"/>
      <c r="DD107" s="280"/>
      <c r="DE107" s="280"/>
      <c r="DF107" s="280"/>
      <c r="DG107" s="280" t="e">
        <f aca="false">DG106/(SQRT(DG108))</f>
        <v>#REF!</v>
      </c>
      <c r="DH107" s="291"/>
      <c r="DI107" s="280" t="e">
        <f aca="false">DI106/(SQRT(DI108))</f>
        <v>#REF!</v>
      </c>
    </row>
    <row r="108" customFormat="false" ht="15" hidden="false" customHeight="false" outlineLevel="0" collapsed="false">
      <c r="H108" s="3" t="s">
        <v>677</v>
      </c>
      <c r="I108" s="280" t="n">
        <v>100</v>
      </c>
      <c r="J108" s="280" t="n">
        <f aca="false">SUBTOTAL(3,J2:J101)</f>
        <v>100</v>
      </c>
      <c r="K108" s="280" t="n">
        <f aca="false">SUBTOTAL(3,K2:K101)</f>
        <v>100</v>
      </c>
      <c r="L108" s="280" t="n">
        <f aca="false">SUBTOTAL(3,L2:L101)</f>
        <v>100</v>
      </c>
      <c r="M108" s="280" t="n">
        <v>100</v>
      </c>
      <c r="N108" s="280" t="n">
        <f aca="false">SUBTOTAL(3,N2:N101)</f>
        <v>100</v>
      </c>
      <c r="O108" s="280"/>
      <c r="P108" s="280"/>
      <c r="Q108" s="280"/>
      <c r="R108" s="280"/>
      <c r="S108" s="280"/>
      <c r="T108" s="280" t="n">
        <f aca="false">SUBTOTAL(3,T2:T101)</f>
        <v>100</v>
      </c>
      <c r="U108" s="280"/>
      <c r="W108" s="280" t="n">
        <f aca="false">SUBTOTAL(3,W2:W101)</f>
        <v>99</v>
      </c>
      <c r="Y108" s="280" t="n">
        <f aca="false">SUBTOTAL(3,Y2:Y101)</f>
        <v>99</v>
      </c>
      <c r="AB108" s="280" t="n">
        <f aca="false">SUBTOTAL(3,AB2:AB101)</f>
        <v>77</v>
      </c>
      <c r="AC108" s="280" t="n">
        <f aca="false">SUBTOTAL(3,AC2:AC101)</f>
        <v>77</v>
      </c>
      <c r="AD108" s="280" t="n">
        <f aca="false">SUBTOTAL(3,AD2:AD101)</f>
        <v>77</v>
      </c>
      <c r="AE108" s="280" t="n">
        <f aca="false">SUBTOTAL(3,AE2:AE101)</f>
        <v>75</v>
      </c>
      <c r="AF108" s="280" t="n">
        <f aca="false">SUBTOTAL(3,AF2:AF101)</f>
        <v>75</v>
      </c>
      <c r="AG108" s="280" t="n">
        <f aca="false">SUBTOTAL(3,AG2:AG101)</f>
        <v>75</v>
      </c>
      <c r="AH108" s="280" t="n">
        <f aca="false">SUBTOTAL(3,AH2:AH101)</f>
        <v>75</v>
      </c>
      <c r="AI108" s="280" t="n">
        <f aca="false">SUBTOTAL(3,AI2:AI101)</f>
        <v>2</v>
      </c>
      <c r="AJ108" s="280" t="n">
        <f aca="false">SUBTOTAL(3,AJ2:AJ101)</f>
        <v>2</v>
      </c>
      <c r="AK108" s="280" t="n">
        <f aca="false">SUBTOTAL(3,AK2:AK101)</f>
        <v>2</v>
      </c>
      <c r="AL108" s="280" t="n">
        <f aca="false">SUBTOTAL(3,AL2:AL101)</f>
        <v>2</v>
      </c>
      <c r="AM108" s="280" t="n">
        <f aca="false">SUBTOTAL(3,AM2:AM101)</f>
        <v>75</v>
      </c>
      <c r="AN108" s="280" t="n">
        <f aca="false">SUBTOTAL(3,AN2:AN101)</f>
        <v>75</v>
      </c>
      <c r="AO108" s="280" t="n">
        <f aca="false">SUBTOTAL(3,AO2:AO101)</f>
        <v>77</v>
      </c>
      <c r="AP108" s="280"/>
      <c r="AQ108" s="280"/>
      <c r="AR108" s="280"/>
      <c r="AS108" s="280"/>
      <c r="AU108" s="280" t="n">
        <f aca="false">SUBTOTAL(3,AU2:AU101)</f>
        <v>31</v>
      </c>
      <c r="AV108" s="280" t="n">
        <f aca="false">SUBTOTAL(3,AV2:AV101)</f>
        <v>31</v>
      </c>
      <c r="AW108" s="280" t="n">
        <f aca="false">SUBTOTAL(3,AW2:AW101)</f>
        <v>31</v>
      </c>
      <c r="AX108" s="280" t="n">
        <f aca="false">SUBTOTAL(3,AX2:AX101)</f>
        <v>54</v>
      </c>
      <c r="AY108" s="280" t="n">
        <f aca="false">SUBTOTAL(3,AY2:AY101)</f>
        <v>54</v>
      </c>
      <c r="AZ108" s="280" t="n">
        <f aca="false">SUBTOTAL(3,AZ2:AZ101)</f>
        <v>54</v>
      </c>
      <c r="BA108" s="280" t="n">
        <f aca="false">SUBTOTAL(3,BA2:BA101)</f>
        <v>54</v>
      </c>
      <c r="BB108" s="280" t="n">
        <f aca="false">SUBTOTAL(3,BB2:BB101)</f>
        <v>7</v>
      </c>
      <c r="BC108" s="280" t="n">
        <f aca="false">SUBTOTAL(3,BC2:BC101)</f>
        <v>7</v>
      </c>
      <c r="BE108" s="280" t="n">
        <f aca="false">SUBTOTAL(3,BE2:BE101)</f>
        <v>7</v>
      </c>
      <c r="BF108" s="280" t="n">
        <f aca="false">SUBTOTAL(3,BF2:BF101)</f>
        <v>62</v>
      </c>
      <c r="BH108" s="280" t="n">
        <f aca="false">SUBTOTAL(3,BH2:BH101)</f>
        <v>57</v>
      </c>
      <c r="BK108" s="291"/>
      <c r="BL108" s="280" t="n">
        <f aca="false">SUBTOTAL(3,BL2:BL101)</f>
        <v>76</v>
      </c>
      <c r="BO108" s="280" t="n">
        <f aca="false">SUBTOTAL(3,BO2:BO101)</f>
        <v>76</v>
      </c>
      <c r="BP108" s="280"/>
      <c r="BQ108" s="291"/>
      <c r="BR108" s="280" t="n">
        <f aca="false">SUBTOTAL(3,BR2:BR101)</f>
        <v>98</v>
      </c>
      <c r="BS108" s="280" t="n">
        <f aca="false">SUBTOTAL(3,BS2:BS101)</f>
        <v>98</v>
      </c>
      <c r="BT108" s="280" t="n">
        <f aca="false">SUBTOTAL(3,BT2:BT101)</f>
        <v>99</v>
      </c>
      <c r="BU108" s="280" t="n">
        <f aca="false">SUBTOTAL(3,BU2:BU101)</f>
        <v>99</v>
      </c>
      <c r="BV108" s="280" t="n">
        <f aca="false">SUBTOTAL(3,BV2:BV101)</f>
        <v>99</v>
      </c>
      <c r="BW108" s="280" t="n">
        <f aca="false">SUBTOTAL(3,BW2:BW101)</f>
        <v>98</v>
      </c>
      <c r="BX108" s="280" t="n">
        <f aca="false">SUBTOTAL(3,BX2:BX101)</f>
        <v>99</v>
      </c>
      <c r="BY108" s="280" t="n">
        <f aca="false">SUBTOTAL(3,BY2:BY101)</f>
        <v>97</v>
      </c>
      <c r="BZ108" s="280" t="n">
        <f aca="false">SUBTOTAL(3,BZ2:BZ101)</f>
        <v>98</v>
      </c>
      <c r="CA108" s="280" t="n">
        <f aca="false">SUBTOTAL(3,CA2:CA101)</f>
        <v>99</v>
      </c>
      <c r="CB108" s="280" t="n">
        <f aca="false">SUBTOTAL(3,CB2:CB101)</f>
        <v>99</v>
      </c>
      <c r="CC108" s="203"/>
      <c r="CD108" s="203"/>
      <c r="CE108" s="203"/>
      <c r="CF108" s="203"/>
      <c r="CG108" s="203"/>
      <c r="CH108" s="203"/>
      <c r="CI108" s="203"/>
      <c r="CJ108" s="203"/>
      <c r="CK108" s="291"/>
      <c r="CL108" s="291"/>
      <c r="CM108" s="291"/>
      <c r="CN108" s="291"/>
      <c r="CO108" s="291"/>
      <c r="CP108" s="291"/>
      <c r="CQ108" s="291"/>
      <c r="CR108" s="291"/>
      <c r="CS108" s="291"/>
      <c r="CT108" s="291"/>
      <c r="CU108" s="291"/>
      <c r="CV108" s="291"/>
      <c r="CW108" s="291"/>
      <c r="CX108" s="291"/>
      <c r="CY108" s="291"/>
      <c r="CZ108" s="291"/>
      <c r="DA108" s="280" t="n">
        <f aca="false">SUBTOTAL(3,DA2:DA101)</f>
        <v>95</v>
      </c>
      <c r="DB108" s="280" t="n">
        <f aca="false">SUBTOTAL(3,DB2:DB101)</f>
        <v>95</v>
      </c>
      <c r="DC108" s="280"/>
      <c r="DD108" s="280"/>
      <c r="DE108" s="280"/>
      <c r="DF108" s="280"/>
      <c r="DG108" s="280" t="n">
        <f aca="false">SUBTOTAL(3,DG2:DG101)</f>
        <v>72</v>
      </c>
      <c r="DH108" s="291"/>
      <c r="DI108" s="280" t="n">
        <f aca="false">SUBTOTAL(3,DI2:DI101)</f>
        <v>95</v>
      </c>
    </row>
    <row r="109" customFormat="false" ht="15" hidden="false" customHeight="false" outlineLevel="0" collapsed="false">
      <c r="H109" s="3" t="s">
        <v>678</v>
      </c>
      <c r="I109" s="280" t="n">
        <v>1.56164383561644</v>
      </c>
      <c r="J109" s="313" t="n">
        <f aca="false">SUBTOTAL(5,J6:J105)</f>
        <v>44845</v>
      </c>
      <c r="K109" s="280" t="n">
        <f aca="false">SUBTOTAL(5,K6:K105)</f>
        <v>47.5</v>
      </c>
      <c r="L109" s="280" t="n">
        <f aca="false">SUBTOTAL(5,L6:L105)</f>
        <v>2.5</v>
      </c>
      <c r="M109" s="280" t="n">
        <v>113</v>
      </c>
      <c r="N109" s="280" t="n">
        <f aca="false">SUBTOTAL(5,N6:N105)</f>
        <v>171</v>
      </c>
      <c r="O109" s="280"/>
      <c r="P109" s="280"/>
      <c r="Q109" s="280"/>
      <c r="R109" s="280"/>
      <c r="S109" s="280"/>
      <c r="T109" s="280" t="n">
        <f aca="false">SUBTOTAL(5,T6:T105)</f>
        <v>609</v>
      </c>
      <c r="U109" s="280"/>
      <c r="W109" s="280" t="n">
        <f aca="false">SUBTOTAL(5,W6:W105)</f>
        <v>0.278395814118397</v>
      </c>
      <c r="Y109" s="280" t="n">
        <f aca="false">SUBTOTAL(5,Y6:Y105)</f>
        <v>0.312642424687466</v>
      </c>
      <c r="AB109" s="314" t="n">
        <f aca="false">SUBTOTAL(5,AB6:AB105)</f>
        <v>45055.4980555556</v>
      </c>
      <c r="AC109" s="314" t="n">
        <f aca="false">SUBTOTAL(5,AC6:AC105)</f>
        <v>45055.4980902778</v>
      </c>
      <c r="AD109" s="280" t="n">
        <f aca="false">SUBTOTAL(5,AD6:AD105)</f>
        <v>0</v>
      </c>
      <c r="AE109" s="314" t="n">
        <f aca="false">SUBTOTAL(5,AE6:AE105)</f>
        <v>45055.4980555556</v>
      </c>
      <c r="AF109" s="314" t="n">
        <f aca="false">SUBTOTAL(5,AF6:AF105)</f>
        <v>45055.4980902778</v>
      </c>
      <c r="AG109" s="280" t="n">
        <f aca="false">SUBTOTAL(5,AG6:AG105)</f>
        <v>0</v>
      </c>
      <c r="AH109" s="280" t="n">
        <f aca="false">SUBTOTAL(5,AH6:AH105)</f>
        <v>1</v>
      </c>
      <c r="AI109" s="314" t="n">
        <f aca="false">SUBTOTAL(5,AI6:AI105)</f>
        <v>45061.8837384259</v>
      </c>
      <c r="AJ109" s="314" t="n">
        <f aca="false">SUBTOTAL(5,AJ6:AJ105)</f>
        <v>45062.7802430556</v>
      </c>
      <c r="AK109" s="280" t="n">
        <f aca="false">SUBTOTAL(5,AK6:AK105)</f>
        <v>0.00888888887129724</v>
      </c>
      <c r="AL109" s="280" t="n">
        <f aca="false">SUBTOTAL(5,AL6:AL105)</f>
        <v>1</v>
      </c>
      <c r="AM109" s="280" t="e">
        <f aca="false">SUBTOTAL(5,AM6:AM105)</f>
        <v>#REF!</v>
      </c>
      <c r="AN109" s="280" t="e">
        <f aca="false">SUBTOTAL(5,AN6:AN105)</f>
        <v>#REF!</v>
      </c>
      <c r="AO109" s="280" t="n">
        <f aca="false">SUBTOTAL(5,AO6:AO105)</f>
        <v>1</v>
      </c>
      <c r="AP109" s="280"/>
      <c r="AQ109" s="280"/>
      <c r="AR109" s="280"/>
      <c r="AS109" s="280"/>
      <c r="AU109" s="314" t="n">
        <f aca="false">SUBTOTAL(5,AU6:AU105)</f>
        <v>45067.4180787037</v>
      </c>
      <c r="AV109" s="314" t="n">
        <f aca="false">SUBTOTAL(5,AV6:AV105)</f>
        <v>45074.3438773148</v>
      </c>
      <c r="AW109" s="280" t="n">
        <f aca="false">SUBTOTAL(5,AW6:AW105)</f>
        <v>48.3325000000186</v>
      </c>
      <c r="AX109" s="314" t="n">
        <f aca="false">SUBTOTAL(5,AX6:AX105)</f>
        <v>45067.4854861111</v>
      </c>
      <c r="AY109" s="314" t="n">
        <f aca="false">SUBTOTAL(5,AY6:AY105)</f>
        <v>45067.4854861111</v>
      </c>
      <c r="AZ109" s="280" t="n">
        <f aca="false">SUBTOTAL(5,AZ6:AZ105)</f>
        <v>0</v>
      </c>
      <c r="BA109" s="280" t="n">
        <f aca="false">SUBTOTAL(5,BA6:BA105)</f>
        <v>1</v>
      </c>
      <c r="BB109" s="314" t="n">
        <f aca="false">SUBTOTAL(5,BB6:BB105)</f>
        <v>45074.9781365741</v>
      </c>
      <c r="BC109" s="314" t="n">
        <f aca="false">SUBTOTAL(5,BC6:BC105)</f>
        <v>45075.2350810185</v>
      </c>
      <c r="BE109" s="280" t="n">
        <f aca="false">SUBTOTAL(5,BE6:BE105)</f>
        <v>1</v>
      </c>
      <c r="BF109" s="280" t="n">
        <f aca="false">SUBTOTAL(5,BF6:BF105)</f>
        <v>1</v>
      </c>
      <c r="BH109" s="280" t="n">
        <f aca="false">SUBTOTAL(5,BH6:BH105)</f>
        <v>0</v>
      </c>
      <c r="BK109" s="291"/>
      <c r="BL109" s="280" t="n">
        <f aca="false">SUBTOTAL(5,BL6:BL105)</f>
        <v>1</v>
      </c>
      <c r="BO109" s="280" t="n">
        <f aca="false">SUBTOTAL(5,BO6:BO105)</f>
        <v>143.338272106499</v>
      </c>
      <c r="BP109" s="280"/>
      <c r="BQ109" s="291"/>
      <c r="BR109" s="280" t="n">
        <f aca="false">SUBTOTAL(5,BR6:BR105)</f>
        <v>0.2</v>
      </c>
      <c r="BS109" s="280" t="n">
        <f aca="false">SUBTOTAL(5,BS6:BS105)</f>
        <v>0.2</v>
      </c>
      <c r="BT109" s="280" t="n">
        <f aca="false">SUBTOTAL(5,BT6:BT105)</f>
        <v>0.2</v>
      </c>
      <c r="BU109" s="280" t="n">
        <f aca="false">SUBTOTAL(5,BU6:BU105)</f>
        <v>0.2</v>
      </c>
      <c r="BV109" s="280" t="n">
        <f aca="false">SUBTOTAL(5,BV6:BV105)</f>
        <v>0.2</v>
      </c>
      <c r="BW109" s="280" t="n">
        <f aca="false">SUBTOTAL(5,BW6:BW105)</f>
        <v>0.2</v>
      </c>
      <c r="BX109" s="280" t="n">
        <f aca="false">SUBTOTAL(5,BX6:BX105)</f>
        <v>0.2</v>
      </c>
      <c r="BY109" s="280" t="n">
        <f aca="false">SUBTOTAL(5,BY6:BY105)</f>
        <v>0.2</v>
      </c>
      <c r="BZ109" s="280" t="n">
        <f aca="false">SUBTOTAL(5,BZ6:BZ105)</f>
        <v>0.2</v>
      </c>
      <c r="CA109" s="280" t="n">
        <f aca="false">SUBTOTAL(5,CA6:CA105)</f>
        <v>0.2</v>
      </c>
      <c r="CB109" s="280" t="n">
        <f aca="false">SUBTOTAL(5,CB6:CB105)</f>
        <v>0.2</v>
      </c>
      <c r="CC109" s="203"/>
      <c r="CD109" s="203"/>
      <c r="CE109" s="203"/>
      <c r="CF109" s="203"/>
      <c r="CG109" s="203"/>
      <c r="CH109" s="203"/>
      <c r="CI109" s="203"/>
      <c r="CJ109" s="203"/>
      <c r="CK109" s="291"/>
      <c r="CL109" s="291"/>
      <c r="CM109" s="291"/>
      <c r="CN109" s="291"/>
      <c r="CO109" s="291"/>
      <c r="CP109" s="291"/>
      <c r="CQ109" s="291"/>
      <c r="CR109" s="291"/>
      <c r="CS109" s="291"/>
      <c r="CT109" s="291"/>
      <c r="CU109" s="291"/>
      <c r="CV109" s="291"/>
      <c r="CW109" s="291"/>
      <c r="CX109" s="291"/>
      <c r="CY109" s="291"/>
      <c r="CZ109" s="291"/>
      <c r="DA109" s="280" t="n">
        <f aca="false">SUBTOTAL(5,DA6:DA105)</f>
        <v>24</v>
      </c>
      <c r="DB109" s="314" t="e">
        <f aca="false">SUBTOTAL(5,DB6:DB105)</f>
        <v>#REF!</v>
      </c>
      <c r="DC109" s="314"/>
      <c r="DD109" s="314"/>
      <c r="DE109" s="314"/>
      <c r="DF109" s="314"/>
      <c r="DG109" s="280" t="e">
        <f aca="false">SUBTOTAL(5,DG6:DG105)</f>
        <v>#REF!</v>
      </c>
      <c r="DH109" s="291"/>
      <c r="DI109" s="280" t="e">
        <f aca="false">SUBTOTAL(5,DI6:DI105)</f>
        <v>#REF!</v>
      </c>
    </row>
    <row r="110" customFormat="false" ht="15" hidden="false" customHeight="false" outlineLevel="0" collapsed="false">
      <c r="H110" s="3" t="s">
        <v>679</v>
      </c>
      <c r="I110" s="280" t="n">
        <v>6.58082191780822</v>
      </c>
      <c r="J110" s="313" t="n">
        <f aca="false">SUBTOTAL(4,J7:J106)</f>
        <v>44942</v>
      </c>
      <c r="K110" s="280" t="n">
        <f aca="false">SUBTOTAL(4,K7:K106)</f>
        <v>95</v>
      </c>
      <c r="L110" s="280" t="n">
        <f aca="false">SUBTOTAL(4,L7:L106)</f>
        <v>4.5</v>
      </c>
      <c r="M110" s="280" t="n">
        <v>210</v>
      </c>
      <c r="N110" s="280" t="n">
        <f aca="false">SUBTOTAL(4,N7:N106)</f>
        <v>371</v>
      </c>
      <c r="O110" s="280"/>
      <c r="P110" s="280"/>
      <c r="Q110" s="280"/>
      <c r="R110" s="280"/>
      <c r="S110" s="280"/>
      <c r="T110" s="280" t="n">
        <f aca="false">SUBTOTAL(4,T7:T106)</f>
        <v>2175</v>
      </c>
      <c r="U110" s="280"/>
      <c r="W110" s="280" t="n">
        <f aca="false">SUBTOTAL(4,W7:W106)</f>
        <v>0.88826360074165</v>
      </c>
      <c r="Y110" s="280" t="n">
        <f aca="false">SUBTOTAL(4,Y7:Y106)</f>
        <v>0.984283752594238</v>
      </c>
      <c r="AB110" s="314" t="n">
        <f aca="false">SUBTOTAL(4,AB7:AB106)</f>
        <v>45066.7146412037</v>
      </c>
      <c r="AC110" s="314" t="n">
        <f aca="false">SUBTOTAL(4,AC7:AC106)</f>
        <v>45066.7146412037</v>
      </c>
      <c r="AD110" s="280" t="n">
        <f aca="false">SUBTOTAL(4,AD7:AD106)</f>
        <v>262.369999999995</v>
      </c>
      <c r="AE110" s="314" t="n">
        <f aca="false">SUBTOTAL(4,AE7:AE106)</f>
        <v>45066.7146412037</v>
      </c>
      <c r="AF110" s="314" t="n">
        <f aca="false">SUBTOTAL(4,AF7:AF106)</f>
        <v>45066.7146412037</v>
      </c>
      <c r="AG110" s="280" t="n">
        <f aca="false">SUBTOTAL(4,AG7:AG106)</f>
        <v>73.5236111110426</v>
      </c>
      <c r="AH110" s="280" t="n">
        <f aca="false">SUBTOTAL(4,AH7:AH106)</f>
        <v>73.5236111110426</v>
      </c>
      <c r="AI110" s="314" t="n">
        <f aca="false">SUBTOTAL(4,AI7:AI106)</f>
        <v>45064.680775463</v>
      </c>
      <c r="AJ110" s="314" t="n">
        <f aca="false">SUBTOTAL(4,AJ7:AJ106)</f>
        <v>45064.6811458333</v>
      </c>
      <c r="AK110" s="280" t="n">
        <f aca="false">SUBTOTAL(4,AK7:AK106)</f>
        <v>21.5161111110938</v>
      </c>
      <c r="AL110" s="280" t="n">
        <f aca="false">SUBTOTAL(4,AL7:AL106)</f>
        <v>21.5161111110938</v>
      </c>
      <c r="AM110" s="280" t="e">
        <f aca="false">SUBTOTAL(4,AM7:AM106)</f>
        <v>#REF!</v>
      </c>
      <c r="AN110" s="280" t="e">
        <f aca="false">SUBTOTAL(4,AN7:AN106)</f>
        <v>#REF!</v>
      </c>
      <c r="AO110" s="280" t="n">
        <f aca="false">SUBTOTAL(4,AO7:AO106)</f>
        <v>156</v>
      </c>
      <c r="AP110" s="280"/>
      <c r="AQ110" s="280"/>
      <c r="AR110" s="280"/>
      <c r="AS110" s="280"/>
      <c r="AU110" s="314" t="n">
        <f aca="false">SUBTOTAL(4,AU7:AU106)</f>
        <v>45086.4492592593</v>
      </c>
      <c r="AV110" s="314" t="n">
        <f aca="false">SUBTOTAL(4,AV7:AV106)</f>
        <v>45089.3995138889</v>
      </c>
      <c r="AW110" s="280" t="n">
        <f aca="false">SUBTOTAL(4,AW7:AW106)</f>
        <v>478.764999999956</v>
      </c>
      <c r="AX110" s="314" t="n">
        <f aca="false">SUBTOTAL(4,AX7:AX106)</f>
        <v>45087.3660532407</v>
      </c>
      <c r="AY110" s="314" t="n">
        <f aca="false">SUBTOTAL(4,AY7:AY106)</f>
        <v>45087.3666203704</v>
      </c>
      <c r="AZ110" s="280" t="n">
        <f aca="false">SUBTOTAL(4,AZ7:AZ106)</f>
        <v>95.0697222221643</v>
      </c>
      <c r="BA110" s="280" t="n">
        <f aca="false">SUBTOTAL(4,BA7:BA106)</f>
        <v>95.0697222221643</v>
      </c>
      <c r="BB110" s="314" t="n">
        <f aca="false">SUBTOTAL(4,BB7:BB106)</f>
        <v>45084.6255787037</v>
      </c>
      <c r="BC110" s="314" t="n">
        <f aca="false">SUBTOTAL(4,BC7:BC106)</f>
        <v>45087.4380092593</v>
      </c>
      <c r="BE110" s="280" t="n">
        <f aca="false">SUBTOTAL(4,BE7:BE106)</f>
        <v>67.4983333334676</v>
      </c>
      <c r="BF110" s="280" t="n">
        <f aca="false">SUBTOTAL(4,BF7:BF106)</f>
        <v>104</v>
      </c>
      <c r="BH110" s="280" t="n">
        <f aca="false">SUBTOTAL(4,BH7:BH106)</f>
        <v>3</v>
      </c>
      <c r="BK110" s="291"/>
      <c r="BL110" s="280" t="n">
        <f aca="false">SUBTOTAL(4,BL7:BL106)</f>
        <v>3</v>
      </c>
      <c r="BO110" s="280" t="n">
        <f aca="false">SUBTOTAL(4,BO7:BO106)</f>
        <v>206.3410008102</v>
      </c>
      <c r="BP110" s="280"/>
      <c r="BQ110" s="291"/>
      <c r="BR110" s="280" t="n">
        <f aca="false">SUBTOTAL(4,BR7:BR106)</f>
        <v>7.5936</v>
      </c>
      <c r="BS110" s="280" t="n">
        <f aca="false">SUBTOTAL(4,BS7:BS106)</f>
        <v>6.4829</v>
      </c>
      <c r="BT110" s="280" t="n">
        <f aca="false">SUBTOTAL(4,BT7:BT106)</f>
        <v>1.7417</v>
      </c>
      <c r="BU110" s="280" t="n">
        <f aca="false">SUBTOTAL(4,BU7:BU106)</f>
        <v>2.4188</v>
      </c>
      <c r="BV110" s="280" t="n">
        <f aca="false">SUBTOTAL(4,BV7:BV106)</f>
        <v>3.2253</v>
      </c>
      <c r="BW110" s="280" t="n">
        <f aca="false">SUBTOTAL(4,BW7:BW106)</f>
        <v>3.7929</v>
      </c>
      <c r="BX110" s="280" t="n">
        <f aca="false">SUBTOTAL(4,BX7:BX106)</f>
        <v>4.73</v>
      </c>
      <c r="BY110" s="280" t="n">
        <f aca="false">SUBTOTAL(4,BY7:BY106)</f>
        <v>4.4847</v>
      </c>
      <c r="BZ110" s="280" t="n">
        <f aca="false">SUBTOTAL(4,BZ7:BZ106)</f>
        <v>6.3742</v>
      </c>
      <c r="CA110" s="280" t="n">
        <f aca="false">SUBTOTAL(4,CA7:CA106)</f>
        <v>7.6226</v>
      </c>
      <c r="CB110" s="280" t="n">
        <f aca="false">SUBTOTAL(4,CB7:CB106)</f>
        <v>7.801</v>
      </c>
      <c r="CC110" s="203"/>
      <c r="CD110" s="203"/>
      <c r="CE110" s="203"/>
      <c r="CF110" s="203"/>
      <c r="CG110" s="203"/>
      <c r="CH110" s="203"/>
      <c r="CI110" s="203"/>
      <c r="CJ110" s="203"/>
      <c r="CK110" s="291"/>
      <c r="CL110" s="291"/>
      <c r="CM110" s="291"/>
      <c r="CN110" s="291"/>
      <c r="CO110" s="291"/>
      <c r="CP110" s="291"/>
      <c r="CQ110" s="291"/>
      <c r="CR110" s="291"/>
      <c r="CS110" s="291"/>
      <c r="CT110" s="291"/>
      <c r="CU110" s="291"/>
      <c r="CV110" s="291"/>
      <c r="CW110" s="291"/>
      <c r="CX110" s="291"/>
      <c r="CY110" s="291"/>
      <c r="CZ110" s="291"/>
      <c r="DA110" s="280" t="n">
        <f aca="false">SUBTOTAL(4,DA7:DA106)</f>
        <v>132</v>
      </c>
      <c r="DB110" s="314" t="e">
        <f aca="false">SUBTOTAL(4,DB7:DB106)</f>
        <v>#REF!</v>
      </c>
      <c r="DC110" s="314"/>
      <c r="DD110" s="314"/>
      <c r="DE110" s="314"/>
      <c r="DF110" s="314"/>
      <c r="DG110" s="280" t="e">
        <f aca="false">SUBTOTAL(4,DG7:DG106)</f>
        <v>#REF!</v>
      </c>
      <c r="DH110" s="291"/>
      <c r="DI110" s="280" t="e">
        <f aca="false">SUBTOTAL(4,DI7:DI106)</f>
        <v>#REF!</v>
      </c>
    </row>
    <row r="111" customFormat="false" ht="15" hidden="false" customHeight="false" outlineLevel="0" collapsed="false">
      <c r="H111" s="3" t="s">
        <v>680</v>
      </c>
      <c r="I111" s="280" t="n">
        <v>5.01917808219178</v>
      </c>
      <c r="J111" s="280" t="n">
        <f aca="false">J110-J109</f>
        <v>97</v>
      </c>
      <c r="K111" s="280" t="n">
        <f aca="false">K110-K109</f>
        <v>47.5</v>
      </c>
      <c r="L111" s="280" t="n">
        <f aca="false">L110-L109</f>
        <v>2</v>
      </c>
      <c r="M111" s="280" t="n">
        <v>97</v>
      </c>
      <c r="N111" s="280" t="n">
        <f aca="false">N110-N109</f>
        <v>200</v>
      </c>
      <c r="O111" s="280"/>
      <c r="P111" s="280"/>
      <c r="Q111" s="280"/>
      <c r="R111" s="280"/>
      <c r="S111" s="280"/>
      <c r="T111" s="280" t="n">
        <f aca="false">T110-T109</f>
        <v>1566</v>
      </c>
      <c r="U111" s="280"/>
      <c r="W111" s="280" t="n">
        <f aca="false">W110-W109</f>
        <v>0.609867786623253</v>
      </c>
      <c r="Y111" s="280" t="n">
        <f aca="false">Y110-Y109</f>
        <v>0.671641327906772</v>
      </c>
      <c r="AB111" s="280" t="n">
        <f aca="false">AB110-AB109</f>
        <v>11.2165856480903</v>
      </c>
      <c r="AC111" s="280" t="n">
        <f aca="false">AC110-AC109</f>
        <v>11.2165509259028</v>
      </c>
      <c r="AD111" s="280" t="n">
        <f aca="false">AD110-AD109</f>
        <v>262.369999999995</v>
      </c>
      <c r="AE111" s="280" t="n">
        <f aca="false">AE110-AE109</f>
        <v>11.2165856480903</v>
      </c>
      <c r="AF111" s="280" t="n">
        <f aca="false">AF110-AF109</f>
        <v>11.2165509259028</v>
      </c>
      <c r="AG111" s="280" t="n">
        <f aca="false">AG110-AG109</f>
        <v>73.5236111110426</v>
      </c>
      <c r="AH111" s="280" t="n">
        <f aca="false">AH110-AH109</f>
        <v>72.5236111110426</v>
      </c>
      <c r="AI111" s="280" t="n">
        <f aca="false">AI110-AI109</f>
        <v>2.79703703709491</v>
      </c>
      <c r="AJ111" s="280" t="n">
        <f aca="false">AJ110-AJ109</f>
        <v>1.90090277770833</v>
      </c>
      <c r="AK111" s="280" t="n">
        <f aca="false">AK110-AK109</f>
        <v>21.5072222222225</v>
      </c>
      <c r="AL111" s="280" t="n">
        <f aca="false">AL110-AL109</f>
        <v>20.5161111110938</v>
      </c>
      <c r="AM111" s="280" t="e">
        <f aca="false">AM110-AM109</f>
        <v>#REF!</v>
      </c>
      <c r="AN111" s="280" t="e">
        <f aca="false">AN110-AN109</f>
        <v>#REF!</v>
      </c>
      <c r="AO111" s="280" t="n">
        <f aca="false">AO110-AO109</f>
        <v>155</v>
      </c>
      <c r="AP111" s="280"/>
      <c r="AQ111" s="280"/>
      <c r="AR111" s="280"/>
      <c r="AS111" s="280"/>
      <c r="AU111" s="280" t="n">
        <f aca="false">AU110-AU109</f>
        <v>19.0311805556019</v>
      </c>
      <c r="AV111" s="280" t="n">
        <f aca="false">AV110-AV109</f>
        <v>15.0556365740972</v>
      </c>
      <c r="AW111" s="280" t="n">
        <f aca="false">AW110-AW109</f>
        <v>430.432499999937</v>
      </c>
      <c r="AX111" s="280" t="n">
        <f aca="false">AX110-AX109</f>
        <v>19.8805671295949</v>
      </c>
      <c r="AY111" s="280" t="n">
        <f aca="false">AY110-AY109</f>
        <v>19.881134259294</v>
      </c>
      <c r="AZ111" s="280" t="n">
        <f aca="false">AZ110-AZ109</f>
        <v>95.0697222221643</v>
      </c>
      <c r="BA111" s="280" t="n">
        <f aca="false">BA110-BA109</f>
        <v>94.0697222221643</v>
      </c>
      <c r="BB111" s="280" t="n">
        <f aca="false">BB110-BB109</f>
        <v>9.64744212959491</v>
      </c>
      <c r="BC111" s="280" t="n">
        <f aca="false">BC110-BC109</f>
        <v>12.2029282407986</v>
      </c>
      <c r="BE111" s="280" t="n">
        <f aca="false">BE110-BE109</f>
        <v>66.4983333334676</v>
      </c>
      <c r="BF111" s="280" t="n">
        <f aca="false">BF110-BF109</f>
        <v>103</v>
      </c>
      <c r="BH111" s="280" t="n">
        <f aca="false">BH110-BH109</f>
        <v>3</v>
      </c>
      <c r="BK111" s="291"/>
      <c r="BL111" s="280" t="n">
        <f aca="false">BL110-BL109</f>
        <v>2</v>
      </c>
      <c r="BO111" s="280" t="n">
        <f aca="false">BO110-BO109</f>
        <v>63.002728703701</v>
      </c>
      <c r="BP111" s="280"/>
      <c r="BQ111" s="291"/>
      <c r="BR111" s="280" t="n">
        <f aca="false">BR110-BR109</f>
        <v>7.3936</v>
      </c>
      <c r="BS111" s="280" t="n">
        <f aca="false">BS110-BS109</f>
        <v>6.2829</v>
      </c>
      <c r="BT111" s="280" t="n">
        <f aca="false">BT110-BT109</f>
        <v>1.5417</v>
      </c>
      <c r="BU111" s="280" t="n">
        <f aca="false">BU110-BU109</f>
        <v>2.2188</v>
      </c>
      <c r="BV111" s="280" t="n">
        <f aca="false">BV110-BV109</f>
        <v>3.0253</v>
      </c>
      <c r="BW111" s="280" t="n">
        <f aca="false">BW110-BW109</f>
        <v>3.5929</v>
      </c>
      <c r="BX111" s="280" t="n">
        <f aca="false">BX110-BX109</f>
        <v>4.53</v>
      </c>
      <c r="BY111" s="280" t="n">
        <f aca="false">BY110-BY109</f>
        <v>4.2847</v>
      </c>
      <c r="BZ111" s="280" t="n">
        <f aca="false">BZ110-BZ109</f>
        <v>6.1742</v>
      </c>
      <c r="CA111" s="280" t="n">
        <f aca="false">CA110-CA109</f>
        <v>7.4226</v>
      </c>
      <c r="CB111" s="280" t="n">
        <f aca="false">CB110-CB109</f>
        <v>7.601</v>
      </c>
      <c r="CC111" s="203"/>
      <c r="CD111" s="203"/>
      <c r="CE111" s="203"/>
      <c r="CF111" s="203"/>
      <c r="CG111" s="203"/>
      <c r="CH111" s="203"/>
      <c r="CI111" s="203"/>
      <c r="CJ111" s="203"/>
      <c r="CK111" s="291"/>
      <c r="CL111" s="291"/>
      <c r="CM111" s="291"/>
      <c r="CN111" s="291"/>
      <c r="CO111" s="291"/>
      <c r="CP111" s="291"/>
      <c r="CQ111" s="291"/>
      <c r="CR111" s="291"/>
      <c r="CS111" s="291"/>
      <c r="CT111" s="291"/>
      <c r="CU111" s="291"/>
      <c r="CV111" s="291"/>
      <c r="CW111" s="291"/>
      <c r="CX111" s="291"/>
      <c r="CY111" s="291"/>
      <c r="CZ111" s="291"/>
      <c r="DA111" s="280" t="n">
        <f aca="false">DA110-DA109</f>
        <v>108</v>
      </c>
      <c r="DB111" s="280" t="e">
        <f aca="false">DB110-DB109</f>
        <v>#REF!</v>
      </c>
      <c r="DC111" s="280"/>
      <c r="DD111" s="280"/>
      <c r="DE111" s="280"/>
      <c r="DF111" s="280"/>
      <c r="DG111" s="280" t="e">
        <f aca="false">DG110-DG109</f>
        <v>#REF!</v>
      </c>
      <c r="DH111" s="291"/>
      <c r="DI111" s="280" t="e">
        <f aca="false">DI110-DI109</f>
        <v>#REF!</v>
      </c>
      <c r="DO111" s="140" t="s">
        <v>674</v>
      </c>
    </row>
    <row r="112" customFormat="false" ht="15" hidden="false" customHeight="false" outlineLevel="0" collapsed="false">
      <c r="BK112" s="291"/>
      <c r="BQ112" s="291"/>
      <c r="BR112" s="293"/>
      <c r="BS112" s="293"/>
      <c r="BT112" s="294"/>
      <c r="BU112" s="294"/>
      <c r="BV112" s="294"/>
      <c r="BW112" s="294"/>
      <c r="BX112" s="294"/>
      <c r="BY112" s="294"/>
      <c r="BZ112" s="294"/>
      <c r="CA112" s="294"/>
      <c r="CB112" s="294"/>
      <c r="CC112" s="203"/>
      <c r="CD112" s="203"/>
      <c r="CE112" s="203"/>
      <c r="CF112" s="203"/>
      <c r="CG112" s="203"/>
      <c r="CH112" s="203"/>
      <c r="CI112" s="203"/>
      <c r="CJ112" s="203"/>
      <c r="CK112" s="291"/>
      <c r="CL112" s="291"/>
      <c r="CM112" s="291"/>
      <c r="CN112" s="291"/>
      <c r="CO112" s="291"/>
      <c r="CP112" s="291"/>
      <c r="CQ112" s="291"/>
      <c r="CR112" s="291"/>
      <c r="CS112" s="291"/>
      <c r="CT112" s="291"/>
      <c r="CU112" s="291"/>
      <c r="CV112" s="291"/>
      <c r="CW112" s="291"/>
      <c r="CX112" s="291"/>
      <c r="CY112" s="291"/>
      <c r="CZ112" s="291"/>
      <c r="DA112" s="291"/>
      <c r="DB112" s="291"/>
      <c r="DC112" s="291"/>
      <c r="DD112" s="291"/>
      <c r="DE112" s="291"/>
      <c r="DF112" s="291"/>
      <c r="DG112" s="291"/>
      <c r="DH112" s="291"/>
      <c r="DI112" s="291"/>
      <c r="DO112" s="140" t="s">
        <v>675</v>
      </c>
    </row>
    <row r="113" customFormat="false" ht="15" hidden="false" customHeight="false" outlineLevel="0" collapsed="false">
      <c r="G113" s="315" t="s">
        <v>681</v>
      </c>
      <c r="H113" s="140" t="s">
        <v>674</v>
      </c>
      <c r="I113" s="290" t="n">
        <v>3.38978082191781</v>
      </c>
      <c r="J113" s="292" t="n">
        <f aca="false">AVERAGE(J2:J101)</f>
        <v>44864.9</v>
      </c>
      <c r="K113" s="290" t="n">
        <v>68.3338</v>
      </c>
      <c r="L113" s="290" t="n">
        <v>3.3625</v>
      </c>
      <c r="M113" s="290" t="n">
        <v>189.96</v>
      </c>
      <c r="N113" s="290" t="n">
        <f aca="false">AVERAGE(N2:N101)</f>
        <v>262.45</v>
      </c>
      <c r="O113" s="290"/>
      <c r="P113" s="290"/>
      <c r="Q113" s="290"/>
      <c r="R113" s="290"/>
      <c r="S113" s="290"/>
      <c r="T113" s="290" t="n">
        <v>1440.56</v>
      </c>
      <c r="U113" s="290"/>
      <c r="W113" s="290" t="n">
        <v>0.613886152310382</v>
      </c>
      <c r="Y113" s="290" t="n">
        <v>0.765356351669895</v>
      </c>
      <c r="Z113" s="315" t="s">
        <v>681</v>
      </c>
      <c r="AA113" s="140" t="s">
        <v>674</v>
      </c>
      <c r="AB113" s="151" t="n">
        <f aca="false">AVERAGE(AB2:AB101)</f>
        <v>45057.3334051828</v>
      </c>
      <c r="AC113" s="151" t="n">
        <f aca="false">AVERAGE(AC2:AC101)</f>
        <v>45059.6885612073</v>
      </c>
      <c r="AD113" s="290" t="n">
        <f aca="false">AVERAGE(AD2:AD101)</f>
        <v>56.523744588733</v>
      </c>
      <c r="AE113" s="151" t="n">
        <f aca="false">AVERAGE(AE2:AE101)</f>
        <v>45057.4913810185</v>
      </c>
      <c r="AF113" s="151" t="n">
        <f aca="false">AVERAGE(AF2:AF101)</f>
        <v>45058.1825037037</v>
      </c>
      <c r="AG113" s="290" t="n">
        <f aca="false">AVERAGE(AG2:AG101)</f>
        <v>16.5869444444403</v>
      </c>
      <c r="AH113" s="290" t="n">
        <f aca="false">AVERAGE(AH2:AH101)</f>
        <v>16.7998925925892</v>
      </c>
      <c r="AI113" s="151" t="n">
        <f aca="false">AVERAGE(AI2:AI101)</f>
        <v>45063.2822569445</v>
      </c>
      <c r="AJ113" s="151" t="n">
        <f aca="false">AVERAGE(AJ2:AJ101)</f>
        <v>45063.7306944445</v>
      </c>
      <c r="AK113" s="290" t="n">
        <f aca="false">AVERAGE(AK2:AK101)</f>
        <v>10.7624999999825</v>
      </c>
      <c r="AL113" s="290" t="n">
        <f aca="false">AVERAGE(AL2:AL101)</f>
        <v>11.2580555555469</v>
      </c>
      <c r="AM113" s="290" t="e">
        <f aca="false">AVERAGE(AM2:AM101)</f>
        <v>#REF!</v>
      </c>
      <c r="AN113" s="290" t="e">
        <f aca="false">AVERAGE(AN2:AN101)</f>
        <v>#REF!</v>
      </c>
      <c r="AO113" s="290" t="n">
        <f aca="false">AVERAGE(AO2:AO101)</f>
        <v>19.7012987012987</v>
      </c>
      <c r="AP113" s="290"/>
      <c r="AQ113" s="151"/>
      <c r="AR113" s="290"/>
      <c r="AS113" s="290"/>
      <c r="AU113" s="151" t="n">
        <f aca="false">AVERAGE(AU2:AU101)</f>
        <v>45073.1030058991</v>
      </c>
      <c r="AV113" s="151" t="n">
        <f aca="false">AVERAGE(AV2:AV101)</f>
        <v>45082.578823178</v>
      </c>
      <c r="AW113" s="290" t="n">
        <f aca="false">AVERAGE(AW2:AW101)</f>
        <v>227.419614695339</v>
      </c>
      <c r="AX113" s="151" t="n">
        <f aca="false">AVERAGE(AX2:AX101)</f>
        <v>45075.4021802126</v>
      </c>
      <c r="AY113" s="151" t="n">
        <f aca="false">AVERAGE(AY2:AY101)</f>
        <v>45076.0039433299</v>
      </c>
      <c r="AZ113" s="290" t="n">
        <f aca="false">AVERAGE(AZ2:AZ101)</f>
        <v>14.4423148148182</v>
      </c>
      <c r="BA113" s="290" t="n">
        <f aca="false">AVERAGE(BA2:BA101)</f>
        <v>14.813271604944</v>
      </c>
      <c r="BB113" s="151" t="n">
        <f aca="false">AVERAGE(BB2:BB101)</f>
        <v>45078.5811772487</v>
      </c>
      <c r="BC113" s="151" t="n">
        <f aca="false">AVERAGE(BC2:BC101)</f>
        <v>45079.1853918651</v>
      </c>
      <c r="BD113" s="140" t="s">
        <v>674</v>
      </c>
      <c r="BE113" s="290" t="n">
        <f aca="false">AVERAGE(BE2:BE101)</f>
        <v>14.7817063492091</v>
      </c>
      <c r="BF113" s="290" t="n">
        <f aca="false">AVERAGE(BF2:BF101)</f>
        <v>18.8709677419355</v>
      </c>
      <c r="BG113" s="140"/>
      <c r="BH113" s="290" t="n">
        <f aca="false">AVERAGE(BH2:BH101)</f>
        <v>1.43859649122807</v>
      </c>
      <c r="BI113" s="140"/>
      <c r="BJ113" s="140"/>
      <c r="BK113" s="151"/>
      <c r="BL113" s="290" t="n">
        <f aca="false">AVERAGE(BL2:BL101)</f>
        <v>1.35526315789474</v>
      </c>
      <c r="BM113" s="187" t="n">
        <f aca="false">AVERAGE(BM2:BM101)</f>
        <v>45214.3157894737</v>
      </c>
      <c r="BN113" s="151" t="n">
        <f aca="false">AVERAGE(BN2:BN101)</f>
        <v>45209.1588065423</v>
      </c>
      <c r="BO113" s="290" t="n">
        <f aca="false">AVERAGE(BO2:BO101)</f>
        <v>156.643051522905</v>
      </c>
      <c r="BP113" s="290"/>
      <c r="BQ113" s="151"/>
      <c r="BR113" s="290" t="n">
        <f aca="false">AVERAGE(BR2:BR101)</f>
        <v>0.939614285714286</v>
      </c>
      <c r="BS113" s="290" t="n">
        <f aca="false">AVERAGE(BS2:BS101)</f>
        <v>1.39745112244898</v>
      </c>
      <c r="BT113" s="290" t="n">
        <f aca="false">AVERAGE(BT2:BT101)</f>
        <v>0.524370808080808</v>
      </c>
      <c r="BU113" s="290" t="n">
        <f aca="false">AVERAGE(BU2:BU101)</f>
        <v>0.610606464646465</v>
      </c>
      <c r="BV113" s="290" t="n">
        <f aca="false">AVERAGE(BV2:BV101)</f>
        <v>0.601793636363636</v>
      </c>
      <c r="BW113" s="290" t="n">
        <f aca="false">AVERAGE(BW2:BW101)</f>
        <v>0.613162142857143</v>
      </c>
      <c r="BX113" s="290" t="n">
        <f aca="false">AVERAGE(BX2:BX101)</f>
        <v>1.05930858585859</v>
      </c>
      <c r="BY113" s="290" t="n">
        <f aca="false">AVERAGE(BY2:BY101)</f>
        <v>1.63724835051546</v>
      </c>
      <c r="BZ113" s="290" t="n">
        <f aca="false">AVERAGE(BZ2:BZ101)</f>
        <v>1.99119755102041</v>
      </c>
      <c r="CA113" s="290" t="n">
        <f aca="false">AVERAGE(CA2:CA101)</f>
        <v>3.12777616161616</v>
      </c>
      <c r="CB113" s="290" t="n">
        <f aca="false">AVERAGE(CB2:CB101)</f>
        <v>3.4333696969697</v>
      </c>
      <c r="DA113" s="290" t="n">
        <f aca="false">AVERAGE(DA2:DA101)</f>
        <v>57.221052631579</v>
      </c>
      <c r="DB113" s="151" t="e">
        <f aca="false">AVERAGE(DB2:DB101)</f>
        <v>#REF!</v>
      </c>
      <c r="DC113" s="151"/>
      <c r="DD113" s="151"/>
      <c r="DE113" s="151"/>
      <c r="DF113" s="151"/>
      <c r="DG113" s="290" t="e">
        <f aca="false">AVERAGE(DG74:DG101,DG62:DG72,DG34:DG60,DG26:DG32,DG12:DG24,DG3:DG9)</f>
        <v>#REF!</v>
      </c>
      <c r="DH113" s="151"/>
      <c r="DI113" s="290" t="e">
        <f aca="false">AVERAGE(DI2:DI101)</f>
        <v>#REF!</v>
      </c>
      <c r="DJ113" s="140"/>
      <c r="DN113" s="315" t="s">
        <v>681</v>
      </c>
      <c r="DO113" s="140" t="s">
        <v>676</v>
      </c>
    </row>
    <row r="114" customFormat="false" ht="15" hidden="false" customHeight="false" outlineLevel="0" collapsed="false">
      <c r="H114" s="140" t="s">
        <v>675</v>
      </c>
      <c r="I114" s="290" t="n">
        <v>1.51267715143283</v>
      </c>
      <c r="J114" s="290" t="n">
        <f aca="false">_xlfn.STDEV.S(J2:J101)</f>
        <v>20.0078267513774</v>
      </c>
      <c r="K114" s="290" t="n">
        <v>9.93685373656178</v>
      </c>
      <c r="L114" s="290" t="n">
        <v>0.397871546704169</v>
      </c>
      <c r="M114" s="290" t="n">
        <v>20.1769545509101</v>
      </c>
      <c r="N114" s="290" t="n">
        <f aca="false">_xlfn.STDEV.S(N2:N101)</f>
        <v>53.4348229437537</v>
      </c>
      <c r="O114" s="290"/>
      <c r="P114" s="290"/>
      <c r="Q114" s="290"/>
      <c r="R114" s="290"/>
      <c r="S114" s="290"/>
      <c r="T114" s="290" t="n">
        <v>300.872580164676</v>
      </c>
      <c r="U114" s="290"/>
      <c r="W114" s="290" t="n">
        <v>0.153222171561466</v>
      </c>
      <c r="Y114" s="290" t="n">
        <v>0.172069972298858</v>
      </c>
      <c r="Z114" s="1"/>
      <c r="AA114" s="140" t="s">
        <v>675</v>
      </c>
      <c r="AB114" s="290" t="n">
        <f aca="false">_xlfn.STDEV.S(AB2:AB101)</f>
        <v>2.30624603684138</v>
      </c>
      <c r="AC114" s="290" t="n">
        <f aca="false">_xlfn.STDEV.S(AC2:AC101)</f>
        <v>3.64946479246995</v>
      </c>
      <c r="AD114" s="290" t="n">
        <f aca="false">_xlfn.STDEV.S(AD2:AD101)</f>
        <v>82.4656519902675</v>
      </c>
      <c r="AE114" s="290" t="n">
        <f aca="false">_xlfn.STDEV.S(AE2:AE101)</f>
        <v>2.44065386671047</v>
      </c>
      <c r="AF114" s="290" t="n">
        <f aca="false">_xlfn.STDEV.S(AF2:AF101)</f>
        <v>2.21639972339318</v>
      </c>
      <c r="AG114" s="290" t="n">
        <f aca="false">_xlfn.STDEV.S(AG2:AG101)</f>
        <v>19.0039515407039</v>
      </c>
      <c r="AH114" s="290" t="n">
        <f aca="false">_xlfn.STDEV.S(AH2:AH101)</f>
        <v>18.8191562510632</v>
      </c>
      <c r="AI114" s="290" t="n">
        <f aca="false">_xlfn.STDEV.S(AI2:AI101)</f>
        <v>1.97780385616104</v>
      </c>
      <c r="AJ114" s="290" t="n">
        <f aca="false">_xlfn.STDEV.S(AJ2:AJ101)</f>
        <v>1.34414124449261</v>
      </c>
      <c r="AK114" s="290" t="n">
        <f aca="false">_xlfn.STDEV.S(AK2:AK101)</f>
        <v>15.2079026778195</v>
      </c>
      <c r="AL114" s="290" t="n">
        <f aca="false">_xlfn.STDEV.S(AL2:AL101)</f>
        <v>14.5070812902311</v>
      </c>
      <c r="AM114" s="290" t="e">
        <f aca="false">_xlfn.STDEV.S(AM2:AM101)</f>
        <v>#REF!</v>
      </c>
      <c r="AN114" s="290" t="e">
        <f aca="false">_xlfn.STDEV.S(AN2:AN101)</f>
        <v>#REF!</v>
      </c>
      <c r="AO114" s="290" t="n">
        <f aca="false">_xlfn.STDEV.S(AO2:AO101)</f>
        <v>27.2445382914124</v>
      </c>
      <c r="AP114" s="290"/>
      <c r="AQ114" s="290"/>
      <c r="AR114" s="290"/>
      <c r="AS114" s="290"/>
      <c r="AU114" s="290" t="n">
        <f aca="false">_xlfn.STDEV.S(AU2:AU101)</f>
        <v>4.4550255540043</v>
      </c>
      <c r="AV114" s="290" t="n">
        <f aca="false">_xlfn.STDEV.S(AV2:AV101)</f>
        <v>4.89721179112583</v>
      </c>
      <c r="AW114" s="290" t="n">
        <f aca="false">_xlfn.STDEV.S(AW2:AW101)</f>
        <v>110.832461845241</v>
      </c>
      <c r="AX114" s="290" t="n">
        <f aca="false">_xlfn.STDEV.S(AX2:AX101)</f>
        <v>4.70684030667784</v>
      </c>
      <c r="AY114" s="290" t="n">
        <f aca="false">_xlfn.STDEV.S(AY2:AY101)</f>
        <v>4.49089930861549</v>
      </c>
      <c r="AZ114" s="290" t="n">
        <f aca="false">_xlfn.STDEV.S(AZ2:AZ101)</f>
        <v>23.150947647181</v>
      </c>
      <c r="BA114" s="290" t="n">
        <f aca="false">_xlfn.STDEV.S(BA2:BA101)</f>
        <v>22.9198042939193</v>
      </c>
      <c r="BB114" s="290" t="n">
        <f aca="false">_xlfn.STDEV.S(BB2:BB101)</f>
        <v>3.31782138052241</v>
      </c>
      <c r="BC114" s="290" t="n">
        <f aca="false">_xlfn.STDEV.S(BC2:BC101)</f>
        <v>4.08589673768013</v>
      </c>
      <c r="BD114" s="140" t="s">
        <v>675</v>
      </c>
      <c r="BE114" s="290" t="n">
        <f aca="false">_xlfn.STDEV.S(BE2:BE101)</f>
        <v>23.8701784600642</v>
      </c>
      <c r="BF114" s="290" t="n">
        <f aca="false">_xlfn.STDEV.S(BF2:BF101)</f>
        <v>27.7928424982061</v>
      </c>
      <c r="BG114" s="140"/>
      <c r="BH114" s="290" t="n">
        <f aca="false">_xlfn.STDEV.S(BH2:BH101)</f>
        <v>0.567499020126565</v>
      </c>
      <c r="BI114" s="140"/>
      <c r="BJ114" s="140"/>
      <c r="BK114" s="290"/>
      <c r="BL114" s="290" t="n">
        <f aca="false">_xlfn.STDEV.S(BL2:BL101)</f>
        <v>0.508696304119228</v>
      </c>
      <c r="BM114" s="290" t="n">
        <f aca="false">_xlfn.STDEV.S(BM2:BM101)</f>
        <v>16.1775239360588</v>
      </c>
      <c r="BN114" s="290" t="n">
        <f aca="false">_xlfn.STDEV.S(BN2:BN101)</f>
        <v>8.91544399882562</v>
      </c>
      <c r="BO114" s="290" t="n">
        <f aca="false">_xlfn.STDEV.S(BO2:BO101)</f>
        <v>16.1782091488918</v>
      </c>
      <c r="BP114" s="290"/>
      <c r="BQ114" s="290"/>
      <c r="BR114" s="290" t="n">
        <f aca="false">_xlfn.STDEV.S(BR2:BR101)</f>
        <v>1.24697386489283</v>
      </c>
      <c r="BS114" s="290" t="n">
        <f aca="false">_xlfn.STDEV.S(BS2:BS101)</f>
        <v>1.62066816717062</v>
      </c>
      <c r="BT114" s="290" t="n">
        <f aca="false">_xlfn.STDEV.S(BT2:BT101)</f>
        <v>0.396827921287837</v>
      </c>
      <c r="BU114" s="290" t="n">
        <f aca="false">_xlfn.STDEV.S(BU2:BU101)</f>
        <v>0.535001827979546</v>
      </c>
      <c r="BV114" s="290" t="n">
        <f aca="false">_xlfn.STDEV.S(BV2:BV101)</f>
        <v>0.523670560770084</v>
      </c>
      <c r="BW114" s="290" t="n">
        <f aca="false">_xlfn.STDEV.S(BW2:BW101)</f>
        <v>0.549692911081541</v>
      </c>
      <c r="BX114" s="290" t="n">
        <f aca="false">_xlfn.STDEV.S(BX2:BX101)</f>
        <v>0.799836416517637</v>
      </c>
      <c r="BY114" s="290" t="n">
        <f aca="false">_xlfn.STDEV.S(BY2:BY101)</f>
        <v>1.02256597288154</v>
      </c>
      <c r="BZ114" s="290" t="n">
        <f aca="false">_xlfn.STDEV.S(BZ2:BZ101)</f>
        <v>1.25974967684679</v>
      </c>
      <c r="CA114" s="290" t="n">
        <f aca="false">_xlfn.STDEV.S(CA2:CA101)</f>
        <v>1.58573212113889</v>
      </c>
      <c r="CB114" s="290" t="n">
        <f aca="false">_xlfn.STDEV.S(CB2:CB101)</f>
        <v>1.77253155229074</v>
      </c>
      <c r="DA114" s="290" t="n">
        <f aca="false">_xlfn.STDEV.S(DA2:DA101)</f>
        <v>16.2750160619383</v>
      </c>
      <c r="DB114" s="290" t="e">
        <f aca="false">_xlfn.STDEV.S(DB2:DB101)</f>
        <v>#REF!</v>
      </c>
      <c r="DC114" s="290"/>
      <c r="DD114" s="290"/>
      <c r="DE114" s="290"/>
      <c r="DF114" s="290"/>
      <c r="DG114" s="290" t="e">
        <f aca="false">_xlfn.STDEV.S(DG74:DG101,DG62:DG72,DG34:DG60,DG26:DG32,DG12:DG24,DG3:DG9)</f>
        <v>#REF!</v>
      </c>
      <c r="DH114" s="290"/>
      <c r="DI114" s="290" t="e">
        <f aca="false">_xlfn.STDEV.S(DI2:DI101)</f>
        <v>#REF!</v>
      </c>
      <c r="DJ114" s="140"/>
      <c r="DO114" s="3" t="s">
        <v>677</v>
      </c>
    </row>
    <row r="115" customFormat="false" ht="15" hidden="false" customHeight="false" outlineLevel="0" collapsed="false">
      <c r="H115" s="140" t="s">
        <v>676</v>
      </c>
      <c r="I115" s="290" t="n">
        <v>0.151267715143283</v>
      </c>
      <c r="J115" s="290" t="n">
        <f aca="false">(_xlfn.STDEV.S(J2:J101)/SQRT(J116))</f>
        <v>2.00078267513774</v>
      </c>
      <c r="K115" s="290" t="n">
        <v>0.993685373656178</v>
      </c>
      <c r="L115" s="290" t="n">
        <v>0.0397871546704169</v>
      </c>
      <c r="M115" s="290" t="n">
        <v>2.01769545509101</v>
      </c>
      <c r="N115" s="290" t="n">
        <f aca="false">(_xlfn.STDEV.S(N2:N101)/SQRT(N116))</f>
        <v>5.34348229437537</v>
      </c>
      <c r="O115" s="290"/>
      <c r="P115" s="290"/>
      <c r="Q115" s="290"/>
      <c r="R115" s="290"/>
      <c r="S115" s="290"/>
      <c r="T115" s="290" t="n">
        <v>30.0872580164676</v>
      </c>
      <c r="U115" s="290"/>
      <c r="W115" s="290" t="n">
        <v>0.0153222171561466</v>
      </c>
      <c r="Y115" s="290" t="n">
        <v>0.0172069972298858</v>
      </c>
      <c r="Z115" s="1"/>
      <c r="AA115" s="140" t="s">
        <v>676</v>
      </c>
      <c r="AB115" s="290" t="n">
        <f aca="false">(_xlfn.STDEV.S(AB2:AB101)/SQRT(AB116))</f>
        <v>0.262821127816199</v>
      </c>
      <c r="AC115" s="290" t="n">
        <f aca="false">(_xlfn.STDEV.S(AC2:AC101)/SQRT(AC116))</f>
        <v>0.415895111519028</v>
      </c>
      <c r="AD115" s="290" t="n">
        <f aca="false">(_xlfn.STDEV.S(AD2:AD101)/SQRT(AD116))</f>
        <v>9.39783323893078</v>
      </c>
      <c r="AE115" s="290" t="n">
        <f aca="false">(_xlfn.STDEV.S(AE2:AE101)/SQRT(AE116))</f>
        <v>0.281822433388798</v>
      </c>
      <c r="AF115" s="290" t="n">
        <f aca="false">(_xlfn.STDEV.S(AF2:AF101)/SQRT(AF116))</f>
        <v>0.255927795386573</v>
      </c>
      <c r="AG115" s="290" t="n">
        <f aca="false">(_xlfn.STDEV.S(AG2:AG101)/SQRT(AG116))</f>
        <v>2.1943873075384</v>
      </c>
      <c r="AH115" s="290" t="n">
        <f aca="false">(_xlfn.STDEV.S(AH2:AH101)/SQRT(AH116))</f>
        <v>2.17304898549459</v>
      </c>
      <c r="AI115" s="290" t="n">
        <f aca="false">(_xlfn.STDEV.S(AI2:AI101)/SQRT(AI116))</f>
        <v>1.39851851854837</v>
      </c>
      <c r="AJ115" s="290" t="n">
        <f aca="false">(_xlfn.STDEV.S(AJ2:AJ101)/SQRT(AJ116))</f>
        <v>0.950451388853253</v>
      </c>
      <c r="AK115" s="290" t="n">
        <f aca="false">(_xlfn.STDEV.S(AK2:AK101)/SQRT(AK116))</f>
        <v>10.7536111111113</v>
      </c>
      <c r="AL115" s="290" t="n">
        <f aca="false">(_xlfn.STDEV.S(AL2:AL101)/SQRT(AL116))</f>
        <v>10.2580555555469</v>
      </c>
      <c r="AM115" s="290" t="e">
        <f aca="false">(_xlfn.STDEV.S(AM2:AM101)/SQRT(AM116))</f>
        <v>#REF!</v>
      </c>
      <c r="AN115" s="290" t="e">
        <f aca="false">(_xlfn.STDEV.S(AN2:AN101)/SQRT(AN116))</f>
        <v>#REF!</v>
      </c>
      <c r="AO115" s="290" t="n">
        <f aca="false">(_xlfn.STDEV.S(AO2:AO101)/SQRT(AO116))</f>
        <v>3.10480328906603</v>
      </c>
      <c r="AP115" s="290"/>
      <c r="AQ115" s="290"/>
      <c r="AR115" s="290"/>
      <c r="AS115" s="290"/>
      <c r="AU115" s="290" t="n">
        <f aca="false">(_xlfn.STDEV.S(AU2:AU101)/SQRT(AU116))</f>
        <v>0.800146210163942</v>
      </c>
      <c r="AV115" s="290" t="n">
        <f aca="false">(_xlfn.STDEV.S(AV2:AV101)/SQRT(AV116))</f>
        <v>0.879565202834238</v>
      </c>
      <c r="AW115" s="290" t="n">
        <f aca="false">(_xlfn.STDEV.S(AW2:AW101)/SQRT(AW116))</f>
        <v>19.9060977840855</v>
      </c>
      <c r="AX115" s="290" t="n">
        <f aca="false">(_xlfn.STDEV.S(AX2:AX101)/SQRT(AX116))</f>
        <v>0.640519836229211</v>
      </c>
      <c r="AY115" s="290" t="n">
        <f aca="false">(_xlfn.STDEV.S(AY2:AY101)/SQRT(AY116))</f>
        <v>0.611133988462539</v>
      </c>
      <c r="AZ115" s="290" t="n">
        <f aca="false">(_xlfn.STDEV.S(AZ2:AZ101)/SQRT(AZ116))</f>
        <v>3.15044493319335</v>
      </c>
      <c r="BA115" s="290" t="n">
        <f aca="false">(_xlfn.STDEV.S(BA2:BA101)/SQRT(BA116))</f>
        <v>3.11899030691962</v>
      </c>
      <c r="BB115" s="290" t="n">
        <f aca="false">(_xlfn.STDEV.S(BB2:BB101)/SQRT(BB116))</f>
        <v>1.2540186096279</v>
      </c>
      <c r="BC115" s="290" t="n">
        <f aca="false">(_xlfn.STDEV.S(BC2:BC101)/SQRT(BC116))</f>
        <v>1.54432380722739</v>
      </c>
      <c r="BD115" s="140" t="s">
        <v>676</v>
      </c>
      <c r="BE115" s="290" t="n">
        <f aca="false">(_xlfn.STDEV.S(BE2:BE101)/SQRT(BE116))</f>
        <v>9.02207942229438</v>
      </c>
      <c r="BF115" s="290" t="n">
        <f aca="false">(_xlfn.STDEV.S(BF2:BF101)/SQRT(BF116))</f>
        <v>3.52969452696846</v>
      </c>
      <c r="BG115" s="140"/>
      <c r="BH115" s="290" t="n">
        <f aca="false">(_xlfn.STDEV.S(BH2:BH101)/SQRT(BH116))</f>
        <v>0.0751670814760342</v>
      </c>
      <c r="BI115" s="140"/>
      <c r="BJ115" s="140"/>
      <c r="BK115" s="290"/>
      <c r="BL115" s="290" t="n">
        <f aca="false">(_xlfn.STDEV.S(BL2:BL101)/SQRT(BL116))</f>
        <v>0.0583514679633775</v>
      </c>
      <c r="BM115" s="290" t="n">
        <f aca="false">(_xlfn.STDEV.S(BM2:BM101)/SQRT(BM116))</f>
        <v>1.85568926299975</v>
      </c>
      <c r="BN115" s="290" t="n">
        <f aca="false">(_xlfn.STDEV.S(BN2:BN101)/SQRT(BN116))</f>
        <v>0.896035835864555</v>
      </c>
      <c r="BO115" s="290" t="n">
        <f aca="false">(_xlfn.STDEV.S(BO2:BO101)/SQRT(BO116))</f>
        <v>1.85576786230223</v>
      </c>
      <c r="BP115" s="290"/>
      <c r="BQ115" s="290"/>
      <c r="BR115" s="290" t="n">
        <f aca="false">(_xlfn.STDEV.S(BR2:BR101)/SQRT(BR116))</f>
        <v>0.12596338226116</v>
      </c>
      <c r="BS115" s="290" t="n">
        <f aca="false">(_xlfn.STDEV.S(BS2:BS101)/SQRT(BS116))</f>
        <v>0.163712207294217</v>
      </c>
      <c r="BT115" s="290" t="n">
        <f aca="false">(_xlfn.STDEV.S(BT2:BT101)/SQRT(BT116))</f>
        <v>0.0398827067044983</v>
      </c>
      <c r="BU115" s="290" t="n">
        <f aca="false">(_xlfn.STDEV.S(BU2:BU101)/SQRT(BU116))</f>
        <v>0.0537697068352247</v>
      </c>
      <c r="BV115" s="290" t="n">
        <f aca="false">(_xlfn.STDEV.S(BV2:BV101)/SQRT(BV116))</f>
        <v>0.0526308716311932</v>
      </c>
      <c r="BW115" s="290" t="n">
        <f aca="false">(_xlfn.STDEV.S(BW2:BW101)/SQRT(BW116))</f>
        <v>0.0555273692851331</v>
      </c>
      <c r="BX115" s="290" t="n">
        <f aca="false">(_xlfn.STDEV.S(BX2:BX101)/SQRT(BX116))</f>
        <v>0.0803865844621644</v>
      </c>
      <c r="BY115" s="290" t="n">
        <f aca="false">(_xlfn.STDEV.S(BY2:BY101)/SQRT(BY116))</f>
        <v>0.10382584391614</v>
      </c>
      <c r="BZ115" s="290" t="n">
        <f aca="false">(_xlfn.STDEV.S(BZ2:BZ101)/SQRT(BZ116))</f>
        <v>0.127253934156561</v>
      </c>
      <c r="CA115" s="290" t="n">
        <f aca="false">(_xlfn.STDEV.S(CA2:CA101)/SQRT(CA116))</f>
        <v>0.159372074661579</v>
      </c>
      <c r="CB115" s="290" t="n">
        <f aca="false">(_xlfn.STDEV.S(CB2:CB101)/SQRT(CB116))</f>
        <v>0.178146123879231</v>
      </c>
      <c r="DA115" s="290" t="n">
        <f aca="false">(_xlfn.STDEV.S(DA2:DA101)/SQRT(DA116))</f>
        <v>1.66978141593869</v>
      </c>
      <c r="DB115" s="290" t="e">
        <f aca="false">(_xlfn.STDEV.S(DB2:DB101)/SQRT(DB116))</f>
        <v>#REF!</v>
      </c>
      <c r="DC115" s="290"/>
      <c r="DD115" s="290"/>
      <c r="DE115" s="290"/>
      <c r="DF115" s="290"/>
      <c r="DG115" s="290" t="e">
        <f aca="false">(_xlfn.STDEV.S(DG74:DG101,DG62:DG72,DG34:DG60,DG26:DG32,DG12:DG24,DG3:DG9)/SQRT(DG116))</f>
        <v>#REF!</v>
      </c>
      <c r="DH115" s="290"/>
      <c r="DI115" s="290" t="e">
        <f aca="false">(_xlfn.STDEV.S(DI2:DI101)/SQRT(DI116))</f>
        <v>#REF!</v>
      </c>
      <c r="DJ115" s="140"/>
      <c r="DO115" s="3" t="s">
        <v>678</v>
      </c>
    </row>
    <row r="116" customFormat="false" ht="15" hidden="false" customHeight="false" outlineLevel="0" collapsed="false">
      <c r="H116" s="3" t="s">
        <v>677</v>
      </c>
      <c r="I116" s="290" t="n">
        <v>100</v>
      </c>
      <c r="J116" s="290" t="n">
        <f aca="false">COUNT(J2:J101)</f>
        <v>100</v>
      </c>
      <c r="K116" s="290" t="n">
        <v>100</v>
      </c>
      <c r="L116" s="290" t="n">
        <v>100</v>
      </c>
      <c r="M116" s="290" t="n">
        <v>100</v>
      </c>
      <c r="N116" s="290" t="n">
        <f aca="false">COUNT(N2:N101)</f>
        <v>100</v>
      </c>
      <c r="O116" s="290"/>
      <c r="P116" s="290"/>
      <c r="Q116" s="290"/>
      <c r="R116" s="290"/>
      <c r="S116" s="290"/>
      <c r="T116" s="290" t="n">
        <v>100</v>
      </c>
      <c r="U116" s="290"/>
      <c r="W116" s="290" t="n">
        <v>100</v>
      </c>
      <c r="Y116" s="290" t="n">
        <v>100</v>
      </c>
      <c r="Z116" s="1"/>
      <c r="AA116" s="3" t="s">
        <v>677</v>
      </c>
      <c r="AB116" s="140" t="n">
        <f aca="false">COUNT(AB2:AB101)</f>
        <v>77</v>
      </c>
      <c r="AC116" s="140" t="n">
        <f aca="false">COUNT(AC2:AC101)</f>
        <v>77</v>
      </c>
      <c r="AD116" s="290" t="n">
        <f aca="false">COUNT(AD2:AD101)</f>
        <v>77</v>
      </c>
      <c r="AE116" s="140" t="n">
        <f aca="false">COUNT(AE2:AE101)</f>
        <v>75</v>
      </c>
      <c r="AF116" s="140" t="n">
        <f aca="false">COUNT(AF2:AF101)</f>
        <v>75</v>
      </c>
      <c r="AG116" s="290" t="n">
        <f aca="false">COUNT(AG2:AG101)</f>
        <v>75</v>
      </c>
      <c r="AH116" s="290" t="n">
        <f aca="false">COUNT(AH2:AH101)</f>
        <v>75</v>
      </c>
      <c r="AI116" s="140" t="n">
        <f aca="false">COUNT(AI2:AI101)</f>
        <v>2</v>
      </c>
      <c r="AJ116" s="140" t="n">
        <f aca="false">COUNT(AJ2:AJ101)</f>
        <v>2</v>
      </c>
      <c r="AK116" s="290" t="n">
        <f aca="false">COUNT(AK2:AK101)</f>
        <v>2</v>
      </c>
      <c r="AL116" s="290" t="n">
        <f aca="false">COUNT(AL2:AL101)</f>
        <v>2</v>
      </c>
      <c r="AM116" s="290" t="n">
        <f aca="false">COUNT(AM2:AM101)</f>
        <v>0</v>
      </c>
      <c r="AN116" s="290" t="n">
        <f aca="false">COUNT(AN2:AN101)</f>
        <v>0</v>
      </c>
      <c r="AO116" s="290" t="n">
        <f aca="false">COUNT(AO2:AO101)</f>
        <v>77</v>
      </c>
      <c r="AP116" s="290"/>
      <c r="AQ116" s="140"/>
      <c r="AR116" s="290"/>
      <c r="AS116" s="290"/>
      <c r="AU116" s="140" t="n">
        <f aca="false">COUNT(AU2:AU101)</f>
        <v>31</v>
      </c>
      <c r="AV116" s="140" t="n">
        <f aca="false">COUNT(AV2:AV101)</f>
        <v>31</v>
      </c>
      <c r="AW116" s="290" t="n">
        <f aca="false">COUNT(AW2:AW101)</f>
        <v>31</v>
      </c>
      <c r="AX116" s="140" t="n">
        <f aca="false">COUNT(AX2:AX101)</f>
        <v>54</v>
      </c>
      <c r="AY116" s="140" t="n">
        <f aca="false">COUNT(AY2:AY101)</f>
        <v>54</v>
      </c>
      <c r="AZ116" s="290" t="n">
        <f aca="false">COUNT(AZ2:AZ101)</f>
        <v>54</v>
      </c>
      <c r="BA116" s="290" t="n">
        <f aca="false">COUNT(BA2:BA101)</f>
        <v>54</v>
      </c>
      <c r="BB116" s="140" t="n">
        <f aca="false">COUNT(BB2:BB101)</f>
        <v>7</v>
      </c>
      <c r="BC116" s="140" t="n">
        <f aca="false">COUNT(BC2:BC101)</f>
        <v>7</v>
      </c>
      <c r="BD116" s="3" t="s">
        <v>677</v>
      </c>
      <c r="BE116" s="290" t="n">
        <f aca="false">COUNT(BE2:BE101)</f>
        <v>7</v>
      </c>
      <c r="BF116" s="290" t="n">
        <f aca="false">COUNT(BF2:BF101)</f>
        <v>62</v>
      </c>
      <c r="BG116" s="140"/>
      <c r="BH116" s="290" t="n">
        <f aca="false">COUNT(BH2:BH101)</f>
        <v>57</v>
      </c>
      <c r="BI116" s="140"/>
      <c r="BJ116" s="140"/>
      <c r="BK116" s="140"/>
      <c r="BL116" s="290" t="n">
        <f aca="false">COUNT(BL2:BL101)</f>
        <v>76</v>
      </c>
      <c r="BM116" s="140" t="n">
        <f aca="false">COUNT(BM2:BM101)</f>
        <v>76</v>
      </c>
      <c r="BN116" s="140" t="n">
        <f aca="false">COUNT(BN2:BN101)</f>
        <v>99</v>
      </c>
      <c r="BO116" s="290" t="n">
        <f aca="false">COUNT(BO2:BO101)</f>
        <v>76</v>
      </c>
      <c r="BP116" s="290"/>
      <c r="BQ116" s="140"/>
      <c r="BR116" s="290" t="n">
        <f aca="false">COUNT(BR2:BR101)</f>
        <v>98</v>
      </c>
      <c r="BS116" s="290" t="n">
        <f aca="false">COUNT(BS2:BS101)</f>
        <v>98</v>
      </c>
      <c r="BT116" s="290" t="n">
        <f aca="false">COUNT(BT2:BT101)</f>
        <v>99</v>
      </c>
      <c r="BU116" s="290" t="n">
        <f aca="false">COUNT(BU2:BU101)</f>
        <v>99</v>
      </c>
      <c r="BV116" s="290" t="n">
        <f aca="false">COUNT(BV2:BV101)</f>
        <v>99</v>
      </c>
      <c r="BW116" s="290" t="n">
        <f aca="false">COUNT(BW2:BW101)</f>
        <v>98</v>
      </c>
      <c r="BX116" s="290" t="n">
        <f aca="false">COUNT(BX2:BX101)</f>
        <v>99</v>
      </c>
      <c r="BY116" s="290" t="n">
        <f aca="false">COUNT(BY2:BY101)</f>
        <v>97</v>
      </c>
      <c r="BZ116" s="290" t="n">
        <f aca="false">COUNT(BZ2:BZ101)</f>
        <v>98</v>
      </c>
      <c r="CA116" s="290" t="n">
        <f aca="false">COUNT(CA2:CA101)</f>
        <v>99</v>
      </c>
      <c r="CB116" s="290" t="n">
        <f aca="false">COUNT(CB2:CB101)</f>
        <v>99</v>
      </c>
      <c r="DA116" s="290" t="n">
        <f aca="false">COUNT(DA2:DA101)</f>
        <v>95</v>
      </c>
      <c r="DB116" s="140" t="n">
        <f aca="false">COUNT(DB2:DB101)</f>
        <v>0</v>
      </c>
      <c r="DC116" s="140"/>
      <c r="DD116" s="140"/>
      <c r="DE116" s="140"/>
      <c r="DF116" s="140"/>
      <c r="DG116" s="290" t="n">
        <f aca="false">COUNT(DG74:DG101,DG62:DG72,DG34:DG60,DG26:DG32,DG12:DG24,DG3:DG9)</f>
        <v>0</v>
      </c>
      <c r="DH116" s="140"/>
      <c r="DI116" s="290" t="n">
        <f aca="false">COUNT(DI2:DI101)</f>
        <v>0</v>
      </c>
      <c r="DJ116" s="140"/>
      <c r="DO116" s="3" t="s">
        <v>679</v>
      </c>
    </row>
    <row r="117" customFormat="false" ht="15" hidden="false" customHeight="false" outlineLevel="0" collapsed="false">
      <c r="H117" s="3" t="s">
        <v>678</v>
      </c>
      <c r="I117" s="290" t="n">
        <v>1.56164383561644</v>
      </c>
      <c r="J117" s="292" t="n">
        <f aca="false">MIN(J2:J101)</f>
        <v>44843</v>
      </c>
      <c r="K117" s="290" t="n">
        <v>47.5</v>
      </c>
      <c r="L117" s="290" t="n">
        <v>2.5</v>
      </c>
      <c r="M117" s="290" t="n">
        <v>113</v>
      </c>
      <c r="N117" s="290" t="n">
        <f aca="false">MIN(N2:N101)</f>
        <v>171</v>
      </c>
      <c r="O117" s="290"/>
      <c r="P117" s="290"/>
      <c r="Q117" s="290"/>
      <c r="R117" s="290"/>
      <c r="S117" s="290"/>
      <c r="T117" s="290" t="n">
        <v>609</v>
      </c>
      <c r="U117" s="290"/>
      <c r="W117" s="290" t="n">
        <v>0.262612712207004</v>
      </c>
      <c r="Y117" s="290" t="n">
        <v>0.312642424687465</v>
      </c>
      <c r="Z117" s="1"/>
      <c r="AA117" s="3" t="s">
        <v>678</v>
      </c>
      <c r="AB117" s="151" t="n">
        <f aca="false">MIN(AB2:AB101)</f>
        <v>45055.4980555556</v>
      </c>
      <c r="AC117" s="151" t="n">
        <f aca="false">MIN(AC2:AC101)</f>
        <v>45055.4980902778</v>
      </c>
      <c r="AD117" s="290" t="n">
        <f aca="false">MIN(AD2:AD101)</f>
        <v>0</v>
      </c>
      <c r="AE117" s="151" t="n">
        <f aca="false">MIN(AE2:AE101)</f>
        <v>45055.4980555556</v>
      </c>
      <c r="AF117" s="151" t="n">
        <f aca="false">MIN(AF2:AF101)</f>
        <v>45055.4980902778</v>
      </c>
      <c r="AG117" s="290" t="n">
        <f aca="false">MIN(AG2:AG101)</f>
        <v>0</v>
      </c>
      <c r="AH117" s="290" t="n">
        <f aca="false">MIN(AH2:AH101)</f>
        <v>1</v>
      </c>
      <c r="AI117" s="151" t="n">
        <f aca="false">MIN(AI2:AI101)</f>
        <v>45061.8837384259</v>
      </c>
      <c r="AJ117" s="151" t="n">
        <f aca="false">MIN(AJ2:AJ101)</f>
        <v>45062.7802430556</v>
      </c>
      <c r="AK117" s="290" t="n">
        <f aca="false">MIN(AK2:AK101)</f>
        <v>0.00888888887129724</v>
      </c>
      <c r="AL117" s="290" t="n">
        <f aca="false">MIN(AL2:AL101)</f>
        <v>1</v>
      </c>
      <c r="AM117" s="290" t="e">
        <f aca="false">MIN(AM2:AM101)</f>
        <v>#REF!</v>
      </c>
      <c r="AN117" s="290" t="e">
        <f aca="false">MIN(AN2:AN101)</f>
        <v>#REF!</v>
      </c>
      <c r="AO117" s="290" t="n">
        <f aca="false">MIN(AO2:AO101)</f>
        <v>1</v>
      </c>
      <c r="AP117" s="290"/>
      <c r="AQ117" s="151"/>
      <c r="AR117" s="290"/>
      <c r="AS117" s="290"/>
      <c r="AU117" s="151" t="n">
        <f aca="false">MIN(AU2:AU101)</f>
        <v>45067.4180787037</v>
      </c>
      <c r="AV117" s="151" t="n">
        <f aca="false">MIN(AV2:AV101)</f>
        <v>45074.3438773148</v>
      </c>
      <c r="AW117" s="290" t="n">
        <f aca="false">MIN(AW2:AW101)</f>
        <v>48.3325000000186</v>
      </c>
      <c r="AX117" s="151" t="n">
        <f aca="false">MIN(AX2:AX101)</f>
        <v>45067.4854861111</v>
      </c>
      <c r="AY117" s="151" t="n">
        <f aca="false">MIN(AY2:AY101)</f>
        <v>45067.4854861111</v>
      </c>
      <c r="AZ117" s="290" t="n">
        <f aca="false">MIN(AZ2:AZ101)</f>
        <v>0</v>
      </c>
      <c r="BA117" s="290" t="n">
        <f aca="false">MIN(BA2:BA101)</f>
        <v>1</v>
      </c>
      <c r="BB117" s="151" t="n">
        <f aca="false">MIN(BB2:BB101)</f>
        <v>45074.9243402778</v>
      </c>
      <c r="BC117" s="151" t="n">
        <f aca="false">MIN(BC2:BC101)</f>
        <v>45075.2350810185</v>
      </c>
      <c r="BD117" s="3" t="s">
        <v>678</v>
      </c>
      <c r="BE117" s="290" t="n">
        <f aca="false">MIN(BE2:BE101)</f>
        <v>1</v>
      </c>
      <c r="BF117" s="290" t="n">
        <f aca="false">MIN(BF2:BF101)</f>
        <v>1</v>
      </c>
      <c r="BG117" s="140"/>
      <c r="BH117" s="290" t="n">
        <f aca="false">MIN(BH2:BH101)</f>
        <v>0</v>
      </c>
      <c r="BI117" s="140"/>
      <c r="BJ117" s="140"/>
      <c r="BK117" s="151"/>
      <c r="BL117" s="290" t="n">
        <f aca="false">MIN(BL2:BL101)</f>
        <v>1</v>
      </c>
      <c r="BM117" s="196" t="n">
        <f aca="false">MIN(BM2:BM101)</f>
        <v>45201</v>
      </c>
      <c r="BN117" s="151" t="n">
        <f aca="false">MIN(BN2:BN101)</f>
        <v>45202.6569063657</v>
      </c>
      <c r="BO117" s="290" t="n">
        <f aca="false">MIN(BO2:BO101)</f>
        <v>143.338272106499</v>
      </c>
      <c r="BP117" s="290"/>
      <c r="BQ117" s="151"/>
      <c r="BR117" s="290" t="n">
        <f aca="false">MIN(BR2:BR101)</f>
        <v>0.2</v>
      </c>
      <c r="BS117" s="290" t="n">
        <f aca="false">MIN(BS2:BS101)</f>
        <v>0.2</v>
      </c>
      <c r="BT117" s="290" t="n">
        <f aca="false">MIN(BT2:BT101)</f>
        <v>0.2</v>
      </c>
      <c r="BU117" s="290" t="n">
        <f aca="false">MIN(BU2:BU101)</f>
        <v>0.2</v>
      </c>
      <c r="BV117" s="290" t="n">
        <f aca="false">MIN(BV2:BV101)</f>
        <v>0.2</v>
      </c>
      <c r="BW117" s="290" t="n">
        <f aca="false">MIN(BW2:BW101)</f>
        <v>0.2</v>
      </c>
      <c r="BX117" s="290" t="n">
        <f aca="false">MIN(BX2:BX101)</f>
        <v>0.2</v>
      </c>
      <c r="BY117" s="290" t="n">
        <f aca="false">MIN(BY2:BY101)</f>
        <v>0.2</v>
      </c>
      <c r="BZ117" s="290" t="n">
        <f aca="false">MIN(BZ2:BZ101)</f>
        <v>0.2</v>
      </c>
      <c r="CA117" s="290" t="n">
        <f aca="false">MIN(CA2:CA101)</f>
        <v>0.2</v>
      </c>
      <c r="CB117" s="290" t="n">
        <f aca="false">MIN(CB2:CB101)</f>
        <v>0.2</v>
      </c>
      <c r="DA117" s="290" t="n">
        <f aca="false">MIN(DA2:DA101)</f>
        <v>24</v>
      </c>
      <c r="DB117" s="151" t="e">
        <f aca="false">MIN(DB2:DB101)</f>
        <v>#REF!</v>
      </c>
      <c r="DC117" s="151"/>
      <c r="DD117" s="151"/>
      <c r="DE117" s="151"/>
      <c r="DF117" s="151"/>
      <c r="DG117" s="290" t="e">
        <f aca="false">MIN(DG74:DG101,DG62:DG72,DG34:DG60,DG26:DG32,DG12:DG24,DG3:DG9)</f>
        <v>#REF!</v>
      </c>
      <c r="DH117" s="151"/>
      <c r="DI117" s="290" t="e">
        <f aca="false">MIN(DI2:DI101)</f>
        <v>#REF!</v>
      </c>
      <c r="DJ117" s="140"/>
      <c r="DO117" s="3" t="s">
        <v>680</v>
      </c>
    </row>
    <row r="118" customFormat="false" ht="15" hidden="false" customHeight="false" outlineLevel="0" collapsed="false">
      <c r="H118" s="3" t="s">
        <v>679</v>
      </c>
      <c r="I118" s="290" t="n">
        <v>6.58082191780822</v>
      </c>
      <c r="J118" s="292" t="n">
        <f aca="false">MAX(J2:J101)</f>
        <v>44942</v>
      </c>
      <c r="K118" s="290" t="n">
        <v>95</v>
      </c>
      <c r="L118" s="290" t="n">
        <v>4.5</v>
      </c>
      <c r="M118" s="290" t="n">
        <v>210</v>
      </c>
      <c r="N118" s="290" t="n">
        <f aca="false">MAX(N2:N101)</f>
        <v>371</v>
      </c>
      <c r="O118" s="290"/>
      <c r="P118" s="290"/>
      <c r="Q118" s="290"/>
      <c r="R118" s="290"/>
      <c r="S118" s="290"/>
      <c r="T118" s="290" t="n">
        <v>2175</v>
      </c>
      <c r="U118" s="290"/>
      <c r="W118" s="290" t="n">
        <v>0.88826360074165</v>
      </c>
      <c r="Y118" s="290" t="n">
        <v>0.984283752594238</v>
      </c>
      <c r="Z118" s="1"/>
      <c r="AA118" s="3" t="s">
        <v>679</v>
      </c>
      <c r="AB118" s="151" t="n">
        <f aca="false">MAX(AB2:AB101)</f>
        <v>45066.7146412037</v>
      </c>
      <c r="AC118" s="151" t="n">
        <f aca="false">MAX(AC2:AC101)</f>
        <v>45066.7146412037</v>
      </c>
      <c r="AD118" s="290" t="n">
        <f aca="false">MAX(AD2:AD101)</f>
        <v>262.369999999995</v>
      </c>
      <c r="AE118" s="151" t="n">
        <f aca="false">MAX(AE2:AE101)</f>
        <v>45066.7146412037</v>
      </c>
      <c r="AF118" s="151" t="n">
        <f aca="false">MAX(AF2:AF101)</f>
        <v>45066.7146412037</v>
      </c>
      <c r="AG118" s="290" t="n">
        <f aca="false">MAX(AG2:AG101)</f>
        <v>73.5236111110426</v>
      </c>
      <c r="AH118" s="290" t="n">
        <f aca="false">MAX(AH2:AH101)</f>
        <v>73.5236111110426</v>
      </c>
      <c r="AI118" s="151" t="n">
        <f aca="false">MAX(AI2:AI101)</f>
        <v>45064.680775463</v>
      </c>
      <c r="AJ118" s="151" t="n">
        <f aca="false">MAX(AJ2:AJ101)</f>
        <v>45064.6811458333</v>
      </c>
      <c r="AK118" s="290" t="n">
        <f aca="false">MAX(AK2:AK101)</f>
        <v>21.5161111110938</v>
      </c>
      <c r="AL118" s="290" t="n">
        <f aca="false">MAX(AL2:AL101)</f>
        <v>21.5161111110938</v>
      </c>
      <c r="AM118" s="290" t="e">
        <f aca="false">MAX(AM2:AM101)</f>
        <v>#REF!</v>
      </c>
      <c r="AN118" s="290" t="e">
        <f aca="false">MAX(AN2:AN101)</f>
        <v>#REF!</v>
      </c>
      <c r="AO118" s="290" t="n">
        <f aca="false">MAX(AO2:AO101)</f>
        <v>156</v>
      </c>
      <c r="AP118" s="290"/>
      <c r="AQ118" s="151"/>
      <c r="AR118" s="290"/>
      <c r="AS118" s="290"/>
      <c r="AU118" s="151" t="n">
        <f aca="false">MAX(AU2:AU101)</f>
        <v>45086.4492592593</v>
      </c>
      <c r="AV118" s="151" t="n">
        <f aca="false">MAX(AV2:AV101)</f>
        <v>45089.3995138889</v>
      </c>
      <c r="AW118" s="290" t="n">
        <f aca="false">MAX(AW2:AW101)</f>
        <v>478.764999999956</v>
      </c>
      <c r="AX118" s="151" t="n">
        <f aca="false">MAX(AX2:AX101)</f>
        <v>45087.3660532407</v>
      </c>
      <c r="AY118" s="151" t="n">
        <f aca="false">MAX(AY2:AY101)</f>
        <v>45087.3666203704</v>
      </c>
      <c r="AZ118" s="290" t="n">
        <f aca="false">MAX(AZ2:AZ101)</f>
        <v>95.0697222221643</v>
      </c>
      <c r="BA118" s="290" t="n">
        <f aca="false">MAX(BA2:BA101)</f>
        <v>95.0697222221643</v>
      </c>
      <c r="BB118" s="151" t="n">
        <f aca="false">MAX(BB2:BB101)</f>
        <v>45084.6255787037</v>
      </c>
      <c r="BC118" s="151" t="n">
        <f aca="false">MAX(BC2:BC101)</f>
        <v>45087.4380092593</v>
      </c>
      <c r="BD118" s="3" t="s">
        <v>679</v>
      </c>
      <c r="BE118" s="290" t="n">
        <f aca="false">MAX(BE2:BE101)</f>
        <v>67.4983333334676</v>
      </c>
      <c r="BF118" s="290" t="n">
        <f aca="false">MAX(BF2:BF101)</f>
        <v>104</v>
      </c>
      <c r="BG118" s="140"/>
      <c r="BH118" s="290" t="n">
        <f aca="false">MAX(BH2:BH101)</f>
        <v>3</v>
      </c>
      <c r="BI118" s="140"/>
      <c r="BJ118" s="140"/>
      <c r="BK118" s="151"/>
      <c r="BL118" s="290" t="n">
        <f aca="false">MAX(BL2:BL101)</f>
        <v>3</v>
      </c>
      <c r="BM118" s="196" t="n">
        <f aca="false">MAX(BM2:BM101)</f>
        <v>45264</v>
      </c>
      <c r="BN118" s="151" t="n">
        <f aca="false">MAX(BN2:BN101)</f>
        <v>45231.4712615741</v>
      </c>
      <c r="BO118" s="290" t="n">
        <f aca="false">MAX(BO2:BO101)</f>
        <v>206.3410008102</v>
      </c>
      <c r="BP118" s="290"/>
      <c r="BQ118" s="151"/>
      <c r="BR118" s="290" t="n">
        <f aca="false">MAX(BR2:BR101)</f>
        <v>7.5936</v>
      </c>
      <c r="BS118" s="290" t="n">
        <f aca="false">MAX(BS2:BS101)</f>
        <v>6.4829</v>
      </c>
      <c r="BT118" s="290" t="n">
        <f aca="false">MAX(BT2:BT101)</f>
        <v>1.7417</v>
      </c>
      <c r="BU118" s="290" t="n">
        <f aca="false">MAX(BU2:BU101)</f>
        <v>2.4188</v>
      </c>
      <c r="BV118" s="290" t="n">
        <f aca="false">MAX(BV2:BV101)</f>
        <v>3.2253</v>
      </c>
      <c r="BW118" s="290" t="n">
        <f aca="false">MAX(BW2:BW101)</f>
        <v>3.7929</v>
      </c>
      <c r="BX118" s="290" t="n">
        <f aca="false">MAX(BX2:BX101)</f>
        <v>4.73</v>
      </c>
      <c r="BY118" s="290" t="n">
        <f aca="false">MAX(BY2:BY101)</f>
        <v>4.4847</v>
      </c>
      <c r="BZ118" s="290" t="n">
        <f aca="false">MAX(BZ2:BZ101)</f>
        <v>6.3742</v>
      </c>
      <c r="CA118" s="290" t="n">
        <f aca="false">MAX(CA2:CA101)</f>
        <v>7.6226</v>
      </c>
      <c r="CB118" s="290" t="n">
        <f aca="false">MAX(CB2:CB101)</f>
        <v>7.801</v>
      </c>
      <c r="DA118" s="290" t="n">
        <f aca="false">MAX(DA2:DA101)</f>
        <v>132</v>
      </c>
      <c r="DB118" s="151" t="e">
        <f aca="false">MAX(DB2:DB101)</f>
        <v>#REF!</v>
      </c>
      <c r="DC118" s="151"/>
      <c r="DD118" s="151"/>
      <c r="DE118" s="151"/>
      <c r="DF118" s="151"/>
      <c r="DG118" s="290" t="e">
        <f aca="false">MAX(DG74:DG101,DG62:DG72,DG34:DG60,DG26:DG32,DG12:DG24,DG3:DG9)</f>
        <v>#REF!</v>
      </c>
      <c r="DH118" s="151"/>
      <c r="DI118" s="290" t="e">
        <f aca="false">MAX(DI2:DI101)</f>
        <v>#REF!</v>
      </c>
      <c r="DJ118" s="140"/>
      <c r="DO118" s="1"/>
    </row>
    <row r="119" customFormat="false" ht="15" hidden="false" customHeight="false" outlineLevel="0" collapsed="false">
      <c r="H119" s="3" t="s">
        <v>680</v>
      </c>
      <c r="I119" s="290" t="n">
        <v>5.01917808219178</v>
      </c>
      <c r="J119" s="290" t="n">
        <f aca="false">J118-J117</f>
        <v>99</v>
      </c>
      <c r="K119" s="290" t="n">
        <v>47.5</v>
      </c>
      <c r="L119" s="290" t="n">
        <v>2</v>
      </c>
      <c r="M119" s="290" t="n">
        <v>97</v>
      </c>
      <c r="N119" s="290" t="n">
        <f aca="false">N118-N117</f>
        <v>200</v>
      </c>
      <c r="O119" s="290"/>
      <c r="P119" s="290"/>
      <c r="Q119" s="290"/>
      <c r="R119" s="290"/>
      <c r="S119" s="290"/>
      <c r="T119" s="290" t="n">
        <v>1566</v>
      </c>
      <c r="U119" s="290"/>
      <c r="W119" s="290" t="n">
        <v>0.625650888534646</v>
      </c>
      <c r="Y119" s="290" t="n">
        <v>0.671641327906773</v>
      </c>
      <c r="Z119" s="1"/>
      <c r="AA119" s="3" t="s">
        <v>680</v>
      </c>
      <c r="AB119" s="290" t="n">
        <f aca="false">AB118-AB117</f>
        <v>11.2165856480903</v>
      </c>
      <c r="AC119" s="290" t="n">
        <f aca="false">AC118-AC117</f>
        <v>11.2165509259028</v>
      </c>
      <c r="AD119" s="290" t="n">
        <f aca="false">AD118-AD117</f>
        <v>262.369999999995</v>
      </c>
      <c r="AE119" s="290" t="n">
        <f aca="false">AE118-AE117</f>
        <v>11.2165856480903</v>
      </c>
      <c r="AF119" s="290" t="n">
        <f aca="false">AF118-AF117</f>
        <v>11.2165509259028</v>
      </c>
      <c r="AG119" s="290" t="n">
        <f aca="false">AG118-AG117</f>
        <v>73.5236111110426</v>
      </c>
      <c r="AH119" s="290" t="n">
        <f aca="false">AH118-AH117</f>
        <v>72.5236111110426</v>
      </c>
      <c r="AI119" s="290" t="n">
        <f aca="false">AI118-AI117</f>
        <v>2.79703703709491</v>
      </c>
      <c r="AJ119" s="290" t="n">
        <f aca="false">AJ118-AJ117</f>
        <v>1.90090277770833</v>
      </c>
      <c r="AK119" s="290" t="n">
        <f aca="false">AK118-AK117</f>
        <v>21.5072222222225</v>
      </c>
      <c r="AL119" s="290" t="n">
        <f aca="false">AL118-AL117</f>
        <v>20.5161111110938</v>
      </c>
      <c r="AM119" s="290" t="e">
        <f aca="false">AM118-AM117</f>
        <v>#REF!</v>
      </c>
      <c r="AN119" s="290" t="e">
        <f aca="false">AN118-AN117</f>
        <v>#REF!</v>
      </c>
      <c r="AO119" s="290" t="n">
        <f aca="false">AO118-AO117</f>
        <v>155</v>
      </c>
      <c r="AP119" s="290"/>
      <c r="AQ119" s="290"/>
      <c r="AR119" s="290"/>
      <c r="AS119" s="290"/>
      <c r="AU119" s="290" t="n">
        <f aca="false">AU118-AU117</f>
        <v>19.0311805556019</v>
      </c>
      <c r="AV119" s="290" t="n">
        <f aca="false">AV118-AV117</f>
        <v>15.0556365740972</v>
      </c>
      <c r="AW119" s="290" t="n">
        <f aca="false">AW118-AW117</f>
        <v>430.432499999937</v>
      </c>
      <c r="AX119" s="290" t="n">
        <f aca="false">AX118-AX117</f>
        <v>19.8805671295949</v>
      </c>
      <c r="AY119" s="290" t="n">
        <f aca="false">AY118-AY117</f>
        <v>19.881134259294</v>
      </c>
      <c r="AZ119" s="290" t="n">
        <f aca="false">AZ118-AZ117</f>
        <v>95.0697222221643</v>
      </c>
      <c r="BA119" s="290" t="n">
        <f aca="false">BA118-BA117</f>
        <v>94.0697222221643</v>
      </c>
      <c r="BB119" s="290" t="n">
        <f aca="false">BB118-BB117</f>
        <v>9.70123842590278</v>
      </c>
      <c r="BC119" s="290" t="n">
        <f aca="false">BC118-BC117</f>
        <v>12.2029282407986</v>
      </c>
      <c r="BD119" s="3"/>
      <c r="BE119" s="290" t="n">
        <f aca="false">BE118-BE117</f>
        <v>66.4983333334676</v>
      </c>
      <c r="BF119" s="290" t="n">
        <f aca="false">BF118-BF117</f>
        <v>103</v>
      </c>
      <c r="BH119" s="290" t="n">
        <f aca="false">BH118-BH117</f>
        <v>3</v>
      </c>
      <c r="BK119" s="290"/>
      <c r="BL119" s="290" t="n">
        <f aca="false">BL118-BL117</f>
        <v>2</v>
      </c>
      <c r="BN119" s="290" t="n">
        <f aca="false">BN118-BN117</f>
        <v>28.8143552084028</v>
      </c>
      <c r="BO119" s="290" t="n">
        <f aca="false">BO118-BO117</f>
        <v>63.002728703701</v>
      </c>
      <c r="BP119" s="290"/>
      <c r="BQ119" s="290"/>
      <c r="BR119" s="290" t="n">
        <f aca="false">BR118-BR117</f>
        <v>7.3936</v>
      </c>
      <c r="BS119" s="290" t="n">
        <f aca="false">BS118-BS117</f>
        <v>6.2829</v>
      </c>
      <c r="BT119" s="290" t="n">
        <f aca="false">BT118-BT117</f>
        <v>1.5417</v>
      </c>
      <c r="BU119" s="290" t="n">
        <f aca="false">BU118-BU117</f>
        <v>2.2188</v>
      </c>
      <c r="BV119" s="290" t="n">
        <f aca="false">BV118-BV117</f>
        <v>3.0253</v>
      </c>
      <c r="BW119" s="290" t="n">
        <f aca="false">BW118-BW117</f>
        <v>3.5929</v>
      </c>
      <c r="BX119" s="290" t="n">
        <f aca="false">BX118-BX117</f>
        <v>4.53</v>
      </c>
      <c r="BY119" s="290" t="n">
        <f aca="false">BY118-BY117</f>
        <v>4.2847</v>
      </c>
      <c r="BZ119" s="290" t="n">
        <f aca="false">BZ118-BZ117</f>
        <v>6.1742</v>
      </c>
      <c r="CA119" s="290" t="n">
        <f aca="false">CA118-CA117</f>
        <v>7.4226</v>
      </c>
      <c r="CB119" s="290" t="n">
        <f aca="false">CB118-CB117</f>
        <v>7.601</v>
      </c>
      <c r="DA119" s="290" t="n">
        <f aca="false">DA118-DA117</f>
        <v>108</v>
      </c>
      <c r="DB119" s="290" t="e">
        <f aca="false">DB118-DB117</f>
        <v>#REF!</v>
      </c>
      <c r="DC119" s="290"/>
      <c r="DD119" s="290"/>
      <c r="DE119" s="290"/>
      <c r="DF119" s="290"/>
      <c r="DG119" s="290" t="e">
        <f aca="false">DG118-DG117</f>
        <v>#REF!</v>
      </c>
      <c r="DH119" s="290"/>
      <c r="DI119" s="290" t="e">
        <f aca="false">DI118-DI117</f>
        <v>#REF!</v>
      </c>
      <c r="DO119" s="140" t="s">
        <v>674</v>
      </c>
    </row>
    <row r="120" customFormat="false" ht="15" hidden="false" customHeight="false" outlineLevel="0" collapsed="false"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W120" s="140"/>
      <c r="Y120" s="140"/>
      <c r="Z120" s="1"/>
      <c r="AA120" s="1"/>
      <c r="AB120" s="140"/>
      <c r="AC120" s="140"/>
      <c r="AD120" s="140"/>
      <c r="AE120" s="140"/>
      <c r="AF120" s="140"/>
      <c r="AG120" s="140"/>
      <c r="AH120" s="140"/>
      <c r="AI120" s="140"/>
      <c r="AJ120" s="140"/>
      <c r="AK120" s="140"/>
      <c r="AL120" s="140"/>
      <c r="AM120" s="140"/>
      <c r="AN120" s="140"/>
      <c r="AO120" s="140"/>
      <c r="AP120" s="140"/>
      <c r="AQ120" s="140"/>
      <c r="AR120" s="140"/>
      <c r="AS120" s="140"/>
      <c r="AU120" s="140"/>
      <c r="AV120" s="140"/>
      <c r="AW120" s="140"/>
      <c r="AX120" s="140"/>
      <c r="AY120" s="140"/>
      <c r="AZ120" s="140"/>
      <c r="BA120" s="140"/>
      <c r="BB120" s="140"/>
      <c r="BC120" s="140"/>
      <c r="BD120" s="1"/>
      <c r="BE120" s="140"/>
      <c r="BF120" s="140"/>
      <c r="BH120" s="140"/>
      <c r="BK120" s="140"/>
      <c r="BL120" s="140"/>
      <c r="BN120" s="140"/>
      <c r="BO120" s="140"/>
      <c r="BP120" s="140"/>
      <c r="BQ120" s="140"/>
      <c r="BR120" s="140"/>
      <c r="BS120" s="140"/>
      <c r="BT120" s="140"/>
      <c r="BU120" s="140"/>
      <c r="BV120" s="140"/>
      <c r="BW120" s="140"/>
      <c r="BX120" s="140"/>
      <c r="BY120" s="140"/>
      <c r="BZ120" s="140"/>
      <c r="CA120" s="140"/>
      <c r="CB120" s="140"/>
      <c r="DA120" s="140"/>
      <c r="DB120" s="140"/>
      <c r="DC120" s="140"/>
      <c r="DD120" s="140"/>
      <c r="DE120" s="140"/>
      <c r="DF120" s="140"/>
      <c r="DG120" s="140"/>
      <c r="DH120" s="140"/>
      <c r="DI120" s="140"/>
      <c r="DO120" s="140" t="s">
        <v>675</v>
      </c>
    </row>
    <row r="121" customFormat="false" ht="15" hidden="false" customHeight="false" outlineLevel="0" collapsed="false">
      <c r="G121" s="316" t="s">
        <v>148</v>
      </c>
      <c r="H121" s="140" t="s">
        <v>674</v>
      </c>
      <c r="I121" s="290" t="n">
        <v>3.33479452054795</v>
      </c>
      <c r="J121" s="292" t="n">
        <f aca="false">AVERAGE(J2:J51)</f>
        <v>44863.94</v>
      </c>
      <c r="K121" s="290" t="n">
        <v>68.4808</v>
      </c>
      <c r="L121" s="290" t="n">
        <v>3.36</v>
      </c>
      <c r="M121" s="290" t="n">
        <v>189.32</v>
      </c>
      <c r="N121" s="290" t="n">
        <f aca="false">AVERAGE(N2:N51)</f>
        <v>248.84</v>
      </c>
      <c r="O121" s="290"/>
      <c r="P121" s="290"/>
      <c r="Q121" s="290"/>
      <c r="R121" s="290"/>
      <c r="S121" s="290"/>
      <c r="T121" s="290" t="n">
        <v>1428.94</v>
      </c>
      <c r="U121" s="290"/>
      <c r="W121" s="290" t="n">
        <v>0.614214305785428</v>
      </c>
      <c r="Y121" s="290" t="n">
        <v>0.76800304708708</v>
      </c>
      <c r="Z121" s="316" t="s">
        <v>148</v>
      </c>
      <c r="AA121" s="140" t="s">
        <v>674</v>
      </c>
      <c r="AB121" s="151" t="n">
        <f aca="false">AVERAGE(AB2:AB51)</f>
        <v>45057.7620561343</v>
      </c>
      <c r="AC121" s="151" t="n">
        <f aca="false">AVERAGE(AC2:AC51)</f>
        <v>45060.5109322917</v>
      </c>
      <c r="AD121" s="290" t="n">
        <f aca="false">AVERAGE(AD2:AD51)</f>
        <v>65.9730277777592</v>
      </c>
      <c r="AE121" s="151" t="n">
        <f aca="false">AVERAGE(AE2:AE51)</f>
        <v>45057.9716108737</v>
      </c>
      <c r="AF121" s="151" t="n">
        <f aca="false">AVERAGE(AF2:AF51)</f>
        <v>45058.7159196937</v>
      </c>
      <c r="AG121" s="290" t="n">
        <f aca="false">AVERAGE(AG2:AG51)</f>
        <v>17.8634116809027</v>
      </c>
      <c r="AH121" s="290" t="n">
        <f aca="false">AVERAGE(AH2:AH51)</f>
        <v>18.094145299137</v>
      </c>
      <c r="AI121" s="151" t="e">
        <f aca="false">AVERAGE(AI2:AI51)</f>
        <v>#DIV/0!</v>
      </c>
      <c r="AJ121" s="151" t="e">
        <f aca="false">AVERAGE(AJ2:AJ51)</f>
        <v>#DIV/0!</v>
      </c>
      <c r="AK121" s="290" t="e">
        <f aca="false">AVERAGE(AK2:AK51)</f>
        <v>#DIV/0!</v>
      </c>
      <c r="AL121" s="290" t="e">
        <f aca="false">AVERAGE(AL2:AL51)</f>
        <v>#DIV/0!</v>
      </c>
      <c r="AM121" s="290" t="e">
        <f aca="false">AVERAGE(AM2:AM51)</f>
        <v>#REF!</v>
      </c>
      <c r="AN121" s="290" t="e">
        <f aca="false">AVERAGE(AN2:AN51)</f>
        <v>#REF!</v>
      </c>
      <c r="AO121" s="290" t="n">
        <f aca="false">AVERAGE(AO2:AO51)</f>
        <v>18.45</v>
      </c>
      <c r="AP121" s="290"/>
      <c r="AQ121" s="151"/>
      <c r="AR121" s="290"/>
      <c r="AS121" s="290"/>
      <c r="AU121" s="151" t="n">
        <f aca="false">AVERAGE(AU2:AU51)</f>
        <v>45073.8335030864</v>
      </c>
      <c r="AV121" s="151" t="n">
        <f aca="false">AVERAGE(AV2:AV51)</f>
        <v>45082.9808140432</v>
      </c>
      <c r="AW121" s="290" t="n">
        <f aca="false">AVERAGE(AW2:AW51)</f>
        <v>219.535462962971</v>
      </c>
      <c r="AX121" s="151" t="n">
        <f aca="false">AVERAGE(AX2:AX51)</f>
        <v>45075.1318147184</v>
      </c>
      <c r="AY121" s="151" t="n">
        <f aca="false">AVERAGE(AY2:AY51)</f>
        <v>45075.8620606674</v>
      </c>
      <c r="AZ121" s="290" t="n">
        <f aca="false">AVERAGE(AZ2:AZ51)</f>
        <v>17.5259027777793</v>
      </c>
      <c r="BA121" s="290" t="n">
        <f aca="false">AVERAGE(BA2:BA51)</f>
        <v>17.8415972222235</v>
      </c>
      <c r="BB121" s="151" t="n">
        <f aca="false">AVERAGE(BB2:BB51)</f>
        <v>45078.6241550926</v>
      </c>
      <c r="BC121" s="151" t="n">
        <f aca="false">AVERAGE(BC2:BC51)</f>
        <v>45079.4697546296</v>
      </c>
      <c r="BD121" s="140" t="s">
        <v>674</v>
      </c>
      <c r="BE121" s="290" t="n">
        <f aca="false">AVERAGE(BE2:BE51)</f>
        <v>20.2943888888927</v>
      </c>
      <c r="BF121" s="290" t="n">
        <f aca="false">AVERAGE(BF2:BF51)</f>
        <v>19.4838709677419</v>
      </c>
      <c r="BG121" s="290"/>
      <c r="BH121" s="290" t="n">
        <f aca="false">AVERAGE(BH2:BH51)</f>
        <v>1.4</v>
      </c>
      <c r="BI121" s="290"/>
      <c r="BJ121" s="290"/>
      <c r="BK121" s="151"/>
      <c r="BL121" s="290" t="n">
        <f aca="false">AVERAGE(BL2:BL51)</f>
        <v>1.34146341463415</v>
      </c>
      <c r="BM121" s="196" t="n">
        <f aca="false">AVERAGE(BM2:BM51)</f>
        <v>45214.9756097561</v>
      </c>
      <c r="BN121" s="151" t="n">
        <f aca="false">AVERAGE(BN2:BN51)</f>
        <v>45208.1166140718</v>
      </c>
      <c r="BO121" s="290" t="n">
        <f aca="false">AVERAGE(BO2:BO51)</f>
        <v>157.302194421853</v>
      </c>
      <c r="BP121" s="290"/>
      <c r="BQ121" s="151"/>
      <c r="BR121" s="290" t="n">
        <f aca="false">AVERAGE(BR2:BR51)</f>
        <v>0.716414693877551</v>
      </c>
      <c r="BS121" s="290" t="n">
        <f aca="false">AVERAGE(BS2:BS51)</f>
        <v>1.25149775510204</v>
      </c>
      <c r="BT121" s="290" t="n">
        <f aca="false">AVERAGE(BT2:BT51)</f>
        <v>0.4736668</v>
      </c>
      <c r="BU121" s="290" t="n">
        <f aca="false">AVERAGE(BU2:BU51)</f>
        <v>0.55693</v>
      </c>
      <c r="BV121" s="290" t="n">
        <f aca="false">AVERAGE(BV2:BV51)</f>
        <v>0.5861936</v>
      </c>
      <c r="BW121" s="290" t="n">
        <f aca="false">AVERAGE(BW2:BW51)</f>
        <v>0.588451836734694</v>
      </c>
      <c r="BX121" s="290" t="n">
        <f aca="false">AVERAGE(BX2:BX51)</f>
        <v>1.060425</v>
      </c>
      <c r="BY121" s="290" t="n">
        <f aca="false">AVERAGE(BY2:BY51)</f>
        <v>1.65434040816327</v>
      </c>
      <c r="BZ121" s="290" t="n">
        <f aca="false">AVERAGE(BZ2:BZ51)</f>
        <v>1.94712081632653</v>
      </c>
      <c r="CA121" s="290" t="n">
        <f aca="false">AVERAGE(CA2:CA51)</f>
        <v>3.1738304</v>
      </c>
      <c r="CB121" s="290" t="n">
        <f aca="false">AVERAGE(CB2:CB51)</f>
        <v>3.47164</v>
      </c>
      <c r="DA121" s="290" t="n">
        <f aca="false">AVERAGE(DA2:DA51)</f>
        <v>59.25</v>
      </c>
      <c r="DB121" s="151" t="e">
        <f aca="false">AVERAGE(DB2:DB51)</f>
        <v>#REF!</v>
      </c>
      <c r="DC121" s="151"/>
      <c r="DD121" s="151"/>
      <c r="DE121" s="151"/>
      <c r="DF121" s="151"/>
      <c r="DG121" s="290" t="e">
        <f aca="false">AVERAGE(DG34:DG51,DG26:DG32,DG12:DG24,DG3:DG9)</f>
        <v>#REF!</v>
      </c>
      <c r="DH121" s="151"/>
      <c r="DI121" s="290" t="e">
        <f aca="false">AVERAGE(DI2:DI51)</f>
        <v>#REF!</v>
      </c>
      <c r="DJ121" s="290"/>
      <c r="DN121" s="316" t="s">
        <v>148</v>
      </c>
      <c r="DO121" s="140" t="s">
        <v>676</v>
      </c>
    </row>
    <row r="122" customFormat="false" ht="15" hidden="false" customHeight="false" outlineLevel="0" collapsed="false">
      <c r="H122" s="140" t="s">
        <v>675</v>
      </c>
      <c r="I122" s="290" t="n">
        <v>1.43878950299677</v>
      </c>
      <c r="J122" s="290" t="n">
        <f aca="false">_xlfn.STDEV.S(J2:J51)</f>
        <v>19.5900953732924</v>
      </c>
      <c r="K122" s="290" t="n">
        <v>9.6759512193893</v>
      </c>
      <c r="L122" s="290" t="n">
        <v>0.413916091270012</v>
      </c>
      <c r="M122" s="290" t="n">
        <v>20.0808976138914</v>
      </c>
      <c r="N122" s="290" t="n">
        <f aca="false">_xlfn.STDEV.S(N2:N51)</f>
        <v>56.0310992363406</v>
      </c>
      <c r="O122" s="290"/>
      <c r="P122" s="290"/>
      <c r="Q122" s="290"/>
      <c r="R122" s="290"/>
      <c r="S122" s="290"/>
      <c r="T122" s="290" t="n">
        <v>312.680537890528</v>
      </c>
      <c r="U122" s="290"/>
      <c r="W122" s="290" t="n">
        <v>0.156828727083781</v>
      </c>
      <c r="Y122" s="290" t="n">
        <v>0.175179932089039</v>
      </c>
      <c r="Z122" s="1"/>
      <c r="AA122" s="140" t="s">
        <v>675</v>
      </c>
      <c r="AB122" s="290" t="n">
        <f aca="false">_xlfn.STDEV.S(AB2:AB51)</f>
        <v>3.05175173235823</v>
      </c>
      <c r="AC122" s="290" t="n">
        <f aca="false">_xlfn.STDEV.S(AC2:AC51)</f>
        <v>4.15904704384518</v>
      </c>
      <c r="AD122" s="290" t="n">
        <f aca="false">_xlfn.STDEV.S(AD2:AD51)</f>
        <v>93.5438126194293</v>
      </c>
      <c r="AE122" s="290" t="n">
        <f aca="false">_xlfn.STDEV.S(AE2:AE51)</f>
        <v>3.24309358583412</v>
      </c>
      <c r="AF122" s="290" t="n">
        <f aca="false">_xlfn.STDEV.S(AF2:AF51)</f>
        <v>2.91548820283562</v>
      </c>
      <c r="AG122" s="290" t="n">
        <f aca="false">_xlfn.STDEV.S(AG2:AG51)</f>
        <v>21.3613815596366</v>
      </c>
      <c r="AH122" s="290" t="n">
        <f aca="false">_xlfn.STDEV.S(AH2:AH51)</f>
        <v>21.1667313243719</v>
      </c>
      <c r="AI122" s="290" t="e">
        <f aca="false">_xlfn.STDEV.S(AI2:AI51)</f>
        <v>#DIV/0!</v>
      </c>
      <c r="AJ122" s="290" t="e">
        <f aca="false">_xlfn.STDEV.S(AJ2:AJ51)</f>
        <v>#DIV/0!</v>
      </c>
      <c r="AK122" s="290" t="e">
        <f aca="false">_xlfn.STDEV.S(AK2:AK51)</f>
        <v>#DIV/0!</v>
      </c>
      <c r="AL122" s="290" t="e">
        <f aca="false">_xlfn.STDEV.S(AL2:AL51)</f>
        <v>#DIV/0!</v>
      </c>
      <c r="AM122" s="290" t="e">
        <f aca="false">_xlfn.STDEV.S(AM2:AM51)</f>
        <v>#REF!</v>
      </c>
      <c r="AN122" s="290" t="e">
        <f aca="false">_xlfn.STDEV.S(AN2:AN51)</f>
        <v>#REF!</v>
      </c>
      <c r="AO122" s="290" t="n">
        <f aca="false">_xlfn.STDEV.S(AO2:AO51)</f>
        <v>25.418497201841</v>
      </c>
      <c r="AP122" s="290"/>
      <c r="AQ122" s="290"/>
      <c r="AR122" s="290"/>
      <c r="AS122" s="290"/>
      <c r="AU122" s="290" t="n">
        <f aca="false">_xlfn.STDEV.S(AU2:AU51)</f>
        <v>4.59541168850686</v>
      </c>
      <c r="AV122" s="290" t="n">
        <f aca="false">_xlfn.STDEV.S(AV2:AV51)</f>
        <v>4.75587365700689</v>
      </c>
      <c r="AW122" s="290" t="n">
        <f aca="false">_xlfn.STDEV.S(AW2:AW51)</f>
        <v>121.043257638191</v>
      </c>
      <c r="AX122" s="290" t="n">
        <f aca="false">_xlfn.STDEV.S(AX2:AX51)</f>
        <v>5.38949295580279</v>
      </c>
      <c r="AY122" s="290" t="n">
        <f aca="false">_xlfn.STDEV.S(AY2:AY51)</f>
        <v>5.07520700819584</v>
      </c>
      <c r="AZ122" s="290" t="n">
        <f aca="false">_xlfn.STDEV.S(AZ2:AZ51)</f>
        <v>25.7412147963739</v>
      </c>
      <c r="BA122" s="290" t="n">
        <f aca="false">_xlfn.STDEV.S(BA2:BA51)</f>
        <v>25.5211269782094</v>
      </c>
      <c r="BB122" s="290" t="n">
        <f aca="false">_xlfn.STDEV.S(BB2:BB51)</f>
        <v>3.99809820114898</v>
      </c>
      <c r="BC122" s="290" t="n">
        <f aca="false">_xlfn.STDEV.S(BC2:BC51)</f>
        <v>4.91621757538465</v>
      </c>
      <c r="BD122" s="140" t="s">
        <v>675</v>
      </c>
      <c r="BE122" s="290" t="n">
        <f aca="false">_xlfn.STDEV.S(BE2:BE51)</f>
        <v>26.8649088709768</v>
      </c>
      <c r="BF122" s="290" t="n">
        <f aca="false">_xlfn.STDEV.S(BF2:BF51)</f>
        <v>29.0790542805206</v>
      </c>
      <c r="BG122" s="290"/>
      <c r="BH122" s="290" t="n">
        <f aca="false">_xlfn.STDEV.S(BH2:BH51)</f>
        <v>0.621455466265866</v>
      </c>
      <c r="BI122" s="290"/>
      <c r="BJ122" s="290"/>
      <c r="BK122" s="290"/>
      <c r="BL122" s="290" t="n">
        <f aca="false">_xlfn.STDEV.S(BL2:BL51)</f>
        <v>0.52961099391728</v>
      </c>
      <c r="BM122" s="290" t="n">
        <f aca="false">_xlfn.STDEV.S(BM2:BM51)</f>
        <v>17.6698723890101</v>
      </c>
      <c r="BN122" s="290" t="n">
        <f aca="false">_xlfn.STDEV.S(BN2:BN51)</f>
        <v>8.27077608759624</v>
      </c>
      <c r="BO122" s="290" t="n">
        <f aca="false">_xlfn.STDEV.S(BO2:BO51)</f>
        <v>17.6717451885418</v>
      </c>
      <c r="BP122" s="290"/>
      <c r="BQ122" s="290"/>
      <c r="BR122" s="290" t="n">
        <f aca="false">_xlfn.STDEV.S(BR2:BR51)</f>
        <v>0.99423725854945</v>
      </c>
      <c r="BS122" s="290" t="n">
        <f aca="false">_xlfn.STDEV.S(BS2:BS51)</f>
        <v>1.68062142789042</v>
      </c>
      <c r="BT122" s="290" t="n">
        <f aca="false">_xlfn.STDEV.S(BT2:BT51)</f>
        <v>0.392864696308891</v>
      </c>
      <c r="BU122" s="290" t="n">
        <f aca="false">_xlfn.STDEV.S(BU2:BU51)</f>
        <v>0.531110454387017</v>
      </c>
      <c r="BV122" s="290" t="n">
        <f aca="false">_xlfn.STDEV.S(BV2:BV51)</f>
        <v>0.567663891194752</v>
      </c>
      <c r="BW122" s="290" t="n">
        <f aca="false">_xlfn.STDEV.S(BW2:BW51)</f>
        <v>0.647196006080183</v>
      </c>
      <c r="BX122" s="290" t="n">
        <f aca="false">_xlfn.STDEV.S(BX2:BX51)</f>
        <v>0.901316179083995</v>
      </c>
      <c r="BY122" s="290" t="n">
        <f aca="false">_xlfn.STDEV.S(BY2:BY51)</f>
        <v>1.13517294864953</v>
      </c>
      <c r="BZ122" s="290" t="n">
        <f aca="false">_xlfn.STDEV.S(BZ2:BZ51)</f>
        <v>1.29397819950698</v>
      </c>
      <c r="CA122" s="290" t="n">
        <f aca="false">_xlfn.STDEV.S(CA2:CA51)</f>
        <v>1.59826166083458</v>
      </c>
      <c r="CB122" s="290" t="n">
        <f aca="false">_xlfn.STDEV.S(CB2:CB51)</f>
        <v>1.78542892205492</v>
      </c>
      <c r="DA122" s="290" t="n">
        <f aca="false">_xlfn.STDEV.S(DA2:DA51)</f>
        <v>15.1397743033853</v>
      </c>
      <c r="DB122" s="290" t="e">
        <f aca="false">_xlfn.STDEV.S(DB2:DB51)</f>
        <v>#REF!</v>
      </c>
      <c r="DC122" s="290"/>
      <c r="DD122" s="290"/>
      <c r="DE122" s="290"/>
      <c r="DF122" s="290"/>
      <c r="DG122" s="290" t="e">
        <f aca="false">_xlfn.STDEV.S(DG34:DG51,DG26:DG32,DG12:DG24,DG3:DG9)</f>
        <v>#REF!</v>
      </c>
      <c r="DH122" s="290"/>
      <c r="DI122" s="290" t="e">
        <f aca="false">_xlfn.STDEV.S(DI2:DI51)</f>
        <v>#REF!</v>
      </c>
      <c r="DJ122" s="290"/>
      <c r="DO122" s="3" t="s">
        <v>677</v>
      </c>
    </row>
    <row r="123" customFormat="false" ht="15" hidden="false" customHeight="false" outlineLevel="0" collapsed="false">
      <c r="H123" s="140" t="s">
        <v>676</v>
      </c>
      <c r="I123" s="290" t="n">
        <v>0.203475562853807</v>
      </c>
      <c r="J123" s="290" t="n">
        <f aca="false">(_xlfn.STDEV.S(J2:J51)/SQRT(J124))</f>
        <v>2.77045785650926</v>
      </c>
      <c r="K123" s="290" t="n">
        <v>1.36838614433208</v>
      </c>
      <c r="L123" s="290" t="n">
        <v>0.058536574995851</v>
      </c>
      <c r="M123" s="290" t="n">
        <v>2.83986777501907</v>
      </c>
      <c r="N123" s="290" t="n">
        <f aca="false">(_xlfn.STDEV.S(N2:N51)/SQRT(N124))</f>
        <v>7.92399404547057</v>
      </c>
      <c r="O123" s="290"/>
      <c r="P123" s="290"/>
      <c r="Q123" s="290"/>
      <c r="R123" s="290"/>
      <c r="S123" s="290"/>
      <c r="T123" s="290" t="n">
        <v>44.2197057374899</v>
      </c>
      <c r="U123" s="290"/>
      <c r="W123" s="290" t="n">
        <v>0.0221789312811592</v>
      </c>
      <c r="Y123" s="290" t="n">
        <v>0.0247741835815917</v>
      </c>
      <c r="Z123" s="1"/>
      <c r="AA123" s="140" t="s">
        <v>676</v>
      </c>
      <c r="AB123" s="290" t="n">
        <f aca="false">(_xlfn.STDEV.S(AB2:AB51)/SQRT(AB124))</f>
        <v>0.482524316380829</v>
      </c>
      <c r="AC123" s="290" t="n">
        <f aca="false">(_xlfn.STDEV.S(AC2:AC51)/SQRT(AC124))</f>
        <v>0.657603077717047</v>
      </c>
      <c r="AD123" s="290" t="n">
        <f aca="false">(_xlfn.STDEV.S(AD2:AD51)/SQRT(AD124))</f>
        <v>14.7905754446699</v>
      </c>
      <c r="AE123" s="290" t="n">
        <f aca="false">(_xlfn.STDEV.S(AE2:AE51)/SQRT(AE124))</f>
        <v>0.519310588516738</v>
      </c>
      <c r="AF123" s="290" t="n">
        <f aca="false">(_xlfn.STDEV.S(AF2:AF51)/SQRT(AF124))</f>
        <v>0.466851743360579</v>
      </c>
      <c r="AG123" s="290" t="n">
        <f aca="false">(_xlfn.STDEV.S(AG2:AG51)/SQRT(AG124))</f>
        <v>3.42055859187064</v>
      </c>
      <c r="AH123" s="290" t="n">
        <f aca="false">(_xlfn.STDEV.S(AH2:AH51)/SQRT(AH124))</f>
        <v>3.38938960905998</v>
      </c>
      <c r="AI123" s="290" t="e">
        <f aca="false">(_xlfn.STDEV.S(AI2:AI51)/SQRT(AI124))</f>
        <v>#DIV/0!</v>
      </c>
      <c r="AJ123" s="290" t="e">
        <f aca="false">(_xlfn.STDEV.S(AJ2:AJ51)/SQRT(AJ124))</f>
        <v>#DIV/0!</v>
      </c>
      <c r="AK123" s="290" t="e">
        <f aca="false">(_xlfn.STDEV.S(AK2:AK51)/SQRT(AK124))</f>
        <v>#DIV/0!</v>
      </c>
      <c r="AL123" s="290" t="e">
        <f aca="false">(_xlfn.STDEV.S(AL2:AL51)/SQRT(AL124))</f>
        <v>#DIV/0!</v>
      </c>
      <c r="AM123" s="290" t="e">
        <f aca="false">(_xlfn.STDEV.S(AM2:AM51)/SQRT(AM124))</f>
        <v>#REF!</v>
      </c>
      <c r="AN123" s="290" t="e">
        <f aca="false">(_xlfn.STDEV.S(AN2:AN51)/SQRT(AN124))</f>
        <v>#REF!</v>
      </c>
      <c r="AO123" s="290" t="n">
        <f aca="false">(_xlfn.STDEV.S(AO2:AO51)/SQRT(AO124))</f>
        <v>4.01901729282172</v>
      </c>
      <c r="AP123" s="290"/>
      <c r="AQ123" s="290"/>
      <c r="AR123" s="290"/>
      <c r="AS123" s="290"/>
      <c r="AU123" s="290" t="n">
        <f aca="false">(_xlfn.STDEV.S(AU2:AU51)/SQRT(AU124))</f>
        <v>1.00280104343179</v>
      </c>
      <c r="AV123" s="290" t="n">
        <f aca="false">(_xlfn.STDEV.S(AV2:AV51)/SQRT(AV124))</f>
        <v>1.03781671566098</v>
      </c>
      <c r="AW123" s="290" t="n">
        <f aca="false">(_xlfn.STDEV.S(AW2:AW51)/SQRT(AW124))</f>
        <v>26.4138043090978</v>
      </c>
      <c r="AX123" s="290" t="n">
        <f aca="false">(_xlfn.STDEV.S(AX2:AX51)/SQRT(AX124))</f>
        <v>1.10012564283676</v>
      </c>
      <c r="AY123" s="290" t="n">
        <f aca="false">(_xlfn.STDEV.S(AY2:AY51)/SQRT(AY124))</f>
        <v>1.03597229242308</v>
      </c>
      <c r="AZ123" s="290" t="n">
        <f aca="false">(_xlfn.STDEV.S(AZ2:AZ51)/SQRT(AZ124))</f>
        <v>5.25440346754136</v>
      </c>
      <c r="BA123" s="290" t="n">
        <f aca="false">(_xlfn.STDEV.S(BA2:BA51)/SQRT(BA124))</f>
        <v>5.20947822978257</v>
      </c>
      <c r="BB123" s="290" t="n">
        <f aca="false">(_xlfn.STDEV.S(BB2:BB51)/SQRT(BB124))</f>
        <v>1.78800387169775</v>
      </c>
      <c r="BC123" s="290" t="n">
        <f aca="false">(_xlfn.STDEV.S(BC2:BC51)/SQRT(BC124))</f>
        <v>2.19859933814786</v>
      </c>
      <c r="BD123" s="140" t="s">
        <v>676</v>
      </c>
      <c r="BE123" s="290" t="n">
        <f aca="false">(_xlfn.STDEV.S(BE2:BE51)/SQRT(BE124))</f>
        <v>12.0143524889683</v>
      </c>
      <c r="BF123" s="290" t="n">
        <f aca="false">(_xlfn.STDEV.S(BF2:BF51)/SQRT(BF124))</f>
        <v>5.22275232670588</v>
      </c>
      <c r="BG123" s="290"/>
      <c r="BH123" s="290" t="n">
        <f aca="false">(_xlfn.STDEV.S(BH2:BH51)/SQRT(BH124))</f>
        <v>0.113461725786235</v>
      </c>
      <c r="BI123" s="290"/>
      <c r="BJ123" s="290"/>
      <c r="BK123" s="290"/>
      <c r="BL123" s="290" t="n">
        <f aca="false">(_xlfn.STDEV.S(BL2:BL51)/SQRT(BL124))</f>
        <v>0.0827113412576253</v>
      </c>
      <c r="BM123" s="290" t="n">
        <f aca="false">(_xlfn.STDEV.S(BM2:BM51)/SQRT(BM124))</f>
        <v>2.75957044308332</v>
      </c>
      <c r="BN123" s="290" t="n">
        <f aca="false">(_xlfn.STDEV.S(BN2:BN51)/SQRT(BN124))</f>
        <v>1.16966437144297</v>
      </c>
      <c r="BO123" s="290" t="n">
        <f aca="false">(_xlfn.STDEV.S(BO2:BO51)/SQRT(BO124))</f>
        <v>2.75986292523145</v>
      </c>
      <c r="BP123" s="290"/>
      <c r="BQ123" s="290"/>
      <c r="BR123" s="290" t="n">
        <f aca="false">(_xlfn.STDEV.S(BR2:BR51)/SQRT(BR124))</f>
        <v>0.142033894078493</v>
      </c>
      <c r="BS123" s="290" t="n">
        <f aca="false">(_xlfn.STDEV.S(BS2:BS51)/SQRT(BS124))</f>
        <v>0.240088775412917</v>
      </c>
      <c r="BT123" s="290" t="n">
        <f aca="false">(_xlfn.STDEV.S(BT2:BT51)/SQRT(BT124))</f>
        <v>0.0555594581697622</v>
      </c>
      <c r="BU123" s="290" t="n">
        <f aca="false">(_xlfn.STDEV.S(BU2:BU51)/SQRT(BU124))</f>
        <v>0.0751103607712257</v>
      </c>
      <c r="BV123" s="290" t="n">
        <f aca="false">(_xlfn.STDEV.S(BV2:BV51)/SQRT(BV124))</f>
        <v>0.0802797973797104</v>
      </c>
      <c r="BW123" s="290" t="n">
        <f aca="false">(_xlfn.STDEV.S(BW2:BW51)/SQRT(BW124))</f>
        <v>0.0924565722971689</v>
      </c>
      <c r="BX123" s="290" t="n">
        <f aca="false">(_xlfn.STDEV.S(BX2:BX51)/SQRT(BX124))</f>
        <v>0.127465356444688</v>
      </c>
      <c r="BY123" s="290" t="n">
        <f aca="false">(_xlfn.STDEV.S(BY2:BY51)/SQRT(BY124))</f>
        <v>0.16216756409279</v>
      </c>
      <c r="BZ123" s="290" t="n">
        <f aca="false">(_xlfn.STDEV.S(BZ2:BZ51)/SQRT(BZ124))</f>
        <v>0.184854028500997</v>
      </c>
      <c r="CA123" s="290" t="n">
        <f aca="false">(_xlfn.STDEV.S(CA2:CA51)/SQRT(CA124))</f>
        <v>0.226028331697321</v>
      </c>
      <c r="CB123" s="290" t="n">
        <f aca="false">(_xlfn.STDEV.S(CB2:CB51)/SQRT(CB124))</f>
        <v>0.252497779622325</v>
      </c>
      <c r="DA123" s="290" t="n">
        <f aca="false">(_xlfn.STDEV.S(DA2:DA51)/SQRT(DA124))</f>
        <v>2.18523819238243</v>
      </c>
      <c r="DB123" s="290" t="e">
        <f aca="false">(_xlfn.STDEV.S(DB2:DB51)/SQRT(DB124))</f>
        <v>#REF!</v>
      </c>
      <c r="DC123" s="290"/>
      <c r="DD123" s="290"/>
      <c r="DE123" s="290"/>
      <c r="DF123" s="290"/>
      <c r="DG123" s="290" t="e">
        <f aca="false">(_xlfn.STDEV.S(DG34:DG51,DG26:DG32,DG12:DG24,DG3:DG9)/SQRT(DG124))</f>
        <v>#REF!</v>
      </c>
      <c r="DH123" s="290"/>
      <c r="DI123" s="290" t="e">
        <f aca="false">(_xlfn.STDEV.S(DI2:DI51)/SQRT(DI124))</f>
        <v>#REF!</v>
      </c>
      <c r="DJ123" s="290"/>
      <c r="DO123" s="3" t="s">
        <v>678</v>
      </c>
    </row>
    <row r="124" customFormat="false" ht="15" hidden="false" customHeight="false" outlineLevel="0" collapsed="false">
      <c r="H124" s="3" t="s">
        <v>677</v>
      </c>
      <c r="I124" s="140" t="n">
        <v>50</v>
      </c>
      <c r="J124" s="140" t="n">
        <f aca="false">COUNT(J2:J51)</f>
        <v>50</v>
      </c>
      <c r="K124" s="140" t="n">
        <v>50</v>
      </c>
      <c r="L124" s="140" t="n">
        <v>50</v>
      </c>
      <c r="M124" s="140" t="n">
        <v>50</v>
      </c>
      <c r="N124" s="140" t="n">
        <f aca="false">COUNT(N2:N51)</f>
        <v>50</v>
      </c>
      <c r="O124" s="140"/>
      <c r="P124" s="140"/>
      <c r="Q124" s="140"/>
      <c r="R124" s="140"/>
      <c r="S124" s="140"/>
      <c r="T124" s="140" t="n">
        <v>50</v>
      </c>
      <c r="U124" s="140"/>
      <c r="W124" s="140" t="n">
        <v>50</v>
      </c>
      <c r="Y124" s="140" t="n">
        <v>50</v>
      </c>
      <c r="Z124" s="1"/>
      <c r="AA124" s="3" t="s">
        <v>677</v>
      </c>
      <c r="AB124" s="140" t="n">
        <f aca="false">COUNT(AB2:AB51)</f>
        <v>40</v>
      </c>
      <c r="AC124" s="140" t="n">
        <f aca="false">COUNT(AC2:AC51)</f>
        <v>40</v>
      </c>
      <c r="AD124" s="140" t="n">
        <f aca="false">COUNT(AD2:AD51)</f>
        <v>40</v>
      </c>
      <c r="AE124" s="140" t="n">
        <f aca="false">COUNT(AE2:AE51)</f>
        <v>39</v>
      </c>
      <c r="AF124" s="140" t="n">
        <f aca="false">COUNT(AF2:AF51)</f>
        <v>39</v>
      </c>
      <c r="AG124" s="140" t="n">
        <f aca="false">COUNT(AG2:AG51)</f>
        <v>39</v>
      </c>
      <c r="AH124" s="140" t="n">
        <f aca="false">COUNT(AH2:AH51)</f>
        <v>39</v>
      </c>
      <c r="AI124" s="140" t="n">
        <f aca="false">COUNT(AI2:AI51)</f>
        <v>0</v>
      </c>
      <c r="AJ124" s="140" t="n">
        <f aca="false">COUNT(AJ2:AJ51)</f>
        <v>0</v>
      </c>
      <c r="AK124" s="140" t="n">
        <f aca="false">COUNT(AK2:AK51)</f>
        <v>0</v>
      </c>
      <c r="AL124" s="140" t="n">
        <f aca="false">COUNT(AL2:AL51)</f>
        <v>0</v>
      </c>
      <c r="AM124" s="140" t="n">
        <f aca="false">COUNT(AM2:AM51)</f>
        <v>0</v>
      </c>
      <c r="AN124" s="140" t="n">
        <f aca="false">COUNT(AN2:AN51)</f>
        <v>0</v>
      </c>
      <c r="AO124" s="140" t="n">
        <f aca="false">COUNT(AO2:AO51)</f>
        <v>40</v>
      </c>
      <c r="AP124" s="140"/>
      <c r="AQ124" s="140"/>
      <c r="AR124" s="140"/>
      <c r="AS124" s="140"/>
      <c r="AU124" s="140" t="n">
        <f aca="false">COUNT(AU2:AU51)</f>
        <v>21</v>
      </c>
      <c r="AV124" s="140" t="n">
        <f aca="false">COUNT(AV2:AV51)</f>
        <v>21</v>
      </c>
      <c r="AW124" s="140" t="n">
        <f aca="false">COUNT(AW2:AW51)</f>
        <v>21</v>
      </c>
      <c r="AX124" s="140" t="n">
        <f aca="false">COUNT(AX2:AX51)</f>
        <v>24</v>
      </c>
      <c r="AY124" s="140" t="n">
        <f aca="false">COUNT(AY2:AY51)</f>
        <v>24</v>
      </c>
      <c r="AZ124" s="140" t="n">
        <f aca="false">COUNT(AZ2:AZ51)</f>
        <v>24</v>
      </c>
      <c r="BA124" s="140" t="n">
        <f aca="false">COUNT(BA2:BA51)</f>
        <v>24</v>
      </c>
      <c r="BB124" s="140" t="n">
        <f aca="false">COUNT(BB2:BB51)</f>
        <v>5</v>
      </c>
      <c r="BC124" s="140" t="n">
        <f aca="false">COUNT(BC2:BC51)</f>
        <v>5</v>
      </c>
      <c r="BD124" s="3" t="s">
        <v>677</v>
      </c>
      <c r="BE124" s="140" t="n">
        <f aca="false">COUNT(BE2:BE51)</f>
        <v>5</v>
      </c>
      <c r="BF124" s="140" t="n">
        <f aca="false">COUNT(BF2:BF51)</f>
        <v>31</v>
      </c>
      <c r="BG124" s="140"/>
      <c r="BH124" s="140" t="n">
        <f aca="false">COUNT(BH2:BH51)</f>
        <v>30</v>
      </c>
      <c r="BI124" s="140"/>
      <c r="BJ124" s="140"/>
      <c r="BK124" s="140"/>
      <c r="BL124" s="140" t="n">
        <f aca="false">COUNT(BL2:BL51)</f>
        <v>41</v>
      </c>
      <c r="BM124" s="140" t="n">
        <f aca="false">COUNT(BM2:BM51)</f>
        <v>41</v>
      </c>
      <c r="BN124" s="140" t="n">
        <f aca="false">COUNT(BN2:BN51)</f>
        <v>50</v>
      </c>
      <c r="BO124" s="140" t="n">
        <f aca="false">COUNT(BO2:BO51)</f>
        <v>41</v>
      </c>
      <c r="BP124" s="140"/>
      <c r="BQ124" s="140"/>
      <c r="BR124" s="140" t="n">
        <f aca="false">COUNT(BR2:BR51)</f>
        <v>49</v>
      </c>
      <c r="BS124" s="140" t="n">
        <f aca="false">COUNT(BS2:BS51)</f>
        <v>49</v>
      </c>
      <c r="BT124" s="140" t="n">
        <f aca="false">COUNT(BT2:BT51)</f>
        <v>50</v>
      </c>
      <c r="BU124" s="140" t="n">
        <f aca="false">COUNT(BU2:BU51)</f>
        <v>50</v>
      </c>
      <c r="BV124" s="140" t="n">
        <f aca="false">COUNT(BV2:BV51)</f>
        <v>50</v>
      </c>
      <c r="BW124" s="140" t="n">
        <f aca="false">COUNT(BW2:BW51)</f>
        <v>49</v>
      </c>
      <c r="BX124" s="140" t="n">
        <f aca="false">COUNT(BX2:BX51)</f>
        <v>50</v>
      </c>
      <c r="BY124" s="140" t="n">
        <f aca="false">COUNT(BY2:BY51)</f>
        <v>49</v>
      </c>
      <c r="BZ124" s="140" t="n">
        <f aca="false">COUNT(BZ2:BZ51)</f>
        <v>49</v>
      </c>
      <c r="CA124" s="140" t="n">
        <f aca="false">COUNT(CA2:CA51)</f>
        <v>50</v>
      </c>
      <c r="CB124" s="140" t="n">
        <f aca="false">COUNT(CB2:CB51)</f>
        <v>50</v>
      </c>
      <c r="DA124" s="140" t="n">
        <f aca="false">COUNT(DA2:DA51)</f>
        <v>48</v>
      </c>
      <c r="DB124" s="140" t="n">
        <f aca="false">COUNT(DB2:DB51)</f>
        <v>0</v>
      </c>
      <c r="DC124" s="140"/>
      <c r="DD124" s="140"/>
      <c r="DE124" s="140"/>
      <c r="DF124" s="140"/>
      <c r="DG124" s="140" t="n">
        <f aca="false">COUNT(DG34:DG51,DG26:DG32,DG12:DG24,DG3:DG9)</f>
        <v>0</v>
      </c>
      <c r="DH124" s="140"/>
      <c r="DI124" s="140" t="n">
        <f aca="false">COUNT(DI2:DI51)</f>
        <v>0</v>
      </c>
      <c r="DJ124" s="140"/>
      <c r="DO124" s="3" t="s">
        <v>679</v>
      </c>
    </row>
    <row r="125" customFormat="false" ht="15" hidden="false" customHeight="false" outlineLevel="0" collapsed="false">
      <c r="H125" s="3" t="s">
        <v>678</v>
      </c>
      <c r="I125" s="290" t="n">
        <v>1.56438356164384</v>
      </c>
      <c r="J125" s="292" t="n">
        <f aca="false">MIN(J2:J51)</f>
        <v>44843</v>
      </c>
      <c r="K125" s="290" t="n">
        <v>47.5</v>
      </c>
      <c r="L125" s="290" t="n">
        <v>2.5</v>
      </c>
      <c r="M125" s="290" t="n">
        <v>147</v>
      </c>
      <c r="N125" s="290" t="n">
        <f aca="false">MIN(N2:N51)</f>
        <v>171</v>
      </c>
      <c r="O125" s="290"/>
      <c r="P125" s="290"/>
      <c r="Q125" s="290"/>
      <c r="R125" s="290"/>
      <c r="S125" s="290"/>
      <c r="T125" s="290" t="n">
        <v>812</v>
      </c>
      <c r="U125" s="290"/>
      <c r="W125" s="290" t="n">
        <v>0.262612712207004</v>
      </c>
      <c r="Y125" s="290" t="n">
        <v>0.312642424687465</v>
      </c>
      <c r="Z125" s="1"/>
      <c r="AA125" s="3" t="s">
        <v>678</v>
      </c>
      <c r="AB125" s="151" t="n">
        <f aca="false">MIN(AB2:AB51)</f>
        <v>45055.4980555556</v>
      </c>
      <c r="AC125" s="151" t="n">
        <f aca="false">MIN(AC2:AC51)</f>
        <v>45055.4980902778</v>
      </c>
      <c r="AD125" s="290" t="n">
        <f aca="false">MIN(AD2:AD51)</f>
        <v>0</v>
      </c>
      <c r="AE125" s="151" t="n">
        <f aca="false">MIN(AE2:AE51)</f>
        <v>45055.4980555556</v>
      </c>
      <c r="AF125" s="151" t="n">
        <f aca="false">MIN(AF2:AF51)</f>
        <v>45055.4980902778</v>
      </c>
      <c r="AG125" s="290" t="n">
        <f aca="false">MIN(AG2:AG51)</f>
        <v>0</v>
      </c>
      <c r="AH125" s="290" t="n">
        <f aca="false">MIN(AH2:AH51)</f>
        <v>1</v>
      </c>
      <c r="AI125" s="151" t="n">
        <f aca="false">MIN(AI2:AI51)</f>
        <v>0</v>
      </c>
      <c r="AJ125" s="151" t="n">
        <f aca="false">MIN(AJ2:AJ51)</f>
        <v>0</v>
      </c>
      <c r="AK125" s="290" t="n">
        <f aca="false">MIN(AK2:AK51)</f>
        <v>0</v>
      </c>
      <c r="AL125" s="290" t="n">
        <f aca="false">MIN(AL2:AL51)</f>
        <v>0</v>
      </c>
      <c r="AM125" s="290" t="e">
        <f aca="false">MIN(AM2:AM51)</f>
        <v>#REF!</v>
      </c>
      <c r="AN125" s="290" t="e">
        <f aca="false">MIN(AN2:AN51)</f>
        <v>#REF!</v>
      </c>
      <c r="AO125" s="290" t="n">
        <f aca="false">MIN(AO2:AO51)</f>
        <v>1</v>
      </c>
      <c r="AP125" s="290"/>
      <c r="AQ125" s="151"/>
      <c r="AR125" s="290"/>
      <c r="AS125" s="290"/>
      <c r="AU125" s="151" t="n">
        <f aca="false">MIN(AU2:AU51)</f>
        <v>45067.4180787037</v>
      </c>
      <c r="AV125" s="151" t="n">
        <f aca="false">MIN(AV2:AV51)</f>
        <v>45074.3438773148</v>
      </c>
      <c r="AW125" s="290" t="n">
        <f aca="false">MIN(AW2:AW51)</f>
        <v>48.3325000000186</v>
      </c>
      <c r="AX125" s="151" t="n">
        <f aca="false">MIN(AX2:AX51)</f>
        <v>45067.4854861111</v>
      </c>
      <c r="AY125" s="151" t="n">
        <f aca="false">MIN(AY2:AY51)</f>
        <v>45067.4854861111</v>
      </c>
      <c r="AZ125" s="290" t="n">
        <f aca="false">MIN(AZ2:AZ51)</f>
        <v>0</v>
      </c>
      <c r="BA125" s="290" t="n">
        <f aca="false">MIN(BA2:BA51)</f>
        <v>1</v>
      </c>
      <c r="BB125" s="151" t="n">
        <f aca="false">MIN(BB2:BB51)</f>
        <v>45074.9243402778</v>
      </c>
      <c r="BC125" s="151" t="n">
        <f aca="false">MIN(BC2:BC51)</f>
        <v>45075.2350810185</v>
      </c>
      <c r="BD125" s="3" t="s">
        <v>678</v>
      </c>
      <c r="BE125" s="290" t="n">
        <f aca="false">MIN(BE2:BE51)</f>
        <v>1.85444444435416</v>
      </c>
      <c r="BF125" s="290" t="n">
        <f aca="false">MIN(BF2:BF51)</f>
        <v>1</v>
      </c>
      <c r="BG125" s="290"/>
      <c r="BH125" s="290" t="n">
        <f aca="false">MIN(BH2:BH51)</f>
        <v>0</v>
      </c>
      <c r="BI125" s="290"/>
      <c r="BJ125" s="290"/>
      <c r="BK125" s="151"/>
      <c r="BL125" s="290" t="n">
        <f aca="false">MIN(BL2:BL51)</f>
        <v>1</v>
      </c>
      <c r="BM125" s="196" t="n">
        <f aca="false">MIN(BM2:BM51)</f>
        <v>45202</v>
      </c>
      <c r="BN125" s="151" t="n">
        <f aca="false">MIN(BN2:BN51)</f>
        <v>45202.6569063657</v>
      </c>
      <c r="BO125" s="290" t="n">
        <f aca="false">MIN(BO2:BO51)</f>
        <v>144.318607523099</v>
      </c>
      <c r="BP125" s="290"/>
      <c r="BQ125" s="151"/>
      <c r="BR125" s="290" t="n">
        <f aca="false">MIN(BR2:BR51)</f>
        <v>0.2</v>
      </c>
      <c r="BS125" s="290" t="n">
        <f aca="false">MIN(BS2:BS51)</f>
        <v>0.2</v>
      </c>
      <c r="BT125" s="290" t="n">
        <f aca="false">MIN(BT2:BT51)</f>
        <v>0.2</v>
      </c>
      <c r="BU125" s="290" t="n">
        <f aca="false">MIN(BU2:BU51)</f>
        <v>0.2</v>
      </c>
      <c r="BV125" s="290" t="n">
        <f aca="false">MIN(BV2:BV51)</f>
        <v>0.2</v>
      </c>
      <c r="BW125" s="290" t="n">
        <f aca="false">MIN(BW2:BW51)</f>
        <v>0.2</v>
      </c>
      <c r="BX125" s="290" t="n">
        <f aca="false">MIN(BX2:BX51)</f>
        <v>0.2</v>
      </c>
      <c r="BY125" s="290" t="n">
        <f aca="false">MIN(BY2:BY51)</f>
        <v>0.2</v>
      </c>
      <c r="BZ125" s="290" t="n">
        <f aca="false">MIN(BZ2:BZ51)</f>
        <v>0.2</v>
      </c>
      <c r="CA125" s="290" t="n">
        <f aca="false">MIN(CA2:CA51)</f>
        <v>0.2</v>
      </c>
      <c r="CB125" s="290" t="n">
        <f aca="false">MIN(CB2:CB51)</f>
        <v>0.2</v>
      </c>
      <c r="DA125" s="290" t="n">
        <f aca="false">MIN(DA2:DA51)</f>
        <v>36</v>
      </c>
      <c r="DB125" s="151" t="e">
        <f aca="false">MIN(DB2:DB51)</f>
        <v>#REF!</v>
      </c>
      <c r="DC125" s="151"/>
      <c r="DD125" s="151"/>
      <c r="DE125" s="151"/>
      <c r="DF125" s="151"/>
      <c r="DG125" s="290" t="e">
        <f aca="false">MIN(DG34:DG51,DG26:DG32,DG12:DG24,DG3:DG9)</f>
        <v>#REF!</v>
      </c>
      <c r="DH125" s="151"/>
      <c r="DI125" s="290" t="e">
        <f aca="false">MIN(DI2:DI51)</f>
        <v>#REF!</v>
      </c>
      <c r="DJ125" s="290"/>
      <c r="DO125" s="3" t="s">
        <v>680</v>
      </c>
    </row>
    <row r="126" customFormat="false" ht="15" hidden="false" customHeight="false" outlineLevel="0" collapsed="false">
      <c r="H126" s="3" t="s">
        <v>679</v>
      </c>
      <c r="I126" s="290" t="n">
        <v>6.56986301369863</v>
      </c>
      <c r="J126" s="292" t="n">
        <f aca="false">MAX(J2:J51)</f>
        <v>44942</v>
      </c>
      <c r="K126" s="290" t="n">
        <v>95</v>
      </c>
      <c r="L126" s="290" t="n">
        <v>4.25</v>
      </c>
      <c r="M126" s="290" t="n">
        <v>209</v>
      </c>
      <c r="N126" s="290" t="n">
        <f aca="false">MAX(N2:N51)</f>
        <v>371</v>
      </c>
      <c r="O126" s="290"/>
      <c r="P126" s="290"/>
      <c r="Q126" s="290"/>
      <c r="R126" s="290"/>
      <c r="S126" s="290"/>
      <c r="T126" s="290" t="n">
        <v>2175</v>
      </c>
      <c r="U126" s="290"/>
      <c r="W126" s="290" t="n">
        <v>0.88826360074165</v>
      </c>
      <c r="Y126" s="290" t="n">
        <v>0.984104754795769</v>
      </c>
      <c r="Z126" s="1"/>
      <c r="AA126" s="3" t="s">
        <v>679</v>
      </c>
      <c r="AB126" s="151" t="n">
        <f aca="false">MAX(AB2:AB51)</f>
        <v>45066.7146412037</v>
      </c>
      <c r="AC126" s="151" t="n">
        <f aca="false">MAX(AC2:AC51)</f>
        <v>45066.7146412037</v>
      </c>
      <c r="AD126" s="290" t="n">
        <f aca="false">MAX(AD2:AD51)</f>
        <v>262.369999999995</v>
      </c>
      <c r="AE126" s="151" t="n">
        <f aca="false">MAX(AE2:AE51)</f>
        <v>45066.7146412037</v>
      </c>
      <c r="AF126" s="151" t="n">
        <f aca="false">MAX(AF2:AF51)</f>
        <v>45066.7146412037</v>
      </c>
      <c r="AG126" s="290" t="n">
        <f aca="false">MAX(AG2:AG51)</f>
        <v>67.3011111110682</v>
      </c>
      <c r="AH126" s="290" t="n">
        <f aca="false">MAX(AH2:AH51)</f>
        <v>67.3011111110682</v>
      </c>
      <c r="AI126" s="151" t="n">
        <f aca="false">MAX(AI2:AI51)</f>
        <v>0</v>
      </c>
      <c r="AJ126" s="151" t="n">
        <f aca="false">MAX(AJ2:AJ51)</f>
        <v>0</v>
      </c>
      <c r="AK126" s="290" t="n">
        <f aca="false">MAX(AK2:AK51)</f>
        <v>0</v>
      </c>
      <c r="AL126" s="290" t="n">
        <f aca="false">MAX(AL2:AL51)</f>
        <v>0</v>
      </c>
      <c r="AM126" s="290" t="e">
        <f aca="false">MAX(AM2:AM51)</f>
        <v>#REF!</v>
      </c>
      <c r="AN126" s="290" t="e">
        <f aca="false">MAX(AN2:AN51)</f>
        <v>#REF!</v>
      </c>
      <c r="AO126" s="290" t="n">
        <f aca="false">MAX(AO2:AO51)</f>
        <v>132</v>
      </c>
      <c r="AP126" s="290"/>
      <c r="AQ126" s="151"/>
      <c r="AR126" s="290"/>
      <c r="AS126" s="290"/>
      <c r="AU126" s="151" t="n">
        <f aca="false">MAX(AU2:AU51)</f>
        <v>45086.4492592593</v>
      </c>
      <c r="AV126" s="151" t="n">
        <f aca="false">MAX(AV2:AV51)</f>
        <v>45089.3995138889</v>
      </c>
      <c r="AW126" s="290" t="n">
        <f aca="false">MAX(AW2:AW51)</f>
        <v>478.764999999956</v>
      </c>
      <c r="AX126" s="151" t="n">
        <f aca="false">MAX(AX2:AX51)</f>
        <v>45087.3660532407</v>
      </c>
      <c r="AY126" s="151" t="n">
        <f aca="false">MAX(AY2:AY51)</f>
        <v>45087.3666203704</v>
      </c>
      <c r="AZ126" s="290" t="n">
        <f aca="false">MAX(AZ2:AZ51)</f>
        <v>91.7325000000419</v>
      </c>
      <c r="BA126" s="290" t="n">
        <f aca="false">MAX(BA2:BA51)</f>
        <v>91.7325000000419</v>
      </c>
      <c r="BB126" s="151" t="n">
        <f aca="false">MAX(BB2:BB51)</f>
        <v>45084.6255787037</v>
      </c>
      <c r="BC126" s="151" t="n">
        <f aca="false">MAX(BC2:BC51)</f>
        <v>45087.4380092593</v>
      </c>
      <c r="BD126" s="3" t="s">
        <v>679</v>
      </c>
      <c r="BE126" s="290" t="n">
        <f aca="false">MAX(BE2:BE51)</f>
        <v>67.4983333334676</v>
      </c>
      <c r="BF126" s="290" t="n">
        <f aca="false">MAX(BF2:BF51)</f>
        <v>104</v>
      </c>
      <c r="BG126" s="290"/>
      <c r="BH126" s="290" t="n">
        <f aca="false">MAX(BH2:BH51)</f>
        <v>3</v>
      </c>
      <c r="BI126" s="290"/>
      <c r="BJ126" s="290"/>
      <c r="BK126" s="151"/>
      <c r="BL126" s="290" t="n">
        <f aca="false">MAX(BL2:BL51)</f>
        <v>3</v>
      </c>
      <c r="BM126" s="196" t="n">
        <f aca="false">MAX(BM2:BM51)</f>
        <v>45264</v>
      </c>
      <c r="BN126" s="151" t="n">
        <f aca="false">MAX(BN2:BN51)</f>
        <v>45227.5352199074</v>
      </c>
      <c r="BO126" s="290" t="n">
        <f aca="false">MAX(BO2:BO51)</f>
        <v>206.3410008102</v>
      </c>
      <c r="BP126" s="290"/>
      <c r="BQ126" s="151"/>
      <c r="BR126" s="290" t="n">
        <f aca="false">MAX(BR2:BR51)</f>
        <v>4.8091</v>
      </c>
      <c r="BS126" s="290" t="n">
        <f aca="false">MAX(BS2:BS51)</f>
        <v>6.4829</v>
      </c>
      <c r="BT126" s="290" t="n">
        <f aca="false">MAX(BT2:BT51)</f>
        <v>1.7417</v>
      </c>
      <c r="BU126" s="290" t="n">
        <f aca="false">MAX(BU2:BU51)</f>
        <v>2.287</v>
      </c>
      <c r="BV126" s="290" t="n">
        <f aca="false">MAX(BV2:BV51)</f>
        <v>3.2253</v>
      </c>
      <c r="BW126" s="290" t="n">
        <f aca="false">MAX(BW2:BW51)</f>
        <v>3.7929</v>
      </c>
      <c r="BX126" s="290" t="n">
        <f aca="false">MAX(BX2:BX51)</f>
        <v>4.73</v>
      </c>
      <c r="BY126" s="290" t="n">
        <f aca="false">MAX(BY2:BY51)</f>
        <v>4.4847</v>
      </c>
      <c r="BZ126" s="290" t="n">
        <f aca="false">MAX(BZ2:BZ51)</f>
        <v>4.8168</v>
      </c>
      <c r="CA126" s="290" t="n">
        <f aca="false">MAX(CA2:CA51)</f>
        <v>6.4421</v>
      </c>
      <c r="CB126" s="290" t="n">
        <f aca="false">MAX(CB2:CB51)</f>
        <v>7.3724</v>
      </c>
      <c r="DA126" s="290" t="n">
        <f aca="false">MAX(DA2:DA51)</f>
        <v>120</v>
      </c>
      <c r="DB126" s="151" t="e">
        <f aca="false">MAX(DB2:DB51)</f>
        <v>#REF!</v>
      </c>
      <c r="DC126" s="151"/>
      <c r="DD126" s="151"/>
      <c r="DE126" s="151"/>
      <c r="DF126" s="151"/>
      <c r="DG126" s="290" t="e">
        <f aca="false">MAX(DG34:DG51,DG26:DG32,DG12:DG24,DG3:DG9)</f>
        <v>#REF!</v>
      </c>
      <c r="DH126" s="151"/>
      <c r="DI126" s="290" t="e">
        <f aca="false">MAX(DI2:DI51)</f>
        <v>#REF!</v>
      </c>
      <c r="DJ126" s="290"/>
      <c r="DO126" s="1"/>
    </row>
    <row r="127" customFormat="false" ht="15" hidden="false" customHeight="true" outlineLevel="0" collapsed="false">
      <c r="H127" s="3" t="s">
        <v>680</v>
      </c>
      <c r="I127" s="290" t="n">
        <v>5.0054794520548</v>
      </c>
      <c r="J127" s="290" t="n">
        <f aca="false">J126-J125</f>
        <v>99</v>
      </c>
      <c r="K127" s="290" t="n">
        <v>47.5</v>
      </c>
      <c r="L127" s="290" t="n">
        <v>1.75</v>
      </c>
      <c r="M127" s="290" t="n">
        <v>62</v>
      </c>
      <c r="N127" s="290" t="n">
        <f aca="false">N126-N125</f>
        <v>200</v>
      </c>
      <c r="O127" s="290"/>
      <c r="P127" s="290"/>
      <c r="Q127" s="290"/>
      <c r="R127" s="290"/>
      <c r="S127" s="290"/>
      <c r="T127" s="290" t="n">
        <v>1363</v>
      </c>
      <c r="U127" s="290"/>
      <c r="W127" s="290" t="n">
        <v>0.625650888534646</v>
      </c>
      <c r="Y127" s="290" t="n">
        <v>0.671462330108303</v>
      </c>
      <c r="Z127" s="1"/>
      <c r="AA127" s="3" t="s">
        <v>680</v>
      </c>
      <c r="AB127" s="290" t="n">
        <f aca="false">AB126-AB125</f>
        <v>11.2165856480903</v>
      </c>
      <c r="AC127" s="290" t="n">
        <f aca="false">AC126-AC125</f>
        <v>11.2165509259028</v>
      </c>
      <c r="AD127" s="290" t="n">
        <f aca="false">AD126-AD125</f>
        <v>262.369999999995</v>
      </c>
      <c r="AE127" s="290" t="n">
        <f aca="false">AE126-AE125</f>
        <v>11.2165856480903</v>
      </c>
      <c r="AF127" s="290" t="n">
        <f aca="false">AF126-AF125</f>
        <v>11.2165509259028</v>
      </c>
      <c r="AG127" s="290" t="n">
        <f aca="false">AG126-AG125</f>
        <v>67.3011111110682</v>
      </c>
      <c r="AH127" s="290" t="n">
        <f aca="false">AH126-AH125</f>
        <v>66.3011111110682</v>
      </c>
      <c r="AI127" s="290" t="n">
        <f aca="false">AI126-AI125</f>
        <v>0</v>
      </c>
      <c r="AJ127" s="290" t="n">
        <f aca="false">AJ126-AJ125</f>
        <v>0</v>
      </c>
      <c r="AK127" s="290" t="n">
        <f aca="false">AK126-AK125</f>
        <v>0</v>
      </c>
      <c r="AL127" s="290" t="n">
        <f aca="false">AL126-AL125</f>
        <v>0</v>
      </c>
      <c r="AM127" s="290" t="e">
        <f aca="false">AM126-AM125</f>
        <v>#REF!</v>
      </c>
      <c r="AN127" s="290" t="e">
        <f aca="false">AN126-AN125</f>
        <v>#REF!</v>
      </c>
      <c r="AO127" s="290" t="n">
        <f aca="false">AO126-AO125</f>
        <v>131</v>
      </c>
      <c r="AP127" s="290"/>
      <c r="AQ127" s="290"/>
      <c r="AR127" s="290"/>
      <c r="AS127" s="290"/>
      <c r="AU127" s="290" t="n">
        <f aca="false">AU126-AU125</f>
        <v>19.0311805556019</v>
      </c>
      <c r="AV127" s="290" t="n">
        <f aca="false">AV126-AV125</f>
        <v>15.0556365740972</v>
      </c>
      <c r="AW127" s="290" t="n">
        <f aca="false">AW126-AW125</f>
        <v>430.432499999937</v>
      </c>
      <c r="AX127" s="290" t="n">
        <f aca="false">AX126-AX125</f>
        <v>19.8805671295949</v>
      </c>
      <c r="AY127" s="290" t="n">
        <f aca="false">AY126-AY125</f>
        <v>19.881134259294</v>
      </c>
      <c r="AZ127" s="290" t="n">
        <f aca="false">AZ126-AZ125</f>
        <v>91.7325000000419</v>
      </c>
      <c r="BA127" s="290" t="n">
        <f aca="false">BA126-BA125</f>
        <v>90.7325000000419</v>
      </c>
      <c r="BB127" s="290" t="n">
        <f aca="false">BB126-BB125</f>
        <v>9.70123842590278</v>
      </c>
      <c r="BC127" s="290" t="n">
        <f aca="false">BC126-BC125</f>
        <v>12.2029282407986</v>
      </c>
      <c r="BD127" s="3"/>
      <c r="BE127" s="290" t="n">
        <f aca="false">BE126-BE125</f>
        <v>65.6438888891134</v>
      </c>
      <c r="BF127" s="290" t="n">
        <f aca="false">BF126-BF125</f>
        <v>103</v>
      </c>
      <c r="BH127" s="290" t="n">
        <f aca="false">BH126-BH125</f>
        <v>3</v>
      </c>
      <c r="BK127" s="290"/>
      <c r="BL127" s="290" t="n">
        <f aca="false">BL126-BL125</f>
        <v>2</v>
      </c>
      <c r="BN127" s="290" t="n">
        <f aca="false">BN126-BN125</f>
        <v>24.8783135417014</v>
      </c>
      <c r="BO127" s="290" t="n">
        <f aca="false">BO126-BO125</f>
        <v>62.0223932871013</v>
      </c>
      <c r="BP127" s="290"/>
      <c r="BQ127" s="290"/>
      <c r="BR127" s="290" t="n">
        <f aca="false">BR126-BR125</f>
        <v>4.6091</v>
      </c>
      <c r="BS127" s="290" t="n">
        <f aca="false">BS126-BS125</f>
        <v>6.2829</v>
      </c>
      <c r="BT127" s="290" t="n">
        <f aca="false">BT126-BT125</f>
        <v>1.5417</v>
      </c>
      <c r="BU127" s="290" t="n">
        <f aca="false">BU126-BU125</f>
        <v>2.087</v>
      </c>
      <c r="BV127" s="290" t="n">
        <f aca="false">BV126-BV125</f>
        <v>3.0253</v>
      </c>
      <c r="BW127" s="290" t="n">
        <f aca="false">BW126-BW125</f>
        <v>3.5929</v>
      </c>
      <c r="BX127" s="290" t="n">
        <f aca="false">BX126-BX125</f>
        <v>4.53</v>
      </c>
      <c r="BY127" s="290" t="n">
        <f aca="false">BY126-BY125</f>
        <v>4.2847</v>
      </c>
      <c r="BZ127" s="290" t="n">
        <f aca="false">BZ126-BZ125</f>
        <v>4.6168</v>
      </c>
      <c r="CA127" s="290" t="n">
        <f aca="false">CA126-CA125</f>
        <v>6.2421</v>
      </c>
      <c r="CB127" s="290" t="n">
        <f aca="false">CB126-CB125</f>
        <v>7.1724</v>
      </c>
      <c r="DA127" s="290" t="n">
        <f aca="false">DA126-DA125</f>
        <v>84</v>
      </c>
      <c r="DB127" s="290" t="e">
        <f aca="false">DB126-DB125</f>
        <v>#REF!</v>
      </c>
      <c r="DC127" s="290"/>
      <c r="DD127" s="290"/>
      <c r="DE127" s="290"/>
      <c r="DF127" s="290"/>
      <c r="DG127" s="290" t="e">
        <f aca="false">DG126-DG125</f>
        <v>#REF!</v>
      </c>
      <c r="DH127" s="290"/>
      <c r="DI127" s="290" t="e">
        <f aca="false">DI126-DI125</f>
        <v>#REF!</v>
      </c>
      <c r="DO127" s="140" t="s">
        <v>674</v>
      </c>
    </row>
    <row r="128" customFormat="false" ht="15" hidden="false" customHeight="false" outlineLevel="0" collapsed="false"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W128" s="140"/>
      <c r="Y128" s="140"/>
      <c r="Z128" s="1"/>
      <c r="AA128" s="1"/>
      <c r="AB128" s="140"/>
      <c r="AC128" s="140"/>
      <c r="AD128" s="140"/>
      <c r="AE128" s="140"/>
      <c r="AF128" s="140"/>
      <c r="AG128" s="140"/>
      <c r="AH128" s="140"/>
      <c r="AI128" s="140"/>
      <c r="AJ128" s="140"/>
      <c r="AK128" s="140"/>
      <c r="AL128" s="140"/>
      <c r="AM128" s="140"/>
      <c r="AN128" s="140"/>
      <c r="AO128" s="140"/>
      <c r="AP128" s="140"/>
      <c r="AQ128" s="140"/>
      <c r="AR128" s="140"/>
      <c r="AS128" s="140"/>
      <c r="AU128" s="140"/>
      <c r="AV128" s="140"/>
      <c r="AW128" s="140"/>
      <c r="AX128" s="140"/>
      <c r="AY128" s="140"/>
      <c r="AZ128" s="140"/>
      <c r="BA128" s="140"/>
      <c r="BB128" s="140"/>
      <c r="BC128" s="140"/>
      <c r="BD128" s="1"/>
      <c r="BE128" s="140"/>
      <c r="BF128" s="140"/>
      <c r="BH128" s="140"/>
      <c r="BK128" s="140"/>
      <c r="BL128" s="140"/>
      <c r="BN128" s="140"/>
      <c r="BO128" s="140"/>
      <c r="BP128" s="140"/>
      <c r="BQ128" s="140"/>
      <c r="BR128" s="140"/>
      <c r="BS128" s="140"/>
      <c r="BT128" s="140"/>
      <c r="BU128" s="140"/>
      <c r="BV128" s="140"/>
      <c r="BW128" s="140"/>
      <c r="BX128" s="140"/>
      <c r="BY128" s="140"/>
      <c r="BZ128" s="140"/>
      <c r="CA128" s="140"/>
      <c r="CB128" s="140"/>
      <c r="DA128" s="140"/>
      <c r="DB128" s="140"/>
      <c r="DC128" s="140"/>
      <c r="DD128" s="140"/>
      <c r="DE128" s="140"/>
      <c r="DF128" s="140"/>
      <c r="DG128" s="140"/>
      <c r="DH128" s="140"/>
      <c r="DI128" s="140"/>
      <c r="DO128" s="140" t="s">
        <v>675</v>
      </c>
    </row>
    <row r="129" customFormat="false" ht="15" hidden="false" customHeight="false" outlineLevel="0" collapsed="false">
      <c r="G129" s="315" t="s">
        <v>152</v>
      </c>
      <c r="H129" s="140" t="s">
        <v>674</v>
      </c>
      <c r="I129" s="290" t="n">
        <v>3.44476712328767</v>
      </c>
      <c r="J129" s="292" t="n">
        <f aca="false">AVERAGE(J52:J101)</f>
        <v>44865.86</v>
      </c>
      <c r="K129" s="290" t="n">
        <v>68.1868</v>
      </c>
      <c r="L129" s="290" t="n">
        <v>3.365</v>
      </c>
      <c r="M129" s="290" t="n">
        <v>190.6</v>
      </c>
      <c r="N129" s="290" t="n">
        <f aca="false">AVERAGE(N52:N101)</f>
        <v>276.06</v>
      </c>
      <c r="O129" s="290"/>
      <c r="P129" s="290"/>
      <c r="Q129" s="290"/>
      <c r="R129" s="290"/>
      <c r="S129" s="290"/>
      <c r="T129" s="290" t="n">
        <v>1452.18</v>
      </c>
      <c r="U129" s="290"/>
      <c r="W129" s="290" t="n">
        <v>0.613557998835336</v>
      </c>
      <c r="Y129" s="290" t="n">
        <v>0.76270965625271</v>
      </c>
      <c r="Z129" s="315" t="s">
        <v>152</v>
      </c>
      <c r="AA129" s="140" t="s">
        <v>674</v>
      </c>
      <c r="AB129" s="151" t="n">
        <f aca="false">AVERAGE(AB52:AB101)</f>
        <v>45056.8699987488</v>
      </c>
      <c r="AC129" s="151" t="n">
        <f aca="false">AVERAGE(AC52:AC101)</f>
        <v>45058.7995113864</v>
      </c>
      <c r="AD129" s="290" t="n">
        <f aca="false">AVERAGE(AD52:AD101)</f>
        <v>46.3083033032992</v>
      </c>
      <c r="AE129" s="151" t="n">
        <f aca="false">AVERAGE(AE52:AE101)</f>
        <v>45056.9711320087</v>
      </c>
      <c r="AF129" s="151" t="n">
        <f aca="false">AVERAGE(AF52:AF101)</f>
        <v>45057.6046363812</v>
      </c>
      <c r="AG129" s="290" t="n">
        <f aca="false">AVERAGE(AG52:AG101)</f>
        <v>15.2041049382727</v>
      </c>
      <c r="AH129" s="290" t="n">
        <f aca="false">AVERAGE(AH52:AH101)</f>
        <v>15.3977854938292</v>
      </c>
      <c r="AI129" s="151" t="n">
        <f aca="false">AVERAGE(AI52:AI101)</f>
        <v>45063.2822569445</v>
      </c>
      <c r="AJ129" s="151" t="n">
        <f aca="false">AVERAGE(AJ52:AJ101)</f>
        <v>45063.7306944445</v>
      </c>
      <c r="AK129" s="290" t="n">
        <f aca="false">AVERAGE(AK52:AK101)</f>
        <v>10.7624999999825</v>
      </c>
      <c r="AL129" s="290" t="n">
        <f aca="false">AVERAGE(AL52:AL101)</f>
        <v>11.2580555555469</v>
      </c>
      <c r="AM129" s="290" t="e">
        <f aca="false">AVERAGE(AM52:AM101)</f>
        <v>#REF!</v>
      </c>
      <c r="AN129" s="290" t="e">
        <f aca="false">AVERAGE(AN52:AN101)</f>
        <v>#REF!</v>
      </c>
      <c r="AO129" s="290" t="n">
        <f aca="false">AVERAGE(AO52:AO101)</f>
        <v>21.0540540540541</v>
      </c>
      <c r="AP129" s="290"/>
      <c r="AQ129" s="151"/>
      <c r="AR129" s="290"/>
      <c r="AS129" s="290"/>
      <c r="AU129" s="151" t="n">
        <f aca="false">AVERAGE(AU52:AU101)</f>
        <v>45071.5689618056</v>
      </c>
      <c r="AV129" s="151" t="n">
        <f aca="false">AVERAGE(AV52:AV101)</f>
        <v>45081.7346423611</v>
      </c>
      <c r="AW129" s="290" t="n">
        <f aca="false">AVERAGE(AW52:AW101)</f>
        <v>243.976333333313</v>
      </c>
      <c r="AX129" s="151" t="n">
        <f aca="false">AVERAGE(AX52:AX101)</f>
        <v>45075.618472608</v>
      </c>
      <c r="AY129" s="151" t="n">
        <f aca="false">AVERAGE(AY52:AY101)</f>
        <v>45076.1174494599</v>
      </c>
      <c r="AZ129" s="290" t="n">
        <f aca="false">AVERAGE(AZ52:AZ101)</f>
        <v>11.9754444444494</v>
      </c>
      <c r="BA129" s="290" t="n">
        <f aca="false">AVERAGE(BA52:BA101)</f>
        <v>12.3906111111205</v>
      </c>
      <c r="BB129" s="151" t="n">
        <f aca="false">AVERAGE(BB52:BB101)</f>
        <v>45078.4737326389</v>
      </c>
      <c r="BC129" s="151" t="n">
        <f aca="false">AVERAGE(BC52:BC101)</f>
        <v>45078.4744849537</v>
      </c>
      <c r="BD129" s="140" t="s">
        <v>674</v>
      </c>
      <c r="BE129" s="290" t="n">
        <f aca="false">AVERAGE(BE52:BE101)</f>
        <v>1</v>
      </c>
      <c r="BF129" s="290" t="n">
        <f aca="false">AVERAGE(BF52:BF101)</f>
        <v>18.258064516129</v>
      </c>
      <c r="BG129" s="290"/>
      <c r="BH129" s="290" t="n">
        <f aca="false">AVERAGE(BH52:BH101)</f>
        <v>1.48148148148148</v>
      </c>
      <c r="BI129" s="290"/>
      <c r="BJ129" s="290"/>
      <c r="BK129" s="151"/>
      <c r="BL129" s="290" t="n">
        <f aca="false">AVERAGE(BL52:BL101)</f>
        <v>1.37142857142857</v>
      </c>
      <c r="BM129" s="196" t="n">
        <f aca="false">AVERAGE(BM52:BM101)</f>
        <v>45213.5428571429</v>
      </c>
      <c r="BN129" s="151" t="n">
        <f aca="false">AVERAGE(BN52:BN101)</f>
        <v>45210.2222682469</v>
      </c>
      <c r="BO129" s="290" t="n">
        <f aca="false">AVERAGE(BO52:BO101)</f>
        <v>155.870912698424</v>
      </c>
      <c r="BP129" s="290"/>
      <c r="BQ129" s="151"/>
      <c r="BR129" s="290" t="n">
        <f aca="false">AVERAGE(BR52:BR101)</f>
        <v>1.16281387755102</v>
      </c>
      <c r="BS129" s="290" t="n">
        <f aca="false">AVERAGE(BS52:BS101)</f>
        <v>1.54340448979592</v>
      </c>
      <c r="BT129" s="290" t="n">
        <f aca="false">AVERAGE(BT52:BT101)</f>
        <v>0.576109591836735</v>
      </c>
      <c r="BU129" s="290" t="n">
        <f aca="false">AVERAGE(BU52:BU101)</f>
        <v>0.665378367346939</v>
      </c>
      <c r="BV129" s="290" t="n">
        <f aca="false">AVERAGE(BV52:BV101)</f>
        <v>0.617712040816327</v>
      </c>
      <c r="BW129" s="290" t="n">
        <f aca="false">AVERAGE(BW52:BW101)</f>
        <v>0.637872448979592</v>
      </c>
      <c r="BX129" s="290" t="n">
        <f aca="false">AVERAGE(BX52:BX101)</f>
        <v>1.0581693877551</v>
      </c>
      <c r="BY129" s="290" t="n">
        <f aca="false">AVERAGE(BY52:BY101)</f>
        <v>1.61980020833333</v>
      </c>
      <c r="BZ129" s="290" t="n">
        <f aca="false">AVERAGE(BZ52:BZ101)</f>
        <v>2.03527428571429</v>
      </c>
      <c r="CA129" s="290" t="n">
        <f aca="false">AVERAGE(CA52:CA101)</f>
        <v>3.08078204081633</v>
      </c>
      <c r="CB129" s="290" t="n">
        <f aca="false">AVERAGE(CB52:CB101)</f>
        <v>3.39431836734694</v>
      </c>
      <c r="DA129" s="290" t="n">
        <f aca="false">AVERAGE(DA52:DA101)</f>
        <v>55.1489361702128</v>
      </c>
      <c r="DB129" s="151" t="e">
        <f aca="false">AVERAGE(DB52:DB101)</f>
        <v>#REF!</v>
      </c>
      <c r="DC129" s="151"/>
      <c r="DD129" s="151"/>
      <c r="DE129" s="151"/>
      <c r="DF129" s="151"/>
      <c r="DG129" s="290" t="e">
        <f aca="false">AVERAGE(DG74:DG101,DG62:DG72,DG52:DG60)</f>
        <v>#REF!</v>
      </c>
      <c r="DH129" s="151"/>
      <c r="DI129" s="290" t="e">
        <f aca="false">AVERAGE(DI52:DI101)</f>
        <v>#REF!</v>
      </c>
      <c r="DJ129" s="290"/>
      <c r="DN129" s="315" t="s">
        <v>152</v>
      </c>
      <c r="DO129" s="140" t="s">
        <v>676</v>
      </c>
    </row>
    <row r="130" customFormat="false" ht="15" hidden="false" customHeight="false" outlineLevel="0" collapsed="false">
      <c r="H130" s="140" t="s">
        <v>675</v>
      </c>
      <c r="I130" s="290" t="n">
        <v>1.59586857219103</v>
      </c>
      <c r="J130" s="290" t="n">
        <f aca="false">_xlfn.STDEV.S(J52:J101)</f>
        <v>20.5704464051251</v>
      </c>
      <c r="K130" s="290" t="n">
        <v>10.2873279369151</v>
      </c>
      <c r="L130" s="290" t="n">
        <v>0.385350357414112</v>
      </c>
      <c r="M130" s="290" t="n">
        <v>20.4560255081929</v>
      </c>
      <c r="N130" s="290" t="n">
        <f aca="false">_xlfn.STDEV.S(N52:N101)</f>
        <v>47.4481069921958</v>
      </c>
      <c r="O130" s="290"/>
      <c r="P130" s="290"/>
      <c r="Q130" s="290"/>
      <c r="R130" s="290"/>
      <c r="S130" s="290"/>
      <c r="T130" s="290" t="n">
        <v>291.292593627165</v>
      </c>
      <c r="U130" s="290"/>
      <c r="W130" s="290" t="n">
        <v>0.151121545295707</v>
      </c>
      <c r="Y130" s="290" t="n">
        <v>0.170640243353397</v>
      </c>
      <c r="Z130" s="1"/>
      <c r="AA130" s="140" t="s">
        <v>675</v>
      </c>
      <c r="AB130" s="290" t="n">
        <f aca="false">_xlfn.STDEV.S(AB52:AB101)</f>
        <v>0.845198411637116</v>
      </c>
      <c r="AC130" s="290" t="n">
        <f aca="false">_xlfn.STDEV.S(AC52:AC101)</f>
        <v>2.79536792352192</v>
      </c>
      <c r="AD130" s="290" t="n">
        <f aca="false">_xlfn.STDEV.S(AD52:AD101)</f>
        <v>68.3423395101948</v>
      </c>
      <c r="AE130" s="290" t="n">
        <f aca="false">_xlfn.STDEV.S(AE52:AE101)</f>
        <v>0.799887398186568</v>
      </c>
      <c r="AF130" s="290" t="n">
        <f aca="false">_xlfn.STDEV.S(AF52:AF101)</f>
        <v>0.705056462713482</v>
      </c>
      <c r="AG130" s="290" t="n">
        <f aca="false">_xlfn.STDEV.S(AG52:AG101)</f>
        <v>16.2595018791601</v>
      </c>
      <c r="AH130" s="290" t="n">
        <f aca="false">_xlfn.STDEV.S(AH52:AH101)</f>
        <v>16.0771593721166</v>
      </c>
      <c r="AI130" s="290" t="n">
        <f aca="false">_xlfn.STDEV.S(AI52:AI101)</f>
        <v>1.97780385616104</v>
      </c>
      <c r="AJ130" s="290" t="n">
        <f aca="false">_xlfn.STDEV.S(AJ52:AJ101)</f>
        <v>1.34414124449261</v>
      </c>
      <c r="AK130" s="290" t="n">
        <f aca="false">_xlfn.STDEV.S(AK52:AK101)</f>
        <v>15.2079026778195</v>
      </c>
      <c r="AL130" s="290" t="n">
        <f aca="false">_xlfn.STDEV.S(AL52:AL101)</f>
        <v>14.5070812902311</v>
      </c>
      <c r="AM130" s="290" t="e">
        <f aca="false">_xlfn.STDEV.S(AM52:AM101)</f>
        <v>#REF!</v>
      </c>
      <c r="AN130" s="290" t="e">
        <f aca="false">_xlfn.STDEV.S(AN52:AN101)</f>
        <v>#REF!</v>
      </c>
      <c r="AO130" s="290" t="n">
        <f aca="false">_xlfn.STDEV.S(AO52:AO101)</f>
        <v>29.3843741032788</v>
      </c>
      <c r="AP130" s="290"/>
      <c r="AQ130" s="290"/>
      <c r="AR130" s="290"/>
      <c r="AS130" s="290"/>
      <c r="AU130" s="290" t="n">
        <f aca="false">_xlfn.STDEV.S(AU52:AU101)</f>
        <v>3.92035070857834</v>
      </c>
      <c r="AV130" s="290" t="n">
        <f aca="false">_xlfn.STDEV.S(AV52:AV101)</f>
        <v>5.33951592375211</v>
      </c>
      <c r="AW130" s="290" t="n">
        <f aca="false">_xlfn.STDEV.S(AW52:AW101)</f>
        <v>89.0936008595591</v>
      </c>
      <c r="AX130" s="290" t="n">
        <f aca="false">_xlfn.STDEV.S(AX52:AX101)</f>
        <v>4.16450485217601</v>
      </c>
      <c r="AY130" s="290" t="n">
        <f aca="false">_xlfn.STDEV.S(AY52:AY101)</f>
        <v>4.04975951586347</v>
      </c>
      <c r="AZ130" s="290" t="n">
        <f aca="false">_xlfn.STDEV.S(AZ52:AZ101)</f>
        <v>20.9724095777741</v>
      </c>
      <c r="BA130" s="290" t="n">
        <f aca="false">_xlfn.STDEV.S(BA52:BA101)</f>
        <v>20.732370872298</v>
      </c>
      <c r="BB130" s="290" t="n">
        <f aca="false">_xlfn.STDEV.S(BB52:BB101)</f>
        <v>1.44088556468076</v>
      </c>
      <c r="BC130" s="290" t="n">
        <f aca="false">_xlfn.STDEV.S(BC52:BC101)</f>
        <v>1.44064004150749</v>
      </c>
      <c r="BD130" s="140" t="s">
        <v>675</v>
      </c>
      <c r="BE130" s="290" t="n">
        <f aca="false">_xlfn.STDEV.S(BE52:BE101)</f>
        <v>0</v>
      </c>
      <c r="BF130" s="290" t="n">
        <f aca="false">_xlfn.STDEV.S(BF52:BF101)</f>
        <v>26.9121629775281</v>
      </c>
      <c r="BG130" s="290"/>
      <c r="BH130" s="290" t="n">
        <f aca="false">_xlfn.STDEV.S(BH52:BH101)</f>
        <v>0.509175077217316</v>
      </c>
      <c r="BI130" s="290"/>
      <c r="BJ130" s="290"/>
      <c r="BK130" s="290"/>
      <c r="BL130" s="290" t="n">
        <f aca="false">_xlfn.STDEV.S(BL52:BL101)</f>
        <v>0.490240894309911</v>
      </c>
      <c r="BM130" s="290" t="n">
        <f aca="false">_xlfn.STDEV.S(BM52:BM101)</f>
        <v>14.4514254479962</v>
      </c>
      <c r="BN130" s="290" t="n">
        <f aca="false">_xlfn.STDEV.S(BN52:BN101)</f>
        <v>9.49554492295065</v>
      </c>
      <c r="BO130" s="290" t="n">
        <f aca="false">_xlfn.STDEV.S(BO52:BO101)</f>
        <v>14.4505043042331</v>
      </c>
      <c r="BP130" s="290"/>
      <c r="BQ130" s="290"/>
      <c r="BR130" s="290" t="n">
        <f aca="false">_xlfn.STDEV.S(BR52:BR101)</f>
        <v>1.43250225412536</v>
      </c>
      <c r="BS130" s="290" t="n">
        <f aca="false">_xlfn.STDEV.S(BS52:BS101)</f>
        <v>1.5620083138664</v>
      </c>
      <c r="BT130" s="290" t="n">
        <f aca="false">_xlfn.STDEV.S(BT52:BT101)</f>
        <v>0.39816745051527</v>
      </c>
      <c r="BU130" s="290" t="n">
        <f aca="false">_xlfn.STDEV.S(BU52:BU101)</f>
        <v>0.538851943395814</v>
      </c>
      <c r="BV130" s="290" t="n">
        <f aca="false">_xlfn.STDEV.S(BV52:BV101)</f>
        <v>0.480020986806739</v>
      </c>
      <c r="BW130" s="290" t="n">
        <f aca="false">_xlfn.STDEV.S(BW52:BW101)</f>
        <v>0.436474890975656</v>
      </c>
      <c r="BX130" s="290" t="n">
        <f aca="false">_xlfn.STDEV.S(BX52:BX101)</f>
        <v>0.690532025314564</v>
      </c>
      <c r="BY130" s="290" t="n">
        <f aca="false">_xlfn.STDEV.S(BY52:BY101)</f>
        <v>0.905056463527164</v>
      </c>
      <c r="BZ130" s="290" t="n">
        <f aca="false">_xlfn.STDEV.S(BZ52:BZ101)</f>
        <v>1.2363876050077</v>
      </c>
      <c r="CA130" s="290" t="n">
        <f aca="false">_xlfn.STDEV.S(CA52:CA101)</f>
        <v>1.58799994245379</v>
      </c>
      <c r="CB130" s="290" t="n">
        <f aca="false">_xlfn.STDEV.S(CB52:CB101)</f>
        <v>1.77690656240856</v>
      </c>
      <c r="DA130" s="290" t="n">
        <f aca="false">_xlfn.STDEV.S(DA52:DA101)</f>
        <v>17.2739798332187</v>
      </c>
      <c r="DB130" s="290" t="e">
        <f aca="false">_xlfn.STDEV.S(DB52:DB101)</f>
        <v>#REF!</v>
      </c>
      <c r="DC130" s="290"/>
      <c r="DD130" s="290"/>
      <c r="DE130" s="290"/>
      <c r="DF130" s="290"/>
      <c r="DG130" s="290" t="e">
        <f aca="false">_xlfn.STDEV.S(DG74:DG101,DG62:DG72,DG52:DG60)</f>
        <v>#REF!</v>
      </c>
      <c r="DH130" s="290"/>
      <c r="DI130" s="290" t="e">
        <f aca="false">_xlfn.STDEV.S(DI52:DI101)</f>
        <v>#REF!</v>
      </c>
      <c r="DJ130" s="290"/>
      <c r="DO130" s="3" t="s">
        <v>677</v>
      </c>
    </row>
    <row r="131" customFormat="false" ht="15" hidden="false" customHeight="false" outlineLevel="0" collapsed="false">
      <c r="H131" s="140" t="s">
        <v>676</v>
      </c>
      <c r="I131" s="290" t="n">
        <v>0.225689897855754</v>
      </c>
      <c r="J131" s="290" t="n">
        <f aca="false">(_xlfn.STDEV.S(J52:J101)/SQRT(J132))</f>
        <v>2.90910042901967</v>
      </c>
      <c r="K131" s="290" t="n">
        <v>1.45484786889649</v>
      </c>
      <c r="L131" s="290" t="n">
        <v>0.0544967701720357</v>
      </c>
      <c r="M131" s="290" t="n">
        <v>2.89291887059363</v>
      </c>
      <c r="N131" s="290" t="n">
        <f aca="false">(_xlfn.STDEV.S(N52:N101)/SQRT(N132))</f>
        <v>6.71017564172929</v>
      </c>
      <c r="O131" s="290"/>
      <c r="P131" s="290"/>
      <c r="Q131" s="290"/>
      <c r="R131" s="290"/>
      <c r="S131" s="290"/>
      <c r="T131" s="290" t="n">
        <v>41.1949936526371</v>
      </c>
      <c r="U131" s="290"/>
      <c r="W131" s="290" t="n">
        <v>0.0213718138923969</v>
      </c>
      <c r="Y131" s="290" t="n">
        <v>0.024132174643702</v>
      </c>
      <c r="Z131" s="1"/>
      <c r="AA131" s="140" t="s">
        <v>676</v>
      </c>
      <c r="AB131" s="290" t="n">
        <f aca="false">(_xlfn.STDEV.S(AB52:AB101)/SQRT(AB132))</f>
        <v>0.138949762945238</v>
      </c>
      <c r="AC131" s="290" t="n">
        <f aca="false">(_xlfn.STDEV.S(AC52:AC101)/SQRT(AC132))</f>
        <v>0.459555655772883</v>
      </c>
      <c r="AD131" s="290" t="n">
        <f aca="false">(_xlfn.STDEV.S(AD52:AD101)/SQRT(AD132))</f>
        <v>11.2354114055549</v>
      </c>
      <c r="AE131" s="290" t="n">
        <f aca="false">(_xlfn.STDEV.S(AE52:AE101)/SQRT(AE132))</f>
        <v>0.133314566364428</v>
      </c>
      <c r="AF131" s="290" t="n">
        <f aca="false">(_xlfn.STDEV.S(AF52:AF101)/SQRT(AF132))</f>
        <v>0.117509410452247</v>
      </c>
      <c r="AG131" s="290" t="n">
        <f aca="false">(_xlfn.STDEV.S(AG52:AG101)/SQRT(AG132))</f>
        <v>2.70991697986002</v>
      </c>
      <c r="AH131" s="290" t="n">
        <f aca="false">(_xlfn.STDEV.S(AH52:AH101)/SQRT(AH132))</f>
        <v>2.67952656201944</v>
      </c>
      <c r="AI131" s="290" t="n">
        <f aca="false">(_xlfn.STDEV.S(AI52:AI101)/SQRT(AI132))</f>
        <v>1.39851851854837</v>
      </c>
      <c r="AJ131" s="290" t="n">
        <f aca="false">(_xlfn.STDEV.S(AJ52:AJ101)/SQRT(AJ132))</f>
        <v>0.950451388853253</v>
      </c>
      <c r="AK131" s="290" t="n">
        <f aca="false">(_xlfn.STDEV.S(AK52:AK101)/SQRT(AK132))</f>
        <v>10.7536111111113</v>
      </c>
      <c r="AL131" s="290" t="n">
        <f aca="false">(_xlfn.STDEV.S(AL52:AL101)/SQRT(AL132))</f>
        <v>10.2580555555469</v>
      </c>
      <c r="AM131" s="290" t="e">
        <f aca="false">(_xlfn.STDEV.S(AM52:AM101)/SQRT(AM132))</f>
        <v>#REF!</v>
      </c>
      <c r="AN131" s="290" t="e">
        <f aca="false">(_xlfn.STDEV.S(AN52:AN101)/SQRT(AN132))</f>
        <v>#REF!</v>
      </c>
      <c r="AO131" s="290" t="n">
        <f aca="false">(_xlfn.STDEV.S(AO52:AO101)/SQRT(AO132))</f>
        <v>4.8307613451808</v>
      </c>
      <c r="AP131" s="290"/>
      <c r="AQ131" s="290"/>
      <c r="AR131" s="290"/>
      <c r="AS131" s="290"/>
      <c r="AU131" s="290" t="n">
        <f aca="false">(_xlfn.STDEV.S(AU52:AU101)/SQRT(AU132))</f>
        <v>1.23972374657625</v>
      </c>
      <c r="AV131" s="290" t="n">
        <f aca="false">(_xlfn.STDEV.S(AV52:AV101)/SQRT(AV132))</f>
        <v>1.68850319217946</v>
      </c>
      <c r="AW131" s="290" t="n">
        <f aca="false">(_xlfn.STDEV.S(AW52:AW101)/SQRT(AW132))</f>
        <v>28.1738703662142</v>
      </c>
      <c r="AX131" s="290" t="n">
        <f aca="false">(_xlfn.STDEV.S(AX52:AX101)/SQRT(AX132))</f>
        <v>0.760331082792172</v>
      </c>
      <c r="AY131" s="290" t="n">
        <f aca="false">(_xlfn.STDEV.S(AY52:AY101)/SQRT(AY132))</f>
        <v>0.739381546436541</v>
      </c>
      <c r="AZ131" s="290" t="n">
        <f aca="false">(_xlfn.STDEV.S(AZ52:AZ101)/SQRT(AZ132))</f>
        <v>3.82902060366142</v>
      </c>
      <c r="BA131" s="290" t="n">
        <f aca="false">(_xlfn.STDEV.S(BA52:BA101)/SQRT(BA132))</f>
        <v>3.78519573244023</v>
      </c>
      <c r="BB131" s="290" t="n">
        <f aca="false">(_xlfn.STDEV.S(BB52:BB101)/SQRT(BB132))</f>
        <v>1.01885995369958</v>
      </c>
      <c r="BC131" s="290" t="n">
        <f aca="false">(_xlfn.STDEV.S(BC52:BC101)/SQRT(BC132))</f>
        <v>1.01868634259881</v>
      </c>
      <c r="BD131" s="140" t="s">
        <v>676</v>
      </c>
      <c r="BE131" s="290" t="n">
        <f aca="false">(_xlfn.STDEV.S(BE52:BE101)/SQRT(BE132))</f>
        <v>0</v>
      </c>
      <c r="BF131" s="290" t="n">
        <f aca="false">(_xlfn.STDEV.S(BF52:BF101)/SQRT(BF132))</f>
        <v>4.83356715977272</v>
      </c>
      <c r="BG131" s="290"/>
      <c r="BH131" s="290" t="n">
        <f aca="false">(_xlfn.STDEV.S(BH52:BH101)/SQRT(BH132))</f>
        <v>0.0979907892986886</v>
      </c>
      <c r="BI131" s="290"/>
      <c r="BJ131" s="290"/>
      <c r="BK131" s="290"/>
      <c r="BL131" s="290" t="n">
        <f aca="false">(_xlfn.STDEV.S(BL52:BL101)/SQRT(BL132))</f>
        <v>0.0828658355335869</v>
      </c>
      <c r="BM131" s="290" t="n">
        <f aca="false">(_xlfn.STDEV.S(BM52:BM101)/SQRT(BM132))</f>
        <v>2.44273674085319</v>
      </c>
      <c r="BN131" s="290" t="n">
        <f aca="false">(_xlfn.STDEV.S(BN52:BN101)/SQRT(BN132))</f>
        <v>1.35650641756438</v>
      </c>
      <c r="BO131" s="290" t="n">
        <f aca="false">(_xlfn.STDEV.S(BO52:BO101)/SQRT(BO132))</f>
        <v>2.44258103913906</v>
      </c>
      <c r="BP131" s="290"/>
      <c r="BQ131" s="290"/>
      <c r="BR131" s="290" t="n">
        <f aca="false">(_xlfn.STDEV.S(BR52:BR101)/SQRT(BR132))</f>
        <v>0.204643179160766</v>
      </c>
      <c r="BS131" s="290" t="n">
        <f aca="false">(_xlfn.STDEV.S(BS52:BS101)/SQRT(BS132))</f>
        <v>0.223144044838057</v>
      </c>
      <c r="BT131" s="290" t="n">
        <f aca="false">(_xlfn.STDEV.S(BT52:BT101)/SQRT(BT132))</f>
        <v>0.0568810643593243</v>
      </c>
      <c r="BU131" s="290" t="n">
        <f aca="false">(_xlfn.STDEV.S(BU52:BU101)/SQRT(BU132))</f>
        <v>0.0769788490565449</v>
      </c>
      <c r="BV131" s="290" t="n">
        <f aca="false">(_xlfn.STDEV.S(BV52:BV101)/SQRT(BV132))</f>
        <v>0.0685744266866769</v>
      </c>
      <c r="BW131" s="290" t="n">
        <f aca="false">(_xlfn.STDEV.S(BW52:BW101)/SQRT(BW132))</f>
        <v>0.0623535558536652</v>
      </c>
      <c r="BX131" s="290" t="n">
        <f aca="false">(_xlfn.STDEV.S(BX52:BX101)/SQRT(BX132))</f>
        <v>0.0986474321877949</v>
      </c>
      <c r="BY131" s="290" t="n">
        <f aca="false">(_xlfn.STDEV.S(BY52:BY101)/SQRT(BY132))</f>
        <v>0.130633648212305</v>
      </c>
      <c r="BZ131" s="290" t="n">
        <f aca="false">(_xlfn.STDEV.S(BZ52:BZ101)/SQRT(BZ132))</f>
        <v>0.176626800715385</v>
      </c>
      <c r="CA131" s="290" t="n">
        <f aca="false">(_xlfn.STDEV.S(CA52:CA101)/SQRT(CA132))</f>
        <v>0.226857134636256</v>
      </c>
      <c r="CB131" s="290" t="n">
        <f aca="false">(_xlfn.STDEV.S(CB52:CB101)/SQRT(CB132))</f>
        <v>0.253843794629795</v>
      </c>
      <c r="DA131" s="290" t="n">
        <f aca="false">(_xlfn.STDEV.S(DA52:DA101)/SQRT(DA132))</f>
        <v>2.51966892150725</v>
      </c>
      <c r="DB131" s="290" t="e">
        <f aca="false">(_xlfn.STDEV.S(DB52:DB101)/SQRT(DB132))</f>
        <v>#REF!</v>
      </c>
      <c r="DC131" s="290"/>
      <c r="DD131" s="290"/>
      <c r="DE131" s="290"/>
      <c r="DF131" s="290"/>
      <c r="DG131" s="290" t="e">
        <f aca="false">(_xlfn.STDEV.S(DG74:DG101,DG62:DG72,DG52:DG60)/SQRT(DG132))</f>
        <v>#REF!</v>
      </c>
      <c r="DH131" s="290"/>
      <c r="DI131" s="290" t="e">
        <f aca="false">(_xlfn.STDEV.S(DI52:DI101)/SQRT(DI132))</f>
        <v>#REF!</v>
      </c>
      <c r="DJ131" s="290"/>
      <c r="DO131" s="3" t="s">
        <v>678</v>
      </c>
    </row>
    <row r="132" customFormat="false" ht="15" hidden="false" customHeight="false" outlineLevel="0" collapsed="false">
      <c r="H132" s="3" t="s">
        <v>677</v>
      </c>
      <c r="I132" s="140" t="n">
        <v>50</v>
      </c>
      <c r="J132" s="140" t="n">
        <f aca="false">COUNT(J52:J101)</f>
        <v>50</v>
      </c>
      <c r="K132" s="140" t="n">
        <v>50</v>
      </c>
      <c r="L132" s="140" t="n">
        <v>50</v>
      </c>
      <c r="M132" s="140" t="n">
        <v>50</v>
      </c>
      <c r="N132" s="140" t="n">
        <f aca="false">COUNT(N52:N101)</f>
        <v>50</v>
      </c>
      <c r="O132" s="140"/>
      <c r="P132" s="140"/>
      <c r="Q132" s="140"/>
      <c r="R132" s="140"/>
      <c r="S132" s="140"/>
      <c r="T132" s="140" t="n">
        <v>50</v>
      </c>
      <c r="U132" s="140"/>
      <c r="W132" s="140" t="n">
        <v>50</v>
      </c>
      <c r="Y132" s="140" t="n">
        <v>50</v>
      </c>
      <c r="Z132" s="1"/>
      <c r="AA132" s="3" t="s">
        <v>677</v>
      </c>
      <c r="AB132" s="140" t="n">
        <f aca="false">COUNT(AB52:AB101)</f>
        <v>37</v>
      </c>
      <c r="AC132" s="140" t="n">
        <f aca="false">COUNT(AC52:AC101)</f>
        <v>37</v>
      </c>
      <c r="AD132" s="140" t="n">
        <f aca="false">COUNT(AD52:AD101)</f>
        <v>37</v>
      </c>
      <c r="AE132" s="140" t="n">
        <f aca="false">COUNT(AE52:AE101)</f>
        <v>36</v>
      </c>
      <c r="AF132" s="140" t="n">
        <f aca="false">COUNT(AF52:AF101)</f>
        <v>36</v>
      </c>
      <c r="AG132" s="140" t="n">
        <f aca="false">COUNT(AG52:AG101)</f>
        <v>36</v>
      </c>
      <c r="AH132" s="140" t="n">
        <f aca="false">COUNT(AH52:AH101)</f>
        <v>36</v>
      </c>
      <c r="AI132" s="140" t="n">
        <f aca="false">COUNT(AI52:AI101)</f>
        <v>2</v>
      </c>
      <c r="AJ132" s="140" t="n">
        <f aca="false">COUNT(AJ52:AJ101)</f>
        <v>2</v>
      </c>
      <c r="AK132" s="140" t="n">
        <f aca="false">COUNT(AK52:AK101)</f>
        <v>2</v>
      </c>
      <c r="AL132" s="140" t="n">
        <f aca="false">COUNT(AL52:AL101)</f>
        <v>2</v>
      </c>
      <c r="AM132" s="140" t="n">
        <f aca="false">COUNT(AM52:AM101)</f>
        <v>0</v>
      </c>
      <c r="AN132" s="140" t="n">
        <f aca="false">COUNT(AN52:AN101)</f>
        <v>0</v>
      </c>
      <c r="AO132" s="140" t="n">
        <f aca="false">COUNT(AO52:AO101)</f>
        <v>37</v>
      </c>
      <c r="AP132" s="140"/>
      <c r="AQ132" s="140"/>
      <c r="AR132" s="140"/>
      <c r="AS132" s="140"/>
      <c r="AU132" s="140" t="n">
        <f aca="false">COUNT(AU52:AU101)</f>
        <v>10</v>
      </c>
      <c r="AV132" s="140" t="n">
        <f aca="false">COUNT(AV52:AV101)</f>
        <v>10</v>
      </c>
      <c r="AW132" s="140" t="n">
        <f aca="false">COUNT(AW52:AW101)</f>
        <v>10</v>
      </c>
      <c r="AX132" s="140" t="n">
        <f aca="false">COUNT(AX52:AX101)</f>
        <v>30</v>
      </c>
      <c r="AY132" s="140" t="n">
        <f aca="false">COUNT(AY52:AY101)</f>
        <v>30</v>
      </c>
      <c r="AZ132" s="140" t="n">
        <f aca="false">COUNT(AZ52:AZ101)</f>
        <v>30</v>
      </c>
      <c r="BA132" s="140" t="n">
        <f aca="false">COUNT(BA52:BA101)</f>
        <v>30</v>
      </c>
      <c r="BB132" s="140" t="n">
        <f aca="false">COUNT(BB52:BB101)</f>
        <v>2</v>
      </c>
      <c r="BC132" s="140" t="n">
        <f aca="false">COUNT(BC52:BC101)</f>
        <v>2</v>
      </c>
      <c r="BD132" s="3" t="s">
        <v>677</v>
      </c>
      <c r="BE132" s="140" t="n">
        <f aca="false">COUNT(BE52:BE101)</f>
        <v>2</v>
      </c>
      <c r="BF132" s="140" t="n">
        <f aca="false">COUNT(BF52:BF101)</f>
        <v>31</v>
      </c>
      <c r="BG132" s="140"/>
      <c r="BH132" s="140" t="n">
        <f aca="false">COUNT(BH52:BH101)</f>
        <v>27</v>
      </c>
      <c r="BI132" s="140"/>
      <c r="BJ132" s="140"/>
      <c r="BK132" s="140"/>
      <c r="BL132" s="140" t="n">
        <f aca="false">COUNT(BL52:BL101)</f>
        <v>35</v>
      </c>
      <c r="BM132" s="140" t="n">
        <f aca="false">COUNT(BM52:BM101)</f>
        <v>35</v>
      </c>
      <c r="BN132" s="140" t="n">
        <f aca="false">COUNT(BN52:BN101)</f>
        <v>49</v>
      </c>
      <c r="BO132" s="140" t="n">
        <f aca="false">COUNT(BO52:BO101)</f>
        <v>35</v>
      </c>
      <c r="BP132" s="140"/>
      <c r="BQ132" s="140"/>
      <c r="BR132" s="140" t="n">
        <f aca="false">COUNT(BR52:BR101)</f>
        <v>49</v>
      </c>
      <c r="BS132" s="140" t="n">
        <f aca="false">COUNT(BS52:BS101)</f>
        <v>49</v>
      </c>
      <c r="BT132" s="140" t="n">
        <f aca="false">COUNT(BT52:BT101)</f>
        <v>49</v>
      </c>
      <c r="BU132" s="140" t="n">
        <f aca="false">COUNT(BU52:BU101)</f>
        <v>49</v>
      </c>
      <c r="BV132" s="140" t="n">
        <f aca="false">COUNT(BV52:BV101)</f>
        <v>49</v>
      </c>
      <c r="BW132" s="140" t="n">
        <f aca="false">COUNT(BW52:BW101)</f>
        <v>49</v>
      </c>
      <c r="BX132" s="140" t="n">
        <f aca="false">COUNT(BX52:BX101)</f>
        <v>49</v>
      </c>
      <c r="BY132" s="140" t="n">
        <f aca="false">COUNT(BY52:BY101)</f>
        <v>48</v>
      </c>
      <c r="BZ132" s="140" t="n">
        <f aca="false">COUNT(BZ52:BZ101)</f>
        <v>49</v>
      </c>
      <c r="CA132" s="140" t="n">
        <f aca="false">COUNT(CA52:CA101)</f>
        <v>49</v>
      </c>
      <c r="CB132" s="140" t="n">
        <f aca="false">COUNT(CB52:CB101)</f>
        <v>49</v>
      </c>
      <c r="DA132" s="140" t="n">
        <f aca="false">COUNT(DA52:DA101)</f>
        <v>47</v>
      </c>
      <c r="DB132" s="140" t="n">
        <f aca="false">COUNT(DB52:DB101)</f>
        <v>0</v>
      </c>
      <c r="DC132" s="140"/>
      <c r="DD132" s="140"/>
      <c r="DE132" s="140"/>
      <c r="DF132" s="140"/>
      <c r="DG132" s="140" t="n">
        <f aca="false">COUNT(DG74:DG101,DG62:DG72,DG52:DG60)</f>
        <v>0</v>
      </c>
      <c r="DH132" s="140"/>
      <c r="DI132" s="140" t="n">
        <f aca="false">COUNT(DI52:DI101)</f>
        <v>0</v>
      </c>
      <c r="DJ132" s="140"/>
      <c r="DO132" s="3" t="s">
        <v>679</v>
      </c>
    </row>
    <row r="133" customFormat="false" ht="15" hidden="false" customHeight="false" outlineLevel="0" collapsed="false">
      <c r="H133" s="3" t="s">
        <v>678</v>
      </c>
      <c r="I133" s="290" t="n">
        <v>1.56164383561644</v>
      </c>
      <c r="J133" s="292" t="n">
        <f aca="false">MIN(J52:J101)</f>
        <v>44845</v>
      </c>
      <c r="K133" s="290" t="n">
        <v>49</v>
      </c>
      <c r="L133" s="290" t="n">
        <v>2.75</v>
      </c>
      <c r="M133" s="290" t="n">
        <v>113</v>
      </c>
      <c r="N133" s="290" t="n">
        <f aca="false">MIN(N52:N101)</f>
        <v>173</v>
      </c>
      <c r="O133" s="290"/>
      <c r="P133" s="290"/>
      <c r="Q133" s="290"/>
      <c r="R133" s="290"/>
      <c r="S133" s="290"/>
      <c r="T133" s="290" t="n">
        <v>609</v>
      </c>
      <c r="U133" s="290"/>
      <c r="W133" s="290" t="n">
        <v>0.336704768565862</v>
      </c>
      <c r="Y133" s="290" t="n">
        <v>0.374715167031723</v>
      </c>
      <c r="Z133" s="1"/>
      <c r="AA133" s="3" t="s">
        <v>678</v>
      </c>
      <c r="AB133" s="151" t="n">
        <f aca="false">MIN(AB52:AB101)</f>
        <v>45055.5053240741</v>
      </c>
      <c r="AC133" s="151" t="n">
        <f aca="false">MIN(AC52:AC101)</f>
        <v>45055.6178703704</v>
      </c>
      <c r="AD133" s="290" t="n">
        <f aca="false">MIN(AD52:AD101)</f>
        <v>0</v>
      </c>
      <c r="AE133" s="151" t="n">
        <f aca="false">MIN(AE52:AE101)</f>
        <v>45055.6178703704</v>
      </c>
      <c r="AF133" s="151" t="n">
        <f aca="false">MIN(AF52:AF101)</f>
        <v>45055.6178703704</v>
      </c>
      <c r="AG133" s="290" t="n">
        <f aca="false">MIN(AG52:AG101)</f>
        <v>0</v>
      </c>
      <c r="AH133" s="290" t="n">
        <f aca="false">MIN(AH52:AH101)</f>
        <v>1</v>
      </c>
      <c r="AI133" s="151" t="n">
        <f aca="false">MIN(AI52:AI101)</f>
        <v>45061.8837384259</v>
      </c>
      <c r="AJ133" s="151" t="n">
        <f aca="false">MIN(AJ52:AJ101)</f>
        <v>45062.7802430556</v>
      </c>
      <c r="AK133" s="290" t="n">
        <f aca="false">MIN(AK52:AK101)</f>
        <v>0.00888888887129724</v>
      </c>
      <c r="AL133" s="290" t="n">
        <f aca="false">MIN(AL52:AL101)</f>
        <v>1</v>
      </c>
      <c r="AM133" s="290" t="e">
        <f aca="false">MIN(AM52:AM101)</f>
        <v>#REF!</v>
      </c>
      <c r="AN133" s="290" t="e">
        <f aca="false">MIN(AN52:AN101)</f>
        <v>#REF!</v>
      </c>
      <c r="AO133" s="290" t="n">
        <f aca="false">MIN(AO52:AO101)</f>
        <v>1</v>
      </c>
      <c r="AP133" s="290"/>
      <c r="AQ133" s="151"/>
      <c r="AR133" s="290"/>
      <c r="AS133" s="290"/>
      <c r="AU133" s="151" t="n">
        <f aca="false">MIN(AU52:AU101)</f>
        <v>45067.4845023148</v>
      </c>
      <c r="AV133" s="151" t="n">
        <f aca="false">MIN(AV52:AV101)</f>
        <v>45075.3629398148</v>
      </c>
      <c r="AW133" s="290" t="n">
        <f aca="false">MIN(AW52:AW101)</f>
        <v>116.935833333351</v>
      </c>
      <c r="AX133" s="151" t="n">
        <f aca="false">MIN(AX52:AX101)</f>
        <v>45068.6102314815</v>
      </c>
      <c r="AY133" s="151" t="n">
        <f aca="false">MIN(AY52:AY101)</f>
        <v>45068.6102314815</v>
      </c>
      <c r="AZ133" s="290" t="n">
        <f aca="false">MIN(AZ52:AZ101)</f>
        <v>0</v>
      </c>
      <c r="BA133" s="290" t="n">
        <f aca="false">MIN(BA52:BA101)</f>
        <v>1</v>
      </c>
      <c r="BB133" s="151" t="n">
        <f aca="false">MIN(BB52:BB101)</f>
        <v>45077.4548726852</v>
      </c>
      <c r="BC133" s="151" t="n">
        <f aca="false">MIN(BC52:BC101)</f>
        <v>45077.4557986111</v>
      </c>
      <c r="BD133" s="3" t="s">
        <v>678</v>
      </c>
      <c r="BE133" s="290" t="n">
        <f aca="false">MIN(BE52:BE101)</f>
        <v>1</v>
      </c>
      <c r="BF133" s="290" t="n">
        <f aca="false">MIN(BF52:BF101)</f>
        <v>1</v>
      </c>
      <c r="BG133" s="290"/>
      <c r="BH133" s="290" t="n">
        <f aca="false">MIN(BH52:BH101)</f>
        <v>1</v>
      </c>
      <c r="BI133" s="290"/>
      <c r="BJ133" s="290"/>
      <c r="BK133" s="151"/>
      <c r="BL133" s="290" t="n">
        <f aca="false">MIN(BL52:BL101)</f>
        <v>1</v>
      </c>
      <c r="BM133" s="196" t="n">
        <f aca="false">MIN(BM52:BM101)</f>
        <v>45201</v>
      </c>
      <c r="BN133" s="151" t="n">
        <f aca="false">MIN(BN52:BN101)</f>
        <v>45202.657308912</v>
      </c>
      <c r="BO133" s="290" t="n">
        <f aca="false">MIN(BO52:BO101)</f>
        <v>143.338272106499</v>
      </c>
      <c r="BP133" s="290"/>
      <c r="BQ133" s="151"/>
      <c r="BR133" s="290" t="n">
        <f aca="false">MIN(BR52:BR101)</f>
        <v>0.2</v>
      </c>
      <c r="BS133" s="290" t="n">
        <f aca="false">MIN(BS52:BS101)</f>
        <v>0.2</v>
      </c>
      <c r="BT133" s="290" t="n">
        <f aca="false">MIN(BT52:BT101)</f>
        <v>0.2</v>
      </c>
      <c r="BU133" s="290" t="n">
        <f aca="false">MIN(BU52:BU101)</f>
        <v>0.2</v>
      </c>
      <c r="BV133" s="290" t="n">
        <f aca="false">MIN(BV52:BV101)</f>
        <v>0.2</v>
      </c>
      <c r="BW133" s="290" t="n">
        <f aca="false">MIN(BW52:BW101)</f>
        <v>0.2</v>
      </c>
      <c r="BX133" s="290" t="n">
        <f aca="false">MIN(BX52:BX101)</f>
        <v>0.2</v>
      </c>
      <c r="BY133" s="290" t="n">
        <f aca="false">MIN(BY52:BY101)</f>
        <v>0.2</v>
      </c>
      <c r="BZ133" s="290" t="n">
        <f aca="false">MIN(BZ52:BZ101)</f>
        <v>0.2</v>
      </c>
      <c r="CA133" s="290" t="n">
        <f aca="false">MIN(CA52:CA101)</f>
        <v>0.2</v>
      </c>
      <c r="CB133" s="290" t="n">
        <f aca="false">MIN(CB52:CB101)</f>
        <v>0.2</v>
      </c>
      <c r="DA133" s="290" t="n">
        <f aca="false">MIN(DA52:DA101)</f>
        <v>24</v>
      </c>
      <c r="DB133" s="151" t="e">
        <f aca="false">MIN(DB52:DB101)</f>
        <v>#REF!</v>
      </c>
      <c r="DC133" s="151"/>
      <c r="DD133" s="151"/>
      <c r="DE133" s="151"/>
      <c r="DF133" s="151"/>
      <c r="DG133" s="290" t="e">
        <f aca="false">MIN(DG74:DG101,DG62:DG72,DG52:DG60)</f>
        <v>#REF!</v>
      </c>
      <c r="DH133" s="151"/>
      <c r="DI133" s="290" t="e">
        <f aca="false">MIN(DI52:DI101)</f>
        <v>#REF!</v>
      </c>
      <c r="DJ133" s="290"/>
      <c r="DO133" s="3" t="s">
        <v>680</v>
      </c>
    </row>
    <row r="134" customFormat="false" ht="15" hidden="false" customHeight="false" outlineLevel="0" collapsed="false">
      <c r="H134" s="3" t="s">
        <v>679</v>
      </c>
      <c r="I134" s="290" t="n">
        <v>6.58082191780822</v>
      </c>
      <c r="J134" s="292" t="n">
        <f aca="false">MAX(J52:J101)</f>
        <v>44908</v>
      </c>
      <c r="K134" s="290" t="n">
        <v>84.2</v>
      </c>
      <c r="L134" s="290" t="n">
        <v>4.5</v>
      </c>
      <c r="M134" s="290" t="n">
        <v>210</v>
      </c>
      <c r="N134" s="290" t="n">
        <f aca="false">MAX(N52:N101)</f>
        <v>359</v>
      </c>
      <c r="O134" s="290"/>
      <c r="P134" s="290"/>
      <c r="Q134" s="290"/>
      <c r="R134" s="290"/>
      <c r="S134" s="290"/>
      <c r="T134" s="290" t="n">
        <v>2088</v>
      </c>
      <c r="U134" s="290"/>
      <c r="W134" s="290" t="n">
        <v>0.885002993663695</v>
      </c>
      <c r="Y134" s="290" t="n">
        <v>0.984283752594238</v>
      </c>
      <c r="Z134" s="1"/>
      <c r="AA134" s="3" t="s">
        <v>679</v>
      </c>
      <c r="AB134" s="151" t="n">
        <f aca="false">MAX(AB52:AB101)</f>
        <v>45059.764837963</v>
      </c>
      <c r="AC134" s="151" t="n">
        <f aca="false">MAX(AC52:AC101)</f>
        <v>45066.4579050926</v>
      </c>
      <c r="AD134" s="290" t="n">
        <f aca="false">MAX(AD52:AD101)</f>
        <v>226.572222222341</v>
      </c>
      <c r="AE134" s="151" t="n">
        <f aca="false">MAX(AE52:AE101)</f>
        <v>45059.764837963</v>
      </c>
      <c r="AF134" s="151" t="n">
        <f aca="false">MAX(AF52:AF101)</f>
        <v>45059.7650925926</v>
      </c>
      <c r="AG134" s="290" t="n">
        <f aca="false">MAX(AG52:AG101)</f>
        <v>73.5236111110426</v>
      </c>
      <c r="AH134" s="290" t="n">
        <f aca="false">MAX(AH52:AH101)</f>
        <v>73.5236111110426</v>
      </c>
      <c r="AI134" s="151" t="n">
        <f aca="false">MAX(AI52:AI101)</f>
        <v>45064.680775463</v>
      </c>
      <c r="AJ134" s="151" t="n">
        <f aca="false">MAX(AJ52:AJ101)</f>
        <v>45064.6811458333</v>
      </c>
      <c r="AK134" s="290" t="n">
        <f aca="false">MAX(AK52:AK101)</f>
        <v>21.5161111110938</v>
      </c>
      <c r="AL134" s="290" t="n">
        <f aca="false">MAX(AL52:AL101)</f>
        <v>21.5161111110938</v>
      </c>
      <c r="AM134" s="290" t="e">
        <f aca="false">MAX(AM52:AM101)</f>
        <v>#REF!</v>
      </c>
      <c r="AN134" s="290" t="e">
        <f aca="false">MAX(AN52:AN101)</f>
        <v>#REF!</v>
      </c>
      <c r="AO134" s="290" t="n">
        <f aca="false">MAX(AO52:AO101)</f>
        <v>156</v>
      </c>
      <c r="AP134" s="290"/>
      <c r="AQ134" s="151"/>
      <c r="AR134" s="290"/>
      <c r="AS134" s="290"/>
      <c r="AU134" s="151" t="n">
        <f aca="false">MAX(AU52:AU101)</f>
        <v>45079.5944675926</v>
      </c>
      <c r="AV134" s="151" t="n">
        <f aca="false">MAX(AV52:AV101)</f>
        <v>45089.3280324074</v>
      </c>
      <c r="AW134" s="290" t="n">
        <f aca="false">MAX(AW52:AW101)</f>
        <v>450.881388888869</v>
      </c>
      <c r="AX134" s="151" t="n">
        <f aca="false">MAX(AX52:AX101)</f>
        <v>45086.4802893519</v>
      </c>
      <c r="AY134" s="151" t="n">
        <f aca="false">MAX(AY52:AY101)</f>
        <v>45086.4802893519</v>
      </c>
      <c r="AZ134" s="290" t="n">
        <f aca="false">MAX(AZ52:AZ101)</f>
        <v>95.0697222221643</v>
      </c>
      <c r="BA134" s="290" t="n">
        <f aca="false">MAX(BA52:BA101)</f>
        <v>95.0697222221643</v>
      </c>
      <c r="BB134" s="151" t="n">
        <f aca="false">MAX(BB52:BB101)</f>
        <v>45079.4925925926</v>
      </c>
      <c r="BC134" s="151" t="n">
        <f aca="false">MAX(BC52:BC101)</f>
        <v>45079.4931712963</v>
      </c>
      <c r="BD134" s="3" t="s">
        <v>679</v>
      </c>
      <c r="BE134" s="290" t="n">
        <f aca="false">MAX(BE52:BE101)</f>
        <v>1</v>
      </c>
      <c r="BF134" s="290" t="n">
        <f aca="false">MAX(BF52:BF101)</f>
        <v>103</v>
      </c>
      <c r="BG134" s="290"/>
      <c r="BH134" s="290" t="n">
        <f aca="false">MAX(BH52:BH101)</f>
        <v>2</v>
      </c>
      <c r="BI134" s="290"/>
      <c r="BJ134" s="290"/>
      <c r="BK134" s="151"/>
      <c r="BL134" s="290" t="n">
        <f aca="false">MAX(BL52:BL101)</f>
        <v>2</v>
      </c>
      <c r="BM134" s="196" t="n">
        <f aca="false">MAX(BM52:BM101)</f>
        <v>45254</v>
      </c>
      <c r="BN134" s="151" t="n">
        <f aca="false">MAX(BN52:BN101)</f>
        <v>45231.4712615741</v>
      </c>
      <c r="BO134" s="290" t="n">
        <f aca="false">MAX(BO52:BO101)</f>
        <v>196.3149597222</v>
      </c>
      <c r="BP134" s="290"/>
      <c r="BQ134" s="151"/>
      <c r="BR134" s="290" t="n">
        <f aca="false">MAX(BR52:BR101)</f>
        <v>7.5936</v>
      </c>
      <c r="BS134" s="290" t="n">
        <f aca="false">MAX(BS52:BS101)</f>
        <v>5.397</v>
      </c>
      <c r="BT134" s="290" t="n">
        <f aca="false">MAX(BT52:BT101)</f>
        <v>1.3296</v>
      </c>
      <c r="BU134" s="290" t="n">
        <f aca="false">MAX(BU52:BU101)</f>
        <v>2.4188</v>
      </c>
      <c r="BV134" s="290" t="n">
        <f aca="false">MAX(BV52:BV101)</f>
        <v>1.9596</v>
      </c>
      <c r="BW134" s="290" t="n">
        <f aca="false">MAX(BW52:BW101)</f>
        <v>1.7705</v>
      </c>
      <c r="BX134" s="290" t="n">
        <f aca="false">MAX(BX52:BX101)</f>
        <v>3.4644</v>
      </c>
      <c r="BY134" s="290" t="n">
        <f aca="false">MAX(BY52:BY101)</f>
        <v>4.4499</v>
      </c>
      <c r="BZ134" s="290" t="n">
        <f aca="false">MAX(BZ52:BZ101)</f>
        <v>6.3742</v>
      </c>
      <c r="CA134" s="290" t="n">
        <f aca="false">MAX(CA52:CA101)</f>
        <v>7.6226</v>
      </c>
      <c r="CB134" s="290" t="n">
        <f aca="false">MAX(CB52:CB101)</f>
        <v>7.801</v>
      </c>
      <c r="DA134" s="290" t="n">
        <f aca="false">MAX(DA52:DA101)</f>
        <v>132</v>
      </c>
      <c r="DB134" s="151" t="e">
        <f aca="false">MAX(DB52:DB101)</f>
        <v>#REF!</v>
      </c>
      <c r="DC134" s="151"/>
      <c r="DD134" s="151"/>
      <c r="DE134" s="151"/>
      <c r="DF134" s="151"/>
      <c r="DG134" s="290" t="e">
        <f aca="false">MAX(DG74:DG101,DG62:DG72,DG52:DG60)</f>
        <v>#REF!</v>
      </c>
      <c r="DH134" s="151"/>
      <c r="DI134" s="290" t="e">
        <f aca="false">MAX(DI52:DI101)</f>
        <v>#REF!</v>
      </c>
      <c r="DJ134" s="290"/>
    </row>
    <row r="135" customFormat="false" ht="15" hidden="false" customHeight="false" outlineLevel="0" collapsed="false">
      <c r="H135" s="3" t="s">
        <v>680</v>
      </c>
      <c r="I135" s="290" t="n">
        <v>5.01917808219178</v>
      </c>
      <c r="J135" s="290" t="n">
        <f aca="false">J134-J133</f>
        <v>63</v>
      </c>
      <c r="K135" s="290" t="n">
        <v>35.2</v>
      </c>
      <c r="L135" s="290" t="n">
        <v>1.75</v>
      </c>
      <c r="M135" s="290" t="n">
        <v>97</v>
      </c>
      <c r="N135" s="290" t="n">
        <f aca="false">N134-N133</f>
        <v>186</v>
      </c>
      <c r="O135" s="290"/>
      <c r="P135" s="290"/>
      <c r="Q135" s="290"/>
      <c r="R135" s="290"/>
      <c r="S135" s="290"/>
      <c r="T135" s="290" t="n">
        <v>1479</v>
      </c>
      <c r="U135" s="290"/>
      <c r="W135" s="290" t="n">
        <v>0.548298225097833</v>
      </c>
      <c r="Y135" s="290" t="n">
        <v>0.609568585562515</v>
      </c>
      <c r="Z135" s="1"/>
      <c r="AA135" s="3" t="s">
        <v>680</v>
      </c>
      <c r="AB135" s="290" t="n">
        <f aca="false">AB134-AB133</f>
        <v>4.25951388888889</v>
      </c>
      <c r="AC135" s="290" t="n">
        <f aca="false">AC134-AC133</f>
        <v>10.8400347221991</v>
      </c>
      <c r="AD135" s="290" t="n">
        <f aca="false">AD134-AD133</f>
        <v>226.572222222341</v>
      </c>
      <c r="AE135" s="290" t="n">
        <f aca="false">AE134-AE133</f>
        <v>4.14696759259259</v>
      </c>
      <c r="AF135" s="290" t="n">
        <f aca="false">AF134-AF133</f>
        <v>4.14722222219907</v>
      </c>
      <c r="AG135" s="290" t="n">
        <f aca="false">AG134-AG133</f>
        <v>73.5236111110426</v>
      </c>
      <c r="AH135" s="290" t="n">
        <f aca="false">AH134-AH133</f>
        <v>72.5236111110426</v>
      </c>
      <c r="AI135" s="290" t="n">
        <f aca="false">AI134-AI133</f>
        <v>2.79703703709491</v>
      </c>
      <c r="AJ135" s="290" t="n">
        <f aca="false">AJ134-AJ133</f>
        <v>1.90090277770833</v>
      </c>
      <c r="AK135" s="290" t="n">
        <f aca="false">AK134-AK133</f>
        <v>21.5072222222225</v>
      </c>
      <c r="AL135" s="290" t="n">
        <f aca="false">AL134-AL133</f>
        <v>20.5161111110938</v>
      </c>
      <c r="AM135" s="290" t="e">
        <f aca="false">AM134-AM133</f>
        <v>#REF!</v>
      </c>
      <c r="AN135" s="290" t="e">
        <f aca="false">AN134-AN133</f>
        <v>#REF!</v>
      </c>
      <c r="AO135" s="290" t="n">
        <f aca="false">AO134-AO133</f>
        <v>155</v>
      </c>
      <c r="AP135" s="290"/>
      <c r="AQ135" s="290"/>
      <c r="AR135" s="290"/>
      <c r="AS135" s="290"/>
      <c r="AU135" s="290" t="n">
        <f aca="false">AU134-AU133</f>
        <v>12.1099652778009</v>
      </c>
      <c r="AV135" s="290" t="n">
        <f aca="false">AV134-AV133</f>
        <v>13.9650925925926</v>
      </c>
      <c r="AW135" s="290" t="n">
        <f aca="false">AW134-AW133</f>
        <v>333.945555555518</v>
      </c>
      <c r="AX135" s="290" t="n">
        <f aca="false">AX134-AX133</f>
        <v>17.8700578704051</v>
      </c>
      <c r="AY135" s="290" t="n">
        <f aca="false">AY134-AY133</f>
        <v>17.8700578704051</v>
      </c>
      <c r="AZ135" s="290" t="n">
        <f aca="false">AZ134-AZ133</f>
        <v>95.0697222221643</v>
      </c>
      <c r="BA135" s="290" t="n">
        <f aca="false">BA134-BA133</f>
        <v>94.0697222221643</v>
      </c>
      <c r="BB135" s="290" t="n">
        <f aca="false">BB134-BB133</f>
        <v>2.03771990740741</v>
      </c>
      <c r="BC135" s="290" t="n">
        <f aca="false">BC134-BC133</f>
        <v>2.03737268519676</v>
      </c>
      <c r="BD135" s="3"/>
      <c r="BE135" s="290" t="n">
        <f aca="false">BE134-BE133</f>
        <v>0</v>
      </c>
      <c r="BF135" s="290" t="n">
        <f aca="false">BF134-BF133</f>
        <v>102</v>
      </c>
      <c r="BH135" s="290" t="n">
        <f aca="false">BH134-BH133</f>
        <v>1</v>
      </c>
      <c r="BK135" s="290"/>
      <c r="BL135" s="290" t="n">
        <f aca="false">BL134-BL133</f>
        <v>1</v>
      </c>
      <c r="BN135" s="290" t="n">
        <f aca="false">BN134-BN133</f>
        <v>28.8139526621065</v>
      </c>
      <c r="BO135" s="290" t="n">
        <f aca="false">BO134-BO133</f>
        <v>52.9766876157009</v>
      </c>
      <c r="BP135" s="290"/>
      <c r="BQ135" s="290"/>
      <c r="BR135" s="290" t="n">
        <f aca="false">BR134-BR133</f>
        <v>7.3936</v>
      </c>
      <c r="BS135" s="290" t="n">
        <f aca="false">BS134-BS133</f>
        <v>5.197</v>
      </c>
      <c r="BT135" s="290" t="n">
        <f aca="false">BT134-BT133</f>
        <v>1.1296</v>
      </c>
      <c r="BU135" s="290" t="n">
        <f aca="false">BU134-BU133</f>
        <v>2.2188</v>
      </c>
      <c r="BV135" s="290" t="n">
        <f aca="false">BV134-BV133</f>
        <v>1.7596</v>
      </c>
      <c r="BW135" s="290" t="n">
        <f aca="false">BW134-BW133</f>
        <v>1.5705</v>
      </c>
      <c r="BX135" s="290" t="n">
        <f aca="false">BX134-BX133</f>
        <v>3.2644</v>
      </c>
      <c r="BY135" s="290" t="n">
        <f aca="false">BY134-BY133</f>
        <v>4.2499</v>
      </c>
      <c r="BZ135" s="290" t="n">
        <f aca="false">BZ134-BZ133</f>
        <v>6.1742</v>
      </c>
      <c r="CA135" s="290" t="n">
        <f aca="false">CA134-CA133</f>
        <v>7.4226</v>
      </c>
      <c r="CB135" s="290" t="n">
        <f aca="false">CB134-CB133</f>
        <v>7.601</v>
      </c>
      <c r="DA135" s="290" t="n">
        <f aca="false">DA134-DA133</f>
        <v>108</v>
      </c>
      <c r="DB135" s="290" t="e">
        <f aca="false">DB134-DB133</f>
        <v>#REF!</v>
      </c>
      <c r="DC135" s="290"/>
      <c r="DD135" s="290"/>
      <c r="DE135" s="290"/>
      <c r="DF135" s="290"/>
      <c r="DG135" s="290" t="e">
        <f aca="false">DG134-DG133</f>
        <v>#REF!</v>
      </c>
      <c r="DH135" s="290"/>
      <c r="DI135" s="290" t="e">
        <f aca="false">DI134-DI133</f>
        <v>#REF!</v>
      </c>
      <c r="DO135" s="140" t="s">
        <v>674</v>
      </c>
    </row>
    <row r="136" customFormat="false" ht="15" hidden="false" customHeight="false" outlineLevel="0" collapsed="false">
      <c r="DO136" s="140" t="s">
        <v>675</v>
      </c>
    </row>
    <row r="137" customFormat="false" ht="15" hidden="false" customHeight="false" outlineLevel="0" collapsed="false">
      <c r="G137" s="315" t="s">
        <v>682</v>
      </c>
      <c r="H137" s="140" t="s">
        <v>674</v>
      </c>
      <c r="I137" s="280" t="n">
        <v>3.62778178322519</v>
      </c>
      <c r="J137" s="313" t="n">
        <v>44862.5087719298</v>
      </c>
      <c r="K137" s="280" t="n">
        <v>69.8861403508772</v>
      </c>
      <c r="L137" s="280" t="n">
        <v>3.40350877192982</v>
      </c>
      <c r="M137" s="280" t="n">
        <v>192.491228070175</v>
      </c>
      <c r="N137" s="280" t="n">
        <v>268.614035087719</v>
      </c>
      <c r="O137" s="280"/>
      <c r="P137" s="280"/>
      <c r="Q137" s="280"/>
      <c r="R137" s="280"/>
      <c r="S137" s="280"/>
      <c r="T137" s="280" t="n">
        <v>1451.24561403509</v>
      </c>
      <c r="U137" s="280"/>
      <c r="W137" s="280" t="n">
        <v>0.631501837388057</v>
      </c>
      <c r="Y137" s="280" t="n">
        <v>0.789615441894192</v>
      </c>
      <c r="AB137" s="314" t="n">
        <v>45057.3680090077</v>
      </c>
      <c r="AC137" s="314" t="n">
        <v>45059.6044321156</v>
      </c>
      <c r="AD137" s="280" t="n">
        <v>53.6741545893677</v>
      </c>
      <c r="AE137" s="314" t="n">
        <v>45057.3840805041</v>
      </c>
      <c r="AF137" s="314" t="n">
        <v>45058.0616195988</v>
      </c>
      <c r="AG137" s="280" t="n">
        <v>16.2609382716008</v>
      </c>
      <c r="AH137" s="280" t="n">
        <v>16.5036913580171</v>
      </c>
      <c r="AI137" s="314" t="n">
        <v>45064.680775463</v>
      </c>
      <c r="AJ137" s="314" t="n">
        <v>45064.6811458333</v>
      </c>
      <c r="AK137" s="280" t="n">
        <v>0.00888888887129724</v>
      </c>
      <c r="AL137" s="280" t="n">
        <v>1</v>
      </c>
      <c r="AM137" s="280" t="n">
        <v>47.9679320988207</v>
      </c>
      <c r="AN137" s="280" t="n">
        <v>82.9679320988207</v>
      </c>
      <c r="AO137" s="280" t="n">
        <v>21</v>
      </c>
      <c r="AP137" s="280"/>
      <c r="AQ137" s="280"/>
      <c r="AR137" s="280"/>
      <c r="AS137" s="280"/>
      <c r="AU137" s="314" t="n">
        <v>45074.523343254</v>
      </c>
      <c r="AV137" s="314" t="n">
        <v>45084.6553811177</v>
      </c>
      <c r="AW137" s="280" t="n">
        <v>243.168908730178</v>
      </c>
      <c r="AX137" s="314" t="n">
        <v>45077.2081602734</v>
      </c>
      <c r="AY137" s="314" t="n">
        <v>45077.6470541226</v>
      </c>
      <c r="AZ137" s="280" t="n">
        <v>10.5334523809475</v>
      </c>
      <c r="BA137" s="280" t="n">
        <v>11.1641534391508</v>
      </c>
      <c r="BB137" s="314" t="n">
        <v>45081.8936342593</v>
      </c>
      <c r="BC137" s="314" t="n">
        <v>45083.5192708333</v>
      </c>
      <c r="BE137" s="280" t="n">
        <v>39.0152777778567</v>
      </c>
      <c r="BF137" s="280" t="n">
        <v>9</v>
      </c>
      <c r="BH137" s="280" t="n">
        <v>1.49122807017544</v>
      </c>
      <c r="BK137" s="291"/>
      <c r="BL137" s="280" t="e">
        <f aca="false">#DIV/0!</f>
        <v>#DIV/0!</v>
      </c>
      <c r="BO137" s="280" t="e">
        <f aca="false">#DIV/0!</f>
        <v>#DIV/0!</v>
      </c>
      <c r="BP137" s="280"/>
      <c r="BQ137" s="291"/>
      <c r="BR137" s="280" t="e">
        <f aca="false">#DIV/0!</f>
        <v>#DIV/0!</v>
      </c>
      <c r="BS137" s="280" t="e">
        <f aca="false">#DIV/0!</f>
        <v>#DIV/0!</v>
      </c>
      <c r="BT137" s="280" t="e">
        <f aca="false">#DIV/0!</f>
        <v>#DIV/0!</v>
      </c>
      <c r="BU137" s="280" t="e">
        <f aca="false">#DIV/0!</f>
        <v>#DIV/0!</v>
      </c>
      <c r="BV137" s="280" t="e">
        <f aca="false">#DIV/0!</f>
        <v>#DIV/0!</v>
      </c>
      <c r="BW137" s="280" t="e">
        <f aca="false">#DIV/0!</f>
        <v>#DIV/0!</v>
      </c>
      <c r="BX137" s="280" t="e">
        <f aca="false">#DIV/0!</f>
        <v>#DIV/0!</v>
      </c>
      <c r="BY137" s="280" t="e">
        <f aca="false">#DIV/0!</f>
        <v>#DIV/0!</v>
      </c>
      <c r="BZ137" s="280" t="e">
        <f aca="false">#DIV/0!</f>
        <v>#DIV/0!</v>
      </c>
      <c r="CA137" s="280" t="e">
        <f aca="false">#DIV/0!</f>
        <v>#DIV/0!</v>
      </c>
      <c r="CB137" s="280" t="e">
        <f aca="false">#DIV/0!</f>
        <v>#DIV/0!</v>
      </c>
      <c r="CC137" s="203"/>
      <c r="CD137" s="203"/>
      <c r="CE137" s="203"/>
      <c r="CF137" s="203"/>
      <c r="CG137" s="203"/>
      <c r="CH137" s="203"/>
      <c r="CI137" s="203"/>
      <c r="CJ137" s="203"/>
      <c r="CK137" s="291"/>
      <c r="CL137" s="291"/>
      <c r="CM137" s="291"/>
      <c r="CN137" s="291"/>
      <c r="CO137" s="291"/>
      <c r="CP137" s="291"/>
      <c r="CQ137" s="291"/>
      <c r="CR137" s="291"/>
      <c r="CS137" s="291"/>
      <c r="CT137" s="291"/>
      <c r="CU137" s="291"/>
      <c r="CV137" s="291"/>
      <c r="CW137" s="291"/>
      <c r="CX137" s="291"/>
      <c r="CY137" s="291"/>
      <c r="CZ137" s="291"/>
      <c r="DA137" s="280" t="n">
        <v>53.4736842105263</v>
      </c>
      <c r="DB137" s="314" t="n">
        <v>45057.4780701754</v>
      </c>
      <c r="DC137" s="314"/>
      <c r="DD137" s="314"/>
      <c r="DE137" s="314"/>
      <c r="DF137" s="314"/>
      <c r="DG137" s="280" t="n">
        <v>2.38206790123756</v>
      </c>
      <c r="DH137" s="291"/>
      <c r="DI137" s="280" t="n">
        <v>4.77631578953189</v>
      </c>
      <c r="DN137" s="315" t="s">
        <v>682</v>
      </c>
      <c r="DO137" s="140" t="s">
        <v>676</v>
      </c>
    </row>
    <row r="138" customFormat="false" ht="15" hidden="false" customHeight="false" outlineLevel="0" collapsed="false">
      <c r="H138" s="140" t="s">
        <v>675</v>
      </c>
      <c r="I138" s="280" t="n">
        <v>1.51782927551825</v>
      </c>
      <c r="J138" s="280" t="n">
        <v>19.0423614297717</v>
      </c>
      <c r="K138" s="280" t="n">
        <v>10.5443688008586</v>
      </c>
      <c r="L138" s="280" t="n">
        <v>0.457463859728168</v>
      </c>
      <c r="M138" s="280" t="n">
        <v>19.0423614297717</v>
      </c>
      <c r="N138" s="280" t="n">
        <v>55.1769084678562</v>
      </c>
      <c r="O138" s="280"/>
      <c r="P138" s="280"/>
      <c r="Q138" s="280"/>
      <c r="R138" s="280"/>
      <c r="S138" s="280"/>
      <c r="T138" s="280" t="n">
        <v>295.445685164305</v>
      </c>
      <c r="U138" s="280"/>
      <c r="W138" s="280" t="n">
        <v>0.13718041790545</v>
      </c>
      <c r="Y138" s="280" t="n">
        <v>0.146955740226284</v>
      </c>
      <c r="AB138" s="280" t="n">
        <v>2.25422359269147</v>
      </c>
      <c r="AC138" s="280" t="n">
        <v>3.68352553138752</v>
      </c>
      <c r="AD138" s="280" t="n">
        <v>85.4935966559755</v>
      </c>
      <c r="AE138" s="280" t="n">
        <v>2.26423227665362</v>
      </c>
      <c r="AF138" s="280" t="n">
        <v>2.03767812289978</v>
      </c>
      <c r="AG138" s="280" t="n">
        <v>18.3326906733555</v>
      </c>
      <c r="AH138" s="280" t="n">
        <v>18.1163725368901</v>
      </c>
      <c r="AI138" s="280" t="e">
        <f aca="false">#DIV/0!</f>
        <v>#DIV/0!</v>
      </c>
      <c r="AJ138" s="280" t="e">
        <f aca="false">#DIV/0!</f>
        <v>#DIV/0!</v>
      </c>
      <c r="AK138" s="280" t="e">
        <f aca="false">#DIV/0!</f>
        <v>#DIV/0!</v>
      </c>
      <c r="AL138" s="280" t="e">
        <f aca="false">#DIV/0!</f>
        <v>#DIV/0!</v>
      </c>
      <c r="AM138" s="280" t="n">
        <v>54.341574639687</v>
      </c>
      <c r="AN138" s="280" t="n">
        <v>54.341574639687</v>
      </c>
      <c r="AO138" s="280" t="n">
        <v>30.7050484448405</v>
      </c>
      <c r="AP138" s="280"/>
      <c r="AQ138" s="280"/>
      <c r="AR138" s="280"/>
      <c r="AS138" s="280"/>
      <c r="AU138" s="280" t="n">
        <v>5.4875547330289</v>
      </c>
      <c r="AV138" s="280" t="n">
        <v>4.25520069766867</v>
      </c>
      <c r="AW138" s="280" t="n">
        <v>130.425259598519</v>
      </c>
      <c r="AX138" s="280" t="n">
        <v>5.63161567829884</v>
      </c>
      <c r="AY138" s="280" t="n">
        <v>5.32337375210441</v>
      </c>
      <c r="AZ138" s="280" t="n">
        <v>23.6095371528594</v>
      </c>
      <c r="BA138" s="280" t="n">
        <v>23.3181670898687</v>
      </c>
      <c r="BB138" s="280" t="n">
        <v>3.86355288498225</v>
      </c>
      <c r="BC138" s="280" t="n">
        <v>5.54193302933939</v>
      </c>
      <c r="BE138" s="280" t="n">
        <v>40.2811234645713</v>
      </c>
      <c r="BF138" s="280" t="n">
        <v>21.820819144756</v>
      </c>
      <c r="BH138" s="280" t="n">
        <v>0.570801661123067</v>
      </c>
      <c r="BK138" s="291"/>
      <c r="BL138" s="280" t="e">
        <f aca="false">#DIV/0!</f>
        <v>#DIV/0!</v>
      </c>
      <c r="BO138" s="280" t="e">
        <f aca="false">#DIV/0!</f>
        <v>#DIV/0!</v>
      </c>
      <c r="BP138" s="280"/>
      <c r="BQ138" s="291"/>
      <c r="BR138" s="280" t="e">
        <f aca="false">#DIV/0!</f>
        <v>#DIV/0!</v>
      </c>
      <c r="BS138" s="280" t="e">
        <f aca="false">#DIV/0!</f>
        <v>#DIV/0!</v>
      </c>
      <c r="BT138" s="280" t="e">
        <f aca="false">#DIV/0!</f>
        <v>#DIV/0!</v>
      </c>
      <c r="BU138" s="280" t="e">
        <f aca="false">#DIV/0!</f>
        <v>#DIV/0!</v>
      </c>
      <c r="BV138" s="280" t="e">
        <f aca="false">#DIV/0!</f>
        <v>#DIV/0!</v>
      </c>
      <c r="BW138" s="280" t="e">
        <f aca="false">#DIV/0!</f>
        <v>#DIV/0!</v>
      </c>
      <c r="BX138" s="280" t="e">
        <f aca="false">#DIV/0!</f>
        <v>#DIV/0!</v>
      </c>
      <c r="BY138" s="280" t="e">
        <f aca="false">#DIV/0!</f>
        <v>#DIV/0!</v>
      </c>
      <c r="BZ138" s="280" t="e">
        <f aca="false">#DIV/0!</f>
        <v>#DIV/0!</v>
      </c>
      <c r="CA138" s="280" t="e">
        <f aca="false">#DIV/0!</f>
        <v>#DIV/0!</v>
      </c>
      <c r="CB138" s="280" t="e">
        <f aca="false">#DIV/0!</f>
        <v>#DIV/0!</v>
      </c>
      <c r="CC138" s="203"/>
      <c r="CD138" s="203"/>
      <c r="CE138" s="203"/>
      <c r="CF138" s="203"/>
      <c r="CG138" s="203"/>
      <c r="CH138" s="203"/>
      <c r="CI138" s="203"/>
      <c r="CJ138" s="203"/>
      <c r="CK138" s="291"/>
      <c r="CL138" s="291"/>
      <c r="CM138" s="291"/>
      <c r="CN138" s="291"/>
      <c r="CO138" s="291"/>
      <c r="CP138" s="291"/>
      <c r="CQ138" s="291"/>
      <c r="CR138" s="291"/>
      <c r="CS138" s="291"/>
      <c r="CT138" s="291"/>
      <c r="CU138" s="291"/>
      <c r="CV138" s="291"/>
      <c r="CW138" s="291"/>
      <c r="CX138" s="291"/>
      <c r="CY138" s="291"/>
      <c r="CZ138" s="291"/>
      <c r="DA138" s="280" t="n">
        <v>8.50652116059433</v>
      </c>
      <c r="DB138" s="280" t="n">
        <v>0.35443838169143</v>
      </c>
      <c r="DC138" s="280"/>
      <c r="DD138" s="280"/>
      <c r="DE138" s="280"/>
      <c r="DF138" s="280"/>
      <c r="DG138" s="280" t="n">
        <v>55.5609794855291</v>
      </c>
      <c r="DH138" s="291"/>
      <c r="DI138" s="280" t="n">
        <v>8.50652116059433</v>
      </c>
      <c r="DO138" s="3" t="s">
        <v>677</v>
      </c>
    </row>
    <row r="139" customFormat="false" ht="15" hidden="false" customHeight="false" outlineLevel="0" collapsed="false">
      <c r="H139" s="140" t="s">
        <v>676</v>
      </c>
      <c r="I139" s="280" t="n">
        <v>0.201041398792452</v>
      </c>
      <c r="J139" s="280" t="n">
        <v>2.52222238686599</v>
      </c>
      <c r="K139" s="280" t="n">
        <v>1.39663576615644</v>
      </c>
      <c r="L139" s="280" t="n">
        <v>0.0605925684397823</v>
      </c>
      <c r="M139" s="280" t="n">
        <v>2.52222238686599</v>
      </c>
      <c r="N139" s="280" t="n">
        <v>7.30836006284917</v>
      </c>
      <c r="O139" s="280"/>
      <c r="P139" s="280"/>
      <c r="Q139" s="280"/>
      <c r="R139" s="280"/>
      <c r="S139" s="280"/>
      <c r="T139" s="280" t="n">
        <v>39.1327369755374</v>
      </c>
      <c r="U139" s="280"/>
      <c r="W139" s="280" t="n">
        <v>0.0181699902271474</v>
      </c>
      <c r="Y139" s="280" t="n">
        <v>0.0194647632986158</v>
      </c>
      <c r="AB139" s="280" t="n">
        <v>0.33236713611695</v>
      </c>
      <c r="AC139" s="280" t="n">
        <v>0.543106209894283</v>
      </c>
      <c r="AD139" s="280" t="n">
        <v>12.6053431296748</v>
      </c>
      <c r="AE139" s="280" t="n">
        <v>0.337531819163108</v>
      </c>
      <c r="AF139" s="280" t="n">
        <v>0.303759119937872</v>
      </c>
      <c r="AG139" s="280" t="n">
        <v>2.73287617040662</v>
      </c>
      <c r="AH139" s="280" t="n">
        <v>2.70062936654645</v>
      </c>
      <c r="AI139" s="280" t="e">
        <f aca="false">#DIV/0!</f>
        <v>#DIV/0!</v>
      </c>
      <c r="AJ139" s="280" t="e">
        <f aca="false">#DIV/0!</f>
        <v>#DIV/0!</v>
      </c>
      <c r="AK139" s="280" t="e">
        <f aca="false">#DIV/0!</f>
        <v>#DIV/0!</v>
      </c>
      <c r="AL139" s="280" t="e">
        <f aca="false">#DIV/0!</f>
        <v>#DIV/0!</v>
      </c>
      <c r="AM139" s="280" t="n">
        <v>8.10076365991458</v>
      </c>
      <c r="AN139" s="280" t="n">
        <v>8.10076365991458</v>
      </c>
      <c r="AO139" s="280" t="n">
        <v>4.52721240653816</v>
      </c>
      <c r="AP139" s="280"/>
      <c r="AQ139" s="280"/>
      <c r="AR139" s="280"/>
      <c r="AS139" s="280"/>
      <c r="AU139" s="280" t="n">
        <v>1.46661069301171</v>
      </c>
      <c r="AV139" s="280" t="n">
        <v>1.13725022304554</v>
      </c>
      <c r="AW139" s="280" t="n">
        <v>34.8576168570504</v>
      </c>
      <c r="AX139" s="280" t="n">
        <v>1.22891929193831</v>
      </c>
      <c r="AY139" s="280" t="n">
        <v>1.16165538912188</v>
      </c>
      <c r="AZ139" s="280" t="n">
        <v>5.15202338694525</v>
      </c>
      <c r="BA139" s="280" t="n">
        <v>5.0884412265215</v>
      </c>
      <c r="BB139" s="280" t="n">
        <v>2.7319444444438</v>
      </c>
      <c r="BC139" s="280" t="n">
        <v>3.91873842592759</v>
      </c>
      <c r="BE139" s="280" t="n">
        <v>28.4830555556109</v>
      </c>
      <c r="BF139" s="280" t="n">
        <v>4.12374720433867</v>
      </c>
      <c r="BH139" s="280" t="n">
        <v>0.0756045269623978</v>
      </c>
      <c r="BK139" s="291"/>
      <c r="BL139" s="280" t="e">
        <f aca="false">#DIV/0!</f>
        <v>#DIV/0!</v>
      </c>
      <c r="BO139" s="280" t="e">
        <f aca="false">#DIV/0!</f>
        <v>#DIV/0!</v>
      </c>
      <c r="BP139" s="280"/>
      <c r="BQ139" s="291"/>
      <c r="BR139" s="280" t="e">
        <f aca="false">#DIV/0!</f>
        <v>#DIV/0!</v>
      </c>
      <c r="BS139" s="280" t="e">
        <f aca="false">#DIV/0!</f>
        <v>#DIV/0!</v>
      </c>
      <c r="BT139" s="280" t="e">
        <f aca="false">#DIV/0!</f>
        <v>#DIV/0!</v>
      </c>
      <c r="BU139" s="280" t="e">
        <f aca="false">#DIV/0!</f>
        <v>#DIV/0!</v>
      </c>
      <c r="BV139" s="280" t="e">
        <f aca="false">#DIV/0!</f>
        <v>#DIV/0!</v>
      </c>
      <c r="BW139" s="280" t="e">
        <f aca="false">#DIV/0!</f>
        <v>#DIV/0!</v>
      </c>
      <c r="BX139" s="280" t="e">
        <f aca="false">#DIV/0!</f>
        <v>#DIV/0!</v>
      </c>
      <c r="BY139" s="280" t="e">
        <f aca="false">#DIV/0!</f>
        <v>#DIV/0!</v>
      </c>
      <c r="BZ139" s="280" t="e">
        <f aca="false">#DIV/0!</f>
        <v>#DIV/0!</v>
      </c>
      <c r="CA139" s="280" t="e">
        <f aca="false">#DIV/0!</f>
        <v>#DIV/0!</v>
      </c>
      <c r="CB139" s="280" t="e">
        <f aca="false">#DIV/0!</f>
        <v>#DIV/0!</v>
      </c>
      <c r="CC139" s="203"/>
      <c r="CD139" s="203"/>
      <c r="CE139" s="203"/>
      <c r="CF139" s="203"/>
      <c r="CG139" s="203"/>
      <c r="CH139" s="203"/>
      <c r="CI139" s="203"/>
      <c r="CJ139" s="203"/>
      <c r="CK139" s="291"/>
      <c r="CL139" s="291"/>
      <c r="CM139" s="291"/>
      <c r="CN139" s="291"/>
      <c r="CO139" s="291"/>
      <c r="CP139" s="291"/>
      <c r="CQ139" s="291"/>
      <c r="CR139" s="291"/>
      <c r="CS139" s="291"/>
      <c r="CT139" s="291"/>
      <c r="CU139" s="291"/>
      <c r="CV139" s="291"/>
      <c r="CW139" s="291"/>
      <c r="CX139" s="291"/>
      <c r="CY139" s="291"/>
      <c r="CZ139" s="291"/>
      <c r="DA139" s="280" t="n">
        <v>1.12671625232657</v>
      </c>
      <c r="DB139" s="280" t="n">
        <v>0.046946510513607</v>
      </c>
      <c r="DC139" s="280"/>
      <c r="DD139" s="280"/>
      <c r="DE139" s="280"/>
      <c r="DF139" s="280"/>
      <c r="DG139" s="280" t="n">
        <v>8.28254180174096</v>
      </c>
      <c r="DH139" s="291"/>
      <c r="DI139" s="280" t="n">
        <v>1.12671625232657</v>
      </c>
      <c r="DO139" s="3" t="s">
        <v>678</v>
      </c>
    </row>
    <row r="140" customFormat="false" ht="15" hidden="false" customHeight="false" outlineLevel="0" collapsed="false">
      <c r="H140" s="3" t="s">
        <v>677</v>
      </c>
      <c r="I140" s="280" t="n">
        <v>57</v>
      </c>
      <c r="J140" s="280" t="n">
        <v>57</v>
      </c>
      <c r="K140" s="280" t="n">
        <v>57</v>
      </c>
      <c r="L140" s="280" t="n">
        <v>57</v>
      </c>
      <c r="M140" s="280" t="n">
        <v>57</v>
      </c>
      <c r="N140" s="280" t="n">
        <v>57</v>
      </c>
      <c r="O140" s="280"/>
      <c r="P140" s="280"/>
      <c r="Q140" s="280"/>
      <c r="R140" s="280"/>
      <c r="S140" s="280"/>
      <c r="T140" s="280" t="n">
        <v>57</v>
      </c>
      <c r="U140" s="280"/>
      <c r="W140" s="280" t="n">
        <v>57</v>
      </c>
      <c r="Y140" s="280" t="n">
        <v>57</v>
      </c>
      <c r="AB140" s="280" t="n">
        <v>46</v>
      </c>
      <c r="AC140" s="280" t="n">
        <v>46</v>
      </c>
      <c r="AD140" s="280" t="n">
        <v>46</v>
      </c>
      <c r="AE140" s="280" t="n">
        <v>45</v>
      </c>
      <c r="AF140" s="280" t="n">
        <v>45</v>
      </c>
      <c r="AG140" s="280" t="n">
        <v>45</v>
      </c>
      <c r="AH140" s="280" t="n">
        <v>45</v>
      </c>
      <c r="AI140" s="280" t="n">
        <v>1</v>
      </c>
      <c r="AJ140" s="280" t="n">
        <v>1</v>
      </c>
      <c r="AK140" s="280" t="n">
        <v>1</v>
      </c>
      <c r="AL140" s="280" t="n">
        <v>1</v>
      </c>
      <c r="AM140" s="280" t="n">
        <v>45</v>
      </c>
      <c r="AN140" s="280" t="n">
        <v>45</v>
      </c>
      <c r="AO140" s="280" t="n">
        <v>46</v>
      </c>
      <c r="AP140" s="280"/>
      <c r="AQ140" s="280"/>
      <c r="AR140" s="280"/>
      <c r="AS140" s="280"/>
      <c r="AU140" s="280" t="n">
        <v>14</v>
      </c>
      <c r="AV140" s="280" t="n">
        <v>14</v>
      </c>
      <c r="AW140" s="280" t="n">
        <v>14</v>
      </c>
      <c r="AX140" s="280" t="n">
        <v>21</v>
      </c>
      <c r="AY140" s="280" t="n">
        <v>21</v>
      </c>
      <c r="AZ140" s="280" t="n">
        <v>21</v>
      </c>
      <c r="BA140" s="280" t="n">
        <v>21</v>
      </c>
      <c r="BB140" s="280" t="n">
        <v>2</v>
      </c>
      <c r="BC140" s="280" t="n">
        <v>2</v>
      </c>
      <c r="BE140" s="280" t="n">
        <v>2</v>
      </c>
      <c r="BF140" s="280" t="n">
        <v>28</v>
      </c>
      <c r="BH140" s="280" t="n">
        <v>57</v>
      </c>
      <c r="BK140" s="291"/>
      <c r="BL140" s="280" t="n">
        <v>0</v>
      </c>
      <c r="BO140" s="280" t="n">
        <v>0</v>
      </c>
      <c r="BP140" s="280"/>
      <c r="BQ140" s="291"/>
      <c r="BR140" s="280" t="n">
        <v>0</v>
      </c>
      <c r="BS140" s="280" t="n">
        <v>0</v>
      </c>
      <c r="BT140" s="280" t="n">
        <v>0</v>
      </c>
      <c r="BU140" s="280" t="n">
        <v>0</v>
      </c>
      <c r="BV140" s="280" t="n">
        <v>0</v>
      </c>
      <c r="BW140" s="280" t="n">
        <v>0</v>
      </c>
      <c r="BX140" s="280" t="n">
        <v>0</v>
      </c>
      <c r="BY140" s="280" t="n">
        <v>0</v>
      </c>
      <c r="BZ140" s="280" t="n">
        <v>0</v>
      </c>
      <c r="CA140" s="280" t="n">
        <v>0</v>
      </c>
      <c r="CB140" s="280" t="n">
        <v>0</v>
      </c>
      <c r="CC140" s="203"/>
      <c r="CD140" s="203"/>
      <c r="CE140" s="203"/>
      <c r="CF140" s="203"/>
      <c r="CG140" s="203"/>
      <c r="CH140" s="203"/>
      <c r="CI140" s="203"/>
      <c r="CJ140" s="203"/>
      <c r="CK140" s="291"/>
      <c r="CL140" s="291"/>
      <c r="CM140" s="291"/>
      <c r="CN140" s="291"/>
      <c r="CO140" s="291"/>
      <c r="CP140" s="291"/>
      <c r="CQ140" s="291"/>
      <c r="CR140" s="291"/>
      <c r="CS140" s="291"/>
      <c r="CT140" s="291"/>
      <c r="CU140" s="291"/>
      <c r="CV140" s="291"/>
      <c r="CW140" s="291"/>
      <c r="CX140" s="291"/>
      <c r="CY140" s="291"/>
      <c r="CZ140" s="291"/>
      <c r="DA140" s="280" t="n">
        <v>57</v>
      </c>
      <c r="DB140" s="280" t="n">
        <v>57</v>
      </c>
      <c r="DC140" s="280"/>
      <c r="DD140" s="280"/>
      <c r="DE140" s="280"/>
      <c r="DF140" s="280"/>
      <c r="DG140" s="280" t="n">
        <v>45</v>
      </c>
      <c r="DH140" s="291"/>
      <c r="DI140" s="280" t="n">
        <v>57</v>
      </c>
      <c r="DO140" s="3" t="s">
        <v>679</v>
      </c>
    </row>
    <row r="141" customFormat="false" ht="15" hidden="false" customHeight="false" outlineLevel="0" collapsed="false">
      <c r="H141" s="3" t="s">
        <v>678</v>
      </c>
      <c r="I141" s="280" t="n">
        <v>1.56164383561644</v>
      </c>
      <c r="J141" s="313" t="n">
        <v>44846</v>
      </c>
      <c r="K141" s="280" t="n">
        <v>47.5</v>
      </c>
      <c r="L141" s="280" t="n">
        <v>2.5</v>
      </c>
      <c r="M141" s="280" t="n">
        <v>147</v>
      </c>
      <c r="N141" s="280" t="n">
        <v>171</v>
      </c>
      <c r="O141" s="280"/>
      <c r="P141" s="280"/>
      <c r="Q141" s="280"/>
      <c r="R141" s="280"/>
      <c r="S141" s="280"/>
      <c r="T141" s="280" t="n">
        <v>812</v>
      </c>
      <c r="U141" s="280"/>
      <c r="W141" s="280" t="n">
        <v>0.350101173234667</v>
      </c>
      <c r="Y141" s="280" t="n">
        <v>0.420058257003801</v>
      </c>
      <c r="AB141" s="314" t="n">
        <v>45055.5361689815</v>
      </c>
      <c r="AC141" s="314" t="n">
        <v>45055.6178703704</v>
      </c>
      <c r="AD141" s="280" t="n">
        <v>0</v>
      </c>
      <c r="AE141" s="314" t="n">
        <v>45055.5361689815</v>
      </c>
      <c r="AF141" s="314" t="n">
        <v>45055.6178703704</v>
      </c>
      <c r="AG141" s="280" t="n">
        <v>0</v>
      </c>
      <c r="AH141" s="280" t="n">
        <v>1</v>
      </c>
      <c r="AI141" s="314" t="n">
        <v>45064.680775463</v>
      </c>
      <c r="AJ141" s="314" t="n">
        <v>45064.6811458333</v>
      </c>
      <c r="AK141" s="280" t="n">
        <v>0.00888888887129724</v>
      </c>
      <c r="AL141" s="280" t="n">
        <v>1</v>
      </c>
      <c r="AM141" s="280" t="n">
        <v>3.61805555562023</v>
      </c>
      <c r="AN141" s="280" t="n">
        <v>38.6180555556202</v>
      </c>
      <c r="AO141" s="280" t="n">
        <v>1</v>
      </c>
      <c r="AP141" s="280"/>
      <c r="AQ141" s="280"/>
      <c r="AR141" s="280"/>
      <c r="AS141" s="280"/>
      <c r="AU141" s="314" t="n">
        <v>45067.4180787037</v>
      </c>
      <c r="AV141" s="314" t="n">
        <v>45077.2418865741</v>
      </c>
      <c r="AW141" s="280" t="n">
        <v>48.3325000000186</v>
      </c>
      <c r="AX141" s="314" t="n">
        <v>45068.6102314815</v>
      </c>
      <c r="AY141" s="314" t="n">
        <v>45068.6102314815</v>
      </c>
      <c r="AZ141" s="280" t="n">
        <v>0</v>
      </c>
      <c r="BA141" s="280" t="n">
        <v>1</v>
      </c>
      <c r="BB141" s="314" t="n">
        <v>45079.1616898148</v>
      </c>
      <c r="BC141" s="314" t="n">
        <v>45079.6005324074</v>
      </c>
      <c r="BE141" s="280" t="n">
        <v>10.5322222222458</v>
      </c>
      <c r="BF141" s="280" t="n">
        <v>1</v>
      </c>
      <c r="BH141" s="280" t="n">
        <v>1</v>
      </c>
      <c r="BK141" s="291"/>
      <c r="BL141" s="280" t="n">
        <v>0</v>
      </c>
      <c r="BO141" s="280" t="n">
        <v>0</v>
      </c>
      <c r="BP141" s="280"/>
      <c r="BQ141" s="291"/>
      <c r="BR141" s="280" t="n">
        <v>0</v>
      </c>
      <c r="BS141" s="280" t="n">
        <v>0</v>
      </c>
      <c r="BT141" s="280" t="n">
        <v>0</v>
      </c>
      <c r="BU141" s="280" t="n">
        <v>0</v>
      </c>
      <c r="BV141" s="280" t="n">
        <v>0</v>
      </c>
      <c r="BW141" s="280" t="n">
        <v>0</v>
      </c>
      <c r="BX141" s="280" t="n">
        <v>0</v>
      </c>
      <c r="BY141" s="280" t="n">
        <v>0</v>
      </c>
      <c r="BZ141" s="280" t="n">
        <v>0</v>
      </c>
      <c r="CA141" s="280" t="n">
        <v>0</v>
      </c>
      <c r="CB141" s="280" t="n">
        <v>0</v>
      </c>
      <c r="CC141" s="203"/>
      <c r="CD141" s="203"/>
      <c r="CE141" s="203"/>
      <c r="CF141" s="203"/>
      <c r="CG141" s="203"/>
      <c r="CH141" s="203"/>
      <c r="CI141" s="203"/>
      <c r="CJ141" s="203"/>
      <c r="CK141" s="291"/>
      <c r="CL141" s="291"/>
      <c r="CM141" s="291"/>
      <c r="CN141" s="291"/>
      <c r="CO141" s="291"/>
      <c r="CP141" s="291"/>
      <c r="CQ141" s="291"/>
      <c r="CR141" s="291"/>
      <c r="CS141" s="291"/>
      <c r="CT141" s="291"/>
      <c r="CU141" s="291"/>
      <c r="CV141" s="291"/>
      <c r="CW141" s="291"/>
      <c r="CX141" s="291"/>
      <c r="CY141" s="291"/>
      <c r="CZ141" s="291"/>
      <c r="DA141" s="280" t="n">
        <v>48</v>
      </c>
      <c r="DB141" s="314" t="n">
        <v>45057.25</v>
      </c>
      <c r="DC141" s="314"/>
      <c r="DD141" s="314"/>
      <c r="DE141" s="314"/>
      <c r="DF141" s="314"/>
      <c r="DG141" s="280" t="n">
        <v>-227.151388888888</v>
      </c>
      <c r="DH141" s="291"/>
      <c r="DI141" s="280" t="n">
        <v>-25.7499999999418</v>
      </c>
      <c r="DO141" s="3" t="s">
        <v>680</v>
      </c>
    </row>
    <row r="142" customFormat="false" ht="15" hidden="false" customHeight="false" outlineLevel="0" collapsed="false">
      <c r="H142" s="3" t="s">
        <v>679</v>
      </c>
      <c r="I142" s="280" t="n">
        <v>6.58082191780822</v>
      </c>
      <c r="J142" s="313" t="n">
        <v>44908</v>
      </c>
      <c r="K142" s="280" t="n">
        <v>95</v>
      </c>
      <c r="L142" s="280" t="n">
        <v>4.5</v>
      </c>
      <c r="M142" s="280" t="n">
        <v>209</v>
      </c>
      <c r="N142" s="280" t="n">
        <v>359</v>
      </c>
      <c r="O142" s="280"/>
      <c r="P142" s="280"/>
      <c r="Q142" s="280"/>
      <c r="R142" s="280"/>
      <c r="S142" s="280"/>
      <c r="T142" s="280" t="n">
        <v>2030</v>
      </c>
      <c r="U142" s="280"/>
      <c r="W142" s="280" t="n">
        <v>0.88826360074165</v>
      </c>
      <c r="Y142" s="280" t="n">
        <v>0.984104754795769</v>
      </c>
      <c r="AB142" s="314" t="n">
        <v>45066.7146412037</v>
      </c>
      <c r="AC142" s="314" t="n">
        <v>45066.7146412037</v>
      </c>
      <c r="AD142" s="280" t="n">
        <v>262.369999999995</v>
      </c>
      <c r="AE142" s="314" t="n">
        <v>45066.7146412037</v>
      </c>
      <c r="AF142" s="314" t="n">
        <v>45066.7146412037</v>
      </c>
      <c r="AG142" s="280" t="n">
        <v>65.8205555555178</v>
      </c>
      <c r="AH142" s="280" t="n">
        <v>65.8205555555178</v>
      </c>
      <c r="AI142" s="314" t="n">
        <v>45064.680775463</v>
      </c>
      <c r="AJ142" s="314" t="n">
        <v>45064.6811458333</v>
      </c>
      <c r="AK142" s="280" t="n">
        <v>0.00888888887129724</v>
      </c>
      <c r="AL142" s="280" t="n">
        <v>1</v>
      </c>
      <c r="AM142" s="280" t="n">
        <v>271.901388888946</v>
      </c>
      <c r="AN142" s="280" t="n">
        <v>306.901388888946</v>
      </c>
      <c r="AO142" s="280" t="n">
        <v>156</v>
      </c>
      <c r="AP142" s="280"/>
      <c r="AQ142" s="280"/>
      <c r="AR142" s="280"/>
      <c r="AS142" s="280"/>
      <c r="AU142" s="314" t="n">
        <v>45086.4492592593</v>
      </c>
      <c r="AV142" s="314" t="n">
        <v>45089.3995138889</v>
      </c>
      <c r="AW142" s="280" t="n">
        <v>478.764999999956</v>
      </c>
      <c r="AX142" s="314" t="n">
        <v>45087.3660532407</v>
      </c>
      <c r="AY142" s="314" t="n">
        <v>45087.3666203704</v>
      </c>
      <c r="AZ142" s="280" t="n">
        <v>84.9622222222388</v>
      </c>
      <c r="BA142" s="280" t="n">
        <v>84.9622222222388</v>
      </c>
      <c r="BB142" s="314" t="n">
        <v>45084.6255787037</v>
      </c>
      <c r="BC142" s="314" t="n">
        <v>45087.4380092593</v>
      </c>
      <c r="BE142" s="280" t="n">
        <v>67.4983333334676</v>
      </c>
      <c r="BF142" s="280" t="n">
        <v>104</v>
      </c>
      <c r="BH142" s="280" t="n">
        <v>3</v>
      </c>
      <c r="BK142" s="291"/>
      <c r="BL142" s="280" t="n">
        <v>0</v>
      </c>
      <c r="BO142" s="280" t="n">
        <v>0</v>
      </c>
      <c r="BP142" s="280"/>
      <c r="BQ142" s="291"/>
      <c r="BR142" s="280" t="n">
        <v>0</v>
      </c>
      <c r="BS142" s="280" t="n">
        <v>0</v>
      </c>
      <c r="BT142" s="280" t="n">
        <v>0</v>
      </c>
      <c r="BU142" s="280" t="n">
        <v>0</v>
      </c>
      <c r="BV142" s="280" t="n">
        <v>0</v>
      </c>
      <c r="BW142" s="280" t="n">
        <v>0</v>
      </c>
      <c r="BX142" s="280" t="n">
        <v>0</v>
      </c>
      <c r="BY142" s="280" t="n">
        <v>0</v>
      </c>
      <c r="BZ142" s="280" t="n">
        <v>0</v>
      </c>
      <c r="CA142" s="280" t="n">
        <v>0</v>
      </c>
      <c r="CB142" s="280" t="n">
        <v>0</v>
      </c>
      <c r="CC142" s="203"/>
      <c r="CD142" s="203"/>
      <c r="CE142" s="203"/>
      <c r="CF142" s="203"/>
      <c r="CG142" s="203"/>
      <c r="CH142" s="203"/>
      <c r="CI142" s="203"/>
      <c r="CJ142" s="203"/>
      <c r="CK142" s="291"/>
      <c r="CL142" s="291"/>
      <c r="CM142" s="291"/>
      <c r="CN142" s="291"/>
      <c r="CO142" s="291"/>
      <c r="CP142" s="291"/>
      <c r="CQ142" s="291"/>
      <c r="CR142" s="291"/>
      <c r="CS142" s="291"/>
      <c r="CT142" s="291"/>
      <c r="CU142" s="291"/>
      <c r="CV142" s="291"/>
      <c r="CW142" s="291"/>
      <c r="CX142" s="291"/>
      <c r="CY142" s="291"/>
      <c r="CZ142" s="291"/>
      <c r="DA142" s="280" t="n">
        <v>84</v>
      </c>
      <c r="DB142" s="314" t="n">
        <v>45058.75</v>
      </c>
      <c r="DC142" s="314"/>
      <c r="DD142" s="314"/>
      <c r="DE142" s="314"/>
      <c r="DF142" s="314"/>
      <c r="DG142" s="280" t="n">
        <v>65.131944444438</v>
      </c>
      <c r="DH142" s="291"/>
      <c r="DI142" s="280" t="n">
        <v>10.2500000000582</v>
      </c>
    </row>
    <row r="143" customFormat="false" ht="15" hidden="false" customHeight="false" outlineLevel="0" collapsed="false">
      <c r="H143" s="3" t="s">
        <v>680</v>
      </c>
      <c r="I143" s="280" t="n">
        <v>5.01917808219178</v>
      </c>
      <c r="J143" s="280" t="n">
        <v>62</v>
      </c>
      <c r="K143" s="280" t="n">
        <v>47.5</v>
      </c>
      <c r="L143" s="280" t="n">
        <v>2</v>
      </c>
      <c r="M143" s="280" t="n">
        <v>62</v>
      </c>
      <c r="N143" s="280" t="n">
        <v>188</v>
      </c>
      <c r="O143" s="280"/>
      <c r="P143" s="280"/>
      <c r="Q143" s="280"/>
      <c r="R143" s="280"/>
      <c r="S143" s="280"/>
      <c r="T143" s="280" t="n">
        <v>1218</v>
      </c>
      <c r="U143" s="280"/>
      <c r="W143" s="280" t="n">
        <v>0.538162427506983</v>
      </c>
      <c r="Y143" s="280" t="n">
        <v>0.564046497791968</v>
      </c>
      <c r="AB143" s="280" t="n">
        <v>11.1784722222219</v>
      </c>
      <c r="AC143" s="280" t="n">
        <v>11.0967708333337</v>
      </c>
      <c r="AD143" s="280" t="n">
        <v>262.369999999995</v>
      </c>
      <c r="AE143" s="280" t="n">
        <v>11.1784722222219</v>
      </c>
      <c r="AF143" s="280" t="n">
        <v>11.0967708333337</v>
      </c>
      <c r="AG143" s="280" t="n">
        <v>65.8205555555178</v>
      </c>
      <c r="AH143" s="280" t="n">
        <v>64.8205555555178</v>
      </c>
      <c r="AI143" s="280" t="n">
        <v>0</v>
      </c>
      <c r="AJ143" s="280" t="n">
        <v>0</v>
      </c>
      <c r="AK143" s="280" t="n">
        <v>0</v>
      </c>
      <c r="AL143" s="280" t="n">
        <v>0</v>
      </c>
      <c r="AM143" s="280" t="n">
        <v>268.283333333326</v>
      </c>
      <c r="AN143" s="280" t="n">
        <v>268.283333333326</v>
      </c>
      <c r="AO143" s="280" t="n">
        <v>155</v>
      </c>
      <c r="AP143" s="280"/>
      <c r="AQ143" s="280"/>
      <c r="AR143" s="280"/>
      <c r="AS143" s="280"/>
      <c r="AU143" s="280" t="n">
        <v>19.0311805555539</v>
      </c>
      <c r="AV143" s="280" t="n">
        <v>12.1576273148094</v>
      </c>
      <c r="AW143" s="280" t="n">
        <v>430.432499999937</v>
      </c>
      <c r="AX143" s="280" t="n">
        <v>18.7558217592596</v>
      </c>
      <c r="AY143" s="280" t="n">
        <v>18.7563888888908</v>
      </c>
      <c r="AZ143" s="280" t="n">
        <v>84.9622222222388</v>
      </c>
      <c r="BA143" s="280" t="n">
        <v>83.9622222222388</v>
      </c>
      <c r="BB143" s="280" t="n">
        <v>5.4638888888876</v>
      </c>
      <c r="BC143" s="280" t="n">
        <v>7.83747685185517</v>
      </c>
      <c r="BE143" s="280" t="n">
        <v>56.9661111112218</v>
      </c>
      <c r="BF143" s="280" t="n">
        <v>103</v>
      </c>
      <c r="BH143" s="280" t="n">
        <v>2</v>
      </c>
      <c r="BK143" s="291"/>
      <c r="BL143" s="280" t="n">
        <v>0</v>
      </c>
      <c r="BO143" s="280" t="n">
        <v>0</v>
      </c>
      <c r="BP143" s="280"/>
      <c r="BQ143" s="291"/>
      <c r="BR143" s="280" t="n">
        <v>0</v>
      </c>
      <c r="BS143" s="280" t="n">
        <v>0</v>
      </c>
      <c r="BT143" s="280" t="n">
        <v>0</v>
      </c>
      <c r="BU143" s="280" t="n">
        <v>0</v>
      </c>
      <c r="BV143" s="280" t="n">
        <v>0</v>
      </c>
      <c r="BW143" s="280" t="n">
        <v>0</v>
      </c>
      <c r="BX143" s="280" t="n">
        <v>0</v>
      </c>
      <c r="BY143" s="280" t="n">
        <v>0</v>
      </c>
      <c r="BZ143" s="280" t="n">
        <v>0</v>
      </c>
      <c r="CA143" s="280" t="n">
        <v>0</v>
      </c>
      <c r="CB143" s="280" t="n">
        <v>0</v>
      </c>
      <c r="CC143" s="203"/>
      <c r="CD143" s="203"/>
      <c r="CE143" s="203"/>
      <c r="CF143" s="203"/>
      <c r="CG143" s="203"/>
      <c r="CH143" s="203"/>
      <c r="CI143" s="203"/>
      <c r="CJ143" s="203"/>
      <c r="CK143" s="291"/>
      <c r="CL143" s="291"/>
      <c r="CM143" s="291"/>
      <c r="CN143" s="291"/>
      <c r="CO143" s="291"/>
      <c r="CP143" s="291"/>
      <c r="CQ143" s="291"/>
      <c r="CR143" s="291"/>
      <c r="CS143" s="291"/>
      <c r="CT143" s="291"/>
      <c r="CU143" s="291"/>
      <c r="CV143" s="291"/>
      <c r="CW143" s="291"/>
      <c r="CX143" s="291"/>
      <c r="CY143" s="291"/>
      <c r="CZ143" s="291"/>
      <c r="DA143" s="280" t="n">
        <v>36</v>
      </c>
      <c r="DB143" s="280" t="n">
        <v>1.5</v>
      </c>
      <c r="DC143" s="280"/>
      <c r="DD143" s="280"/>
      <c r="DE143" s="280"/>
      <c r="DF143" s="280"/>
      <c r="DG143" s="280" t="n">
        <v>292.283333333326</v>
      </c>
      <c r="DH143" s="291"/>
      <c r="DI143" s="280" t="n">
        <v>36</v>
      </c>
      <c r="DO143" s="140" t="s">
        <v>674</v>
      </c>
    </row>
    <row r="144" customFormat="false" ht="15" hidden="false" customHeight="false" outlineLevel="0" collapsed="false">
      <c r="DO144" s="140" t="s">
        <v>675</v>
      </c>
    </row>
    <row r="145" customFormat="false" ht="15" hidden="false" customHeight="false" outlineLevel="0" collapsed="false">
      <c r="G145" s="315" t="s">
        <v>683</v>
      </c>
      <c r="H145" s="140" t="s">
        <v>674</v>
      </c>
      <c r="I145" s="280" t="n">
        <v>3.06203522504893</v>
      </c>
      <c r="J145" s="313" t="n">
        <v>44868.9285714286</v>
      </c>
      <c r="K145" s="280" t="n">
        <v>66.0778571428571</v>
      </c>
      <c r="L145" s="280" t="n">
        <v>3.30952380952381</v>
      </c>
      <c r="M145" s="280" t="n">
        <v>186.071428571429</v>
      </c>
      <c r="N145" s="280" t="n">
        <v>255.571428571429</v>
      </c>
      <c r="O145" s="280"/>
      <c r="P145" s="280"/>
      <c r="Q145" s="280"/>
      <c r="R145" s="280"/>
      <c r="S145" s="280"/>
      <c r="T145" s="280" t="n">
        <v>1423.7619047619</v>
      </c>
      <c r="U145" s="280"/>
      <c r="W145" s="280" t="n">
        <v>0.587531534715777</v>
      </c>
      <c r="Y145" s="280" t="n">
        <v>0.730004174319128</v>
      </c>
      <c r="AB145" s="314" t="n">
        <v>45057.3153419952</v>
      </c>
      <c r="AC145" s="314" t="n">
        <v>45059.5696079749</v>
      </c>
      <c r="AD145" s="280" t="n">
        <v>54.1023835125267</v>
      </c>
      <c r="AE145" s="314" t="n">
        <v>45057.6867256944</v>
      </c>
      <c r="AF145" s="314" t="n">
        <v>45058.3409641204</v>
      </c>
      <c r="AG145" s="280" t="n">
        <v>15.7017222222232</v>
      </c>
      <c r="AH145" s="280" t="n">
        <v>15.9009629629669</v>
      </c>
      <c r="AI145" s="314" t="n">
        <v>45061.8837384259</v>
      </c>
      <c r="AJ145" s="314" t="n">
        <v>45062.7802430556</v>
      </c>
      <c r="AK145" s="280" t="n">
        <v>21.5161111110938</v>
      </c>
      <c r="AL145" s="280" t="n">
        <v>21.5161111110938</v>
      </c>
      <c r="AM145" s="280" t="n">
        <v>55.2314166667231</v>
      </c>
      <c r="AN145" s="280" t="n">
        <v>90.2314166667231</v>
      </c>
      <c r="AO145" s="280" t="n">
        <v>16.9677419354839</v>
      </c>
      <c r="AP145" s="280"/>
      <c r="AQ145" s="280"/>
      <c r="AR145" s="280"/>
      <c r="AS145" s="280"/>
      <c r="AU145" s="314" t="n">
        <v>45071.9333163127</v>
      </c>
      <c r="AV145" s="314" t="n">
        <v>45080.8687166394</v>
      </c>
      <c r="AW145" s="280" t="n">
        <v>214.449607843119</v>
      </c>
      <c r="AX145" s="314" t="n">
        <v>45074.4951133578</v>
      </c>
      <c r="AY145" s="314" t="n">
        <v>45075.1797732843</v>
      </c>
      <c r="AZ145" s="280" t="n">
        <v>16.4318382353025</v>
      </c>
      <c r="BA145" s="280" t="n">
        <v>16.6608660130827</v>
      </c>
      <c r="BB145" s="314" t="n">
        <v>45077.2561944444</v>
      </c>
      <c r="BC145" s="314" t="n">
        <v>45077.4518402778</v>
      </c>
      <c r="BE145" s="280" t="n">
        <v>5.08827777775005</v>
      </c>
      <c r="BF145" s="280" t="n">
        <v>26.2571428571429</v>
      </c>
      <c r="BH145" s="280" t="e">
        <f aca="false">#DIV/0!</f>
        <v>#DIV/0!</v>
      </c>
      <c r="BK145" s="291"/>
      <c r="BL145" s="280" t="e">
        <f aca="false">#DIV/0!</f>
        <v>#DIV/0!</v>
      </c>
      <c r="BO145" s="280" t="e">
        <f aca="false">#DIV/0!</f>
        <v>#DIV/0!</v>
      </c>
      <c r="BP145" s="280"/>
      <c r="BQ145" s="291"/>
      <c r="BR145" s="280" t="e">
        <f aca="false">#DIV/0!</f>
        <v>#DIV/0!</v>
      </c>
      <c r="BS145" s="280" t="e">
        <f aca="false">#DIV/0!</f>
        <v>#DIV/0!</v>
      </c>
      <c r="BT145" s="280" t="e">
        <f aca="false">#DIV/0!</f>
        <v>#DIV/0!</v>
      </c>
      <c r="BU145" s="280" t="e">
        <f aca="false">#DIV/0!</f>
        <v>#DIV/0!</v>
      </c>
      <c r="BV145" s="280" t="e">
        <f aca="false">#DIV/0!</f>
        <v>#DIV/0!</v>
      </c>
      <c r="BW145" s="280" t="e">
        <f aca="false">#DIV/0!</f>
        <v>#DIV/0!</v>
      </c>
      <c r="BX145" s="280" t="e">
        <f aca="false">#DIV/0!</f>
        <v>#DIV/0!</v>
      </c>
      <c r="BY145" s="280" t="e">
        <f aca="false">#DIV/0!</f>
        <v>#DIV/0!</v>
      </c>
      <c r="BZ145" s="280" t="e">
        <f aca="false">#DIV/0!</f>
        <v>#DIV/0!</v>
      </c>
      <c r="CA145" s="280" t="e">
        <f aca="false">#DIV/0!</f>
        <v>#DIV/0!</v>
      </c>
      <c r="CB145" s="280" t="e">
        <f aca="false">#DIV/0!</f>
        <v>#DIV/0!</v>
      </c>
      <c r="CC145" s="203"/>
      <c r="CD145" s="203"/>
      <c r="CE145" s="203"/>
      <c r="CF145" s="203"/>
      <c r="CG145" s="203"/>
      <c r="CH145" s="203"/>
      <c r="CI145" s="203"/>
      <c r="CJ145" s="203"/>
      <c r="CK145" s="291"/>
      <c r="CL145" s="291"/>
      <c r="CM145" s="291"/>
      <c r="CN145" s="291"/>
      <c r="CO145" s="291"/>
      <c r="CP145" s="291"/>
      <c r="CQ145" s="291"/>
      <c r="CR145" s="291"/>
      <c r="CS145" s="291"/>
      <c r="CT145" s="291"/>
      <c r="CU145" s="291"/>
      <c r="CV145" s="291"/>
      <c r="CW145" s="291"/>
      <c r="CX145" s="291"/>
      <c r="CY145" s="291"/>
      <c r="CZ145" s="291"/>
      <c r="DA145" s="280" t="n">
        <v>62.8421052631579</v>
      </c>
      <c r="DB145" s="314" t="n">
        <v>45057.8684210526</v>
      </c>
      <c r="DC145" s="314"/>
      <c r="DD145" s="314"/>
      <c r="DE145" s="314"/>
      <c r="DF145" s="314"/>
      <c r="DG145" s="280" t="n">
        <v>-2.23967078189728</v>
      </c>
      <c r="DH145" s="291"/>
      <c r="DI145" s="280" t="n">
        <v>-4.59210526309969</v>
      </c>
      <c r="DN145" s="315" t="s">
        <v>683</v>
      </c>
      <c r="DO145" s="140" t="s">
        <v>676</v>
      </c>
    </row>
    <row r="146" customFormat="false" ht="15" hidden="false" customHeight="false" outlineLevel="0" collapsed="false">
      <c r="H146" s="140" t="s">
        <v>675</v>
      </c>
      <c r="I146" s="280" t="n">
        <v>1.47943582194366</v>
      </c>
      <c r="J146" s="280" t="n">
        <v>21.319169041994</v>
      </c>
      <c r="K146" s="280" t="n">
        <v>8.77733487405432</v>
      </c>
      <c r="L146" s="280" t="n">
        <v>0.301467567975779</v>
      </c>
      <c r="M146" s="280" t="n">
        <v>21.319169041994</v>
      </c>
      <c r="N146" s="280" t="n">
        <v>50.6591396695182</v>
      </c>
      <c r="O146" s="280"/>
      <c r="P146" s="280"/>
      <c r="Q146" s="280"/>
      <c r="R146" s="280"/>
      <c r="S146" s="280"/>
      <c r="T146" s="280" t="n">
        <v>314.142643499057</v>
      </c>
      <c r="U146" s="280"/>
      <c r="W146" s="280" t="n">
        <v>0.172001475350588</v>
      </c>
      <c r="Y146" s="280" t="n">
        <v>0.199106539799281</v>
      </c>
      <c r="AB146" s="280" t="n">
        <v>2.40804497646581</v>
      </c>
      <c r="AC146" s="280" t="n">
        <v>3.57182020766167</v>
      </c>
      <c r="AD146" s="280" t="n">
        <v>74.8681417848516</v>
      </c>
      <c r="AE146" s="280" t="n">
        <v>2.70187913067172</v>
      </c>
      <c r="AF146" s="280" t="n">
        <v>2.49424359314629</v>
      </c>
      <c r="AG146" s="280" t="n">
        <v>19.9751526745982</v>
      </c>
      <c r="AH146" s="280" t="n">
        <v>19.8166581581658</v>
      </c>
      <c r="AI146" s="280" t="e">
        <f aca="false">#DIV/0!</f>
        <v>#DIV/0!</v>
      </c>
      <c r="AJ146" s="280" t="e">
        <f aca="false">#DIV/0!</f>
        <v>#DIV/0!</v>
      </c>
      <c r="AK146" s="280" t="e">
        <f aca="false">#DIV/0!</f>
        <v>#DIV/0!</v>
      </c>
      <c r="AL146" s="280" t="e">
        <f aca="false">#DIV/0!</f>
        <v>#DIV/0!</v>
      </c>
      <c r="AM146" s="280" t="n">
        <v>64.8450991361212</v>
      </c>
      <c r="AN146" s="280" t="n">
        <v>64.8450991361212</v>
      </c>
      <c r="AO146" s="280" t="n">
        <v>21.515085980102</v>
      </c>
      <c r="AP146" s="280"/>
      <c r="AQ146" s="280"/>
      <c r="AR146" s="280"/>
      <c r="AS146" s="280"/>
      <c r="AU146" s="280" t="n">
        <v>3.08669799368543</v>
      </c>
      <c r="AV146" s="280" t="n">
        <v>4.83482016524125</v>
      </c>
      <c r="AW146" s="280" t="n">
        <v>93.8892257945618</v>
      </c>
      <c r="AX146" s="280" t="n">
        <v>3.86755336136985</v>
      </c>
      <c r="AY146" s="280" t="n">
        <v>3.75133417532127</v>
      </c>
      <c r="AZ146" s="280" t="n">
        <v>22.7043923875716</v>
      </c>
      <c r="BA146" s="280" t="n">
        <v>22.537639876411</v>
      </c>
      <c r="BB146" s="280" t="n">
        <v>2.25820455961201</v>
      </c>
      <c r="BC146" s="280" t="n">
        <v>2.05324571420978</v>
      </c>
      <c r="BE146" s="280" t="n">
        <v>6.16033389921409</v>
      </c>
      <c r="BF146" s="280" t="n">
        <v>29.6770290025833</v>
      </c>
      <c r="BH146" s="280" t="e">
        <f aca="false">#DIV/0!</f>
        <v>#DIV/0!</v>
      </c>
      <c r="BK146" s="291"/>
      <c r="BL146" s="280" t="e">
        <f aca="false">#DIV/0!</f>
        <v>#DIV/0!</v>
      </c>
      <c r="BO146" s="280" t="e">
        <f aca="false">#DIV/0!</f>
        <v>#DIV/0!</v>
      </c>
      <c r="BP146" s="280"/>
      <c r="BQ146" s="291"/>
      <c r="BR146" s="280" t="e">
        <f aca="false">#DIV/0!</f>
        <v>#DIV/0!</v>
      </c>
      <c r="BS146" s="280" t="e">
        <f aca="false">#DIV/0!</f>
        <v>#DIV/0!</v>
      </c>
      <c r="BT146" s="280" t="e">
        <f aca="false">#DIV/0!</f>
        <v>#DIV/0!</v>
      </c>
      <c r="BU146" s="280" t="e">
        <f aca="false">#DIV/0!</f>
        <v>#DIV/0!</v>
      </c>
      <c r="BV146" s="280" t="e">
        <f aca="false">#DIV/0!</f>
        <v>#DIV/0!</v>
      </c>
      <c r="BW146" s="280" t="e">
        <f aca="false">#DIV/0!</f>
        <v>#DIV/0!</v>
      </c>
      <c r="BX146" s="280" t="e">
        <f aca="false">#DIV/0!</f>
        <v>#DIV/0!</v>
      </c>
      <c r="BY146" s="280" t="e">
        <f aca="false">#DIV/0!</f>
        <v>#DIV/0!</v>
      </c>
      <c r="BZ146" s="280" t="e">
        <f aca="false">#DIV/0!</f>
        <v>#DIV/0!</v>
      </c>
      <c r="CA146" s="280" t="e">
        <f aca="false">#DIV/0!</f>
        <v>#DIV/0!</v>
      </c>
      <c r="CB146" s="280" t="e">
        <f aca="false">#DIV/0!</f>
        <v>#DIV/0!</v>
      </c>
      <c r="CC146" s="203"/>
      <c r="CD146" s="203"/>
      <c r="CE146" s="203"/>
      <c r="CF146" s="203"/>
      <c r="CG146" s="203"/>
      <c r="CH146" s="203"/>
      <c r="CI146" s="203"/>
      <c r="CJ146" s="203"/>
      <c r="CK146" s="291"/>
      <c r="CL146" s="291"/>
      <c r="CM146" s="291"/>
      <c r="CN146" s="291"/>
      <c r="CO146" s="291"/>
      <c r="CP146" s="291"/>
      <c r="CQ146" s="291"/>
      <c r="CR146" s="291"/>
      <c r="CS146" s="291"/>
      <c r="CT146" s="291"/>
      <c r="CU146" s="291"/>
      <c r="CV146" s="291"/>
      <c r="CW146" s="291"/>
      <c r="CX146" s="291"/>
      <c r="CY146" s="291"/>
      <c r="CZ146" s="291"/>
      <c r="DA146" s="280" t="n">
        <v>22.5682464272134</v>
      </c>
      <c r="DB146" s="280" t="n">
        <v>0.940343601133892</v>
      </c>
      <c r="DC146" s="280"/>
      <c r="DD146" s="280"/>
      <c r="DE146" s="280"/>
      <c r="DF146" s="280"/>
      <c r="DG146" s="280" t="n">
        <v>63.0243606793216</v>
      </c>
      <c r="DH146" s="291"/>
      <c r="DI146" s="280" t="n">
        <v>22.5682464272134</v>
      </c>
      <c r="DO146" s="3" t="s">
        <v>677</v>
      </c>
    </row>
    <row r="147" customFormat="false" ht="15" hidden="false" customHeight="false" outlineLevel="0" collapsed="false">
      <c r="H147" s="140" t="s">
        <v>676</v>
      </c>
      <c r="I147" s="280" t="n">
        <v>0.228281903379827</v>
      </c>
      <c r="J147" s="280" t="n">
        <v>3.28961920158779</v>
      </c>
      <c r="K147" s="280" t="n">
        <v>1.35437217480568</v>
      </c>
      <c r="L147" s="280" t="n">
        <v>0.0465174556435874</v>
      </c>
      <c r="M147" s="280" t="n">
        <v>3.28961920158779</v>
      </c>
      <c r="N147" s="280" t="n">
        <v>7.81687495720416</v>
      </c>
      <c r="O147" s="280"/>
      <c r="P147" s="280"/>
      <c r="Q147" s="280"/>
      <c r="R147" s="280"/>
      <c r="S147" s="280"/>
      <c r="T147" s="280" t="n">
        <v>48.4732622578517</v>
      </c>
      <c r="U147" s="280"/>
      <c r="W147" s="280" t="n">
        <v>0.0265404038450179</v>
      </c>
      <c r="Y147" s="280" t="n">
        <v>0.0307228060903897</v>
      </c>
      <c r="AB147" s="280" t="n">
        <v>0.432497645292201</v>
      </c>
      <c r="AC147" s="280" t="n">
        <v>0.641517847182411</v>
      </c>
      <c r="AD147" s="280" t="n">
        <v>13.4467152174517</v>
      </c>
      <c r="AE147" s="280" t="n">
        <v>0.493293382507116</v>
      </c>
      <c r="AF147" s="280" t="n">
        <v>0.455384493292987</v>
      </c>
      <c r="AG147" s="280" t="n">
        <v>3.64694723649569</v>
      </c>
      <c r="AH147" s="280" t="n">
        <v>3.61801022919873</v>
      </c>
      <c r="AI147" s="280" t="e">
        <f aca="false">#DIV/0!</f>
        <v>#DIV/0!</v>
      </c>
      <c r="AJ147" s="280" t="e">
        <f aca="false">#DIV/0!</f>
        <v>#DIV/0!</v>
      </c>
      <c r="AK147" s="280" t="e">
        <f aca="false">#DIV/0!</f>
        <v>#DIV/0!</v>
      </c>
      <c r="AL147" s="280" t="e">
        <f aca="false">#DIV/0!</f>
        <v>#DIV/0!</v>
      </c>
      <c r="AM147" s="280" t="n">
        <v>11.8390411801708</v>
      </c>
      <c r="AN147" s="280" t="n">
        <v>11.8390411801708</v>
      </c>
      <c r="AO147" s="280" t="n">
        <v>3.86422351558825</v>
      </c>
      <c r="AP147" s="280"/>
      <c r="AQ147" s="280"/>
      <c r="AR147" s="280"/>
      <c r="AS147" s="280"/>
      <c r="AU147" s="280" t="n">
        <v>0.748634227196891</v>
      </c>
      <c r="AV147" s="280" t="n">
        <v>1.17261613071505</v>
      </c>
      <c r="AW147" s="280" t="n">
        <v>22.7714820622614</v>
      </c>
      <c r="AX147" s="280" t="n">
        <v>0.663279929438084</v>
      </c>
      <c r="AY147" s="280" t="n">
        <v>0.643348503464338</v>
      </c>
      <c r="AZ147" s="280" t="n">
        <v>3.89377117098888</v>
      </c>
      <c r="BA147" s="280" t="n">
        <v>3.86517335125587</v>
      </c>
      <c r="BB147" s="280" t="n">
        <v>1.00989978047848</v>
      </c>
      <c r="BC147" s="280" t="n">
        <v>0.918239398296633</v>
      </c>
      <c r="BE147" s="280" t="n">
        <v>2.75498507254781</v>
      </c>
      <c r="BF147" s="280" t="n">
        <v>5.01633346584697</v>
      </c>
      <c r="BH147" s="280" t="e">
        <f aca="false">#DIV/0!</f>
        <v>#DIV/0!</v>
      </c>
      <c r="BK147" s="291"/>
      <c r="BL147" s="280" t="e">
        <f aca="false">#DIV/0!</f>
        <v>#DIV/0!</v>
      </c>
      <c r="BO147" s="280" t="e">
        <f aca="false">#DIV/0!</f>
        <v>#DIV/0!</v>
      </c>
      <c r="BP147" s="280"/>
      <c r="BQ147" s="291"/>
      <c r="BR147" s="280" t="e">
        <f aca="false">#DIV/0!</f>
        <v>#DIV/0!</v>
      </c>
      <c r="BS147" s="280" t="e">
        <f aca="false">#DIV/0!</f>
        <v>#DIV/0!</v>
      </c>
      <c r="BT147" s="280" t="e">
        <f aca="false">#DIV/0!</f>
        <v>#DIV/0!</v>
      </c>
      <c r="BU147" s="280" t="e">
        <f aca="false">#DIV/0!</f>
        <v>#DIV/0!</v>
      </c>
      <c r="BV147" s="280" t="e">
        <f aca="false">#DIV/0!</f>
        <v>#DIV/0!</v>
      </c>
      <c r="BW147" s="280" t="e">
        <f aca="false">#DIV/0!</f>
        <v>#DIV/0!</v>
      </c>
      <c r="BX147" s="280" t="e">
        <f aca="false">#DIV/0!</f>
        <v>#DIV/0!</v>
      </c>
      <c r="BY147" s="280" t="e">
        <f aca="false">#DIV/0!</f>
        <v>#DIV/0!</v>
      </c>
      <c r="BZ147" s="280" t="e">
        <f aca="false">#DIV/0!</f>
        <v>#DIV/0!</v>
      </c>
      <c r="CA147" s="280" t="e">
        <f aca="false">#DIV/0!</f>
        <v>#DIV/0!</v>
      </c>
      <c r="CB147" s="280" t="e">
        <f aca="false">#DIV/0!</f>
        <v>#DIV/0!</v>
      </c>
      <c r="CC147" s="203"/>
      <c r="CD147" s="203"/>
      <c r="CE147" s="203"/>
      <c r="CF147" s="203"/>
      <c r="CG147" s="203"/>
      <c r="CH147" s="203"/>
      <c r="CI147" s="203"/>
      <c r="CJ147" s="203"/>
      <c r="CK147" s="291"/>
      <c r="CL147" s="291"/>
      <c r="CM147" s="291"/>
      <c r="CN147" s="291"/>
      <c r="CO147" s="291"/>
      <c r="CP147" s="291"/>
      <c r="CQ147" s="291"/>
      <c r="CR147" s="291"/>
      <c r="CS147" s="291"/>
      <c r="CT147" s="291"/>
      <c r="CU147" s="291"/>
      <c r="CV147" s="291"/>
      <c r="CW147" s="291"/>
      <c r="CX147" s="291"/>
      <c r="CY147" s="291"/>
      <c r="CZ147" s="291"/>
      <c r="DA147" s="280" t="n">
        <v>3.66105300785182</v>
      </c>
      <c r="DB147" s="280" t="n">
        <v>0.152543875327159</v>
      </c>
      <c r="DC147" s="280"/>
      <c r="DD147" s="280"/>
      <c r="DE147" s="280"/>
      <c r="DF147" s="280"/>
      <c r="DG147" s="280" t="n">
        <v>12.1290438679035</v>
      </c>
      <c r="DH147" s="291"/>
      <c r="DI147" s="280" t="n">
        <v>3.66105300785181</v>
      </c>
      <c r="DO147" s="3" t="s">
        <v>678</v>
      </c>
    </row>
    <row r="148" customFormat="false" ht="15" hidden="false" customHeight="false" outlineLevel="0" collapsed="false">
      <c r="H148" s="3" t="s">
        <v>677</v>
      </c>
      <c r="I148" s="280" t="n">
        <v>42</v>
      </c>
      <c r="J148" s="280" t="n">
        <v>42</v>
      </c>
      <c r="K148" s="280" t="n">
        <v>42</v>
      </c>
      <c r="L148" s="280" t="n">
        <v>42</v>
      </c>
      <c r="M148" s="280" t="n">
        <v>42</v>
      </c>
      <c r="N148" s="280" t="n">
        <v>42</v>
      </c>
      <c r="O148" s="280"/>
      <c r="P148" s="280"/>
      <c r="Q148" s="280"/>
      <c r="R148" s="280"/>
      <c r="S148" s="280"/>
      <c r="T148" s="280" t="n">
        <v>42</v>
      </c>
      <c r="U148" s="280"/>
      <c r="W148" s="280" t="n">
        <v>42</v>
      </c>
      <c r="Y148" s="280" t="n">
        <v>42</v>
      </c>
      <c r="AB148" s="280" t="n">
        <v>31</v>
      </c>
      <c r="AC148" s="280" t="n">
        <v>31</v>
      </c>
      <c r="AD148" s="280" t="n">
        <v>31</v>
      </c>
      <c r="AE148" s="280" t="n">
        <v>30</v>
      </c>
      <c r="AF148" s="280" t="n">
        <v>30</v>
      </c>
      <c r="AG148" s="280" t="n">
        <v>30</v>
      </c>
      <c r="AH148" s="280" t="n">
        <v>30</v>
      </c>
      <c r="AI148" s="280" t="n">
        <v>1</v>
      </c>
      <c r="AJ148" s="280" t="n">
        <v>1</v>
      </c>
      <c r="AK148" s="280" t="n">
        <v>1</v>
      </c>
      <c r="AL148" s="280" t="n">
        <v>1</v>
      </c>
      <c r="AM148" s="280" t="n">
        <v>30</v>
      </c>
      <c r="AN148" s="280" t="n">
        <v>30</v>
      </c>
      <c r="AO148" s="280" t="n">
        <v>31</v>
      </c>
      <c r="AP148" s="280"/>
      <c r="AQ148" s="280"/>
      <c r="AR148" s="280"/>
      <c r="AS148" s="280"/>
      <c r="AU148" s="280" t="n">
        <v>17</v>
      </c>
      <c r="AV148" s="280" t="n">
        <v>17</v>
      </c>
      <c r="AW148" s="280" t="n">
        <v>17</v>
      </c>
      <c r="AX148" s="280" t="n">
        <v>34</v>
      </c>
      <c r="AY148" s="280" t="n">
        <v>34</v>
      </c>
      <c r="AZ148" s="280" t="n">
        <v>34</v>
      </c>
      <c r="BA148" s="280" t="n">
        <v>34</v>
      </c>
      <c r="BB148" s="280" t="n">
        <v>5</v>
      </c>
      <c r="BC148" s="280" t="n">
        <v>5</v>
      </c>
      <c r="BE148" s="280" t="n">
        <v>5</v>
      </c>
      <c r="BF148" s="280" t="n">
        <v>35</v>
      </c>
      <c r="BH148" s="280" t="n">
        <v>0</v>
      </c>
      <c r="BK148" s="291"/>
      <c r="BL148" s="280" t="n">
        <v>0</v>
      </c>
      <c r="BO148" s="280" t="n">
        <v>0</v>
      </c>
      <c r="BP148" s="280"/>
      <c r="BQ148" s="291"/>
      <c r="BR148" s="280" t="n">
        <v>0</v>
      </c>
      <c r="BS148" s="280" t="n">
        <v>0</v>
      </c>
      <c r="BT148" s="280" t="n">
        <v>0</v>
      </c>
      <c r="BU148" s="280" t="n">
        <v>0</v>
      </c>
      <c r="BV148" s="280" t="n">
        <v>0</v>
      </c>
      <c r="BW148" s="280" t="n">
        <v>0</v>
      </c>
      <c r="BX148" s="280" t="n">
        <v>0</v>
      </c>
      <c r="BY148" s="280" t="n">
        <v>0</v>
      </c>
      <c r="BZ148" s="280" t="n">
        <v>0</v>
      </c>
      <c r="CA148" s="280" t="n">
        <v>0</v>
      </c>
      <c r="CB148" s="280" t="n">
        <v>0</v>
      </c>
      <c r="CC148" s="203"/>
      <c r="CD148" s="203"/>
      <c r="CE148" s="203"/>
      <c r="CF148" s="203"/>
      <c r="CG148" s="203"/>
      <c r="CH148" s="203"/>
      <c r="CI148" s="203"/>
      <c r="CJ148" s="203"/>
      <c r="CK148" s="291"/>
      <c r="CL148" s="291"/>
      <c r="CM148" s="291"/>
      <c r="CN148" s="291"/>
      <c r="CO148" s="291"/>
      <c r="CP148" s="291"/>
      <c r="CQ148" s="291"/>
      <c r="CR148" s="291"/>
      <c r="CS148" s="291"/>
      <c r="CT148" s="291"/>
      <c r="CU148" s="291"/>
      <c r="CV148" s="291"/>
      <c r="CW148" s="291"/>
      <c r="CX148" s="291"/>
      <c r="CY148" s="291"/>
      <c r="CZ148" s="291"/>
      <c r="DA148" s="280" t="n">
        <v>38</v>
      </c>
      <c r="DB148" s="280" t="n">
        <v>38</v>
      </c>
      <c r="DC148" s="280"/>
      <c r="DD148" s="280"/>
      <c r="DE148" s="280"/>
      <c r="DF148" s="280"/>
      <c r="DG148" s="280" t="n">
        <v>27</v>
      </c>
      <c r="DH148" s="291"/>
      <c r="DI148" s="280" t="n">
        <v>38</v>
      </c>
      <c r="DO148" s="3" t="s">
        <v>679</v>
      </c>
    </row>
    <row r="149" customFormat="false" ht="15" hidden="false" customHeight="false" outlineLevel="0" collapsed="false">
      <c r="H149" s="3" t="s">
        <v>678</v>
      </c>
      <c r="I149" s="280" t="n">
        <v>1.56164383561644</v>
      </c>
      <c r="J149" s="313" t="n">
        <v>44845</v>
      </c>
      <c r="K149" s="280" t="n">
        <v>49</v>
      </c>
      <c r="L149" s="280" t="n">
        <v>2.75</v>
      </c>
      <c r="M149" s="280" t="n">
        <v>113</v>
      </c>
      <c r="N149" s="280" t="n">
        <v>172</v>
      </c>
      <c r="O149" s="280"/>
      <c r="P149" s="280"/>
      <c r="Q149" s="280"/>
      <c r="R149" s="280"/>
      <c r="S149" s="280"/>
      <c r="T149" s="280" t="n">
        <v>609</v>
      </c>
      <c r="U149" s="280"/>
      <c r="W149" s="280" t="n">
        <v>0.262612712207004</v>
      </c>
      <c r="Y149" s="280" t="n">
        <v>0.312642424687465</v>
      </c>
      <c r="AB149" s="314" t="n">
        <v>45055.4980555556</v>
      </c>
      <c r="AC149" s="314" t="n">
        <v>45055.4980902778</v>
      </c>
      <c r="AD149" s="280" t="n">
        <v>0</v>
      </c>
      <c r="AE149" s="314" t="n">
        <v>45055.4980555556</v>
      </c>
      <c r="AF149" s="314" t="n">
        <v>45055.4980902778</v>
      </c>
      <c r="AG149" s="280" t="n">
        <v>0</v>
      </c>
      <c r="AH149" s="280" t="n">
        <v>1</v>
      </c>
      <c r="AI149" s="314" t="n">
        <v>45061.8837384259</v>
      </c>
      <c r="AJ149" s="314" t="n">
        <v>45062.7802430556</v>
      </c>
      <c r="AK149" s="280" t="n">
        <v>21.5161111110938</v>
      </c>
      <c r="AL149" s="280" t="n">
        <v>21.5161111110938</v>
      </c>
      <c r="AM149" s="280" t="n">
        <v>2.70333333330927</v>
      </c>
      <c r="AN149" s="280" t="n">
        <v>37.7033333333093</v>
      </c>
      <c r="AO149" s="280" t="n">
        <v>1</v>
      </c>
      <c r="AP149" s="280"/>
      <c r="AQ149" s="280"/>
      <c r="AR149" s="280"/>
      <c r="AS149" s="280"/>
      <c r="AU149" s="314" t="n">
        <v>45067.4845023148</v>
      </c>
      <c r="AV149" s="314" t="n">
        <v>45074.3438773148</v>
      </c>
      <c r="AW149" s="280" t="n">
        <v>91.7325000000419</v>
      </c>
      <c r="AX149" s="314" t="n">
        <v>45067.4854861111</v>
      </c>
      <c r="AY149" s="314" t="n">
        <v>45067.4854861111</v>
      </c>
      <c r="AZ149" s="280" t="n">
        <v>0</v>
      </c>
      <c r="BA149" s="280" t="n">
        <v>1</v>
      </c>
      <c r="BB149" s="314" t="n">
        <v>45074.9243402778</v>
      </c>
      <c r="BC149" s="314" t="n">
        <v>45075.2350810185</v>
      </c>
      <c r="BE149" s="280" t="n">
        <v>1</v>
      </c>
      <c r="BF149" s="280" t="n">
        <v>1</v>
      </c>
      <c r="BH149" s="280" t="n">
        <v>0</v>
      </c>
      <c r="BK149" s="291"/>
      <c r="BL149" s="280" t="n">
        <v>0</v>
      </c>
      <c r="BO149" s="280" t="n">
        <v>0</v>
      </c>
      <c r="BP149" s="280"/>
      <c r="BQ149" s="291"/>
      <c r="BR149" s="280" t="n">
        <v>0</v>
      </c>
      <c r="BS149" s="280" t="n">
        <v>0</v>
      </c>
      <c r="BT149" s="280" t="n">
        <v>0</v>
      </c>
      <c r="BU149" s="280" t="n">
        <v>0</v>
      </c>
      <c r="BV149" s="280" t="n">
        <v>0</v>
      </c>
      <c r="BW149" s="280" t="n">
        <v>0</v>
      </c>
      <c r="BX149" s="280" t="n">
        <v>0</v>
      </c>
      <c r="BY149" s="280" t="n">
        <v>0</v>
      </c>
      <c r="BZ149" s="280" t="n">
        <v>0</v>
      </c>
      <c r="CA149" s="280" t="n">
        <v>0</v>
      </c>
      <c r="CB149" s="280" t="n">
        <v>0</v>
      </c>
      <c r="CC149" s="203"/>
      <c r="CD149" s="203"/>
      <c r="CE149" s="203"/>
      <c r="CF149" s="203"/>
      <c r="CG149" s="203"/>
      <c r="CH149" s="203"/>
      <c r="CI149" s="203"/>
      <c r="CJ149" s="203"/>
      <c r="CK149" s="291"/>
      <c r="CL149" s="291"/>
      <c r="CM149" s="291"/>
      <c r="CN149" s="291"/>
      <c r="CO149" s="291"/>
      <c r="CP149" s="291"/>
      <c r="CQ149" s="291"/>
      <c r="CR149" s="291"/>
      <c r="CS149" s="291"/>
      <c r="CT149" s="291"/>
      <c r="CU149" s="291"/>
      <c r="CV149" s="291"/>
      <c r="CW149" s="291"/>
      <c r="CX149" s="291"/>
      <c r="CY149" s="291"/>
      <c r="CZ149" s="291"/>
      <c r="DA149" s="280" t="n">
        <v>24</v>
      </c>
      <c r="DB149" s="314" t="n">
        <v>45056.25</v>
      </c>
      <c r="DC149" s="314"/>
      <c r="DD149" s="314"/>
      <c r="DE149" s="314"/>
      <c r="DF149" s="314"/>
      <c r="DG149" s="280" t="n">
        <v>-170.523888888827</v>
      </c>
      <c r="DH149" s="291"/>
      <c r="DI149" s="280" t="n">
        <v>-73.7499999999418</v>
      </c>
      <c r="DO149" s="3" t="s">
        <v>680</v>
      </c>
    </row>
    <row r="150" customFormat="false" ht="15" hidden="false" customHeight="false" outlineLevel="0" collapsed="false">
      <c r="H150" s="3" t="s">
        <v>679</v>
      </c>
      <c r="I150" s="280" t="n">
        <v>6.58082191780822</v>
      </c>
      <c r="J150" s="313" t="n">
        <v>44942</v>
      </c>
      <c r="K150" s="280" t="n">
        <v>83.3</v>
      </c>
      <c r="L150" s="280" t="n">
        <v>4</v>
      </c>
      <c r="M150" s="280" t="n">
        <v>210</v>
      </c>
      <c r="N150" s="280" t="n">
        <v>371</v>
      </c>
      <c r="O150" s="280"/>
      <c r="P150" s="280"/>
      <c r="Q150" s="280"/>
      <c r="R150" s="280"/>
      <c r="S150" s="280"/>
      <c r="T150" s="280" t="n">
        <v>2175</v>
      </c>
      <c r="U150" s="280"/>
      <c r="W150" s="280" t="n">
        <v>0.885002993663695</v>
      </c>
      <c r="Y150" s="280" t="n">
        <v>0.984283752594238</v>
      </c>
      <c r="AB150" s="314" t="n">
        <v>45064.355162037</v>
      </c>
      <c r="AC150" s="314" t="n">
        <v>45066.4847337963</v>
      </c>
      <c r="AD150" s="280" t="n">
        <v>259.682777777722</v>
      </c>
      <c r="AE150" s="314" t="n">
        <v>45064.4837268519</v>
      </c>
      <c r="AF150" s="314" t="n">
        <v>45064.666875</v>
      </c>
      <c r="AG150" s="280" t="n">
        <v>73.5236111110426</v>
      </c>
      <c r="AH150" s="280" t="n">
        <v>73.5236111110426</v>
      </c>
      <c r="AI150" s="314" t="n">
        <v>45061.8837384259</v>
      </c>
      <c r="AJ150" s="314" t="n">
        <v>45062.7802430556</v>
      </c>
      <c r="AK150" s="280" t="n">
        <v>21.5161111110938</v>
      </c>
      <c r="AL150" s="280" t="n">
        <v>21.5161111110938</v>
      </c>
      <c r="AM150" s="280" t="n">
        <v>218.359444444533</v>
      </c>
      <c r="AN150" s="280" t="n">
        <v>253.359444444533</v>
      </c>
      <c r="AO150" s="280" t="n">
        <v>79</v>
      </c>
      <c r="AP150" s="280"/>
      <c r="AQ150" s="280"/>
      <c r="AR150" s="280"/>
      <c r="AS150" s="280"/>
      <c r="AU150" s="314" t="n">
        <v>45079.5582523148</v>
      </c>
      <c r="AV150" s="314" t="n">
        <v>45089.3280324074</v>
      </c>
      <c r="AW150" s="280" t="n">
        <v>450.881388888869</v>
      </c>
      <c r="AX150" s="314" t="n">
        <v>45086.4712615741</v>
      </c>
      <c r="AY150" s="314" t="n">
        <v>45086.4712615741</v>
      </c>
      <c r="AZ150" s="280" t="n">
        <v>95.0697222221643</v>
      </c>
      <c r="BA150" s="280" t="n">
        <v>95.0697222221643</v>
      </c>
      <c r="BB150" s="314" t="n">
        <v>45079.4925925926</v>
      </c>
      <c r="BC150" s="314" t="n">
        <v>45079.5082986111</v>
      </c>
      <c r="BE150" s="280" t="n">
        <v>15.42027777771</v>
      </c>
      <c r="BF150" s="280" t="n">
        <v>103</v>
      </c>
      <c r="BH150" s="280" t="n">
        <v>0</v>
      </c>
      <c r="BK150" s="291"/>
      <c r="BL150" s="280" t="n">
        <v>0</v>
      </c>
      <c r="BO150" s="280" t="n">
        <v>0</v>
      </c>
      <c r="BP150" s="280"/>
      <c r="BQ150" s="291"/>
      <c r="BR150" s="280" t="n">
        <v>0</v>
      </c>
      <c r="BS150" s="280" t="n">
        <v>0</v>
      </c>
      <c r="BT150" s="280" t="n">
        <v>0</v>
      </c>
      <c r="BU150" s="280" t="n">
        <v>0</v>
      </c>
      <c r="BV150" s="280" t="n">
        <v>0</v>
      </c>
      <c r="BW150" s="280" t="n">
        <v>0</v>
      </c>
      <c r="BX150" s="280" t="n">
        <v>0</v>
      </c>
      <c r="BY150" s="280" t="n">
        <v>0</v>
      </c>
      <c r="BZ150" s="280" t="n">
        <v>0</v>
      </c>
      <c r="CA150" s="280" t="n">
        <v>0</v>
      </c>
      <c r="CB150" s="280" t="n">
        <v>0</v>
      </c>
      <c r="CC150" s="203"/>
      <c r="CD150" s="203"/>
      <c r="CE150" s="203"/>
      <c r="CF150" s="203"/>
      <c r="CG150" s="203"/>
      <c r="CH150" s="203"/>
      <c r="CI150" s="203"/>
      <c r="CJ150" s="203"/>
      <c r="CK150" s="291"/>
      <c r="CL150" s="291"/>
      <c r="CM150" s="291"/>
      <c r="CN150" s="291"/>
      <c r="CO150" s="291"/>
      <c r="CP150" s="291"/>
      <c r="CQ150" s="291"/>
      <c r="CR150" s="291"/>
      <c r="CS150" s="291"/>
      <c r="CT150" s="291"/>
      <c r="CU150" s="291"/>
      <c r="CV150" s="291"/>
      <c r="CW150" s="291"/>
      <c r="CX150" s="291"/>
      <c r="CY150" s="291"/>
      <c r="CZ150" s="291"/>
      <c r="DA150" s="280" t="n">
        <v>132</v>
      </c>
      <c r="DB150" s="314" t="n">
        <v>45060.75</v>
      </c>
      <c r="DC150" s="314"/>
      <c r="DD150" s="314"/>
      <c r="DE150" s="314"/>
      <c r="DF150" s="314"/>
      <c r="DG150" s="280" t="n">
        <v>65.0302777777542</v>
      </c>
      <c r="DH150" s="291"/>
      <c r="DI150" s="280" t="n">
        <v>34.2500000000582</v>
      </c>
    </row>
    <row r="151" customFormat="false" ht="15" hidden="false" customHeight="false" outlineLevel="0" collapsed="false">
      <c r="H151" s="3" t="s">
        <v>680</v>
      </c>
      <c r="I151" s="280" t="n">
        <v>5.01917808219178</v>
      </c>
      <c r="J151" s="280" t="n">
        <v>97</v>
      </c>
      <c r="K151" s="280" t="n">
        <v>34.3</v>
      </c>
      <c r="L151" s="280" t="n">
        <v>1.25</v>
      </c>
      <c r="M151" s="280" t="n">
        <v>97</v>
      </c>
      <c r="N151" s="280" t="n">
        <v>199</v>
      </c>
      <c r="O151" s="280"/>
      <c r="P151" s="280"/>
      <c r="Q151" s="280"/>
      <c r="R151" s="280"/>
      <c r="S151" s="280"/>
      <c r="T151" s="280" t="n">
        <v>1566</v>
      </c>
      <c r="U151" s="280"/>
      <c r="W151" s="280" t="n">
        <v>0.622390281456691</v>
      </c>
      <c r="Y151" s="280" t="n">
        <v>0.671641327906773</v>
      </c>
      <c r="AB151" s="280" t="n">
        <v>8.85710648148233</v>
      </c>
      <c r="AC151" s="280" t="n">
        <v>10.9866435185177</v>
      </c>
      <c r="AD151" s="280" t="n">
        <v>259.682777777722</v>
      </c>
      <c r="AE151" s="280" t="n">
        <v>8.98567129630101</v>
      </c>
      <c r="AF151" s="280" t="n">
        <v>9.16878472222743</v>
      </c>
      <c r="AG151" s="280" t="n">
        <v>73.5236111110426</v>
      </c>
      <c r="AH151" s="280" t="n">
        <v>72.5236111110426</v>
      </c>
      <c r="AI151" s="280" t="n">
        <v>0</v>
      </c>
      <c r="AJ151" s="280" t="n">
        <v>0</v>
      </c>
      <c r="AK151" s="280" t="n">
        <v>0</v>
      </c>
      <c r="AL151" s="280" t="n">
        <v>0</v>
      </c>
      <c r="AM151" s="280" t="n">
        <v>215.656111111224</v>
      </c>
      <c r="AN151" s="280" t="n">
        <v>215.656111111224</v>
      </c>
      <c r="AO151" s="280" t="n">
        <v>78</v>
      </c>
      <c r="AP151" s="280"/>
      <c r="AQ151" s="280"/>
      <c r="AR151" s="280"/>
      <c r="AS151" s="280"/>
      <c r="AU151" s="280" t="n">
        <v>12.0737499999959</v>
      </c>
      <c r="AV151" s="280" t="n">
        <v>14.9841550925921</v>
      </c>
      <c r="AW151" s="280" t="n">
        <v>359.148888888827</v>
      </c>
      <c r="AX151" s="280" t="n">
        <v>18.9857754629629</v>
      </c>
      <c r="AY151" s="280" t="n">
        <v>18.9857754629629</v>
      </c>
      <c r="AZ151" s="280" t="n">
        <v>95.0697222221643</v>
      </c>
      <c r="BA151" s="280" t="n">
        <v>94.0697222221643</v>
      </c>
      <c r="BB151" s="280" t="n">
        <v>4.56825231481344</v>
      </c>
      <c r="BC151" s="280" t="n">
        <v>4.27321759259212</v>
      </c>
      <c r="BE151" s="280" t="n">
        <v>14.42027777771</v>
      </c>
      <c r="BF151" s="280" t="n">
        <v>102</v>
      </c>
      <c r="BH151" s="280" t="n">
        <v>0</v>
      </c>
      <c r="BK151" s="291"/>
      <c r="BL151" s="280" t="n">
        <v>0</v>
      </c>
      <c r="BO151" s="280" t="n">
        <v>0</v>
      </c>
      <c r="BP151" s="280"/>
      <c r="BQ151" s="291"/>
      <c r="BR151" s="280" t="n">
        <v>0</v>
      </c>
      <c r="BS151" s="280" t="n">
        <v>0</v>
      </c>
      <c r="BT151" s="280" t="n">
        <v>0</v>
      </c>
      <c r="BU151" s="280" t="n">
        <v>0</v>
      </c>
      <c r="BV151" s="280" t="n">
        <v>0</v>
      </c>
      <c r="BW151" s="280" t="n">
        <v>0</v>
      </c>
      <c r="BX151" s="280" t="n">
        <v>0</v>
      </c>
      <c r="BY151" s="280" t="n">
        <v>0</v>
      </c>
      <c r="BZ151" s="280" t="n">
        <v>0</v>
      </c>
      <c r="CA151" s="280" t="n">
        <v>0</v>
      </c>
      <c r="CB151" s="280" t="n">
        <v>0</v>
      </c>
      <c r="CC151" s="203"/>
      <c r="CD151" s="203"/>
      <c r="CE151" s="203"/>
      <c r="CF151" s="203"/>
      <c r="CG151" s="203"/>
      <c r="CH151" s="203"/>
      <c r="CI151" s="203"/>
      <c r="CJ151" s="203"/>
      <c r="CK151" s="291"/>
      <c r="CL151" s="291"/>
      <c r="CM151" s="291"/>
      <c r="CN151" s="291"/>
      <c r="CO151" s="291"/>
      <c r="CP151" s="291"/>
      <c r="CQ151" s="291"/>
      <c r="CR151" s="291"/>
      <c r="CS151" s="291"/>
      <c r="CT151" s="291"/>
      <c r="CU151" s="291"/>
      <c r="CV151" s="291"/>
      <c r="CW151" s="291"/>
      <c r="CX151" s="291"/>
      <c r="CY151" s="291"/>
      <c r="CZ151" s="291"/>
      <c r="DA151" s="280" t="n">
        <v>108</v>
      </c>
      <c r="DB151" s="280" t="n">
        <v>4.5</v>
      </c>
      <c r="DC151" s="280"/>
      <c r="DD151" s="280"/>
      <c r="DE151" s="280"/>
      <c r="DF151" s="280"/>
      <c r="DG151" s="280" t="n">
        <v>235.554166666581</v>
      </c>
      <c r="DH151" s="291"/>
      <c r="DI151" s="280" t="n">
        <v>108</v>
      </c>
    </row>
    <row r="153" customFormat="false" ht="15" hidden="false" customHeight="false" outlineLevel="0" collapsed="false">
      <c r="G153" s="315" t="s">
        <v>684</v>
      </c>
      <c r="H153" s="140" t="s">
        <v>674</v>
      </c>
      <c r="I153" s="280" t="n">
        <v>3.79910250354275</v>
      </c>
      <c r="J153" s="313"/>
      <c r="K153" s="280" t="n">
        <v>70.1622413793104</v>
      </c>
      <c r="L153" s="280" t="n">
        <v>3.41379310344828</v>
      </c>
      <c r="M153" s="280" t="n">
        <v>191.965517241379</v>
      </c>
      <c r="N153" s="280"/>
      <c r="T153" s="1" t="n">
        <v>1470.72413793103</v>
      </c>
      <c r="W153" s="280" t="n">
        <v>0.64327140361521</v>
      </c>
      <c r="Y153" s="280" t="n">
        <v>0.795293383028719</v>
      </c>
    </row>
    <row r="154" customFormat="false" ht="15" hidden="false" customHeight="false" outlineLevel="0" collapsed="false">
      <c r="H154" s="140" t="s">
        <v>675</v>
      </c>
      <c r="I154" s="280" t="n">
        <v>1.53649750662154</v>
      </c>
      <c r="J154" s="280"/>
      <c r="K154" s="280" t="n">
        <v>9.867404970558</v>
      </c>
      <c r="L154" s="280" t="n">
        <v>0.422896559813958</v>
      </c>
      <c r="M154" s="280" t="n">
        <v>18.6782221600746</v>
      </c>
      <c r="N154" s="280"/>
      <c r="T154" s="1" t="n">
        <v>315.062221262384</v>
      </c>
      <c r="W154" s="280" t="n">
        <v>0.157727556153041</v>
      </c>
      <c r="Y154" s="280" t="n">
        <v>0.169028223251531</v>
      </c>
      <c r="AX154" s="315" t="s">
        <v>681</v>
      </c>
      <c r="BG154" s="155" t="s">
        <v>685</v>
      </c>
      <c r="BH154" s="1" t="n">
        <v>33</v>
      </c>
      <c r="BM154" s="155" t="s">
        <v>686</v>
      </c>
      <c r="BN154" s="1" t="n">
        <v>31</v>
      </c>
    </row>
    <row r="155" customFormat="false" ht="15" hidden="false" customHeight="false" outlineLevel="0" collapsed="false">
      <c r="H155" s="140" t="s">
        <v>676</v>
      </c>
      <c r="I155" s="280" t="n">
        <v>0.201752006692333</v>
      </c>
      <c r="J155" s="280"/>
      <c r="K155" s="280" t="n">
        <v>1.29565374826627</v>
      </c>
      <c r="L155" s="280" t="n">
        <v>0.0555290387378191</v>
      </c>
      <c r="M155" s="280" t="n">
        <v>2.45257072400081</v>
      </c>
      <c r="N155" s="280"/>
      <c r="T155" s="1" t="n">
        <v>41.3696964028243</v>
      </c>
      <c r="W155" s="280" t="n">
        <v>0.0207106427621374</v>
      </c>
      <c r="Y155" s="280" t="n">
        <v>0.0221944930477754</v>
      </c>
      <c r="AA155" s="317" t="n">
        <f aca="false">20/50</f>
        <v>0.4</v>
      </c>
      <c r="AB155" s="317" t="n">
        <f aca="false">24/50</f>
        <v>0.48</v>
      </c>
      <c r="AC155" s="318" t="s">
        <v>687</v>
      </c>
      <c r="AH155" s="1" t="s">
        <v>688</v>
      </c>
      <c r="AT155" s="1"/>
      <c r="AW155" s="1"/>
      <c r="AX155" s="1" t="s">
        <v>689</v>
      </c>
      <c r="AZ155" s="1"/>
      <c r="BA155" s="1"/>
      <c r="BG155" s="1" t="s">
        <v>690</v>
      </c>
      <c r="BH155" s="1" t="n">
        <v>5</v>
      </c>
      <c r="BM155" s="1" t="s">
        <v>690</v>
      </c>
      <c r="BN155" s="1" t="n">
        <v>11</v>
      </c>
    </row>
    <row r="156" customFormat="false" ht="15" hidden="false" customHeight="false" outlineLevel="0" collapsed="false">
      <c r="H156" s="3" t="s">
        <v>677</v>
      </c>
      <c r="I156" s="280" t="n">
        <v>58</v>
      </c>
      <c r="J156" s="280"/>
      <c r="K156" s="280" t="n">
        <v>58</v>
      </c>
      <c r="L156" s="280" t="n">
        <v>58</v>
      </c>
      <c r="M156" s="280" t="n">
        <v>58</v>
      </c>
      <c r="N156" s="280"/>
      <c r="T156" s="1" t="n">
        <v>58</v>
      </c>
      <c r="W156" s="280" t="n">
        <v>58</v>
      </c>
      <c r="Y156" s="280" t="n">
        <v>58</v>
      </c>
      <c r="AA156" s="317" t="n">
        <f aca="false">(19/50)</f>
        <v>0.38</v>
      </c>
      <c r="AB156" s="317" t="n">
        <f aca="false">(24/50)</f>
        <v>0.48</v>
      </c>
      <c r="AC156" s="318" t="s">
        <v>691</v>
      </c>
      <c r="AH156" s="1" t="s">
        <v>692</v>
      </c>
      <c r="AT156" s="1"/>
      <c r="AW156" s="1"/>
      <c r="AX156" s="1" t="s">
        <v>693</v>
      </c>
      <c r="AZ156" s="1"/>
      <c r="BA156" s="1"/>
      <c r="BG156" s="155" t="s">
        <v>694</v>
      </c>
      <c r="BH156" s="1" t="n">
        <v>12</v>
      </c>
      <c r="BM156" s="155" t="s">
        <v>695</v>
      </c>
      <c r="BN156" s="1" t="n">
        <v>8</v>
      </c>
    </row>
    <row r="157" customFormat="false" ht="15" hidden="false" customHeight="false" outlineLevel="0" collapsed="false">
      <c r="H157" s="3" t="s">
        <v>678</v>
      </c>
      <c r="I157" s="280" t="n">
        <v>1.56164383561644</v>
      </c>
      <c r="J157" s="313"/>
      <c r="K157" s="280" t="n">
        <v>49.88</v>
      </c>
      <c r="L157" s="280" t="n">
        <v>2.5</v>
      </c>
      <c r="M157" s="280" t="n">
        <v>147</v>
      </c>
      <c r="N157" s="280"/>
      <c r="T157" s="1" t="n">
        <v>609</v>
      </c>
      <c r="W157" s="280" t="n">
        <v>0.262612712207004</v>
      </c>
      <c r="Y157" s="280" t="n">
        <v>0.312642424687465</v>
      </c>
      <c r="AA157" s="317" t="n">
        <f aca="false">(22/50)</f>
        <v>0.44</v>
      </c>
      <c r="AB157" s="317" t="n">
        <f aca="false">(28/50)</f>
        <v>0.56</v>
      </c>
      <c r="AC157" s="318" t="s">
        <v>696</v>
      </c>
      <c r="AH157" s="1" t="s">
        <v>697</v>
      </c>
      <c r="AT157" s="1"/>
      <c r="AW157" s="1"/>
      <c r="AX157" s="1" t="s">
        <v>698</v>
      </c>
      <c r="AZ157" s="1"/>
      <c r="BA157" s="1"/>
      <c r="BG157" s="155" t="s">
        <v>699</v>
      </c>
      <c r="BH157" s="149" t="n">
        <f aca="false">SUM(BH154:BH156)</f>
        <v>50</v>
      </c>
      <c r="BM157" s="155" t="s">
        <v>699</v>
      </c>
      <c r="BN157" s="149" t="n">
        <f aca="false">SUM(BN154:BN156)</f>
        <v>50</v>
      </c>
    </row>
    <row r="158" customFormat="false" ht="15" hidden="false" customHeight="false" outlineLevel="0" collapsed="false">
      <c r="H158" s="3" t="s">
        <v>679</v>
      </c>
      <c r="I158" s="280" t="n">
        <v>6.58082191780822</v>
      </c>
      <c r="J158" s="313"/>
      <c r="K158" s="280" t="n">
        <v>95</v>
      </c>
      <c r="L158" s="280" t="n">
        <v>4.5</v>
      </c>
      <c r="M158" s="280" t="n">
        <v>209</v>
      </c>
      <c r="N158" s="280"/>
      <c r="T158" s="1" t="n">
        <v>2175</v>
      </c>
      <c r="W158" s="280" t="n">
        <v>0.88826360074165</v>
      </c>
      <c r="Y158" s="280" t="n">
        <v>0.984283752594238</v>
      </c>
      <c r="AA158" s="317"/>
      <c r="AB158" s="317" t="n">
        <f aca="false">(33/50)</f>
        <v>0.66</v>
      </c>
      <c r="AC158" s="1" t="s">
        <v>700</v>
      </c>
      <c r="AH158" s="1" t="s">
        <v>701</v>
      </c>
      <c r="AT158" s="1"/>
      <c r="AW158" s="1"/>
      <c r="AX158" s="1" t="s">
        <v>702</v>
      </c>
      <c r="AZ158" s="1"/>
      <c r="BA158" s="1"/>
      <c r="BG158" s="319" t="s">
        <v>703</v>
      </c>
      <c r="BH158" s="320" t="n">
        <f aca="false">BH154/BH157</f>
        <v>0.66</v>
      </c>
      <c r="BI158" s="1" t="s">
        <v>704</v>
      </c>
      <c r="BM158" s="319" t="s">
        <v>703</v>
      </c>
      <c r="BN158" s="320" t="n">
        <f aca="false">BN154/BN157</f>
        <v>0.62</v>
      </c>
      <c r="BO158" s="1" t="s">
        <v>704</v>
      </c>
    </row>
    <row r="159" customFormat="false" ht="15" hidden="false" customHeight="false" outlineLevel="0" collapsed="false">
      <c r="H159" s="3" t="s">
        <v>680</v>
      </c>
      <c r="I159" s="280" t="n">
        <v>5.01917808219178</v>
      </c>
      <c r="J159" s="280"/>
      <c r="K159" s="280" t="n">
        <v>45.12</v>
      </c>
      <c r="L159" s="280" t="n">
        <v>2</v>
      </c>
      <c r="M159" s="280" t="n">
        <v>62</v>
      </c>
      <c r="N159" s="280"/>
      <c r="T159" s="1" t="n">
        <v>1566</v>
      </c>
      <c r="W159" s="280" t="n">
        <v>0.625650888534646</v>
      </c>
      <c r="Y159" s="280" t="n">
        <v>0.671641327906773</v>
      </c>
      <c r="AA159" s="1"/>
      <c r="AH159" s="1" t="s">
        <v>705</v>
      </c>
      <c r="AT159" s="1"/>
      <c r="AW159" s="1"/>
      <c r="AX159" s="1" t="s">
        <v>706</v>
      </c>
      <c r="AZ159" s="1"/>
      <c r="BA159" s="1"/>
      <c r="BG159" s="319" t="s">
        <v>707</v>
      </c>
      <c r="BH159" s="320" t="n">
        <f aca="false">(BH154+BH155)/BH157</f>
        <v>0.76</v>
      </c>
      <c r="BI159" s="1" t="s">
        <v>704</v>
      </c>
      <c r="BM159" s="319" t="s">
        <v>707</v>
      </c>
      <c r="BN159" s="320" t="n">
        <f aca="false">(BN154+BN155)/BN157</f>
        <v>0.84</v>
      </c>
      <c r="BO159" s="1" t="s">
        <v>704</v>
      </c>
    </row>
    <row r="160" customFormat="false" ht="15" hidden="false" customHeight="false" outlineLevel="0" collapsed="false">
      <c r="AA160" s="317" t="n">
        <f aca="false">14/50</f>
        <v>0.28</v>
      </c>
      <c r="AB160" s="317" t="n">
        <f aca="false">29/50</f>
        <v>0.58</v>
      </c>
      <c r="AC160" s="318" t="s">
        <v>708</v>
      </c>
      <c r="AT160" s="1"/>
      <c r="AW160" s="1"/>
      <c r="AZ160" s="1"/>
      <c r="BA160" s="1"/>
      <c r="BG160" s="319" t="s">
        <v>709</v>
      </c>
      <c r="BH160" s="320" t="n">
        <f aca="false">AVERAGE(BH2:BH51)</f>
        <v>1.4</v>
      </c>
      <c r="BI160" s="1" t="s">
        <v>704</v>
      </c>
      <c r="BM160" s="319" t="s">
        <v>709</v>
      </c>
      <c r="BN160" s="320" t="n">
        <f aca="false">AVERAGE(BL2:BL51)</f>
        <v>1.34146341463415</v>
      </c>
      <c r="BO160" s="1" t="s">
        <v>704</v>
      </c>
    </row>
    <row r="161" customFormat="false" ht="19.7" hidden="false" customHeight="false" outlineLevel="0" collapsed="false">
      <c r="G161" s="315" t="s">
        <v>710</v>
      </c>
      <c r="H161" s="140" t="s">
        <v>674</v>
      </c>
      <c r="I161" s="280" t="n">
        <v>3.03711083437111</v>
      </c>
      <c r="J161" s="313"/>
      <c r="K161" s="280" t="n">
        <v>65.9339393939394</v>
      </c>
      <c r="L161" s="280" t="n">
        <v>3.28787878787879</v>
      </c>
      <c r="M161" s="280" t="n">
        <v>188.575757575758</v>
      </c>
      <c r="N161" s="280"/>
      <c r="T161" s="1" t="n">
        <v>1436.81818181818</v>
      </c>
      <c r="W161" s="280" t="n">
        <v>0.588688981458498</v>
      </c>
      <c r="Y161" s="280" t="n">
        <v>0.74182538435165</v>
      </c>
      <c r="AA161" s="317" t="n">
        <f aca="false">(15/50)</f>
        <v>0.3</v>
      </c>
      <c r="AB161" s="317" t="n">
        <f aca="false">(30/50)</f>
        <v>0.6</v>
      </c>
      <c r="AC161" s="318" t="s">
        <v>711</v>
      </c>
      <c r="AH161" s="321" t="s">
        <v>712</v>
      </c>
      <c r="AK161" s="321"/>
      <c r="AT161" s="1"/>
      <c r="AW161" s="1"/>
      <c r="AX161" s="315" t="s">
        <v>148</v>
      </c>
      <c r="AZ161" s="1"/>
      <c r="BA161" s="1"/>
      <c r="BG161" s="1"/>
    </row>
    <row r="162" customFormat="false" ht="19.7" hidden="false" customHeight="false" outlineLevel="0" collapsed="false">
      <c r="H162" s="140" t="s">
        <v>675</v>
      </c>
      <c r="I162" s="280" t="n">
        <v>1.41256546033927</v>
      </c>
      <c r="J162" s="280"/>
      <c r="K162" s="280" t="n">
        <v>9.46518265560477</v>
      </c>
      <c r="L162" s="280" t="n">
        <v>0.331785450376573</v>
      </c>
      <c r="M162" s="280" t="n">
        <v>19.7858229012287</v>
      </c>
      <c r="N162" s="280"/>
      <c r="T162" s="1" t="n">
        <v>286.85573479959</v>
      </c>
      <c r="W162" s="280" t="n">
        <v>0.135782849620061</v>
      </c>
      <c r="Y162" s="280" t="n">
        <v>0.162198090174598</v>
      </c>
      <c r="AA162" s="317" t="n">
        <f aca="false">(20/50)</f>
        <v>0.4</v>
      </c>
      <c r="AB162" s="317" t="n">
        <f aca="false">(37/50)</f>
        <v>0.74</v>
      </c>
      <c r="AC162" s="318" t="s">
        <v>713</v>
      </c>
      <c r="AH162" s="321" t="s">
        <v>714</v>
      </c>
      <c r="AK162" s="321"/>
      <c r="AT162" s="1"/>
      <c r="AW162" s="1"/>
      <c r="AX162" s="1" t="s">
        <v>715</v>
      </c>
      <c r="AZ162" s="1"/>
      <c r="BA162" s="1"/>
      <c r="BG162" s="155" t="s">
        <v>716</v>
      </c>
      <c r="BH162" s="1" t="n">
        <v>24</v>
      </c>
      <c r="BM162" s="155" t="s">
        <v>716</v>
      </c>
      <c r="BN162" s="1" t="n">
        <v>22</v>
      </c>
    </row>
    <row r="163" customFormat="false" ht="15" hidden="false" customHeight="false" outlineLevel="0" collapsed="false">
      <c r="H163" s="140" t="s">
        <v>676</v>
      </c>
      <c r="I163" s="280" t="n">
        <v>0.173874788619069</v>
      </c>
      <c r="J163" s="280"/>
      <c r="K163" s="280" t="n">
        <v>1.16508344547011</v>
      </c>
      <c r="L163" s="280" t="n">
        <v>0.0408399657721017</v>
      </c>
      <c r="M163" s="280" t="n">
        <v>2.43546644116527</v>
      </c>
      <c r="N163" s="280"/>
      <c r="T163" s="1" t="n">
        <v>35.3095000924536</v>
      </c>
      <c r="W163" s="280" t="n">
        <v>0.0167137134091558</v>
      </c>
      <c r="Y163" s="280" t="n">
        <v>0.0199652047535915</v>
      </c>
      <c r="AA163" s="317"/>
      <c r="AB163" s="317" t="n">
        <f aca="false">(43/50)</f>
        <v>0.86</v>
      </c>
      <c r="AC163" s="1" t="s">
        <v>717</v>
      </c>
      <c r="AX163" s="1" t="s">
        <v>718</v>
      </c>
      <c r="BG163" s="1" t="s">
        <v>719</v>
      </c>
      <c r="BH163" s="1" t="n">
        <v>8</v>
      </c>
      <c r="BM163" s="1" t="s">
        <v>719</v>
      </c>
      <c r="BN163" s="1" t="n">
        <v>13</v>
      </c>
    </row>
    <row r="164" customFormat="false" ht="19.7" hidden="false" customHeight="false" outlineLevel="0" collapsed="false">
      <c r="H164" s="3" t="s">
        <v>677</v>
      </c>
      <c r="I164" s="280" t="n">
        <v>66</v>
      </c>
      <c r="J164" s="280"/>
      <c r="K164" s="280" t="n">
        <v>66</v>
      </c>
      <c r="L164" s="280" t="n">
        <v>66</v>
      </c>
      <c r="M164" s="280" t="n">
        <v>66</v>
      </c>
      <c r="N164" s="280"/>
      <c r="T164" s="1" t="n">
        <v>66</v>
      </c>
      <c r="W164" s="280" t="n">
        <v>66</v>
      </c>
      <c r="Y164" s="280" t="n">
        <v>66</v>
      </c>
      <c r="AH164" s="322" t="s">
        <v>720</v>
      </c>
      <c r="AI164" s="323"/>
      <c r="AJ164" s="323"/>
      <c r="AK164" s="322"/>
      <c r="AL164" s="323"/>
      <c r="AM164" s="323"/>
      <c r="AN164" s="323"/>
      <c r="AX164" s="1" t="s">
        <v>721</v>
      </c>
      <c r="BG164" s="155" t="s">
        <v>722</v>
      </c>
      <c r="BH164" s="1" t="n">
        <v>17</v>
      </c>
      <c r="BM164" s="155" t="s">
        <v>723</v>
      </c>
      <c r="BN164" s="1" t="n">
        <v>15</v>
      </c>
    </row>
    <row r="165" customFormat="false" ht="19.7" hidden="false" customHeight="false" outlineLevel="0" collapsed="false">
      <c r="H165" s="3" t="s">
        <v>678</v>
      </c>
      <c r="I165" s="280" t="n">
        <v>1.56164383561644</v>
      </c>
      <c r="J165" s="313"/>
      <c r="K165" s="280" t="n">
        <v>47.5</v>
      </c>
      <c r="L165" s="280" t="n">
        <v>2.75</v>
      </c>
      <c r="M165" s="280" t="n">
        <v>113</v>
      </c>
      <c r="N165" s="280"/>
      <c r="T165" s="1" t="n">
        <v>812</v>
      </c>
      <c r="W165" s="280" t="n">
        <v>0.306852855315521</v>
      </c>
      <c r="Y165" s="280" t="n">
        <v>0.329756257910265</v>
      </c>
      <c r="AH165" s="322" t="s">
        <v>724</v>
      </c>
      <c r="AI165" s="323"/>
      <c r="AJ165" s="323"/>
      <c r="AK165" s="323"/>
      <c r="AL165" s="323"/>
      <c r="AM165" s="323"/>
      <c r="AN165" s="323"/>
      <c r="AX165" s="1" t="s">
        <v>725</v>
      </c>
      <c r="BG165" s="155" t="s">
        <v>726</v>
      </c>
      <c r="BH165" s="149" t="n">
        <f aca="false">SUM(BH162:BH164)</f>
        <v>49</v>
      </c>
      <c r="BM165" s="155" t="s">
        <v>726</v>
      </c>
      <c r="BN165" s="149" t="n">
        <f aca="false">SUM(BN162:BN164)</f>
        <v>50</v>
      </c>
    </row>
    <row r="166" customFormat="false" ht="17.35" hidden="false" customHeight="false" outlineLevel="0" collapsed="false">
      <c r="H166" s="3" t="s">
        <v>679</v>
      </c>
      <c r="I166" s="280" t="n">
        <v>6.58082191780822</v>
      </c>
      <c r="J166" s="313"/>
      <c r="K166" s="280" t="n">
        <v>84.8</v>
      </c>
      <c r="L166" s="280" t="n">
        <v>4.25</v>
      </c>
      <c r="M166" s="280" t="n">
        <v>210</v>
      </c>
      <c r="N166" s="280"/>
      <c r="T166" s="1" t="n">
        <v>2175</v>
      </c>
      <c r="W166" s="280" t="n">
        <v>0.82855283728436</v>
      </c>
      <c r="Y166" s="280" t="n">
        <v>0.962877835513341</v>
      </c>
      <c r="AB166" s="324" t="s">
        <v>727</v>
      </c>
      <c r="AC166" s="324"/>
      <c r="AD166" s="324"/>
      <c r="AE166" s="324"/>
      <c r="AF166" s="324"/>
      <c r="AT166" s="1"/>
      <c r="AX166" s="1" t="s">
        <v>728</v>
      </c>
      <c r="BG166" s="319" t="s">
        <v>729</v>
      </c>
      <c r="BH166" s="320" t="n">
        <f aca="false">BH162/BH165</f>
        <v>0.489795918367347</v>
      </c>
      <c r="BM166" s="319" t="s">
        <v>729</v>
      </c>
      <c r="BN166" s="320" t="n">
        <f aca="false">BN162/BN165</f>
        <v>0.44</v>
      </c>
    </row>
    <row r="167" customFormat="false" ht="15" hidden="false" customHeight="false" outlineLevel="0" collapsed="false">
      <c r="H167" s="3" t="s">
        <v>680</v>
      </c>
      <c r="I167" s="280" t="n">
        <v>5.01917808219178</v>
      </c>
      <c r="J167" s="280"/>
      <c r="K167" s="280" t="n">
        <v>37.3</v>
      </c>
      <c r="L167" s="280" t="n">
        <v>1.5</v>
      </c>
      <c r="M167" s="280" t="n">
        <v>97</v>
      </c>
      <c r="N167" s="280"/>
      <c r="T167" s="1" t="n">
        <v>1363</v>
      </c>
      <c r="W167" s="280" t="n">
        <v>0.521699981968839</v>
      </c>
      <c r="Y167" s="280" t="n">
        <v>0.633121577603076</v>
      </c>
      <c r="AA167" s="325" t="n">
        <f aca="false">27/50</f>
        <v>0.54</v>
      </c>
      <c r="AB167" s="325" t="n">
        <f aca="false">28/50</f>
        <v>0.56</v>
      </c>
      <c r="AC167" s="326" t="s">
        <v>730</v>
      </c>
      <c r="AD167" s="3"/>
      <c r="AE167" s="3"/>
      <c r="AF167" s="259"/>
      <c r="AT167" s="1"/>
      <c r="BG167" s="319" t="s">
        <v>731</v>
      </c>
      <c r="BH167" s="320" t="n">
        <f aca="false">(BH162+BH163)/BH165</f>
        <v>0.653061224489796</v>
      </c>
      <c r="BM167" s="319" t="s">
        <v>731</v>
      </c>
      <c r="BN167" s="320" t="n">
        <f aca="false">(BN162+BN163)/BN165</f>
        <v>0.7</v>
      </c>
    </row>
    <row r="168" customFormat="false" ht="19.7" hidden="false" customHeight="false" outlineLevel="0" collapsed="false">
      <c r="AA168" s="325" t="n">
        <f aca="false">(29/50)</f>
        <v>0.58</v>
      </c>
      <c r="AB168" s="325" t="n">
        <f aca="false">(30/50)</f>
        <v>0.6</v>
      </c>
      <c r="AC168" s="326" t="s">
        <v>732</v>
      </c>
      <c r="AD168" s="3"/>
      <c r="AE168" s="3"/>
      <c r="AF168" s="259"/>
      <c r="AH168" s="321"/>
      <c r="AK168" s="321"/>
      <c r="AT168" s="1"/>
      <c r="AX168" s="315" t="s">
        <v>152</v>
      </c>
      <c r="BG168" s="319" t="s">
        <v>709</v>
      </c>
      <c r="BH168" s="320" t="n">
        <f aca="false">AVERAGE(BH52:BH101)</f>
        <v>1.48148148148148</v>
      </c>
      <c r="BM168" s="319" t="s">
        <v>709</v>
      </c>
      <c r="BN168" s="320" t="n">
        <f aca="false">AVERAGE(BL52:BL101)</f>
        <v>1.37142857142857</v>
      </c>
    </row>
    <row r="169" customFormat="false" ht="15" hidden="false" customHeight="false" outlineLevel="0" collapsed="false">
      <c r="AA169" s="325" t="n">
        <f aca="false">(34/50)</f>
        <v>0.68</v>
      </c>
      <c r="AB169" s="325" t="n">
        <f aca="false">(37/50)</f>
        <v>0.74</v>
      </c>
      <c r="AC169" s="326" t="s">
        <v>733</v>
      </c>
      <c r="AD169" s="3"/>
      <c r="AE169" s="3"/>
      <c r="AF169" s="259"/>
      <c r="AT169" s="1"/>
      <c r="AX169" s="1" t="s">
        <v>734</v>
      </c>
    </row>
    <row r="170" customFormat="false" ht="15" hidden="false" customHeight="false" outlineLevel="0" collapsed="false">
      <c r="AB170" s="327" t="n">
        <f aca="false">(43/50)</f>
        <v>0.86</v>
      </c>
      <c r="AC170" s="328" t="s">
        <v>735</v>
      </c>
      <c r="AD170" s="328"/>
      <c r="AE170" s="328"/>
      <c r="AF170" s="329"/>
      <c r="AT170" s="1"/>
      <c r="AX170" s="1" t="s">
        <v>736</v>
      </c>
    </row>
    <row r="171" customFormat="false" ht="15" hidden="false" customHeight="false" outlineLevel="0" collapsed="false">
      <c r="AT171" s="1"/>
      <c r="AX171" s="1" t="s">
        <v>737</v>
      </c>
    </row>
    <row r="172" customFormat="false" ht="15" hidden="false" customHeight="false" outlineLevel="0" collapsed="false">
      <c r="AX172" s="1" t="s">
        <v>702</v>
      </c>
    </row>
    <row r="173" customFormat="false" ht="15" hidden="false" customHeight="false" outlineLevel="0" collapsed="false">
      <c r="AX173" s="1" t="s">
        <v>738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DT112"/>
  <mergeCells count="1">
    <mergeCell ref="AB166:AF166"/>
  </mergeCells>
  <conditionalFormatting sqref="CH79">
    <cfRule type="containsText" priority="2" operator="containsText" aboveAverage="0" equalAverage="0" bottom="0" percent="0" rank="0" text="Oui" dxfId="20">
      <formula>NOT(ISERROR(SEARCH("Oui",CH79)))</formula>
    </cfRule>
  </conditionalFormatting>
  <conditionalFormatting sqref="CH79">
    <cfRule type="cellIs" priority="3" operator="equal" aboveAverage="0" equalAverage="0" bottom="0" percent="0" rank="0" text="" dxfId="21">
      <formula>0.5</formula>
    </cfRule>
  </conditionalFormatting>
  <conditionalFormatting sqref="CH20">
    <cfRule type="containsText" priority="4" operator="containsText" aboveAverage="0" equalAverage="0" bottom="0" percent="0" rank="0" text="Oui" dxfId="22">
      <formula>NOT(ISERROR(SEARCH("Oui",CH20)))</formula>
    </cfRule>
  </conditionalFormatting>
  <conditionalFormatting sqref="CH20">
    <cfRule type="cellIs" priority="5" operator="equal" aboveAverage="0" equalAverage="0" bottom="0" percent="0" rank="0" text="" dxfId="23">
      <formula>0.5</formula>
    </cfRule>
  </conditionalFormatting>
  <conditionalFormatting sqref="CH89:CH90">
    <cfRule type="containsText" priority="6" operator="containsText" aboveAverage="0" equalAverage="0" bottom="0" percent="0" rank="0" text="Oui" dxfId="24">
      <formula>NOT(ISERROR(SEARCH("Oui",CH89)))</formula>
    </cfRule>
    <cfRule type="cellIs" priority="7" operator="equal" aboveAverage="0" equalAverage="0" bottom="0" percent="0" rank="0" text="" dxfId="25">
      <formula>0.5</formula>
    </cfRule>
  </conditionalFormatting>
  <conditionalFormatting sqref="CH85">
    <cfRule type="containsText" priority="8" operator="containsText" aboveAverage="0" equalAverage="0" bottom="0" percent="0" rank="0" text="Oui" dxfId="26">
      <formula>NOT(ISERROR(SEARCH("Oui",CH85)))</formula>
    </cfRule>
  </conditionalFormatting>
  <conditionalFormatting sqref="CH85">
    <cfRule type="cellIs" priority="9" operator="equal" aboveAverage="0" equalAverage="0" bottom="0" percent="0" rank="0" text="" dxfId="27">
      <formula>0.5</formula>
    </cfRule>
  </conditionalFormatting>
  <conditionalFormatting sqref="CH72">
    <cfRule type="containsText" priority="10" operator="containsText" aboveAverage="0" equalAverage="0" bottom="0" percent="0" rank="0" text="Oui" dxfId="28">
      <formula>NOT(ISERROR(SEARCH("Oui",CH72)))</formula>
    </cfRule>
  </conditionalFormatting>
  <conditionalFormatting sqref="CH72">
    <cfRule type="cellIs" priority="11" operator="equal" aboveAverage="0" equalAverage="0" bottom="0" percent="0" rank="0" text="" dxfId="29">
      <formula>0.5</formula>
    </cfRule>
  </conditionalFormatting>
  <conditionalFormatting sqref="CH61">
    <cfRule type="containsText" priority="12" operator="containsText" aboveAverage="0" equalAverage="0" bottom="0" percent="0" rank="0" text="Oui" dxfId="30">
      <formula>NOT(ISERROR(SEARCH("Oui",CH61)))</formula>
    </cfRule>
  </conditionalFormatting>
  <conditionalFormatting sqref="CH61">
    <cfRule type="cellIs" priority="13" operator="equal" aboveAverage="0" equalAverage="0" bottom="0" percent="0" rank="0" text="" dxfId="31">
      <formula>0.5</formula>
    </cfRule>
  </conditionalFormatting>
  <conditionalFormatting sqref="CH52">
    <cfRule type="containsText" priority="14" operator="containsText" aboveAverage="0" equalAverage="0" bottom="0" percent="0" rank="0" text="Oui" dxfId="32">
      <formula>NOT(ISERROR(SEARCH("Oui",CH52)))</formula>
    </cfRule>
  </conditionalFormatting>
  <conditionalFormatting sqref="CH52">
    <cfRule type="cellIs" priority="15" operator="equal" aboveAverage="0" equalAverage="0" bottom="0" percent="0" rank="0" text="" dxfId="33">
      <formula>0.5</formula>
    </cfRule>
  </conditionalFormatting>
  <conditionalFormatting sqref="CH45">
    <cfRule type="containsText" priority="16" operator="containsText" aboveAverage="0" equalAverage="0" bottom="0" percent="0" rank="0" text="Oui" dxfId="34">
      <formula>NOT(ISERROR(SEARCH("Oui",CH45)))</formula>
    </cfRule>
  </conditionalFormatting>
  <conditionalFormatting sqref="CH45">
    <cfRule type="cellIs" priority="17" operator="equal" aboveAverage="0" equalAverage="0" bottom="0" percent="0" rank="0" text="" dxfId="35">
      <formula>0.5</formula>
    </cfRule>
  </conditionalFormatting>
  <conditionalFormatting sqref="CH35">
    <cfRule type="containsText" priority="18" operator="containsText" aboveAverage="0" equalAverage="0" bottom="0" percent="0" rank="0" text="Oui" dxfId="36">
      <formula>NOT(ISERROR(SEARCH("Oui",CH35)))</formula>
    </cfRule>
  </conditionalFormatting>
  <conditionalFormatting sqref="CH35">
    <cfRule type="cellIs" priority="19" operator="equal" aboveAverage="0" equalAverage="0" bottom="0" percent="0" rank="0" text="" dxfId="37">
      <formula>0.5</formula>
    </cfRule>
  </conditionalFormatting>
  <conditionalFormatting sqref="CH96 CH91 CH88 CH80">
    <cfRule type="containsText" priority="20" operator="containsText" aboveAverage="0" equalAverage="0" bottom="0" percent="0" rank="0" text="Oui" dxfId="38">
      <formula>NOT(ISERROR(SEARCH("Oui",CH80)))</formula>
    </cfRule>
    <cfRule type="cellIs" priority="21" operator="equal" aboveAverage="0" equalAverage="0" bottom="0" percent="0" rank="0" text="" dxfId="39">
      <formula>0.5</formula>
    </cfRule>
  </conditionalFormatting>
  <conditionalFormatting sqref="CH78 CH70:CH71 CH68 CH65 CH62 CH55:CH60 CH50 CH44 CH42 CH40 CH37 CH32 CH21:CH25 CH12:CH13 CH10 CH6 CH2:CH3">
    <cfRule type="containsText" priority="22" operator="containsText" aboveAverage="0" equalAverage="0" bottom="0" percent="0" rank="0" text="Oui" dxfId="40">
      <formula>NOT(ISERROR(SEARCH("Oui",CH2)))</formula>
    </cfRule>
    <cfRule type="cellIs" priority="23" operator="equal" aboveAverage="0" equalAverage="0" bottom="0" percent="0" rank="0" text="" dxfId="41">
      <formula>0.5</formula>
    </cfRule>
  </conditionalFormatting>
  <conditionalFormatting sqref="CH81">
    <cfRule type="containsText" priority="24" operator="containsText" aboveAverage="0" equalAverage="0" bottom="0" percent="0" rank="0" text="Oui" dxfId="42">
      <formula>NOT(ISERROR(SEARCH("Oui",CH81)))</formula>
    </cfRule>
  </conditionalFormatting>
  <conditionalFormatting sqref="CH81">
    <cfRule type="cellIs" priority="25" operator="equal" aboveAverage="0" equalAverage="0" bottom="0" percent="0" rank="0" text="" dxfId="43">
      <formula>0.5</formula>
    </cfRule>
  </conditionalFormatting>
  <conditionalFormatting sqref="CH75:CH76">
    <cfRule type="containsText" priority="26" operator="containsText" aboveAverage="0" equalAverage="0" bottom="0" percent="0" rank="0" text="Oui" dxfId="44">
      <formula>NOT(ISERROR(SEARCH("Oui",CH75)))</formula>
    </cfRule>
    <cfRule type="cellIs" priority="27" operator="equal" aboveAverage="0" equalAverage="0" bottom="0" percent="0" rank="0" text="" dxfId="45">
      <formula>0.5</formula>
    </cfRule>
  </conditionalFormatting>
  <conditionalFormatting sqref="CH49 CH34">
    <cfRule type="containsText" priority="28" operator="containsText" aboveAverage="0" equalAverage="0" bottom="0" percent="0" rank="0" text="Oui" dxfId="46">
      <formula>NOT(ISERROR(SEARCH("Oui",CH34)))</formula>
    </cfRule>
    <cfRule type="cellIs" priority="29" operator="equal" aboveAverage="0" equalAverage="0" bottom="0" percent="0" rank="0" text="" dxfId="47">
      <formula>0.5</formula>
    </cfRule>
  </conditionalFormatting>
  <conditionalFormatting sqref="CH30">
    <cfRule type="containsText" priority="30" operator="containsText" aboveAverage="0" equalAverage="0" bottom="0" percent="0" rank="0" text="Oui" dxfId="48">
      <formula>NOT(ISERROR(SEARCH("Oui",CH30)))</formula>
    </cfRule>
  </conditionalFormatting>
  <conditionalFormatting sqref="CH30">
    <cfRule type="cellIs" priority="31" operator="equal" aboveAverage="0" equalAverage="0" bottom="0" percent="0" rank="0" text="" dxfId="49">
      <formula>0.5</formula>
    </cfRule>
  </conditionalFormatting>
  <conditionalFormatting sqref="CH8">
    <cfRule type="containsText" priority="32" operator="containsText" aboveAverage="0" equalAverage="0" bottom="0" percent="0" rank="0" text="Oui" dxfId="50">
      <formula>NOT(ISERROR(SEARCH("Oui",CH8)))</formula>
    </cfRule>
  </conditionalFormatting>
  <conditionalFormatting sqref="CH8">
    <cfRule type="cellIs" priority="33" operator="equal" aboveAverage="0" equalAverage="0" bottom="0" percent="0" rank="0" text="" dxfId="51">
      <formula>0.5</formula>
    </cfRule>
  </conditionalFormatting>
  <conditionalFormatting sqref="CH86 CH97 CH63 CH83 CH99 CH101 CH92:CH94">
    <cfRule type="containsText" priority="34" operator="containsText" aboveAverage="0" equalAverage="0" bottom="0" percent="0" rank="0" text="Oui" dxfId="52">
      <formula>NOT(ISERROR(SEARCH("Oui",CH63)))</formula>
    </cfRule>
    <cfRule type="cellIs" priority="35" operator="equal" aboveAverage="0" equalAverage="0" bottom="0" percent="0" rank="0" text="" dxfId="53">
      <formula>0.5</formula>
    </cfRule>
  </conditionalFormatting>
  <conditionalFormatting sqref="CH46 CH7 CH26 CH29 CH17 CH11">
    <cfRule type="containsText" priority="36" operator="containsText" aboveAverage="0" equalAverage="0" bottom="0" percent="0" rank="0" text="Oui" dxfId="54">
      <formula>NOT(ISERROR(SEARCH("Oui",CH7)))</formula>
    </cfRule>
    <cfRule type="cellIs" priority="37" operator="equal" aboveAverage="0" equalAverage="0" bottom="0" percent="0" rank="0" text="" dxfId="55">
      <formula>0.5</formula>
    </cfRule>
  </conditionalFormatting>
  <conditionalFormatting sqref="CF96 CF91 CF88 CF80">
    <cfRule type="containsText" priority="38" operator="containsText" aboveAverage="0" equalAverage="0" bottom="0" percent="0" rank="0" text="Oui" dxfId="56">
      <formula>NOT(ISERROR(SEARCH("Oui",CF80)))</formula>
    </cfRule>
    <cfRule type="cellIs" priority="39" operator="equal" aboveAverage="0" equalAverage="0" bottom="0" percent="0" rank="0" text="" dxfId="57">
      <formula>0.5</formula>
    </cfRule>
  </conditionalFormatting>
  <conditionalFormatting sqref="CF78 CF70:CF71 CF68 CF65 CF62 CF55:CF60 CF50 CF44 CF42 CF40 CF37 CF32 CF21:CF25 CF12:CF13 CF10 CF6 CF2:CF3">
    <cfRule type="containsText" priority="40" operator="containsText" aboveAverage="0" equalAverage="0" bottom="0" percent="0" rank="0" text="Oui" dxfId="58">
      <formula>NOT(ISERROR(SEARCH("Oui",CF2)))</formula>
    </cfRule>
    <cfRule type="cellIs" priority="41" operator="equal" aboveAverage="0" equalAverage="0" bottom="0" percent="0" rank="0" text="" dxfId="59">
      <formula>0.5</formula>
    </cfRule>
  </conditionalFormatting>
  <conditionalFormatting sqref="BR2:BS101">
    <cfRule type="cellIs" priority="42" operator="between" aboveAverage="0" equalAverage="0" bottom="0" percent="0" rank="0" text="" dxfId="60">
      <formula>1</formula>
      <formula>2</formula>
    </cfRule>
    <cfRule type="cellIs" priority="43" operator="greaterThan" aboveAverage="0" equalAverage="0" bottom="0" percent="0" rank="0" text="" dxfId="61">
      <formula>2</formula>
    </cfRule>
  </conditionalFormatting>
  <conditionalFormatting sqref="CF81">
    <cfRule type="containsText" priority="44" operator="containsText" aboveAverage="0" equalAverage="0" bottom="0" percent="0" rank="0" text="Oui" dxfId="62">
      <formula>NOT(ISERROR(SEARCH("Oui",CF81)))</formula>
    </cfRule>
  </conditionalFormatting>
  <conditionalFormatting sqref="CF81">
    <cfRule type="cellIs" priority="45" operator="equal" aboveAverage="0" equalAverage="0" bottom="0" percent="0" rank="0" text="" dxfId="63">
      <formula>0.5</formula>
    </cfRule>
  </conditionalFormatting>
  <conditionalFormatting sqref="CF75:CF76">
    <cfRule type="containsText" priority="46" operator="containsText" aboveAverage="0" equalAverage="0" bottom="0" percent="0" rank="0" text="Oui" dxfId="64">
      <formula>NOT(ISERROR(SEARCH("Oui",CF75)))</formula>
    </cfRule>
    <cfRule type="cellIs" priority="47" operator="equal" aboveAverage="0" equalAverage="0" bottom="0" percent="0" rank="0" text="" dxfId="65">
      <formula>0.5</formula>
    </cfRule>
  </conditionalFormatting>
  <conditionalFormatting sqref="CF49 CF34">
    <cfRule type="containsText" priority="48" operator="containsText" aboveAverage="0" equalAverage="0" bottom="0" percent="0" rank="0" text="Oui" dxfId="66">
      <formula>NOT(ISERROR(SEARCH("Oui",CF34)))</formula>
    </cfRule>
    <cfRule type="cellIs" priority="49" operator="equal" aboveAverage="0" equalAverage="0" bottom="0" percent="0" rank="0" text="" dxfId="67">
      <formula>0.5</formula>
    </cfRule>
  </conditionalFormatting>
  <conditionalFormatting sqref="CF30">
    <cfRule type="containsText" priority="50" operator="containsText" aboveAverage="0" equalAverage="0" bottom="0" percent="0" rank="0" text="Oui" dxfId="68">
      <formula>NOT(ISERROR(SEARCH("Oui",CF30)))</formula>
    </cfRule>
  </conditionalFormatting>
  <conditionalFormatting sqref="CF30">
    <cfRule type="cellIs" priority="51" operator="equal" aboveAverage="0" equalAverage="0" bottom="0" percent="0" rank="0" text="" dxfId="69">
      <formula>0.5</formula>
    </cfRule>
  </conditionalFormatting>
  <conditionalFormatting sqref="CF8">
    <cfRule type="containsText" priority="52" operator="containsText" aboveAverage="0" equalAverage="0" bottom="0" percent="0" rank="0" text="Oui" dxfId="70">
      <formula>NOT(ISERROR(SEARCH("Oui",CF8)))</formula>
    </cfRule>
  </conditionalFormatting>
  <conditionalFormatting sqref="CF8">
    <cfRule type="cellIs" priority="53" operator="equal" aboveAverage="0" equalAverage="0" bottom="0" percent="0" rank="0" text="" dxfId="71">
      <formula>0.5</formula>
    </cfRule>
  </conditionalFormatting>
  <conditionalFormatting sqref="CD25">
    <cfRule type="containsText" priority="54" operator="containsText" aboveAverage="0" equalAverage="0" bottom="0" percent="0" rank="0" text="Oui" dxfId="72">
      <formula>NOT(ISERROR(SEARCH("Oui",CD25)))</formula>
    </cfRule>
  </conditionalFormatting>
  <conditionalFormatting sqref="CD25">
    <cfRule type="cellIs" priority="55" operator="equal" aboveAverage="0" equalAverage="0" bottom="0" percent="0" rank="0" text="" dxfId="73">
      <formula>0.5</formula>
    </cfRule>
  </conditionalFormatting>
  <conditionalFormatting sqref="CD101 CD99 CD95:CD96 CD88:CD92">
    <cfRule type="containsText" priority="56" operator="containsText" aboveAverage="0" equalAverage="0" bottom="0" percent="0" rank="0" text="Oui" dxfId="74">
      <formula>NOT(ISERROR(SEARCH("Oui",CD88)))</formula>
    </cfRule>
    <cfRule type="cellIs" priority="57" operator="equal" aboveAverage="0" equalAverage="0" bottom="0" percent="0" rank="0" text="" dxfId="75">
      <formula>0.5</formula>
    </cfRule>
  </conditionalFormatting>
  <conditionalFormatting sqref="CD85">
    <cfRule type="containsText" priority="58" operator="containsText" aboveAverage="0" equalAverage="0" bottom="0" percent="0" rank="0" text="Oui" dxfId="76">
      <formula>NOT(ISERROR(SEARCH("Oui",CD85)))</formula>
    </cfRule>
  </conditionalFormatting>
  <conditionalFormatting sqref="CD85">
    <cfRule type="cellIs" priority="59" operator="equal" aboveAverage="0" equalAverage="0" bottom="0" percent="0" rank="0" text="" dxfId="77">
      <formula>0.5</formula>
    </cfRule>
  </conditionalFormatting>
  <conditionalFormatting sqref="CD80">
    <cfRule type="containsText" priority="60" operator="containsText" aboveAverage="0" equalAverage="0" bottom="0" percent="0" rank="0" text="Oui" dxfId="78">
      <formula>NOT(ISERROR(SEARCH("Oui",CD80)))</formula>
    </cfRule>
  </conditionalFormatting>
  <conditionalFormatting sqref="CD80">
    <cfRule type="cellIs" priority="61" operator="equal" aboveAverage="0" equalAverage="0" bottom="0" percent="0" rank="0" text="" dxfId="79">
      <formula>0.5</formula>
    </cfRule>
  </conditionalFormatting>
  <conditionalFormatting sqref="CD78">
    <cfRule type="containsText" priority="62" operator="containsText" aboveAverage="0" equalAverage="0" bottom="0" percent="0" rank="0" text="Oui" dxfId="80">
      <formula>NOT(ISERROR(SEARCH("Oui",CD78)))</formula>
    </cfRule>
  </conditionalFormatting>
  <conditionalFormatting sqref="CD78">
    <cfRule type="cellIs" priority="63" operator="equal" aboveAverage="0" equalAverage="0" bottom="0" percent="0" rank="0" text="" dxfId="81">
      <formula>0.5</formula>
    </cfRule>
  </conditionalFormatting>
  <conditionalFormatting sqref="CD70:CD72">
    <cfRule type="containsText" priority="64" operator="containsText" aboveAverage="0" equalAverage="0" bottom="0" percent="0" rank="0" text="Oui" dxfId="82">
      <formula>NOT(ISERROR(SEARCH("Oui",CD70)))</formula>
    </cfRule>
    <cfRule type="cellIs" priority="65" operator="equal" aboveAverage="0" equalAverage="0" bottom="0" percent="0" rank="0" text="" dxfId="83">
      <formula>0.5</formula>
    </cfRule>
  </conditionalFormatting>
  <conditionalFormatting sqref="CD68 CD65:CD66 CD60:CD62">
    <cfRule type="containsText" priority="66" operator="containsText" aboveAverage="0" equalAverage="0" bottom="0" percent="0" rank="0" text="Oui" dxfId="84">
      <formula>NOT(ISERROR(SEARCH("Oui",CD60)))</formula>
    </cfRule>
    <cfRule type="cellIs" priority="67" operator="equal" aboveAverage="0" equalAverage="0" bottom="0" percent="0" rank="0" text="" dxfId="85">
      <formula>0.5</formula>
    </cfRule>
  </conditionalFormatting>
  <conditionalFormatting sqref="CD55:CD59 CD52">
    <cfRule type="containsText" priority="68" operator="containsText" aboveAverage="0" equalAverage="0" bottom="0" percent="0" rank="0" text="Oui" dxfId="86">
      <formula>NOT(ISERROR(SEARCH("Oui",CD52)))</formula>
    </cfRule>
    <cfRule type="cellIs" priority="69" operator="equal" aboveAverage="0" equalAverage="0" bottom="0" percent="0" rank="0" text="" dxfId="87">
      <formula>0.5</formula>
    </cfRule>
  </conditionalFormatting>
  <conditionalFormatting sqref="CD50">
    <cfRule type="containsText" priority="70" operator="containsText" aboveAverage="0" equalAverage="0" bottom="0" percent="0" rank="0" text="Oui" dxfId="88">
      <formula>NOT(ISERROR(SEARCH("Oui",CD50)))</formula>
    </cfRule>
  </conditionalFormatting>
  <conditionalFormatting sqref="CD50">
    <cfRule type="cellIs" priority="71" operator="equal" aboveAverage="0" equalAverage="0" bottom="0" percent="0" rank="0" text="" dxfId="89">
      <formula>0.5</formula>
    </cfRule>
  </conditionalFormatting>
  <conditionalFormatting sqref="CD44:CD46 CD42 CD40 CD37 CD35">
    <cfRule type="containsText" priority="72" operator="containsText" aboveAverage="0" equalAverage="0" bottom="0" percent="0" rank="0" text="Oui" dxfId="90">
      <formula>NOT(ISERROR(SEARCH("Oui",CD35)))</formula>
    </cfRule>
    <cfRule type="cellIs" priority="73" operator="equal" aboveAverage="0" equalAverage="0" bottom="0" percent="0" rank="0" text="" dxfId="91">
      <formula>0.5</formula>
    </cfRule>
  </conditionalFormatting>
  <conditionalFormatting sqref="CD32">
    <cfRule type="containsText" priority="74" operator="containsText" aboveAverage="0" equalAverage="0" bottom="0" percent="0" rank="0" text="Oui" dxfId="92">
      <formula>NOT(ISERROR(SEARCH("Oui",CD32)))</formula>
    </cfRule>
  </conditionalFormatting>
  <conditionalFormatting sqref="CD32">
    <cfRule type="cellIs" priority="75" operator="equal" aboveAverage="0" equalAverage="0" bottom="0" percent="0" rank="0" text="" dxfId="93">
      <formula>0.5</formula>
    </cfRule>
  </conditionalFormatting>
  <conditionalFormatting sqref="CD24">
    <cfRule type="containsText" priority="76" operator="containsText" aboveAverage="0" equalAverage="0" bottom="0" percent="0" rank="0" text="Oui" dxfId="94">
      <formula>NOT(ISERROR(SEARCH("Oui",CD24)))</formula>
    </cfRule>
  </conditionalFormatting>
  <conditionalFormatting sqref="CD24">
    <cfRule type="cellIs" priority="77" operator="equal" aboveAverage="0" equalAverage="0" bottom="0" percent="0" rank="0" text="" dxfId="95">
      <formula>0.5</formula>
    </cfRule>
  </conditionalFormatting>
  <conditionalFormatting sqref="CD23">
    <cfRule type="containsText" priority="78" operator="containsText" aboveAverage="0" equalAverage="0" bottom="0" percent="0" rank="0" text="Oui" dxfId="96">
      <formula>NOT(ISERROR(SEARCH("Oui",CD23)))</formula>
    </cfRule>
  </conditionalFormatting>
  <conditionalFormatting sqref="CD23">
    <cfRule type="cellIs" priority="79" operator="equal" aboveAverage="0" equalAverage="0" bottom="0" percent="0" rank="0" text="" dxfId="97">
      <formula>0.5</formula>
    </cfRule>
  </conditionalFormatting>
  <conditionalFormatting sqref="CD12:CD17">
    <cfRule type="containsText" priority="80" operator="containsText" aboveAverage="0" equalAverage="0" bottom="0" percent="0" rank="0" text="Oui" dxfId="98">
      <formula>NOT(ISERROR(SEARCH("Oui",CD12)))</formula>
    </cfRule>
    <cfRule type="cellIs" priority="81" operator="equal" aboveAverage="0" equalAverage="0" bottom="0" percent="0" rank="0" text="" dxfId="99">
      <formula>0.5</formula>
    </cfRule>
  </conditionalFormatting>
  <conditionalFormatting sqref="CD6 CD2:CD3">
    <cfRule type="containsText" priority="82" operator="containsText" aboveAverage="0" equalAverage="0" bottom="0" percent="0" rank="0" text="Oui" dxfId="100">
      <formula>NOT(ISERROR(SEARCH("Oui",CD2)))</formula>
    </cfRule>
    <cfRule type="cellIs" priority="83" operator="equal" aboveAverage="0" equalAverage="0" bottom="0" percent="0" rank="0" text="" dxfId="101">
      <formula>0.5</formula>
    </cfRule>
  </conditionalFormatting>
  <conditionalFormatting sqref="BT2:CB101">
    <cfRule type="cellIs" priority="84" operator="between" aboveAverage="0" equalAverage="0" bottom="0" percent="0" rank="0" text="" dxfId="102">
      <formula>1</formula>
      <formula>2</formula>
    </cfRule>
    <cfRule type="cellIs" priority="85" operator="greaterThan" aboveAverage="0" equalAverage="0" bottom="0" percent="0" rank="0" text="" dxfId="103">
      <formula>2</formula>
    </cfRule>
  </conditionalFormatting>
  <conditionalFormatting sqref="BQ145:BQ151">
    <cfRule type="containsText" priority="86" operator="containsText" aboveAverage="0" equalAverage="0" bottom="0" percent="0" rank="0" text="Oui" dxfId="104">
      <formula>NOT(ISERROR(SEARCH("Oui",BQ145)))</formula>
    </cfRule>
    <cfRule type="cellIs" priority="87" operator="equal" aboveAverage="0" equalAverage="0" bottom="0" percent="0" rank="0" text="" dxfId="105">
      <formula>0.5</formula>
    </cfRule>
  </conditionalFormatting>
  <conditionalFormatting sqref="BQ137:BQ143">
    <cfRule type="containsText" priority="88" operator="containsText" aboveAverage="0" equalAverage="0" bottom="0" percent="0" rank="0" text="Oui" dxfId="106">
      <formula>NOT(ISERROR(SEARCH("Oui",BQ137)))</formula>
    </cfRule>
    <cfRule type="cellIs" priority="89" operator="equal" aboveAverage="0" equalAverage="0" bottom="0" percent="0" rank="0" text="" dxfId="107">
      <formula>0.5</formula>
    </cfRule>
  </conditionalFormatting>
  <conditionalFormatting sqref="BQ102:BQ103">
    <cfRule type="containsText" priority="90" operator="containsText" aboveAverage="0" equalAverage="0" bottom="0" percent="0" rank="0" text="Oui" dxfId="108">
      <formula>NOT(ISERROR(SEARCH("Oui",BQ102)))</formula>
    </cfRule>
    <cfRule type="cellIs" priority="91" operator="equal" aboveAverage="0" equalAverage="0" bottom="0" percent="0" rank="0" text="" dxfId="109">
      <formula>0.5</formula>
    </cfRule>
  </conditionalFormatting>
  <conditionalFormatting sqref="BQ104:BQ112">
    <cfRule type="containsText" priority="92" operator="containsText" aboveAverage="0" equalAverage="0" bottom="0" percent="0" rank="0" text="Oui" dxfId="110">
      <formula>NOT(ISERROR(SEARCH("Oui",BQ104)))</formula>
    </cfRule>
    <cfRule type="cellIs" priority="93" operator="equal" aboveAverage="0" equalAverage="0" bottom="0" percent="0" rank="0" text="" dxfId="111">
      <formula>0.5</formula>
    </cfRule>
  </conditionalFormatting>
  <conditionalFormatting sqref="BK145:BK151">
    <cfRule type="containsText" priority="94" operator="containsText" aboveAverage="0" equalAverage="0" bottom="0" percent="0" rank="0" text="Oui" dxfId="112">
      <formula>NOT(ISERROR(SEARCH("Oui",BK145)))</formula>
    </cfRule>
    <cfRule type="cellIs" priority="95" operator="equal" aboveAverage="0" equalAverage="0" bottom="0" percent="0" rank="0" text="" dxfId="113">
      <formula>0.5</formula>
    </cfRule>
  </conditionalFormatting>
  <conditionalFormatting sqref="BK137:BK143">
    <cfRule type="containsText" priority="96" operator="containsText" aboveAverage="0" equalAverage="0" bottom="0" percent="0" rank="0" text="Oui" dxfId="114">
      <formula>NOT(ISERROR(SEARCH("Oui",BK137)))</formula>
    </cfRule>
    <cfRule type="cellIs" priority="97" operator="equal" aboveAverage="0" equalAverage="0" bottom="0" percent="0" rank="0" text="" dxfId="115">
      <formula>0.5</formula>
    </cfRule>
  </conditionalFormatting>
  <conditionalFormatting sqref="BK102:BK103">
    <cfRule type="containsText" priority="98" operator="containsText" aboveAverage="0" equalAverage="0" bottom="0" percent="0" rank="0" text="Oui" dxfId="116">
      <formula>NOT(ISERROR(SEARCH("Oui",BK102)))</formula>
    </cfRule>
    <cfRule type="cellIs" priority="99" operator="equal" aboveAverage="0" equalAverage="0" bottom="0" percent="0" rank="0" text="" dxfId="117">
      <formula>0.5</formula>
    </cfRule>
  </conditionalFormatting>
  <conditionalFormatting sqref="BK104:BK112">
    <cfRule type="containsText" priority="100" operator="containsText" aboveAverage="0" equalAverage="0" bottom="0" percent="0" rank="0" text="Oui" dxfId="118">
      <formula>NOT(ISERROR(SEARCH("Oui",BK104)))</formula>
    </cfRule>
    <cfRule type="cellIs" priority="101" operator="equal" aboveAverage="0" equalAverage="0" bottom="0" percent="0" rank="0" text="" dxfId="119">
      <formula>0.5</formula>
    </cfRule>
  </conditionalFormatting>
  <conditionalFormatting sqref="CD145:CD151 CF145:CF151">
    <cfRule type="containsText" priority="102" operator="containsText" aboveAverage="0" equalAverage="0" bottom="0" percent="0" rank="0" text="Oui" dxfId="120">
      <formula>NOT(ISERROR(SEARCH("Oui",CD145)))</formula>
    </cfRule>
    <cfRule type="cellIs" priority="103" operator="equal" aboveAverage="0" equalAverage="0" bottom="0" percent="0" rank="0" text="" dxfId="121">
      <formula>0.5</formula>
    </cfRule>
  </conditionalFormatting>
  <conditionalFormatting sqref="DH145:DH151">
    <cfRule type="containsText" priority="104" operator="containsText" aboveAverage="0" equalAverage="0" bottom="0" percent="0" rank="0" text="Oui" dxfId="122">
      <formula>NOT(ISERROR(SEARCH("Oui",DH145)))</formula>
    </cfRule>
    <cfRule type="cellIs" priority="105" operator="equal" aboveAverage="0" equalAverage="0" bottom="0" percent="0" rank="0" text="" dxfId="123">
      <formula>0.5</formula>
    </cfRule>
  </conditionalFormatting>
  <conditionalFormatting sqref="CD137:CD143 CF137:CF143">
    <cfRule type="containsText" priority="106" operator="containsText" aboveAverage="0" equalAverage="0" bottom="0" percent="0" rank="0" text="Oui" dxfId="124">
      <formula>NOT(ISERROR(SEARCH("Oui",CD137)))</formula>
    </cfRule>
    <cfRule type="cellIs" priority="107" operator="equal" aboveAverage="0" equalAverage="0" bottom="0" percent="0" rank="0" text="" dxfId="125">
      <formula>0.5</formula>
    </cfRule>
  </conditionalFormatting>
  <conditionalFormatting sqref="DH137:DH143">
    <cfRule type="containsText" priority="108" operator="containsText" aboveAverage="0" equalAverage="0" bottom="0" percent="0" rank="0" text="Oui" dxfId="126">
      <formula>NOT(ISERROR(SEARCH("Oui",DH137)))</formula>
    </cfRule>
    <cfRule type="cellIs" priority="109" operator="equal" aboveAverage="0" equalAverage="0" bottom="0" percent="0" rank="0" text="" dxfId="127">
      <formula>0.5</formula>
    </cfRule>
  </conditionalFormatting>
  <conditionalFormatting sqref="DA76:DA78 DA85:DA86 DA96:DA97 DA52 DA55 DA59 DA63 DA69:DA72 DA83 DA90:DA94 DA99 DA101">
    <cfRule type="containsText" priority="110" operator="containsText" aboveAverage="0" equalAverage="0" bottom="0" percent="0" rank="0" text="Oui" dxfId="128">
      <formula>NOT(ISERROR(SEARCH("Oui",DA52)))</formula>
    </cfRule>
    <cfRule type="cellIs" priority="111" operator="equal" aboveAverage="0" equalAverage="0" bottom="0" percent="0" rank="0" text="" dxfId="129">
      <formula>0.5</formula>
    </cfRule>
  </conditionalFormatting>
  <conditionalFormatting sqref="DA32 DA46 DA2 DA7 DA25:DA26 DA29:DA30 DA35 DA37 DA42 DA44 DA49:DA51 DA17 DA10:DA13 DA20:DA22">
    <cfRule type="containsText" priority="112" operator="containsText" aboveAverage="0" equalAverage="0" bottom="0" percent="0" rank="0" text="Oui" dxfId="130">
      <formula>NOT(ISERROR(SEARCH("Oui",DA2)))</formula>
    </cfRule>
    <cfRule type="cellIs" priority="113" operator="equal" aboveAverage="0" equalAverage="0" bottom="0" percent="0" rank="0" text="" dxfId="131">
      <formula>0.5</formula>
    </cfRule>
  </conditionalFormatting>
  <conditionalFormatting sqref="CI34">
    <cfRule type="containsText" priority="114" operator="containsText" aboveAverage="0" equalAverage="0" bottom="0" percent="0" rank="0" text="Oui" dxfId="132">
      <formula>NOT(ISERROR(SEARCH("Oui",CI34)))</formula>
    </cfRule>
    <cfRule type="cellIs" priority="115" operator="equal" aboveAverage="0" equalAverage="0" bottom="0" percent="0" rank="0" text="" dxfId="133">
      <formula>0.5</formula>
    </cfRule>
  </conditionalFormatting>
  <conditionalFormatting sqref="CI28">
    <cfRule type="containsText" priority="116" operator="containsText" aboveAverage="0" equalAverage="0" bottom="0" percent="0" rank="0" text="Oui" dxfId="134">
      <formula>NOT(ISERROR(SEARCH("Oui",CI28)))</formula>
    </cfRule>
    <cfRule type="cellIs" priority="117" operator="equal" aboveAverage="0" equalAverage="0" bottom="0" percent="0" rank="0" text="" dxfId="135">
      <formula>0.5</formula>
    </cfRule>
  </conditionalFormatting>
  <conditionalFormatting sqref="CI23:CI24">
    <cfRule type="containsText" priority="118" operator="containsText" aboveAverage="0" equalAverage="0" bottom="0" percent="0" rank="0" text="Oui" dxfId="136">
      <formula>NOT(ISERROR(SEARCH("Oui",CI23)))</formula>
    </cfRule>
    <cfRule type="cellIs" priority="119" operator="equal" aboveAverage="0" equalAverage="0" bottom="0" percent="0" rank="0" text="" dxfId="137">
      <formula>0.5</formula>
    </cfRule>
  </conditionalFormatting>
  <conditionalFormatting sqref="CI52 CI55:CI62 CI65 CI68:CI81 CI85 CI88:CI91 CI96 CI102:CI103">
    <cfRule type="containsText" priority="120" operator="containsText" aboveAverage="0" equalAverage="0" bottom="0" percent="0" rank="0" text="Oui" dxfId="138">
      <formula>NOT(ISERROR(SEARCH("Oui",CI52)))</formula>
    </cfRule>
    <cfRule type="cellIs" priority="121" operator="equal" aboveAverage="0" equalAverage="0" bottom="0" percent="0" rank="0" text="" dxfId="139">
      <formula>0.5</formula>
    </cfRule>
  </conditionalFormatting>
  <conditionalFormatting sqref="CI49:CI51">
    <cfRule type="containsText" priority="122" operator="containsText" aboveAverage="0" equalAverage="0" bottom="0" percent="0" rank="0" text="Oui" dxfId="140">
      <formula>NOT(ISERROR(SEARCH("Oui",CI49)))</formula>
    </cfRule>
    <cfRule type="cellIs" priority="123" operator="equal" aboveAverage="0" equalAverage="0" bottom="0" percent="0" rank="0" text="" dxfId="141">
      <formula>0.5</formula>
    </cfRule>
  </conditionalFormatting>
  <conditionalFormatting sqref="CI44:CI45">
    <cfRule type="containsText" priority="124" operator="containsText" aboveAverage="0" equalAverage="0" bottom="0" percent="0" rank="0" text="Oui" dxfId="142">
      <formula>NOT(ISERROR(SEARCH("Oui",CI44)))</formula>
    </cfRule>
    <cfRule type="cellIs" priority="125" operator="equal" aboveAverage="0" equalAverage="0" bottom="0" percent="0" rank="0" text="" dxfId="143">
      <formula>0.5</formula>
    </cfRule>
  </conditionalFormatting>
  <conditionalFormatting sqref="CI40">
    <cfRule type="containsText" priority="126" operator="containsText" aboveAverage="0" equalAverage="0" bottom="0" percent="0" rank="0" text="Oui" dxfId="144">
      <formula>NOT(ISERROR(SEARCH("Oui",CI40)))</formula>
    </cfRule>
    <cfRule type="cellIs" priority="127" operator="equal" aboveAverage="0" equalAverage="0" bottom="0" percent="0" rank="0" text="" dxfId="145">
      <formula>0.5</formula>
    </cfRule>
  </conditionalFormatting>
  <conditionalFormatting sqref="CI37">
    <cfRule type="containsText" priority="128" operator="containsText" aboveAverage="0" equalAverage="0" bottom="0" percent="0" rank="0" text="Oui" dxfId="146">
      <formula>NOT(ISERROR(SEARCH("Oui",CI37)))</formula>
    </cfRule>
    <cfRule type="cellIs" priority="129" operator="equal" aboveAverage="0" equalAverage="0" bottom="0" percent="0" rank="0" text="" dxfId="147">
      <formula>0.5</formula>
    </cfRule>
  </conditionalFormatting>
  <conditionalFormatting sqref="CI32">
    <cfRule type="containsText" priority="130" operator="containsText" aboveAverage="0" equalAverage="0" bottom="0" percent="0" rank="0" text="Oui" dxfId="148">
      <formula>NOT(ISERROR(SEARCH("Oui",CI32)))</formula>
    </cfRule>
    <cfRule type="cellIs" priority="131" operator="equal" aboveAverage="0" equalAverage="0" bottom="0" percent="0" rank="0" text="" dxfId="149">
      <formula>0.5</formula>
    </cfRule>
  </conditionalFormatting>
  <conditionalFormatting sqref="CI30">
    <cfRule type="containsText" priority="132" operator="containsText" aboveAverage="0" equalAverage="0" bottom="0" percent="0" rank="0" text="Oui" dxfId="150">
      <formula>NOT(ISERROR(SEARCH("Oui",CI30)))</formula>
    </cfRule>
    <cfRule type="cellIs" priority="133" operator="equal" aboveAverage="0" equalAverage="0" bottom="0" percent="0" rank="0" text="" dxfId="151">
      <formula>0.5</formula>
    </cfRule>
  </conditionalFormatting>
  <conditionalFormatting sqref="CI25">
    <cfRule type="containsText" priority="134" operator="containsText" aboveAverage="0" equalAverage="0" bottom="0" percent="0" rank="0" text="Oui" dxfId="152">
      <formula>NOT(ISERROR(SEARCH("Oui",CI25)))</formula>
    </cfRule>
    <cfRule type="cellIs" priority="135" operator="equal" aboveAverage="0" equalAverage="0" bottom="0" percent="0" rank="0" text="" dxfId="153">
      <formula>0.5</formula>
    </cfRule>
  </conditionalFormatting>
  <conditionalFormatting sqref="CI20">
    <cfRule type="containsText" priority="136" operator="containsText" aboveAverage="0" equalAverage="0" bottom="0" percent="0" rank="0" text="Oui" dxfId="154">
      <formula>NOT(ISERROR(SEARCH("Oui",CI20)))</formula>
    </cfRule>
    <cfRule type="cellIs" priority="137" operator="equal" aboveAverage="0" equalAverage="0" bottom="0" percent="0" rank="0" text="" dxfId="155">
      <formula>0.5</formula>
    </cfRule>
  </conditionalFormatting>
  <conditionalFormatting sqref="CI12:CI13">
    <cfRule type="containsText" priority="138" operator="containsText" aboveAverage="0" equalAverage="0" bottom="0" percent="0" rank="0" text="Oui" dxfId="156">
      <formula>NOT(ISERROR(SEARCH("Oui",CI12)))</formula>
    </cfRule>
    <cfRule type="cellIs" priority="139" operator="equal" aboveAverage="0" equalAverage="0" bottom="0" percent="0" rank="0" text="" dxfId="157">
      <formula>0.5</formula>
    </cfRule>
  </conditionalFormatting>
  <conditionalFormatting sqref="CI17">
    <cfRule type="containsText" priority="140" operator="containsText" aboveAverage="0" equalAverage="0" bottom="0" percent="0" rank="0" text="Oui" dxfId="158">
      <formula>NOT(ISERROR(SEARCH("Oui",CI17)))</formula>
    </cfRule>
    <cfRule type="cellIs" priority="141" operator="equal" aboveAverage="0" equalAverage="0" bottom="0" percent="0" rank="0" text="" dxfId="159">
      <formula>0.5</formula>
    </cfRule>
  </conditionalFormatting>
  <conditionalFormatting sqref="CI2">
    <cfRule type="containsText" priority="142" operator="containsText" aboveAverage="0" equalAverage="0" bottom="0" percent="0" rank="0" text="Oui" dxfId="160">
      <formula>NOT(ISERROR(SEARCH("Oui",CI2)))</formula>
    </cfRule>
    <cfRule type="cellIs" priority="143" operator="equal" aboveAverage="0" equalAverage="0" bottom="0" percent="0" rank="0" text="" dxfId="161">
      <formula>0.5</formula>
    </cfRule>
  </conditionalFormatting>
  <conditionalFormatting sqref="CF85:CF86 CF97 CD63 CD83 CD86 CD93:CD94 CD97 CF52 CF63 CF72 CF83 CF90 CF99 CD102:CD112 CF101:CF112 CF92:CF94">
    <cfRule type="containsText" priority="144" operator="containsText" aboveAverage="0" equalAverage="0" bottom="0" percent="0" rank="0" text="Oui" dxfId="162">
      <formula>NOT(ISERROR(SEARCH("Oui",CD52)))</formula>
    </cfRule>
  </conditionalFormatting>
  <conditionalFormatting sqref="CF85:CF86 CF97 CD63 CD83 CD86 CD93:CD94 CD97 CD102:CD103 CF52 CF63 CF72 CF83 CF90 CF99 CF101:CF103 CF92:CF94">
    <cfRule type="cellIs" priority="145" operator="equal" aboveAverage="0" equalAverage="0" bottom="0" percent="0" rank="0" text="" dxfId="163">
      <formula>0.5</formula>
    </cfRule>
  </conditionalFormatting>
  <conditionalFormatting sqref="BR102:BS103">
    <cfRule type="cellIs" priority="146" operator="between" aboveAverage="0" equalAverage="0" bottom="0" percent="0" rank="0" text="" dxfId="164">
      <formula>0.49</formula>
      <formula>0.99</formula>
    </cfRule>
    <cfRule type="cellIs" priority="147" operator="greaterThan" aboveAverage="0" equalAverage="0" bottom="0" percent="0" rank="0" text="" dxfId="165">
      <formula>0.99</formula>
    </cfRule>
  </conditionalFormatting>
  <conditionalFormatting sqref="CF46 CD7 CD26 CD29 CF7 CF26 CF29 CF35 CF17 CF11 CD10:CD11 CD21:CD22">
    <cfRule type="containsText" priority="148" operator="containsText" aboveAverage="0" equalAverage="0" bottom="0" percent="0" rank="0" text="Oui" dxfId="166">
      <formula>NOT(ISERROR(SEARCH("Oui",CD7)))</formula>
    </cfRule>
  </conditionalFormatting>
  <conditionalFormatting sqref="CF46 CD7 CD26 CD29 CF7 CF26 CF29 CF35 CF17 CF11 CD104:CD112 CF104:CF112 CD10:CD11 CD21:CD22">
    <cfRule type="cellIs" priority="149" operator="equal" aboveAverage="0" equalAverage="0" bottom="0" percent="0" rank="0" text="" dxfId="167">
      <formula>0.5</formula>
    </cfRule>
  </conditionalFormatting>
  <conditionalFormatting sqref="BR104:BS104 BR112:BS112">
    <cfRule type="cellIs" priority="150" operator="between" aboveAverage="0" equalAverage="0" bottom="0" percent="0" rank="0" text="" dxfId="168">
      <formula>0.49</formula>
      <formula>0.99</formula>
    </cfRule>
    <cfRule type="cellIs" priority="151" operator="greaterThan" aboveAverage="0" equalAverage="0" bottom="0" percent="0" rank="0" text="" dxfId="169">
      <formula>0.99</formula>
    </cfRule>
  </conditionalFormatting>
  <conditionalFormatting sqref="CJ53:CJ54 CJ63:CJ64 CJ66:CJ67 CJ73:CJ74 CJ82:CJ84 CJ92:CJ95 CJ97:CJ103 CJ86:CJ87 CJ69 CJ77">
    <cfRule type="containsText" priority="152" operator="containsText" aboveAverage="0" equalAverage="0" bottom="0" percent="0" rank="0" text="Oui" dxfId="170">
      <formula>NOT(ISERROR(SEARCH("Oui",CJ53)))</formula>
    </cfRule>
    <cfRule type="cellIs" priority="153" operator="equal" aboveAverage="0" equalAverage="0" bottom="0" percent="0" rank="0" text="" dxfId="171">
      <formula>0.5</formula>
    </cfRule>
  </conditionalFormatting>
  <conditionalFormatting sqref="CJ51">
    <cfRule type="containsText" priority="154" operator="containsText" aboveAverage="0" equalAverage="0" bottom="0" percent="0" rank="0" text="Oui" dxfId="172">
      <formula>NOT(ISERROR(SEARCH("Oui",CJ51)))</formula>
    </cfRule>
    <cfRule type="cellIs" priority="155" operator="equal" aboveAverage="0" equalAverage="0" bottom="0" percent="0" rank="0" text="" dxfId="173">
      <formula>0.5</formula>
    </cfRule>
  </conditionalFormatting>
  <conditionalFormatting sqref="CJ46">
    <cfRule type="containsText" priority="156" operator="containsText" aboveAverage="0" equalAverage="0" bottom="0" percent="0" rank="0" text="Oui" dxfId="174">
      <formula>NOT(ISERROR(SEARCH("Oui",CJ46)))</formula>
    </cfRule>
    <cfRule type="cellIs" priority="157" operator="equal" aboveAverage="0" equalAverage="0" bottom="0" percent="0" rank="0" text="" dxfId="175">
      <formula>0.5</formula>
    </cfRule>
  </conditionalFormatting>
  <conditionalFormatting sqref="CJ29">
    <cfRule type="containsText" priority="158" operator="containsText" aboveAverage="0" equalAverage="0" bottom="0" percent="0" rank="0" text="Oui" dxfId="176">
      <formula>NOT(ISERROR(SEARCH("Oui",CJ29)))</formula>
    </cfRule>
    <cfRule type="cellIs" priority="159" operator="equal" aboveAverage="0" equalAverage="0" bottom="0" percent="0" rank="0" text="" dxfId="177">
      <formula>0.5</formula>
    </cfRule>
  </conditionalFormatting>
  <conditionalFormatting sqref="CJ26">
    <cfRule type="containsText" priority="160" operator="containsText" aboveAverage="0" equalAverage="0" bottom="0" percent="0" rank="0" text="Oui" dxfId="178">
      <formula>NOT(ISERROR(SEARCH("Oui",CJ26)))</formula>
    </cfRule>
    <cfRule type="cellIs" priority="161" operator="equal" aboveAverage="0" equalAverage="0" bottom="0" percent="0" rank="0" text="" dxfId="179">
      <formula>0.5</formula>
    </cfRule>
  </conditionalFormatting>
  <conditionalFormatting sqref="CH102:CH103 CK101:CZ101">
    <cfRule type="containsText" priority="162" operator="containsText" aboveAverage="0" equalAverage="0" bottom="0" percent="0" rank="0" text="Oui" dxfId="180">
      <formula>NOT(ISERROR(SEARCH("Oui",CH101)))</formula>
    </cfRule>
    <cfRule type="cellIs" priority="163" operator="equal" aboveAverage="0" equalAverage="0" bottom="0" percent="0" rank="0" text="" dxfId="181">
      <formula>0.5</formula>
    </cfRule>
  </conditionalFormatting>
  <conditionalFormatting sqref="CK99:CZ99">
    <cfRule type="containsText" priority="164" operator="containsText" aboveAverage="0" equalAverage="0" bottom="0" percent="0" rank="0" text="Oui" dxfId="182">
      <formula>NOT(ISERROR(SEARCH("Oui",CK99)))</formula>
    </cfRule>
    <cfRule type="cellIs" priority="165" operator="equal" aboveAverage="0" equalAverage="0" bottom="0" percent="0" rank="0" text="" dxfId="183">
      <formula>0.5</formula>
    </cfRule>
  </conditionalFormatting>
  <conditionalFormatting sqref="CK96:CZ97">
    <cfRule type="containsText" priority="166" operator="containsText" aboveAverage="0" equalAverage="0" bottom="0" percent="0" rank="0" text="Oui" dxfId="184">
      <formula>NOT(ISERROR(SEARCH("Oui",CK96)))</formula>
    </cfRule>
    <cfRule type="cellIs" priority="167" operator="equal" aboveAverage="0" equalAverage="0" bottom="0" percent="0" rank="0" text="" dxfId="185">
      <formula>0.5</formula>
    </cfRule>
  </conditionalFormatting>
  <conditionalFormatting sqref="CK90:CZ94">
    <cfRule type="containsText" priority="168" operator="containsText" aboveAverage="0" equalAverage="0" bottom="0" percent="0" rank="0" text="Oui" dxfId="186">
      <formula>NOT(ISERROR(SEARCH("Oui",CK90)))</formula>
    </cfRule>
    <cfRule type="cellIs" priority="169" operator="equal" aboveAverage="0" equalAverage="0" bottom="0" percent="0" rank="0" text="" dxfId="187">
      <formula>0.5</formula>
    </cfRule>
  </conditionalFormatting>
  <conditionalFormatting sqref="CK85:CZ86">
    <cfRule type="containsText" priority="170" operator="containsText" aboveAverage="0" equalAverage="0" bottom="0" percent="0" rank="0" text="Oui" dxfId="188">
      <formula>NOT(ISERROR(SEARCH("Oui",CK85)))</formula>
    </cfRule>
    <cfRule type="cellIs" priority="171" operator="equal" aboveAverage="0" equalAverage="0" bottom="0" percent="0" rank="0" text="" dxfId="189">
      <formula>0.5</formula>
    </cfRule>
  </conditionalFormatting>
  <conditionalFormatting sqref="CK83:CZ83">
    <cfRule type="containsText" priority="172" operator="containsText" aboveAverage="0" equalAverage="0" bottom="0" percent="0" rank="0" text="Oui" dxfId="190">
      <formula>NOT(ISERROR(SEARCH("Oui",CK83)))</formula>
    </cfRule>
    <cfRule type="cellIs" priority="173" operator="equal" aboveAverage="0" equalAverage="0" bottom="0" percent="0" rank="0" text="" dxfId="191">
      <formula>0.5</formula>
    </cfRule>
  </conditionalFormatting>
  <conditionalFormatting sqref="CK75:CZ78">
    <cfRule type="containsText" priority="174" operator="containsText" aboveAverage="0" equalAverage="0" bottom="0" percent="0" rank="0" text="Oui" dxfId="192">
      <formula>NOT(ISERROR(SEARCH("Oui",CK75)))</formula>
    </cfRule>
    <cfRule type="cellIs" priority="175" operator="equal" aboveAverage="0" equalAverage="0" bottom="0" percent="0" rank="0" text="" dxfId="193">
      <formula>0.5</formula>
    </cfRule>
  </conditionalFormatting>
  <conditionalFormatting sqref="CK69:CZ73">
    <cfRule type="containsText" priority="176" operator="containsText" aboveAverage="0" equalAverage="0" bottom="0" percent="0" rank="0" text="Oui" dxfId="194">
      <formula>NOT(ISERROR(SEARCH("Oui",CK69)))</formula>
    </cfRule>
    <cfRule type="cellIs" priority="177" operator="equal" aboveAverage="0" equalAverage="0" bottom="0" percent="0" rank="0" text="" dxfId="195">
      <formula>0.5</formula>
    </cfRule>
  </conditionalFormatting>
  <conditionalFormatting sqref="CK62:CZ63">
    <cfRule type="containsText" priority="178" operator="containsText" aboveAverage="0" equalAverage="0" bottom="0" percent="0" rank="0" text="Oui" dxfId="196">
      <formula>NOT(ISERROR(SEARCH("Oui",CK62)))</formula>
    </cfRule>
    <cfRule type="cellIs" priority="179" operator="equal" aboveAverage="0" equalAverage="0" bottom="0" percent="0" rank="0" text="" dxfId="197">
      <formula>0.5</formula>
    </cfRule>
  </conditionalFormatting>
  <conditionalFormatting sqref="CK58:CZ59">
    <cfRule type="containsText" priority="180" operator="containsText" aboveAverage="0" equalAverage="0" bottom="0" percent="0" rank="0" text="Oui" dxfId="198">
      <formula>NOT(ISERROR(SEARCH("Oui",CK58)))</formula>
    </cfRule>
    <cfRule type="cellIs" priority="181" operator="equal" aboveAverage="0" equalAverage="0" bottom="0" percent="0" rank="0" text="" dxfId="199">
      <formula>0.5</formula>
    </cfRule>
  </conditionalFormatting>
  <conditionalFormatting sqref="CK55:CZ55">
    <cfRule type="containsText" priority="182" operator="containsText" aboveAverage="0" equalAverage="0" bottom="0" percent="0" rank="0" text="Oui" dxfId="200">
      <formula>NOT(ISERROR(SEARCH("Oui",CK55)))</formula>
    </cfRule>
    <cfRule type="cellIs" priority="183" operator="equal" aboveAverage="0" equalAverage="0" bottom="0" percent="0" rank="0" text="" dxfId="201">
      <formula>0.5</formula>
    </cfRule>
  </conditionalFormatting>
  <conditionalFormatting sqref="CK52:CZ52">
    <cfRule type="containsText" priority="184" operator="containsText" aboveAverage="0" equalAverage="0" bottom="0" percent="0" rank="0" text="Oui" dxfId="202">
      <formula>NOT(ISERROR(SEARCH("Oui",CK52)))</formula>
    </cfRule>
    <cfRule type="cellIs" priority="185" operator="equal" aboveAverage="0" equalAverage="0" bottom="0" percent="0" rank="0" text="" dxfId="203">
      <formula>0.5</formula>
    </cfRule>
  </conditionalFormatting>
  <conditionalFormatting sqref="CK11:CZ11">
    <cfRule type="containsText" priority="186" operator="containsText" aboveAverage="0" equalAverage="0" bottom="0" percent="0" rank="0" text="Oui" dxfId="204">
      <formula>NOT(ISERROR(SEARCH("Oui",CK11)))</formula>
    </cfRule>
    <cfRule type="cellIs" priority="187" operator="equal" aboveAverage="0" equalAverage="0" bottom="0" percent="0" rank="0" text="" dxfId="205">
      <formula>0.5</formula>
    </cfRule>
  </conditionalFormatting>
  <conditionalFormatting sqref="CK17:CZ17">
    <cfRule type="containsText" priority="188" operator="containsText" aboveAverage="0" equalAverage="0" bottom="0" percent="0" rank="0" text="Oui" dxfId="206">
      <formula>NOT(ISERROR(SEARCH("Oui",CK17)))</formula>
    </cfRule>
    <cfRule type="cellIs" priority="189" operator="equal" aboveAverage="0" equalAverage="0" bottom="0" percent="0" rank="0" text="" dxfId="207">
      <formula>0.5</formula>
    </cfRule>
  </conditionalFormatting>
  <conditionalFormatting sqref="CK49:CZ51">
    <cfRule type="containsText" priority="190" operator="containsText" aboveAverage="0" equalAverage="0" bottom="0" percent="0" rank="0" text="Oui" dxfId="208">
      <formula>NOT(ISERROR(SEARCH("Oui",CK49)))</formula>
    </cfRule>
    <cfRule type="cellIs" priority="191" operator="equal" aboveAverage="0" equalAverage="0" bottom="0" percent="0" rank="0" text="" dxfId="209">
      <formula>0.5</formula>
    </cfRule>
  </conditionalFormatting>
  <conditionalFormatting sqref="CK44:CZ46">
    <cfRule type="containsText" priority="192" operator="containsText" aboveAverage="0" equalAverage="0" bottom="0" percent="0" rank="0" text="Oui" dxfId="210">
      <formula>NOT(ISERROR(SEARCH("Oui",CK44)))</formula>
    </cfRule>
    <cfRule type="cellIs" priority="193" operator="equal" aboveAverage="0" equalAverage="0" bottom="0" percent="0" rank="0" text="" dxfId="211">
      <formula>0.5</formula>
    </cfRule>
  </conditionalFormatting>
  <conditionalFormatting sqref="CK42:CZ42">
    <cfRule type="containsText" priority="194" operator="containsText" aboveAverage="0" equalAverage="0" bottom="0" percent="0" rank="0" text="Oui" dxfId="212">
      <formula>NOT(ISERROR(SEARCH("Oui",CK42)))</formula>
    </cfRule>
    <cfRule type="cellIs" priority="195" operator="equal" aboveAverage="0" equalAverage="0" bottom="0" percent="0" rank="0" text="" dxfId="213">
      <formula>0.5</formula>
    </cfRule>
  </conditionalFormatting>
  <conditionalFormatting sqref="CK40:CZ40">
    <cfRule type="containsText" priority="196" operator="containsText" aboveAverage="0" equalAverage="0" bottom="0" percent="0" rank="0" text="Oui" dxfId="214">
      <formula>NOT(ISERROR(SEARCH("Oui",CK40)))</formula>
    </cfRule>
    <cfRule type="cellIs" priority="197" operator="equal" aboveAverage="0" equalAverage="0" bottom="0" percent="0" rank="0" text="" dxfId="215">
      <formula>0.5</formula>
    </cfRule>
  </conditionalFormatting>
  <conditionalFormatting sqref="CK37:CZ37">
    <cfRule type="containsText" priority="198" operator="containsText" aboveAverage="0" equalAverage="0" bottom="0" percent="0" rank="0" text="Oui" dxfId="216">
      <formula>NOT(ISERROR(SEARCH("Oui",CK37)))</formula>
    </cfRule>
    <cfRule type="cellIs" priority="199" operator="equal" aboveAverage="0" equalAverage="0" bottom="0" percent="0" rank="0" text="" dxfId="217">
      <formula>0.5</formula>
    </cfRule>
  </conditionalFormatting>
  <conditionalFormatting sqref="CK35:CZ35">
    <cfRule type="containsText" priority="200" operator="containsText" aboveAverage="0" equalAverage="0" bottom="0" percent="0" rank="0" text="Oui" dxfId="218">
      <formula>NOT(ISERROR(SEARCH("Oui",CK35)))</formula>
    </cfRule>
    <cfRule type="cellIs" priority="201" operator="equal" aboveAverage="0" equalAverage="0" bottom="0" percent="0" rank="0" text="" dxfId="219">
      <formula>0.5</formula>
    </cfRule>
  </conditionalFormatting>
  <conditionalFormatting sqref="CK29:CZ30 CK32:CZ32">
    <cfRule type="containsText" priority="202" operator="containsText" aboveAverage="0" equalAverage="0" bottom="0" percent="0" rank="0" text="Oui" dxfId="220">
      <formula>NOT(ISERROR(SEARCH("Oui",CK29)))</formula>
    </cfRule>
    <cfRule type="cellIs" priority="203" operator="equal" aboveAverage="0" equalAverage="0" bottom="0" percent="0" rank="0" text="" dxfId="221">
      <formula>0.5</formula>
    </cfRule>
  </conditionalFormatting>
  <conditionalFormatting sqref="CK25:CZ26">
    <cfRule type="containsText" priority="204" operator="containsText" aboveAverage="0" equalAverage="0" bottom="0" percent="0" rank="0" text="Oui" dxfId="222">
      <formula>NOT(ISERROR(SEARCH("Oui",CK25)))</formula>
    </cfRule>
    <cfRule type="cellIs" priority="205" operator="equal" aboveAverage="0" equalAverage="0" bottom="0" percent="0" rank="0" text="" dxfId="223">
      <formula>0.5</formula>
    </cfRule>
  </conditionalFormatting>
  <conditionalFormatting sqref="CK20:CZ21">
    <cfRule type="containsText" priority="206" operator="containsText" aboveAverage="0" equalAverage="0" bottom="0" percent="0" rank="0" text="Oui" dxfId="224">
      <formula>NOT(ISERROR(SEARCH("Oui",CK20)))</formula>
    </cfRule>
    <cfRule type="cellIs" priority="207" operator="equal" aboveAverage="0" equalAverage="0" bottom="0" percent="0" rank="0" text="" dxfId="225">
      <formula>0.5</formula>
    </cfRule>
  </conditionalFormatting>
  <conditionalFormatting sqref="CK12:CZ13">
    <cfRule type="containsText" priority="208" operator="containsText" aboveAverage="0" equalAverage="0" bottom="0" percent="0" rank="0" text="Oui" dxfId="226">
      <formula>NOT(ISERROR(SEARCH("Oui",CK12)))</formula>
    </cfRule>
    <cfRule type="cellIs" priority="209" operator="equal" aboveAverage="0" equalAverage="0" bottom="0" percent="0" rank="0" text="" dxfId="227">
      <formula>0.5</formula>
    </cfRule>
  </conditionalFormatting>
  <conditionalFormatting sqref="CK10:CZ10">
    <cfRule type="containsText" priority="210" operator="containsText" aboveAverage="0" equalAverage="0" bottom="0" percent="0" rank="0" text="Oui" dxfId="228">
      <formula>NOT(ISERROR(SEARCH("Oui",CK10)))</formula>
    </cfRule>
    <cfRule type="cellIs" priority="211" operator="equal" aboveAverage="0" equalAverage="0" bottom="0" percent="0" rank="0" text="" dxfId="229">
      <formula>0.5</formula>
    </cfRule>
  </conditionalFormatting>
  <conditionalFormatting sqref="CJ7:CZ7">
    <cfRule type="containsText" priority="212" operator="containsText" aboveAverage="0" equalAverage="0" bottom="0" percent="0" rank="0" text="Oui" dxfId="230">
      <formula>NOT(ISERROR(SEARCH("Oui",CJ7)))</formula>
    </cfRule>
    <cfRule type="cellIs" priority="213" operator="equal" aboveAverage="0" equalAverage="0" bottom="0" percent="0" rank="0" text="" dxfId="231">
      <formula>0.5</formula>
    </cfRule>
  </conditionalFormatting>
  <conditionalFormatting sqref="CK2:CZ2 DH105:DH111 CH105:CZ111 CH137:CZ143 CH145:CZ151 CH104:DI104 CH112:DI112 CK102:DI103">
    <cfRule type="containsText" priority="214" operator="containsText" aboveAverage="0" equalAverage="0" bottom="0" percent="0" rank="0" text="Oui" dxfId="232">
      <formula>NOT(ISERROR(SEARCH("Oui",CH2)))</formula>
    </cfRule>
    <cfRule type="cellIs" priority="215" operator="equal" aboveAverage="0" equalAverage="0" bottom="0" percent="0" rank="0" text="" dxfId="233">
      <formula>0.5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:D20"/>
    </sheetView>
  </sheetViews>
  <sheetFormatPr defaultColWidth="11.53515625" defaultRowHeight="15" zeroHeight="false" outlineLevelRow="0" outlineLevelCol="0"/>
  <cols>
    <col collapsed="false" customWidth="true" hidden="false" outlineLevel="0" max="1" min="1" style="158" width="8.11"/>
    <col collapsed="false" customWidth="true" hidden="false" outlineLevel="0" max="2" min="2" style="1" width="16.89"/>
    <col collapsed="false" customWidth="true" hidden="false" outlineLevel="0" max="3" min="3" style="1" width="10"/>
  </cols>
  <sheetData>
    <row r="1" customFormat="false" ht="15" hidden="false" customHeight="false" outlineLevel="0" collapsed="false">
      <c r="A1" s="175" t="n">
        <v>21373</v>
      </c>
      <c r="B1" s="189" t="n">
        <v>45057.6653980324</v>
      </c>
      <c r="C1" s="194" t="n">
        <v>-1</v>
      </c>
    </row>
    <row r="2" customFormat="false" ht="15" hidden="false" customHeight="false" outlineLevel="0" collapsed="false">
      <c r="A2" s="216" t="s">
        <v>150</v>
      </c>
      <c r="B2" s="226" t="n">
        <v>45057.6830269676</v>
      </c>
      <c r="C2" s="194" t="n">
        <v>-1</v>
      </c>
    </row>
    <row r="3" customFormat="false" ht="15" hidden="false" customHeight="false" outlineLevel="0" collapsed="false">
      <c r="A3" s="240" t="s">
        <v>157</v>
      </c>
      <c r="B3" s="189" t="n">
        <v>45057.6797826389</v>
      </c>
      <c r="C3" s="194" t="n">
        <v>1</v>
      </c>
    </row>
    <row r="4" customFormat="false" ht="15" hidden="false" customHeight="false" outlineLevel="0" collapsed="false">
      <c r="A4" s="240" t="s">
        <v>163</v>
      </c>
      <c r="B4" s="189" t="n">
        <v>45057.6628827546</v>
      </c>
      <c r="C4" s="194" t="n">
        <v>1</v>
      </c>
    </row>
    <row r="5" customFormat="false" ht="15" hidden="false" customHeight="false" outlineLevel="0" collapsed="false">
      <c r="A5" s="240" t="s">
        <v>169</v>
      </c>
      <c r="B5" s="189" t="n">
        <v>45057.6856326389</v>
      </c>
      <c r="C5" s="194" t="n">
        <v>1</v>
      </c>
    </row>
    <row r="6" customFormat="false" ht="15" hidden="false" customHeight="false" outlineLevel="0" collapsed="false">
      <c r="A6" s="240" t="s">
        <v>178</v>
      </c>
      <c r="B6" s="189" t="n">
        <v>45057.6602586806</v>
      </c>
      <c r="C6" s="194" t="n">
        <v>-1</v>
      </c>
    </row>
    <row r="7" customFormat="false" ht="15" hidden="false" customHeight="false" outlineLevel="0" collapsed="false">
      <c r="A7" s="240" t="s">
        <v>175</v>
      </c>
      <c r="B7" s="189" t="n">
        <v>45057.6822490741</v>
      </c>
      <c r="C7" s="194" t="n">
        <v>1</v>
      </c>
    </row>
    <row r="8" customFormat="false" ht="15" hidden="false" customHeight="false" outlineLevel="0" collapsed="false">
      <c r="A8" s="240" t="s">
        <v>193</v>
      </c>
      <c r="B8" s="189" t="n">
        <v>45057.6611584491</v>
      </c>
      <c r="C8" s="194" t="n">
        <v>1</v>
      </c>
    </row>
    <row r="9" customFormat="false" ht="15" hidden="false" customHeight="false" outlineLevel="0" collapsed="false">
      <c r="A9" s="240" t="s">
        <v>184</v>
      </c>
      <c r="B9" s="189" t="n">
        <v>45057.680665162</v>
      </c>
      <c r="C9" s="194" t="n">
        <v>1</v>
      </c>
    </row>
    <row r="10" customFormat="false" ht="15" hidden="false" customHeight="false" outlineLevel="0" collapsed="false">
      <c r="A10" s="240" t="s">
        <v>190</v>
      </c>
      <c r="B10" s="189" t="n">
        <v>45057.6823469907</v>
      </c>
      <c r="C10" s="194" t="n">
        <v>-1</v>
      </c>
    </row>
    <row r="11" customFormat="false" ht="15" hidden="false" customHeight="false" outlineLevel="0" collapsed="false">
      <c r="A11" s="240" t="s">
        <v>215</v>
      </c>
      <c r="B11" s="189" t="n">
        <v>45057.6630427083</v>
      </c>
      <c r="C11" s="194" t="n">
        <v>-1</v>
      </c>
    </row>
    <row r="12" customFormat="false" ht="15" hidden="false" customHeight="false" outlineLevel="0" collapsed="false">
      <c r="A12" s="240" t="s">
        <v>222</v>
      </c>
      <c r="B12" s="189" t="n">
        <v>45057.6643076389</v>
      </c>
      <c r="C12" s="194" t="n">
        <v>-1</v>
      </c>
    </row>
    <row r="13" customFormat="false" ht="15" hidden="false" customHeight="false" outlineLevel="0" collapsed="false">
      <c r="A13" s="240" t="s">
        <v>200</v>
      </c>
      <c r="B13" s="189" t="n">
        <v>45057.6791621528</v>
      </c>
      <c r="C13" s="194" t="n">
        <v>1</v>
      </c>
    </row>
    <row r="14" customFormat="false" ht="15" hidden="false" customHeight="false" outlineLevel="0" collapsed="false">
      <c r="A14" s="240" t="s">
        <v>206</v>
      </c>
      <c r="B14" s="189" t="n">
        <v>45057.6840866898</v>
      </c>
      <c r="C14" s="194" t="n">
        <v>1</v>
      </c>
    </row>
    <row r="15" customFormat="false" ht="15" hidden="false" customHeight="false" outlineLevel="0" collapsed="false">
      <c r="A15" s="240" t="s">
        <v>240</v>
      </c>
      <c r="B15" s="189" t="n">
        <v>45057.6651405093</v>
      </c>
      <c r="C15" s="194" t="n">
        <v>1</v>
      </c>
    </row>
    <row r="16" customFormat="false" ht="15" hidden="false" customHeight="false" outlineLevel="0" collapsed="false">
      <c r="A16" s="240" t="s">
        <v>249</v>
      </c>
      <c r="B16" s="189" t="n">
        <v>45057.6569063657</v>
      </c>
      <c r="C16" s="194" t="n">
        <v>-1</v>
      </c>
    </row>
    <row r="17" customFormat="false" ht="15" hidden="false" customHeight="false" outlineLevel="0" collapsed="false">
      <c r="A17" s="240" t="s">
        <v>258</v>
      </c>
      <c r="B17" s="189" t="n">
        <v>45057.6649797454</v>
      </c>
      <c r="C17" s="194" t="n">
        <v>1</v>
      </c>
    </row>
    <row r="18" customFormat="false" ht="15" hidden="false" customHeight="false" outlineLevel="0" collapsed="false">
      <c r="A18" s="240" t="s">
        <v>212</v>
      </c>
      <c r="B18" s="189" t="n">
        <v>45057.679953125</v>
      </c>
      <c r="C18" s="194" t="n">
        <v>1</v>
      </c>
    </row>
    <row r="19" customFormat="false" ht="15" hidden="false" customHeight="false" outlineLevel="0" collapsed="false">
      <c r="A19" s="240" t="s">
        <v>219</v>
      </c>
      <c r="B19" s="189" t="n">
        <v>45057.6819777778</v>
      </c>
      <c r="C19" s="194" t="n">
        <v>1</v>
      </c>
    </row>
    <row r="20" customFormat="false" ht="15" hidden="false" customHeight="false" outlineLevel="0" collapsed="false">
      <c r="A20" s="240" t="s">
        <v>172</v>
      </c>
      <c r="B20" s="189" t="n">
        <v>45057.6648290509</v>
      </c>
      <c r="C20" s="194" t="n">
        <v>1</v>
      </c>
    </row>
    <row r="21" customFormat="false" ht="15" hidden="false" customHeight="false" outlineLevel="0" collapsed="false">
      <c r="A21" s="240" t="s">
        <v>286</v>
      </c>
      <c r="B21" s="189" t="n">
        <v>45057.6610943287</v>
      </c>
      <c r="C21" s="194" t="n">
        <v>-1</v>
      </c>
    </row>
    <row r="22" customFormat="false" ht="15" hidden="false" customHeight="false" outlineLevel="0" collapsed="false">
      <c r="A22" s="240" t="s">
        <v>289</v>
      </c>
      <c r="B22" s="189" t="n">
        <v>45057.656831713</v>
      </c>
      <c r="C22" s="194" t="n">
        <v>-1</v>
      </c>
    </row>
    <row r="23" customFormat="false" ht="15" hidden="false" customHeight="false" outlineLevel="0" collapsed="false">
      <c r="A23" s="240" t="s">
        <v>228</v>
      </c>
      <c r="B23" s="189" t="n">
        <v>45057.6843763889</v>
      </c>
      <c r="C23" s="194" t="n">
        <v>-1</v>
      </c>
    </row>
    <row r="24" customFormat="false" ht="15" hidden="false" customHeight="false" outlineLevel="0" collapsed="false">
      <c r="A24" s="240" t="s">
        <v>154</v>
      </c>
      <c r="B24" s="189" t="n">
        <v>45057.6642993056</v>
      </c>
      <c r="C24" s="194" t="n">
        <v>-1</v>
      </c>
    </row>
    <row r="25" customFormat="false" ht="15" hidden="false" customHeight="false" outlineLevel="0" collapsed="false">
      <c r="A25" s="240" t="s">
        <v>308</v>
      </c>
      <c r="B25" s="189" t="n">
        <v>45057.6645623843</v>
      </c>
      <c r="C25" s="194" t="n">
        <v>1</v>
      </c>
    </row>
    <row r="26" customFormat="false" ht="15" hidden="false" customHeight="false" outlineLevel="0" collapsed="false">
      <c r="A26" s="240" t="s">
        <v>234</v>
      </c>
      <c r="B26" s="189" t="n">
        <v>45057.6853997685</v>
      </c>
      <c r="C26" s="194" t="n">
        <v>-1</v>
      </c>
    </row>
    <row r="27" customFormat="false" ht="15" hidden="false" customHeight="false" outlineLevel="0" collapsed="false">
      <c r="A27" s="240" t="s">
        <v>323</v>
      </c>
      <c r="B27" s="189" t="n">
        <v>45057.6592755787</v>
      </c>
      <c r="C27" s="194" t="n">
        <v>-1</v>
      </c>
    </row>
    <row r="28" customFormat="false" ht="15" hidden="false" customHeight="false" outlineLevel="0" collapsed="false">
      <c r="A28" s="240" t="s">
        <v>237</v>
      </c>
      <c r="B28" s="189" t="n">
        <v>45057.6820130787</v>
      </c>
      <c r="C28" s="194" t="n">
        <v>-1</v>
      </c>
    </row>
    <row r="29" customFormat="false" ht="15" hidden="false" customHeight="false" outlineLevel="0" collapsed="false">
      <c r="A29" s="240" t="s">
        <v>333</v>
      </c>
      <c r="B29" s="189" t="n">
        <v>45057.6580496528</v>
      </c>
      <c r="C29" s="194" t="n">
        <v>1</v>
      </c>
    </row>
    <row r="30" customFormat="false" ht="15" hidden="false" customHeight="false" outlineLevel="0" collapsed="false">
      <c r="A30" s="240" t="s">
        <v>246</v>
      </c>
      <c r="B30" s="189" t="n">
        <v>45057.6846393519</v>
      </c>
      <c r="C30" s="194" t="n">
        <v>1</v>
      </c>
    </row>
    <row r="31" customFormat="false" ht="15" hidden="false" customHeight="false" outlineLevel="0" collapsed="false">
      <c r="A31" s="240" t="s">
        <v>255</v>
      </c>
      <c r="B31" s="189" t="n">
        <v>45057.6827328704</v>
      </c>
      <c r="C31" s="194" t="n">
        <v>-1</v>
      </c>
    </row>
    <row r="32" customFormat="false" ht="15" hidden="false" customHeight="false" outlineLevel="0" collapsed="false">
      <c r="A32" s="240" t="s">
        <v>264</v>
      </c>
      <c r="B32" s="189" t="n">
        <v>45057.6817636574</v>
      </c>
      <c r="C32" s="194" t="n">
        <v>-1</v>
      </c>
    </row>
    <row r="33" customFormat="false" ht="15" hidden="false" customHeight="false" outlineLevel="0" collapsed="false">
      <c r="A33" s="240" t="s">
        <v>270</v>
      </c>
      <c r="B33" s="189" t="n">
        <v>45057.6836516204</v>
      </c>
      <c r="C33" s="194" t="n">
        <v>1</v>
      </c>
    </row>
    <row r="34" customFormat="false" ht="15" hidden="false" customHeight="false" outlineLevel="0" collapsed="false">
      <c r="A34" s="240" t="s">
        <v>359</v>
      </c>
      <c r="B34" s="189" t="n">
        <v>45057.6599579861</v>
      </c>
      <c r="C34" s="194" t="n">
        <v>1</v>
      </c>
    </row>
    <row r="35" customFormat="false" ht="15" hidden="false" customHeight="false" outlineLevel="0" collapsed="false">
      <c r="A35" s="240" t="s">
        <v>368</v>
      </c>
      <c r="B35" s="189" t="n">
        <v>45057.6600909722</v>
      </c>
      <c r="C35" s="194" t="n">
        <v>1</v>
      </c>
    </row>
    <row r="36" customFormat="false" ht="15" hidden="false" customHeight="false" outlineLevel="0" collapsed="false">
      <c r="A36" s="240" t="s">
        <v>276</v>
      </c>
      <c r="B36" s="189" t="n">
        <v>45057.6858943287</v>
      </c>
      <c r="C36" s="194" t="n">
        <v>-1</v>
      </c>
    </row>
    <row r="37" customFormat="false" ht="15" hidden="false" customHeight="false" outlineLevel="0" collapsed="false">
      <c r="A37" s="240" t="s">
        <v>267</v>
      </c>
      <c r="B37" s="189" t="n">
        <v>45057.6624679398</v>
      </c>
      <c r="C37" s="194" t="n">
        <v>1</v>
      </c>
    </row>
    <row r="38" customFormat="false" ht="15" hidden="false" customHeight="false" outlineLevel="0" collapsed="false">
      <c r="A38" s="240" t="s">
        <v>283</v>
      </c>
      <c r="B38" s="189" t="n">
        <v>45057.6796008102</v>
      </c>
      <c r="C38" s="194" t="n">
        <v>1</v>
      </c>
    </row>
    <row r="39" customFormat="false" ht="15" hidden="false" customHeight="false" outlineLevel="0" collapsed="false">
      <c r="A39" s="240" t="s">
        <v>231</v>
      </c>
      <c r="B39" s="189" t="n">
        <v>45057.6608157407</v>
      </c>
      <c r="C39" s="194" t="n">
        <v>-1</v>
      </c>
    </row>
    <row r="40" customFormat="false" ht="15" hidden="false" customHeight="false" outlineLevel="0" collapsed="false">
      <c r="A40" s="240" t="s">
        <v>386</v>
      </c>
      <c r="B40" s="189" t="n">
        <v>45057.6595076389</v>
      </c>
      <c r="C40" s="194" t="n">
        <v>-1</v>
      </c>
    </row>
    <row r="41" customFormat="false" ht="15" hidden="false" customHeight="false" outlineLevel="0" collapsed="false">
      <c r="A41" s="240" t="s">
        <v>292</v>
      </c>
      <c r="B41" s="189" t="n">
        <v>45057.6807142361</v>
      </c>
      <c r="C41" s="194" t="n">
        <v>1</v>
      </c>
    </row>
    <row r="42" customFormat="false" ht="15" hidden="false" customHeight="false" outlineLevel="0" collapsed="false">
      <c r="A42" s="240" t="s">
        <v>299</v>
      </c>
      <c r="B42" s="189" t="n">
        <v>45057.6851167824</v>
      </c>
      <c r="C42" s="194" t="n">
        <v>1</v>
      </c>
    </row>
    <row r="43" customFormat="false" ht="15" hidden="false" customHeight="false" outlineLevel="0" collapsed="false">
      <c r="A43" s="240" t="s">
        <v>273</v>
      </c>
      <c r="B43" s="189" t="n">
        <v>45057.6788929398</v>
      </c>
      <c r="C43" s="194" t="n">
        <v>1</v>
      </c>
    </row>
    <row r="44" customFormat="false" ht="15" hidden="false" customHeight="false" outlineLevel="0" collapsed="false">
      <c r="A44" s="240" t="s">
        <v>261</v>
      </c>
      <c r="B44" s="189" t="n">
        <v>45057.6595467593</v>
      </c>
      <c r="C44" s="194" t="n">
        <v>1</v>
      </c>
    </row>
    <row r="45" customFormat="false" ht="15" hidden="false" customHeight="false" outlineLevel="0" collapsed="false">
      <c r="A45" s="240" t="s">
        <v>305</v>
      </c>
      <c r="B45" s="189" t="n">
        <v>45057.6827858796</v>
      </c>
      <c r="C45" s="194" t="n">
        <v>1</v>
      </c>
    </row>
    <row r="46" customFormat="false" ht="15" hidden="false" customHeight="false" outlineLevel="0" collapsed="false">
      <c r="A46" s="240" t="s">
        <v>407</v>
      </c>
      <c r="B46" s="189" t="n">
        <v>45057.6589991898</v>
      </c>
      <c r="C46" s="194" t="n">
        <v>-1</v>
      </c>
    </row>
    <row r="47" customFormat="false" ht="15" hidden="false" customHeight="false" outlineLevel="0" collapsed="false">
      <c r="A47" s="240" t="s">
        <v>314</v>
      </c>
      <c r="B47" s="189" t="n">
        <v>45057.6832268519</v>
      </c>
      <c r="C47" s="194" t="n">
        <v>1</v>
      </c>
    </row>
    <row r="48" customFormat="false" ht="15" hidden="false" customHeight="false" outlineLevel="0" collapsed="false">
      <c r="A48" s="240" t="s">
        <v>320</v>
      </c>
      <c r="B48" s="189" t="n">
        <v>45057.6813924769</v>
      </c>
      <c r="C48" s="194" t="n">
        <v>1</v>
      </c>
    </row>
    <row r="49" customFormat="false" ht="15" hidden="false" customHeight="false" outlineLevel="0" collapsed="false">
      <c r="A49" s="240" t="s">
        <v>181</v>
      </c>
      <c r="B49" s="189" t="n">
        <v>45057.6645258102</v>
      </c>
      <c r="C49" s="194" t="n">
        <v>1</v>
      </c>
    </row>
    <row r="50" customFormat="false" ht="15" hidden="false" customHeight="false" outlineLevel="0" collapsed="false">
      <c r="A50" s="240" t="s">
        <v>252</v>
      </c>
      <c r="B50" s="189" t="n">
        <v>45057.6856836806</v>
      </c>
      <c r="C50" s="194" t="n">
        <v>-1</v>
      </c>
    </row>
    <row r="51" customFormat="false" ht="15" hidden="false" customHeight="false" outlineLevel="0" collapsed="false">
      <c r="A51" s="240" t="s">
        <v>647</v>
      </c>
      <c r="C51" s="140"/>
    </row>
    <row r="52" customFormat="false" ht="15" hidden="false" customHeight="false" outlineLevel="0" collapsed="false">
      <c r="A52" s="240" t="s">
        <v>420</v>
      </c>
      <c r="B52" s="189" t="n">
        <v>45057.664049537</v>
      </c>
      <c r="C52" s="194" t="n">
        <v>-1</v>
      </c>
    </row>
    <row r="53" customFormat="false" ht="15" hidden="false" customHeight="false" outlineLevel="0" collapsed="false">
      <c r="A53" s="240" t="s">
        <v>330</v>
      </c>
      <c r="B53" s="189" t="n">
        <v>45057.6810362269</v>
      </c>
      <c r="C53" s="194" t="n">
        <v>-1</v>
      </c>
    </row>
    <row r="54" customFormat="false" ht="15" hidden="false" customHeight="false" outlineLevel="0" collapsed="false">
      <c r="A54" s="240" t="s">
        <v>209</v>
      </c>
      <c r="B54" s="189" t="n">
        <v>45057.6617960648</v>
      </c>
      <c r="C54" s="194" t="n">
        <v>-1</v>
      </c>
    </row>
    <row r="55" customFormat="false" ht="15" hidden="false" customHeight="false" outlineLevel="0" collapsed="false">
      <c r="A55" s="240" t="s">
        <v>426</v>
      </c>
      <c r="B55" s="189" t="n">
        <v>45057.6619762731</v>
      </c>
      <c r="C55" s="194" t="n">
        <v>-1</v>
      </c>
    </row>
    <row r="56" customFormat="false" ht="15" hidden="false" customHeight="false" outlineLevel="0" collapsed="false">
      <c r="A56" s="240" t="s">
        <v>339</v>
      </c>
      <c r="B56" s="189" t="n">
        <v>45057.6790802083</v>
      </c>
      <c r="C56" s="194" t="n">
        <v>1</v>
      </c>
    </row>
    <row r="57" customFormat="false" ht="15" hidden="false" customHeight="false" outlineLevel="0" collapsed="false">
      <c r="A57" s="240" t="s">
        <v>345</v>
      </c>
      <c r="B57" s="189" t="n">
        <v>45057.6850402778</v>
      </c>
      <c r="C57" s="194" t="n">
        <v>-1</v>
      </c>
    </row>
    <row r="58" customFormat="false" ht="15" hidden="false" customHeight="false" outlineLevel="0" collapsed="false">
      <c r="A58" s="240" t="s">
        <v>348</v>
      </c>
      <c r="B58" s="189" t="n">
        <v>45057.6861439815</v>
      </c>
      <c r="C58" s="194" t="n">
        <v>-1</v>
      </c>
    </row>
    <row r="59" customFormat="false" ht="15" hidden="false" customHeight="false" outlineLevel="0" collapsed="false">
      <c r="A59" s="240" t="s">
        <v>351</v>
      </c>
      <c r="B59" s="189" t="n">
        <v>45057.685343287</v>
      </c>
      <c r="C59" s="194" t="n">
        <v>-1</v>
      </c>
    </row>
    <row r="60" customFormat="false" ht="15" hidden="false" customHeight="false" outlineLevel="0" collapsed="false">
      <c r="A60" s="240" t="s">
        <v>342</v>
      </c>
      <c r="B60" s="189" t="n">
        <v>45057.6627435185</v>
      </c>
      <c r="C60" s="194" t="n">
        <v>-1</v>
      </c>
    </row>
    <row r="61" customFormat="false" ht="15" hidden="false" customHeight="false" outlineLevel="0" collapsed="false">
      <c r="A61" s="240" t="s">
        <v>296</v>
      </c>
      <c r="B61" s="189" t="n">
        <v>45057.6640319444</v>
      </c>
      <c r="C61" s="194" t="n">
        <v>-1</v>
      </c>
    </row>
    <row r="62" customFormat="false" ht="15" hidden="false" customHeight="false" outlineLevel="0" collapsed="false">
      <c r="A62" s="240" t="s">
        <v>432</v>
      </c>
      <c r="B62" s="189" t="n">
        <v>45057.6573204861</v>
      </c>
      <c r="C62" s="194" t="n">
        <v>1</v>
      </c>
    </row>
    <row r="63" customFormat="false" ht="15" hidden="false" customHeight="false" outlineLevel="0" collapsed="false">
      <c r="A63" s="175" t="s">
        <v>327</v>
      </c>
      <c r="B63" s="189" t="n">
        <v>45057.6622451389</v>
      </c>
      <c r="C63" s="194" t="n">
        <v>1</v>
      </c>
    </row>
    <row r="64" customFormat="false" ht="15" hidden="false" customHeight="false" outlineLevel="0" collapsed="false">
      <c r="A64" s="240" t="s">
        <v>423</v>
      </c>
      <c r="B64" s="189" t="n">
        <v>45057.657308912</v>
      </c>
      <c r="C64" s="194" t="n">
        <v>1</v>
      </c>
    </row>
    <row r="65" customFormat="false" ht="15" hidden="false" customHeight="false" outlineLevel="0" collapsed="false">
      <c r="A65" s="240" t="s">
        <v>317</v>
      </c>
      <c r="B65" s="189" t="n">
        <v>45057.6597387731</v>
      </c>
      <c r="C65" s="194" t="n">
        <v>-1</v>
      </c>
    </row>
    <row r="66" customFormat="false" ht="15" hidden="false" customHeight="false" outlineLevel="0" collapsed="false">
      <c r="A66" s="240" t="s">
        <v>356</v>
      </c>
      <c r="B66" s="189" t="n">
        <v>45057.6842140046</v>
      </c>
      <c r="C66" s="194" t="n">
        <v>1</v>
      </c>
    </row>
    <row r="67" customFormat="false" ht="15" hidden="false" customHeight="false" outlineLevel="0" collapsed="false">
      <c r="A67" s="240" t="s">
        <v>365</v>
      </c>
      <c r="B67" s="189" t="n">
        <v>45057.6801193287</v>
      </c>
      <c r="C67" s="194" t="n">
        <v>-1</v>
      </c>
    </row>
    <row r="68" customFormat="false" ht="15" hidden="false" customHeight="false" outlineLevel="0" collapsed="false">
      <c r="A68" s="240" t="s">
        <v>371</v>
      </c>
      <c r="B68" s="189" t="n">
        <v>45057.6837755787</v>
      </c>
      <c r="C68" s="194" t="n">
        <v>1</v>
      </c>
    </row>
    <row r="69" customFormat="false" ht="15" hidden="false" customHeight="false" outlineLevel="0" collapsed="false">
      <c r="A69" s="240" t="s">
        <v>354</v>
      </c>
      <c r="B69" s="189" t="n">
        <v>45057.6604988426</v>
      </c>
      <c r="C69" s="194" t="n">
        <v>-1</v>
      </c>
    </row>
    <row r="70" customFormat="false" ht="15" hidden="false" customHeight="false" outlineLevel="0" collapsed="false">
      <c r="A70" s="240" t="s">
        <v>243</v>
      </c>
      <c r="B70" s="189" t="n">
        <v>45057.679349537</v>
      </c>
      <c r="C70" s="194" t="n">
        <v>1</v>
      </c>
    </row>
    <row r="71" customFormat="false" ht="15" hidden="false" customHeight="false" outlineLevel="0" collapsed="false">
      <c r="A71" s="240" t="s">
        <v>443</v>
      </c>
      <c r="B71" s="189" t="n">
        <v>45057.6583795139</v>
      </c>
      <c r="C71" s="194" t="n">
        <v>1</v>
      </c>
    </row>
    <row r="72" customFormat="false" ht="15" hidden="false" customHeight="false" outlineLevel="0" collapsed="false">
      <c r="A72" s="240" t="s">
        <v>336</v>
      </c>
      <c r="B72" s="189" t="n">
        <v>45057.6624847222</v>
      </c>
      <c r="C72" s="194" t="n">
        <v>1</v>
      </c>
    </row>
    <row r="73" customFormat="false" ht="15" hidden="false" customHeight="false" outlineLevel="0" collapsed="false">
      <c r="A73" s="240" t="s">
        <v>280</v>
      </c>
      <c r="B73" s="189" t="n">
        <v>45057.6591131944</v>
      </c>
      <c r="C73" s="194" t="n">
        <v>1</v>
      </c>
    </row>
    <row r="74" customFormat="false" ht="15" hidden="false" customHeight="false" outlineLevel="0" collapsed="false">
      <c r="A74" s="240" t="s">
        <v>374</v>
      </c>
      <c r="B74" s="189" t="n">
        <v>45057.6829793981</v>
      </c>
      <c r="C74" s="194" t="n">
        <v>1</v>
      </c>
    </row>
    <row r="75" customFormat="false" ht="15" hidden="false" customHeight="false" outlineLevel="0" collapsed="false">
      <c r="A75" s="240" t="s">
        <v>362</v>
      </c>
      <c r="B75" s="189" t="n">
        <v>45057.6598763889</v>
      </c>
      <c r="C75" s="194" t="n">
        <v>-1</v>
      </c>
    </row>
    <row r="76" customFormat="false" ht="15" hidden="false" customHeight="false" outlineLevel="0" collapsed="false">
      <c r="A76" s="240" t="s">
        <v>380</v>
      </c>
      <c r="B76" s="189" t="n">
        <v>45057.6802435185</v>
      </c>
      <c r="C76" s="194" t="n">
        <v>1</v>
      </c>
    </row>
    <row r="77" customFormat="false" ht="15" hidden="false" customHeight="false" outlineLevel="0" collapsed="false">
      <c r="A77" s="240" t="s">
        <v>311</v>
      </c>
      <c r="B77" s="189" t="n">
        <v>45057.6582938657</v>
      </c>
      <c r="C77" s="194" t="n">
        <v>-1</v>
      </c>
    </row>
    <row r="78" customFormat="false" ht="15" hidden="false" customHeight="false" outlineLevel="0" collapsed="false">
      <c r="A78" s="240" t="s">
        <v>187</v>
      </c>
      <c r="B78" s="189" t="n">
        <v>45057.662171875</v>
      </c>
      <c r="C78" s="194" t="n">
        <v>-1</v>
      </c>
    </row>
    <row r="79" customFormat="false" ht="15" hidden="false" customHeight="false" outlineLevel="0" collapsed="false">
      <c r="A79" s="240" t="s">
        <v>383</v>
      </c>
      <c r="B79" s="189" t="n">
        <v>45057.6848773148</v>
      </c>
      <c r="C79" s="194" t="n">
        <v>1</v>
      </c>
    </row>
    <row r="80" customFormat="false" ht="15" hidden="false" customHeight="false" outlineLevel="0" collapsed="false">
      <c r="A80" s="240" t="s">
        <v>197</v>
      </c>
      <c r="B80" s="189" t="n">
        <v>45057.6835071759</v>
      </c>
      <c r="C80" s="194" t="n">
        <v>1</v>
      </c>
    </row>
    <row r="81" customFormat="false" ht="15" hidden="false" customHeight="false" outlineLevel="0" collapsed="false">
      <c r="A81" s="240" t="s">
        <v>377</v>
      </c>
      <c r="B81" s="189" t="n">
        <v>45057.6833011574</v>
      </c>
      <c r="C81" s="194" t="n">
        <v>1</v>
      </c>
    </row>
    <row r="82" customFormat="false" ht="15" hidden="false" customHeight="false" outlineLevel="0" collapsed="false">
      <c r="A82" s="240" t="s">
        <v>392</v>
      </c>
      <c r="B82" s="189" t="n">
        <v>45057.681278125</v>
      </c>
      <c r="C82" s="194" t="n">
        <v>-1</v>
      </c>
    </row>
    <row r="83" customFormat="false" ht="15" hidden="false" customHeight="false" outlineLevel="0" collapsed="false">
      <c r="A83" s="240" t="s">
        <v>395</v>
      </c>
      <c r="B83" s="189" t="n">
        <v>45057.6804388889</v>
      </c>
      <c r="C83" s="194" t="n">
        <v>1</v>
      </c>
    </row>
    <row r="84" customFormat="false" ht="15" hidden="false" customHeight="false" outlineLevel="0" collapsed="false">
      <c r="A84" s="240" t="s">
        <v>401</v>
      </c>
      <c r="B84" s="189" t="n">
        <v>45057.6784834491</v>
      </c>
      <c r="C84" s="194" t="n">
        <v>-1</v>
      </c>
    </row>
    <row r="85" customFormat="false" ht="15" hidden="false" customHeight="false" outlineLevel="0" collapsed="false">
      <c r="A85" s="240" t="s">
        <v>389</v>
      </c>
      <c r="B85" s="189" t="n">
        <v>45057.6617278935</v>
      </c>
      <c r="C85" s="194" t="n">
        <v>1</v>
      </c>
    </row>
    <row r="86" customFormat="false" ht="15" hidden="false" customHeight="false" outlineLevel="0" collapsed="false">
      <c r="A86" s="240" t="s">
        <v>203</v>
      </c>
      <c r="B86" s="189" t="n">
        <v>45057.6647314815</v>
      </c>
      <c r="C86" s="194" t="n">
        <v>-1</v>
      </c>
    </row>
    <row r="87" customFormat="false" ht="15" hidden="false" customHeight="false" outlineLevel="0" collapsed="false">
      <c r="A87" s="240" t="s">
        <v>404</v>
      </c>
      <c r="B87" s="189" t="n">
        <v>45057.6825555556</v>
      </c>
      <c r="C87" s="194" t="n">
        <v>1</v>
      </c>
    </row>
    <row r="88" customFormat="false" ht="15" hidden="false" customHeight="false" outlineLevel="0" collapsed="false">
      <c r="A88" s="240" t="s">
        <v>302</v>
      </c>
      <c r="B88" s="189" t="n">
        <v>45057.684762037</v>
      </c>
      <c r="C88" s="194" t="n">
        <v>-1</v>
      </c>
    </row>
    <row r="89" customFormat="false" ht="15" hidden="false" customHeight="false" outlineLevel="0" collapsed="false">
      <c r="A89" s="240" t="s">
        <v>454</v>
      </c>
      <c r="B89" s="189" t="n">
        <v>45057.6652090278</v>
      </c>
      <c r="C89" s="194" t="n">
        <v>1</v>
      </c>
    </row>
    <row r="90" customFormat="false" ht="15" hidden="false" customHeight="false" outlineLevel="0" collapsed="false">
      <c r="A90" s="240" t="s">
        <v>435</v>
      </c>
      <c r="B90" s="189" t="n">
        <v>45057.663759838</v>
      </c>
      <c r="C90" s="194" t="n">
        <v>1</v>
      </c>
    </row>
    <row r="91" customFormat="false" ht="15" hidden="false" customHeight="false" outlineLevel="0" collapsed="false">
      <c r="A91" s="240" t="s">
        <v>457</v>
      </c>
      <c r="B91" s="189" t="n">
        <v>45057.6633099537</v>
      </c>
      <c r="C91" s="194" t="n">
        <v>-1</v>
      </c>
    </row>
    <row r="92" customFormat="false" ht="15" hidden="false" customHeight="false" outlineLevel="0" collapsed="false">
      <c r="A92" s="240" t="s">
        <v>440</v>
      </c>
      <c r="B92" s="189" t="n">
        <v>45057.6586887732</v>
      </c>
      <c r="C92" s="194" t="n">
        <v>-1</v>
      </c>
    </row>
    <row r="93" customFormat="false" ht="15" hidden="false" customHeight="false" outlineLevel="0" collapsed="false">
      <c r="A93" s="240" t="s">
        <v>225</v>
      </c>
      <c r="B93" s="189" t="n">
        <v>45057.6585546296</v>
      </c>
      <c r="C93" s="194" t="n">
        <v>1</v>
      </c>
    </row>
    <row r="94" customFormat="false" ht="15" hidden="false" customHeight="false" outlineLevel="0" collapsed="false">
      <c r="A94" s="240" t="s">
        <v>410</v>
      </c>
      <c r="B94" s="189" t="n">
        <v>45057.6845399306</v>
      </c>
      <c r="C94" s="194" t="n">
        <v>1</v>
      </c>
    </row>
    <row r="95" customFormat="false" ht="15" hidden="false" customHeight="false" outlineLevel="0" collapsed="false">
      <c r="A95" s="240" t="s">
        <v>413</v>
      </c>
      <c r="B95" s="189" t="n">
        <v>45057.6614395833</v>
      </c>
      <c r="C95" s="194" t="n">
        <v>1</v>
      </c>
    </row>
    <row r="96" customFormat="false" ht="15" hidden="false" customHeight="false" outlineLevel="0" collapsed="false">
      <c r="A96" s="240" t="s">
        <v>449</v>
      </c>
      <c r="B96" s="189" t="n">
        <v>45057.6577355324</v>
      </c>
      <c r="C96" s="194" t="n">
        <v>1</v>
      </c>
    </row>
    <row r="97" customFormat="false" ht="15" hidden="false" customHeight="false" outlineLevel="0" collapsed="false">
      <c r="A97" s="240" t="s">
        <v>398</v>
      </c>
      <c r="B97" s="189" t="n">
        <v>45057.6804179398</v>
      </c>
      <c r="C97" s="194" t="n">
        <v>1</v>
      </c>
    </row>
    <row r="98" customFormat="false" ht="15" hidden="false" customHeight="false" outlineLevel="0" collapsed="false">
      <c r="A98" s="240" t="s">
        <v>429</v>
      </c>
      <c r="B98" s="189" t="n">
        <v>45057.6588449074</v>
      </c>
      <c r="C98" s="194" t="n">
        <v>-1</v>
      </c>
    </row>
    <row r="99" customFormat="false" ht="15" hidden="false" customHeight="false" outlineLevel="0" collapsed="false">
      <c r="A99" s="240" t="s">
        <v>416</v>
      </c>
      <c r="B99" s="189" t="n">
        <v>45057.6838770833</v>
      </c>
      <c r="C99" s="194" t="n">
        <v>1</v>
      </c>
    </row>
    <row r="100" customFormat="false" ht="15" hidden="false" customHeight="false" outlineLevel="0" collapsed="false">
      <c r="A100" s="240" t="s">
        <v>166</v>
      </c>
      <c r="B100" s="189" t="n">
        <v>45057.6784685185</v>
      </c>
      <c r="C100" s="194" t="n">
        <v>1</v>
      </c>
    </row>
    <row r="101" customFormat="false" ht="15" hidden="false" customHeight="false" outlineLevel="0" collapsed="false">
      <c r="A101" s="240" t="s">
        <v>160</v>
      </c>
      <c r="B101" s="189" t="n">
        <v>45057.6810155093</v>
      </c>
      <c r="C101" s="194" t="n">
        <v>1</v>
      </c>
    </row>
    <row r="102" customFormat="false" ht="15" hidden="false" customHeight="false" outlineLevel="0" collapsed="false">
      <c r="A102" s="309"/>
      <c r="C102" s="140"/>
    </row>
    <row r="104" customFormat="false" ht="15" hidden="false" customHeight="false" outlineLevel="0" collapsed="false">
      <c r="B104" s="280"/>
    </row>
    <row r="105" customFormat="false" ht="15" hidden="false" customHeight="false" outlineLevel="0" collapsed="false">
      <c r="B105" s="280"/>
    </row>
    <row r="106" customFormat="false" ht="15" hidden="false" customHeight="false" outlineLevel="0" collapsed="false">
      <c r="B106" s="280"/>
    </row>
    <row r="107" customFormat="false" ht="15" hidden="false" customHeight="false" outlineLevel="0" collapsed="false">
      <c r="B107" s="280"/>
    </row>
    <row r="108" customFormat="false" ht="15" hidden="false" customHeight="false" outlineLevel="0" collapsed="false">
      <c r="B108" s="280"/>
    </row>
    <row r="109" customFormat="false" ht="15" hidden="false" customHeight="false" outlineLevel="0" collapsed="false">
      <c r="B109" s="280"/>
    </row>
    <row r="110" customFormat="false" ht="15" hidden="false" customHeight="false" outlineLevel="0" collapsed="false">
      <c r="B110" s="280"/>
    </row>
    <row r="112" customFormat="false" ht="15" hidden="false" customHeight="false" outlineLevel="0" collapsed="false">
      <c r="B112" s="151"/>
      <c r="C112" s="140"/>
    </row>
    <row r="113" customFormat="false" ht="15" hidden="false" customHeight="false" outlineLevel="0" collapsed="false">
      <c r="B113" s="290"/>
      <c r="C113" s="140"/>
    </row>
    <row r="114" customFormat="false" ht="15" hidden="false" customHeight="false" outlineLevel="0" collapsed="false">
      <c r="B114" s="290"/>
      <c r="C114" s="140"/>
    </row>
    <row r="115" customFormat="false" ht="15" hidden="false" customHeight="false" outlineLevel="0" collapsed="false">
      <c r="B115" s="140"/>
      <c r="C115" s="140"/>
    </row>
    <row r="116" customFormat="false" ht="15" hidden="false" customHeight="false" outlineLevel="0" collapsed="false">
      <c r="B116" s="151"/>
      <c r="C116" s="140"/>
    </row>
    <row r="117" customFormat="false" ht="15" hidden="false" customHeight="false" outlineLevel="0" collapsed="false">
      <c r="B117" s="151"/>
      <c r="C117" s="140"/>
    </row>
    <row r="118" customFormat="false" ht="15" hidden="false" customHeight="false" outlineLevel="0" collapsed="false">
      <c r="B118" s="290"/>
    </row>
    <row r="119" customFormat="false" ht="15" hidden="false" customHeight="false" outlineLevel="0" collapsed="false">
      <c r="B119" s="140"/>
    </row>
    <row r="120" customFormat="false" ht="15" hidden="false" customHeight="false" outlineLevel="0" collapsed="false">
      <c r="B120" s="151"/>
      <c r="C120" s="290"/>
    </row>
    <row r="121" customFormat="false" ht="15" hidden="false" customHeight="false" outlineLevel="0" collapsed="false">
      <c r="B121" s="290"/>
      <c r="C121" s="290"/>
    </row>
    <row r="122" customFormat="false" ht="15" hidden="false" customHeight="false" outlineLevel="0" collapsed="false">
      <c r="B122" s="290"/>
      <c r="C122" s="290"/>
    </row>
    <row r="123" customFormat="false" ht="15" hidden="false" customHeight="false" outlineLevel="0" collapsed="false">
      <c r="B123" s="140"/>
      <c r="C123" s="140"/>
    </row>
    <row r="124" customFormat="false" ht="15" hidden="false" customHeight="false" outlineLevel="0" collapsed="false">
      <c r="B124" s="151"/>
      <c r="C124" s="290"/>
    </row>
    <row r="125" customFormat="false" ht="15" hidden="false" customHeight="false" outlineLevel="0" collapsed="false">
      <c r="B125" s="151"/>
      <c r="C125" s="290"/>
    </row>
    <row r="126" customFormat="false" ht="15" hidden="false" customHeight="false" outlineLevel="0" collapsed="false">
      <c r="B126" s="290"/>
    </row>
    <row r="127" customFormat="false" ht="15" hidden="false" customHeight="false" outlineLevel="0" collapsed="false">
      <c r="B127" s="140"/>
    </row>
    <row r="128" customFormat="false" ht="15" hidden="false" customHeight="false" outlineLevel="0" collapsed="false">
      <c r="B128" s="151"/>
      <c r="C128" s="290"/>
    </row>
    <row r="129" customFormat="false" ht="15" hidden="false" customHeight="false" outlineLevel="0" collapsed="false">
      <c r="B129" s="290"/>
      <c r="C129" s="290"/>
    </row>
    <row r="130" customFormat="false" ht="15" hidden="false" customHeight="false" outlineLevel="0" collapsed="false">
      <c r="B130" s="290"/>
      <c r="C130" s="290"/>
    </row>
    <row r="131" customFormat="false" ht="15" hidden="false" customHeight="false" outlineLevel="0" collapsed="false">
      <c r="B131" s="140"/>
      <c r="C131" s="140"/>
    </row>
    <row r="132" customFormat="false" ht="15" hidden="false" customHeight="false" outlineLevel="0" collapsed="false">
      <c r="B132" s="151"/>
      <c r="C132" s="290"/>
    </row>
    <row r="133" customFormat="false" ht="15" hidden="false" customHeight="false" outlineLevel="0" collapsed="false">
      <c r="B133" s="151"/>
      <c r="C133" s="290"/>
    </row>
    <row r="134" customFormat="false" ht="15" hidden="false" customHeight="false" outlineLevel="0" collapsed="false">
      <c r="B134" s="290"/>
    </row>
    <row r="136" customFormat="false" ht="15" hidden="false" customHeight="false" outlineLevel="0" collapsed="false">
      <c r="B136" s="280"/>
    </row>
    <row r="137" customFormat="false" ht="15" hidden="false" customHeight="false" outlineLevel="0" collapsed="false">
      <c r="B137" s="280"/>
    </row>
    <row r="138" customFormat="false" ht="15" hidden="false" customHeight="false" outlineLevel="0" collapsed="false">
      <c r="B138" s="280"/>
    </row>
    <row r="139" customFormat="false" ht="15" hidden="false" customHeight="false" outlineLevel="0" collapsed="false">
      <c r="B139" s="280"/>
    </row>
    <row r="140" customFormat="false" ht="15" hidden="false" customHeight="false" outlineLevel="0" collapsed="false">
      <c r="B140" s="280"/>
    </row>
    <row r="141" customFormat="false" ht="15" hidden="false" customHeight="false" outlineLevel="0" collapsed="false">
      <c r="B141" s="280"/>
    </row>
    <row r="142" customFormat="false" ht="15" hidden="false" customHeight="false" outlineLevel="0" collapsed="false">
      <c r="B142" s="280"/>
    </row>
    <row r="144" customFormat="false" ht="15" hidden="false" customHeight="false" outlineLevel="0" collapsed="false">
      <c r="B144" s="280"/>
    </row>
    <row r="145" customFormat="false" ht="15" hidden="false" customHeight="false" outlineLevel="0" collapsed="false">
      <c r="B145" s="280"/>
    </row>
    <row r="146" customFormat="false" ht="15" hidden="false" customHeight="false" outlineLevel="0" collapsed="false">
      <c r="B146" s="280"/>
    </row>
    <row r="147" customFormat="false" ht="15" hidden="false" customHeight="false" outlineLevel="0" collapsed="false">
      <c r="B147" s="280"/>
    </row>
    <row r="148" customFormat="false" ht="15" hidden="false" customHeight="false" outlineLevel="0" collapsed="false">
      <c r="B148" s="280"/>
    </row>
    <row r="149" customFormat="false" ht="15" hidden="false" customHeight="false" outlineLevel="0" collapsed="false">
      <c r="B149" s="280"/>
    </row>
    <row r="150" customFormat="false" ht="15" hidden="false" customHeight="false" outlineLevel="0" collapsed="false">
      <c r="B150" s="28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2021-06-17T09:20:52Z</dcterms:created>
  <dc:creator>Anne TESNIERE</dc:creator>
  <dc:description/>
  <dc:language>fr-FR</dc:language>
  <cp:lastModifiedBy/>
  <dcterms:modified xsi:type="dcterms:W3CDTF">2026-10-22T16:27:44Z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