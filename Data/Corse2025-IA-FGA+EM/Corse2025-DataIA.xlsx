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10900" firstSheet="3" activeTab="4"/>
  </bookViews>
  <sheets>
    <sheet name="Alpha 1956 - 14" sheetId="4" r:id="rId1"/>
    <sheet name="Alpha 7847 - 15" sheetId="2" r:id="rId2"/>
    <sheet name="Alpha 6288 - 19" sheetId="5" r:id="rId3"/>
    <sheet name="Données brutes" sheetId="10" r:id="rId4"/>
    <sheet name="All Data" sheetId="6" r:id="rId5"/>
    <sheet name="Data béliers" sheetId="8" r:id="rId6"/>
    <sheet name="Data brebis" sheetId="12" r:id="rId7"/>
    <sheet name="Data brebis Points Rouges" sheetId="13" r:id="rId8"/>
    <sheet name="Début-Fin Chaleurs" sheetId="14" r:id="rId9"/>
    <sheet name="Début-Fin Chaleurs (2)" sheetId="15" r:id="rId10"/>
  </sheets>
  <definedNames>
    <definedName name="_xlnm._FilterDatabase" localSheetId="4" hidden="1">'All Data'!$A$1:$N$201</definedName>
    <definedName name="_xlnm._FilterDatabase" localSheetId="5" hidden="1">'Data béliers'!$A$1:$L$208</definedName>
    <definedName name="_xlnm._FilterDatabase" localSheetId="8" hidden="1">'Début-Fin Chaleurs'!$A$1:$Z$208</definedName>
    <definedName name="_xlnm._FilterDatabase" localSheetId="9" hidden="1">'Début-Fin Chaleurs (2)'!$A$1:$Z$26</definedName>
    <definedName name="DonnéesExternes_1" localSheetId="0" hidden="1">'Alpha 1956 - 14'!$A$1:$E$14</definedName>
    <definedName name="DonnéesExternes_1" localSheetId="2" hidden="1">'Alpha 6288 - 19'!$A$1:$E$35</definedName>
    <definedName name="DonnéesExternes_1" localSheetId="1" hidden="1">'Alpha 7847 - 15'!$A$1:$E$179</definedName>
    <definedName name="DonnéesExternes_1" localSheetId="3" hidden="1">'Données brutes'!$A$1:$E$231</definedName>
  </definedNames>
  <calcPr calcId="162913"/>
</workbook>
</file>

<file path=xl/calcChain.xml><?xml version="1.0" encoding="utf-8"?>
<calcChain xmlns="http://schemas.openxmlformats.org/spreadsheetml/2006/main">
  <c r="L2" i="15" l="1"/>
  <c r="P2" i="15"/>
  <c r="P26" i="15"/>
  <c r="P25" i="15"/>
  <c r="X24" i="15"/>
  <c r="P24" i="15"/>
  <c r="X23" i="15"/>
  <c r="P23" i="15"/>
  <c r="P22" i="15"/>
  <c r="P21" i="15"/>
  <c r="L21" i="15"/>
  <c r="P20" i="15"/>
  <c r="P19" i="15"/>
  <c r="P18" i="15"/>
  <c r="P17" i="15"/>
  <c r="X16" i="15"/>
  <c r="P16" i="15"/>
  <c r="P15" i="15"/>
  <c r="P14" i="15"/>
  <c r="P13" i="15"/>
  <c r="P12" i="15"/>
  <c r="P11" i="15"/>
  <c r="X10" i="15"/>
  <c r="P10" i="15"/>
  <c r="P9" i="15"/>
  <c r="L9" i="15"/>
  <c r="P8" i="15"/>
  <c r="L8" i="15"/>
  <c r="P7" i="15"/>
  <c r="P6" i="15"/>
  <c r="L6" i="15"/>
  <c r="P5" i="15"/>
  <c r="P4" i="15"/>
  <c r="L4" i="15"/>
  <c r="P3" i="15"/>
  <c r="L3" i="15"/>
  <c r="L186" i="14"/>
  <c r="P208" i="14"/>
  <c r="P200" i="14"/>
  <c r="P192" i="14"/>
  <c r="P191" i="14"/>
  <c r="P190" i="14"/>
  <c r="P186" i="14"/>
  <c r="P181" i="14"/>
  <c r="P176" i="14"/>
  <c r="P174" i="14"/>
  <c r="P166" i="14"/>
  <c r="P162" i="14"/>
  <c r="P161" i="14"/>
  <c r="P157" i="14"/>
  <c r="P146" i="14"/>
  <c r="P133" i="14"/>
  <c r="P130" i="14"/>
  <c r="L114" i="14"/>
  <c r="P115" i="14"/>
  <c r="P114" i="14"/>
  <c r="L106" i="14"/>
  <c r="P106" i="14"/>
  <c r="P89" i="14"/>
  <c r="L70" i="14"/>
  <c r="X38" i="14"/>
  <c r="X50" i="14"/>
  <c r="X12" i="14"/>
  <c r="X2" i="14"/>
  <c r="X201" i="14"/>
  <c r="X193" i="14"/>
  <c r="X192" i="14"/>
  <c r="X191" i="14"/>
  <c r="X187" i="14"/>
  <c r="X182" i="14"/>
  <c r="X177" i="14"/>
  <c r="X175" i="14"/>
  <c r="X167" i="14"/>
  <c r="X163" i="14"/>
  <c r="X162" i="14"/>
  <c r="X158" i="14"/>
  <c r="X147" i="14"/>
  <c r="X134" i="14"/>
  <c r="X131" i="14"/>
  <c r="X116" i="14"/>
  <c r="X115" i="14"/>
  <c r="X107" i="14"/>
  <c r="X90" i="14"/>
  <c r="X71" i="14"/>
  <c r="X68" i="14"/>
  <c r="P70" i="14"/>
  <c r="P67" i="14"/>
  <c r="L49" i="14"/>
  <c r="P49" i="14"/>
  <c r="P37" i="14"/>
  <c r="L37" i="14"/>
  <c r="P11" i="14" l="1"/>
  <c r="L11" i="14"/>
</calcChain>
</file>

<file path=xl/connections.xml><?xml version="1.0" encoding="utf-8"?>
<connections xmlns="http://schemas.openxmlformats.org/spreadsheetml/2006/main">
  <connection id="1" keepAlive="1" name="Requête - 322125367847_24_05_25" description="Connexion à la requête « 322125367847_24_05_25 » dans le classeur." type="5" refreshedVersion="6" background="1" saveData="1">
    <dbPr connection="Provider=Microsoft.Mashup.OleDb.1;Data Source=$Workbook$;Location=322125367847_24_05_25;Extended Properties=&quot;&quot;" command="SELECT * FROM [322125367847_24_05_25]"/>
  </connection>
  <connection id="2" keepAlive="1" name="Requête - 322125367847-22_05_25" description="Connexion à la requête « 322125367847-22_05_25 » dans le classeur." type="5" refreshedVersion="6" background="1" saveData="1">
    <dbPr connection="Provider=Microsoft.Mashup.OleDb.1;Data Source=$Workbook$;Location=322125367847-22_05_25;Extended Properties=&quot;&quot;" command="SELECT * FROM [322125367847-22_05_25]"/>
  </connection>
  <connection id="3" keepAlive="1" name="Requête - 322125371956_22_05_25" description="Connexion à la requête « 322125371956_22_05_25 » dans le classeur." type="5" refreshedVersion="6" background="1" saveData="1">
    <dbPr connection="Provider=Microsoft.Mashup.OleDb.1;Data Source=$Workbook$;Location=322125371956_22_05_25;Extended Properties=&quot;&quot;" command="SELECT * FROM [322125371956_22_05_25]"/>
  </connection>
  <connection id="4" keepAlive="1" name="Requête - 322125376288_22_05_25" description="Connexion à la requête « 322125376288_22_05_25 » dans le classeur." type="5" refreshedVersion="6" background="1" saveData="1">
    <dbPr connection="Provider=Microsoft.Mashup.OleDb.1;Data Source=$Workbook$;Location=322125376288_22_05_25;Extended Properties=&quot;&quot;" command="SELECT * FROM [322125376288_22_05_25]"/>
  </connection>
</connections>
</file>

<file path=xl/sharedStrings.xml><?xml version="1.0" encoding="utf-8"?>
<sst xmlns="http://schemas.openxmlformats.org/spreadsheetml/2006/main" count="4135" uniqueCount="55">
  <si>
    <t>N</t>
  </si>
  <si>
    <t xml:space="preserve"> ID</t>
  </si>
  <si>
    <t xml:space="preserve"> TAG</t>
  </si>
  <si>
    <t xml:space="preserve"> DATE (dd_mm_yyyy)</t>
  </si>
  <si>
    <t xml:space="preserve"> TIME</t>
  </si>
  <si>
    <t>ID-322125367847</t>
  </si>
  <si>
    <t>ID-322125371956</t>
  </si>
  <si>
    <t>ID-322125376288</t>
  </si>
  <si>
    <t>N° Bélier</t>
  </si>
  <si>
    <t>N° Alpha</t>
  </si>
  <si>
    <t>Alpha 15</t>
  </si>
  <si>
    <t>Alpha 14</t>
  </si>
  <si>
    <t>Alpha 16</t>
  </si>
  <si>
    <t>Nb Chev Béliers</t>
  </si>
  <si>
    <t>190055</t>
  </si>
  <si>
    <t>240271</t>
  </si>
  <si>
    <t>190062</t>
  </si>
  <si>
    <t>230125</t>
  </si>
  <si>
    <t>210262</t>
  </si>
  <si>
    <t>210265</t>
  </si>
  <si>
    <t>220221</t>
  </si>
  <si>
    <t>230124</t>
  </si>
  <si>
    <t>220223</t>
  </si>
  <si>
    <t>210282</t>
  </si>
  <si>
    <t>210283</t>
  </si>
  <si>
    <t>220211</t>
  </si>
  <si>
    <t>220206</t>
  </si>
  <si>
    <t>230137</t>
  </si>
  <si>
    <t>230127</t>
  </si>
  <si>
    <t>230132</t>
  </si>
  <si>
    <t>220238</t>
  </si>
  <si>
    <t>220241</t>
  </si>
  <si>
    <t>230106</t>
  </si>
  <si>
    <t>240278</t>
  </si>
  <si>
    <t>240288</t>
  </si>
  <si>
    <t>230123</t>
  </si>
  <si>
    <t>240257</t>
  </si>
  <si>
    <t>240282</t>
  </si>
  <si>
    <t>240265</t>
  </si>
  <si>
    <t>N° Brebis</t>
  </si>
  <si>
    <t>N° W brebis</t>
  </si>
  <si>
    <t>Nb Chev Brebis</t>
  </si>
  <si>
    <t>N° Ordre Brebis</t>
  </si>
  <si>
    <t>190063</t>
  </si>
  <si>
    <t>Jour + Heure début</t>
  </si>
  <si>
    <t>Jour + Heure fin</t>
  </si>
  <si>
    <t>Durée chaleur (h)</t>
  </si>
  <si>
    <t>Durée chaleur corrigée (h)</t>
  </si>
  <si>
    <t>Dif 1-2 chv</t>
  </si>
  <si>
    <t>N° béliers</t>
  </si>
  <si>
    <t>Nb béliers</t>
  </si>
  <si>
    <t>14,15</t>
  </si>
  <si>
    <t>15,16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</si>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</sst>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3">
    <xf numFmtId="0" fontId="0" fillId="0" borderId="0" xfId="0"/>
    <xf numFmtId="0" fontId="0" fillId="0" borderId="0" xfId="0" applyNumberFormat="1"/>
    <xf numFmtId="22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164" fontId="0" fillId="0" borderId="0" xfId="0" applyNumberFormat="1"/>
    <xf numFmtId="0" fontId="18" fillId="0" borderId="0" xfId="0" quotePrefix="1" applyNumberFormat="1" applyFont="1" applyFill="1" applyBorder="1" applyAlignment="1" applyProtection="1">
      <alignment horizontal="left"/>
    </xf>
    <xf numFmtId="0" fontId="0" fillId="0" borderId="0" xfId="0" applyFill="1" applyAlignment="1">
      <alignment horizontal="center"/>
    </xf>
    <xf numFmtId="0" fontId="19" fillId="0" borderId="0" xfId="0" quotePrefix="1" applyNumberFormat="1" applyFont="1" applyFill="1" applyBorder="1" applyAlignment="1" applyProtection="1">
      <alignment horizontal="left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33" borderId="0" xfId="0" applyFill="1"/>
    <xf numFmtId="0" fontId="0" fillId="33" borderId="0" xfId="0" applyNumberFormat="1" applyFill="1"/>
    <xf numFmtId="0" fontId="18" fillId="33" borderId="0" xfId="0" quotePrefix="1" applyNumberFormat="1" applyFont="1" applyFill="1" applyBorder="1" applyAlignment="1" applyProtection="1">
      <alignment horizontal="right"/>
    </xf>
    <xf numFmtId="1" fontId="0" fillId="33" borderId="0" xfId="0" applyNumberFormat="1" applyFill="1"/>
    <xf numFmtId="164" fontId="0" fillId="33" borderId="0" xfId="0" applyNumberFormat="1" applyFill="1"/>
    <xf numFmtId="0" fontId="0" fillId="34" borderId="0" xfId="0" applyFill="1"/>
    <xf numFmtId="0" fontId="0" fillId="34" borderId="0" xfId="0" applyNumberFormat="1" applyFill="1"/>
    <xf numFmtId="0" fontId="18" fillId="34" borderId="0" xfId="0" quotePrefix="1" applyNumberFormat="1" applyFont="1" applyFill="1" applyBorder="1" applyAlignment="1" applyProtection="1">
      <alignment horizontal="right"/>
    </xf>
    <xf numFmtId="1" fontId="0" fillId="34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" fontId="0" fillId="36" borderId="10" xfId="1" applyNumberFormat="1" applyFont="1" applyFill="1" applyBorder="1"/>
    <xf numFmtId="1" fontId="0" fillId="0" borderId="10" xfId="1" applyNumberFormat="1" applyFont="1" applyBorder="1"/>
    <xf numFmtId="1" fontId="0" fillId="0" borderId="10" xfId="0" applyNumberFormat="1" applyFont="1" applyBorder="1"/>
    <xf numFmtId="0" fontId="0" fillId="37" borderId="0" xfId="0" applyNumberFormat="1" applyFill="1"/>
    <xf numFmtId="1" fontId="0" fillId="37" borderId="0" xfId="0" applyNumberFormat="1" applyFont="1" applyFill="1" applyBorder="1"/>
    <xf numFmtId="164" fontId="0" fillId="37" borderId="0" xfId="0" applyNumberFormat="1" applyFill="1"/>
    <xf numFmtId="0" fontId="0" fillId="37" borderId="0" xfId="0" applyFill="1"/>
    <xf numFmtId="1" fontId="0" fillId="37" borderId="0" xfId="0" applyNumberFormat="1" applyFill="1"/>
    <xf numFmtId="0" fontId="0" fillId="38" borderId="0" xfId="0" applyNumberFormat="1" applyFill="1"/>
    <xf numFmtId="1" fontId="0" fillId="38" borderId="0" xfId="0" applyNumberFormat="1" applyFill="1"/>
    <xf numFmtId="0" fontId="0" fillId="38" borderId="0" xfId="0" applyFill="1"/>
    <xf numFmtId="164" fontId="0" fillId="38" borderId="0" xfId="0" applyNumberFormat="1" applyFill="1"/>
    <xf numFmtId="0" fontId="0" fillId="0" borderId="0" xfId="0" applyFill="1" applyAlignment="1">
      <alignment wrapText="1"/>
    </xf>
    <xf numFmtId="1" fontId="0" fillId="0" borderId="0" xfId="0" applyNumberFormat="1" applyFill="1" applyAlignment="1">
      <alignment wrapText="1"/>
    </xf>
    <xf numFmtId="164" fontId="0" fillId="0" borderId="0" xfId="0" applyNumberFormat="1" applyFill="1" applyAlignment="1">
      <alignment wrapText="1"/>
    </xf>
    <xf numFmtId="0" fontId="0" fillId="0" borderId="0" xfId="0" applyFill="1"/>
    <xf numFmtId="1" fontId="0" fillId="0" borderId="0" xfId="0" applyNumberFormat="1" applyFill="1"/>
    <xf numFmtId="164" fontId="0" fillId="0" borderId="0" xfId="0" applyNumberFormat="1" applyFill="1"/>
    <xf numFmtId="0" fontId="0" fillId="0" borderId="0" xfId="0" applyNumberFormat="1" applyFill="1"/>
    <xf numFmtId="0" fontId="18" fillId="0" borderId="0" xfId="0" quotePrefix="1" applyNumberFormat="1" applyFont="1" applyFill="1" applyBorder="1" applyAlignment="1" applyProtection="1">
      <alignment horizontal="right"/>
    </xf>
    <xf numFmtId="1" fontId="0" fillId="0" borderId="0" xfId="0" applyNumberFormat="1" applyFont="1" applyFill="1" applyBorder="1"/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wrapText="1"/>
    </xf>
    <xf numFmtId="2" fontId="0" fillId="0" borderId="0" xfId="0" applyNumberFormat="1" applyFill="1" applyBorder="1"/>
    <xf numFmtId="2" fontId="0" fillId="0" borderId="0" xfId="0" applyNumberFormat="1" applyFill="1"/>
    <xf numFmtId="49" fontId="0" fillId="0" borderId="0" xfId="0" applyNumberFormat="1" applyFill="1" applyAlignment="1">
      <alignment wrapText="1"/>
    </xf>
    <xf numFmtId="49" fontId="0" fillId="0" borderId="0" xfId="0" applyNumberFormat="1" applyFill="1"/>
    <xf numFmtId="22" fontId="0" fillId="0" borderId="0" xfId="0" applyNumberFormat="1" applyFill="1"/>
    <xf numFmtId="2" fontId="0" fillId="35" borderId="0" xfId="0" applyNumberFormat="1" applyFill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numFmt numFmtId="165" formatCode="dd/mm/yyyy\ hh:mm"/>
    </dxf>
    <dxf>
      <numFmt numFmtId="1" formatCode="0"/>
    </dxf>
    <dxf>
      <numFmt numFmtId="0" formatCode="General"/>
    </dxf>
    <dxf>
      <numFmt numFmtId="165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165" formatCode="dd/mm/yyyy\ hh:mm"/>
    </dxf>
    <dxf>
      <numFmt numFmtId="1" formatCode="0"/>
    </dxf>
    <dxf>
      <numFmt numFmtId="0" formatCode="General"/>
    </dxf>
    <dxf>
      <numFmt numFmtId="165" formatCode="dd/mm/yyyy\ hh:mm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Style" Target="style2.xml"/><Relationship Id="rId2" Type="http://schemas.microsoft.com/office/2011/relationships/chartColorStyle" Target="colors2.xml"/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Activité</a:t>
            </a:r>
            <a:r>
              <a:rPr lang="fr-FR" baseline="0">
                <a:solidFill>
                  <a:sysClr val="windowText" lastClr="000000"/>
                </a:solidFill>
              </a:rPr>
              <a:t> des béliers pendant l'effet mâle (ODARC 2025)</a:t>
            </a:r>
            <a:endParaRPr lang="fr-FR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3974411166853979E-2"/>
          <c:y val="7.9836632889757883E-2"/>
          <c:w val="0.89984741893457476"/>
          <c:h val="0.766908312861880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béliers'!$D$2</c:f>
              <c:strCache>
                <c:ptCount val="1"/>
                <c:pt idx="0">
                  <c:v>91001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béliers'!$H$2:$H$199</c:f>
              <c:numCache>
                <c:formatCode>dd/mm/yyyy\ hh:mm:ss</c:formatCode>
                <c:ptCount val="198"/>
                <c:pt idx="0">
                  <c:v>45798.247002314813</c:v>
                </c:pt>
                <c:pt idx="1">
                  <c:v>45798.247013888889</c:v>
                </c:pt>
                <c:pt idx="2">
                  <c:v>45798.27275462963</c:v>
                </c:pt>
                <c:pt idx="3">
                  <c:v>45798.302256944444</c:v>
                </c:pt>
                <c:pt idx="4">
                  <c:v>45798.302268518521</c:v>
                </c:pt>
                <c:pt idx="5">
                  <c:v>45798.30228009259</c:v>
                </c:pt>
                <c:pt idx="6">
                  <c:v>45798.302534722221</c:v>
                </c:pt>
                <c:pt idx="7">
                  <c:v>45798.302546296298</c:v>
                </c:pt>
                <c:pt idx="8">
                  <c:v>45798.32234953704</c:v>
                </c:pt>
                <c:pt idx="9">
                  <c:v>45798.367731481485</c:v>
                </c:pt>
                <c:pt idx="10">
                  <c:v>45798.453252314815</c:v>
                </c:pt>
                <c:pt idx="11">
                  <c:v>45798.453263888892</c:v>
                </c:pt>
                <c:pt idx="12">
                  <c:v>45798.454606481479</c:v>
                </c:pt>
                <c:pt idx="13">
                  <c:v>45798.454618055555</c:v>
                </c:pt>
                <c:pt idx="14">
                  <c:v>45798.503449074073</c:v>
                </c:pt>
                <c:pt idx="15">
                  <c:v>45798.511724537035</c:v>
                </c:pt>
                <c:pt idx="16">
                  <c:v>45798.511944444443</c:v>
                </c:pt>
                <c:pt idx="17">
                  <c:v>45798.553657407407</c:v>
                </c:pt>
                <c:pt idx="18">
                  <c:v>45798.553668981483</c:v>
                </c:pt>
                <c:pt idx="19">
                  <c:v>45798.55369212963</c:v>
                </c:pt>
                <c:pt idx="20">
                  <c:v>45798.589317129627</c:v>
                </c:pt>
                <c:pt idx="21">
                  <c:v>45798.589328703703</c:v>
                </c:pt>
                <c:pt idx="22">
                  <c:v>45798.60359953704</c:v>
                </c:pt>
                <c:pt idx="23">
                  <c:v>45798.60361111111</c:v>
                </c:pt>
                <c:pt idx="24">
                  <c:v>45798.603773148148</c:v>
                </c:pt>
                <c:pt idx="25">
                  <c:v>45798.604270833333</c:v>
                </c:pt>
                <c:pt idx="26">
                  <c:v>45798.604409722226</c:v>
                </c:pt>
                <c:pt idx="27">
                  <c:v>45798.604421296295</c:v>
                </c:pt>
                <c:pt idx="28">
                  <c:v>45798.605509259258</c:v>
                </c:pt>
                <c:pt idx="29">
                  <c:v>45798.605636574073</c:v>
                </c:pt>
                <c:pt idx="30">
                  <c:v>45798.60564814815</c:v>
                </c:pt>
                <c:pt idx="31">
                  <c:v>45798.606053240743</c:v>
                </c:pt>
                <c:pt idx="32">
                  <c:v>45798.654340277775</c:v>
                </c:pt>
                <c:pt idx="33">
                  <c:v>45798.654351851852</c:v>
                </c:pt>
                <c:pt idx="34">
                  <c:v>45798.654363425929</c:v>
                </c:pt>
                <c:pt idx="35">
                  <c:v>45798.655798611115</c:v>
                </c:pt>
                <c:pt idx="36">
                  <c:v>45798.655821759261</c:v>
                </c:pt>
                <c:pt idx="37">
                  <c:v>45798.655833333331</c:v>
                </c:pt>
                <c:pt idx="38">
                  <c:v>45798.655844907407</c:v>
                </c:pt>
                <c:pt idx="39">
                  <c:v>45798.655844907407</c:v>
                </c:pt>
                <c:pt idx="40">
                  <c:v>45798.6559375</c:v>
                </c:pt>
                <c:pt idx="41">
                  <c:v>45798.675671296296</c:v>
                </c:pt>
                <c:pt idx="42">
                  <c:v>45798.675682870373</c:v>
                </c:pt>
                <c:pt idx="43">
                  <c:v>45798.675682870373</c:v>
                </c:pt>
                <c:pt idx="44">
                  <c:v>45798.676307870373</c:v>
                </c:pt>
                <c:pt idx="45">
                  <c:v>45798.676979166667</c:v>
                </c:pt>
                <c:pt idx="46">
                  <c:v>45798.676990740743</c:v>
                </c:pt>
                <c:pt idx="47">
                  <c:v>45798.67759259259</c:v>
                </c:pt>
                <c:pt idx="48">
                  <c:v>45798.677743055552</c:v>
                </c:pt>
                <c:pt idx="49">
                  <c:v>45798.704502314817</c:v>
                </c:pt>
                <c:pt idx="50">
                  <c:v>45798.704872685186</c:v>
                </c:pt>
                <c:pt idx="51">
                  <c:v>45798.704872685186</c:v>
                </c:pt>
                <c:pt idx="52">
                  <c:v>45798.704884259256</c:v>
                </c:pt>
                <c:pt idx="53">
                  <c:v>45798.715636574074</c:v>
                </c:pt>
                <c:pt idx="54">
                  <c:v>45798.715636574074</c:v>
                </c:pt>
                <c:pt idx="55">
                  <c:v>45798.716134259259</c:v>
                </c:pt>
                <c:pt idx="56">
                  <c:v>45798.716157407405</c:v>
                </c:pt>
                <c:pt idx="57">
                  <c:v>45798.716412037036</c:v>
                </c:pt>
                <c:pt idx="58">
                  <c:v>45798.716423611113</c:v>
                </c:pt>
                <c:pt idx="59">
                  <c:v>45798.725243055553</c:v>
                </c:pt>
                <c:pt idx="60">
                  <c:v>45798.727210648147</c:v>
                </c:pt>
                <c:pt idx="61">
                  <c:v>45798.750671296293</c:v>
                </c:pt>
                <c:pt idx="62">
                  <c:v>45798.75068287037</c:v>
                </c:pt>
                <c:pt idx="63">
                  <c:v>45798.774699074071</c:v>
                </c:pt>
                <c:pt idx="64">
                  <c:v>45798.774722222224</c:v>
                </c:pt>
                <c:pt idx="65">
                  <c:v>45798.798437500001</c:v>
                </c:pt>
                <c:pt idx="66">
                  <c:v>45798.798564814817</c:v>
                </c:pt>
                <c:pt idx="67">
                  <c:v>45798.800173611111</c:v>
                </c:pt>
                <c:pt idx="68">
                  <c:v>45798.800381944442</c:v>
                </c:pt>
                <c:pt idx="69">
                  <c:v>45798.800381944442</c:v>
                </c:pt>
                <c:pt idx="70">
                  <c:v>45798.807500000003</c:v>
                </c:pt>
                <c:pt idx="71">
                  <c:v>45798.807650462964</c:v>
                </c:pt>
                <c:pt idx="72">
                  <c:v>45798.80878472222</c:v>
                </c:pt>
                <c:pt idx="73">
                  <c:v>45798.808796296296</c:v>
                </c:pt>
                <c:pt idx="74">
                  <c:v>45798.809374999997</c:v>
                </c:pt>
                <c:pt idx="75">
                  <c:v>45798.810324074075</c:v>
                </c:pt>
                <c:pt idx="76">
                  <c:v>45798.810324074075</c:v>
                </c:pt>
                <c:pt idx="77">
                  <c:v>45798.810335648152</c:v>
                </c:pt>
                <c:pt idx="78">
                  <c:v>45798.844988425924</c:v>
                </c:pt>
                <c:pt idx="79">
                  <c:v>45798.84511574074</c:v>
                </c:pt>
                <c:pt idx="80">
                  <c:v>45798.845266203702</c:v>
                </c:pt>
                <c:pt idx="81">
                  <c:v>45798.866608796299</c:v>
                </c:pt>
                <c:pt idx="82">
                  <c:v>45798.866979166669</c:v>
                </c:pt>
                <c:pt idx="83">
                  <c:v>45798.868611111109</c:v>
                </c:pt>
                <c:pt idx="84">
                  <c:v>45798.870416666665</c:v>
                </c:pt>
                <c:pt idx="85">
                  <c:v>45798.87054398148</c:v>
                </c:pt>
                <c:pt idx="86">
                  <c:v>45798.874618055554</c:v>
                </c:pt>
                <c:pt idx="87">
                  <c:v>45798.874895833331</c:v>
                </c:pt>
                <c:pt idx="88">
                  <c:v>45798.875</c:v>
                </c:pt>
                <c:pt idx="89">
                  <c:v>45798.876215277778</c:v>
                </c:pt>
                <c:pt idx="90">
                  <c:v>45798.876226851855</c:v>
                </c:pt>
                <c:pt idx="91">
                  <c:v>45798.877326388887</c:v>
                </c:pt>
                <c:pt idx="92">
                  <c:v>45798.87740740741</c:v>
                </c:pt>
                <c:pt idx="93">
                  <c:v>45798.901967592596</c:v>
                </c:pt>
                <c:pt idx="94">
                  <c:v>45798.904317129629</c:v>
                </c:pt>
                <c:pt idx="95">
                  <c:v>45798.904328703706</c:v>
                </c:pt>
                <c:pt idx="96">
                  <c:v>45798.904513888891</c:v>
                </c:pt>
                <c:pt idx="97">
                  <c:v>45798.90452546296</c:v>
                </c:pt>
                <c:pt idx="98">
                  <c:v>45798.904814814814</c:v>
                </c:pt>
                <c:pt idx="99">
                  <c:v>45798.905335648145</c:v>
                </c:pt>
                <c:pt idx="100">
                  <c:v>45798.967048611114</c:v>
                </c:pt>
                <c:pt idx="101">
                  <c:v>45798.967280092591</c:v>
                </c:pt>
                <c:pt idx="102">
                  <c:v>45798.967557870368</c:v>
                </c:pt>
                <c:pt idx="103">
                  <c:v>45798.967557870368</c:v>
                </c:pt>
                <c:pt idx="104">
                  <c:v>45798.96775462963</c:v>
                </c:pt>
                <c:pt idx="105">
                  <c:v>45798.968043981484</c:v>
                </c:pt>
                <c:pt idx="106">
                  <c:v>45798.968055555553</c:v>
                </c:pt>
                <c:pt idx="107">
                  <c:v>45799.027395833335</c:v>
                </c:pt>
                <c:pt idx="108">
                  <c:v>45799.040590277778</c:v>
                </c:pt>
                <c:pt idx="109">
                  <c:v>45799.046331018515</c:v>
                </c:pt>
                <c:pt idx="110">
                  <c:v>45799.046689814815</c:v>
                </c:pt>
                <c:pt idx="111">
                  <c:v>45799.076701388891</c:v>
                </c:pt>
                <c:pt idx="112">
                  <c:v>45799.076701388891</c:v>
                </c:pt>
                <c:pt idx="113">
                  <c:v>45799.084467592591</c:v>
                </c:pt>
                <c:pt idx="114">
                  <c:v>45799.101458333331</c:v>
                </c:pt>
                <c:pt idx="115">
                  <c:v>45799.101469907408</c:v>
                </c:pt>
                <c:pt idx="116">
                  <c:v>45799.129664351851</c:v>
                </c:pt>
                <c:pt idx="117">
                  <c:v>45799.182858796295</c:v>
                </c:pt>
                <c:pt idx="118">
                  <c:v>45799.184999999998</c:v>
                </c:pt>
                <c:pt idx="119">
                  <c:v>45799.189340277779</c:v>
                </c:pt>
                <c:pt idx="120">
                  <c:v>45799.18953703704</c:v>
                </c:pt>
                <c:pt idx="121">
                  <c:v>45799.208078703705</c:v>
                </c:pt>
                <c:pt idx="122">
                  <c:v>45799.210069444445</c:v>
                </c:pt>
                <c:pt idx="123">
                  <c:v>45799.210081018522</c:v>
                </c:pt>
                <c:pt idx="124">
                  <c:v>45799.214212962965</c:v>
                </c:pt>
                <c:pt idx="125">
                  <c:v>45799.215462962966</c:v>
                </c:pt>
                <c:pt idx="126">
                  <c:v>45799.215601851851</c:v>
                </c:pt>
                <c:pt idx="127">
                  <c:v>45799.215624999997</c:v>
                </c:pt>
                <c:pt idx="128">
                  <c:v>45799.215775462966</c:v>
                </c:pt>
                <c:pt idx="129">
                  <c:v>45799.219328703701</c:v>
                </c:pt>
                <c:pt idx="130">
                  <c:v>45799.232152777775</c:v>
                </c:pt>
                <c:pt idx="131">
                  <c:v>45799.254386574074</c:v>
                </c:pt>
                <c:pt idx="132">
                  <c:v>45799.255231481482</c:v>
                </c:pt>
                <c:pt idx="133">
                  <c:v>45799.257881944446</c:v>
                </c:pt>
                <c:pt idx="134">
                  <c:v>45799.264305555553</c:v>
                </c:pt>
                <c:pt idx="135">
                  <c:v>45799.265694444446</c:v>
                </c:pt>
                <c:pt idx="136">
                  <c:v>45799.265706018516</c:v>
                </c:pt>
                <c:pt idx="137">
                  <c:v>45799.266342592593</c:v>
                </c:pt>
                <c:pt idx="138">
                  <c:v>45799.269074074073</c:v>
                </c:pt>
                <c:pt idx="139">
                  <c:v>45799.332499999997</c:v>
                </c:pt>
                <c:pt idx="140">
                  <c:v>45799.405405092592</c:v>
                </c:pt>
                <c:pt idx="141">
                  <c:v>45799.405405092592</c:v>
                </c:pt>
                <c:pt idx="142">
                  <c:v>45799.405416666668</c:v>
                </c:pt>
                <c:pt idx="143">
                  <c:v>45799.420543981483</c:v>
                </c:pt>
                <c:pt idx="144">
                  <c:v>45799.440474537034</c:v>
                </c:pt>
                <c:pt idx="145">
                  <c:v>45799.440486111111</c:v>
                </c:pt>
                <c:pt idx="146">
                  <c:v>45799.459699074076</c:v>
                </c:pt>
                <c:pt idx="147">
                  <c:v>45799.495081018518</c:v>
                </c:pt>
                <c:pt idx="148">
                  <c:v>45799.499143518522</c:v>
                </c:pt>
                <c:pt idx="149">
                  <c:v>45799.499155092592</c:v>
                </c:pt>
                <c:pt idx="150">
                  <c:v>45799.558888888889</c:v>
                </c:pt>
                <c:pt idx="151">
                  <c:v>45799.560601851852</c:v>
                </c:pt>
                <c:pt idx="152">
                  <c:v>45799.560891203706</c:v>
                </c:pt>
                <c:pt idx="153">
                  <c:v>45799.560902777775</c:v>
                </c:pt>
                <c:pt idx="154">
                  <c:v>45799.561180555553</c:v>
                </c:pt>
                <c:pt idx="155">
                  <c:v>45799.563923611109</c:v>
                </c:pt>
                <c:pt idx="156">
                  <c:v>45799.570648148147</c:v>
                </c:pt>
                <c:pt idx="157">
                  <c:v>45799.5783912037</c:v>
                </c:pt>
                <c:pt idx="158">
                  <c:v>45799.578553240739</c:v>
                </c:pt>
                <c:pt idx="159">
                  <c:v>45799.578726851854</c:v>
                </c:pt>
                <c:pt idx="160">
                  <c:v>45799.578738425924</c:v>
                </c:pt>
                <c:pt idx="161">
                  <c:v>45799.583252314813</c:v>
                </c:pt>
                <c:pt idx="162">
                  <c:v>45799.604421296295</c:v>
                </c:pt>
                <c:pt idx="163">
                  <c:v>45799.694884259261</c:v>
                </c:pt>
                <c:pt idx="164">
                  <c:v>45799.70648148148</c:v>
                </c:pt>
                <c:pt idx="165">
                  <c:v>45799.711018518516</c:v>
                </c:pt>
                <c:pt idx="166">
                  <c:v>45799.71266203704</c:v>
                </c:pt>
                <c:pt idx="167">
                  <c:v>45799.712673611109</c:v>
                </c:pt>
                <c:pt idx="168">
                  <c:v>45799.750428240739</c:v>
                </c:pt>
                <c:pt idx="169">
                  <c:v>45799.750613425924</c:v>
                </c:pt>
                <c:pt idx="170">
                  <c:v>45799.753240740742</c:v>
                </c:pt>
                <c:pt idx="171">
                  <c:v>45799.753252314818</c:v>
                </c:pt>
                <c:pt idx="172">
                  <c:v>45799.801666666666</c:v>
                </c:pt>
                <c:pt idx="173">
                  <c:v>45799.81753472222</c:v>
                </c:pt>
                <c:pt idx="174">
                  <c:v>45799.817743055559</c:v>
                </c:pt>
                <c:pt idx="175">
                  <c:v>45799.818113425928</c:v>
                </c:pt>
                <c:pt idx="176">
                  <c:v>45799.818252314813</c:v>
                </c:pt>
                <c:pt idx="177">
                  <c:v>45799.82603009259</c:v>
                </c:pt>
                <c:pt idx="178">
                  <c:v>45799.831377314818</c:v>
                </c:pt>
                <c:pt idx="179">
                  <c:v>45799.831400462965</c:v>
                </c:pt>
                <c:pt idx="180">
                  <c:v>45799.834745370368</c:v>
                </c:pt>
                <c:pt idx="181">
                  <c:v>45799.887256944443</c:v>
                </c:pt>
                <c:pt idx="182">
                  <c:v>45799.887731481482</c:v>
                </c:pt>
                <c:pt idx="183">
                  <c:v>45800.009456018517</c:v>
                </c:pt>
                <c:pt idx="184">
                  <c:v>45800.009467592594</c:v>
                </c:pt>
                <c:pt idx="185">
                  <c:v>45800.013310185182</c:v>
                </c:pt>
                <c:pt idx="186">
                  <c:v>45800.014166666668</c:v>
                </c:pt>
                <c:pt idx="187">
                  <c:v>45800.014178240737</c:v>
                </c:pt>
                <c:pt idx="188">
                  <c:v>45800.175416666665</c:v>
                </c:pt>
                <c:pt idx="189">
                  <c:v>45800.175567129627</c:v>
                </c:pt>
                <c:pt idx="190">
                  <c:v>45800.17763888889</c:v>
                </c:pt>
                <c:pt idx="191">
                  <c:v>45800.380127314813</c:v>
                </c:pt>
                <c:pt idx="192">
                  <c:v>45800.38013888889</c:v>
                </c:pt>
                <c:pt idx="193">
                  <c:v>45801.237384259257</c:v>
                </c:pt>
                <c:pt idx="194">
                  <c:v>45801.237523148149</c:v>
                </c:pt>
                <c:pt idx="195">
                  <c:v>45801.237534722219</c:v>
                </c:pt>
                <c:pt idx="196">
                  <c:v>45801.239236111112</c:v>
                </c:pt>
                <c:pt idx="197">
                  <c:v>45801.31391203704</c:v>
                </c:pt>
              </c:numCache>
            </c:numRef>
          </c:xVal>
          <c:yVal>
            <c:numRef>
              <c:f>'Data béliers'!$J$2:$J$199</c:f>
              <c:numCache>
                <c:formatCode>General</c:formatCode>
                <c:ptCount val="1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51B-4E4F-8394-AFD834B1DCCA}"/>
            </c:ext>
          </c:extLst>
        </c:ser>
        <c:ser>
          <c:idx val="1"/>
          <c:order val="1"/>
          <c:tx>
            <c:strRef>
              <c:f>'Data béliers'!$D$200</c:f>
              <c:strCache>
                <c:ptCount val="1"/>
                <c:pt idx="0">
                  <c:v>91807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béliers'!$H$200</c:f>
              <c:numCache>
                <c:formatCode>dd/mm/yyyy\ hh:mm:ss</c:formatCode>
                <c:ptCount val="1"/>
                <c:pt idx="0">
                  <c:v>45797.813101851854</c:v>
                </c:pt>
              </c:numCache>
            </c:numRef>
          </c:xVal>
          <c:yVal>
            <c:numRef>
              <c:f>'Data béliers'!$J$200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51B-4E4F-8394-AFD834B1DCCA}"/>
            </c:ext>
          </c:extLst>
        </c:ser>
        <c:ser>
          <c:idx val="2"/>
          <c:order val="2"/>
          <c:tx>
            <c:strRef>
              <c:f>'Data béliers'!$D$201</c:f>
              <c:strCache>
                <c:ptCount val="1"/>
                <c:pt idx="0">
                  <c:v>93202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'Data béliers'!$H$201:$H$208</c:f>
              <c:numCache>
                <c:formatCode>dd/mm/yyyy\ hh:mm:ss</c:formatCode>
                <c:ptCount val="8"/>
                <c:pt idx="0">
                  <c:v>45797.843229166669</c:v>
                </c:pt>
                <c:pt idx="1">
                  <c:v>45798.499212962961</c:v>
                </c:pt>
                <c:pt idx="2">
                  <c:v>45798.908206018517</c:v>
                </c:pt>
                <c:pt idx="3">
                  <c:v>45798.914050925923</c:v>
                </c:pt>
                <c:pt idx="4">
                  <c:v>45798.931296296294</c:v>
                </c:pt>
                <c:pt idx="5">
                  <c:v>45798.945081018515</c:v>
                </c:pt>
                <c:pt idx="6">
                  <c:v>45799.227569444447</c:v>
                </c:pt>
                <c:pt idx="7">
                  <c:v>45799.53324074074</c:v>
                </c:pt>
              </c:numCache>
            </c:numRef>
          </c:xVal>
          <c:yVal>
            <c:numRef>
              <c:f>'Data béliers'!$J$201:$J$208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51B-4E4F-8394-AFD834B1D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52032"/>
        <c:axId val="205453952"/>
      </c:scatterChart>
      <c:valAx>
        <c:axId val="205452032"/>
        <c:scaling>
          <c:orientation val="minMax"/>
          <c:max val="45801.458333333008"/>
          <c:min val="45797.291666665973"/>
        </c:scaling>
        <c:delete val="0"/>
        <c:axPos val="b"/>
        <c:numFmt formatCode="dd/mm/yy\ hh:mm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3952"/>
        <c:crosses val="autoZero"/>
        <c:crossBetween val="midCat"/>
        <c:majorUnit val="0.5"/>
      </c:valAx>
      <c:valAx>
        <c:axId val="20545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Nombre chevauchements cumulés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3283388058575736E-2"/>
          <c:y val="0.10120920271331636"/>
          <c:w val="7.8534509695713905E-2"/>
          <c:h val="0.115267200206531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baseline="0">
                <a:effectLst/>
              </a:rPr>
              <a:t>Brebis chevauchées pendant l'effet mâle (ODARC 2025)</a:t>
            </a:r>
            <a:endParaRPr lang="fr-FR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3974411166853979E-2"/>
          <c:y val="7.9836632889757883E-2"/>
          <c:w val="0.82900769552183107"/>
          <c:h val="0.766908312861880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brebis'!$F$2</c:f>
              <c:strCache>
                <c:ptCount val="1"/>
                <c:pt idx="0">
                  <c:v>190055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brebis'!$H$2:$H$11</c:f>
              <c:numCache>
                <c:formatCode>dd/mm/yyyy\ hh:mm:ss</c:formatCode>
                <c:ptCount val="10"/>
                <c:pt idx="0">
                  <c:v>45798.654340277775</c:v>
                </c:pt>
                <c:pt idx="1">
                  <c:v>45798.654351851852</c:v>
                </c:pt>
                <c:pt idx="2">
                  <c:v>45798.654363425929</c:v>
                </c:pt>
                <c:pt idx="3">
                  <c:v>45798.655798611115</c:v>
                </c:pt>
                <c:pt idx="4">
                  <c:v>45798.655821759261</c:v>
                </c:pt>
                <c:pt idx="5">
                  <c:v>45798.655833333331</c:v>
                </c:pt>
                <c:pt idx="6">
                  <c:v>45798.655844907407</c:v>
                </c:pt>
                <c:pt idx="7">
                  <c:v>45798.655844907407</c:v>
                </c:pt>
                <c:pt idx="8">
                  <c:v>45798.6559375</c:v>
                </c:pt>
                <c:pt idx="9">
                  <c:v>45798.798437500001</c:v>
                </c:pt>
              </c:numCache>
            </c:numRef>
          </c:xVal>
          <c:yVal>
            <c:numRef>
              <c:f>'Data brebis'!$I$2:$I$11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D7-4393-A1AD-EC6771CFADDC}"/>
            </c:ext>
          </c:extLst>
        </c:ser>
        <c:ser>
          <c:idx val="1"/>
          <c:order val="1"/>
          <c:tx>
            <c:strRef>
              <c:f>'Data brebis'!$F$12</c:f>
              <c:strCache>
                <c:ptCount val="1"/>
                <c:pt idx="0">
                  <c:v>190055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brebis'!$H$12:$H$37</c:f>
              <c:numCache>
                <c:formatCode>dd/mm/yyyy\ hh:mm:ss</c:formatCode>
                <c:ptCount val="26"/>
                <c:pt idx="0">
                  <c:v>45798.798564814817</c:v>
                </c:pt>
                <c:pt idx="1">
                  <c:v>45798.800173611111</c:v>
                </c:pt>
                <c:pt idx="2">
                  <c:v>45798.800381944442</c:v>
                </c:pt>
                <c:pt idx="3">
                  <c:v>45798.800381944442</c:v>
                </c:pt>
                <c:pt idx="4">
                  <c:v>45798.876215277778</c:v>
                </c:pt>
                <c:pt idx="5">
                  <c:v>45798.876226851855</c:v>
                </c:pt>
                <c:pt idx="6">
                  <c:v>45798.877326388887</c:v>
                </c:pt>
                <c:pt idx="7">
                  <c:v>45798.87740740741</c:v>
                </c:pt>
                <c:pt idx="8">
                  <c:v>45798.914050925923</c:v>
                </c:pt>
                <c:pt idx="9">
                  <c:v>45798.715636574074</c:v>
                </c:pt>
                <c:pt idx="10">
                  <c:v>45798.715636574074</c:v>
                </c:pt>
                <c:pt idx="11">
                  <c:v>45798.716134259259</c:v>
                </c:pt>
                <c:pt idx="12">
                  <c:v>45798.716157407405</c:v>
                </c:pt>
                <c:pt idx="13">
                  <c:v>45798.716412037036</c:v>
                </c:pt>
                <c:pt idx="14">
                  <c:v>45798.716423611113</c:v>
                </c:pt>
                <c:pt idx="15">
                  <c:v>45798.727210648147</c:v>
                </c:pt>
                <c:pt idx="16">
                  <c:v>45799.495081018518</c:v>
                </c:pt>
                <c:pt idx="17">
                  <c:v>45797.813101851854</c:v>
                </c:pt>
                <c:pt idx="18">
                  <c:v>45798.750671296293</c:v>
                </c:pt>
                <c:pt idx="19">
                  <c:v>45798.75068287037</c:v>
                </c:pt>
                <c:pt idx="20">
                  <c:v>45798.807500000003</c:v>
                </c:pt>
                <c:pt idx="21">
                  <c:v>45798.807650462964</c:v>
                </c:pt>
                <c:pt idx="22">
                  <c:v>45801.237384259257</c:v>
                </c:pt>
                <c:pt idx="23">
                  <c:v>45801.237523148149</c:v>
                </c:pt>
                <c:pt idx="24">
                  <c:v>45801.237534722219</c:v>
                </c:pt>
                <c:pt idx="25">
                  <c:v>45801.239236111112</c:v>
                </c:pt>
              </c:numCache>
            </c:numRef>
          </c:xVal>
          <c:yVal>
            <c:numRef>
              <c:f>'Data brebis'!$I$12:$I$37</c:f>
              <c:numCache>
                <c:formatCode>General</c:formatCode>
                <c:ptCount val="2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0D7-4393-A1AD-EC6771CFADDC}"/>
            </c:ext>
          </c:extLst>
        </c:ser>
        <c:ser>
          <c:idx val="2"/>
          <c:order val="2"/>
          <c:tx>
            <c:strRef>
              <c:f>'Data brebis'!$F$38</c:f>
              <c:strCache>
                <c:ptCount val="1"/>
                <c:pt idx="0">
                  <c:v>210262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'Data brebis'!$H$38:$H$49</c:f>
              <c:numCache>
                <c:formatCode>dd/mm/yyyy\ hh:mm:ss</c:formatCode>
                <c:ptCount val="12"/>
                <c:pt idx="0">
                  <c:v>45801.31391203704</c:v>
                </c:pt>
                <c:pt idx="1">
                  <c:v>45798.904317129629</c:v>
                </c:pt>
                <c:pt idx="2">
                  <c:v>45798.904328703706</c:v>
                </c:pt>
                <c:pt idx="3">
                  <c:v>45798.904513888891</c:v>
                </c:pt>
                <c:pt idx="4">
                  <c:v>45798.90452546296</c:v>
                </c:pt>
                <c:pt idx="5">
                  <c:v>45798.904814814814</c:v>
                </c:pt>
                <c:pt idx="6">
                  <c:v>45798.905335648145</c:v>
                </c:pt>
                <c:pt idx="7">
                  <c:v>45799.027395833335</c:v>
                </c:pt>
                <c:pt idx="8">
                  <c:v>45799.084467592591</c:v>
                </c:pt>
                <c:pt idx="9">
                  <c:v>45799.405405092592</c:v>
                </c:pt>
                <c:pt idx="10">
                  <c:v>45799.405405092592</c:v>
                </c:pt>
                <c:pt idx="11">
                  <c:v>45799.405416666668</c:v>
                </c:pt>
              </c:numCache>
            </c:numRef>
          </c:xVal>
          <c:yVal>
            <c:numRef>
              <c:f>'Data brebis'!$I$38:$I$49</c:f>
              <c:numCache>
                <c:formatCode>General</c:formatCode>
                <c:ptCount val="12"/>
                <c:pt idx="0">
                  <c:v>10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0D7-4393-A1AD-EC6771CFADDC}"/>
            </c:ext>
          </c:extLst>
        </c:ser>
        <c:ser>
          <c:idx val="3"/>
          <c:order val="3"/>
          <c:tx>
            <c:strRef>
              <c:f>'Data brebis'!$F$50</c:f>
              <c:strCache>
                <c:ptCount val="1"/>
                <c:pt idx="0">
                  <c:v>210282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'Data brebis'!$H$50:$H$67</c:f>
              <c:numCache>
                <c:formatCode>dd/mm/yyyy\ hh:mm:ss</c:formatCode>
                <c:ptCount val="18"/>
                <c:pt idx="0">
                  <c:v>45799.076701388891</c:v>
                </c:pt>
                <c:pt idx="1">
                  <c:v>45799.076701388891</c:v>
                </c:pt>
                <c:pt idx="2">
                  <c:v>45799.53324074074</c:v>
                </c:pt>
                <c:pt idx="3">
                  <c:v>45798.810324074075</c:v>
                </c:pt>
                <c:pt idx="4">
                  <c:v>45798.810324074075</c:v>
                </c:pt>
                <c:pt idx="5">
                  <c:v>45798.810335648152</c:v>
                </c:pt>
                <c:pt idx="6">
                  <c:v>45799.101458333331</c:v>
                </c:pt>
                <c:pt idx="7">
                  <c:v>45799.101469907408</c:v>
                </c:pt>
                <c:pt idx="8">
                  <c:v>45799.254386574074</c:v>
                </c:pt>
                <c:pt idx="9">
                  <c:v>45799.750428240739</c:v>
                </c:pt>
                <c:pt idx="10">
                  <c:v>45799.750613425924</c:v>
                </c:pt>
                <c:pt idx="11">
                  <c:v>45798.499212962961</c:v>
                </c:pt>
                <c:pt idx="12">
                  <c:v>45799.887256944443</c:v>
                </c:pt>
                <c:pt idx="13">
                  <c:v>45799.887731481482</c:v>
                </c:pt>
                <c:pt idx="14">
                  <c:v>45799.332499999997</c:v>
                </c:pt>
                <c:pt idx="15">
                  <c:v>45799.440474537034</c:v>
                </c:pt>
                <c:pt idx="16">
                  <c:v>45799.440486111111</c:v>
                </c:pt>
                <c:pt idx="17">
                  <c:v>45799.459699074076</c:v>
                </c:pt>
              </c:numCache>
            </c:numRef>
          </c:xVal>
          <c:yVal>
            <c:numRef>
              <c:f>'Data brebis'!$I$50:$I$67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0D7-4393-A1AD-EC6771CFADDC}"/>
            </c:ext>
          </c:extLst>
        </c:ser>
        <c:ser>
          <c:idx val="4"/>
          <c:order val="4"/>
          <c:tx>
            <c:strRef>
              <c:f>'Data brebis'!$F$68</c:f>
              <c:strCache>
                <c:ptCount val="1"/>
                <c:pt idx="0">
                  <c:v>220238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'Data brebis'!$H$68:$H$70</c:f>
              <c:numCache>
                <c:formatCode>dd/mm/yyyy\ hh:mm:ss</c:formatCode>
                <c:ptCount val="3"/>
                <c:pt idx="0">
                  <c:v>45800.009456018517</c:v>
                </c:pt>
                <c:pt idx="1">
                  <c:v>45800.009467592594</c:v>
                </c:pt>
                <c:pt idx="2">
                  <c:v>45800.013310185182</c:v>
                </c:pt>
              </c:numCache>
            </c:numRef>
          </c:xVal>
          <c:yVal>
            <c:numRef>
              <c:f>'Data brebis'!$I$68:$I$70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00D7-4393-A1AD-EC6771CFADDC}"/>
            </c:ext>
          </c:extLst>
        </c:ser>
        <c:ser>
          <c:idx val="5"/>
          <c:order val="5"/>
          <c:tx>
            <c:strRef>
              <c:f>'Data brebis'!$F$71</c:f>
              <c:strCache>
                <c:ptCount val="1"/>
                <c:pt idx="0">
                  <c:v>220238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'Data brebis'!$H$71:$H$89</c:f>
              <c:numCache>
                <c:formatCode>dd/mm/yyyy\ hh:mm:ss</c:formatCode>
                <c:ptCount val="19"/>
                <c:pt idx="0">
                  <c:v>45800.014166666668</c:v>
                </c:pt>
                <c:pt idx="1">
                  <c:v>45800.014178240737</c:v>
                </c:pt>
                <c:pt idx="2">
                  <c:v>45800.175416666665</c:v>
                </c:pt>
                <c:pt idx="3">
                  <c:v>45800.175567129627</c:v>
                </c:pt>
                <c:pt idx="4">
                  <c:v>45800.17763888889</c:v>
                </c:pt>
                <c:pt idx="5">
                  <c:v>45798.704502314817</c:v>
                </c:pt>
                <c:pt idx="6">
                  <c:v>45798.704872685186</c:v>
                </c:pt>
                <c:pt idx="7">
                  <c:v>45798.704872685186</c:v>
                </c:pt>
                <c:pt idx="8">
                  <c:v>45798.704884259256</c:v>
                </c:pt>
                <c:pt idx="9">
                  <c:v>45798.866608796299</c:v>
                </c:pt>
                <c:pt idx="10">
                  <c:v>45798.866979166669</c:v>
                </c:pt>
                <c:pt idx="11">
                  <c:v>45798.868611111109</c:v>
                </c:pt>
                <c:pt idx="12">
                  <c:v>45798.967048611114</c:v>
                </c:pt>
                <c:pt idx="13">
                  <c:v>45798.967280092591</c:v>
                </c:pt>
                <c:pt idx="14">
                  <c:v>45798.967557870368</c:v>
                </c:pt>
                <c:pt idx="15">
                  <c:v>45798.967557870368</c:v>
                </c:pt>
                <c:pt idx="16">
                  <c:v>45798.96775462963</c:v>
                </c:pt>
                <c:pt idx="17">
                  <c:v>45798.968043981484</c:v>
                </c:pt>
                <c:pt idx="18">
                  <c:v>45798.968055555553</c:v>
                </c:pt>
              </c:numCache>
            </c:numRef>
          </c:xVal>
          <c:yVal>
            <c:numRef>
              <c:f>'Data brebis'!$I$71:$I$89</c:f>
              <c:numCache>
                <c:formatCode>General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00D7-4393-A1AD-EC6771CFADDC}"/>
            </c:ext>
          </c:extLst>
        </c:ser>
        <c:ser>
          <c:idx val="6"/>
          <c:order val="6"/>
          <c:tx>
            <c:strRef>
              <c:f>'Data brebis'!$F$90</c:f>
              <c:strCache>
                <c:ptCount val="1"/>
                <c:pt idx="0">
                  <c:v>220241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'Data brebis'!$H$90:$H$106</c:f>
              <c:numCache>
                <c:formatCode>dd/mm/yyyy\ hh:mm:ss</c:formatCode>
                <c:ptCount val="17"/>
                <c:pt idx="0">
                  <c:v>45799.255231481482</c:v>
                </c:pt>
                <c:pt idx="1">
                  <c:v>45800.380127314813</c:v>
                </c:pt>
                <c:pt idx="2">
                  <c:v>45800.38013888889</c:v>
                </c:pt>
                <c:pt idx="3">
                  <c:v>45799.694884259261</c:v>
                </c:pt>
                <c:pt idx="4">
                  <c:v>45799.711018518516</c:v>
                </c:pt>
                <c:pt idx="5">
                  <c:v>45799.71266203704</c:v>
                </c:pt>
                <c:pt idx="6">
                  <c:v>45799.712673611109</c:v>
                </c:pt>
                <c:pt idx="7">
                  <c:v>45799.81753472222</c:v>
                </c:pt>
                <c:pt idx="8">
                  <c:v>45799.817743055559</c:v>
                </c:pt>
                <c:pt idx="9">
                  <c:v>45799.818113425928</c:v>
                </c:pt>
                <c:pt idx="10">
                  <c:v>45799.818252314813</c:v>
                </c:pt>
                <c:pt idx="11">
                  <c:v>45798.453252314815</c:v>
                </c:pt>
                <c:pt idx="12">
                  <c:v>45798.453263888892</c:v>
                </c:pt>
                <c:pt idx="13">
                  <c:v>45798.454606481479</c:v>
                </c:pt>
                <c:pt idx="14">
                  <c:v>45798.454618055555</c:v>
                </c:pt>
                <c:pt idx="15">
                  <c:v>45798.503449074073</c:v>
                </c:pt>
                <c:pt idx="16">
                  <c:v>45798.80878472222</c:v>
                </c:pt>
              </c:numCache>
            </c:numRef>
          </c:xVal>
          <c:yVal>
            <c:numRef>
              <c:f>'Data brebis'!$I$90:$I$106</c:f>
              <c:numCache>
                <c:formatCode>General</c:formatCode>
                <c:ptCount val="17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00D7-4393-A1AD-EC6771CFADDC}"/>
            </c:ext>
          </c:extLst>
        </c:ser>
        <c:ser>
          <c:idx val="7"/>
          <c:order val="7"/>
          <c:tx>
            <c:strRef>
              <c:f>'Data brebis'!$F$107</c:f>
              <c:strCache>
                <c:ptCount val="1"/>
                <c:pt idx="0">
                  <c:v>230123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'Data brebis'!$H$107:$H$114</c:f>
              <c:numCache>
                <c:formatCode>dd/mm/yyyy\ hh:mm:ss</c:formatCode>
                <c:ptCount val="8"/>
                <c:pt idx="0">
                  <c:v>45798.808796296296</c:v>
                </c:pt>
                <c:pt idx="1">
                  <c:v>45798.809374999997</c:v>
                </c:pt>
                <c:pt idx="2">
                  <c:v>45798.844988425924</c:v>
                </c:pt>
                <c:pt idx="3">
                  <c:v>45798.84511574074</c:v>
                </c:pt>
                <c:pt idx="4">
                  <c:v>45798.845266203702</c:v>
                </c:pt>
                <c:pt idx="5">
                  <c:v>45798.874618055554</c:v>
                </c:pt>
                <c:pt idx="6">
                  <c:v>45798.874895833331</c:v>
                </c:pt>
                <c:pt idx="7">
                  <c:v>45798.875</c:v>
                </c:pt>
              </c:numCache>
            </c:numRef>
          </c:xVal>
          <c:yVal>
            <c:numRef>
              <c:f>'Data brebis'!$I$107:$I$114</c:f>
              <c:numCache>
                <c:formatCode>General</c:formatCode>
                <c:ptCount val="8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00D7-4393-A1AD-EC6771CFADDC}"/>
            </c:ext>
          </c:extLst>
        </c:ser>
        <c:ser>
          <c:idx val="8"/>
          <c:order val="8"/>
          <c:tx>
            <c:strRef>
              <c:f>'Data brebis'!$F$115</c:f>
              <c:strCache>
                <c:ptCount val="1"/>
                <c:pt idx="0">
                  <c:v>230123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'Data brebis'!$H$115</c:f>
              <c:numCache>
                <c:formatCode>dd/mm/yyyy\ hh:mm:ss</c:formatCode>
                <c:ptCount val="1"/>
                <c:pt idx="0">
                  <c:v>45799.264305555553</c:v>
                </c:pt>
              </c:numCache>
            </c:numRef>
          </c:xVal>
          <c:yVal>
            <c:numRef>
              <c:f>'Data brebis'!$I$115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00D7-4393-A1AD-EC6771CFADDC}"/>
            </c:ext>
          </c:extLst>
        </c:ser>
        <c:ser>
          <c:idx val="9"/>
          <c:order val="9"/>
          <c:tx>
            <c:strRef>
              <c:f>'Data brebis'!$F$116</c:f>
              <c:strCache>
                <c:ptCount val="1"/>
                <c:pt idx="0">
                  <c:v>230123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'Data brebis'!$H$116:$H$130</c:f>
              <c:numCache>
                <c:formatCode>dd/mm/yyyy\ hh:mm:ss</c:formatCode>
                <c:ptCount val="15"/>
                <c:pt idx="0">
                  <c:v>45799.265694444446</c:v>
                </c:pt>
                <c:pt idx="1">
                  <c:v>45799.265706018516</c:v>
                </c:pt>
                <c:pt idx="2">
                  <c:v>45799.266342592593</c:v>
                </c:pt>
                <c:pt idx="3">
                  <c:v>45799.040590277778</c:v>
                </c:pt>
                <c:pt idx="4">
                  <c:v>45799.420543981483</c:v>
                </c:pt>
                <c:pt idx="5">
                  <c:v>45799.70648148148</c:v>
                </c:pt>
                <c:pt idx="6">
                  <c:v>45799.801666666666</c:v>
                </c:pt>
                <c:pt idx="7">
                  <c:v>45798.247002314813</c:v>
                </c:pt>
                <c:pt idx="8">
                  <c:v>45798.247013888889</c:v>
                </c:pt>
                <c:pt idx="9">
                  <c:v>45798.27275462963</c:v>
                </c:pt>
                <c:pt idx="10">
                  <c:v>45798.302256944444</c:v>
                </c:pt>
                <c:pt idx="11">
                  <c:v>45798.302268518521</c:v>
                </c:pt>
                <c:pt idx="12">
                  <c:v>45798.30228009259</c:v>
                </c:pt>
                <c:pt idx="13">
                  <c:v>45798.302534722221</c:v>
                </c:pt>
                <c:pt idx="14">
                  <c:v>45798.302546296298</c:v>
                </c:pt>
              </c:numCache>
            </c:numRef>
          </c:xVal>
          <c:yVal>
            <c:numRef>
              <c:f>'Data brebis'!$I$116:$I$130</c:f>
              <c:numCache>
                <c:formatCode>General</c:formatCode>
                <c:ptCount val="1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00D7-4393-A1AD-EC6771CFADDC}"/>
            </c:ext>
          </c:extLst>
        </c:ser>
        <c:ser>
          <c:idx val="10"/>
          <c:order val="10"/>
          <c:tx>
            <c:strRef>
              <c:f>'Data brebis'!$F$131</c:f>
              <c:strCache>
                <c:ptCount val="1"/>
                <c:pt idx="0">
                  <c:v>230125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'Data brebis'!$H$131:$H$133</c:f>
              <c:numCache>
                <c:formatCode>dd/mm/yyyy\ hh:mm:ss</c:formatCode>
                <c:ptCount val="3"/>
                <c:pt idx="0">
                  <c:v>45798.32234953704</c:v>
                </c:pt>
                <c:pt idx="1">
                  <c:v>45798.367731481485</c:v>
                </c:pt>
                <c:pt idx="2">
                  <c:v>45799.753240740742</c:v>
                </c:pt>
              </c:numCache>
            </c:numRef>
          </c:xVal>
          <c:yVal>
            <c:numRef>
              <c:f>'Data brebis'!$I$131:$I$133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00D7-4393-A1AD-EC6771CFADDC}"/>
            </c:ext>
          </c:extLst>
        </c:ser>
        <c:ser>
          <c:idx val="11"/>
          <c:order val="11"/>
          <c:tx>
            <c:strRef>
              <c:f>'Data brebis'!$F$134</c:f>
              <c:strCache>
                <c:ptCount val="1"/>
                <c:pt idx="0">
                  <c:v>230125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'Data brebis'!$H$134:$H$146</c:f>
              <c:numCache>
                <c:formatCode>dd/mm/yyyy\ hh:mm:ss</c:formatCode>
                <c:ptCount val="13"/>
                <c:pt idx="0">
                  <c:v>45799.753252314818</c:v>
                </c:pt>
                <c:pt idx="1">
                  <c:v>45799.604421296295</c:v>
                </c:pt>
                <c:pt idx="2">
                  <c:v>45799.129664351851</c:v>
                </c:pt>
                <c:pt idx="3">
                  <c:v>45799.82603009259</c:v>
                </c:pt>
                <c:pt idx="4">
                  <c:v>45799.831377314818</c:v>
                </c:pt>
                <c:pt idx="5">
                  <c:v>45799.831400462965</c:v>
                </c:pt>
                <c:pt idx="6">
                  <c:v>45799.834745370368</c:v>
                </c:pt>
                <c:pt idx="7">
                  <c:v>45798.931296296294</c:v>
                </c:pt>
                <c:pt idx="8">
                  <c:v>45798.901967592596</c:v>
                </c:pt>
                <c:pt idx="9">
                  <c:v>45799.189340277779</c:v>
                </c:pt>
                <c:pt idx="10">
                  <c:v>45799.18953703704</c:v>
                </c:pt>
                <c:pt idx="11">
                  <c:v>45799.232152777775</c:v>
                </c:pt>
                <c:pt idx="12">
                  <c:v>45799.269074074073</c:v>
                </c:pt>
              </c:numCache>
            </c:numRef>
          </c:xVal>
          <c:yVal>
            <c:numRef>
              <c:f>'Data brebis'!$I$134:$I$146</c:f>
              <c:numCache>
                <c:formatCode>General</c:formatCode>
                <c:ptCount val="13"/>
                <c:pt idx="0">
                  <c:v>12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00D7-4393-A1AD-EC6771CFADDC}"/>
            </c:ext>
          </c:extLst>
        </c:ser>
        <c:ser>
          <c:idx val="12"/>
          <c:order val="12"/>
          <c:tx>
            <c:strRef>
              <c:f>'Data brebis'!$F$147</c:f>
              <c:strCache>
                <c:ptCount val="1"/>
                <c:pt idx="0">
                  <c:v>240257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'Data brebis'!$H$147:$H$157</c:f>
              <c:numCache>
                <c:formatCode>dd/mm/yyyy\ hh:mm:ss</c:formatCode>
                <c:ptCount val="11"/>
                <c:pt idx="0">
                  <c:v>45799.558888888889</c:v>
                </c:pt>
                <c:pt idx="1">
                  <c:v>45799.560601851852</c:v>
                </c:pt>
                <c:pt idx="2">
                  <c:v>45799.560891203706</c:v>
                </c:pt>
                <c:pt idx="3">
                  <c:v>45799.560902777775</c:v>
                </c:pt>
                <c:pt idx="4">
                  <c:v>45799.561180555553</c:v>
                </c:pt>
                <c:pt idx="5">
                  <c:v>45799.563923611109</c:v>
                </c:pt>
                <c:pt idx="6">
                  <c:v>45799.570648148147</c:v>
                </c:pt>
                <c:pt idx="7">
                  <c:v>45799.583252314813</c:v>
                </c:pt>
                <c:pt idx="8">
                  <c:v>45798.908206018517</c:v>
                </c:pt>
                <c:pt idx="9">
                  <c:v>45798.945081018515</c:v>
                </c:pt>
                <c:pt idx="10">
                  <c:v>45799.227569444447</c:v>
                </c:pt>
              </c:numCache>
            </c:numRef>
          </c:xVal>
          <c:yVal>
            <c:numRef>
              <c:f>'Data brebis'!$I$147:$I$157</c:f>
              <c:numCache>
                <c:formatCode>General</c:formatCode>
                <c:ptCount val="11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00D7-4393-A1AD-EC6771CFADDC}"/>
            </c:ext>
          </c:extLst>
        </c:ser>
        <c:ser>
          <c:idx val="13"/>
          <c:order val="13"/>
          <c:tx>
            <c:strRef>
              <c:f>'Data brebis'!$F$158</c:f>
              <c:strCache>
                <c:ptCount val="1"/>
                <c:pt idx="0">
                  <c:v>240265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'Data brebis'!$H$158:$H$161</c:f>
              <c:numCache>
                <c:formatCode>dd/mm/yyyy\ hh:mm:ss</c:formatCode>
                <c:ptCount val="4"/>
                <c:pt idx="0">
                  <c:v>45799.257881944446</c:v>
                </c:pt>
                <c:pt idx="1">
                  <c:v>45797.843229166669</c:v>
                </c:pt>
                <c:pt idx="2">
                  <c:v>45798.511724537035</c:v>
                </c:pt>
                <c:pt idx="3">
                  <c:v>45798.511944444443</c:v>
                </c:pt>
              </c:numCache>
            </c:numRef>
          </c:xVal>
          <c:yVal>
            <c:numRef>
              <c:f>'Data brebis'!$I$158:$I$161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00D7-4393-A1AD-EC6771CFADDC}"/>
            </c:ext>
          </c:extLst>
        </c:ser>
        <c:ser>
          <c:idx val="14"/>
          <c:order val="14"/>
          <c:tx>
            <c:strRef>
              <c:f>'Data brebis'!$F$162</c:f>
              <c:strCache>
                <c:ptCount val="1"/>
                <c:pt idx="0">
                  <c:v>240271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'Data brebis'!$H$162</c:f>
              <c:numCache>
                <c:formatCode>dd/mm/yyyy\ hh:mm:ss</c:formatCode>
                <c:ptCount val="1"/>
                <c:pt idx="0">
                  <c:v>45798.553657407407</c:v>
                </c:pt>
              </c:numCache>
            </c:numRef>
          </c:xVal>
          <c:yVal>
            <c:numRef>
              <c:f>'Data brebis'!$I$162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00D7-4393-A1AD-EC6771CFADDC}"/>
            </c:ext>
          </c:extLst>
        </c:ser>
        <c:ser>
          <c:idx val="15"/>
          <c:order val="15"/>
          <c:tx>
            <c:strRef>
              <c:f>'Data brebis'!$F$163</c:f>
              <c:strCache>
                <c:ptCount val="1"/>
                <c:pt idx="0">
                  <c:v>240271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'Data brebis'!$H$163:$H$166</c:f>
              <c:numCache>
                <c:formatCode>dd/mm/yyyy\ hh:mm:ss</c:formatCode>
                <c:ptCount val="4"/>
                <c:pt idx="0">
                  <c:v>45798.553668981483</c:v>
                </c:pt>
                <c:pt idx="1">
                  <c:v>45798.55369212963</c:v>
                </c:pt>
                <c:pt idx="2">
                  <c:v>45798.589317129627</c:v>
                </c:pt>
                <c:pt idx="3">
                  <c:v>45798.589328703703</c:v>
                </c:pt>
              </c:numCache>
            </c:numRef>
          </c:xVal>
          <c:yVal>
            <c:numRef>
              <c:f>'Data brebis'!$I$163:$I$166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1-00D7-4393-A1AD-EC6771CFADDC}"/>
            </c:ext>
          </c:extLst>
        </c:ser>
        <c:ser>
          <c:idx val="16"/>
          <c:order val="16"/>
          <c:tx>
            <c:strRef>
              <c:f>'Data brebis'!$F$167</c:f>
              <c:strCache>
                <c:ptCount val="1"/>
                <c:pt idx="0">
                  <c:v>240271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'Data brebis'!$H$167:$H$174</c:f>
              <c:numCache>
                <c:formatCode>dd/mm/yyyy\ hh:mm:ss</c:formatCode>
                <c:ptCount val="8"/>
                <c:pt idx="0">
                  <c:v>45798.60359953704</c:v>
                </c:pt>
                <c:pt idx="1">
                  <c:v>45798.60361111111</c:v>
                </c:pt>
                <c:pt idx="2">
                  <c:v>45798.603773148148</c:v>
                </c:pt>
                <c:pt idx="3">
                  <c:v>45798.604270833333</c:v>
                </c:pt>
                <c:pt idx="4">
                  <c:v>45798.604409722226</c:v>
                </c:pt>
                <c:pt idx="5">
                  <c:v>45798.604421296295</c:v>
                </c:pt>
                <c:pt idx="6">
                  <c:v>45798.605509259258</c:v>
                </c:pt>
                <c:pt idx="7">
                  <c:v>45798.605636574073</c:v>
                </c:pt>
              </c:numCache>
            </c:numRef>
          </c:xVal>
          <c:yVal>
            <c:numRef>
              <c:f>'Data brebis'!$I$167:$I$174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2-00D7-4393-A1AD-EC6771CFADDC}"/>
            </c:ext>
          </c:extLst>
        </c:ser>
        <c:ser>
          <c:idx val="17"/>
          <c:order val="17"/>
          <c:tx>
            <c:strRef>
              <c:f>'Data brebis'!$F$175</c:f>
              <c:strCache>
                <c:ptCount val="1"/>
                <c:pt idx="0">
                  <c:v>240271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'Data brebis'!$H$175:$H$176</c:f>
              <c:numCache>
                <c:formatCode>dd/mm/yyyy\ hh:mm:ss</c:formatCode>
                <c:ptCount val="2"/>
                <c:pt idx="0">
                  <c:v>45798.60564814815</c:v>
                </c:pt>
                <c:pt idx="1">
                  <c:v>45798.606053240743</c:v>
                </c:pt>
              </c:numCache>
            </c:numRef>
          </c:xVal>
          <c:yVal>
            <c:numRef>
              <c:f>'Data brebis'!$I$175:$I$176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3-00D7-4393-A1AD-EC6771CFADDC}"/>
            </c:ext>
          </c:extLst>
        </c:ser>
        <c:ser>
          <c:idx val="18"/>
          <c:order val="18"/>
          <c:tx>
            <c:strRef>
              <c:f>'Data brebis'!$F$177</c:f>
              <c:strCache>
                <c:ptCount val="1"/>
                <c:pt idx="0">
                  <c:v>240271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'Data brebis'!$H$177:$H$181</c:f>
              <c:numCache>
                <c:formatCode>dd/mm/yyyy\ hh:mm:ss</c:formatCode>
                <c:ptCount val="5"/>
                <c:pt idx="0">
                  <c:v>45798.675671296296</c:v>
                </c:pt>
                <c:pt idx="1">
                  <c:v>45798.675682870373</c:v>
                </c:pt>
                <c:pt idx="2">
                  <c:v>45798.675682870373</c:v>
                </c:pt>
                <c:pt idx="3">
                  <c:v>45798.676307870373</c:v>
                </c:pt>
                <c:pt idx="4">
                  <c:v>45798.676979166667</c:v>
                </c:pt>
              </c:numCache>
            </c:numRef>
          </c:xVal>
          <c:yVal>
            <c:numRef>
              <c:f>'Data brebis'!$I$177:$I$181</c:f>
              <c:numCache>
                <c:formatCode>General</c:formatCode>
                <c:ptCount val="5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4-00D7-4393-A1AD-EC6771CFADDC}"/>
            </c:ext>
          </c:extLst>
        </c:ser>
        <c:ser>
          <c:idx val="19"/>
          <c:order val="19"/>
          <c:tx>
            <c:strRef>
              <c:f>'Data brebis'!$F$182</c:f>
              <c:strCache>
                <c:ptCount val="1"/>
                <c:pt idx="0">
                  <c:v>240271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'Data brebis'!$H$182:$H$186</c:f>
              <c:numCache>
                <c:formatCode>dd/mm/yyyy\ hh:mm:ss</c:formatCode>
                <c:ptCount val="5"/>
                <c:pt idx="0">
                  <c:v>45798.676990740743</c:v>
                </c:pt>
                <c:pt idx="1">
                  <c:v>45798.67759259259</c:v>
                </c:pt>
                <c:pt idx="2">
                  <c:v>45798.677743055552</c:v>
                </c:pt>
                <c:pt idx="3">
                  <c:v>45798.774699074071</c:v>
                </c:pt>
                <c:pt idx="4">
                  <c:v>45798.774722222224</c:v>
                </c:pt>
              </c:numCache>
            </c:numRef>
          </c:xVal>
          <c:yVal>
            <c:numRef>
              <c:f>'Data brebis'!$I$182:$I$186</c:f>
              <c:numCache>
                <c:formatCode>General</c:formatCode>
                <c:ptCount val="5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1</c:v>
                </c:pt>
                <c:pt idx="4">
                  <c:v>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5-00D7-4393-A1AD-EC6771CFADDC}"/>
            </c:ext>
          </c:extLst>
        </c:ser>
        <c:ser>
          <c:idx val="20"/>
          <c:order val="20"/>
          <c:tx>
            <c:strRef>
              <c:f>'Data brebis'!$F$187</c:f>
              <c:strCache>
                <c:ptCount val="1"/>
                <c:pt idx="0">
                  <c:v>240278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'Data brebis'!$H$187:$H$190</c:f>
              <c:numCache>
                <c:formatCode>dd/mm/yyyy\ hh:mm:ss</c:formatCode>
                <c:ptCount val="4"/>
                <c:pt idx="0">
                  <c:v>45798.870416666665</c:v>
                </c:pt>
                <c:pt idx="1">
                  <c:v>45798.87054398148</c:v>
                </c:pt>
                <c:pt idx="2">
                  <c:v>45799.182858796295</c:v>
                </c:pt>
                <c:pt idx="3">
                  <c:v>45799.184999999998</c:v>
                </c:pt>
              </c:numCache>
            </c:numRef>
          </c:xVal>
          <c:yVal>
            <c:numRef>
              <c:f>'Data brebis'!$I$187:$I$190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6-00D7-4393-A1AD-EC6771CFADDC}"/>
            </c:ext>
          </c:extLst>
        </c:ser>
        <c:ser>
          <c:idx val="21"/>
          <c:order val="21"/>
          <c:tx>
            <c:strRef>
              <c:f>'Data brebis'!$F$191</c:f>
              <c:strCache>
                <c:ptCount val="1"/>
                <c:pt idx="0">
                  <c:v>240278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'Data brebis'!$H$191</c:f>
              <c:numCache>
                <c:formatCode>dd/mm/yyyy\ hh:mm:ss</c:formatCode>
                <c:ptCount val="1"/>
                <c:pt idx="0">
                  <c:v>45799.208078703705</c:v>
                </c:pt>
              </c:numCache>
            </c:numRef>
          </c:xVal>
          <c:yVal>
            <c:numRef>
              <c:f>'Data brebis'!$I$191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7-00D7-4393-A1AD-EC6771CFADDC}"/>
            </c:ext>
          </c:extLst>
        </c:ser>
        <c:ser>
          <c:idx val="22"/>
          <c:order val="22"/>
          <c:tx>
            <c:strRef>
              <c:f>'Data brebis'!$F$192</c:f>
              <c:strCache>
                <c:ptCount val="1"/>
                <c:pt idx="0">
                  <c:v>240278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'Data brebis'!$H$192</c:f>
              <c:numCache>
                <c:formatCode>dd/mm/yyyy\ hh:mm:ss</c:formatCode>
                <c:ptCount val="1"/>
                <c:pt idx="0">
                  <c:v>45799.210069444445</c:v>
                </c:pt>
              </c:numCache>
            </c:numRef>
          </c:xVal>
          <c:yVal>
            <c:numRef>
              <c:f>'Data brebis'!$I$192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8-00D7-4393-A1AD-EC6771CFADDC}"/>
            </c:ext>
          </c:extLst>
        </c:ser>
        <c:ser>
          <c:idx val="23"/>
          <c:order val="23"/>
          <c:tx>
            <c:strRef>
              <c:f>'Data brebis'!$F$193</c:f>
              <c:strCache>
                <c:ptCount val="1"/>
                <c:pt idx="0">
                  <c:v>240278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'Data brebis'!$H$193:$H$200</c:f>
              <c:numCache>
                <c:formatCode>dd/mm/yyyy\ hh:mm:ss</c:formatCode>
                <c:ptCount val="8"/>
                <c:pt idx="0">
                  <c:v>45799.210081018522</c:v>
                </c:pt>
                <c:pt idx="1">
                  <c:v>45799.214212962965</c:v>
                </c:pt>
                <c:pt idx="2">
                  <c:v>45799.215462962966</c:v>
                </c:pt>
                <c:pt idx="3">
                  <c:v>45799.215601851851</c:v>
                </c:pt>
                <c:pt idx="4">
                  <c:v>45799.215624999997</c:v>
                </c:pt>
                <c:pt idx="5">
                  <c:v>45799.215775462966</c:v>
                </c:pt>
                <c:pt idx="6">
                  <c:v>45799.219328703701</c:v>
                </c:pt>
                <c:pt idx="7">
                  <c:v>45799.046331018515</c:v>
                </c:pt>
              </c:numCache>
            </c:numRef>
          </c:xVal>
          <c:yVal>
            <c:numRef>
              <c:f>'Data brebis'!$I$193:$I$200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9-00D7-4393-A1AD-EC6771CFADDC}"/>
            </c:ext>
          </c:extLst>
        </c:ser>
        <c:ser>
          <c:idx val="24"/>
          <c:order val="24"/>
          <c:tx>
            <c:strRef>
              <c:f>'Data brebis'!$F$201</c:f>
              <c:strCache>
                <c:ptCount val="1"/>
                <c:pt idx="0">
                  <c:v>240282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'Data brebis'!$H$201:$H$208</c:f>
              <c:numCache>
                <c:formatCode>dd/mm/yyyy\ hh:mm:ss</c:formatCode>
                <c:ptCount val="8"/>
                <c:pt idx="0">
                  <c:v>45799.046689814815</c:v>
                </c:pt>
                <c:pt idx="1">
                  <c:v>45799.499143518522</c:v>
                </c:pt>
                <c:pt idx="2">
                  <c:v>45799.499155092592</c:v>
                </c:pt>
                <c:pt idx="3">
                  <c:v>45799.5783912037</c:v>
                </c:pt>
                <c:pt idx="4">
                  <c:v>45799.578553240739</c:v>
                </c:pt>
                <c:pt idx="5">
                  <c:v>45799.578726851854</c:v>
                </c:pt>
                <c:pt idx="6">
                  <c:v>45799.578738425924</c:v>
                </c:pt>
                <c:pt idx="7">
                  <c:v>45798.725243055553</c:v>
                </c:pt>
              </c:numCache>
            </c:numRef>
          </c:xVal>
          <c:yVal>
            <c:numRef>
              <c:f>'Data brebis'!$I$201:$I$208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A-00D7-4393-A1AD-EC6771CF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85920"/>
        <c:axId val="206387840"/>
      </c:scatterChart>
      <c:valAx>
        <c:axId val="206385920"/>
        <c:scaling>
          <c:orientation val="minMax"/>
          <c:max val="45801.458333333008"/>
          <c:min val="45797.291666665988"/>
        </c:scaling>
        <c:delete val="0"/>
        <c:axPos val="b"/>
        <c:numFmt formatCode="dd/mm/yy\ hh:mm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7840"/>
        <c:crosses val="autoZero"/>
        <c:crossBetween val="midCat"/>
        <c:majorUnit val="8.3333300000000013E-2"/>
        <c:minorUnit val="4.1666666000000012E-2"/>
      </c:valAx>
      <c:valAx>
        <c:axId val="20638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Nombre chevauchements cumulés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5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819916134220581"/>
          <c:y val="7.7568517587783811E-2"/>
          <c:w val="7.3879443585780524E-2"/>
          <c:h val="0.77202118352227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 (ODARC 2025)</a:t>
            </a:r>
          </a:p>
        </c:rich>
      </c:tx>
      <c:layout>
        <c:manualLayout>
          <c:xMode val="edge"/>
          <c:yMode val="edge"/>
          <c:x val="0.24784272158287907"/>
          <c:y val="1.17568910030794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455091733490852E-2"/>
          <c:y val="6.1131763733994218E-2"/>
          <c:w val="0.88556606910335789"/>
          <c:h val="0.803690403720940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brebis Points Rouges'!$F$2</c:f>
              <c:strCache>
                <c:ptCount val="1"/>
                <c:pt idx="0">
                  <c:v>210262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Rouges'!$H$2:$H$11</c:f>
              <c:numCache>
                <c:formatCode>dd/mm/yyyy\ hh:mm:ss</c:formatCode>
                <c:ptCount val="10"/>
                <c:pt idx="0">
                  <c:v>45797.813101851854</c:v>
                </c:pt>
                <c:pt idx="1">
                  <c:v>45798.750671296293</c:v>
                </c:pt>
                <c:pt idx="2">
                  <c:v>45798.75068287037</c:v>
                </c:pt>
                <c:pt idx="3">
                  <c:v>45798.807500000003</c:v>
                </c:pt>
                <c:pt idx="4">
                  <c:v>45798.807650462964</c:v>
                </c:pt>
                <c:pt idx="5">
                  <c:v>45801.237384259257</c:v>
                </c:pt>
                <c:pt idx="6">
                  <c:v>45801.237523148149</c:v>
                </c:pt>
                <c:pt idx="7">
                  <c:v>45801.237534722219</c:v>
                </c:pt>
                <c:pt idx="8">
                  <c:v>45801.239236111112</c:v>
                </c:pt>
                <c:pt idx="9">
                  <c:v>45801.31391203704</c:v>
                </c:pt>
              </c:numCache>
            </c:numRef>
          </c:xVal>
          <c:yVal>
            <c:numRef>
              <c:f>'Data brebis Points Rouges'!$I$2:$I$11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23B-4DEC-ADC7-28FA0A6CFD8F}"/>
            </c:ext>
          </c:extLst>
        </c:ser>
        <c:ser>
          <c:idx val="1"/>
          <c:order val="1"/>
          <c:tx>
            <c:strRef>
              <c:f>'Data brebis Points Rouges'!$F$12</c:f>
              <c:strCache>
                <c:ptCount val="1"/>
                <c:pt idx="0">
                  <c:v>240271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Rouges'!$H$12:$H$37</c:f>
              <c:numCache>
                <c:formatCode>dd/mm/yyyy\ hh:mm:ss</c:formatCode>
                <c:ptCount val="26"/>
                <c:pt idx="0">
                  <c:v>45797.843229166669</c:v>
                </c:pt>
                <c:pt idx="1">
                  <c:v>45798.511724537035</c:v>
                </c:pt>
                <c:pt idx="2">
                  <c:v>45798.511944444443</c:v>
                </c:pt>
                <c:pt idx="3">
                  <c:v>45798.553657407407</c:v>
                </c:pt>
                <c:pt idx="4">
                  <c:v>45798.553668981483</c:v>
                </c:pt>
                <c:pt idx="5">
                  <c:v>45798.55369212963</c:v>
                </c:pt>
                <c:pt idx="6">
                  <c:v>45798.589317129627</c:v>
                </c:pt>
                <c:pt idx="7">
                  <c:v>45798.589328703703</c:v>
                </c:pt>
                <c:pt idx="8">
                  <c:v>45798.60359953704</c:v>
                </c:pt>
                <c:pt idx="9">
                  <c:v>45798.60361111111</c:v>
                </c:pt>
                <c:pt idx="10">
                  <c:v>45798.603773148148</c:v>
                </c:pt>
                <c:pt idx="11">
                  <c:v>45798.604270833333</c:v>
                </c:pt>
                <c:pt idx="12">
                  <c:v>45798.604409722226</c:v>
                </c:pt>
                <c:pt idx="13">
                  <c:v>45798.604421296295</c:v>
                </c:pt>
                <c:pt idx="14">
                  <c:v>45798.605509259258</c:v>
                </c:pt>
                <c:pt idx="15">
                  <c:v>45798.605636574073</c:v>
                </c:pt>
                <c:pt idx="16">
                  <c:v>45798.60564814815</c:v>
                </c:pt>
                <c:pt idx="17">
                  <c:v>45798.606053240743</c:v>
                </c:pt>
                <c:pt idx="18">
                  <c:v>45798.675671296296</c:v>
                </c:pt>
                <c:pt idx="19">
                  <c:v>45798.675682870373</c:v>
                </c:pt>
                <c:pt idx="20">
                  <c:v>45798.675682870373</c:v>
                </c:pt>
                <c:pt idx="21">
                  <c:v>45798.676307870373</c:v>
                </c:pt>
                <c:pt idx="22">
                  <c:v>45798.676979166667</c:v>
                </c:pt>
                <c:pt idx="23">
                  <c:v>45798.676990740743</c:v>
                </c:pt>
                <c:pt idx="24">
                  <c:v>45798.67759259259</c:v>
                </c:pt>
                <c:pt idx="25">
                  <c:v>45798.677743055552</c:v>
                </c:pt>
              </c:numCache>
            </c:numRef>
          </c:xVal>
          <c:yVal>
            <c:numRef>
              <c:f>'Data brebis Points Rouges'!$I$12:$I$37</c:f>
              <c:numCache>
                <c:formatCode>General</c:formatCode>
                <c:ptCount val="2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23B-4DEC-ADC7-28FA0A6CFD8F}"/>
            </c:ext>
          </c:extLst>
        </c:ser>
        <c:ser>
          <c:idx val="2"/>
          <c:order val="2"/>
          <c:tx>
            <c:strRef>
              <c:f>'Data brebis Points Rouges'!$F$38</c:f>
              <c:strCache>
                <c:ptCount val="1"/>
                <c:pt idx="0">
                  <c:v>230125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Rouges'!$H$38:$H$49</c:f>
              <c:numCache>
                <c:formatCode>dd/mm/yyyy\ hh:mm:ss</c:formatCode>
                <c:ptCount val="12"/>
                <c:pt idx="0">
                  <c:v>45798.247002314813</c:v>
                </c:pt>
                <c:pt idx="1">
                  <c:v>45798.247013888889</c:v>
                </c:pt>
                <c:pt idx="2">
                  <c:v>45798.27275462963</c:v>
                </c:pt>
                <c:pt idx="3">
                  <c:v>45798.302256944444</c:v>
                </c:pt>
                <c:pt idx="4">
                  <c:v>45798.302268518521</c:v>
                </c:pt>
                <c:pt idx="5">
                  <c:v>45798.30228009259</c:v>
                </c:pt>
                <c:pt idx="6">
                  <c:v>45798.302534722221</c:v>
                </c:pt>
                <c:pt idx="7">
                  <c:v>45798.302546296298</c:v>
                </c:pt>
                <c:pt idx="8">
                  <c:v>45798.32234953704</c:v>
                </c:pt>
                <c:pt idx="9">
                  <c:v>45798.367731481485</c:v>
                </c:pt>
                <c:pt idx="10">
                  <c:v>45799.753240740742</c:v>
                </c:pt>
                <c:pt idx="11">
                  <c:v>45799.753252314818</c:v>
                </c:pt>
              </c:numCache>
            </c:numRef>
          </c:xVal>
          <c:yVal>
            <c:numRef>
              <c:f>'Data brebis Points Rouges'!$I$38:$I$49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23B-4DEC-ADC7-28FA0A6CFD8F}"/>
            </c:ext>
          </c:extLst>
        </c:ser>
        <c:ser>
          <c:idx val="3"/>
          <c:order val="3"/>
          <c:tx>
            <c:strRef>
              <c:f>'Data brebis Points Rouges'!$F$50</c:f>
              <c:strCache>
                <c:ptCount val="1"/>
                <c:pt idx="0">
                  <c:v>230123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Rouges'!$H$50:$H$67</c:f>
              <c:numCache>
                <c:formatCode>dd/mm/yyyy\ hh:mm:ss</c:formatCode>
                <c:ptCount val="18"/>
                <c:pt idx="0">
                  <c:v>45798.453252314815</c:v>
                </c:pt>
                <c:pt idx="1">
                  <c:v>45798.453263888892</c:v>
                </c:pt>
                <c:pt idx="2">
                  <c:v>45798.454606481479</c:v>
                </c:pt>
                <c:pt idx="3">
                  <c:v>45798.454618055555</c:v>
                </c:pt>
                <c:pt idx="4">
                  <c:v>45798.503449074073</c:v>
                </c:pt>
                <c:pt idx="5">
                  <c:v>45798.80878472222</c:v>
                </c:pt>
                <c:pt idx="6">
                  <c:v>45798.808796296296</c:v>
                </c:pt>
                <c:pt idx="7">
                  <c:v>45798.809374999997</c:v>
                </c:pt>
                <c:pt idx="8">
                  <c:v>45798.844988425924</c:v>
                </c:pt>
                <c:pt idx="9">
                  <c:v>45798.84511574074</c:v>
                </c:pt>
                <c:pt idx="10">
                  <c:v>45798.845266203702</c:v>
                </c:pt>
                <c:pt idx="11">
                  <c:v>45798.874618055554</c:v>
                </c:pt>
                <c:pt idx="12">
                  <c:v>45798.874895833331</c:v>
                </c:pt>
                <c:pt idx="13">
                  <c:v>45798.875</c:v>
                </c:pt>
                <c:pt idx="14">
                  <c:v>45799.264305555553</c:v>
                </c:pt>
                <c:pt idx="15">
                  <c:v>45799.265694444446</c:v>
                </c:pt>
                <c:pt idx="16">
                  <c:v>45799.265706018516</c:v>
                </c:pt>
                <c:pt idx="17">
                  <c:v>45799.266342592593</c:v>
                </c:pt>
              </c:numCache>
            </c:numRef>
          </c:xVal>
          <c:yVal>
            <c:numRef>
              <c:f>'Data brebis Points Rouges'!$I$50:$I$67</c:f>
              <c:numCache>
                <c:formatCode>General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23B-4DEC-ADC7-28FA0A6CFD8F}"/>
            </c:ext>
          </c:extLst>
        </c:ser>
        <c:ser>
          <c:idx val="4"/>
          <c:order val="4"/>
          <c:tx>
            <c:strRef>
              <c:f>'Data brebis Points Rouges'!$F$68</c:f>
              <c:strCache>
                <c:ptCount val="1"/>
                <c:pt idx="0">
                  <c:v>220221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Rouges'!$H$68:$H$70</c:f>
              <c:numCache>
                <c:formatCode>dd/mm/yyyy\ hh:mm:ss</c:formatCode>
                <c:ptCount val="3"/>
                <c:pt idx="0">
                  <c:v>45798.499212962961</c:v>
                </c:pt>
                <c:pt idx="1">
                  <c:v>45799.887256944443</c:v>
                </c:pt>
                <c:pt idx="2">
                  <c:v>45799.887731481482</c:v>
                </c:pt>
              </c:numCache>
            </c:numRef>
          </c:xVal>
          <c:yVal>
            <c:numRef>
              <c:f>'Data brebis Points Rouges'!$I$68:$I$70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23B-4DEC-ADC7-28FA0A6CFD8F}"/>
            </c:ext>
          </c:extLst>
        </c:ser>
        <c:ser>
          <c:idx val="5"/>
          <c:order val="5"/>
          <c:tx>
            <c:strRef>
              <c:f>'Data brebis Points Rouges'!$F$71</c:f>
              <c:strCache>
                <c:ptCount val="1"/>
                <c:pt idx="0">
                  <c:v>190055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Rouges'!$H$71:$H$89</c:f>
              <c:numCache>
                <c:formatCode>dd/mm/yyyy\ hh:mm:ss</c:formatCode>
                <c:ptCount val="19"/>
                <c:pt idx="0">
                  <c:v>45798.654340277775</c:v>
                </c:pt>
                <c:pt idx="1">
                  <c:v>45798.654351851852</c:v>
                </c:pt>
                <c:pt idx="2">
                  <c:v>45798.654363425929</c:v>
                </c:pt>
                <c:pt idx="3">
                  <c:v>45798.655798611115</c:v>
                </c:pt>
                <c:pt idx="4">
                  <c:v>45798.655821759261</c:v>
                </c:pt>
                <c:pt idx="5">
                  <c:v>45798.655833333331</c:v>
                </c:pt>
                <c:pt idx="6">
                  <c:v>45798.655844907407</c:v>
                </c:pt>
                <c:pt idx="7">
                  <c:v>45798.655844907407</c:v>
                </c:pt>
                <c:pt idx="8">
                  <c:v>45798.6559375</c:v>
                </c:pt>
                <c:pt idx="9">
                  <c:v>45798.798437500001</c:v>
                </c:pt>
                <c:pt idx="10">
                  <c:v>45798.798564814817</c:v>
                </c:pt>
                <c:pt idx="11">
                  <c:v>45798.800173611111</c:v>
                </c:pt>
                <c:pt idx="12">
                  <c:v>45798.800381944442</c:v>
                </c:pt>
                <c:pt idx="13">
                  <c:v>45798.800381944442</c:v>
                </c:pt>
                <c:pt idx="14">
                  <c:v>45798.876215277778</c:v>
                </c:pt>
                <c:pt idx="15">
                  <c:v>45798.876226851855</c:v>
                </c:pt>
                <c:pt idx="16">
                  <c:v>45798.877326388887</c:v>
                </c:pt>
                <c:pt idx="17">
                  <c:v>45798.87740740741</c:v>
                </c:pt>
                <c:pt idx="18">
                  <c:v>45798.914050925923</c:v>
                </c:pt>
              </c:numCache>
            </c:numRef>
          </c:xVal>
          <c:yVal>
            <c:numRef>
              <c:f>'Data brebis Points Rouges'!$I$71:$I$89</c:f>
              <c:numCache>
                <c:formatCode>General</c:formatCode>
                <c:ptCount val="19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23B-4DEC-ADC7-28FA0A6CFD8F}"/>
            </c:ext>
          </c:extLst>
        </c:ser>
        <c:ser>
          <c:idx val="6"/>
          <c:order val="6"/>
          <c:tx>
            <c:strRef>
              <c:f>'Data brebis Points Rouges'!$F$90</c:f>
              <c:strCache>
                <c:ptCount val="1"/>
                <c:pt idx="0">
                  <c:v>220241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Rouges'!$H$90:$H$106</c:f>
              <c:numCache>
                <c:formatCode>dd/mm/yyyy\ hh:mm:ss</c:formatCode>
                <c:ptCount val="17"/>
                <c:pt idx="0">
                  <c:v>45798.704502314817</c:v>
                </c:pt>
                <c:pt idx="1">
                  <c:v>45798.704872685186</c:v>
                </c:pt>
                <c:pt idx="2">
                  <c:v>45798.704872685186</c:v>
                </c:pt>
                <c:pt idx="3">
                  <c:v>45798.704884259256</c:v>
                </c:pt>
                <c:pt idx="4">
                  <c:v>45798.866608796299</c:v>
                </c:pt>
                <c:pt idx="5">
                  <c:v>45798.866979166669</c:v>
                </c:pt>
                <c:pt idx="6">
                  <c:v>45798.868611111109</c:v>
                </c:pt>
                <c:pt idx="7">
                  <c:v>45798.967048611114</c:v>
                </c:pt>
                <c:pt idx="8">
                  <c:v>45798.967280092591</c:v>
                </c:pt>
                <c:pt idx="9">
                  <c:v>45798.967557870368</c:v>
                </c:pt>
                <c:pt idx="10">
                  <c:v>45798.967557870368</c:v>
                </c:pt>
                <c:pt idx="11">
                  <c:v>45798.96775462963</c:v>
                </c:pt>
                <c:pt idx="12">
                  <c:v>45798.968043981484</c:v>
                </c:pt>
                <c:pt idx="13">
                  <c:v>45798.968055555553</c:v>
                </c:pt>
                <c:pt idx="14">
                  <c:v>45799.255231481482</c:v>
                </c:pt>
                <c:pt idx="15">
                  <c:v>45800.380127314813</c:v>
                </c:pt>
                <c:pt idx="16">
                  <c:v>45800.38013888889</c:v>
                </c:pt>
              </c:numCache>
            </c:numRef>
          </c:xVal>
          <c:yVal>
            <c:numRef>
              <c:f>'Data brebis Points Rouges'!$I$90:$I$106</c:f>
              <c:numCache>
                <c:formatCode>General</c:formatCode>
                <c:ptCount val="1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23B-4DEC-ADC7-28FA0A6CFD8F}"/>
            </c:ext>
          </c:extLst>
        </c:ser>
        <c:ser>
          <c:idx val="7"/>
          <c:order val="7"/>
          <c:tx>
            <c:strRef>
              <c:f>'Data brebis Points Rouges'!$F$107</c:f>
              <c:strCache>
                <c:ptCount val="1"/>
                <c:pt idx="0">
                  <c:v>190062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Rouges'!$H$107:$H$114</c:f>
              <c:numCache>
                <c:formatCode>dd/mm/yyyy\ hh:mm:ss</c:formatCode>
                <c:ptCount val="8"/>
                <c:pt idx="0">
                  <c:v>45798.715636574074</c:v>
                </c:pt>
                <c:pt idx="1">
                  <c:v>45798.715636574074</c:v>
                </c:pt>
                <c:pt idx="2">
                  <c:v>45798.716134259259</c:v>
                </c:pt>
                <c:pt idx="3">
                  <c:v>45798.716157407405</c:v>
                </c:pt>
                <c:pt idx="4">
                  <c:v>45798.716412037036</c:v>
                </c:pt>
                <c:pt idx="5">
                  <c:v>45798.716423611113</c:v>
                </c:pt>
                <c:pt idx="6">
                  <c:v>45798.727210648147</c:v>
                </c:pt>
                <c:pt idx="7">
                  <c:v>45799.495081018518</c:v>
                </c:pt>
              </c:numCache>
            </c:numRef>
          </c:xVal>
          <c:yVal>
            <c:numRef>
              <c:f>'Data brebis Points Rouges'!$I$107:$I$114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323B-4DEC-ADC7-28FA0A6CFD8F}"/>
            </c:ext>
          </c:extLst>
        </c:ser>
        <c:ser>
          <c:idx val="8"/>
          <c:order val="8"/>
          <c:tx>
            <c:strRef>
              <c:f>'Data brebis Points Rouges'!$F$115</c:f>
              <c:strCache>
                <c:ptCount val="1"/>
                <c:pt idx="0">
                  <c:v>240288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Rouges'!$H$115</c:f>
              <c:numCache>
                <c:formatCode>dd/mm/yyyy\ hh:mm:ss</c:formatCode>
                <c:ptCount val="1"/>
                <c:pt idx="0">
                  <c:v>45798.725243055553</c:v>
                </c:pt>
              </c:numCache>
            </c:numRef>
          </c:xVal>
          <c:yVal>
            <c:numRef>
              <c:f>'Data brebis Points Rouges'!$I$115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323B-4DEC-ADC7-28FA0A6CFD8F}"/>
            </c:ext>
          </c:extLst>
        </c:ser>
        <c:ser>
          <c:idx val="9"/>
          <c:order val="9"/>
          <c:tx>
            <c:strRef>
              <c:f>'Data brebis Points Rouges'!$F$116</c:f>
              <c:strCache>
                <c:ptCount val="1"/>
                <c:pt idx="0">
                  <c:v>240278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Rouges'!$H$116:$H$130</c:f>
              <c:numCache>
                <c:formatCode>dd/mm/yyyy\ hh:mm:ss</c:formatCode>
                <c:ptCount val="15"/>
                <c:pt idx="0">
                  <c:v>45798.774699074071</c:v>
                </c:pt>
                <c:pt idx="1">
                  <c:v>45798.774722222224</c:v>
                </c:pt>
                <c:pt idx="2">
                  <c:v>45798.870416666665</c:v>
                </c:pt>
                <c:pt idx="3">
                  <c:v>45798.87054398148</c:v>
                </c:pt>
                <c:pt idx="4">
                  <c:v>45799.182858796295</c:v>
                </c:pt>
                <c:pt idx="5">
                  <c:v>45799.184999999998</c:v>
                </c:pt>
                <c:pt idx="6">
                  <c:v>45799.208078703705</c:v>
                </c:pt>
                <c:pt idx="7">
                  <c:v>45799.210069444445</c:v>
                </c:pt>
                <c:pt idx="8">
                  <c:v>45799.210081018522</c:v>
                </c:pt>
                <c:pt idx="9">
                  <c:v>45799.214212962965</c:v>
                </c:pt>
                <c:pt idx="10">
                  <c:v>45799.215462962966</c:v>
                </c:pt>
                <c:pt idx="11">
                  <c:v>45799.215601851851</c:v>
                </c:pt>
                <c:pt idx="12">
                  <c:v>45799.215624999997</c:v>
                </c:pt>
                <c:pt idx="13">
                  <c:v>45799.215775462966</c:v>
                </c:pt>
                <c:pt idx="14">
                  <c:v>45799.219328703701</c:v>
                </c:pt>
              </c:numCache>
            </c:numRef>
          </c:xVal>
          <c:yVal>
            <c:numRef>
              <c:f>'Data brebis Points Rouges'!$I$116:$I$130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323B-4DEC-ADC7-28FA0A6CFD8F}"/>
            </c:ext>
          </c:extLst>
        </c:ser>
        <c:ser>
          <c:idx val="10"/>
          <c:order val="10"/>
          <c:tx>
            <c:strRef>
              <c:f>'Data brebis Points Rouges'!$F$131</c:f>
              <c:strCache>
                <c:ptCount val="1"/>
                <c:pt idx="0">
                  <c:v>220206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Rouges'!$H$131:$H$133</c:f>
              <c:numCache>
                <c:formatCode>dd/mm/yyyy\ hh:mm:ss</c:formatCode>
                <c:ptCount val="3"/>
                <c:pt idx="0">
                  <c:v>45798.810324074075</c:v>
                </c:pt>
                <c:pt idx="1">
                  <c:v>45798.810324074075</c:v>
                </c:pt>
                <c:pt idx="2">
                  <c:v>45798.810335648152</c:v>
                </c:pt>
              </c:numCache>
            </c:numRef>
          </c:xVal>
          <c:yVal>
            <c:numRef>
              <c:f>'Data brebis Points Rouges'!$I$131:$I$133</c:f>
              <c:numCache>
                <c:formatCode>General</c:formatCode>
                <c:ptCount val="3"/>
                <c:pt idx="0">
                  <c:v>11</c:v>
                </c:pt>
                <c:pt idx="1">
                  <c:v>11</c:v>
                </c:pt>
                <c:pt idx="2">
                  <c:v>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323B-4DEC-ADC7-28FA0A6CFD8F}"/>
            </c:ext>
          </c:extLst>
        </c:ser>
        <c:ser>
          <c:idx val="11"/>
          <c:order val="11"/>
          <c:tx>
            <c:strRef>
              <c:f>'Data brebis Points Rouges'!$F$134</c:f>
              <c:strCache>
                <c:ptCount val="1"/>
                <c:pt idx="0">
                  <c:v>240257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Rouges'!$H$134:$H$146</c:f>
              <c:numCache>
                <c:formatCode>dd/mm/yyyy\ hh:mm:ss</c:formatCode>
                <c:ptCount val="13"/>
                <c:pt idx="0">
                  <c:v>45798.901967592596</c:v>
                </c:pt>
                <c:pt idx="1">
                  <c:v>45799.189340277779</c:v>
                </c:pt>
                <c:pt idx="2">
                  <c:v>45799.18953703704</c:v>
                </c:pt>
                <c:pt idx="3">
                  <c:v>45799.232152777775</c:v>
                </c:pt>
                <c:pt idx="4">
                  <c:v>45799.269074074073</c:v>
                </c:pt>
                <c:pt idx="5">
                  <c:v>45799.558888888889</c:v>
                </c:pt>
                <c:pt idx="6">
                  <c:v>45799.560601851852</c:v>
                </c:pt>
                <c:pt idx="7">
                  <c:v>45799.560891203706</c:v>
                </c:pt>
                <c:pt idx="8">
                  <c:v>45799.560902777775</c:v>
                </c:pt>
                <c:pt idx="9">
                  <c:v>45799.561180555553</c:v>
                </c:pt>
                <c:pt idx="10">
                  <c:v>45799.563923611109</c:v>
                </c:pt>
                <c:pt idx="11">
                  <c:v>45799.570648148147</c:v>
                </c:pt>
                <c:pt idx="12">
                  <c:v>45799.583252314813</c:v>
                </c:pt>
              </c:numCache>
            </c:numRef>
          </c:xVal>
          <c:yVal>
            <c:numRef>
              <c:f>'Data brebis Points Rouges'!$I$134:$I$146</c:f>
              <c:numCache>
                <c:formatCode>General</c:formatCode>
                <c:ptCount val="1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323B-4DEC-ADC7-28FA0A6CFD8F}"/>
            </c:ext>
          </c:extLst>
        </c:ser>
        <c:ser>
          <c:idx val="12"/>
          <c:order val="12"/>
          <c:tx>
            <c:strRef>
              <c:f>'Data brebis Points Rouges'!$F$147</c:f>
              <c:strCache>
                <c:ptCount val="1"/>
                <c:pt idx="0">
                  <c:v>210265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Rouges'!$H$147:$H$157</c:f>
              <c:numCache>
                <c:formatCode>dd/mm/yyyy\ hh:mm:ss</c:formatCode>
                <c:ptCount val="11"/>
                <c:pt idx="0">
                  <c:v>45798.904317129629</c:v>
                </c:pt>
                <c:pt idx="1">
                  <c:v>45798.904328703706</c:v>
                </c:pt>
                <c:pt idx="2">
                  <c:v>45798.904513888891</c:v>
                </c:pt>
                <c:pt idx="3">
                  <c:v>45798.90452546296</c:v>
                </c:pt>
                <c:pt idx="4">
                  <c:v>45798.904814814814</c:v>
                </c:pt>
                <c:pt idx="5">
                  <c:v>45798.905335648145</c:v>
                </c:pt>
                <c:pt idx="6">
                  <c:v>45799.027395833335</c:v>
                </c:pt>
                <c:pt idx="7">
                  <c:v>45799.084467592591</c:v>
                </c:pt>
                <c:pt idx="8">
                  <c:v>45799.405405092592</c:v>
                </c:pt>
                <c:pt idx="9">
                  <c:v>45799.405405092592</c:v>
                </c:pt>
                <c:pt idx="10">
                  <c:v>45799.405416666668</c:v>
                </c:pt>
              </c:numCache>
            </c:numRef>
          </c:xVal>
          <c:yVal>
            <c:numRef>
              <c:f>'Data brebis Points Rouges'!$I$147:$I$157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323B-4DEC-ADC7-28FA0A6CFD8F}"/>
            </c:ext>
          </c:extLst>
        </c:ser>
        <c:ser>
          <c:idx val="13"/>
          <c:order val="13"/>
          <c:tx>
            <c:strRef>
              <c:f>'Data brebis Points Rouges'!$F$158</c:f>
              <c:strCache>
                <c:ptCount val="1"/>
                <c:pt idx="0">
                  <c:v>240265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Rouges'!$H$158:$H$161</c:f>
              <c:numCache>
                <c:formatCode>dd/mm/yyyy\ hh:mm:ss</c:formatCode>
                <c:ptCount val="4"/>
                <c:pt idx="0">
                  <c:v>45798.908206018517</c:v>
                </c:pt>
                <c:pt idx="1">
                  <c:v>45798.945081018515</c:v>
                </c:pt>
                <c:pt idx="2">
                  <c:v>45799.227569444447</c:v>
                </c:pt>
                <c:pt idx="3">
                  <c:v>45799.257881944446</c:v>
                </c:pt>
              </c:numCache>
            </c:numRef>
          </c:xVal>
          <c:yVal>
            <c:numRef>
              <c:f>'Data brebis Points Rouges'!$I$158:$I$161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323B-4DEC-ADC7-28FA0A6CFD8F}"/>
            </c:ext>
          </c:extLst>
        </c:ser>
        <c:ser>
          <c:idx val="14"/>
          <c:order val="14"/>
          <c:tx>
            <c:strRef>
              <c:f>'Data brebis Points Rouges'!$F$162</c:f>
              <c:strCache>
                <c:ptCount val="1"/>
                <c:pt idx="0">
                  <c:v>230137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Rouges'!$H$162</c:f>
              <c:numCache>
                <c:formatCode>dd/mm/yyyy\ hh:mm:ss</c:formatCode>
                <c:ptCount val="1"/>
                <c:pt idx="0">
                  <c:v>45798.931296296294</c:v>
                </c:pt>
              </c:numCache>
            </c:numRef>
          </c:xVal>
          <c:yVal>
            <c:numRef>
              <c:f>'Data brebis Points Rouges'!$I$162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323B-4DEC-ADC7-28FA0A6CFD8F}"/>
            </c:ext>
          </c:extLst>
        </c:ser>
        <c:ser>
          <c:idx val="15"/>
          <c:order val="15"/>
          <c:tx>
            <c:strRef>
              <c:f>'Data brebis Points Rouges'!$F$163</c:f>
              <c:strCache>
                <c:ptCount val="1"/>
                <c:pt idx="0">
                  <c:v>230124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Rouges'!$H$163:$H$166</c:f>
              <c:numCache>
                <c:formatCode>dd/mm/yyyy\ hh:mm:ss</c:formatCode>
                <c:ptCount val="4"/>
                <c:pt idx="0">
                  <c:v>45799.040590277778</c:v>
                </c:pt>
                <c:pt idx="1">
                  <c:v>45799.420543981483</c:v>
                </c:pt>
                <c:pt idx="2">
                  <c:v>45799.70648148148</c:v>
                </c:pt>
                <c:pt idx="3">
                  <c:v>45799.801666666666</c:v>
                </c:pt>
              </c:numCache>
            </c:numRef>
          </c:xVal>
          <c:yVal>
            <c:numRef>
              <c:f>'Data brebis Points Rouges'!$I$163:$I$166</c:f>
              <c:numCache>
                <c:formatCode>General</c:formatCode>
                <c:ptCount val="4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323B-4DEC-ADC7-28FA0A6CFD8F}"/>
            </c:ext>
          </c:extLst>
        </c:ser>
        <c:ser>
          <c:idx val="16"/>
          <c:order val="16"/>
          <c:tx>
            <c:strRef>
              <c:f>'Data brebis Points Rouges'!$F$167</c:f>
              <c:strCache>
                <c:ptCount val="1"/>
                <c:pt idx="0">
                  <c:v>240282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Rouges'!$H$167:$H$174</c:f>
              <c:numCache>
                <c:formatCode>dd/mm/yyyy\ hh:mm:ss</c:formatCode>
                <c:ptCount val="8"/>
                <c:pt idx="0">
                  <c:v>45799.046331018515</c:v>
                </c:pt>
                <c:pt idx="1">
                  <c:v>45799.046689814815</c:v>
                </c:pt>
                <c:pt idx="2">
                  <c:v>45799.499143518522</c:v>
                </c:pt>
                <c:pt idx="3">
                  <c:v>45799.499155092592</c:v>
                </c:pt>
                <c:pt idx="4">
                  <c:v>45799.5783912037</c:v>
                </c:pt>
                <c:pt idx="5">
                  <c:v>45799.578553240739</c:v>
                </c:pt>
                <c:pt idx="6">
                  <c:v>45799.578726851854</c:v>
                </c:pt>
                <c:pt idx="7">
                  <c:v>45799.578738425924</c:v>
                </c:pt>
              </c:numCache>
            </c:numRef>
          </c:xVal>
          <c:yVal>
            <c:numRef>
              <c:f>'Data brebis Points Rouges'!$I$167:$I$174</c:f>
              <c:numCache>
                <c:formatCode>General</c:formatCode>
                <c:ptCount val="8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323B-4DEC-ADC7-28FA0A6CFD8F}"/>
            </c:ext>
          </c:extLst>
        </c:ser>
        <c:ser>
          <c:idx val="17"/>
          <c:order val="17"/>
          <c:tx>
            <c:strRef>
              <c:f>'Data brebis Points Rouges'!$F$175</c:f>
              <c:strCache>
                <c:ptCount val="1"/>
                <c:pt idx="0">
                  <c:v>210282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Rouges'!$H$175:$H$176</c:f>
              <c:numCache>
                <c:formatCode>dd/mm/yyyy\ hh:mm:ss</c:formatCode>
                <c:ptCount val="2"/>
                <c:pt idx="0">
                  <c:v>45799.076701388891</c:v>
                </c:pt>
                <c:pt idx="1">
                  <c:v>45799.076701388891</c:v>
                </c:pt>
              </c:numCache>
            </c:numRef>
          </c:xVal>
          <c:yVal>
            <c:numRef>
              <c:f>'Data brebis Points Rouges'!$I$175:$I$176</c:f>
              <c:numCache>
                <c:formatCode>General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1-323B-4DEC-ADC7-28FA0A6CFD8F}"/>
            </c:ext>
          </c:extLst>
        </c:ser>
        <c:ser>
          <c:idx val="18"/>
          <c:order val="18"/>
          <c:tx>
            <c:strRef>
              <c:f>'Data brebis Points Rouges'!$F$177</c:f>
              <c:strCache>
                <c:ptCount val="1"/>
                <c:pt idx="0">
                  <c:v>220211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Rouges'!$H$177:$H$181</c:f>
              <c:numCache>
                <c:formatCode>dd/mm/yyyy\ hh:mm:ss</c:formatCode>
                <c:ptCount val="5"/>
                <c:pt idx="0">
                  <c:v>45799.101458333331</c:v>
                </c:pt>
                <c:pt idx="1">
                  <c:v>45799.101469907408</c:v>
                </c:pt>
                <c:pt idx="2">
                  <c:v>45799.254386574074</c:v>
                </c:pt>
                <c:pt idx="3">
                  <c:v>45799.750428240739</c:v>
                </c:pt>
                <c:pt idx="4">
                  <c:v>45799.750613425924</c:v>
                </c:pt>
              </c:numCache>
            </c:numRef>
          </c:xVal>
          <c:yVal>
            <c:numRef>
              <c:f>'Data brebis Points Rouges'!$I$177:$I$181</c:f>
              <c:numCache>
                <c:formatCode>General</c:formatCode>
                <c:ptCount val="5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2-323B-4DEC-ADC7-28FA0A6CFD8F}"/>
            </c:ext>
          </c:extLst>
        </c:ser>
        <c:ser>
          <c:idx val="19"/>
          <c:order val="19"/>
          <c:tx>
            <c:strRef>
              <c:f>'Data brebis Points Rouges'!$F$182</c:f>
              <c:strCache>
                <c:ptCount val="1"/>
                <c:pt idx="0">
                  <c:v>230132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Rouges'!$H$182:$H$186</c:f>
              <c:numCache>
                <c:formatCode>dd/mm/yyyy\ hh:mm:ss</c:formatCode>
                <c:ptCount val="5"/>
                <c:pt idx="0">
                  <c:v>45799.129664351851</c:v>
                </c:pt>
                <c:pt idx="1">
                  <c:v>45799.82603009259</c:v>
                </c:pt>
                <c:pt idx="2">
                  <c:v>45799.831377314818</c:v>
                </c:pt>
                <c:pt idx="3">
                  <c:v>45799.831400462965</c:v>
                </c:pt>
                <c:pt idx="4">
                  <c:v>45799.834745370368</c:v>
                </c:pt>
              </c:numCache>
            </c:numRef>
          </c:xVal>
          <c:yVal>
            <c:numRef>
              <c:f>'Data brebis Points Rouges'!$I$182:$I$186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3-323B-4DEC-ADC7-28FA0A6CFD8F}"/>
            </c:ext>
          </c:extLst>
        </c:ser>
        <c:ser>
          <c:idx val="20"/>
          <c:order val="20"/>
          <c:tx>
            <c:strRef>
              <c:f>'Data brebis Points Rouges'!$F$187</c:f>
              <c:strCache>
                <c:ptCount val="1"/>
                <c:pt idx="0">
                  <c:v>220223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Rouges'!$H$187:$H$190</c:f>
              <c:numCache>
                <c:formatCode>dd/mm/yyyy\ hh:mm:ss</c:formatCode>
                <c:ptCount val="4"/>
                <c:pt idx="0">
                  <c:v>45799.332499999997</c:v>
                </c:pt>
                <c:pt idx="1">
                  <c:v>45799.440474537034</c:v>
                </c:pt>
                <c:pt idx="2">
                  <c:v>45799.440486111111</c:v>
                </c:pt>
                <c:pt idx="3">
                  <c:v>45799.459699074076</c:v>
                </c:pt>
              </c:numCache>
            </c:numRef>
          </c:xVal>
          <c:yVal>
            <c:numRef>
              <c:f>'Data brebis Points Rouges'!$I$187:$I$190</c:f>
              <c:numCache>
                <c:formatCode>General</c:formatCode>
                <c:ptCount val="4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4-323B-4DEC-ADC7-28FA0A6CFD8F}"/>
            </c:ext>
          </c:extLst>
        </c:ser>
        <c:ser>
          <c:idx val="21"/>
          <c:order val="21"/>
          <c:tx>
            <c:strRef>
              <c:f>'Data brebis Points Rouges'!$F$191</c:f>
              <c:strCache>
                <c:ptCount val="1"/>
                <c:pt idx="0">
                  <c:v>210283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Rouges'!$H$191</c:f>
              <c:numCache>
                <c:formatCode>dd/mm/yyyy\ hh:mm:ss</c:formatCode>
                <c:ptCount val="1"/>
                <c:pt idx="0">
                  <c:v>45799.53324074074</c:v>
                </c:pt>
              </c:numCache>
            </c:numRef>
          </c:xVal>
          <c:yVal>
            <c:numRef>
              <c:f>'Data brebis Points Rouges'!$I$191</c:f>
              <c:numCache>
                <c:formatCode>General</c:formatCode>
                <c:ptCount val="1"/>
                <c:pt idx="0">
                  <c:v>22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5-323B-4DEC-ADC7-28FA0A6CFD8F}"/>
            </c:ext>
          </c:extLst>
        </c:ser>
        <c:ser>
          <c:idx val="22"/>
          <c:order val="22"/>
          <c:tx>
            <c:strRef>
              <c:f>'Data brebis Points Rouges'!$F$192</c:f>
              <c:strCache>
                <c:ptCount val="1"/>
                <c:pt idx="0">
                  <c:v>230127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Rouges'!$H$192</c:f>
              <c:numCache>
                <c:formatCode>dd/mm/yyyy\ hh:mm:ss</c:formatCode>
                <c:ptCount val="1"/>
                <c:pt idx="0">
                  <c:v>45799.604421296295</c:v>
                </c:pt>
              </c:numCache>
            </c:numRef>
          </c:xVal>
          <c:yVal>
            <c:numRef>
              <c:f>'Data brebis Points Rouges'!$I$192</c:f>
              <c:numCache>
                <c:formatCode>General</c:formatCode>
                <c:ptCount val="1"/>
                <c:pt idx="0">
                  <c:v>23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6-323B-4DEC-ADC7-28FA0A6CFD8F}"/>
            </c:ext>
          </c:extLst>
        </c:ser>
        <c:ser>
          <c:idx val="23"/>
          <c:order val="23"/>
          <c:tx>
            <c:strRef>
              <c:f>'Data brebis Points Rouges'!$F$193</c:f>
              <c:strCache>
                <c:ptCount val="1"/>
                <c:pt idx="0">
                  <c:v>230106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Rouges'!$H$193:$H$200</c:f>
              <c:numCache>
                <c:formatCode>dd/mm/yyyy\ hh:mm:ss</c:formatCode>
                <c:ptCount val="8"/>
                <c:pt idx="0">
                  <c:v>45799.694884259261</c:v>
                </c:pt>
                <c:pt idx="1">
                  <c:v>45799.711018518516</c:v>
                </c:pt>
                <c:pt idx="2">
                  <c:v>45799.71266203704</c:v>
                </c:pt>
                <c:pt idx="3">
                  <c:v>45799.712673611109</c:v>
                </c:pt>
                <c:pt idx="4">
                  <c:v>45799.81753472222</c:v>
                </c:pt>
                <c:pt idx="5">
                  <c:v>45799.817743055559</c:v>
                </c:pt>
                <c:pt idx="6">
                  <c:v>45799.818113425928</c:v>
                </c:pt>
                <c:pt idx="7">
                  <c:v>45799.818252314813</c:v>
                </c:pt>
              </c:numCache>
            </c:numRef>
          </c:xVal>
          <c:yVal>
            <c:numRef>
              <c:f>'Data brebis Points Rouges'!$I$193:$I$200</c:f>
              <c:numCache>
                <c:formatCode>General</c:formatCode>
                <c:ptCount val="8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7-323B-4DEC-ADC7-28FA0A6CFD8F}"/>
            </c:ext>
          </c:extLst>
        </c:ser>
        <c:ser>
          <c:idx val="24"/>
          <c:order val="24"/>
          <c:tx>
            <c:strRef>
              <c:f>'Data brebis Points Rouges'!$F$201</c:f>
              <c:strCache>
                <c:ptCount val="1"/>
                <c:pt idx="0">
                  <c:v>220238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Rouges'!$H$201:$H$208</c:f>
              <c:numCache>
                <c:formatCode>dd/mm/yyyy\ hh:mm:ss</c:formatCode>
                <c:ptCount val="8"/>
                <c:pt idx="0">
                  <c:v>45800.009456018517</c:v>
                </c:pt>
                <c:pt idx="1">
                  <c:v>45800.009467592594</c:v>
                </c:pt>
                <c:pt idx="2">
                  <c:v>45800.013310185182</c:v>
                </c:pt>
                <c:pt idx="3">
                  <c:v>45800.014166666668</c:v>
                </c:pt>
                <c:pt idx="4">
                  <c:v>45800.014178240737</c:v>
                </c:pt>
                <c:pt idx="5">
                  <c:v>45800.175416666665</c:v>
                </c:pt>
                <c:pt idx="6">
                  <c:v>45800.175567129627</c:v>
                </c:pt>
                <c:pt idx="7">
                  <c:v>45800.17763888889</c:v>
                </c:pt>
              </c:numCache>
            </c:numRef>
          </c:xVal>
          <c:yVal>
            <c:numRef>
              <c:f>'Data brebis Points Rouges'!$I$201:$I$208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8-323B-4DEC-ADC7-28FA0A6CF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60096"/>
        <c:axId val="206283136"/>
      </c:scatterChart>
      <c:valAx>
        <c:axId val="206260096"/>
        <c:scaling>
          <c:orientation val="minMax"/>
          <c:max val="45801.458333333008"/>
          <c:min val="45797.291666665973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94990084177866374"/>
              <c:y val="0.93708555671243576"/>
            </c:manualLayout>
          </c:layout>
          <c:overlay val="0"/>
        </c:title>
        <c:numFmt formatCode="dd/mm/yy\ hh:mm" sourceLinked="0"/>
        <c:majorTickMark val="out"/>
        <c:minorTickMark val="out"/>
        <c:tickLblPos val="nextTo"/>
        <c:spPr>
          <a:ln/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283136"/>
        <c:crosses val="autoZero"/>
        <c:crossBetween val="midCat"/>
        <c:majorUnit val="8.3333333300000006E-2"/>
        <c:minorUnit val="4.166666666600001E-2"/>
      </c:valAx>
      <c:valAx>
        <c:axId val="206283136"/>
        <c:scaling>
          <c:orientation val="minMax"/>
          <c:max val="30"/>
          <c:min val="0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fr-FR"/>
                  <a:t>N° brebis</a:t>
                </a:r>
              </a:p>
            </c:rich>
          </c:tx>
          <c:layout>
            <c:manualLayout>
              <c:xMode val="edge"/>
              <c:yMode val="edge"/>
              <c:x val="6.5886137905797884E-3"/>
              <c:y val="0.38854986876640418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>
              <a:defRPr sz="1000"/>
            </a:pPr>
            <a:endParaRPr lang="en-US"/>
          </a:p>
        </c:txPr>
        <c:crossAx val="206260096"/>
        <c:crosses val="autoZero"/>
        <c:crossBetween val="midCat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613612</xdr:colOff>
      <xdr:row>31</xdr:row>
      <xdr:rowOff>91440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38016BD0-0162-4C01-ADE6-0730296ED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26</xdr:col>
      <xdr:colOff>464820</xdr:colOff>
      <xdr:row>39</xdr:row>
      <xdr:rowOff>30480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38016BD0-0162-4C01-ADE6-0730296ED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214295</xdr:colOff>
      <xdr:row>4</xdr:row>
      <xdr:rowOff>22860</xdr:rowOff>
    </xdr:from>
    <xdr:to>
      <xdr:col>16</xdr:col>
      <xdr:colOff>214295</xdr:colOff>
      <xdr:row>33</xdr:row>
      <xdr:rowOff>45720</xdr:rowOff>
    </xdr:to>
    <xdr:cxnSp macro="">
      <xdr:nvCxnSpPr>
        <xdr:cNvPr id="3" name="Connecteur droit 2"/>
        <xdr:cNvCxnSpPr/>
      </xdr:nvCxnSpPr>
      <xdr:spPr>
        <a:xfrm flipV="1">
          <a:off x="12131975" y="1120140"/>
          <a:ext cx="0" cy="5326380"/>
        </a:xfrm>
        <a:prstGeom prst="line">
          <a:avLst/>
        </a:prstGeom>
        <a:ln w="28575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341817</xdr:colOff>
      <xdr:row>4</xdr:row>
      <xdr:rowOff>22860</xdr:rowOff>
    </xdr:from>
    <xdr:to>
      <xdr:col>20</xdr:col>
      <xdr:colOff>341817</xdr:colOff>
      <xdr:row>33</xdr:row>
      <xdr:rowOff>53340</xdr:rowOff>
    </xdr:to>
    <xdr:cxnSp macro="">
      <xdr:nvCxnSpPr>
        <xdr:cNvPr id="4" name="Connecteur droit 3"/>
        <xdr:cNvCxnSpPr/>
      </xdr:nvCxnSpPr>
      <xdr:spPr>
        <a:xfrm flipV="1">
          <a:off x="15429417" y="1120140"/>
          <a:ext cx="0" cy="5334000"/>
        </a:xfrm>
        <a:prstGeom prst="line">
          <a:avLst/>
        </a:prstGeom>
        <a:ln w="28575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31415</xdr:colOff>
      <xdr:row>4</xdr:row>
      <xdr:rowOff>38100</xdr:rowOff>
    </xdr:from>
    <xdr:to>
      <xdr:col>14</xdr:col>
      <xdr:colOff>31415</xdr:colOff>
      <xdr:row>33</xdr:row>
      <xdr:rowOff>60960</xdr:rowOff>
    </xdr:to>
    <xdr:cxnSp macro="">
      <xdr:nvCxnSpPr>
        <xdr:cNvPr id="15" name="Connecteur droit 14"/>
        <xdr:cNvCxnSpPr/>
      </xdr:nvCxnSpPr>
      <xdr:spPr>
        <a:xfrm flipV="1">
          <a:off x="10364135" y="1135380"/>
          <a:ext cx="0" cy="532638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1</cdr:x>
      <cdr:y>0.16994</cdr:y>
    </cdr:from>
    <cdr:to>
      <cdr:x>1</cdr:x>
      <cdr:y>0.93304</cdr:y>
    </cdr:to>
    <cdr:cxnSp macro="">
      <cdr:nvCxnSpPr>
        <cdr:cNvPr id="2" name="Connecteur droit 1"/>
        <cdr:cNvCxnSpPr/>
      </cdr:nvCxnSpPr>
      <cdr:spPr>
        <a:xfrm xmlns:a="http://schemas.openxmlformats.org/drawingml/2006/main" flipV="1">
          <a:off x="11870355" y="1186180"/>
          <a:ext cx="0" cy="532638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F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403860</xdr:colOff>
      <xdr:row>1</xdr:row>
      <xdr:rowOff>53340</xdr:rowOff>
    </xdr:from>
    <xdr:to>
      <xdr:col>28</xdr:col>
      <xdr:colOff>76200</xdr:colOff>
      <xdr:row>39</xdr:row>
      <xdr:rowOff>83820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38016BD0-0162-4C01-ADE6-0730296ED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473375</xdr:colOff>
      <xdr:row>3</xdr:row>
      <xdr:rowOff>152400</xdr:rowOff>
    </xdr:from>
    <xdr:to>
      <xdr:col>17</xdr:col>
      <xdr:colOff>473375</xdr:colOff>
      <xdr:row>34</xdr:row>
      <xdr:rowOff>60960</xdr:rowOff>
    </xdr:to>
    <xdr:cxnSp macro="">
      <xdr:nvCxnSpPr>
        <xdr:cNvPr id="3" name="Connecteur droit 2"/>
        <xdr:cNvCxnSpPr/>
      </xdr:nvCxnSpPr>
      <xdr:spPr>
        <a:xfrm flipV="1">
          <a:off x="12932075" y="1066800"/>
          <a:ext cx="0" cy="5577840"/>
        </a:xfrm>
        <a:prstGeom prst="line">
          <a:avLst/>
        </a:prstGeom>
        <a:ln w="28575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44637</xdr:colOff>
      <xdr:row>3</xdr:row>
      <xdr:rowOff>106680</xdr:rowOff>
    </xdr:from>
    <xdr:to>
      <xdr:col>22</xdr:col>
      <xdr:colOff>44637</xdr:colOff>
      <xdr:row>34</xdr:row>
      <xdr:rowOff>53340</xdr:rowOff>
    </xdr:to>
    <xdr:cxnSp macro="">
      <xdr:nvCxnSpPr>
        <xdr:cNvPr id="4" name="Connecteur droit 3"/>
        <xdr:cNvCxnSpPr/>
      </xdr:nvCxnSpPr>
      <xdr:spPr>
        <a:xfrm flipV="1">
          <a:off x="16465737" y="1021080"/>
          <a:ext cx="0" cy="5615940"/>
        </a:xfrm>
        <a:prstGeom prst="line">
          <a:avLst/>
        </a:prstGeom>
        <a:ln w="28575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183815</xdr:colOff>
      <xdr:row>3</xdr:row>
      <xdr:rowOff>121920</xdr:rowOff>
    </xdr:from>
    <xdr:to>
      <xdr:col>15</xdr:col>
      <xdr:colOff>183815</xdr:colOff>
      <xdr:row>34</xdr:row>
      <xdr:rowOff>60960</xdr:rowOff>
    </xdr:to>
    <xdr:cxnSp macro="">
      <xdr:nvCxnSpPr>
        <xdr:cNvPr id="5" name="Connecteur droit 4"/>
        <xdr:cNvCxnSpPr/>
      </xdr:nvCxnSpPr>
      <xdr:spPr>
        <a:xfrm flipV="1">
          <a:off x="11057555" y="1036320"/>
          <a:ext cx="0" cy="56083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0.2539</cdr:x>
      <cdr:y>0.06372</cdr:y>
    </cdr:from>
    <cdr:to>
      <cdr:x>0.25447</cdr:x>
      <cdr:y>0.86746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2733790" y="444738"/>
          <a:ext cx="6137" cy="5610041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0.58223</cdr:x>
      <cdr:y>0.05878</cdr:y>
    </cdr:from>
    <cdr:to>
      <cdr:x>0.58223</cdr:x>
      <cdr:y>0.86504</cdr:y>
    </cdr:to>
    <cdr:cxnSp macro="">
      <cdr:nvCxnSpPr>
        <cdr:cNvPr id="4" name="Connecteur droit 3"/>
        <cdr:cNvCxnSpPr/>
      </cdr:nvCxnSpPr>
      <cdr:spPr>
        <a:xfrm xmlns:a="http://schemas.openxmlformats.org/drawingml/2006/main" flipV="1">
          <a:off x="6268945" y="410268"/>
          <a:ext cx="0" cy="562763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0.20919</cdr:x>
      <cdr:y>0.06044</cdr:y>
    </cdr:from>
    <cdr:to>
      <cdr:x>0.20919</cdr:x>
      <cdr:y>0.86661</cdr:y>
    </cdr:to>
    <cdr:cxnSp macro="">
      <cdr:nvCxnSpPr>
        <cdr:cNvPr id="6" name="Connecteur droit 5"/>
        <cdr:cNvCxnSpPr/>
      </cdr:nvCxnSpPr>
      <cdr:spPr>
        <a:xfrm xmlns:a="http://schemas.openxmlformats.org/drawingml/2006/main" flipV="1">
          <a:off x="2252343" y="421878"/>
          <a:ext cx="0" cy="562700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0.5376</cdr:x>
      <cdr:y>0.06051</cdr:y>
    </cdr:from>
    <cdr:to>
      <cdr:x>0.5376</cdr:x>
      <cdr:y>0.86333</cdr:y>
    </cdr:to>
    <cdr:cxnSp macro="">
      <cdr:nvCxnSpPr>
        <cdr:cNvPr id="7" name="Connecteur droit 6"/>
        <cdr:cNvCxnSpPr/>
      </cdr:nvCxnSpPr>
      <cdr:spPr>
        <a:xfrm xmlns:a="http://schemas.openxmlformats.org/drawingml/2006/main" flipV="1">
          <a:off x="5558967" y="439874"/>
          <a:ext cx="0" cy="583608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queryTables/queryTable1.xml><?xml version="1.0" encoding="utf-8"?>
<queryTable xmlns="http://schemas.openxmlformats.org/spreadsheetml/2006/main" name="DonnéesExternes_1" connectionId="3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N" tableColumnId="11"/>
      <queryTableField id="2" name=" ID" tableColumnId="12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2.xml><?xml version="1.0" encoding="utf-8"?>
<queryTable xmlns="http://schemas.openxmlformats.org/spreadsheetml/2006/main" name="DonnéesExternes_1" connectionId="2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N" tableColumnId="11"/>
      <queryTableField id="2" name=" ID" tableColumnId="12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3.xml><?xml version="1.0" encoding="utf-8"?>
<queryTable xmlns="http://schemas.openxmlformats.org/spreadsheetml/2006/main" name="DonnéesExternes_1" connectionId="4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N" tableColumnId="11"/>
      <queryTableField id="2" name=" ID" tableColumnId="12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4.xml><?xml version="1.0" encoding="utf-8"?>
<queryTable xmlns="http://schemas.openxmlformats.org/spreadsheetml/2006/main" name="DonnéesExternes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N" tableColumnId="11"/>
      <queryTableField id="2" name=" ID" tableColumnId="12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2" name="_322125371956_22_05_25" displayName="_322125371956_22_05_25" ref="A1:E14" tableType="queryTable" totalsRowShown="0">
  <autoFilter ref="A1:E14"/>
  <tableColumns count="5">
    <tableColumn id="11" uniqueName="11" name="N" queryTableFieldId="1" dataDxfId="13"/>
    <tableColumn id="12" uniqueName="12" name=" ID" queryTableFieldId="2" dataDxfId="12"/>
    <tableColumn id="13" uniqueName="13" name=" TAG" queryTableFieldId="3" dataDxfId="11"/>
    <tableColumn id="14" uniqueName="14" name=" DATE (dd_mm_yyyy)" queryTableFieldId="4" dataDxfId="10"/>
    <tableColumn id="15" uniqueName="15" name=" TIME" queryTableFieldId="5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_322125367847_22_05_25" displayName="_322125367847_22_05_25" ref="A1:E179" tableType="queryTable" totalsRowShown="0">
  <autoFilter ref="A1:E179"/>
  <tableColumns count="5">
    <tableColumn id="11" uniqueName="11" name="N" queryTableFieldId="1"/>
    <tableColumn id="12" uniqueName="12" name=" ID" queryTableFieldId="2"/>
    <tableColumn id="13" uniqueName="13" name=" TAG" queryTableFieldId="3" dataDxfId="8"/>
    <tableColumn id="14" uniqueName="14" name=" DATE (dd_mm_yyyy)" queryTableFieldId="4" dataDxfId="7"/>
    <tableColumn id="15" uniqueName="15" name=" TIM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322125376288_22_05_25" displayName="_322125376288_22_05_25" ref="A1:E35" tableType="queryTable" totalsRowShown="0">
  <autoFilter ref="A1:E35"/>
  <tableColumns count="5">
    <tableColumn id="11" uniqueName="11" name="N" queryTableFieldId="1" dataDxfId="6"/>
    <tableColumn id="12" uniqueName="12" name=" ID" queryTableFieldId="2" dataDxfId="5"/>
    <tableColumn id="13" uniqueName="13" name=" TAG" queryTableFieldId="3" dataDxfId="4"/>
    <tableColumn id="14" uniqueName="14" name=" DATE (dd_mm_yyyy)" queryTableFieldId="4" dataDxfId="3"/>
    <tableColumn id="15" uniqueName="15" name=" TIME" queryTableFieldId="5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5" name="_322125367847_24_05_25" displayName="_322125367847_24_05_25" ref="A1:E231" tableType="queryTable" totalsRowShown="0">
  <autoFilter ref="A1:E231"/>
  <tableColumns count="5">
    <tableColumn id="11" uniqueName="11" name="N" queryTableFieldId="1"/>
    <tableColumn id="12" uniqueName="12" name=" ID" queryTableFieldId="2"/>
    <tableColumn id="13" uniqueName="13" name=" TAG" queryTableFieldId="3" dataDxfId="1"/>
    <tableColumn id="14" uniqueName="14" name=" DATE (dd_mm_yyyy)" queryTableFieldId="4" dataDxfId="0"/>
    <tableColumn id="15" uniqueName="15" name=" TIM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A2" sqref="A2:XFD14"/>
    </sheetView>
  </sheetViews>
  <sheetFormatPr defaultColWidth="10.90625" defaultRowHeight="14.5" x14ac:dyDescent="0.35"/>
  <cols>
    <col min="1" max="1" width="4.54296875" bestFit="1" customWidth="1"/>
    <col min="2" max="2" width="15.453125" bestFit="1" customWidth="1"/>
    <col min="3" max="3" width="17" style="3" customWidth="1"/>
    <col min="4" max="4" width="21.54296875" bestFit="1" customWidth="1"/>
    <col min="5" max="5" width="8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6</v>
      </c>
      <c r="C2" s="3">
        <v>101</v>
      </c>
      <c r="D2" s="2">
        <v>45795.517314814817</v>
      </c>
      <c r="E2" s="1">
        <v>0</v>
      </c>
    </row>
    <row r="3" spans="1:5" x14ac:dyDescent="0.3">
      <c r="A3" s="1">
        <v>2</v>
      </c>
      <c r="B3" s="1" t="s">
        <v>6</v>
      </c>
      <c r="C3" s="3">
        <v>101</v>
      </c>
      <c r="D3" s="2">
        <v>45795.517337962963</v>
      </c>
      <c r="E3" s="1">
        <v>0</v>
      </c>
    </row>
    <row r="4" spans="1:5" x14ac:dyDescent="0.3">
      <c r="A4" s="1">
        <v>3</v>
      </c>
      <c r="B4" s="1" t="s">
        <v>6</v>
      </c>
      <c r="C4" s="3">
        <v>101</v>
      </c>
      <c r="D4" s="2">
        <v>45795.51734953704</v>
      </c>
      <c r="E4" s="1">
        <v>0</v>
      </c>
    </row>
    <row r="5" spans="1:5" x14ac:dyDescent="0.3">
      <c r="A5" s="1">
        <v>4</v>
      </c>
      <c r="B5" s="1" t="s">
        <v>6</v>
      </c>
      <c r="C5" s="3">
        <v>200001616855</v>
      </c>
      <c r="D5" s="2">
        <v>45795.517372685186</v>
      </c>
      <c r="E5" s="1">
        <v>0</v>
      </c>
    </row>
    <row r="6" spans="1:5" x14ac:dyDescent="0.3">
      <c r="A6" s="1">
        <v>5</v>
      </c>
      <c r="B6" s="1" t="s">
        <v>6</v>
      </c>
      <c r="C6" s="3">
        <v>200001616855</v>
      </c>
      <c r="D6" s="2">
        <v>45795.517384259256</v>
      </c>
      <c r="E6" s="1">
        <v>1</v>
      </c>
    </row>
    <row r="7" spans="1:5" x14ac:dyDescent="0.3">
      <c r="A7" s="1">
        <v>6</v>
      </c>
      <c r="B7" s="1" t="s">
        <v>6</v>
      </c>
      <c r="C7" s="3">
        <v>200001616855</v>
      </c>
      <c r="D7" s="2">
        <v>45795.517395833333</v>
      </c>
      <c r="E7" s="1">
        <v>1</v>
      </c>
    </row>
    <row r="8" spans="1:5" x14ac:dyDescent="0.3">
      <c r="A8" s="1">
        <v>7</v>
      </c>
      <c r="B8" s="1" t="s">
        <v>6</v>
      </c>
      <c r="C8" s="3">
        <v>200001616855</v>
      </c>
      <c r="D8" s="2">
        <v>45795.517442129632</v>
      </c>
      <c r="E8" s="1">
        <v>0</v>
      </c>
    </row>
    <row r="9" spans="1:5" x14ac:dyDescent="0.3">
      <c r="A9" s="1">
        <v>8</v>
      </c>
      <c r="B9" s="1" t="s">
        <v>6</v>
      </c>
      <c r="C9" s="3">
        <v>101</v>
      </c>
      <c r="D9" s="2">
        <v>45795.517453703702</v>
      </c>
      <c r="E9" s="1">
        <v>0</v>
      </c>
    </row>
    <row r="10" spans="1:5" x14ac:dyDescent="0.3">
      <c r="A10" s="1">
        <v>9</v>
      </c>
      <c r="B10" s="1" t="s">
        <v>6</v>
      </c>
      <c r="C10" s="3">
        <v>101</v>
      </c>
      <c r="D10" s="2">
        <v>45795.517465277779</v>
      </c>
      <c r="E10" s="1">
        <v>1</v>
      </c>
    </row>
    <row r="11" spans="1:5" x14ac:dyDescent="0.3">
      <c r="A11" s="1">
        <v>10</v>
      </c>
      <c r="B11" s="1" t="s">
        <v>6</v>
      </c>
      <c r="C11" s="3">
        <v>101</v>
      </c>
      <c r="D11" s="2">
        <v>45795.517488425925</v>
      </c>
      <c r="E11" s="1">
        <v>0</v>
      </c>
    </row>
    <row r="12" spans="1:5" x14ac:dyDescent="0.3">
      <c r="A12" s="1">
        <v>11</v>
      </c>
      <c r="B12" s="1" t="s">
        <v>6</v>
      </c>
      <c r="C12" s="3">
        <v>101</v>
      </c>
      <c r="D12" s="2">
        <v>45796.502384259256</v>
      </c>
      <c r="E12" s="1">
        <v>1</v>
      </c>
    </row>
    <row r="13" spans="1:5" x14ac:dyDescent="0.3">
      <c r="A13" s="1">
        <v>12</v>
      </c>
      <c r="B13" s="1" t="s">
        <v>6</v>
      </c>
      <c r="C13" s="3">
        <v>101</v>
      </c>
      <c r="D13" s="2">
        <v>45796.50240740741</v>
      </c>
      <c r="E13" s="1">
        <v>0</v>
      </c>
    </row>
    <row r="14" spans="1:5" x14ac:dyDescent="0.3">
      <c r="A14" s="1">
        <v>13</v>
      </c>
      <c r="B14" s="1" t="s">
        <v>6</v>
      </c>
      <c r="C14" s="3">
        <v>200025888982</v>
      </c>
      <c r="D14" s="2">
        <v>45797.813101851854</v>
      </c>
      <c r="E14" s="1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1"/>
  <sheetViews>
    <sheetView workbookViewId="0">
      <selection activeCell="A197" sqref="A197:XFD231"/>
    </sheetView>
  </sheetViews>
  <sheetFormatPr defaultColWidth="10.90625" defaultRowHeight="14.5" x14ac:dyDescent="0.35"/>
  <cols>
    <col min="1" max="1" width="4.54296875" bestFit="1" customWidth="1"/>
    <col min="2" max="2" width="15.453125" bestFit="1" customWidth="1"/>
    <col min="3" max="3" width="17.90625" style="4" customWidth="1"/>
    <col min="4" max="4" width="21.54296875" bestFit="1" customWidth="1"/>
    <col min="5" max="5" width="8" bestFit="1" customWidth="1"/>
  </cols>
  <sheetData>
    <row r="1" spans="1:5" ht="14.4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ht="14.4" x14ac:dyDescent="0.3">
      <c r="A2" s="1">
        <v>1</v>
      </c>
      <c r="B2" s="1" t="s">
        <v>5</v>
      </c>
      <c r="C2" s="4">
        <v>101</v>
      </c>
      <c r="D2" s="2">
        <v>45771.704201388886</v>
      </c>
      <c r="E2" s="1">
        <v>0</v>
      </c>
    </row>
    <row r="3" spans="1:5" ht="14.4" x14ac:dyDescent="0.3">
      <c r="A3" s="1">
        <v>2</v>
      </c>
      <c r="B3" s="1" t="s">
        <v>5</v>
      </c>
      <c r="C3" s="4">
        <v>101</v>
      </c>
      <c r="D3" s="2">
        <v>45771.704212962963</v>
      </c>
      <c r="E3" s="1">
        <v>1</v>
      </c>
    </row>
    <row r="4" spans="1:5" ht="14.4" x14ac:dyDescent="0.3">
      <c r="A4" s="1">
        <v>3</v>
      </c>
      <c r="B4" s="1" t="s">
        <v>5</v>
      </c>
      <c r="C4" s="4">
        <v>101</v>
      </c>
      <c r="D4" s="2">
        <v>45771.704236111109</v>
      </c>
      <c r="E4" s="1">
        <v>0</v>
      </c>
    </row>
    <row r="5" spans="1:5" ht="14.4" x14ac:dyDescent="0.3">
      <c r="A5" s="1">
        <v>4</v>
      </c>
      <c r="B5" s="1" t="s">
        <v>5</v>
      </c>
      <c r="C5" s="4">
        <v>200001616855</v>
      </c>
      <c r="D5" s="2">
        <v>45771.704270833332</v>
      </c>
      <c r="E5" s="1">
        <v>0</v>
      </c>
    </row>
    <row r="6" spans="1:5" ht="14.4" x14ac:dyDescent="0.3">
      <c r="A6" s="1">
        <v>5</v>
      </c>
      <c r="B6" s="1" t="s">
        <v>5</v>
      </c>
      <c r="C6" s="4">
        <v>200001616855</v>
      </c>
      <c r="D6" s="2">
        <v>45771.704282407409</v>
      </c>
      <c r="E6" s="1">
        <v>1</v>
      </c>
    </row>
    <row r="7" spans="1:5" ht="14.4" x14ac:dyDescent="0.3">
      <c r="A7" s="1">
        <v>6</v>
      </c>
      <c r="B7" s="1" t="s">
        <v>5</v>
      </c>
      <c r="C7" s="4">
        <v>200001616855</v>
      </c>
      <c r="D7" s="2">
        <v>45771.704305555555</v>
      </c>
      <c r="E7" s="1">
        <v>0</v>
      </c>
    </row>
    <row r="8" spans="1:5" ht="14.4" x14ac:dyDescent="0.3">
      <c r="A8" s="1">
        <v>7</v>
      </c>
      <c r="B8" s="1" t="s">
        <v>5</v>
      </c>
      <c r="C8" s="4">
        <v>200001616855</v>
      </c>
      <c r="D8" s="2">
        <v>45771.704317129632</v>
      </c>
      <c r="E8" s="1">
        <v>0</v>
      </c>
    </row>
    <row r="9" spans="1:5" ht="14.4" x14ac:dyDescent="0.3">
      <c r="A9" s="1">
        <v>8</v>
      </c>
      <c r="B9" s="1" t="s">
        <v>5</v>
      </c>
      <c r="C9" s="4">
        <v>101</v>
      </c>
      <c r="D9" s="2">
        <v>45771.704340277778</v>
      </c>
      <c r="E9" s="1">
        <v>0</v>
      </c>
    </row>
    <row r="10" spans="1:5" ht="14.4" x14ac:dyDescent="0.3">
      <c r="A10" s="1">
        <v>9</v>
      </c>
      <c r="B10" s="1" t="s">
        <v>5</v>
      </c>
      <c r="C10" s="4">
        <v>101</v>
      </c>
      <c r="D10" s="2">
        <v>45771.704351851855</v>
      </c>
      <c r="E10" s="1">
        <v>0</v>
      </c>
    </row>
    <row r="11" spans="1:5" ht="14.4" x14ac:dyDescent="0.3">
      <c r="A11" s="1">
        <v>10</v>
      </c>
      <c r="B11" s="1" t="s">
        <v>5</v>
      </c>
      <c r="C11" s="4">
        <v>101</v>
      </c>
      <c r="D11" s="2">
        <v>45771.704363425924</v>
      </c>
      <c r="E11" s="1">
        <v>0</v>
      </c>
    </row>
    <row r="12" spans="1:5" ht="14.4" x14ac:dyDescent="0.3">
      <c r="A12" s="1">
        <v>11</v>
      </c>
      <c r="B12" s="1" t="s">
        <v>5</v>
      </c>
      <c r="C12" s="4">
        <v>101</v>
      </c>
      <c r="D12" s="2">
        <v>45772.72315972222</v>
      </c>
      <c r="E12" s="1">
        <v>1</v>
      </c>
    </row>
    <row r="13" spans="1:5" ht="14.4" x14ac:dyDescent="0.3">
      <c r="A13" s="1">
        <v>12</v>
      </c>
      <c r="B13" s="1" t="s">
        <v>5</v>
      </c>
      <c r="C13" s="4">
        <v>101</v>
      </c>
      <c r="D13" s="2">
        <v>45772.723182870373</v>
      </c>
      <c r="E13" s="1">
        <v>0</v>
      </c>
    </row>
    <row r="14" spans="1:5" ht="14.4" x14ac:dyDescent="0.3">
      <c r="A14" s="1">
        <v>13</v>
      </c>
      <c r="B14" s="1" t="s">
        <v>5</v>
      </c>
      <c r="C14" s="4">
        <v>101</v>
      </c>
      <c r="D14" s="2">
        <v>45772.723194444443</v>
      </c>
      <c r="E14" s="1">
        <v>0</v>
      </c>
    </row>
    <row r="15" spans="1:5" ht="14.4" x14ac:dyDescent="0.3">
      <c r="A15" s="1">
        <v>14</v>
      </c>
      <c r="B15" s="1" t="s">
        <v>5</v>
      </c>
      <c r="C15" s="4">
        <v>200001616855</v>
      </c>
      <c r="D15" s="2">
        <v>45772.723217592589</v>
      </c>
      <c r="E15" s="1">
        <v>1</v>
      </c>
    </row>
    <row r="16" spans="1:5" ht="14.4" x14ac:dyDescent="0.3">
      <c r="A16" s="1">
        <v>15</v>
      </c>
      <c r="B16" s="1" t="s">
        <v>5</v>
      </c>
      <c r="C16" s="4">
        <v>200001616855</v>
      </c>
      <c r="D16" s="2">
        <v>45772.723240740743</v>
      </c>
      <c r="E16" s="1">
        <v>1</v>
      </c>
    </row>
    <row r="17" spans="1:5" ht="14.4" x14ac:dyDescent="0.3">
      <c r="A17" s="1">
        <v>16</v>
      </c>
      <c r="B17" s="1" t="s">
        <v>5</v>
      </c>
      <c r="C17" s="4">
        <v>200001616855</v>
      </c>
      <c r="D17" s="2">
        <v>45772.723263888889</v>
      </c>
      <c r="E17" s="1">
        <v>0</v>
      </c>
    </row>
    <row r="18" spans="1:5" ht="14.4" x14ac:dyDescent="0.3">
      <c r="A18" s="1">
        <v>17</v>
      </c>
      <c r="B18" s="1" t="s">
        <v>5</v>
      </c>
      <c r="C18" s="4">
        <v>200001616855</v>
      </c>
      <c r="D18" s="2">
        <v>45772.723287037035</v>
      </c>
      <c r="E18" s="1">
        <v>0</v>
      </c>
    </row>
    <row r="19" spans="1:5" ht="14.4" x14ac:dyDescent="0.3">
      <c r="A19" s="1">
        <v>18</v>
      </c>
      <c r="B19" s="1" t="s">
        <v>5</v>
      </c>
      <c r="C19" s="4">
        <v>101</v>
      </c>
      <c r="D19" s="2">
        <v>45772.723645833335</v>
      </c>
      <c r="E19" s="1">
        <v>1</v>
      </c>
    </row>
    <row r="20" spans="1:5" ht="14.4" x14ac:dyDescent="0.3">
      <c r="A20" s="1">
        <v>19</v>
      </c>
      <c r="B20" s="1" t="s">
        <v>5</v>
      </c>
      <c r="C20" s="4">
        <v>101</v>
      </c>
      <c r="D20" s="2">
        <v>45772.723668981482</v>
      </c>
      <c r="E20" s="1">
        <v>0</v>
      </c>
    </row>
    <row r="21" spans="1:5" ht="14.4" x14ac:dyDescent="0.3">
      <c r="A21" s="1">
        <v>20</v>
      </c>
      <c r="B21" s="1" t="s">
        <v>5</v>
      </c>
      <c r="C21" s="4">
        <v>101</v>
      </c>
      <c r="D21" s="2">
        <v>45772.723680555559</v>
      </c>
      <c r="E21" s="1">
        <v>1</v>
      </c>
    </row>
    <row r="22" spans="1:5" ht="14.4" x14ac:dyDescent="0.3">
      <c r="A22" s="1">
        <v>21</v>
      </c>
      <c r="B22" s="1" t="s">
        <v>5</v>
      </c>
      <c r="C22" s="4">
        <v>101</v>
      </c>
      <c r="D22" s="2">
        <v>45795.519583333335</v>
      </c>
      <c r="E22" s="1">
        <v>0</v>
      </c>
    </row>
    <row r="23" spans="1:5" x14ac:dyDescent="0.35">
      <c r="A23" s="1">
        <v>22</v>
      </c>
      <c r="B23" s="1" t="s">
        <v>5</v>
      </c>
      <c r="C23" s="4">
        <v>101</v>
      </c>
      <c r="D23" s="2">
        <v>45795.519606481481</v>
      </c>
      <c r="E23" s="1">
        <v>1</v>
      </c>
    </row>
    <row r="24" spans="1:5" x14ac:dyDescent="0.35">
      <c r="A24" s="1">
        <v>23</v>
      </c>
      <c r="B24" s="1" t="s">
        <v>5</v>
      </c>
      <c r="C24" s="4">
        <v>101</v>
      </c>
      <c r="D24" s="2">
        <v>45795.519629629627</v>
      </c>
      <c r="E24" s="1">
        <v>0</v>
      </c>
    </row>
    <row r="25" spans="1:5" x14ac:dyDescent="0.35">
      <c r="A25" s="1">
        <v>24</v>
      </c>
      <c r="B25" s="1" t="s">
        <v>5</v>
      </c>
      <c r="C25" s="4">
        <v>200001616855</v>
      </c>
      <c r="D25" s="2">
        <v>45795.519641203704</v>
      </c>
      <c r="E25" s="1">
        <v>1</v>
      </c>
    </row>
    <row r="26" spans="1:5" x14ac:dyDescent="0.35">
      <c r="A26" s="1">
        <v>25</v>
      </c>
      <c r="B26" s="1" t="s">
        <v>5</v>
      </c>
      <c r="C26" s="4">
        <v>200001616855</v>
      </c>
      <c r="D26" s="2">
        <v>45795.519675925927</v>
      </c>
      <c r="E26" s="1">
        <v>0</v>
      </c>
    </row>
    <row r="27" spans="1:5" x14ac:dyDescent="0.35">
      <c r="A27" s="1">
        <v>26</v>
      </c>
      <c r="B27" s="1" t="s">
        <v>5</v>
      </c>
      <c r="C27" s="4">
        <v>200001616855</v>
      </c>
      <c r="D27" s="2">
        <v>45795.519687499997</v>
      </c>
      <c r="E27" s="1">
        <v>0</v>
      </c>
    </row>
    <row r="28" spans="1:5" x14ac:dyDescent="0.35">
      <c r="A28" s="1">
        <v>27</v>
      </c>
      <c r="B28" s="1" t="s">
        <v>5</v>
      </c>
      <c r="C28" s="4">
        <v>200001616855</v>
      </c>
      <c r="D28" s="2">
        <v>45795.519699074073</v>
      </c>
      <c r="E28" s="1">
        <v>1</v>
      </c>
    </row>
    <row r="29" spans="1:5" x14ac:dyDescent="0.35">
      <c r="A29" s="1">
        <v>28</v>
      </c>
      <c r="B29" s="1" t="s">
        <v>5</v>
      </c>
      <c r="C29" s="4">
        <v>101</v>
      </c>
      <c r="D29" s="2">
        <v>45795.51972222222</v>
      </c>
      <c r="E29" s="1">
        <v>0</v>
      </c>
    </row>
    <row r="30" spans="1:5" x14ac:dyDescent="0.35">
      <c r="A30" s="1">
        <v>29</v>
      </c>
      <c r="B30" s="1" t="s">
        <v>5</v>
      </c>
      <c r="C30" s="4">
        <v>101</v>
      </c>
      <c r="D30" s="2">
        <v>45795.519733796296</v>
      </c>
      <c r="E30" s="1">
        <v>0</v>
      </c>
    </row>
    <row r="31" spans="1:5" x14ac:dyDescent="0.35">
      <c r="A31" s="1">
        <v>30</v>
      </c>
      <c r="B31" s="1" t="s">
        <v>5</v>
      </c>
      <c r="C31" s="4">
        <v>101</v>
      </c>
      <c r="D31" s="2">
        <v>45795.519745370373</v>
      </c>
      <c r="E31" s="1">
        <v>0</v>
      </c>
    </row>
    <row r="32" spans="1:5" x14ac:dyDescent="0.35">
      <c r="A32" s="1">
        <v>31</v>
      </c>
      <c r="B32" s="1" t="s">
        <v>5</v>
      </c>
      <c r="C32" s="4">
        <v>101</v>
      </c>
      <c r="D32" s="2">
        <v>45796.499594907407</v>
      </c>
      <c r="E32" s="1">
        <v>1</v>
      </c>
    </row>
    <row r="33" spans="1:5" x14ac:dyDescent="0.35">
      <c r="A33" s="1">
        <v>32</v>
      </c>
      <c r="B33" s="1" t="s">
        <v>5</v>
      </c>
      <c r="C33" s="4">
        <v>101</v>
      </c>
      <c r="D33" s="2">
        <v>45796.499606481484</v>
      </c>
      <c r="E33" s="1">
        <v>1</v>
      </c>
    </row>
    <row r="34" spans="1:5" x14ac:dyDescent="0.35">
      <c r="A34" s="1">
        <v>33</v>
      </c>
      <c r="B34" s="1" t="s">
        <v>5</v>
      </c>
      <c r="C34" s="4">
        <v>200025888173</v>
      </c>
      <c r="D34" s="2">
        <v>45798.247002314813</v>
      </c>
      <c r="E34" s="1">
        <v>0</v>
      </c>
    </row>
    <row r="35" spans="1:5" x14ac:dyDescent="0.35">
      <c r="A35" s="1">
        <v>34</v>
      </c>
      <c r="B35" s="1" t="s">
        <v>5</v>
      </c>
      <c r="C35" s="4">
        <v>200025888173</v>
      </c>
      <c r="D35" s="2">
        <v>45798.247013888889</v>
      </c>
      <c r="E35" s="1">
        <v>0</v>
      </c>
    </row>
    <row r="36" spans="1:5" x14ac:dyDescent="0.35">
      <c r="A36" s="1">
        <v>35</v>
      </c>
      <c r="B36" s="1" t="s">
        <v>5</v>
      </c>
      <c r="C36" s="4">
        <v>200025888173</v>
      </c>
      <c r="D36" s="2">
        <v>45798.27275462963</v>
      </c>
      <c r="E36" s="1">
        <v>0</v>
      </c>
    </row>
    <row r="37" spans="1:5" x14ac:dyDescent="0.35">
      <c r="A37" s="1">
        <v>36</v>
      </c>
      <c r="B37" s="1" t="s">
        <v>5</v>
      </c>
      <c r="C37" s="4">
        <v>200025888173</v>
      </c>
      <c r="D37" s="2">
        <v>45798.302256944444</v>
      </c>
      <c r="E37" s="1">
        <v>0</v>
      </c>
    </row>
    <row r="38" spans="1:5" x14ac:dyDescent="0.35">
      <c r="A38" s="1">
        <v>37</v>
      </c>
      <c r="B38" s="1" t="s">
        <v>5</v>
      </c>
      <c r="C38" s="4">
        <v>200025888173</v>
      </c>
      <c r="D38" s="2">
        <v>45798.302268518521</v>
      </c>
      <c r="E38" s="1">
        <v>0</v>
      </c>
    </row>
    <row r="39" spans="1:5" x14ac:dyDescent="0.35">
      <c r="A39" s="1">
        <v>38</v>
      </c>
      <c r="B39" s="1" t="s">
        <v>5</v>
      </c>
      <c r="C39" s="4">
        <v>200025888173</v>
      </c>
      <c r="D39" s="2">
        <v>45798.30228009259</v>
      </c>
      <c r="E39" s="1">
        <v>1</v>
      </c>
    </row>
    <row r="40" spans="1:5" x14ac:dyDescent="0.35">
      <c r="A40" s="1">
        <v>39</v>
      </c>
      <c r="B40" s="1" t="s">
        <v>5</v>
      </c>
      <c r="C40" s="4">
        <v>200025888173</v>
      </c>
      <c r="D40" s="2">
        <v>45798.302534722221</v>
      </c>
      <c r="E40" s="1">
        <v>1</v>
      </c>
    </row>
    <row r="41" spans="1:5" x14ac:dyDescent="0.35">
      <c r="A41" s="1">
        <v>40</v>
      </c>
      <c r="B41" s="1" t="s">
        <v>5</v>
      </c>
      <c r="C41" s="4">
        <v>200025888173</v>
      </c>
      <c r="D41" s="2">
        <v>45798.302546296298</v>
      </c>
      <c r="E41" s="1">
        <v>0</v>
      </c>
    </row>
    <row r="42" spans="1:5" x14ac:dyDescent="0.35">
      <c r="A42" s="1">
        <v>41</v>
      </c>
      <c r="B42" s="1" t="s">
        <v>5</v>
      </c>
      <c r="C42" s="4">
        <v>200025888173</v>
      </c>
      <c r="D42" s="2">
        <v>45798.32234953704</v>
      </c>
      <c r="E42" s="1">
        <v>0</v>
      </c>
    </row>
    <row r="43" spans="1:5" x14ac:dyDescent="0.35">
      <c r="A43" s="1">
        <v>42</v>
      </c>
      <c r="B43" s="1" t="s">
        <v>5</v>
      </c>
      <c r="C43" s="4">
        <v>200025888173</v>
      </c>
      <c r="D43" s="2">
        <v>45798.367731481485</v>
      </c>
      <c r="E43" s="1">
        <v>0</v>
      </c>
    </row>
    <row r="44" spans="1:5" x14ac:dyDescent="0.35">
      <c r="A44" s="1">
        <v>43</v>
      </c>
      <c r="B44" s="1" t="s">
        <v>5</v>
      </c>
      <c r="C44" s="4">
        <v>200025888824</v>
      </c>
      <c r="D44" s="2">
        <v>45798.453252314815</v>
      </c>
      <c r="E44" s="1">
        <v>0</v>
      </c>
    </row>
    <row r="45" spans="1:5" x14ac:dyDescent="0.35">
      <c r="A45" s="1">
        <v>44</v>
      </c>
      <c r="B45" s="1" t="s">
        <v>5</v>
      </c>
      <c r="C45" s="4">
        <v>200025888824</v>
      </c>
      <c r="D45" s="2">
        <v>45798.453263888892</v>
      </c>
      <c r="E45" s="1">
        <v>0</v>
      </c>
    </row>
    <row r="46" spans="1:5" x14ac:dyDescent="0.35">
      <c r="A46" s="1">
        <v>45</v>
      </c>
      <c r="B46" s="1" t="s">
        <v>5</v>
      </c>
      <c r="C46" s="4">
        <v>200025888824</v>
      </c>
      <c r="D46" s="2">
        <v>45798.454606481479</v>
      </c>
      <c r="E46" s="1">
        <v>1</v>
      </c>
    </row>
    <row r="47" spans="1:5" x14ac:dyDescent="0.35">
      <c r="A47" s="1">
        <v>46</v>
      </c>
      <c r="B47" s="1" t="s">
        <v>5</v>
      </c>
      <c r="C47" s="4">
        <v>200025888824</v>
      </c>
      <c r="D47" s="2">
        <v>45798.454618055555</v>
      </c>
      <c r="E47" s="1">
        <v>0</v>
      </c>
    </row>
    <row r="48" spans="1:5" x14ac:dyDescent="0.35">
      <c r="A48" s="1">
        <v>47</v>
      </c>
      <c r="B48" s="1" t="s">
        <v>5</v>
      </c>
      <c r="C48" s="4">
        <v>200025888824</v>
      </c>
      <c r="D48" s="2">
        <v>45798.503449074073</v>
      </c>
      <c r="E48" s="1">
        <v>715</v>
      </c>
    </row>
    <row r="49" spans="1:5" x14ac:dyDescent="0.35">
      <c r="A49" s="1">
        <v>48</v>
      </c>
      <c r="B49" s="1" t="s">
        <v>5</v>
      </c>
      <c r="C49" s="4">
        <v>200025888137</v>
      </c>
      <c r="D49" s="2">
        <v>45798.511724537035</v>
      </c>
      <c r="E49" s="1">
        <v>2</v>
      </c>
    </row>
    <row r="50" spans="1:5" x14ac:dyDescent="0.35">
      <c r="A50" s="1">
        <v>49</v>
      </c>
      <c r="B50" s="1" t="s">
        <v>5</v>
      </c>
      <c r="C50" s="4">
        <v>200025888137</v>
      </c>
      <c r="D50" s="2">
        <v>45798.511944444443</v>
      </c>
      <c r="E50" s="1">
        <v>3</v>
      </c>
    </row>
    <row r="51" spans="1:5" x14ac:dyDescent="0.35">
      <c r="A51" s="1">
        <v>50</v>
      </c>
      <c r="B51" s="1" t="s">
        <v>5</v>
      </c>
      <c r="C51" s="4">
        <v>200025888137</v>
      </c>
      <c r="D51" s="2">
        <v>45798.553657407407</v>
      </c>
      <c r="E51" s="1">
        <v>0</v>
      </c>
    </row>
    <row r="52" spans="1:5" x14ac:dyDescent="0.35">
      <c r="A52" s="1">
        <v>51</v>
      </c>
      <c r="B52" s="1" t="s">
        <v>5</v>
      </c>
      <c r="C52" s="4">
        <v>200025888137</v>
      </c>
      <c r="D52" s="2">
        <v>45798.553668981483</v>
      </c>
      <c r="E52" s="1">
        <v>0</v>
      </c>
    </row>
    <row r="53" spans="1:5" x14ac:dyDescent="0.35">
      <c r="A53" s="1">
        <v>52</v>
      </c>
      <c r="B53" s="1" t="s">
        <v>5</v>
      </c>
      <c r="C53" s="4">
        <v>200025888137</v>
      </c>
      <c r="D53" s="2">
        <v>45798.55369212963</v>
      </c>
      <c r="E53" s="1">
        <v>0</v>
      </c>
    </row>
    <row r="54" spans="1:5" x14ac:dyDescent="0.35">
      <c r="A54" s="1">
        <v>53</v>
      </c>
      <c r="B54" s="1" t="s">
        <v>5</v>
      </c>
      <c r="C54" s="4">
        <v>200025888137</v>
      </c>
      <c r="D54" s="2">
        <v>45798.589317129627</v>
      </c>
      <c r="E54" s="1">
        <v>1</v>
      </c>
    </row>
    <row r="55" spans="1:5" x14ac:dyDescent="0.35">
      <c r="A55" s="1">
        <v>54</v>
      </c>
      <c r="B55" s="1" t="s">
        <v>5</v>
      </c>
      <c r="C55" s="4">
        <v>200025888137</v>
      </c>
      <c r="D55" s="2">
        <v>45798.589328703703</v>
      </c>
      <c r="E55" s="1">
        <v>1</v>
      </c>
    </row>
    <row r="56" spans="1:5" x14ac:dyDescent="0.35">
      <c r="A56" s="1">
        <v>55</v>
      </c>
      <c r="B56" s="1" t="s">
        <v>5</v>
      </c>
      <c r="C56" s="4">
        <v>200025888137</v>
      </c>
      <c r="D56" s="2">
        <v>45798.60359953704</v>
      </c>
      <c r="E56" s="1">
        <v>1</v>
      </c>
    </row>
    <row r="57" spans="1:5" x14ac:dyDescent="0.35">
      <c r="A57" s="1">
        <v>56</v>
      </c>
      <c r="B57" s="1" t="s">
        <v>5</v>
      </c>
      <c r="C57" s="4">
        <v>200025888137</v>
      </c>
      <c r="D57" s="2">
        <v>45798.60361111111</v>
      </c>
      <c r="E57" s="1">
        <v>1</v>
      </c>
    </row>
    <row r="58" spans="1:5" x14ac:dyDescent="0.35">
      <c r="A58" s="1">
        <v>57</v>
      </c>
      <c r="B58" s="1" t="s">
        <v>5</v>
      </c>
      <c r="C58" s="4">
        <v>200025888137</v>
      </c>
      <c r="D58" s="2">
        <v>45798.603773148148</v>
      </c>
      <c r="E58" s="1">
        <v>1</v>
      </c>
    </row>
    <row r="59" spans="1:5" x14ac:dyDescent="0.35">
      <c r="A59" s="1">
        <v>58</v>
      </c>
      <c r="B59" s="1" t="s">
        <v>5</v>
      </c>
      <c r="C59" s="4">
        <v>200025888137</v>
      </c>
      <c r="D59" s="2">
        <v>45798.604270833333</v>
      </c>
      <c r="E59" s="1">
        <v>0</v>
      </c>
    </row>
    <row r="60" spans="1:5" x14ac:dyDescent="0.35">
      <c r="A60" s="1">
        <v>59</v>
      </c>
      <c r="B60" s="1" t="s">
        <v>5</v>
      </c>
      <c r="C60" s="4">
        <v>200025888137</v>
      </c>
      <c r="D60" s="2">
        <v>45798.604409722226</v>
      </c>
      <c r="E60" s="1">
        <v>0</v>
      </c>
    </row>
    <row r="61" spans="1:5" x14ac:dyDescent="0.35">
      <c r="A61" s="1">
        <v>60</v>
      </c>
      <c r="B61" s="1" t="s">
        <v>5</v>
      </c>
      <c r="C61" s="4">
        <v>200025888137</v>
      </c>
      <c r="D61" s="2">
        <v>45798.604421296295</v>
      </c>
      <c r="E61" s="1">
        <v>1</v>
      </c>
    </row>
    <row r="62" spans="1:5" x14ac:dyDescent="0.35">
      <c r="A62" s="1">
        <v>61</v>
      </c>
      <c r="B62" s="1" t="s">
        <v>5</v>
      </c>
      <c r="C62" s="4">
        <v>200025888137</v>
      </c>
      <c r="D62" s="2">
        <v>45798.605509259258</v>
      </c>
      <c r="E62" s="1">
        <v>1</v>
      </c>
    </row>
    <row r="63" spans="1:5" x14ac:dyDescent="0.35">
      <c r="A63" s="1">
        <v>62</v>
      </c>
      <c r="B63" s="1" t="s">
        <v>5</v>
      </c>
      <c r="C63" s="4">
        <v>200025888137</v>
      </c>
      <c r="D63" s="2">
        <v>45798.605636574073</v>
      </c>
      <c r="E63" s="1">
        <v>0</v>
      </c>
    </row>
    <row r="64" spans="1:5" x14ac:dyDescent="0.35">
      <c r="A64" s="1">
        <v>63</v>
      </c>
      <c r="B64" s="1" t="s">
        <v>5</v>
      </c>
      <c r="C64" s="4">
        <v>200025888137</v>
      </c>
      <c r="D64" s="2">
        <v>45798.60564814815</v>
      </c>
      <c r="E64" s="1">
        <v>12</v>
      </c>
    </row>
    <row r="65" spans="1:5" x14ac:dyDescent="0.35">
      <c r="A65" s="1">
        <v>64</v>
      </c>
      <c r="B65" s="1" t="s">
        <v>5</v>
      </c>
      <c r="C65" s="4">
        <v>200025888137</v>
      </c>
      <c r="D65" s="2">
        <v>45798.606053240743</v>
      </c>
      <c r="E65" s="1">
        <v>1</v>
      </c>
    </row>
    <row r="66" spans="1:5" x14ac:dyDescent="0.35">
      <c r="A66" s="1">
        <v>65</v>
      </c>
      <c r="B66" s="1" t="s">
        <v>5</v>
      </c>
      <c r="C66" s="4">
        <v>200025888654</v>
      </c>
      <c r="D66" s="2">
        <v>45798.654340277775</v>
      </c>
      <c r="E66" s="1">
        <v>0</v>
      </c>
    </row>
    <row r="67" spans="1:5" x14ac:dyDescent="0.35">
      <c r="A67" s="1">
        <v>66</v>
      </c>
      <c r="B67" s="1" t="s">
        <v>5</v>
      </c>
      <c r="C67" s="4">
        <v>200025888654</v>
      </c>
      <c r="D67" s="2">
        <v>45798.654351851852</v>
      </c>
      <c r="E67" s="1">
        <v>0</v>
      </c>
    </row>
    <row r="68" spans="1:5" x14ac:dyDescent="0.35">
      <c r="A68" s="1">
        <v>67</v>
      </c>
      <c r="B68" s="1" t="s">
        <v>5</v>
      </c>
      <c r="C68" s="4">
        <v>200025888654</v>
      </c>
      <c r="D68" s="2">
        <v>45798.654363425929</v>
      </c>
      <c r="E68" s="1">
        <v>31</v>
      </c>
    </row>
    <row r="69" spans="1:5" x14ac:dyDescent="0.35">
      <c r="A69" s="1">
        <v>68</v>
      </c>
      <c r="B69" s="1" t="s">
        <v>5</v>
      </c>
      <c r="C69" s="4">
        <v>200025888654</v>
      </c>
      <c r="D69" s="2">
        <v>45798.655798611115</v>
      </c>
      <c r="E69" s="1">
        <v>1</v>
      </c>
    </row>
    <row r="70" spans="1:5" x14ac:dyDescent="0.35">
      <c r="A70" s="1">
        <v>69</v>
      </c>
      <c r="B70" s="1" t="s">
        <v>5</v>
      </c>
      <c r="C70" s="4">
        <v>200025888654</v>
      </c>
      <c r="D70" s="2">
        <v>45798.655821759261</v>
      </c>
      <c r="E70" s="1">
        <v>1</v>
      </c>
    </row>
    <row r="71" spans="1:5" x14ac:dyDescent="0.35">
      <c r="A71" s="1">
        <v>70</v>
      </c>
      <c r="B71" s="1" t="s">
        <v>5</v>
      </c>
      <c r="C71" s="4">
        <v>200025888654</v>
      </c>
      <c r="D71" s="2">
        <v>45798.655833333331</v>
      </c>
      <c r="E71" s="1">
        <v>0</v>
      </c>
    </row>
    <row r="72" spans="1:5" x14ac:dyDescent="0.35">
      <c r="A72" s="1">
        <v>71</v>
      </c>
      <c r="B72" s="1" t="s">
        <v>5</v>
      </c>
      <c r="C72" s="4">
        <v>200025888654</v>
      </c>
      <c r="D72" s="2">
        <v>45798.655844907407</v>
      </c>
      <c r="E72" s="1">
        <v>0</v>
      </c>
    </row>
    <row r="73" spans="1:5" x14ac:dyDescent="0.35">
      <c r="A73" s="1">
        <v>72</v>
      </c>
      <c r="B73" s="1" t="s">
        <v>5</v>
      </c>
      <c r="C73" s="4">
        <v>200025888654</v>
      </c>
      <c r="D73" s="2">
        <v>45798.655844907407</v>
      </c>
      <c r="E73" s="1">
        <v>1</v>
      </c>
    </row>
    <row r="74" spans="1:5" x14ac:dyDescent="0.35">
      <c r="A74" s="1">
        <v>73</v>
      </c>
      <c r="B74" s="1" t="s">
        <v>5</v>
      </c>
      <c r="C74" s="4">
        <v>200025888654</v>
      </c>
      <c r="D74" s="2">
        <v>45798.6559375</v>
      </c>
      <c r="E74" s="1">
        <v>1</v>
      </c>
    </row>
    <row r="75" spans="1:5" x14ac:dyDescent="0.35">
      <c r="A75" s="1">
        <v>74</v>
      </c>
      <c r="B75" s="1" t="s">
        <v>5</v>
      </c>
      <c r="C75" s="4">
        <v>200025888137</v>
      </c>
      <c r="D75" s="2">
        <v>45798.675671296296</v>
      </c>
      <c r="E75" s="1">
        <v>1</v>
      </c>
    </row>
    <row r="76" spans="1:5" x14ac:dyDescent="0.35">
      <c r="A76" s="1">
        <v>75</v>
      </c>
      <c r="B76" s="1" t="s">
        <v>5</v>
      </c>
      <c r="C76" s="4">
        <v>200025888137</v>
      </c>
      <c r="D76" s="2">
        <v>45798.675682870373</v>
      </c>
      <c r="E76" s="1">
        <v>0</v>
      </c>
    </row>
    <row r="77" spans="1:5" x14ac:dyDescent="0.35">
      <c r="A77" s="1">
        <v>76</v>
      </c>
      <c r="B77" s="1" t="s">
        <v>5</v>
      </c>
      <c r="C77" s="4">
        <v>200025888137</v>
      </c>
      <c r="D77" s="2">
        <v>45798.675682870373</v>
      </c>
      <c r="E77" s="1">
        <v>1</v>
      </c>
    </row>
    <row r="78" spans="1:5" x14ac:dyDescent="0.35">
      <c r="A78" s="1">
        <v>77</v>
      </c>
      <c r="B78" s="1" t="s">
        <v>5</v>
      </c>
      <c r="C78" s="4">
        <v>200025888137</v>
      </c>
      <c r="D78" s="2">
        <v>45798.676307870373</v>
      </c>
      <c r="E78" s="1">
        <v>13</v>
      </c>
    </row>
    <row r="79" spans="1:5" x14ac:dyDescent="0.35">
      <c r="A79" s="1">
        <v>78</v>
      </c>
      <c r="B79" s="1" t="s">
        <v>5</v>
      </c>
      <c r="C79" s="4">
        <v>200025888137</v>
      </c>
      <c r="D79" s="2">
        <v>45798.676979166667</v>
      </c>
      <c r="E79" s="1">
        <v>0</v>
      </c>
    </row>
    <row r="80" spans="1:5" x14ac:dyDescent="0.35">
      <c r="A80" s="1">
        <v>79</v>
      </c>
      <c r="B80" s="1" t="s">
        <v>5</v>
      </c>
      <c r="C80" s="4">
        <v>200025888137</v>
      </c>
      <c r="D80" s="2">
        <v>45798.676990740743</v>
      </c>
      <c r="E80" s="1">
        <v>0</v>
      </c>
    </row>
    <row r="81" spans="1:5" x14ac:dyDescent="0.35">
      <c r="A81" s="1">
        <v>80</v>
      </c>
      <c r="B81" s="1" t="s">
        <v>5</v>
      </c>
      <c r="C81" s="4">
        <v>200025888137</v>
      </c>
      <c r="D81" s="2">
        <v>45798.67759259259</v>
      </c>
      <c r="E81" s="1">
        <v>1</v>
      </c>
    </row>
    <row r="82" spans="1:5" x14ac:dyDescent="0.35">
      <c r="A82" s="1">
        <v>81</v>
      </c>
      <c r="B82" s="1" t="s">
        <v>5</v>
      </c>
      <c r="C82" s="4">
        <v>200025888137</v>
      </c>
      <c r="D82" s="2">
        <v>45798.677743055552</v>
      </c>
      <c r="E82" s="1">
        <v>0</v>
      </c>
    </row>
    <row r="83" spans="1:5" x14ac:dyDescent="0.35">
      <c r="A83" s="1">
        <v>82</v>
      </c>
      <c r="B83" s="1" t="s">
        <v>5</v>
      </c>
      <c r="C83" s="4">
        <v>200025888863</v>
      </c>
      <c r="D83" s="2">
        <v>45798.704502314817</v>
      </c>
      <c r="E83" s="1">
        <v>1</v>
      </c>
    </row>
    <row r="84" spans="1:5" x14ac:dyDescent="0.35">
      <c r="A84" s="1">
        <v>83</v>
      </c>
      <c r="B84" s="1" t="s">
        <v>5</v>
      </c>
      <c r="C84" s="4">
        <v>200025888863</v>
      </c>
      <c r="D84" s="2">
        <v>45798.704872685186</v>
      </c>
      <c r="E84" s="1">
        <v>0</v>
      </c>
    </row>
    <row r="85" spans="1:5" x14ac:dyDescent="0.35">
      <c r="A85" s="1">
        <v>84</v>
      </c>
      <c r="B85" s="1" t="s">
        <v>5</v>
      </c>
      <c r="C85" s="4">
        <v>200025888863</v>
      </c>
      <c r="D85" s="2">
        <v>45798.704872685186</v>
      </c>
      <c r="E85" s="1">
        <v>1</v>
      </c>
    </row>
    <row r="86" spans="1:5" x14ac:dyDescent="0.35">
      <c r="A86" s="1">
        <v>85</v>
      </c>
      <c r="B86" s="1" t="s">
        <v>5</v>
      </c>
      <c r="C86" s="4">
        <v>200025888863</v>
      </c>
      <c r="D86" s="2">
        <v>45798.704884259256</v>
      </c>
      <c r="E86" s="1">
        <v>13</v>
      </c>
    </row>
    <row r="87" spans="1:5" x14ac:dyDescent="0.35">
      <c r="A87" s="1">
        <v>86</v>
      </c>
      <c r="B87" s="1" t="s">
        <v>5</v>
      </c>
      <c r="C87" s="4">
        <v>200025888163</v>
      </c>
      <c r="D87" s="2">
        <v>45798.715636574074</v>
      </c>
      <c r="E87" s="1">
        <v>0</v>
      </c>
    </row>
    <row r="88" spans="1:5" x14ac:dyDescent="0.35">
      <c r="A88" s="1">
        <v>87</v>
      </c>
      <c r="B88" s="1" t="s">
        <v>5</v>
      </c>
      <c r="C88" s="4">
        <v>200025888163</v>
      </c>
      <c r="D88" s="2">
        <v>45798.715636574074</v>
      </c>
      <c r="E88" s="1">
        <v>2</v>
      </c>
    </row>
    <row r="89" spans="1:5" x14ac:dyDescent="0.35">
      <c r="A89" s="1">
        <v>88</v>
      </c>
      <c r="B89" s="1" t="s">
        <v>5</v>
      </c>
      <c r="C89" s="4">
        <v>200025888163</v>
      </c>
      <c r="D89" s="2">
        <v>45798.716134259259</v>
      </c>
      <c r="E89" s="1">
        <v>1</v>
      </c>
    </row>
    <row r="90" spans="1:5" x14ac:dyDescent="0.35">
      <c r="A90" s="1">
        <v>89</v>
      </c>
      <c r="B90" s="1" t="s">
        <v>5</v>
      </c>
      <c r="C90" s="4">
        <v>200025888163</v>
      </c>
      <c r="D90" s="2">
        <v>45798.716157407405</v>
      </c>
      <c r="E90" s="1">
        <v>22</v>
      </c>
    </row>
    <row r="91" spans="1:5" x14ac:dyDescent="0.35">
      <c r="A91" s="1">
        <v>90</v>
      </c>
      <c r="B91" s="1" t="s">
        <v>5</v>
      </c>
      <c r="C91" s="4">
        <v>200025888163</v>
      </c>
      <c r="D91" s="2">
        <v>45798.716412037036</v>
      </c>
      <c r="E91" s="1">
        <v>0</v>
      </c>
    </row>
    <row r="92" spans="1:5" x14ac:dyDescent="0.35">
      <c r="A92" s="1">
        <v>91</v>
      </c>
      <c r="B92" s="1" t="s">
        <v>5</v>
      </c>
      <c r="C92" s="4">
        <v>200025888163</v>
      </c>
      <c r="D92" s="2">
        <v>45798.716423611113</v>
      </c>
      <c r="E92" s="1">
        <v>1</v>
      </c>
    </row>
    <row r="93" spans="1:5" x14ac:dyDescent="0.35">
      <c r="A93" s="1">
        <v>92</v>
      </c>
      <c r="B93" s="1" t="s">
        <v>5</v>
      </c>
      <c r="C93" s="4">
        <v>200025888740</v>
      </c>
      <c r="D93" s="2">
        <v>45798.725243055553</v>
      </c>
      <c r="E93" s="1">
        <v>0</v>
      </c>
    </row>
    <row r="94" spans="1:5" x14ac:dyDescent="0.35">
      <c r="A94" s="1">
        <v>93</v>
      </c>
      <c r="B94" s="1" t="s">
        <v>5</v>
      </c>
      <c r="C94" s="4">
        <v>200025888163</v>
      </c>
      <c r="D94" s="2">
        <v>45798.727210648147</v>
      </c>
      <c r="E94" s="1">
        <v>1</v>
      </c>
    </row>
    <row r="95" spans="1:5" x14ac:dyDescent="0.35">
      <c r="A95" s="1">
        <v>94</v>
      </c>
      <c r="B95" s="1" t="s">
        <v>5</v>
      </c>
      <c r="C95" s="4">
        <v>200025888982</v>
      </c>
      <c r="D95" s="2">
        <v>45798.750671296293</v>
      </c>
      <c r="E95" s="1">
        <v>0</v>
      </c>
    </row>
    <row r="96" spans="1:5" x14ac:dyDescent="0.35">
      <c r="A96" s="1">
        <v>95</v>
      </c>
      <c r="B96" s="1" t="s">
        <v>5</v>
      </c>
      <c r="C96" s="4">
        <v>200025888982</v>
      </c>
      <c r="D96" s="2">
        <v>45798.75068287037</v>
      </c>
      <c r="E96" s="1">
        <v>0</v>
      </c>
    </row>
    <row r="97" spans="1:5" x14ac:dyDescent="0.35">
      <c r="A97" s="1">
        <v>96</v>
      </c>
      <c r="B97" s="1" t="s">
        <v>5</v>
      </c>
      <c r="C97" s="4">
        <v>200025888717</v>
      </c>
      <c r="D97" s="2">
        <v>45798.774699074071</v>
      </c>
      <c r="E97" s="1">
        <v>1</v>
      </c>
    </row>
    <row r="98" spans="1:5" x14ac:dyDescent="0.35">
      <c r="A98" s="1">
        <v>97</v>
      </c>
      <c r="B98" s="1" t="s">
        <v>5</v>
      </c>
      <c r="C98" s="4">
        <v>200025888717</v>
      </c>
      <c r="D98" s="2">
        <v>45798.774722222224</v>
      </c>
      <c r="E98" s="1">
        <v>0</v>
      </c>
    </row>
    <row r="99" spans="1:5" x14ac:dyDescent="0.35">
      <c r="A99" s="1">
        <v>98</v>
      </c>
      <c r="B99" s="1" t="s">
        <v>5</v>
      </c>
      <c r="C99" s="4">
        <v>200025888654</v>
      </c>
      <c r="D99" s="2">
        <v>45798.798437500001</v>
      </c>
      <c r="E99" s="1">
        <v>0</v>
      </c>
    </row>
    <row r="100" spans="1:5" x14ac:dyDescent="0.35">
      <c r="A100" s="1">
        <v>99</v>
      </c>
      <c r="B100" s="1" t="s">
        <v>5</v>
      </c>
      <c r="C100" s="4">
        <v>200025888654</v>
      </c>
      <c r="D100" s="2">
        <v>45798.798564814817</v>
      </c>
      <c r="E100" s="1">
        <v>1</v>
      </c>
    </row>
    <row r="101" spans="1:5" x14ac:dyDescent="0.35">
      <c r="A101" s="1">
        <v>100</v>
      </c>
      <c r="B101" s="1" t="s">
        <v>5</v>
      </c>
      <c r="C101" s="4">
        <v>200025888654</v>
      </c>
      <c r="D101" s="2">
        <v>45798.800173611111</v>
      </c>
      <c r="E101" s="1">
        <v>1</v>
      </c>
    </row>
    <row r="102" spans="1:5" x14ac:dyDescent="0.35">
      <c r="A102" s="1">
        <v>101</v>
      </c>
      <c r="B102" s="1" t="s">
        <v>5</v>
      </c>
      <c r="C102" s="4">
        <v>200025888654</v>
      </c>
      <c r="D102" s="2">
        <v>45798.800381944442</v>
      </c>
      <c r="E102" s="1">
        <v>0</v>
      </c>
    </row>
    <row r="103" spans="1:5" x14ac:dyDescent="0.35">
      <c r="A103" s="1">
        <v>102</v>
      </c>
      <c r="B103" s="1" t="s">
        <v>5</v>
      </c>
      <c r="C103" s="4">
        <v>200025888654</v>
      </c>
      <c r="D103" s="2">
        <v>45798.800381944442</v>
      </c>
      <c r="E103" s="1">
        <v>1</v>
      </c>
    </row>
    <row r="104" spans="1:5" x14ac:dyDescent="0.35">
      <c r="A104" s="1">
        <v>103</v>
      </c>
      <c r="B104" s="1" t="s">
        <v>5</v>
      </c>
      <c r="C104" s="4">
        <v>200025888982</v>
      </c>
      <c r="D104" s="2">
        <v>45798.807500000003</v>
      </c>
      <c r="E104" s="1">
        <v>2</v>
      </c>
    </row>
    <row r="105" spans="1:5" x14ac:dyDescent="0.35">
      <c r="A105" s="1">
        <v>104</v>
      </c>
      <c r="B105" s="1" t="s">
        <v>5</v>
      </c>
      <c r="C105" s="4">
        <v>200025888982</v>
      </c>
      <c r="D105" s="2">
        <v>45798.807650462964</v>
      </c>
      <c r="E105" s="1">
        <v>2</v>
      </c>
    </row>
    <row r="106" spans="1:5" x14ac:dyDescent="0.35">
      <c r="A106" s="1">
        <v>105</v>
      </c>
      <c r="B106" s="1" t="s">
        <v>5</v>
      </c>
      <c r="C106" s="4">
        <v>200025888824</v>
      </c>
      <c r="D106" s="2">
        <v>45798.80878472222</v>
      </c>
      <c r="E106" s="1">
        <v>0</v>
      </c>
    </row>
    <row r="107" spans="1:5" x14ac:dyDescent="0.35">
      <c r="A107" s="1">
        <v>106</v>
      </c>
      <c r="B107" s="1" t="s">
        <v>5</v>
      </c>
      <c r="C107" s="4">
        <v>200025888824</v>
      </c>
      <c r="D107" s="2">
        <v>45798.808796296296</v>
      </c>
      <c r="E107" s="1">
        <v>0</v>
      </c>
    </row>
    <row r="108" spans="1:5" x14ac:dyDescent="0.35">
      <c r="A108" s="1">
        <v>107</v>
      </c>
      <c r="B108" s="1" t="s">
        <v>5</v>
      </c>
      <c r="C108" s="4">
        <v>200025888824</v>
      </c>
      <c r="D108" s="2">
        <v>45798.809374999997</v>
      </c>
      <c r="E108" s="1">
        <v>2</v>
      </c>
    </row>
    <row r="109" spans="1:5" x14ac:dyDescent="0.35">
      <c r="A109" s="1">
        <v>108</v>
      </c>
      <c r="B109" s="1" t="s">
        <v>5</v>
      </c>
      <c r="C109" s="4">
        <v>200025888839</v>
      </c>
      <c r="D109" s="2">
        <v>45798.810324074075</v>
      </c>
      <c r="E109" s="1">
        <v>0</v>
      </c>
    </row>
    <row r="110" spans="1:5" x14ac:dyDescent="0.35">
      <c r="A110" s="1">
        <v>109</v>
      </c>
      <c r="B110" s="1" t="s">
        <v>5</v>
      </c>
      <c r="C110" s="4">
        <v>200025888839</v>
      </c>
      <c r="D110" s="2">
        <v>45798.810324074075</v>
      </c>
      <c r="E110" s="1">
        <v>0</v>
      </c>
    </row>
    <row r="111" spans="1:5" x14ac:dyDescent="0.35">
      <c r="A111" s="1">
        <v>110</v>
      </c>
      <c r="B111" s="1" t="s">
        <v>5</v>
      </c>
      <c r="C111" s="4">
        <v>200025888839</v>
      </c>
      <c r="D111" s="2">
        <v>45798.810335648152</v>
      </c>
      <c r="E111" s="1">
        <v>0</v>
      </c>
    </row>
    <row r="112" spans="1:5" x14ac:dyDescent="0.35">
      <c r="A112" s="1">
        <v>111</v>
      </c>
      <c r="B112" s="1" t="s">
        <v>5</v>
      </c>
      <c r="C112" s="4">
        <v>200025888824</v>
      </c>
      <c r="D112" s="2">
        <v>45798.844988425924</v>
      </c>
      <c r="E112" s="1">
        <v>1</v>
      </c>
    </row>
    <row r="113" spans="1:5" x14ac:dyDescent="0.35">
      <c r="A113" s="1">
        <v>112</v>
      </c>
      <c r="B113" s="1" t="s">
        <v>5</v>
      </c>
      <c r="C113" s="4">
        <v>200025888824</v>
      </c>
      <c r="D113" s="2">
        <v>45798.84511574074</v>
      </c>
      <c r="E113" s="1">
        <v>0</v>
      </c>
    </row>
    <row r="114" spans="1:5" x14ac:dyDescent="0.35">
      <c r="A114" s="1">
        <v>113</v>
      </c>
      <c r="B114" s="1" t="s">
        <v>5</v>
      </c>
      <c r="C114" s="4">
        <v>200025888824</v>
      </c>
      <c r="D114" s="2">
        <v>45798.845266203702</v>
      </c>
      <c r="E114" s="1">
        <v>0</v>
      </c>
    </row>
    <row r="115" spans="1:5" x14ac:dyDescent="0.35">
      <c r="A115" s="1">
        <v>114</v>
      </c>
      <c r="B115" s="1" t="s">
        <v>5</v>
      </c>
      <c r="C115" s="4">
        <v>200025888863</v>
      </c>
      <c r="D115" s="2">
        <v>45798.866608796299</v>
      </c>
      <c r="E115" s="1">
        <v>18</v>
      </c>
    </row>
    <row r="116" spans="1:5" x14ac:dyDescent="0.35">
      <c r="A116" s="1">
        <v>115</v>
      </c>
      <c r="B116" s="1" t="s">
        <v>5</v>
      </c>
      <c r="C116" s="4">
        <v>200025888863</v>
      </c>
      <c r="D116" s="2">
        <v>45798.866979166669</v>
      </c>
      <c r="E116" s="1">
        <v>2</v>
      </c>
    </row>
    <row r="117" spans="1:5" x14ac:dyDescent="0.35">
      <c r="A117" s="1">
        <v>116</v>
      </c>
      <c r="B117" s="1" t="s">
        <v>5</v>
      </c>
      <c r="C117" s="4">
        <v>200025888863</v>
      </c>
      <c r="D117" s="2">
        <v>45798.868611111109</v>
      </c>
      <c r="E117" s="1">
        <v>1</v>
      </c>
    </row>
    <row r="118" spans="1:5" x14ac:dyDescent="0.35">
      <c r="A118" s="1">
        <v>117</v>
      </c>
      <c r="B118" s="1" t="s">
        <v>5</v>
      </c>
      <c r="C118" s="4">
        <v>200025888717</v>
      </c>
      <c r="D118" s="2">
        <v>45798.870416666665</v>
      </c>
      <c r="E118" s="1">
        <v>0</v>
      </c>
    </row>
    <row r="119" spans="1:5" x14ac:dyDescent="0.35">
      <c r="A119" s="1">
        <v>118</v>
      </c>
      <c r="B119" s="1" t="s">
        <v>5</v>
      </c>
      <c r="C119" s="4">
        <v>200025888717</v>
      </c>
      <c r="D119" s="2">
        <v>45798.87054398148</v>
      </c>
      <c r="E119" s="1">
        <v>0</v>
      </c>
    </row>
    <row r="120" spans="1:5" x14ac:dyDescent="0.35">
      <c r="A120" s="1">
        <v>119</v>
      </c>
      <c r="B120" s="1" t="s">
        <v>5</v>
      </c>
      <c r="C120" s="4">
        <v>200025888824</v>
      </c>
      <c r="D120" s="2">
        <v>45798.874618055554</v>
      </c>
      <c r="E120" s="1">
        <v>0</v>
      </c>
    </row>
    <row r="121" spans="1:5" x14ac:dyDescent="0.35">
      <c r="A121" s="1">
        <v>120</v>
      </c>
      <c r="B121" s="1" t="s">
        <v>5</v>
      </c>
      <c r="C121" s="4">
        <v>200025888824</v>
      </c>
      <c r="D121" s="2">
        <v>45798.874895833331</v>
      </c>
      <c r="E121" s="1">
        <v>0</v>
      </c>
    </row>
    <row r="122" spans="1:5" x14ac:dyDescent="0.35">
      <c r="A122" s="1">
        <v>121</v>
      </c>
      <c r="B122" s="1" t="s">
        <v>5</v>
      </c>
      <c r="C122" s="4">
        <v>200025888824</v>
      </c>
      <c r="D122" s="2">
        <v>45798.875</v>
      </c>
      <c r="E122" s="1">
        <v>1</v>
      </c>
    </row>
    <row r="123" spans="1:5" x14ac:dyDescent="0.35">
      <c r="A123" s="1">
        <v>122</v>
      </c>
      <c r="B123" s="1" t="s">
        <v>5</v>
      </c>
      <c r="C123" s="4">
        <v>200025888654</v>
      </c>
      <c r="D123" s="2">
        <v>45798.876215277778</v>
      </c>
      <c r="E123" s="1">
        <v>0</v>
      </c>
    </row>
    <row r="124" spans="1:5" x14ac:dyDescent="0.35">
      <c r="A124" s="1">
        <v>123</v>
      </c>
      <c r="B124" s="1" t="s">
        <v>5</v>
      </c>
      <c r="C124" s="4">
        <v>200025888654</v>
      </c>
      <c r="D124" s="2">
        <v>45798.876226851855</v>
      </c>
      <c r="E124" s="1">
        <v>33</v>
      </c>
    </row>
    <row r="125" spans="1:5" x14ac:dyDescent="0.35">
      <c r="A125" s="1">
        <v>124</v>
      </c>
      <c r="B125" s="1" t="s">
        <v>5</v>
      </c>
      <c r="C125" s="4">
        <v>200025888654</v>
      </c>
      <c r="D125" s="2">
        <v>45798.877326388887</v>
      </c>
      <c r="E125" s="1">
        <v>0</v>
      </c>
    </row>
    <row r="126" spans="1:5" x14ac:dyDescent="0.35">
      <c r="A126" s="1">
        <v>125</v>
      </c>
      <c r="B126" s="1" t="s">
        <v>5</v>
      </c>
      <c r="C126" s="4">
        <v>200025888654</v>
      </c>
      <c r="D126" s="2">
        <v>45798.87740740741</v>
      </c>
      <c r="E126" s="1">
        <v>1</v>
      </c>
    </row>
    <row r="127" spans="1:5" x14ac:dyDescent="0.35">
      <c r="A127" s="1">
        <v>126</v>
      </c>
      <c r="B127" s="1" t="s">
        <v>5</v>
      </c>
      <c r="C127" s="4">
        <v>200025888808</v>
      </c>
      <c r="D127" s="2">
        <v>45798.901967592596</v>
      </c>
      <c r="E127" s="1">
        <v>1</v>
      </c>
    </row>
    <row r="128" spans="1:5" x14ac:dyDescent="0.35">
      <c r="A128" s="1">
        <v>127</v>
      </c>
      <c r="B128" s="1" t="s">
        <v>5</v>
      </c>
      <c r="C128" s="4">
        <v>200025888791</v>
      </c>
      <c r="D128" s="2">
        <v>45798.904317129629</v>
      </c>
      <c r="E128" s="1">
        <v>0</v>
      </c>
    </row>
    <row r="129" spans="1:5" x14ac:dyDescent="0.35">
      <c r="A129" s="1">
        <v>128</v>
      </c>
      <c r="B129" s="1" t="s">
        <v>5</v>
      </c>
      <c r="C129" s="4">
        <v>200025888791</v>
      </c>
      <c r="D129" s="2">
        <v>45798.904328703706</v>
      </c>
      <c r="E129" s="1">
        <v>15</v>
      </c>
    </row>
    <row r="130" spans="1:5" x14ac:dyDescent="0.35">
      <c r="A130" s="1">
        <v>129</v>
      </c>
      <c r="B130" s="1" t="s">
        <v>5</v>
      </c>
      <c r="C130" s="4">
        <v>200025888791</v>
      </c>
      <c r="D130" s="2">
        <v>45798.904513888891</v>
      </c>
      <c r="E130" s="1">
        <v>0</v>
      </c>
    </row>
    <row r="131" spans="1:5" x14ac:dyDescent="0.35">
      <c r="A131" s="1">
        <v>130</v>
      </c>
      <c r="B131" s="1" t="s">
        <v>5</v>
      </c>
      <c r="C131" s="4">
        <v>200025888791</v>
      </c>
      <c r="D131" s="2">
        <v>45798.90452546296</v>
      </c>
      <c r="E131" s="1">
        <v>24</v>
      </c>
    </row>
    <row r="132" spans="1:5" x14ac:dyDescent="0.35">
      <c r="A132" s="1">
        <v>131</v>
      </c>
      <c r="B132" s="1" t="s">
        <v>5</v>
      </c>
      <c r="C132" s="4">
        <v>200025888791</v>
      </c>
      <c r="D132" s="2">
        <v>45798.904814814814</v>
      </c>
      <c r="E132" s="1">
        <v>2</v>
      </c>
    </row>
    <row r="133" spans="1:5" x14ac:dyDescent="0.35">
      <c r="A133" s="1">
        <v>132</v>
      </c>
      <c r="B133" s="1" t="s">
        <v>5</v>
      </c>
      <c r="C133" s="4">
        <v>200025888791</v>
      </c>
      <c r="D133" s="2">
        <v>45798.905335648145</v>
      </c>
      <c r="E133" s="1">
        <v>158</v>
      </c>
    </row>
    <row r="134" spans="1:5" x14ac:dyDescent="0.35">
      <c r="A134" s="1">
        <v>133</v>
      </c>
      <c r="B134" s="1" t="s">
        <v>5</v>
      </c>
      <c r="C134" s="4">
        <v>200025888863</v>
      </c>
      <c r="D134" s="2">
        <v>45798.967048611114</v>
      </c>
      <c r="E134" s="1">
        <v>1</v>
      </c>
    </row>
    <row r="135" spans="1:5" x14ac:dyDescent="0.35">
      <c r="A135" s="1">
        <v>134</v>
      </c>
      <c r="B135" s="1" t="s">
        <v>5</v>
      </c>
      <c r="C135" s="4">
        <v>200025888863</v>
      </c>
      <c r="D135" s="2">
        <v>45798.967280092591</v>
      </c>
      <c r="E135" s="1">
        <v>2</v>
      </c>
    </row>
    <row r="136" spans="1:5" x14ac:dyDescent="0.35">
      <c r="A136" s="1">
        <v>135</v>
      </c>
      <c r="B136" s="1" t="s">
        <v>5</v>
      </c>
      <c r="C136" s="4">
        <v>200025888863</v>
      </c>
      <c r="D136" s="2">
        <v>45798.967557870368</v>
      </c>
      <c r="E136" s="1">
        <v>0</v>
      </c>
    </row>
    <row r="137" spans="1:5" x14ac:dyDescent="0.35">
      <c r="A137" s="1">
        <v>136</v>
      </c>
      <c r="B137" s="1" t="s">
        <v>5</v>
      </c>
      <c r="C137" s="4">
        <v>200025888863</v>
      </c>
      <c r="D137" s="2">
        <v>45798.967557870368</v>
      </c>
      <c r="E137" s="1">
        <v>2</v>
      </c>
    </row>
    <row r="138" spans="1:5" x14ac:dyDescent="0.35">
      <c r="A138" s="1">
        <v>137</v>
      </c>
      <c r="B138" s="1" t="s">
        <v>5</v>
      </c>
      <c r="C138" s="4">
        <v>200025888863</v>
      </c>
      <c r="D138" s="2">
        <v>45798.96775462963</v>
      </c>
      <c r="E138" s="1">
        <v>2</v>
      </c>
    </row>
    <row r="139" spans="1:5" x14ac:dyDescent="0.35">
      <c r="A139" s="1">
        <v>138</v>
      </c>
      <c r="B139" s="1" t="s">
        <v>5</v>
      </c>
      <c r="C139" s="4">
        <v>200025888863</v>
      </c>
      <c r="D139" s="2">
        <v>45798.968043981484</v>
      </c>
      <c r="E139" s="1">
        <v>0</v>
      </c>
    </row>
    <row r="140" spans="1:5" x14ac:dyDescent="0.35">
      <c r="A140" s="1">
        <v>139</v>
      </c>
      <c r="B140" s="1" t="s">
        <v>5</v>
      </c>
      <c r="C140" s="4">
        <v>200025888863</v>
      </c>
      <c r="D140" s="2">
        <v>45798.968055555553</v>
      </c>
      <c r="E140" s="1">
        <v>4924</v>
      </c>
    </row>
    <row r="141" spans="1:5" x14ac:dyDescent="0.35">
      <c r="A141" s="1">
        <v>140</v>
      </c>
      <c r="B141" s="1" t="s">
        <v>5</v>
      </c>
      <c r="C141" s="4">
        <v>200025888791</v>
      </c>
      <c r="D141" s="2">
        <v>45799.027395833335</v>
      </c>
      <c r="E141" s="1">
        <v>1</v>
      </c>
    </row>
    <row r="142" spans="1:5" x14ac:dyDescent="0.35">
      <c r="A142" s="1">
        <v>141</v>
      </c>
      <c r="B142" s="1" t="s">
        <v>5</v>
      </c>
      <c r="C142" s="4">
        <v>200025888216</v>
      </c>
      <c r="D142" s="2">
        <v>45799.040590277778</v>
      </c>
      <c r="E142" s="1">
        <v>0</v>
      </c>
    </row>
    <row r="143" spans="1:5" x14ac:dyDescent="0.35">
      <c r="A143" s="1">
        <v>142</v>
      </c>
      <c r="B143" s="1" t="s">
        <v>5</v>
      </c>
      <c r="C143" s="4">
        <v>200025888812</v>
      </c>
      <c r="D143" s="2">
        <v>45799.046331018515</v>
      </c>
      <c r="E143" s="1">
        <v>0</v>
      </c>
    </row>
    <row r="144" spans="1:5" x14ac:dyDescent="0.35">
      <c r="A144" s="1">
        <v>143</v>
      </c>
      <c r="B144" s="1" t="s">
        <v>5</v>
      </c>
      <c r="C144" s="4">
        <v>200025888812</v>
      </c>
      <c r="D144" s="2">
        <v>45799.046689814815</v>
      </c>
      <c r="E144" s="1">
        <v>0</v>
      </c>
    </row>
    <row r="145" spans="1:5" x14ac:dyDescent="0.35">
      <c r="A145" s="1">
        <v>144</v>
      </c>
      <c r="B145" s="1" t="s">
        <v>5</v>
      </c>
      <c r="C145" s="4">
        <v>200025888272</v>
      </c>
      <c r="D145" s="2">
        <v>45799.076701388891</v>
      </c>
      <c r="E145" s="1">
        <v>0</v>
      </c>
    </row>
    <row r="146" spans="1:5" x14ac:dyDescent="0.35">
      <c r="A146" s="1">
        <v>145</v>
      </c>
      <c r="B146" s="1" t="s">
        <v>5</v>
      </c>
      <c r="C146" s="4">
        <v>200025888272</v>
      </c>
      <c r="D146" s="2">
        <v>45799.076701388891</v>
      </c>
      <c r="E146" s="1">
        <v>1</v>
      </c>
    </row>
    <row r="147" spans="1:5" x14ac:dyDescent="0.35">
      <c r="A147" s="1">
        <v>146</v>
      </c>
      <c r="B147" s="1" t="s">
        <v>5</v>
      </c>
      <c r="C147" s="4">
        <v>200025888791</v>
      </c>
      <c r="D147" s="2">
        <v>45799.084467592591</v>
      </c>
      <c r="E147" s="1">
        <v>0</v>
      </c>
    </row>
    <row r="148" spans="1:5" x14ac:dyDescent="0.35">
      <c r="A148" s="1">
        <v>147</v>
      </c>
      <c r="B148" s="1" t="s">
        <v>5</v>
      </c>
      <c r="C148" s="4">
        <v>200025888271</v>
      </c>
      <c r="D148" s="2">
        <v>45799.101458333331</v>
      </c>
      <c r="E148" s="1">
        <v>1</v>
      </c>
    </row>
    <row r="149" spans="1:5" x14ac:dyDescent="0.35">
      <c r="A149" s="1">
        <v>148</v>
      </c>
      <c r="B149" s="1" t="s">
        <v>5</v>
      </c>
      <c r="C149" s="4">
        <v>200025888271</v>
      </c>
      <c r="D149" s="2">
        <v>45799.101469907408</v>
      </c>
      <c r="E149" s="1">
        <v>1</v>
      </c>
    </row>
    <row r="150" spans="1:5" x14ac:dyDescent="0.35">
      <c r="A150" s="1">
        <v>149</v>
      </c>
      <c r="B150" s="1" t="s">
        <v>5</v>
      </c>
      <c r="C150" s="4">
        <v>200025888608</v>
      </c>
      <c r="D150" s="2">
        <v>45799.129664351851</v>
      </c>
      <c r="E150" s="1">
        <v>1</v>
      </c>
    </row>
    <row r="151" spans="1:5" x14ac:dyDescent="0.35">
      <c r="A151" s="1">
        <v>150</v>
      </c>
      <c r="B151" s="1" t="s">
        <v>5</v>
      </c>
      <c r="C151" s="4">
        <v>200025888717</v>
      </c>
      <c r="D151" s="2">
        <v>45799.182858796295</v>
      </c>
      <c r="E151" s="1">
        <v>1</v>
      </c>
    </row>
    <row r="152" spans="1:5" x14ac:dyDescent="0.35">
      <c r="A152" s="1">
        <v>151</v>
      </c>
      <c r="B152" s="1" t="s">
        <v>5</v>
      </c>
      <c r="C152" s="4">
        <v>200025888717</v>
      </c>
      <c r="D152" s="2">
        <v>45799.184999999998</v>
      </c>
      <c r="E152" s="1">
        <v>195</v>
      </c>
    </row>
    <row r="153" spans="1:5" x14ac:dyDescent="0.35">
      <c r="A153" s="1">
        <v>152</v>
      </c>
      <c r="B153" s="1" t="s">
        <v>5</v>
      </c>
      <c r="C153" s="4">
        <v>200025888808</v>
      </c>
      <c r="D153" s="2">
        <v>45799.189340277779</v>
      </c>
      <c r="E153" s="1">
        <v>1</v>
      </c>
    </row>
    <row r="154" spans="1:5" x14ac:dyDescent="0.35">
      <c r="A154" s="1">
        <v>153</v>
      </c>
      <c r="B154" s="1" t="s">
        <v>5</v>
      </c>
      <c r="C154" s="4">
        <v>200025888808</v>
      </c>
      <c r="D154" s="2">
        <v>45799.18953703704</v>
      </c>
      <c r="E154" s="1">
        <v>1</v>
      </c>
    </row>
    <row r="155" spans="1:5" x14ac:dyDescent="0.35">
      <c r="A155" s="1">
        <v>154</v>
      </c>
      <c r="B155" s="1" t="s">
        <v>5</v>
      </c>
      <c r="C155" s="4">
        <v>200025888717</v>
      </c>
      <c r="D155" s="2">
        <v>45799.208078703705</v>
      </c>
      <c r="E155" s="1">
        <v>107</v>
      </c>
    </row>
    <row r="156" spans="1:5" x14ac:dyDescent="0.35">
      <c r="A156" s="1">
        <v>155</v>
      </c>
      <c r="B156" s="1" t="s">
        <v>5</v>
      </c>
      <c r="C156" s="4">
        <v>200025888717</v>
      </c>
      <c r="D156" s="2">
        <v>45799.210069444445</v>
      </c>
      <c r="E156" s="1">
        <v>1</v>
      </c>
    </row>
    <row r="157" spans="1:5" x14ac:dyDescent="0.35">
      <c r="A157" s="1">
        <v>156</v>
      </c>
      <c r="B157" s="1" t="s">
        <v>5</v>
      </c>
      <c r="C157" s="4">
        <v>200025888717</v>
      </c>
      <c r="D157" s="2">
        <v>45799.210081018522</v>
      </c>
      <c r="E157" s="1">
        <v>1</v>
      </c>
    </row>
    <row r="158" spans="1:5" x14ac:dyDescent="0.35">
      <c r="A158" s="1">
        <v>157</v>
      </c>
      <c r="B158" s="1" t="s">
        <v>5</v>
      </c>
      <c r="C158" s="4">
        <v>200025888717</v>
      </c>
      <c r="D158" s="2">
        <v>45799.214212962965</v>
      </c>
      <c r="E158" s="1">
        <v>1</v>
      </c>
    </row>
    <row r="159" spans="1:5" x14ac:dyDescent="0.35">
      <c r="A159" s="1">
        <v>158</v>
      </c>
      <c r="B159" s="1" t="s">
        <v>5</v>
      </c>
      <c r="C159" s="4">
        <v>200025888717</v>
      </c>
      <c r="D159" s="2">
        <v>45799.215462962966</v>
      </c>
      <c r="E159" s="1">
        <v>2</v>
      </c>
    </row>
    <row r="160" spans="1:5" x14ac:dyDescent="0.35">
      <c r="A160" s="1">
        <v>159</v>
      </c>
      <c r="B160" s="1" t="s">
        <v>5</v>
      </c>
      <c r="C160" s="4">
        <v>200025888717</v>
      </c>
      <c r="D160" s="2">
        <v>45799.215601851851</v>
      </c>
      <c r="E160" s="1">
        <v>1</v>
      </c>
    </row>
    <row r="161" spans="1:5" x14ac:dyDescent="0.35">
      <c r="A161" s="1">
        <v>160</v>
      </c>
      <c r="B161" s="1" t="s">
        <v>5</v>
      </c>
      <c r="C161" s="4">
        <v>200025888717</v>
      </c>
      <c r="D161" s="2">
        <v>45799.215624999997</v>
      </c>
      <c r="E161" s="1">
        <v>1</v>
      </c>
    </row>
    <row r="162" spans="1:5" x14ac:dyDescent="0.35">
      <c r="A162" s="1">
        <v>161</v>
      </c>
      <c r="B162" s="1" t="s">
        <v>5</v>
      </c>
      <c r="C162" s="4">
        <v>200025888717</v>
      </c>
      <c r="D162" s="2">
        <v>45799.215775462966</v>
      </c>
      <c r="E162" s="1">
        <v>291</v>
      </c>
    </row>
    <row r="163" spans="1:5" x14ac:dyDescent="0.35">
      <c r="A163" s="1">
        <v>162</v>
      </c>
      <c r="B163" s="1" t="s">
        <v>5</v>
      </c>
      <c r="C163" s="4">
        <v>200025888717</v>
      </c>
      <c r="D163" s="2">
        <v>45799.219328703701</v>
      </c>
      <c r="E163" s="1">
        <v>0</v>
      </c>
    </row>
    <row r="164" spans="1:5" x14ac:dyDescent="0.35">
      <c r="A164" s="1">
        <v>163</v>
      </c>
      <c r="B164" s="1" t="s">
        <v>5</v>
      </c>
      <c r="C164" s="4">
        <v>200025888808</v>
      </c>
      <c r="D164" s="2">
        <v>45799.232152777775</v>
      </c>
      <c r="E164" s="1">
        <v>345</v>
      </c>
    </row>
    <row r="165" spans="1:5" x14ac:dyDescent="0.35">
      <c r="A165" s="1">
        <v>164</v>
      </c>
      <c r="B165" s="1" t="s">
        <v>5</v>
      </c>
      <c r="C165" s="4">
        <v>200025888271</v>
      </c>
      <c r="D165" s="2">
        <v>45799.254386574074</v>
      </c>
      <c r="E165" s="1">
        <v>1</v>
      </c>
    </row>
    <row r="166" spans="1:5" x14ac:dyDescent="0.35">
      <c r="A166" s="1">
        <v>165</v>
      </c>
      <c r="B166" s="1" t="s">
        <v>5</v>
      </c>
      <c r="C166" s="4">
        <v>200025888863</v>
      </c>
      <c r="D166" s="2">
        <v>45799.255231481482</v>
      </c>
      <c r="E166" s="1">
        <v>2</v>
      </c>
    </row>
    <row r="167" spans="1:5" x14ac:dyDescent="0.35">
      <c r="A167" s="1">
        <v>166</v>
      </c>
      <c r="B167" s="1" t="s">
        <v>5</v>
      </c>
      <c r="C167" s="4">
        <v>200025888868</v>
      </c>
      <c r="D167" s="2">
        <v>45799.257881944446</v>
      </c>
      <c r="E167" s="1">
        <v>1</v>
      </c>
    </row>
    <row r="168" spans="1:5" x14ac:dyDescent="0.35">
      <c r="A168" s="1">
        <v>167</v>
      </c>
      <c r="B168" s="1" t="s">
        <v>5</v>
      </c>
      <c r="C168" s="4">
        <v>200025888824</v>
      </c>
      <c r="D168" s="2">
        <v>45799.264305555553</v>
      </c>
      <c r="E168" s="1">
        <v>0</v>
      </c>
    </row>
    <row r="169" spans="1:5" x14ac:dyDescent="0.35">
      <c r="A169" s="1">
        <v>168</v>
      </c>
      <c r="B169" s="1" t="s">
        <v>5</v>
      </c>
      <c r="C169" s="4">
        <v>200025888824</v>
      </c>
      <c r="D169" s="2">
        <v>45799.265694444446</v>
      </c>
      <c r="E169" s="1">
        <v>1</v>
      </c>
    </row>
    <row r="170" spans="1:5" x14ac:dyDescent="0.35">
      <c r="A170" s="1">
        <v>169</v>
      </c>
      <c r="B170" s="1" t="s">
        <v>5</v>
      </c>
      <c r="C170" s="4">
        <v>200025888824</v>
      </c>
      <c r="D170" s="2">
        <v>45799.265706018516</v>
      </c>
      <c r="E170" s="1">
        <v>1</v>
      </c>
    </row>
    <row r="171" spans="1:5" x14ac:dyDescent="0.35">
      <c r="A171" s="1">
        <v>170</v>
      </c>
      <c r="B171" s="1" t="s">
        <v>5</v>
      </c>
      <c r="C171" s="4">
        <v>200025888824</v>
      </c>
      <c r="D171" s="2">
        <v>45799.266342592593</v>
      </c>
      <c r="E171" s="1">
        <v>2</v>
      </c>
    </row>
    <row r="172" spans="1:5" x14ac:dyDescent="0.35">
      <c r="A172" s="1">
        <v>171</v>
      </c>
      <c r="B172" s="1" t="s">
        <v>5</v>
      </c>
      <c r="C172" s="4">
        <v>200025888808</v>
      </c>
      <c r="D172" s="2">
        <v>45799.269074074073</v>
      </c>
      <c r="E172" s="1">
        <v>1</v>
      </c>
    </row>
    <row r="173" spans="1:5" x14ac:dyDescent="0.35">
      <c r="A173" s="1">
        <v>172</v>
      </c>
      <c r="B173" s="1" t="s">
        <v>5</v>
      </c>
      <c r="C173" s="4">
        <v>200025888235</v>
      </c>
      <c r="D173" s="2">
        <v>45799.332499999997</v>
      </c>
      <c r="E173" s="1">
        <v>1</v>
      </c>
    </row>
    <row r="174" spans="1:5" x14ac:dyDescent="0.35">
      <c r="A174" s="1">
        <v>173</v>
      </c>
      <c r="B174" s="1" t="s">
        <v>5</v>
      </c>
      <c r="C174" s="4">
        <v>200025888791</v>
      </c>
      <c r="D174" s="2">
        <v>45799.405405092592</v>
      </c>
      <c r="E174" s="1">
        <v>0</v>
      </c>
    </row>
    <row r="175" spans="1:5" x14ac:dyDescent="0.35">
      <c r="A175" s="1">
        <v>174</v>
      </c>
      <c r="B175" s="1" t="s">
        <v>5</v>
      </c>
      <c r="C175" s="4">
        <v>200025888791</v>
      </c>
      <c r="D175" s="2">
        <v>45799.405405092592</v>
      </c>
      <c r="E175" s="1">
        <v>1</v>
      </c>
    </row>
    <row r="176" spans="1:5" x14ac:dyDescent="0.35">
      <c r="A176" s="1">
        <v>175</v>
      </c>
      <c r="B176" s="1" t="s">
        <v>5</v>
      </c>
      <c r="C176" s="4">
        <v>200025888791</v>
      </c>
      <c r="D176" s="2">
        <v>45799.405416666668</v>
      </c>
      <c r="E176" s="1">
        <v>1306</v>
      </c>
    </row>
    <row r="177" spans="1:5" x14ac:dyDescent="0.35">
      <c r="A177" s="1">
        <v>176</v>
      </c>
      <c r="B177" s="1" t="s">
        <v>5</v>
      </c>
      <c r="C177" s="4">
        <v>200025888216</v>
      </c>
      <c r="D177" s="2">
        <v>45799.420543981483</v>
      </c>
      <c r="E177" s="1">
        <v>0</v>
      </c>
    </row>
    <row r="178" spans="1:5" x14ac:dyDescent="0.35">
      <c r="A178" s="1">
        <v>177</v>
      </c>
      <c r="B178" s="1" t="s">
        <v>5</v>
      </c>
      <c r="C178" s="4">
        <v>200025888235</v>
      </c>
      <c r="D178" s="2">
        <v>45799.440474537034</v>
      </c>
      <c r="E178" s="1">
        <v>0</v>
      </c>
    </row>
    <row r="179" spans="1:5" x14ac:dyDescent="0.35">
      <c r="A179" s="1">
        <v>178</v>
      </c>
      <c r="B179" s="1" t="s">
        <v>5</v>
      </c>
      <c r="C179" s="4">
        <v>200025888235</v>
      </c>
      <c r="D179" s="2">
        <v>45799.440486111111</v>
      </c>
      <c r="E179" s="1">
        <v>0</v>
      </c>
    </row>
    <row r="180" spans="1:5" x14ac:dyDescent="0.35">
      <c r="A180" s="1">
        <v>179</v>
      </c>
      <c r="B180" s="1" t="s">
        <v>5</v>
      </c>
      <c r="C180" s="23">
        <v>200025888235</v>
      </c>
      <c r="D180" s="2">
        <v>45799.459699074076</v>
      </c>
      <c r="E180" s="1">
        <v>0</v>
      </c>
    </row>
    <row r="181" spans="1:5" x14ac:dyDescent="0.35">
      <c r="A181" s="1">
        <v>180</v>
      </c>
      <c r="B181" s="1" t="s">
        <v>5</v>
      </c>
      <c r="C181" s="24">
        <v>200025888163</v>
      </c>
      <c r="D181" s="2">
        <v>45799.495081018518</v>
      </c>
      <c r="E181" s="1">
        <v>3</v>
      </c>
    </row>
    <row r="182" spans="1:5" x14ac:dyDescent="0.35">
      <c r="A182" s="1">
        <v>181</v>
      </c>
      <c r="B182" s="1" t="s">
        <v>5</v>
      </c>
      <c r="C182" s="23">
        <v>200025888812</v>
      </c>
      <c r="D182" s="2">
        <v>45799.499143518522</v>
      </c>
      <c r="E182" s="1">
        <v>1</v>
      </c>
    </row>
    <row r="183" spans="1:5" x14ac:dyDescent="0.35">
      <c r="A183" s="1">
        <v>182</v>
      </c>
      <c r="B183" s="1" t="s">
        <v>5</v>
      </c>
      <c r="C183" s="24">
        <v>200025888812</v>
      </c>
      <c r="D183" s="2">
        <v>45799.499155092592</v>
      </c>
      <c r="E183" s="1">
        <v>0</v>
      </c>
    </row>
    <row r="184" spans="1:5" x14ac:dyDescent="0.35">
      <c r="A184" s="1">
        <v>183</v>
      </c>
      <c r="B184" s="1" t="s">
        <v>5</v>
      </c>
      <c r="C184" s="23">
        <v>200025888808</v>
      </c>
      <c r="D184" s="2">
        <v>45799.558888888889</v>
      </c>
      <c r="E184" s="1">
        <v>2</v>
      </c>
    </row>
    <row r="185" spans="1:5" x14ac:dyDescent="0.35">
      <c r="A185" s="1">
        <v>184</v>
      </c>
      <c r="B185" s="1" t="s">
        <v>5</v>
      </c>
      <c r="C185" s="24">
        <v>200025888808</v>
      </c>
      <c r="D185" s="2">
        <v>45799.560601851852</v>
      </c>
      <c r="E185" s="1">
        <v>1</v>
      </c>
    </row>
    <row r="186" spans="1:5" x14ac:dyDescent="0.35">
      <c r="A186" s="1">
        <v>185</v>
      </c>
      <c r="B186" s="1" t="s">
        <v>5</v>
      </c>
      <c r="C186" s="23">
        <v>200025888808</v>
      </c>
      <c r="D186" s="2">
        <v>45799.560891203706</v>
      </c>
      <c r="E186" s="1">
        <v>0</v>
      </c>
    </row>
    <row r="187" spans="1:5" x14ac:dyDescent="0.35">
      <c r="A187" s="1">
        <v>186</v>
      </c>
      <c r="B187" s="1" t="s">
        <v>5</v>
      </c>
      <c r="C187" s="24">
        <v>200025888808</v>
      </c>
      <c r="D187" s="2">
        <v>45799.560902777775</v>
      </c>
      <c r="E187" s="1">
        <v>23</v>
      </c>
    </row>
    <row r="188" spans="1:5" x14ac:dyDescent="0.35">
      <c r="A188" s="1">
        <v>187</v>
      </c>
      <c r="B188" s="1" t="s">
        <v>5</v>
      </c>
      <c r="C188" s="23">
        <v>200025888808</v>
      </c>
      <c r="D188" s="2">
        <v>45799.561180555553</v>
      </c>
      <c r="E188" s="1">
        <v>0</v>
      </c>
    </row>
    <row r="189" spans="1:5" x14ac:dyDescent="0.35">
      <c r="A189" s="1">
        <v>188</v>
      </c>
      <c r="B189" s="1" t="s">
        <v>5</v>
      </c>
      <c r="C189" s="24">
        <v>200025888808</v>
      </c>
      <c r="D189" s="2">
        <v>45799.563923611109</v>
      </c>
      <c r="E189" s="1">
        <v>0</v>
      </c>
    </row>
    <row r="190" spans="1:5" x14ac:dyDescent="0.35">
      <c r="A190" s="1">
        <v>189</v>
      </c>
      <c r="B190" s="1" t="s">
        <v>5</v>
      </c>
      <c r="C190" s="23">
        <v>200025888808</v>
      </c>
      <c r="D190" s="2">
        <v>45799.570648148147</v>
      </c>
      <c r="E190" s="1">
        <v>1</v>
      </c>
    </row>
    <row r="191" spans="1:5" x14ac:dyDescent="0.35">
      <c r="A191" s="1">
        <v>190</v>
      </c>
      <c r="B191" s="1" t="s">
        <v>5</v>
      </c>
      <c r="C191" s="24">
        <v>200025888812</v>
      </c>
      <c r="D191" s="2">
        <v>45799.5783912037</v>
      </c>
      <c r="E191" s="1">
        <v>1</v>
      </c>
    </row>
    <row r="192" spans="1:5" x14ac:dyDescent="0.35">
      <c r="A192" s="1">
        <v>191</v>
      </c>
      <c r="B192" s="1" t="s">
        <v>5</v>
      </c>
      <c r="C192" s="23">
        <v>200025888812</v>
      </c>
      <c r="D192" s="2">
        <v>45799.578553240739</v>
      </c>
      <c r="E192" s="1">
        <v>0</v>
      </c>
    </row>
    <row r="193" spans="1:5" x14ac:dyDescent="0.35">
      <c r="A193" s="1">
        <v>192</v>
      </c>
      <c r="B193" s="1" t="s">
        <v>5</v>
      </c>
      <c r="C193" s="24">
        <v>200025888812</v>
      </c>
      <c r="D193" s="2">
        <v>45799.578726851854</v>
      </c>
      <c r="E193" s="1">
        <v>0</v>
      </c>
    </row>
    <row r="194" spans="1:5" x14ac:dyDescent="0.35">
      <c r="A194" s="1">
        <v>193</v>
      </c>
      <c r="B194" s="1" t="s">
        <v>5</v>
      </c>
      <c r="C194" s="23">
        <v>200025888812</v>
      </c>
      <c r="D194" s="2">
        <v>45799.578738425924</v>
      </c>
      <c r="E194" s="1">
        <v>0</v>
      </c>
    </row>
    <row r="195" spans="1:5" x14ac:dyDescent="0.35">
      <c r="A195" s="1">
        <v>194</v>
      </c>
      <c r="B195" s="1" t="s">
        <v>5</v>
      </c>
      <c r="C195" s="24">
        <v>200025888808</v>
      </c>
      <c r="D195" s="2">
        <v>45799.583252314813</v>
      </c>
      <c r="E195" s="1">
        <v>1</v>
      </c>
    </row>
    <row r="196" spans="1:5" x14ac:dyDescent="0.35">
      <c r="A196" s="1">
        <v>195</v>
      </c>
      <c r="B196" s="1" t="s">
        <v>5</v>
      </c>
      <c r="C196" s="23">
        <v>200025888509</v>
      </c>
      <c r="D196" s="2">
        <v>45799.604421296295</v>
      </c>
      <c r="E196" s="1">
        <v>0</v>
      </c>
    </row>
    <row r="197" spans="1:5" x14ac:dyDescent="0.35">
      <c r="A197" s="1">
        <v>196</v>
      </c>
      <c r="B197" s="1" t="s">
        <v>5</v>
      </c>
      <c r="C197" s="3">
        <v>200025888663</v>
      </c>
      <c r="D197" s="2">
        <v>45799.694884259261</v>
      </c>
      <c r="E197" s="1">
        <v>0</v>
      </c>
    </row>
    <row r="198" spans="1:5" x14ac:dyDescent="0.35">
      <c r="A198" s="1">
        <v>197</v>
      </c>
      <c r="B198" s="1" t="s">
        <v>5</v>
      </c>
      <c r="C198" s="3">
        <v>200025888216</v>
      </c>
      <c r="D198" s="2">
        <v>45799.70648148148</v>
      </c>
      <c r="E198" s="1">
        <v>0</v>
      </c>
    </row>
    <row r="199" spans="1:5" x14ac:dyDescent="0.35">
      <c r="A199" s="1">
        <v>198</v>
      </c>
      <c r="B199" s="1" t="s">
        <v>5</v>
      </c>
      <c r="C199" s="3">
        <v>200025888663</v>
      </c>
      <c r="D199" s="2">
        <v>45799.711018518516</v>
      </c>
      <c r="E199" s="1">
        <v>2</v>
      </c>
    </row>
    <row r="200" spans="1:5" x14ac:dyDescent="0.35">
      <c r="A200" s="1">
        <v>199</v>
      </c>
      <c r="B200" s="1" t="s">
        <v>5</v>
      </c>
      <c r="C200" s="3">
        <v>200025888663</v>
      </c>
      <c r="D200" s="2">
        <v>45799.71266203704</v>
      </c>
      <c r="E200" s="1">
        <v>0</v>
      </c>
    </row>
    <row r="201" spans="1:5" x14ac:dyDescent="0.35">
      <c r="A201" s="1">
        <v>200</v>
      </c>
      <c r="B201" s="1" t="s">
        <v>5</v>
      </c>
      <c r="C201" s="3">
        <v>200025888663</v>
      </c>
      <c r="D201" s="2">
        <v>45799.712673611109</v>
      </c>
      <c r="E201" s="1">
        <v>0</v>
      </c>
    </row>
    <row r="202" spans="1:5" x14ac:dyDescent="0.35">
      <c r="A202" s="1">
        <v>201</v>
      </c>
      <c r="B202" s="1" t="s">
        <v>5</v>
      </c>
      <c r="C202" s="3">
        <v>200025888271</v>
      </c>
      <c r="D202" s="2">
        <v>45799.750428240739</v>
      </c>
      <c r="E202" s="1">
        <v>2</v>
      </c>
    </row>
    <row r="203" spans="1:5" x14ac:dyDescent="0.35">
      <c r="A203" s="1">
        <v>202</v>
      </c>
      <c r="B203" s="1" t="s">
        <v>5</v>
      </c>
      <c r="C203" s="3">
        <v>200025888271</v>
      </c>
      <c r="D203" s="2">
        <v>45799.750613425924</v>
      </c>
      <c r="E203" s="1">
        <v>1</v>
      </c>
    </row>
    <row r="204" spans="1:5" x14ac:dyDescent="0.35">
      <c r="A204" s="1">
        <v>203</v>
      </c>
      <c r="B204" s="1" t="s">
        <v>5</v>
      </c>
      <c r="C204" s="3">
        <v>200025888200</v>
      </c>
      <c r="D204" s="2">
        <v>45799.753240740742</v>
      </c>
      <c r="E204" s="1">
        <v>0</v>
      </c>
    </row>
    <row r="205" spans="1:5" x14ac:dyDescent="0.35">
      <c r="A205" s="1">
        <v>204</v>
      </c>
      <c r="B205" s="1" t="s">
        <v>5</v>
      </c>
      <c r="C205" s="3">
        <v>200025888200</v>
      </c>
      <c r="D205" s="2">
        <v>45799.753252314818</v>
      </c>
      <c r="E205" s="1">
        <v>0</v>
      </c>
    </row>
    <row r="206" spans="1:5" x14ac:dyDescent="0.35">
      <c r="A206" s="1">
        <v>205</v>
      </c>
      <c r="B206" s="1" t="s">
        <v>5</v>
      </c>
      <c r="C206" s="3">
        <v>200025888216</v>
      </c>
      <c r="D206" s="2">
        <v>45799.801666666666</v>
      </c>
      <c r="E206" s="1">
        <v>1</v>
      </c>
    </row>
    <row r="207" spans="1:5" x14ac:dyDescent="0.35">
      <c r="A207" s="1">
        <v>206</v>
      </c>
      <c r="B207" s="1" t="s">
        <v>5</v>
      </c>
      <c r="C207" s="3">
        <v>200025888663</v>
      </c>
      <c r="D207" s="2">
        <v>45799.81753472222</v>
      </c>
      <c r="E207" s="1">
        <v>2</v>
      </c>
    </row>
    <row r="208" spans="1:5" x14ac:dyDescent="0.35">
      <c r="A208" s="1">
        <v>207</v>
      </c>
      <c r="B208" s="1" t="s">
        <v>5</v>
      </c>
      <c r="C208" s="3">
        <v>200025888663</v>
      </c>
      <c r="D208" s="2">
        <v>45799.817743055559</v>
      </c>
      <c r="E208" s="1">
        <v>2</v>
      </c>
    </row>
    <row r="209" spans="1:5" x14ac:dyDescent="0.35">
      <c r="A209" s="1">
        <v>208</v>
      </c>
      <c r="B209" s="1" t="s">
        <v>5</v>
      </c>
      <c r="C209" s="3">
        <v>200025888663</v>
      </c>
      <c r="D209" s="2">
        <v>45799.818113425928</v>
      </c>
      <c r="E209" s="1">
        <v>1</v>
      </c>
    </row>
    <row r="210" spans="1:5" x14ac:dyDescent="0.35">
      <c r="A210" s="1">
        <v>209</v>
      </c>
      <c r="B210" s="1" t="s">
        <v>5</v>
      </c>
      <c r="C210" s="3">
        <v>200025888663</v>
      </c>
      <c r="D210" s="2">
        <v>45799.818252314813</v>
      </c>
      <c r="E210" s="1">
        <v>0</v>
      </c>
    </row>
    <row r="211" spans="1:5" x14ac:dyDescent="0.35">
      <c r="A211" s="1">
        <v>210</v>
      </c>
      <c r="B211" s="1" t="s">
        <v>5</v>
      </c>
      <c r="C211" s="3">
        <v>200025888608</v>
      </c>
      <c r="D211" s="2">
        <v>45799.82603009259</v>
      </c>
      <c r="E211" s="1">
        <v>0</v>
      </c>
    </row>
    <row r="212" spans="1:5" x14ac:dyDescent="0.35">
      <c r="A212" s="1">
        <v>211</v>
      </c>
      <c r="B212" s="1" t="s">
        <v>5</v>
      </c>
      <c r="C212" s="3">
        <v>200025888608</v>
      </c>
      <c r="D212" s="2">
        <v>45799.831377314818</v>
      </c>
      <c r="E212" s="1">
        <v>1</v>
      </c>
    </row>
    <row r="213" spans="1:5" x14ac:dyDescent="0.35">
      <c r="A213" s="1">
        <v>212</v>
      </c>
      <c r="B213" s="1" t="s">
        <v>5</v>
      </c>
      <c r="C213" s="3">
        <v>200025888608</v>
      </c>
      <c r="D213" s="2">
        <v>45799.831400462965</v>
      </c>
      <c r="E213" s="1">
        <v>1</v>
      </c>
    </row>
    <row r="214" spans="1:5" x14ac:dyDescent="0.35">
      <c r="A214" s="1">
        <v>213</v>
      </c>
      <c r="B214" s="1" t="s">
        <v>5</v>
      </c>
      <c r="C214" s="3">
        <v>200025888608</v>
      </c>
      <c r="D214" s="2">
        <v>45799.834745370368</v>
      </c>
      <c r="E214" s="1">
        <v>0</v>
      </c>
    </row>
    <row r="215" spans="1:5" x14ac:dyDescent="0.35">
      <c r="A215" s="1">
        <v>214</v>
      </c>
      <c r="B215" s="1" t="s">
        <v>5</v>
      </c>
      <c r="C215" s="3">
        <v>200025888201</v>
      </c>
      <c r="D215" s="2">
        <v>45799.887256944443</v>
      </c>
      <c r="E215" s="1">
        <v>0</v>
      </c>
    </row>
    <row r="216" spans="1:5" x14ac:dyDescent="0.35">
      <c r="A216" s="1">
        <v>215</v>
      </c>
      <c r="B216" s="1" t="s">
        <v>5</v>
      </c>
      <c r="C216" s="3">
        <v>200025888201</v>
      </c>
      <c r="D216" s="2">
        <v>45799.887731481482</v>
      </c>
      <c r="E216" s="1">
        <v>0</v>
      </c>
    </row>
    <row r="217" spans="1:5" x14ac:dyDescent="0.35">
      <c r="A217" s="1">
        <v>216</v>
      </c>
      <c r="B217" s="1" t="s">
        <v>5</v>
      </c>
      <c r="C217" s="3">
        <v>200025888834</v>
      </c>
      <c r="D217" s="2">
        <v>45800.009456018517</v>
      </c>
      <c r="E217" s="1">
        <v>0</v>
      </c>
    </row>
    <row r="218" spans="1:5" x14ac:dyDescent="0.35">
      <c r="A218" s="1">
        <v>217</v>
      </c>
      <c r="B218" s="1" t="s">
        <v>5</v>
      </c>
      <c r="C218" s="3">
        <v>200025888834</v>
      </c>
      <c r="D218" s="2">
        <v>45800.009467592594</v>
      </c>
      <c r="E218" s="1">
        <v>1</v>
      </c>
    </row>
    <row r="219" spans="1:5" x14ac:dyDescent="0.35">
      <c r="A219" s="1">
        <v>218</v>
      </c>
      <c r="B219" s="1" t="s">
        <v>5</v>
      </c>
      <c r="C219" s="3">
        <v>200025888834</v>
      </c>
      <c r="D219" s="2">
        <v>45800.013310185182</v>
      </c>
      <c r="E219" s="1">
        <v>1</v>
      </c>
    </row>
    <row r="220" spans="1:5" x14ac:dyDescent="0.35">
      <c r="A220" s="1">
        <v>219</v>
      </c>
      <c r="B220" s="1" t="s">
        <v>5</v>
      </c>
      <c r="C220" s="3">
        <v>200025888834</v>
      </c>
      <c r="D220" s="2">
        <v>45800.014166666668</v>
      </c>
      <c r="E220" s="1">
        <v>0</v>
      </c>
    </row>
    <row r="221" spans="1:5" x14ac:dyDescent="0.35">
      <c r="A221" s="1">
        <v>220</v>
      </c>
      <c r="B221" s="1" t="s">
        <v>5</v>
      </c>
      <c r="C221" s="3">
        <v>200025888834</v>
      </c>
      <c r="D221" s="2">
        <v>45800.014178240737</v>
      </c>
      <c r="E221" s="1">
        <v>0</v>
      </c>
    </row>
    <row r="222" spans="1:5" x14ac:dyDescent="0.35">
      <c r="A222" s="1">
        <v>221</v>
      </c>
      <c r="B222" s="1" t="s">
        <v>5</v>
      </c>
      <c r="C222" s="3">
        <v>200025888834</v>
      </c>
      <c r="D222" s="2">
        <v>45800.175416666665</v>
      </c>
      <c r="E222" s="1">
        <v>0</v>
      </c>
    </row>
    <row r="223" spans="1:5" x14ac:dyDescent="0.35">
      <c r="A223" s="1">
        <v>222</v>
      </c>
      <c r="B223" s="1" t="s">
        <v>5</v>
      </c>
      <c r="C223" s="3">
        <v>200025888834</v>
      </c>
      <c r="D223" s="2">
        <v>45800.175567129627</v>
      </c>
      <c r="E223" s="1">
        <v>1</v>
      </c>
    </row>
    <row r="224" spans="1:5" x14ac:dyDescent="0.35">
      <c r="A224" s="1">
        <v>223</v>
      </c>
      <c r="B224" s="1" t="s">
        <v>5</v>
      </c>
      <c r="C224" s="3">
        <v>200025888834</v>
      </c>
      <c r="D224" s="2">
        <v>45800.17763888889</v>
      </c>
      <c r="E224" s="1">
        <v>0</v>
      </c>
    </row>
    <row r="225" spans="1:5" x14ac:dyDescent="0.35">
      <c r="A225" s="1">
        <v>224</v>
      </c>
      <c r="B225" s="1" t="s">
        <v>5</v>
      </c>
      <c r="C225" s="3">
        <v>200025888863</v>
      </c>
      <c r="D225" s="2">
        <v>45800.380127314813</v>
      </c>
      <c r="E225" s="1">
        <v>0</v>
      </c>
    </row>
    <row r="226" spans="1:5" x14ac:dyDescent="0.35">
      <c r="A226" s="1">
        <v>225</v>
      </c>
      <c r="B226" s="1" t="s">
        <v>5</v>
      </c>
      <c r="C226" s="3">
        <v>200025888863</v>
      </c>
      <c r="D226" s="2">
        <v>45800.38013888889</v>
      </c>
      <c r="E226" s="1">
        <v>1</v>
      </c>
    </row>
    <row r="227" spans="1:5" x14ac:dyDescent="0.35">
      <c r="A227" s="1">
        <v>226</v>
      </c>
      <c r="B227" s="1" t="s">
        <v>5</v>
      </c>
      <c r="C227" s="3">
        <v>200025888982</v>
      </c>
      <c r="D227" s="2">
        <v>45801.237384259257</v>
      </c>
      <c r="E227" s="1">
        <v>0</v>
      </c>
    </row>
    <row r="228" spans="1:5" x14ac:dyDescent="0.35">
      <c r="A228" s="1">
        <v>227</v>
      </c>
      <c r="B228" s="1" t="s">
        <v>5</v>
      </c>
      <c r="C228" s="3">
        <v>200025888982</v>
      </c>
      <c r="D228" s="2">
        <v>45801.237523148149</v>
      </c>
      <c r="E228" s="1">
        <v>1</v>
      </c>
    </row>
    <row r="229" spans="1:5" x14ac:dyDescent="0.35">
      <c r="A229" s="1">
        <v>228</v>
      </c>
      <c r="B229" s="1" t="s">
        <v>5</v>
      </c>
      <c r="C229" s="3">
        <v>200025888982</v>
      </c>
      <c r="D229" s="2">
        <v>45801.237534722219</v>
      </c>
      <c r="E229" s="1">
        <v>1</v>
      </c>
    </row>
    <row r="230" spans="1:5" x14ac:dyDescent="0.35">
      <c r="A230" s="1">
        <v>229</v>
      </c>
      <c r="B230" s="1" t="s">
        <v>5</v>
      </c>
      <c r="C230" s="3">
        <v>200025888982</v>
      </c>
      <c r="D230" s="2">
        <v>45801.239236111112</v>
      </c>
      <c r="E230" s="1">
        <v>0</v>
      </c>
    </row>
    <row r="231" spans="1:5" x14ac:dyDescent="0.35">
      <c r="A231" s="1">
        <v>230</v>
      </c>
      <c r="B231" s="1" t="s">
        <v>5</v>
      </c>
      <c r="C231" s="3">
        <v>200025888982</v>
      </c>
      <c r="D231" s="2">
        <v>45801.31391203704</v>
      </c>
      <c r="E231" s="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49" workbookViewId="0">
      <selection activeCell="G1" sqref="G1"/>
    </sheetView>
  </sheetViews>
  <sheetFormatPr defaultColWidth="10.90625" defaultRowHeight="14.5" x14ac:dyDescent="0.35"/>
  <cols>
    <col min="1" max="1" width="4.54296875" bestFit="1" customWidth="1"/>
    <col min="2" max="2" width="15.453125" bestFit="1" customWidth="1"/>
    <col min="3" max="3" width="20.453125" style="3" customWidth="1"/>
    <col min="4" max="4" width="21.54296875" bestFit="1" customWidth="1"/>
    <col min="5" max="5" width="8" bestFit="1" customWidth="1"/>
  </cols>
  <sheetData>
    <row r="1" spans="1:5" ht="14.4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ht="14.4" x14ac:dyDescent="0.3">
      <c r="A2" s="1">
        <v>1</v>
      </c>
      <c r="B2" s="1" t="s">
        <v>7</v>
      </c>
      <c r="C2" s="3">
        <v>8119002419</v>
      </c>
      <c r="D2" s="2">
        <v>45792.723900462966</v>
      </c>
      <c r="E2" s="1">
        <v>1</v>
      </c>
    </row>
    <row r="3" spans="1:5" ht="14.4" x14ac:dyDescent="0.3">
      <c r="A3" s="1">
        <v>2</v>
      </c>
      <c r="B3" s="1" t="s">
        <v>7</v>
      </c>
      <c r="C3" s="3">
        <v>8119002419</v>
      </c>
      <c r="D3" s="2">
        <v>45792.723935185182</v>
      </c>
      <c r="E3" s="1">
        <v>0</v>
      </c>
    </row>
    <row r="4" spans="1:5" ht="14.4" x14ac:dyDescent="0.3">
      <c r="A4" s="1">
        <v>3</v>
      </c>
      <c r="B4" s="1" t="s">
        <v>7</v>
      </c>
      <c r="C4" s="3">
        <v>8119002419</v>
      </c>
      <c r="D4" s="2">
        <v>45792.723946759259</v>
      </c>
      <c r="E4" s="1">
        <v>0</v>
      </c>
    </row>
    <row r="5" spans="1:5" ht="14.4" x14ac:dyDescent="0.3">
      <c r="A5" s="1">
        <v>4</v>
      </c>
      <c r="B5" s="1" t="s">
        <v>7</v>
      </c>
      <c r="C5" s="3">
        <v>8119002419</v>
      </c>
      <c r="D5" s="2">
        <v>45792.723958333336</v>
      </c>
      <c r="E5" s="1">
        <v>0</v>
      </c>
    </row>
    <row r="6" spans="1:5" ht="14.4" x14ac:dyDescent="0.3">
      <c r="A6" s="1">
        <v>5</v>
      </c>
      <c r="B6" s="1" t="s">
        <v>7</v>
      </c>
      <c r="C6" s="3">
        <v>8119002419</v>
      </c>
      <c r="D6" s="2">
        <v>45792.723969907405</v>
      </c>
      <c r="E6" s="1">
        <v>0</v>
      </c>
    </row>
    <row r="7" spans="1:5" ht="14.4" x14ac:dyDescent="0.3">
      <c r="A7" s="1">
        <v>6</v>
      </c>
      <c r="B7" s="1" t="s">
        <v>7</v>
      </c>
      <c r="C7" s="3">
        <v>8119002419</v>
      </c>
      <c r="D7" s="2">
        <v>45792.723981481482</v>
      </c>
      <c r="E7" s="1">
        <v>0</v>
      </c>
    </row>
    <row r="8" spans="1:5" ht="14.4" x14ac:dyDescent="0.3">
      <c r="A8" s="1">
        <v>7</v>
      </c>
      <c r="B8" s="1" t="s">
        <v>7</v>
      </c>
      <c r="C8" s="3">
        <v>8119002419</v>
      </c>
      <c r="D8" s="2">
        <v>45792.723993055559</v>
      </c>
      <c r="E8" s="1">
        <v>0</v>
      </c>
    </row>
    <row r="9" spans="1:5" ht="14.4" x14ac:dyDescent="0.3">
      <c r="A9" s="1">
        <v>8</v>
      </c>
      <c r="B9" s="1" t="s">
        <v>7</v>
      </c>
      <c r="C9" s="3">
        <v>8119002419</v>
      </c>
      <c r="D9" s="2">
        <v>45792.724004629628</v>
      </c>
      <c r="E9" s="1">
        <v>0</v>
      </c>
    </row>
    <row r="10" spans="1:5" ht="14.4" x14ac:dyDescent="0.3">
      <c r="A10" s="1">
        <v>9</v>
      </c>
      <c r="B10" s="1" t="s">
        <v>7</v>
      </c>
      <c r="C10" s="3">
        <v>8119002419</v>
      </c>
      <c r="D10" s="2">
        <v>45792.724016203705</v>
      </c>
      <c r="E10" s="1">
        <v>0</v>
      </c>
    </row>
    <row r="11" spans="1:5" ht="14.4" x14ac:dyDescent="0.3">
      <c r="A11" s="1">
        <v>10</v>
      </c>
      <c r="B11" s="1" t="s">
        <v>7</v>
      </c>
      <c r="C11" s="3">
        <v>101</v>
      </c>
      <c r="D11" s="2">
        <v>45795.506828703707</v>
      </c>
      <c r="E11" s="1">
        <v>1</v>
      </c>
    </row>
    <row r="12" spans="1:5" ht="14.4" x14ac:dyDescent="0.3">
      <c r="A12" s="1">
        <v>11</v>
      </c>
      <c r="B12" s="1" t="s">
        <v>7</v>
      </c>
      <c r="C12" s="3">
        <v>101</v>
      </c>
      <c r="D12" s="2">
        <v>45795.506851851853</v>
      </c>
      <c r="E12" s="1">
        <v>0</v>
      </c>
    </row>
    <row r="13" spans="1:5" ht="14.4" x14ac:dyDescent="0.3">
      <c r="A13" s="1">
        <v>12</v>
      </c>
      <c r="B13" s="1" t="s">
        <v>7</v>
      </c>
      <c r="C13" s="3">
        <v>101</v>
      </c>
      <c r="D13" s="2">
        <v>45795.506874999999</v>
      </c>
      <c r="E13" s="1">
        <v>0</v>
      </c>
    </row>
    <row r="14" spans="1:5" ht="14.4" x14ac:dyDescent="0.3">
      <c r="A14" s="1">
        <v>13</v>
      </c>
      <c r="B14" s="1" t="s">
        <v>7</v>
      </c>
      <c r="C14" s="3">
        <v>200001616855</v>
      </c>
      <c r="D14" s="2">
        <v>45795.506898148145</v>
      </c>
      <c r="E14" s="1">
        <v>0</v>
      </c>
    </row>
    <row r="15" spans="1:5" ht="14.4" x14ac:dyDescent="0.3">
      <c r="A15" s="1">
        <v>14</v>
      </c>
      <c r="B15" s="1" t="s">
        <v>7</v>
      </c>
      <c r="C15" s="3">
        <v>200001616855</v>
      </c>
      <c r="D15" s="2">
        <v>45795.506909722222</v>
      </c>
      <c r="E15" s="1">
        <v>1</v>
      </c>
    </row>
    <row r="16" spans="1:5" ht="14.4" x14ac:dyDescent="0.3">
      <c r="A16" s="1">
        <v>15</v>
      </c>
      <c r="B16" s="1" t="s">
        <v>7</v>
      </c>
      <c r="C16" s="3">
        <v>200001616855</v>
      </c>
      <c r="D16" s="2">
        <v>45795.506932870368</v>
      </c>
      <c r="E16" s="1">
        <v>0</v>
      </c>
    </row>
    <row r="17" spans="1:5" ht="14.4" x14ac:dyDescent="0.3">
      <c r="A17" s="1">
        <v>16</v>
      </c>
      <c r="B17" s="1" t="s">
        <v>7</v>
      </c>
      <c r="C17" s="3">
        <v>200001616855</v>
      </c>
      <c r="D17" s="2">
        <v>45795.506944444445</v>
      </c>
      <c r="E17" s="1">
        <v>0</v>
      </c>
    </row>
    <row r="18" spans="1:5" ht="14.4" x14ac:dyDescent="0.3">
      <c r="A18" s="1">
        <v>17</v>
      </c>
      <c r="B18" s="1" t="s">
        <v>7</v>
      </c>
      <c r="C18" s="3">
        <v>101</v>
      </c>
      <c r="D18" s="2">
        <v>45795.506967592592</v>
      </c>
      <c r="E18" s="1">
        <v>0</v>
      </c>
    </row>
    <row r="19" spans="1:5" ht="14.4" x14ac:dyDescent="0.3">
      <c r="A19" s="1">
        <v>18</v>
      </c>
      <c r="B19" s="1" t="s">
        <v>7</v>
      </c>
      <c r="C19" s="3">
        <v>101</v>
      </c>
      <c r="D19" s="2">
        <v>45795.506979166668</v>
      </c>
      <c r="E19" s="1">
        <v>0</v>
      </c>
    </row>
    <row r="20" spans="1:5" ht="14.4" x14ac:dyDescent="0.3">
      <c r="A20" s="1">
        <v>19</v>
      </c>
      <c r="B20" s="1" t="s">
        <v>7</v>
      </c>
      <c r="C20" s="3">
        <v>101</v>
      </c>
      <c r="D20" s="2">
        <v>45795.587175925924</v>
      </c>
      <c r="E20" s="1">
        <v>1</v>
      </c>
    </row>
    <row r="21" spans="1:5" ht="14.4" x14ac:dyDescent="0.3">
      <c r="A21" s="1">
        <v>20</v>
      </c>
      <c r="B21" s="1" t="s">
        <v>7</v>
      </c>
      <c r="C21" s="3">
        <v>101</v>
      </c>
      <c r="D21" s="2">
        <v>45795.587187500001</v>
      </c>
      <c r="E21" s="1">
        <v>1</v>
      </c>
    </row>
    <row r="22" spans="1:5" ht="14.4" x14ac:dyDescent="0.3">
      <c r="A22" s="1">
        <v>21</v>
      </c>
      <c r="B22" s="1" t="s">
        <v>7</v>
      </c>
      <c r="C22" s="3">
        <v>101</v>
      </c>
      <c r="D22" s="2">
        <v>45795.588287037041</v>
      </c>
      <c r="E22" s="1">
        <v>0</v>
      </c>
    </row>
    <row r="23" spans="1:5" x14ac:dyDescent="0.35">
      <c r="A23" s="1">
        <v>22</v>
      </c>
      <c r="B23" s="1" t="s">
        <v>7</v>
      </c>
      <c r="C23" s="3">
        <v>101</v>
      </c>
      <c r="D23" s="2">
        <v>45795.588333333333</v>
      </c>
      <c r="E23" s="1">
        <v>1</v>
      </c>
    </row>
    <row r="24" spans="1:5" x14ac:dyDescent="0.35">
      <c r="A24" s="1">
        <v>23</v>
      </c>
      <c r="B24" s="1" t="s">
        <v>7</v>
      </c>
      <c r="C24" s="3">
        <v>101</v>
      </c>
      <c r="D24" s="2">
        <v>45795.588425925926</v>
      </c>
      <c r="E24" s="1">
        <v>2</v>
      </c>
    </row>
    <row r="25" spans="1:5" x14ac:dyDescent="0.35">
      <c r="A25" s="1">
        <v>24</v>
      </c>
      <c r="B25" s="1" t="s">
        <v>7</v>
      </c>
      <c r="C25" s="3">
        <v>101</v>
      </c>
      <c r="D25" s="2">
        <v>45795.588460648149</v>
      </c>
      <c r="E25" s="1">
        <v>4</v>
      </c>
    </row>
    <row r="26" spans="1:5" x14ac:dyDescent="0.35">
      <c r="A26" s="1">
        <v>25</v>
      </c>
      <c r="B26" s="1" t="s">
        <v>7</v>
      </c>
      <c r="C26" s="3">
        <v>101</v>
      </c>
      <c r="D26" s="2">
        <v>45795.588518518518</v>
      </c>
      <c r="E26" s="1">
        <v>0</v>
      </c>
    </row>
    <row r="27" spans="1:5" x14ac:dyDescent="0.35">
      <c r="A27" s="1">
        <v>26</v>
      </c>
      <c r="B27" s="1" t="s">
        <v>7</v>
      </c>
      <c r="C27" s="3">
        <v>101</v>
      </c>
      <c r="D27" s="2">
        <v>45796.498182870368</v>
      </c>
      <c r="E27" s="1">
        <v>0</v>
      </c>
    </row>
    <row r="28" spans="1:5" x14ac:dyDescent="0.35">
      <c r="A28" s="1">
        <v>27</v>
      </c>
      <c r="B28" s="1" t="s">
        <v>7</v>
      </c>
      <c r="C28" s="3">
        <v>101</v>
      </c>
      <c r="D28" s="2">
        <v>45796.498194444444</v>
      </c>
      <c r="E28" s="1">
        <v>1</v>
      </c>
    </row>
    <row r="29" spans="1:5" x14ac:dyDescent="0.35">
      <c r="A29" s="1">
        <v>28</v>
      </c>
      <c r="B29" s="1" t="s">
        <v>7</v>
      </c>
      <c r="C29" s="3">
        <v>200025888137</v>
      </c>
      <c r="D29" s="2">
        <v>45797.843229166669</v>
      </c>
      <c r="E29" s="1">
        <v>47</v>
      </c>
    </row>
    <row r="30" spans="1:5" x14ac:dyDescent="0.35">
      <c r="A30" s="1">
        <v>29</v>
      </c>
      <c r="B30" s="1" t="s">
        <v>7</v>
      </c>
      <c r="C30" s="3">
        <v>200025888201</v>
      </c>
      <c r="D30" s="2">
        <v>45798.499212962961</v>
      </c>
      <c r="E30" s="1">
        <v>4673</v>
      </c>
    </row>
    <row r="31" spans="1:5" x14ac:dyDescent="0.35">
      <c r="A31" s="1">
        <v>30</v>
      </c>
      <c r="B31" s="1" t="s">
        <v>7</v>
      </c>
      <c r="C31" s="3">
        <v>200025888868</v>
      </c>
      <c r="D31" s="2">
        <v>45798.908206018517</v>
      </c>
      <c r="E31" s="1">
        <v>0</v>
      </c>
    </row>
    <row r="32" spans="1:5" x14ac:dyDescent="0.35">
      <c r="A32" s="1">
        <v>31</v>
      </c>
      <c r="B32" s="1" t="s">
        <v>7</v>
      </c>
      <c r="C32" s="3">
        <v>200025888654</v>
      </c>
      <c r="D32" s="2">
        <v>45798.914050925923</v>
      </c>
      <c r="E32" s="1">
        <v>0</v>
      </c>
    </row>
    <row r="33" spans="1:5" x14ac:dyDescent="0.35">
      <c r="A33" s="1">
        <v>32</v>
      </c>
      <c r="B33" s="1" t="s">
        <v>7</v>
      </c>
      <c r="C33" s="3">
        <v>200025888504</v>
      </c>
      <c r="D33" s="2">
        <v>45798.931296296294</v>
      </c>
      <c r="E33" s="1">
        <v>0</v>
      </c>
    </row>
    <row r="34" spans="1:5" x14ac:dyDescent="0.35">
      <c r="A34" s="1">
        <v>33</v>
      </c>
      <c r="B34" s="1" t="s">
        <v>7</v>
      </c>
      <c r="C34" s="3">
        <v>200025888868</v>
      </c>
      <c r="D34" s="2">
        <v>45798.945081018515</v>
      </c>
      <c r="E34" s="1">
        <v>0</v>
      </c>
    </row>
    <row r="35" spans="1:5" x14ac:dyDescent="0.35">
      <c r="A35" s="1">
        <v>34</v>
      </c>
      <c r="B35" s="1" t="s">
        <v>7</v>
      </c>
      <c r="C35" s="3">
        <v>200025888868</v>
      </c>
      <c r="D35" s="2">
        <v>45799.227569444447</v>
      </c>
      <c r="E35" s="1">
        <v>0</v>
      </c>
    </row>
    <row r="36" spans="1:5" x14ac:dyDescent="0.35">
      <c r="A36" s="1">
        <v>35</v>
      </c>
      <c r="B36" s="1" t="s">
        <v>7</v>
      </c>
      <c r="C36" s="25">
        <v>200025888244</v>
      </c>
      <c r="D36" s="2">
        <v>45799.53324074074</v>
      </c>
      <c r="E36" s="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9"/>
  <sheetViews>
    <sheetView topLeftCell="A268" workbookViewId="0">
      <selection activeCell="H276" sqref="H276"/>
    </sheetView>
  </sheetViews>
  <sheetFormatPr defaultColWidth="10.90625" defaultRowHeight="14.5" x14ac:dyDescent="0.35"/>
  <cols>
    <col min="1" max="1" width="4.54296875" bestFit="1" customWidth="1"/>
    <col min="2" max="2" width="15.453125" bestFit="1" customWidth="1"/>
    <col min="3" max="3" width="17.54296875" style="3" customWidth="1"/>
    <col min="4" max="4" width="21.54296875" bestFit="1" customWidth="1"/>
    <col min="5" max="5" width="8" bestFit="1" customWidth="1"/>
  </cols>
  <sheetData>
    <row r="1" spans="1:5" ht="14.4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ht="14.4" x14ac:dyDescent="0.3">
      <c r="A2" s="1">
        <v>1</v>
      </c>
      <c r="B2" s="1" t="s">
        <v>5</v>
      </c>
      <c r="C2" s="3">
        <v>101</v>
      </c>
      <c r="D2" s="2">
        <v>45771.704201388886</v>
      </c>
      <c r="E2" s="1">
        <v>0</v>
      </c>
    </row>
    <row r="3" spans="1:5" ht="14.4" x14ac:dyDescent="0.3">
      <c r="A3" s="1">
        <v>2</v>
      </c>
      <c r="B3" s="1" t="s">
        <v>5</v>
      </c>
      <c r="C3" s="3">
        <v>101</v>
      </c>
      <c r="D3" s="2">
        <v>45771.704212962963</v>
      </c>
      <c r="E3" s="1">
        <v>1</v>
      </c>
    </row>
    <row r="4" spans="1:5" ht="14.4" x14ac:dyDescent="0.3">
      <c r="A4" s="1">
        <v>3</v>
      </c>
      <c r="B4" s="1" t="s">
        <v>5</v>
      </c>
      <c r="C4" s="3">
        <v>101</v>
      </c>
      <c r="D4" s="2">
        <v>45771.704236111109</v>
      </c>
      <c r="E4" s="1">
        <v>0</v>
      </c>
    </row>
    <row r="5" spans="1:5" ht="14.4" x14ac:dyDescent="0.3">
      <c r="A5" s="1">
        <v>4</v>
      </c>
      <c r="B5" s="1" t="s">
        <v>5</v>
      </c>
      <c r="C5" s="3">
        <v>200001616855</v>
      </c>
      <c r="D5" s="2">
        <v>45771.704270833332</v>
      </c>
      <c r="E5" s="1">
        <v>0</v>
      </c>
    </row>
    <row r="6" spans="1:5" ht="14.4" x14ac:dyDescent="0.3">
      <c r="A6" s="1">
        <v>5</v>
      </c>
      <c r="B6" s="1" t="s">
        <v>5</v>
      </c>
      <c r="C6" s="3">
        <v>200001616855</v>
      </c>
      <c r="D6" s="2">
        <v>45771.704282407409</v>
      </c>
      <c r="E6" s="1">
        <v>1</v>
      </c>
    </row>
    <row r="7" spans="1:5" ht="14.4" x14ac:dyDescent="0.3">
      <c r="A7" s="1">
        <v>6</v>
      </c>
      <c r="B7" s="1" t="s">
        <v>5</v>
      </c>
      <c r="C7" s="3">
        <v>200001616855</v>
      </c>
      <c r="D7" s="2">
        <v>45771.704305555555</v>
      </c>
      <c r="E7" s="1">
        <v>0</v>
      </c>
    </row>
    <row r="8" spans="1:5" ht="14.4" x14ac:dyDescent="0.3">
      <c r="A8" s="1">
        <v>7</v>
      </c>
      <c r="B8" s="1" t="s">
        <v>5</v>
      </c>
      <c r="C8" s="3">
        <v>200001616855</v>
      </c>
      <c r="D8" s="2">
        <v>45771.704317129632</v>
      </c>
      <c r="E8" s="1">
        <v>0</v>
      </c>
    </row>
    <row r="9" spans="1:5" ht="14.4" x14ac:dyDescent="0.3">
      <c r="A9" s="1">
        <v>8</v>
      </c>
      <c r="B9" s="1" t="s">
        <v>5</v>
      </c>
      <c r="C9" s="3">
        <v>101</v>
      </c>
      <c r="D9" s="2">
        <v>45771.704340277778</v>
      </c>
      <c r="E9" s="1">
        <v>0</v>
      </c>
    </row>
    <row r="10" spans="1:5" ht="14.4" x14ac:dyDescent="0.3">
      <c r="A10" s="1">
        <v>9</v>
      </c>
      <c r="B10" s="1" t="s">
        <v>5</v>
      </c>
      <c r="C10" s="3">
        <v>101</v>
      </c>
      <c r="D10" s="2">
        <v>45771.704351851855</v>
      </c>
      <c r="E10" s="1">
        <v>0</v>
      </c>
    </row>
    <row r="11" spans="1:5" ht="14.4" x14ac:dyDescent="0.3">
      <c r="A11" s="1">
        <v>10</v>
      </c>
      <c r="B11" s="1" t="s">
        <v>5</v>
      </c>
      <c r="C11" s="3">
        <v>101</v>
      </c>
      <c r="D11" s="2">
        <v>45771.704363425924</v>
      </c>
      <c r="E11" s="1">
        <v>0</v>
      </c>
    </row>
    <row r="12" spans="1:5" ht="14.4" x14ac:dyDescent="0.3">
      <c r="A12" s="1">
        <v>11</v>
      </c>
      <c r="B12" s="1" t="s">
        <v>5</v>
      </c>
      <c r="C12" s="3">
        <v>101</v>
      </c>
      <c r="D12" s="2">
        <v>45772.72315972222</v>
      </c>
      <c r="E12" s="1">
        <v>1</v>
      </c>
    </row>
    <row r="13" spans="1:5" ht="14.4" x14ac:dyDescent="0.3">
      <c r="A13" s="1">
        <v>12</v>
      </c>
      <c r="B13" s="1" t="s">
        <v>5</v>
      </c>
      <c r="C13" s="3">
        <v>101</v>
      </c>
      <c r="D13" s="2">
        <v>45772.723182870373</v>
      </c>
      <c r="E13" s="1">
        <v>0</v>
      </c>
    </row>
    <row r="14" spans="1:5" ht="14.4" x14ac:dyDescent="0.3">
      <c r="A14" s="1">
        <v>13</v>
      </c>
      <c r="B14" s="1" t="s">
        <v>5</v>
      </c>
      <c r="C14" s="3">
        <v>101</v>
      </c>
      <c r="D14" s="2">
        <v>45772.723194444443</v>
      </c>
      <c r="E14" s="1">
        <v>0</v>
      </c>
    </row>
    <row r="15" spans="1:5" ht="14.4" x14ac:dyDescent="0.3">
      <c r="A15" s="1">
        <v>14</v>
      </c>
      <c r="B15" s="1" t="s">
        <v>5</v>
      </c>
      <c r="C15" s="3">
        <v>200001616855</v>
      </c>
      <c r="D15" s="2">
        <v>45772.723217592589</v>
      </c>
      <c r="E15" s="1">
        <v>1</v>
      </c>
    </row>
    <row r="16" spans="1:5" ht="14.4" x14ac:dyDescent="0.3">
      <c r="A16" s="1">
        <v>15</v>
      </c>
      <c r="B16" s="1" t="s">
        <v>5</v>
      </c>
      <c r="C16" s="3">
        <v>200001616855</v>
      </c>
      <c r="D16" s="2">
        <v>45772.723240740743</v>
      </c>
      <c r="E16" s="1">
        <v>1</v>
      </c>
    </row>
    <row r="17" spans="1:5" ht="14.4" x14ac:dyDescent="0.3">
      <c r="A17" s="1">
        <v>16</v>
      </c>
      <c r="B17" s="1" t="s">
        <v>5</v>
      </c>
      <c r="C17" s="3">
        <v>200001616855</v>
      </c>
      <c r="D17" s="2">
        <v>45772.723263888889</v>
      </c>
      <c r="E17" s="1">
        <v>0</v>
      </c>
    </row>
    <row r="18" spans="1:5" ht="14.4" x14ac:dyDescent="0.3">
      <c r="A18" s="1">
        <v>17</v>
      </c>
      <c r="B18" s="1" t="s">
        <v>5</v>
      </c>
      <c r="C18" s="3">
        <v>200001616855</v>
      </c>
      <c r="D18" s="2">
        <v>45772.723287037035</v>
      </c>
      <c r="E18" s="1">
        <v>0</v>
      </c>
    </row>
    <row r="19" spans="1:5" ht="14.4" x14ac:dyDescent="0.3">
      <c r="A19" s="1">
        <v>18</v>
      </c>
      <c r="B19" s="1" t="s">
        <v>5</v>
      </c>
      <c r="C19" s="3">
        <v>101</v>
      </c>
      <c r="D19" s="2">
        <v>45772.723645833335</v>
      </c>
      <c r="E19" s="1">
        <v>1</v>
      </c>
    </row>
    <row r="20" spans="1:5" ht="14.4" x14ac:dyDescent="0.3">
      <c r="A20" s="1">
        <v>19</v>
      </c>
      <c r="B20" s="1" t="s">
        <v>5</v>
      </c>
      <c r="C20" s="3">
        <v>101</v>
      </c>
      <c r="D20" s="2">
        <v>45772.723668981482</v>
      </c>
      <c r="E20" s="1">
        <v>0</v>
      </c>
    </row>
    <row r="21" spans="1:5" ht="14.4" x14ac:dyDescent="0.3">
      <c r="A21" s="1">
        <v>20</v>
      </c>
      <c r="B21" s="1" t="s">
        <v>5</v>
      </c>
      <c r="C21" s="3">
        <v>101</v>
      </c>
      <c r="D21" s="2">
        <v>45772.723680555559</v>
      </c>
      <c r="E21" s="1">
        <v>1</v>
      </c>
    </row>
    <row r="22" spans="1:5" ht="14.4" x14ac:dyDescent="0.3">
      <c r="A22" s="1">
        <v>21</v>
      </c>
      <c r="B22" s="1" t="s">
        <v>5</v>
      </c>
      <c r="C22" s="3">
        <v>101</v>
      </c>
      <c r="D22" s="2">
        <v>45795.519583333335</v>
      </c>
      <c r="E22" s="1">
        <v>0</v>
      </c>
    </row>
    <row r="23" spans="1:5" ht="14.4" x14ac:dyDescent="0.3">
      <c r="A23" s="1">
        <v>22</v>
      </c>
      <c r="B23" s="1" t="s">
        <v>5</v>
      </c>
      <c r="C23" s="3">
        <v>101</v>
      </c>
      <c r="D23" s="2">
        <v>45795.519606481481</v>
      </c>
      <c r="E23" s="1">
        <v>1</v>
      </c>
    </row>
    <row r="24" spans="1:5" ht="14.4" x14ac:dyDescent="0.3">
      <c r="A24" s="1">
        <v>23</v>
      </c>
      <c r="B24" s="1" t="s">
        <v>5</v>
      </c>
      <c r="C24" s="3">
        <v>101</v>
      </c>
      <c r="D24" s="2">
        <v>45795.519629629627</v>
      </c>
      <c r="E24" s="1">
        <v>0</v>
      </c>
    </row>
    <row r="25" spans="1:5" ht="14.4" x14ac:dyDescent="0.3">
      <c r="A25" s="1">
        <v>24</v>
      </c>
      <c r="B25" s="1" t="s">
        <v>5</v>
      </c>
      <c r="C25" s="3">
        <v>200001616855</v>
      </c>
      <c r="D25" s="2">
        <v>45795.519641203704</v>
      </c>
      <c r="E25" s="1">
        <v>1</v>
      </c>
    </row>
    <row r="26" spans="1:5" ht="14.4" x14ac:dyDescent="0.3">
      <c r="A26" s="1">
        <v>25</v>
      </c>
      <c r="B26" s="1" t="s">
        <v>5</v>
      </c>
      <c r="C26" s="3">
        <v>200001616855</v>
      </c>
      <c r="D26" s="2">
        <v>45795.519675925927</v>
      </c>
      <c r="E26" s="1">
        <v>0</v>
      </c>
    </row>
    <row r="27" spans="1:5" ht="14.4" x14ac:dyDescent="0.3">
      <c r="A27" s="1">
        <v>26</v>
      </c>
      <c r="B27" s="1" t="s">
        <v>5</v>
      </c>
      <c r="C27" s="3">
        <v>200001616855</v>
      </c>
      <c r="D27" s="2">
        <v>45795.519687499997</v>
      </c>
      <c r="E27" s="1">
        <v>0</v>
      </c>
    </row>
    <row r="28" spans="1:5" ht="14.4" x14ac:dyDescent="0.3">
      <c r="A28" s="1">
        <v>27</v>
      </c>
      <c r="B28" s="1" t="s">
        <v>5</v>
      </c>
      <c r="C28" s="3">
        <v>200001616855</v>
      </c>
      <c r="D28" s="2">
        <v>45795.519699074073</v>
      </c>
      <c r="E28" s="1">
        <v>1</v>
      </c>
    </row>
    <row r="29" spans="1:5" ht="14.4" x14ac:dyDescent="0.3">
      <c r="A29" s="1">
        <v>28</v>
      </c>
      <c r="B29" s="1" t="s">
        <v>5</v>
      </c>
      <c r="C29" s="3">
        <v>101</v>
      </c>
      <c r="D29" s="2">
        <v>45795.51972222222</v>
      </c>
      <c r="E29" s="1">
        <v>0</v>
      </c>
    </row>
    <row r="30" spans="1:5" ht="14.4" x14ac:dyDescent="0.3">
      <c r="A30" s="1">
        <v>29</v>
      </c>
      <c r="B30" s="1" t="s">
        <v>5</v>
      </c>
      <c r="C30" s="3">
        <v>101</v>
      </c>
      <c r="D30" s="2">
        <v>45795.519733796296</v>
      </c>
      <c r="E30" s="1">
        <v>0</v>
      </c>
    </row>
    <row r="31" spans="1:5" ht="14.4" x14ac:dyDescent="0.3">
      <c r="A31" s="1">
        <v>30</v>
      </c>
      <c r="B31" s="1" t="s">
        <v>5</v>
      </c>
      <c r="C31" s="3">
        <v>101</v>
      </c>
      <c r="D31" s="2">
        <v>45795.519745370373</v>
      </c>
      <c r="E31" s="1">
        <v>0</v>
      </c>
    </row>
    <row r="32" spans="1:5" ht="14.4" x14ac:dyDescent="0.3">
      <c r="A32" s="1">
        <v>31</v>
      </c>
      <c r="B32" s="1" t="s">
        <v>5</v>
      </c>
      <c r="C32" s="3">
        <v>101</v>
      </c>
      <c r="D32" s="2">
        <v>45796.499594907407</v>
      </c>
      <c r="E32" s="1">
        <v>1</v>
      </c>
    </row>
    <row r="33" spans="1:5" ht="14.4" x14ac:dyDescent="0.3">
      <c r="A33" s="1">
        <v>32</v>
      </c>
      <c r="B33" s="1" t="s">
        <v>5</v>
      </c>
      <c r="C33" s="3">
        <v>101</v>
      </c>
      <c r="D33" s="2">
        <v>45796.499606481484</v>
      </c>
      <c r="E33" s="1">
        <v>1</v>
      </c>
    </row>
    <row r="34" spans="1:5" ht="14.4" x14ac:dyDescent="0.3">
      <c r="A34" s="1">
        <v>33</v>
      </c>
      <c r="B34" s="1" t="s">
        <v>5</v>
      </c>
      <c r="C34" s="3">
        <v>200025888173</v>
      </c>
      <c r="D34" s="2">
        <v>45798.247002314813</v>
      </c>
      <c r="E34" s="1">
        <v>0</v>
      </c>
    </row>
    <row r="35" spans="1:5" ht="14.4" x14ac:dyDescent="0.3">
      <c r="A35" s="1">
        <v>34</v>
      </c>
      <c r="B35" s="1" t="s">
        <v>5</v>
      </c>
      <c r="C35" s="3">
        <v>200025888173</v>
      </c>
      <c r="D35" s="2">
        <v>45798.247013888889</v>
      </c>
      <c r="E35" s="1">
        <v>0</v>
      </c>
    </row>
    <row r="36" spans="1:5" ht="14.4" x14ac:dyDescent="0.3">
      <c r="A36" s="1">
        <v>35</v>
      </c>
      <c r="B36" s="1" t="s">
        <v>5</v>
      </c>
      <c r="C36" s="3">
        <v>200025888173</v>
      </c>
      <c r="D36" s="2">
        <v>45798.27275462963</v>
      </c>
      <c r="E36" s="1">
        <v>0</v>
      </c>
    </row>
    <row r="37" spans="1:5" ht="14.4" x14ac:dyDescent="0.3">
      <c r="A37" s="1">
        <v>36</v>
      </c>
      <c r="B37" s="1" t="s">
        <v>5</v>
      </c>
      <c r="C37" s="3">
        <v>200025888173</v>
      </c>
      <c r="D37" s="2">
        <v>45798.302256944444</v>
      </c>
      <c r="E37" s="1">
        <v>0</v>
      </c>
    </row>
    <row r="38" spans="1:5" ht="14.4" x14ac:dyDescent="0.3">
      <c r="A38" s="1">
        <v>37</v>
      </c>
      <c r="B38" s="1" t="s">
        <v>5</v>
      </c>
      <c r="C38" s="3">
        <v>200025888173</v>
      </c>
      <c r="D38" s="2">
        <v>45798.302268518521</v>
      </c>
      <c r="E38" s="1">
        <v>0</v>
      </c>
    </row>
    <row r="39" spans="1:5" ht="14.4" x14ac:dyDescent="0.3">
      <c r="A39" s="1">
        <v>38</v>
      </c>
      <c r="B39" s="1" t="s">
        <v>5</v>
      </c>
      <c r="C39" s="3">
        <v>200025888173</v>
      </c>
      <c r="D39" s="2">
        <v>45798.30228009259</v>
      </c>
      <c r="E39" s="1">
        <v>1</v>
      </c>
    </row>
    <row r="40" spans="1:5" ht="14.4" x14ac:dyDescent="0.3">
      <c r="A40" s="1">
        <v>39</v>
      </c>
      <c r="B40" s="1" t="s">
        <v>5</v>
      </c>
      <c r="C40" s="3">
        <v>200025888173</v>
      </c>
      <c r="D40" s="2">
        <v>45798.302534722221</v>
      </c>
      <c r="E40" s="1">
        <v>1</v>
      </c>
    </row>
    <row r="41" spans="1:5" ht="14.4" x14ac:dyDescent="0.3">
      <c r="A41" s="1">
        <v>40</v>
      </c>
      <c r="B41" s="1" t="s">
        <v>5</v>
      </c>
      <c r="C41" s="3">
        <v>200025888173</v>
      </c>
      <c r="D41" s="2">
        <v>45798.302546296298</v>
      </c>
      <c r="E41" s="1">
        <v>0</v>
      </c>
    </row>
    <row r="42" spans="1:5" ht="14.4" x14ac:dyDescent="0.3">
      <c r="A42" s="1">
        <v>41</v>
      </c>
      <c r="B42" s="1" t="s">
        <v>5</v>
      </c>
      <c r="C42" s="3">
        <v>200025888173</v>
      </c>
      <c r="D42" s="2">
        <v>45798.32234953704</v>
      </c>
      <c r="E42" s="1">
        <v>0</v>
      </c>
    </row>
    <row r="43" spans="1:5" ht="14.4" x14ac:dyDescent="0.3">
      <c r="A43" s="1">
        <v>42</v>
      </c>
      <c r="B43" s="1" t="s">
        <v>5</v>
      </c>
      <c r="C43" s="3">
        <v>200025888173</v>
      </c>
      <c r="D43" s="2">
        <v>45798.367731481485</v>
      </c>
      <c r="E43" s="1">
        <v>0</v>
      </c>
    </row>
    <row r="44" spans="1:5" ht="14.4" x14ac:dyDescent="0.3">
      <c r="A44" s="1">
        <v>43</v>
      </c>
      <c r="B44" s="1" t="s">
        <v>5</v>
      </c>
      <c r="C44" s="3">
        <v>200025888824</v>
      </c>
      <c r="D44" s="2">
        <v>45798.453252314815</v>
      </c>
      <c r="E44" s="1">
        <v>0</v>
      </c>
    </row>
    <row r="45" spans="1:5" ht="14.4" x14ac:dyDescent="0.3">
      <c r="A45" s="1">
        <v>44</v>
      </c>
      <c r="B45" s="1" t="s">
        <v>5</v>
      </c>
      <c r="C45" s="3">
        <v>200025888824</v>
      </c>
      <c r="D45" s="2">
        <v>45798.453263888892</v>
      </c>
      <c r="E45" s="1">
        <v>0</v>
      </c>
    </row>
    <row r="46" spans="1:5" ht="14.4" x14ac:dyDescent="0.3">
      <c r="A46" s="1">
        <v>45</v>
      </c>
      <c r="B46" s="1" t="s">
        <v>5</v>
      </c>
      <c r="C46" s="3">
        <v>200025888824</v>
      </c>
      <c r="D46" s="2">
        <v>45798.454606481479</v>
      </c>
      <c r="E46" s="1">
        <v>1</v>
      </c>
    </row>
    <row r="47" spans="1:5" ht="14.4" x14ac:dyDescent="0.3">
      <c r="A47" s="1">
        <v>46</v>
      </c>
      <c r="B47" s="1" t="s">
        <v>5</v>
      </c>
      <c r="C47" s="3">
        <v>200025888824</v>
      </c>
      <c r="D47" s="2">
        <v>45798.454618055555</v>
      </c>
      <c r="E47" s="1">
        <v>0</v>
      </c>
    </row>
    <row r="48" spans="1:5" ht="14.4" x14ac:dyDescent="0.3">
      <c r="A48" s="1">
        <v>47</v>
      </c>
      <c r="B48" s="1" t="s">
        <v>5</v>
      </c>
      <c r="C48" s="3">
        <v>200025888824</v>
      </c>
      <c r="D48" s="2">
        <v>45798.503449074073</v>
      </c>
      <c r="E48" s="1">
        <v>715</v>
      </c>
    </row>
    <row r="49" spans="1:5" ht="14.4" x14ac:dyDescent="0.3">
      <c r="A49" s="1">
        <v>48</v>
      </c>
      <c r="B49" s="1" t="s">
        <v>5</v>
      </c>
      <c r="C49" s="3">
        <v>200025888137</v>
      </c>
      <c r="D49" s="2">
        <v>45798.511724537035</v>
      </c>
      <c r="E49" s="1">
        <v>2</v>
      </c>
    </row>
    <row r="50" spans="1:5" ht="14.4" x14ac:dyDescent="0.3">
      <c r="A50" s="1">
        <v>49</v>
      </c>
      <c r="B50" s="1" t="s">
        <v>5</v>
      </c>
      <c r="C50" s="3">
        <v>200025888137</v>
      </c>
      <c r="D50" s="2">
        <v>45798.511944444443</v>
      </c>
      <c r="E50" s="1">
        <v>3</v>
      </c>
    </row>
    <row r="51" spans="1:5" ht="14.4" x14ac:dyDescent="0.3">
      <c r="A51" s="1">
        <v>50</v>
      </c>
      <c r="B51" s="1" t="s">
        <v>5</v>
      </c>
      <c r="C51" s="3">
        <v>200025888137</v>
      </c>
      <c r="D51" s="2">
        <v>45798.553657407407</v>
      </c>
      <c r="E51" s="1">
        <v>0</v>
      </c>
    </row>
    <row r="52" spans="1:5" ht="14.4" x14ac:dyDescent="0.3">
      <c r="A52" s="1">
        <v>51</v>
      </c>
      <c r="B52" s="1" t="s">
        <v>5</v>
      </c>
      <c r="C52" s="3">
        <v>200025888137</v>
      </c>
      <c r="D52" s="2">
        <v>45798.553668981483</v>
      </c>
      <c r="E52" s="1">
        <v>0</v>
      </c>
    </row>
    <row r="53" spans="1:5" ht="14.4" x14ac:dyDescent="0.3">
      <c r="A53" s="1">
        <v>52</v>
      </c>
      <c r="B53" s="1" t="s">
        <v>5</v>
      </c>
      <c r="C53" s="3">
        <v>200025888137</v>
      </c>
      <c r="D53" s="2">
        <v>45798.55369212963</v>
      </c>
      <c r="E53" s="1">
        <v>0</v>
      </c>
    </row>
    <row r="54" spans="1:5" ht="14.4" x14ac:dyDescent="0.3">
      <c r="A54" s="1">
        <v>53</v>
      </c>
      <c r="B54" s="1" t="s">
        <v>5</v>
      </c>
      <c r="C54" s="3">
        <v>200025888137</v>
      </c>
      <c r="D54" s="2">
        <v>45798.589317129627</v>
      </c>
      <c r="E54" s="1">
        <v>1</v>
      </c>
    </row>
    <row r="55" spans="1:5" ht="14.4" x14ac:dyDescent="0.3">
      <c r="A55" s="1">
        <v>54</v>
      </c>
      <c r="B55" s="1" t="s">
        <v>5</v>
      </c>
      <c r="C55" s="3">
        <v>200025888137</v>
      </c>
      <c r="D55" s="2">
        <v>45798.589328703703</v>
      </c>
      <c r="E55" s="1">
        <v>1</v>
      </c>
    </row>
    <row r="56" spans="1:5" ht="14.4" x14ac:dyDescent="0.3">
      <c r="A56" s="1">
        <v>55</v>
      </c>
      <c r="B56" s="1" t="s">
        <v>5</v>
      </c>
      <c r="C56" s="3">
        <v>200025888137</v>
      </c>
      <c r="D56" s="2">
        <v>45798.60359953704</v>
      </c>
      <c r="E56" s="1">
        <v>1</v>
      </c>
    </row>
    <row r="57" spans="1:5" ht="14.4" x14ac:dyDescent="0.3">
      <c r="A57" s="1">
        <v>56</v>
      </c>
      <c r="B57" s="1" t="s">
        <v>5</v>
      </c>
      <c r="C57" s="3">
        <v>200025888137</v>
      </c>
      <c r="D57" s="2">
        <v>45798.60361111111</v>
      </c>
      <c r="E57" s="1">
        <v>1</v>
      </c>
    </row>
    <row r="58" spans="1:5" ht="14.4" x14ac:dyDescent="0.3">
      <c r="A58" s="1">
        <v>57</v>
      </c>
      <c r="B58" s="1" t="s">
        <v>5</v>
      </c>
      <c r="C58" s="3">
        <v>200025888137</v>
      </c>
      <c r="D58" s="2">
        <v>45798.603773148148</v>
      </c>
      <c r="E58" s="1">
        <v>1</v>
      </c>
    </row>
    <row r="59" spans="1:5" ht="14.4" x14ac:dyDescent="0.3">
      <c r="A59" s="1">
        <v>58</v>
      </c>
      <c r="B59" s="1" t="s">
        <v>5</v>
      </c>
      <c r="C59" s="3">
        <v>200025888137</v>
      </c>
      <c r="D59" s="2">
        <v>45798.604270833333</v>
      </c>
      <c r="E59" s="1">
        <v>0</v>
      </c>
    </row>
    <row r="60" spans="1:5" ht="14.4" x14ac:dyDescent="0.3">
      <c r="A60" s="1">
        <v>59</v>
      </c>
      <c r="B60" s="1" t="s">
        <v>5</v>
      </c>
      <c r="C60" s="3">
        <v>200025888137</v>
      </c>
      <c r="D60" s="2">
        <v>45798.604409722226</v>
      </c>
      <c r="E60" s="1">
        <v>0</v>
      </c>
    </row>
    <row r="61" spans="1:5" ht="14.4" x14ac:dyDescent="0.3">
      <c r="A61" s="1">
        <v>60</v>
      </c>
      <c r="B61" s="1" t="s">
        <v>5</v>
      </c>
      <c r="C61" s="3">
        <v>200025888137</v>
      </c>
      <c r="D61" s="2">
        <v>45798.604421296295</v>
      </c>
      <c r="E61" s="1">
        <v>1</v>
      </c>
    </row>
    <row r="62" spans="1:5" ht="14.4" x14ac:dyDescent="0.3">
      <c r="A62" s="1">
        <v>61</v>
      </c>
      <c r="B62" s="1" t="s">
        <v>5</v>
      </c>
      <c r="C62" s="3">
        <v>200025888137</v>
      </c>
      <c r="D62" s="2">
        <v>45798.605509259258</v>
      </c>
      <c r="E62" s="1">
        <v>1</v>
      </c>
    </row>
    <row r="63" spans="1:5" ht="14.4" x14ac:dyDescent="0.3">
      <c r="A63" s="1">
        <v>62</v>
      </c>
      <c r="B63" s="1" t="s">
        <v>5</v>
      </c>
      <c r="C63" s="3">
        <v>200025888137</v>
      </c>
      <c r="D63" s="2">
        <v>45798.605636574073</v>
      </c>
      <c r="E63" s="1">
        <v>0</v>
      </c>
    </row>
    <row r="64" spans="1:5" ht="14.4" x14ac:dyDescent="0.3">
      <c r="A64" s="1">
        <v>63</v>
      </c>
      <c r="B64" s="1" t="s">
        <v>5</v>
      </c>
      <c r="C64" s="3">
        <v>200025888137</v>
      </c>
      <c r="D64" s="2">
        <v>45798.60564814815</v>
      </c>
      <c r="E64" s="1">
        <v>12</v>
      </c>
    </row>
    <row r="65" spans="1:5" ht="14.4" x14ac:dyDescent="0.3">
      <c r="A65" s="1">
        <v>64</v>
      </c>
      <c r="B65" s="1" t="s">
        <v>5</v>
      </c>
      <c r="C65" s="3">
        <v>200025888137</v>
      </c>
      <c r="D65" s="2">
        <v>45798.606053240743</v>
      </c>
      <c r="E65" s="1">
        <v>1</v>
      </c>
    </row>
    <row r="66" spans="1:5" ht="14.4" x14ac:dyDescent="0.3">
      <c r="A66" s="1">
        <v>65</v>
      </c>
      <c r="B66" s="1" t="s">
        <v>5</v>
      </c>
      <c r="C66" s="3">
        <v>200025888654</v>
      </c>
      <c r="D66" s="2">
        <v>45798.654340277775</v>
      </c>
      <c r="E66" s="1">
        <v>0</v>
      </c>
    </row>
    <row r="67" spans="1:5" ht="14.4" x14ac:dyDescent="0.3">
      <c r="A67" s="1">
        <v>66</v>
      </c>
      <c r="B67" s="1" t="s">
        <v>5</v>
      </c>
      <c r="C67" s="3">
        <v>200025888654</v>
      </c>
      <c r="D67" s="2">
        <v>45798.654351851852</v>
      </c>
      <c r="E67" s="1">
        <v>0</v>
      </c>
    </row>
    <row r="68" spans="1:5" ht="14.4" x14ac:dyDescent="0.3">
      <c r="A68" s="1">
        <v>67</v>
      </c>
      <c r="B68" s="1" t="s">
        <v>5</v>
      </c>
      <c r="C68" s="3">
        <v>200025888654</v>
      </c>
      <c r="D68" s="2">
        <v>45798.654363425929</v>
      </c>
      <c r="E68" s="1">
        <v>31</v>
      </c>
    </row>
    <row r="69" spans="1:5" ht="14.4" x14ac:dyDescent="0.3">
      <c r="A69" s="1">
        <v>68</v>
      </c>
      <c r="B69" s="1" t="s">
        <v>5</v>
      </c>
      <c r="C69" s="3">
        <v>200025888654</v>
      </c>
      <c r="D69" s="2">
        <v>45798.655798611115</v>
      </c>
      <c r="E69" s="1">
        <v>1</v>
      </c>
    </row>
    <row r="70" spans="1:5" ht="14.4" x14ac:dyDescent="0.3">
      <c r="A70" s="1">
        <v>69</v>
      </c>
      <c r="B70" s="1" t="s">
        <v>5</v>
      </c>
      <c r="C70" s="3">
        <v>200025888654</v>
      </c>
      <c r="D70" s="2">
        <v>45798.655821759261</v>
      </c>
      <c r="E70" s="1">
        <v>1</v>
      </c>
    </row>
    <row r="71" spans="1:5" ht="14.4" x14ac:dyDescent="0.3">
      <c r="A71" s="1">
        <v>70</v>
      </c>
      <c r="B71" s="1" t="s">
        <v>5</v>
      </c>
      <c r="C71" s="3">
        <v>200025888654</v>
      </c>
      <c r="D71" s="2">
        <v>45798.655833333331</v>
      </c>
      <c r="E71" s="1">
        <v>0</v>
      </c>
    </row>
    <row r="72" spans="1:5" ht="14.4" x14ac:dyDescent="0.3">
      <c r="A72" s="1">
        <v>71</v>
      </c>
      <c r="B72" s="1" t="s">
        <v>5</v>
      </c>
      <c r="C72" s="3">
        <v>200025888654</v>
      </c>
      <c r="D72" s="2">
        <v>45798.655844907407</v>
      </c>
      <c r="E72" s="1">
        <v>0</v>
      </c>
    </row>
    <row r="73" spans="1:5" ht="14.4" x14ac:dyDescent="0.3">
      <c r="A73" s="1">
        <v>72</v>
      </c>
      <c r="B73" s="1" t="s">
        <v>5</v>
      </c>
      <c r="C73" s="3">
        <v>200025888654</v>
      </c>
      <c r="D73" s="2">
        <v>45798.655844907407</v>
      </c>
      <c r="E73" s="1">
        <v>1</v>
      </c>
    </row>
    <row r="74" spans="1:5" ht="14.4" x14ac:dyDescent="0.3">
      <c r="A74" s="1">
        <v>73</v>
      </c>
      <c r="B74" s="1" t="s">
        <v>5</v>
      </c>
      <c r="C74" s="3">
        <v>200025888654</v>
      </c>
      <c r="D74" s="2">
        <v>45798.6559375</v>
      </c>
      <c r="E74" s="1">
        <v>1</v>
      </c>
    </row>
    <row r="75" spans="1:5" ht="14.4" x14ac:dyDescent="0.3">
      <c r="A75" s="1">
        <v>74</v>
      </c>
      <c r="B75" s="1" t="s">
        <v>5</v>
      </c>
      <c r="C75" s="3">
        <v>200025888137</v>
      </c>
      <c r="D75" s="2">
        <v>45798.675671296296</v>
      </c>
      <c r="E75" s="1">
        <v>1</v>
      </c>
    </row>
    <row r="76" spans="1:5" ht="14.4" x14ac:dyDescent="0.3">
      <c r="A76" s="1">
        <v>75</v>
      </c>
      <c r="B76" s="1" t="s">
        <v>5</v>
      </c>
      <c r="C76" s="3">
        <v>200025888137</v>
      </c>
      <c r="D76" s="2">
        <v>45798.675682870373</v>
      </c>
      <c r="E76" s="1">
        <v>0</v>
      </c>
    </row>
    <row r="77" spans="1:5" ht="14.4" x14ac:dyDescent="0.3">
      <c r="A77" s="1">
        <v>76</v>
      </c>
      <c r="B77" s="1" t="s">
        <v>5</v>
      </c>
      <c r="C77" s="3">
        <v>200025888137</v>
      </c>
      <c r="D77" s="2">
        <v>45798.675682870373</v>
      </c>
      <c r="E77" s="1">
        <v>1</v>
      </c>
    </row>
    <row r="78" spans="1:5" ht="14.4" x14ac:dyDescent="0.3">
      <c r="A78" s="1">
        <v>77</v>
      </c>
      <c r="B78" s="1" t="s">
        <v>5</v>
      </c>
      <c r="C78" s="3">
        <v>200025888137</v>
      </c>
      <c r="D78" s="2">
        <v>45798.676307870373</v>
      </c>
      <c r="E78" s="1">
        <v>13</v>
      </c>
    </row>
    <row r="79" spans="1:5" ht="14.4" x14ac:dyDescent="0.3">
      <c r="A79" s="1">
        <v>78</v>
      </c>
      <c r="B79" s="1" t="s">
        <v>5</v>
      </c>
      <c r="C79" s="3">
        <v>200025888137</v>
      </c>
      <c r="D79" s="2">
        <v>45798.676979166667</v>
      </c>
      <c r="E79" s="1">
        <v>0</v>
      </c>
    </row>
    <row r="80" spans="1:5" ht="14.4" x14ac:dyDescent="0.3">
      <c r="A80" s="1">
        <v>79</v>
      </c>
      <c r="B80" s="1" t="s">
        <v>5</v>
      </c>
      <c r="C80" s="3">
        <v>200025888137</v>
      </c>
      <c r="D80" s="2">
        <v>45798.676990740743</v>
      </c>
      <c r="E80" s="1">
        <v>0</v>
      </c>
    </row>
    <row r="81" spans="1:5" ht="14.4" x14ac:dyDescent="0.3">
      <c r="A81" s="1">
        <v>80</v>
      </c>
      <c r="B81" s="1" t="s">
        <v>5</v>
      </c>
      <c r="C81" s="3">
        <v>200025888137</v>
      </c>
      <c r="D81" s="2">
        <v>45798.67759259259</v>
      </c>
      <c r="E81" s="1">
        <v>1</v>
      </c>
    </row>
    <row r="82" spans="1:5" ht="14.4" x14ac:dyDescent="0.3">
      <c r="A82" s="1">
        <v>81</v>
      </c>
      <c r="B82" s="1" t="s">
        <v>5</v>
      </c>
      <c r="C82" s="3">
        <v>200025888137</v>
      </c>
      <c r="D82" s="2">
        <v>45798.677743055552</v>
      </c>
      <c r="E82" s="1">
        <v>0</v>
      </c>
    </row>
    <row r="83" spans="1:5" ht="14.4" x14ac:dyDescent="0.3">
      <c r="A83" s="1">
        <v>82</v>
      </c>
      <c r="B83" s="1" t="s">
        <v>5</v>
      </c>
      <c r="C83" s="3">
        <v>200025888863</v>
      </c>
      <c r="D83" s="2">
        <v>45798.704502314817</v>
      </c>
      <c r="E83" s="1">
        <v>1</v>
      </c>
    </row>
    <row r="84" spans="1:5" ht="14.4" x14ac:dyDescent="0.3">
      <c r="A84" s="1">
        <v>83</v>
      </c>
      <c r="B84" s="1" t="s">
        <v>5</v>
      </c>
      <c r="C84" s="3">
        <v>200025888863</v>
      </c>
      <c r="D84" s="2">
        <v>45798.704872685186</v>
      </c>
      <c r="E84" s="1">
        <v>0</v>
      </c>
    </row>
    <row r="85" spans="1:5" ht="14.4" x14ac:dyDescent="0.3">
      <c r="A85" s="1">
        <v>84</v>
      </c>
      <c r="B85" s="1" t="s">
        <v>5</v>
      </c>
      <c r="C85" s="3">
        <v>200025888863</v>
      </c>
      <c r="D85" s="2">
        <v>45798.704872685186</v>
      </c>
      <c r="E85" s="1">
        <v>1</v>
      </c>
    </row>
    <row r="86" spans="1:5" ht="14.4" x14ac:dyDescent="0.3">
      <c r="A86" s="1">
        <v>85</v>
      </c>
      <c r="B86" s="1" t="s">
        <v>5</v>
      </c>
      <c r="C86" s="3">
        <v>200025888863</v>
      </c>
      <c r="D86" s="2">
        <v>45798.704884259256</v>
      </c>
      <c r="E86" s="1">
        <v>13</v>
      </c>
    </row>
    <row r="87" spans="1:5" ht="14.4" x14ac:dyDescent="0.3">
      <c r="A87" s="1">
        <v>86</v>
      </c>
      <c r="B87" s="1" t="s">
        <v>5</v>
      </c>
      <c r="C87" s="3">
        <v>200025888163</v>
      </c>
      <c r="D87" s="2">
        <v>45798.715636574074</v>
      </c>
      <c r="E87" s="1">
        <v>0</v>
      </c>
    </row>
    <row r="88" spans="1:5" ht="14.4" x14ac:dyDescent="0.3">
      <c r="A88" s="1">
        <v>87</v>
      </c>
      <c r="B88" s="1" t="s">
        <v>5</v>
      </c>
      <c r="C88" s="3">
        <v>200025888163</v>
      </c>
      <c r="D88" s="2">
        <v>45798.715636574074</v>
      </c>
      <c r="E88" s="1">
        <v>2</v>
      </c>
    </row>
    <row r="89" spans="1:5" ht="14.4" x14ac:dyDescent="0.3">
      <c r="A89" s="1">
        <v>88</v>
      </c>
      <c r="B89" s="1" t="s">
        <v>5</v>
      </c>
      <c r="C89" s="3">
        <v>200025888163</v>
      </c>
      <c r="D89" s="2">
        <v>45798.716134259259</v>
      </c>
      <c r="E89" s="1">
        <v>1</v>
      </c>
    </row>
    <row r="90" spans="1:5" ht="14.4" x14ac:dyDescent="0.3">
      <c r="A90" s="1">
        <v>89</v>
      </c>
      <c r="B90" s="1" t="s">
        <v>5</v>
      </c>
      <c r="C90" s="3">
        <v>200025888163</v>
      </c>
      <c r="D90" s="2">
        <v>45798.716157407405</v>
      </c>
      <c r="E90" s="1">
        <v>22</v>
      </c>
    </row>
    <row r="91" spans="1:5" ht="14.4" x14ac:dyDescent="0.3">
      <c r="A91" s="1">
        <v>90</v>
      </c>
      <c r="B91" s="1" t="s">
        <v>5</v>
      </c>
      <c r="C91" s="3">
        <v>200025888163</v>
      </c>
      <c r="D91" s="2">
        <v>45798.716412037036</v>
      </c>
      <c r="E91" s="1">
        <v>0</v>
      </c>
    </row>
    <row r="92" spans="1:5" ht="14.4" x14ac:dyDescent="0.3">
      <c r="A92" s="1">
        <v>91</v>
      </c>
      <c r="B92" s="1" t="s">
        <v>5</v>
      </c>
      <c r="C92" s="3">
        <v>200025888163</v>
      </c>
      <c r="D92" s="2">
        <v>45798.716423611113</v>
      </c>
      <c r="E92" s="1">
        <v>1</v>
      </c>
    </row>
    <row r="93" spans="1:5" ht="14.4" x14ac:dyDescent="0.3">
      <c r="A93" s="1">
        <v>92</v>
      </c>
      <c r="B93" s="1" t="s">
        <v>5</v>
      </c>
      <c r="C93" s="3">
        <v>200025888740</v>
      </c>
      <c r="D93" s="2">
        <v>45798.725243055553</v>
      </c>
      <c r="E93" s="1">
        <v>0</v>
      </c>
    </row>
    <row r="94" spans="1:5" ht="14.4" x14ac:dyDescent="0.3">
      <c r="A94" s="1">
        <v>93</v>
      </c>
      <c r="B94" s="1" t="s">
        <v>5</v>
      </c>
      <c r="C94" s="3">
        <v>200025888163</v>
      </c>
      <c r="D94" s="2">
        <v>45798.727210648147</v>
      </c>
      <c r="E94" s="1">
        <v>1</v>
      </c>
    </row>
    <row r="95" spans="1:5" ht="14.4" x14ac:dyDescent="0.3">
      <c r="A95" s="1">
        <v>94</v>
      </c>
      <c r="B95" s="1" t="s">
        <v>5</v>
      </c>
      <c r="C95" s="3">
        <v>200025888982</v>
      </c>
      <c r="D95" s="2">
        <v>45798.750671296293</v>
      </c>
      <c r="E95" s="1">
        <v>0</v>
      </c>
    </row>
    <row r="96" spans="1:5" ht="14.4" x14ac:dyDescent="0.3">
      <c r="A96" s="1">
        <v>95</v>
      </c>
      <c r="B96" s="1" t="s">
        <v>5</v>
      </c>
      <c r="C96" s="3">
        <v>200025888982</v>
      </c>
      <c r="D96" s="2">
        <v>45798.75068287037</v>
      </c>
      <c r="E96" s="1">
        <v>0</v>
      </c>
    </row>
    <row r="97" spans="1:5" ht="14.4" x14ac:dyDescent="0.3">
      <c r="A97" s="1">
        <v>96</v>
      </c>
      <c r="B97" s="1" t="s">
        <v>5</v>
      </c>
      <c r="C97" s="3">
        <v>200025888717</v>
      </c>
      <c r="D97" s="2">
        <v>45798.774699074071</v>
      </c>
      <c r="E97" s="1">
        <v>1</v>
      </c>
    </row>
    <row r="98" spans="1:5" ht="14.4" x14ac:dyDescent="0.3">
      <c r="A98" s="1">
        <v>97</v>
      </c>
      <c r="B98" s="1" t="s">
        <v>5</v>
      </c>
      <c r="C98" s="3">
        <v>200025888717</v>
      </c>
      <c r="D98" s="2">
        <v>45798.774722222224</v>
      </c>
      <c r="E98" s="1">
        <v>0</v>
      </c>
    </row>
    <row r="99" spans="1:5" ht="14.4" x14ac:dyDescent="0.3">
      <c r="A99" s="1">
        <v>98</v>
      </c>
      <c r="B99" s="1" t="s">
        <v>5</v>
      </c>
      <c r="C99" s="3">
        <v>200025888654</v>
      </c>
      <c r="D99" s="2">
        <v>45798.798437500001</v>
      </c>
      <c r="E99" s="1">
        <v>0</v>
      </c>
    </row>
    <row r="100" spans="1:5" ht="14.4" x14ac:dyDescent="0.3">
      <c r="A100" s="1">
        <v>99</v>
      </c>
      <c r="B100" s="1" t="s">
        <v>5</v>
      </c>
      <c r="C100" s="3">
        <v>200025888654</v>
      </c>
      <c r="D100" s="2">
        <v>45798.798564814817</v>
      </c>
      <c r="E100" s="1">
        <v>1</v>
      </c>
    </row>
    <row r="101" spans="1:5" ht="14.4" x14ac:dyDescent="0.3">
      <c r="A101" s="1">
        <v>100</v>
      </c>
      <c r="B101" s="1" t="s">
        <v>5</v>
      </c>
      <c r="C101" s="3">
        <v>200025888654</v>
      </c>
      <c r="D101" s="2">
        <v>45798.800173611111</v>
      </c>
      <c r="E101" s="1">
        <v>1</v>
      </c>
    </row>
    <row r="102" spans="1:5" ht="14.4" x14ac:dyDescent="0.3">
      <c r="A102" s="1">
        <v>101</v>
      </c>
      <c r="B102" s="1" t="s">
        <v>5</v>
      </c>
      <c r="C102" s="3">
        <v>200025888654</v>
      </c>
      <c r="D102" s="2">
        <v>45798.800381944442</v>
      </c>
      <c r="E102" s="1">
        <v>0</v>
      </c>
    </row>
    <row r="103" spans="1:5" ht="14.4" x14ac:dyDescent="0.3">
      <c r="A103" s="1">
        <v>102</v>
      </c>
      <c r="B103" s="1" t="s">
        <v>5</v>
      </c>
      <c r="C103" s="3">
        <v>200025888654</v>
      </c>
      <c r="D103" s="2">
        <v>45798.800381944442</v>
      </c>
      <c r="E103" s="1">
        <v>1</v>
      </c>
    </row>
    <row r="104" spans="1:5" ht="14.4" x14ac:dyDescent="0.3">
      <c r="A104" s="1">
        <v>103</v>
      </c>
      <c r="B104" s="1" t="s">
        <v>5</v>
      </c>
      <c r="C104" s="3">
        <v>200025888982</v>
      </c>
      <c r="D104" s="2">
        <v>45798.807500000003</v>
      </c>
      <c r="E104" s="1">
        <v>2</v>
      </c>
    </row>
    <row r="105" spans="1:5" ht="14.4" x14ac:dyDescent="0.3">
      <c r="A105" s="1">
        <v>104</v>
      </c>
      <c r="B105" s="1" t="s">
        <v>5</v>
      </c>
      <c r="C105" s="3">
        <v>200025888982</v>
      </c>
      <c r="D105" s="2">
        <v>45798.807650462964</v>
      </c>
      <c r="E105" s="1">
        <v>2</v>
      </c>
    </row>
    <row r="106" spans="1:5" ht="14.4" x14ac:dyDescent="0.3">
      <c r="A106" s="1">
        <v>105</v>
      </c>
      <c r="B106" s="1" t="s">
        <v>5</v>
      </c>
      <c r="C106" s="3">
        <v>200025888824</v>
      </c>
      <c r="D106" s="2">
        <v>45798.80878472222</v>
      </c>
      <c r="E106" s="1">
        <v>0</v>
      </c>
    </row>
    <row r="107" spans="1:5" ht="14.4" x14ac:dyDescent="0.3">
      <c r="A107" s="1">
        <v>106</v>
      </c>
      <c r="B107" s="1" t="s">
        <v>5</v>
      </c>
      <c r="C107" s="3">
        <v>200025888824</v>
      </c>
      <c r="D107" s="2">
        <v>45798.808796296296</v>
      </c>
      <c r="E107" s="1">
        <v>0</v>
      </c>
    </row>
    <row r="108" spans="1:5" ht="14.4" x14ac:dyDescent="0.3">
      <c r="A108" s="1">
        <v>107</v>
      </c>
      <c r="B108" s="1" t="s">
        <v>5</v>
      </c>
      <c r="C108" s="3">
        <v>200025888824</v>
      </c>
      <c r="D108" s="2">
        <v>45798.809374999997</v>
      </c>
      <c r="E108" s="1">
        <v>2</v>
      </c>
    </row>
    <row r="109" spans="1:5" ht="14.4" x14ac:dyDescent="0.3">
      <c r="A109" s="1">
        <v>108</v>
      </c>
      <c r="B109" s="1" t="s">
        <v>5</v>
      </c>
      <c r="C109" s="3">
        <v>200025888839</v>
      </c>
      <c r="D109" s="2">
        <v>45798.810324074075</v>
      </c>
      <c r="E109" s="1">
        <v>0</v>
      </c>
    </row>
    <row r="110" spans="1:5" ht="14.4" x14ac:dyDescent="0.3">
      <c r="A110" s="1">
        <v>109</v>
      </c>
      <c r="B110" s="1" t="s">
        <v>5</v>
      </c>
      <c r="C110" s="3">
        <v>200025888839</v>
      </c>
      <c r="D110" s="2">
        <v>45798.810324074075</v>
      </c>
      <c r="E110" s="1">
        <v>0</v>
      </c>
    </row>
    <row r="111" spans="1:5" ht="14.4" x14ac:dyDescent="0.3">
      <c r="A111" s="1">
        <v>110</v>
      </c>
      <c r="B111" s="1" t="s">
        <v>5</v>
      </c>
      <c r="C111" s="3">
        <v>200025888839</v>
      </c>
      <c r="D111" s="2">
        <v>45798.810335648152</v>
      </c>
      <c r="E111" s="1">
        <v>0</v>
      </c>
    </row>
    <row r="112" spans="1:5" ht="14.4" x14ac:dyDescent="0.3">
      <c r="A112" s="1">
        <v>111</v>
      </c>
      <c r="B112" s="1" t="s">
        <v>5</v>
      </c>
      <c r="C112" s="3">
        <v>200025888824</v>
      </c>
      <c r="D112" s="2">
        <v>45798.844988425924</v>
      </c>
      <c r="E112" s="1">
        <v>1</v>
      </c>
    </row>
    <row r="113" spans="1:5" ht="14.4" x14ac:dyDescent="0.3">
      <c r="A113" s="1">
        <v>112</v>
      </c>
      <c r="B113" s="1" t="s">
        <v>5</v>
      </c>
      <c r="C113" s="3">
        <v>200025888824</v>
      </c>
      <c r="D113" s="2">
        <v>45798.84511574074</v>
      </c>
      <c r="E113" s="1">
        <v>0</v>
      </c>
    </row>
    <row r="114" spans="1:5" ht="14.4" x14ac:dyDescent="0.3">
      <c r="A114" s="1">
        <v>113</v>
      </c>
      <c r="B114" s="1" t="s">
        <v>5</v>
      </c>
      <c r="C114" s="3">
        <v>200025888824</v>
      </c>
      <c r="D114" s="2">
        <v>45798.845266203702</v>
      </c>
      <c r="E114" s="1">
        <v>0</v>
      </c>
    </row>
    <row r="115" spans="1:5" ht="14.4" x14ac:dyDescent="0.3">
      <c r="A115" s="1">
        <v>114</v>
      </c>
      <c r="B115" s="1" t="s">
        <v>5</v>
      </c>
      <c r="C115" s="3">
        <v>200025888863</v>
      </c>
      <c r="D115" s="2">
        <v>45798.866608796299</v>
      </c>
      <c r="E115" s="1">
        <v>18</v>
      </c>
    </row>
    <row r="116" spans="1:5" ht="14.4" x14ac:dyDescent="0.3">
      <c r="A116" s="1">
        <v>115</v>
      </c>
      <c r="B116" s="1" t="s">
        <v>5</v>
      </c>
      <c r="C116" s="3">
        <v>200025888863</v>
      </c>
      <c r="D116" s="2">
        <v>45798.866979166669</v>
      </c>
      <c r="E116" s="1">
        <v>2</v>
      </c>
    </row>
    <row r="117" spans="1:5" ht="14.4" x14ac:dyDescent="0.3">
      <c r="A117" s="1">
        <v>116</v>
      </c>
      <c r="B117" s="1" t="s">
        <v>5</v>
      </c>
      <c r="C117" s="3">
        <v>200025888863</v>
      </c>
      <c r="D117" s="2">
        <v>45798.868611111109</v>
      </c>
      <c r="E117" s="1">
        <v>1</v>
      </c>
    </row>
    <row r="118" spans="1:5" ht="14.4" x14ac:dyDescent="0.3">
      <c r="A118" s="1">
        <v>117</v>
      </c>
      <c r="B118" s="1" t="s">
        <v>5</v>
      </c>
      <c r="C118" s="3">
        <v>200025888717</v>
      </c>
      <c r="D118" s="2">
        <v>45798.870416666665</v>
      </c>
      <c r="E118" s="1">
        <v>0</v>
      </c>
    </row>
    <row r="119" spans="1:5" ht="14.4" x14ac:dyDescent="0.3">
      <c r="A119" s="1">
        <v>118</v>
      </c>
      <c r="B119" s="1" t="s">
        <v>5</v>
      </c>
      <c r="C119" s="3">
        <v>200025888717</v>
      </c>
      <c r="D119" s="2">
        <v>45798.87054398148</v>
      </c>
      <c r="E119" s="1">
        <v>0</v>
      </c>
    </row>
    <row r="120" spans="1:5" ht="14.4" x14ac:dyDescent="0.3">
      <c r="A120" s="1">
        <v>119</v>
      </c>
      <c r="B120" s="1" t="s">
        <v>5</v>
      </c>
      <c r="C120" s="3">
        <v>200025888824</v>
      </c>
      <c r="D120" s="2">
        <v>45798.874618055554</v>
      </c>
      <c r="E120" s="1">
        <v>0</v>
      </c>
    </row>
    <row r="121" spans="1:5" ht="14.4" x14ac:dyDescent="0.3">
      <c r="A121" s="1">
        <v>120</v>
      </c>
      <c r="B121" s="1" t="s">
        <v>5</v>
      </c>
      <c r="C121" s="3">
        <v>200025888824</v>
      </c>
      <c r="D121" s="2">
        <v>45798.874895833331</v>
      </c>
      <c r="E121" s="1">
        <v>0</v>
      </c>
    </row>
    <row r="122" spans="1:5" ht="14.4" x14ac:dyDescent="0.3">
      <c r="A122" s="1">
        <v>121</v>
      </c>
      <c r="B122" s="1" t="s">
        <v>5</v>
      </c>
      <c r="C122" s="3">
        <v>200025888824</v>
      </c>
      <c r="D122" s="2">
        <v>45798.875</v>
      </c>
      <c r="E122" s="1">
        <v>1</v>
      </c>
    </row>
    <row r="123" spans="1:5" ht="14.4" x14ac:dyDescent="0.3">
      <c r="A123" s="1">
        <v>122</v>
      </c>
      <c r="B123" s="1" t="s">
        <v>5</v>
      </c>
      <c r="C123" s="3">
        <v>200025888654</v>
      </c>
      <c r="D123" s="2">
        <v>45798.876215277778</v>
      </c>
      <c r="E123" s="1">
        <v>0</v>
      </c>
    </row>
    <row r="124" spans="1:5" ht="14.4" x14ac:dyDescent="0.3">
      <c r="A124" s="1">
        <v>123</v>
      </c>
      <c r="B124" s="1" t="s">
        <v>5</v>
      </c>
      <c r="C124" s="3">
        <v>200025888654</v>
      </c>
      <c r="D124" s="2">
        <v>45798.876226851855</v>
      </c>
      <c r="E124" s="1">
        <v>33</v>
      </c>
    </row>
    <row r="125" spans="1:5" ht="14.4" x14ac:dyDescent="0.3">
      <c r="A125" s="1">
        <v>124</v>
      </c>
      <c r="B125" s="1" t="s">
        <v>5</v>
      </c>
      <c r="C125" s="3">
        <v>200025888654</v>
      </c>
      <c r="D125" s="2">
        <v>45798.877326388887</v>
      </c>
      <c r="E125" s="1">
        <v>0</v>
      </c>
    </row>
    <row r="126" spans="1:5" ht="14.4" x14ac:dyDescent="0.3">
      <c r="A126" s="1">
        <v>125</v>
      </c>
      <c r="B126" s="1" t="s">
        <v>5</v>
      </c>
      <c r="C126" s="3">
        <v>200025888654</v>
      </c>
      <c r="D126" s="2">
        <v>45798.87740740741</v>
      </c>
      <c r="E126" s="1">
        <v>1</v>
      </c>
    </row>
    <row r="127" spans="1:5" ht="14.4" x14ac:dyDescent="0.3">
      <c r="A127" s="1">
        <v>126</v>
      </c>
      <c r="B127" s="1" t="s">
        <v>5</v>
      </c>
      <c r="C127" s="3">
        <v>200025888808</v>
      </c>
      <c r="D127" s="2">
        <v>45798.901967592596</v>
      </c>
      <c r="E127" s="1">
        <v>1</v>
      </c>
    </row>
    <row r="128" spans="1:5" ht="14.4" x14ac:dyDescent="0.3">
      <c r="A128" s="1">
        <v>127</v>
      </c>
      <c r="B128" s="1" t="s">
        <v>5</v>
      </c>
      <c r="C128" s="3">
        <v>200025888791</v>
      </c>
      <c r="D128" s="2">
        <v>45798.904317129629</v>
      </c>
      <c r="E128" s="1">
        <v>0</v>
      </c>
    </row>
    <row r="129" spans="1:5" ht="14.4" x14ac:dyDescent="0.3">
      <c r="A129" s="1">
        <v>128</v>
      </c>
      <c r="B129" s="1" t="s">
        <v>5</v>
      </c>
      <c r="C129" s="3">
        <v>200025888791</v>
      </c>
      <c r="D129" s="2">
        <v>45798.904328703706</v>
      </c>
      <c r="E129" s="1">
        <v>15</v>
      </c>
    </row>
    <row r="130" spans="1:5" ht="14.4" x14ac:dyDescent="0.3">
      <c r="A130" s="1">
        <v>129</v>
      </c>
      <c r="B130" s="1" t="s">
        <v>5</v>
      </c>
      <c r="C130" s="3">
        <v>200025888791</v>
      </c>
      <c r="D130" s="2">
        <v>45798.904513888891</v>
      </c>
      <c r="E130" s="1">
        <v>0</v>
      </c>
    </row>
    <row r="131" spans="1:5" ht="14.4" x14ac:dyDescent="0.3">
      <c r="A131" s="1">
        <v>130</v>
      </c>
      <c r="B131" s="1" t="s">
        <v>5</v>
      </c>
      <c r="C131" s="3">
        <v>200025888791</v>
      </c>
      <c r="D131" s="2">
        <v>45798.90452546296</v>
      </c>
      <c r="E131" s="1">
        <v>24</v>
      </c>
    </row>
    <row r="132" spans="1:5" ht="14.4" x14ac:dyDescent="0.3">
      <c r="A132" s="1">
        <v>131</v>
      </c>
      <c r="B132" s="1" t="s">
        <v>5</v>
      </c>
      <c r="C132" s="3">
        <v>200025888791</v>
      </c>
      <c r="D132" s="2">
        <v>45798.904814814814</v>
      </c>
      <c r="E132" s="1">
        <v>2</v>
      </c>
    </row>
    <row r="133" spans="1:5" ht="14.4" x14ac:dyDescent="0.3">
      <c r="A133" s="1">
        <v>132</v>
      </c>
      <c r="B133" s="1" t="s">
        <v>5</v>
      </c>
      <c r="C133" s="3">
        <v>200025888791</v>
      </c>
      <c r="D133" s="2">
        <v>45798.905335648145</v>
      </c>
      <c r="E133" s="1">
        <v>158</v>
      </c>
    </row>
    <row r="134" spans="1:5" ht="14.4" x14ac:dyDescent="0.3">
      <c r="A134" s="1">
        <v>133</v>
      </c>
      <c r="B134" s="1" t="s">
        <v>5</v>
      </c>
      <c r="C134" s="3">
        <v>200025888863</v>
      </c>
      <c r="D134" s="2">
        <v>45798.967048611114</v>
      </c>
      <c r="E134" s="1">
        <v>1</v>
      </c>
    </row>
    <row r="135" spans="1:5" ht="14.4" x14ac:dyDescent="0.3">
      <c r="A135" s="1">
        <v>134</v>
      </c>
      <c r="B135" s="1" t="s">
        <v>5</v>
      </c>
      <c r="C135" s="3">
        <v>200025888863</v>
      </c>
      <c r="D135" s="2">
        <v>45798.967280092591</v>
      </c>
      <c r="E135" s="1">
        <v>2</v>
      </c>
    </row>
    <row r="136" spans="1:5" ht="14.4" x14ac:dyDescent="0.3">
      <c r="A136" s="1">
        <v>135</v>
      </c>
      <c r="B136" s="1" t="s">
        <v>5</v>
      </c>
      <c r="C136" s="3">
        <v>200025888863</v>
      </c>
      <c r="D136" s="2">
        <v>45798.967557870368</v>
      </c>
      <c r="E136" s="1">
        <v>0</v>
      </c>
    </row>
    <row r="137" spans="1:5" ht="14.4" x14ac:dyDescent="0.3">
      <c r="A137" s="1">
        <v>136</v>
      </c>
      <c r="B137" s="1" t="s">
        <v>5</v>
      </c>
      <c r="C137" s="3">
        <v>200025888863</v>
      </c>
      <c r="D137" s="2">
        <v>45798.967557870368</v>
      </c>
      <c r="E137" s="1">
        <v>2</v>
      </c>
    </row>
    <row r="138" spans="1:5" ht="14.4" x14ac:dyDescent="0.3">
      <c r="A138" s="1">
        <v>137</v>
      </c>
      <c r="B138" s="1" t="s">
        <v>5</v>
      </c>
      <c r="C138" s="3">
        <v>200025888863</v>
      </c>
      <c r="D138" s="2">
        <v>45798.96775462963</v>
      </c>
      <c r="E138" s="1">
        <v>2</v>
      </c>
    </row>
    <row r="139" spans="1:5" ht="14.4" x14ac:dyDescent="0.3">
      <c r="A139" s="1">
        <v>138</v>
      </c>
      <c r="B139" s="1" t="s">
        <v>5</v>
      </c>
      <c r="C139" s="3">
        <v>200025888863</v>
      </c>
      <c r="D139" s="2">
        <v>45798.968043981484</v>
      </c>
      <c r="E139" s="1">
        <v>0</v>
      </c>
    </row>
    <row r="140" spans="1:5" ht="14.4" x14ac:dyDescent="0.3">
      <c r="A140" s="1">
        <v>139</v>
      </c>
      <c r="B140" s="1" t="s">
        <v>5</v>
      </c>
      <c r="C140" s="3">
        <v>200025888863</v>
      </c>
      <c r="D140" s="2">
        <v>45798.968055555553</v>
      </c>
      <c r="E140" s="1">
        <v>4924</v>
      </c>
    </row>
    <row r="141" spans="1:5" ht="14.4" x14ac:dyDescent="0.3">
      <c r="A141" s="1">
        <v>140</v>
      </c>
      <c r="B141" s="1" t="s">
        <v>5</v>
      </c>
      <c r="C141" s="3">
        <v>200025888791</v>
      </c>
      <c r="D141" s="2">
        <v>45799.027395833335</v>
      </c>
      <c r="E141" s="1">
        <v>1</v>
      </c>
    </row>
    <row r="142" spans="1:5" ht="14.4" x14ac:dyDescent="0.3">
      <c r="A142" s="1">
        <v>141</v>
      </c>
      <c r="B142" s="1" t="s">
        <v>5</v>
      </c>
      <c r="C142" s="3">
        <v>200025888216</v>
      </c>
      <c r="D142" s="2">
        <v>45799.040590277778</v>
      </c>
      <c r="E142" s="1">
        <v>0</v>
      </c>
    </row>
    <row r="143" spans="1:5" ht="14.4" x14ac:dyDescent="0.3">
      <c r="A143" s="1">
        <v>142</v>
      </c>
      <c r="B143" s="1" t="s">
        <v>5</v>
      </c>
      <c r="C143" s="3">
        <v>200025888812</v>
      </c>
      <c r="D143" s="2">
        <v>45799.046331018515</v>
      </c>
      <c r="E143" s="1">
        <v>0</v>
      </c>
    </row>
    <row r="144" spans="1:5" ht="14.4" x14ac:dyDescent="0.3">
      <c r="A144" s="1">
        <v>143</v>
      </c>
      <c r="B144" s="1" t="s">
        <v>5</v>
      </c>
      <c r="C144" s="3">
        <v>200025888812</v>
      </c>
      <c r="D144" s="2">
        <v>45799.046689814815</v>
      </c>
      <c r="E144" s="1">
        <v>0</v>
      </c>
    </row>
    <row r="145" spans="1:5" ht="14.4" x14ac:dyDescent="0.3">
      <c r="A145" s="1">
        <v>144</v>
      </c>
      <c r="B145" s="1" t="s">
        <v>5</v>
      </c>
      <c r="C145" s="3">
        <v>200025888272</v>
      </c>
      <c r="D145" s="2">
        <v>45799.076701388891</v>
      </c>
      <c r="E145" s="1">
        <v>0</v>
      </c>
    </row>
    <row r="146" spans="1:5" ht="14.4" x14ac:dyDescent="0.3">
      <c r="A146" s="1">
        <v>145</v>
      </c>
      <c r="B146" s="1" t="s">
        <v>5</v>
      </c>
      <c r="C146" s="3">
        <v>200025888272</v>
      </c>
      <c r="D146" s="2">
        <v>45799.076701388891</v>
      </c>
      <c r="E146" s="1">
        <v>1</v>
      </c>
    </row>
    <row r="147" spans="1:5" ht="14.4" x14ac:dyDescent="0.3">
      <c r="A147" s="1">
        <v>146</v>
      </c>
      <c r="B147" s="1" t="s">
        <v>5</v>
      </c>
      <c r="C147" s="3">
        <v>200025888791</v>
      </c>
      <c r="D147" s="2">
        <v>45799.084467592591</v>
      </c>
      <c r="E147" s="1">
        <v>0</v>
      </c>
    </row>
    <row r="148" spans="1:5" ht="14.4" x14ac:dyDescent="0.3">
      <c r="A148" s="1">
        <v>147</v>
      </c>
      <c r="B148" s="1" t="s">
        <v>5</v>
      </c>
      <c r="C148" s="3">
        <v>200025888271</v>
      </c>
      <c r="D148" s="2">
        <v>45799.101458333331</v>
      </c>
      <c r="E148" s="1">
        <v>1</v>
      </c>
    </row>
    <row r="149" spans="1:5" ht="14.4" x14ac:dyDescent="0.3">
      <c r="A149" s="1">
        <v>148</v>
      </c>
      <c r="B149" s="1" t="s">
        <v>5</v>
      </c>
      <c r="C149" s="3">
        <v>200025888271</v>
      </c>
      <c r="D149" s="2">
        <v>45799.101469907408</v>
      </c>
      <c r="E149" s="1">
        <v>1</v>
      </c>
    </row>
    <row r="150" spans="1:5" ht="14.4" x14ac:dyDescent="0.3">
      <c r="A150" s="1">
        <v>149</v>
      </c>
      <c r="B150" s="1" t="s">
        <v>5</v>
      </c>
      <c r="C150" s="3">
        <v>200025888608</v>
      </c>
      <c r="D150" s="2">
        <v>45799.129664351851</v>
      </c>
      <c r="E150" s="1">
        <v>1</v>
      </c>
    </row>
    <row r="151" spans="1:5" ht="14.4" x14ac:dyDescent="0.3">
      <c r="A151" s="1">
        <v>150</v>
      </c>
      <c r="B151" s="1" t="s">
        <v>5</v>
      </c>
      <c r="C151" s="3">
        <v>200025888717</v>
      </c>
      <c r="D151" s="2">
        <v>45799.182858796295</v>
      </c>
      <c r="E151" s="1">
        <v>1</v>
      </c>
    </row>
    <row r="152" spans="1:5" ht="14.4" x14ac:dyDescent="0.3">
      <c r="A152" s="1">
        <v>151</v>
      </c>
      <c r="B152" s="1" t="s">
        <v>5</v>
      </c>
      <c r="C152" s="3">
        <v>200025888717</v>
      </c>
      <c r="D152" s="2">
        <v>45799.184999999998</v>
      </c>
      <c r="E152" s="1">
        <v>195</v>
      </c>
    </row>
    <row r="153" spans="1:5" ht="14.4" x14ac:dyDescent="0.3">
      <c r="A153" s="1">
        <v>152</v>
      </c>
      <c r="B153" s="1" t="s">
        <v>5</v>
      </c>
      <c r="C153" s="3">
        <v>200025888808</v>
      </c>
      <c r="D153" s="2">
        <v>45799.189340277779</v>
      </c>
      <c r="E153" s="1">
        <v>1</v>
      </c>
    </row>
    <row r="154" spans="1:5" ht="14.4" x14ac:dyDescent="0.3">
      <c r="A154" s="1">
        <v>153</v>
      </c>
      <c r="B154" s="1" t="s">
        <v>5</v>
      </c>
      <c r="C154" s="3">
        <v>200025888808</v>
      </c>
      <c r="D154" s="2">
        <v>45799.18953703704</v>
      </c>
      <c r="E154" s="1">
        <v>1</v>
      </c>
    </row>
    <row r="155" spans="1:5" ht="14.4" x14ac:dyDescent="0.3">
      <c r="A155" s="1">
        <v>154</v>
      </c>
      <c r="B155" s="1" t="s">
        <v>5</v>
      </c>
      <c r="C155" s="3">
        <v>200025888717</v>
      </c>
      <c r="D155" s="2">
        <v>45799.208078703705</v>
      </c>
      <c r="E155" s="1">
        <v>107</v>
      </c>
    </row>
    <row r="156" spans="1:5" ht="14.4" x14ac:dyDescent="0.3">
      <c r="A156" s="1">
        <v>155</v>
      </c>
      <c r="B156" s="1" t="s">
        <v>5</v>
      </c>
      <c r="C156" s="3">
        <v>200025888717</v>
      </c>
      <c r="D156" s="2">
        <v>45799.210069444445</v>
      </c>
      <c r="E156" s="1">
        <v>1</v>
      </c>
    </row>
    <row r="157" spans="1:5" ht="14.4" x14ac:dyDescent="0.3">
      <c r="A157" s="1">
        <v>156</v>
      </c>
      <c r="B157" s="1" t="s">
        <v>5</v>
      </c>
      <c r="C157" s="3">
        <v>200025888717</v>
      </c>
      <c r="D157" s="2">
        <v>45799.210081018522</v>
      </c>
      <c r="E157" s="1">
        <v>1</v>
      </c>
    </row>
    <row r="158" spans="1:5" ht="14.4" x14ac:dyDescent="0.3">
      <c r="A158" s="1">
        <v>157</v>
      </c>
      <c r="B158" s="1" t="s">
        <v>5</v>
      </c>
      <c r="C158" s="3">
        <v>200025888717</v>
      </c>
      <c r="D158" s="2">
        <v>45799.214212962965</v>
      </c>
      <c r="E158" s="1">
        <v>1</v>
      </c>
    </row>
    <row r="159" spans="1:5" ht="14.4" x14ac:dyDescent="0.3">
      <c r="A159" s="1">
        <v>158</v>
      </c>
      <c r="B159" s="1" t="s">
        <v>5</v>
      </c>
      <c r="C159" s="3">
        <v>200025888717</v>
      </c>
      <c r="D159" s="2">
        <v>45799.215462962966</v>
      </c>
      <c r="E159" s="1">
        <v>2</v>
      </c>
    </row>
    <row r="160" spans="1:5" ht="14.4" x14ac:dyDescent="0.3">
      <c r="A160" s="1">
        <v>159</v>
      </c>
      <c r="B160" s="1" t="s">
        <v>5</v>
      </c>
      <c r="C160" s="3">
        <v>200025888717</v>
      </c>
      <c r="D160" s="2">
        <v>45799.215601851851</v>
      </c>
      <c r="E160" s="1">
        <v>1</v>
      </c>
    </row>
    <row r="161" spans="1:5" ht="14.4" x14ac:dyDescent="0.3">
      <c r="A161" s="1">
        <v>160</v>
      </c>
      <c r="B161" s="1" t="s">
        <v>5</v>
      </c>
      <c r="C161" s="3">
        <v>200025888717</v>
      </c>
      <c r="D161" s="2">
        <v>45799.215624999997</v>
      </c>
      <c r="E161" s="1">
        <v>1</v>
      </c>
    </row>
    <row r="162" spans="1:5" ht="14.4" x14ac:dyDescent="0.3">
      <c r="A162" s="1">
        <v>161</v>
      </c>
      <c r="B162" s="1" t="s">
        <v>5</v>
      </c>
      <c r="C162" s="3">
        <v>200025888717</v>
      </c>
      <c r="D162" s="2">
        <v>45799.215775462966</v>
      </c>
      <c r="E162" s="1">
        <v>291</v>
      </c>
    </row>
    <row r="163" spans="1:5" ht="14.4" x14ac:dyDescent="0.3">
      <c r="A163" s="1">
        <v>162</v>
      </c>
      <c r="B163" s="1" t="s">
        <v>5</v>
      </c>
      <c r="C163" s="3">
        <v>200025888717</v>
      </c>
      <c r="D163" s="2">
        <v>45799.219328703701</v>
      </c>
      <c r="E163" s="1">
        <v>0</v>
      </c>
    </row>
    <row r="164" spans="1:5" ht="14.4" x14ac:dyDescent="0.3">
      <c r="A164" s="1">
        <v>163</v>
      </c>
      <c r="B164" s="1" t="s">
        <v>5</v>
      </c>
      <c r="C164" s="3">
        <v>200025888808</v>
      </c>
      <c r="D164" s="2">
        <v>45799.232152777775</v>
      </c>
      <c r="E164" s="1">
        <v>345</v>
      </c>
    </row>
    <row r="165" spans="1:5" ht="14.4" x14ac:dyDescent="0.3">
      <c r="A165" s="1">
        <v>164</v>
      </c>
      <c r="B165" s="1" t="s">
        <v>5</v>
      </c>
      <c r="C165" s="3">
        <v>200025888271</v>
      </c>
      <c r="D165" s="2">
        <v>45799.254386574074</v>
      </c>
      <c r="E165" s="1">
        <v>1</v>
      </c>
    </row>
    <row r="166" spans="1:5" ht="14.4" x14ac:dyDescent="0.3">
      <c r="A166" s="1">
        <v>165</v>
      </c>
      <c r="B166" s="1" t="s">
        <v>5</v>
      </c>
      <c r="C166" s="3">
        <v>200025888863</v>
      </c>
      <c r="D166" s="2">
        <v>45799.255231481482</v>
      </c>
      <c r="E166" s="1">
        <v>2</v>
      </c>
    </row>
    <row r="167" spans="1:5" ht="14.4" x14ac:dyDescent="0.3">
      <c r="A167" s="1">
        <v>166</v>
      </c>
      <c r="B167" s="1" t="s">
        <v>5</v>
      </c>
      <c r="C167" s="3">
        <v>200025888868</v>
      </c>
      <c r="D167" s="2">
        <v>45799.257881944446</v>
      </c>
      <c r="E167" s="1">
        <v>1</v>
      </c>
    </row>
    <row r="168" spans="1:5" ht="14.4" x14ac:dyDescent="0.3">
      <c r="A168" s="1">
        <v>167</v>
      </c>
      <c r="B168" s="1" t="s">
        <v>5</v>
      </c>
      <c r="C168" s="3">
        <v>200025888824</v>
      </c>
      <c r="D168" s="2">
        <v>45799.264305555553</v>
      </c>
      <c r="E168" s="1">
        <v>0</v>
      </c>
    </row>
    <row r="169" spans="1:5" ht="14.4" x14ac:dyDescent="0.3">
      <c r="A169" s="1">
        <v>168</v>
      </c>
      <c r="B169" s="1" t="s">
        <v>5</v>
      </c>
      <c r="C169" s="3">
        <v>200025888824</v>
      </c>
      <c r="D169" s="2">
        <v>45799.265694444446</v>
      </c>
      <c r="E169" s="1">
        <v>1</v>
      </c>
    </row>
    <row r="170" spans="1:5" ht="14.4" x14ac:dyDescent="0.3">
      <c r="A170" s="1">
        <v>169</v>
      </c>
      <c r="B170" s="1" t="s">
        <v>5</v>
      </c>
      <c r="C170" s="3">
        <v>200025888824</v>
      </c>
      <c r="D170" s="2">
        <v>45799.265706018516</v>
      </c>
      <c r="E170" s="1">
        <v>1</v>
      </c>
    </row>
    <row r="171" spans="1:5" ht="14.4" x14ac:dyDescent="0.3">
      <c r="A171" s="1">
        <v>170</v>
      </c>
      <c r="B171" s="1" t="s">
        <v>5</v>
      </c>
      <c r="C171" s="3">
        <v>200025888824</v>
      </c>
      <c r="D171" s="2">
        <v>45799.266342592593</v>
      </c>
      <c r="E171" s="1">
        <v>2</v>
      </c>
    </row>
    <row r="172" spans="1:5" ht="14.4" x14ac:dyDescent="0.3">
      <c r="A172" s="1">
        <v>171</v>
      </c>
      <c r="B172" s="1" t="s">
        <v>5</v>
      </c>
      <c r="C172" s="3">
        <v>200025888808</v>
      </c>
      <c r="D172" s="2">
        <v>45799.269074074073</v>
      </c>
      <c r="E172" s="1">
        <v>1</v>
      </c>
    </row>
    <row r="173" spans="1:5" ht="14.4" x14ac:dyDescent="0.3">
      <c r="A173" s="1">
        <v>172</v>
      </c>
      <c r="B173" s="1" t="s">
        <v>5</v>
      </c>
      <c r="C173" s="3">
        <v>200025888235</v>
      </c>
      <c r="D173" s="2">
        <v>45799.332499999997</v>
      </c>
      <c r="E173" s="1">
        <v>1</v>
      </c>
    </row>
    <row r="174" spans="1:5" ht="14.4" x14ac:dyDescent="0.3">
      <c r="A174" s="1">
        <v>173</v>
      </c>
      <c r="B174" s="1" t="s">
        <v>5</v>
      </c>
      <c r="C174" s="3">
        <v>200025888791</v>
      </c>
      <c r="D174" s="2">
        <v>45799.405405092592</v>
      </c>
      <c r="E174" s="1">
        <v>0</v>
      </c>
    </row>
    <row r="175" spans="1:5" ht="14.4" x14ac:dyDescent="0.3">
      <c r="A175" s="1">
        <v>174</v>
      </c>
      <c r="B175" s="1" t="s">
        <v>5</v>
      </c>
      <c r="C175" s="3">
        <v>200025888791</v>
      </c>
      <c r="D175" s="2">
        <v>45799.405405092592</v>
      </c>
      <c r="E175" s="1">
        <v>1</v>
      </c>
    </row>
    <row r="176" spans="1:5" ht="14.4" x14ac:dyDescent="0.3">
      <c r="A176" s="1">
        <v>175</v>
      </c>
      <c r="B176" s="1" t="s">
        <v>5</v>
      </c>
      <c r="C176" s="3">
        <v>200025888791</v>
      </c>
      <c r="D176" s="2">
        <v>45799.405416666668</v>
      </c>
      <c r="E176" s="1">
        <v>1306</v>
      </c>
    </row>
    <row r="177" spans="1:5" ht="14.4" x14ac:dyDescent="0.3">
      <c r="A177" s="1">
        <v>176</v>
      </c>
      <c r="B177" s="1" t="s">
        <v>5</v>
      </c>
      <c r="C177" s="3">
        <v>200025888216</v>
      </c>
      <c r="D177" s="2">
        <v>45799.420543981483</v>
      </c>
      <c r="E177" s="1">
        <v>0</v>
      </c>
    </row>
    <row r="178" spans="1:5" ht="14.4" x14ac:dyDescent="0.3">
      <c r="A178" s="1">
        <v>177</v>
      </c>
      <c r="B178" s="1" t="s">
        <v>5</v>
      </c>
      <c r="C178" s="3">
        <v>200025888235</v>
      </c>
      <c r="D178" s="2">
        <v>45799.440474537034</v>
      </c>
      <c r="E178" s="1">
        <v>0</v>
      </c>
    </row>
    <row r="179" spans="1:5" ht="14.4" x14ac:dyDescent="0.3">
      <c r="A179" s="1">
        <v>178</v>
      </c>
      <c r="B179" s="1" t="s">
        <v>5</v>
      </c>
      <c r="C179" s="3">
        <v>200025888235</v>
      </c>
      <c r="D179" s="2">
        <v>45799.440486111111</v>
      </c>
      <c r="E179" s="1">
        <v>0</v>
      </c>
    </row>
    <row r="180" spans="1:5" ht="14.4" x14ac:dyDescent="0.3">
      <c r="A180" s="1">
        <v>179</v>
      </c>
      <c r="B180" s="1" t="s">
        <v>5</v>
      </c>
      <c r="C180" s="3">
        <v>200025888235</v>
      </c>
      <c r="D180" s="2">
        <v>45799.459699074076</v>
      </c>
      <c r="E180" s="1">
        <v>0</v>
      </c>
    </row>
    <row r="181" spans="1:5" ht="14.4" x14ac:dyDescent="0.3">
      <c r="A181" s="1">
        <v>180</v>
      </c>
      <c r="B181" s="1" t="s">
        <v>5</v>
      </c>
      <c r="C181" s="3">
        <v>200025888163</v>
      </c>
      <c r="D181" s="2">
        <v>45799.495081018518</v>
      </c>
      <c r="E181" s="1">
        <v>3</v>
      </c>
    </row>
    <row r="182" spans="1:5" ht="14.4" x14ac:dyDescent="0.3">
      <c r="A182" s="1">
        <v>181</v>
      </c>
      <c r="B182" s="1" t="s">
        <v>5</v>
      </c>
      <c r="C182" s="3">
        <v>200025888812</v>
      </c>
      <c r="D182" s="2">
        <v>45799.499143518522</v>
      </c>
      <c r="E182" s="1">
        <v>1</v>
      </c>
    </row>
    <row r="183" spans="1:5" ht="14.4" x14ac:dyDescent="0.3">
      <c r="A183" s="1">
        <v>182</v>
      </c>
      <c r="B183" s="1" t="s">
        <v>5</v>
      </c>
      <c r="C183" s="3">
        <v>200025888812</v>
      </c>
      <c r="D183" s="2">
        <v>45799.499155092592</v>
      </c>
      <c r="E183" s="1">
        <v>0</v>
      </c>
    </row>
    <row r="184" spans="1:5" ht="14.4" x14ac:dyDescent="0.3">
      <c r="A184" s="1">
        <v>183</v>
      </c>
      <c r="B184" s="1" t="s">
        <v>5</v>
      </c>
      <c r="C184" s="3">
        <v>200025888808</v>
      </c>
      <c r="D184" s="2">
        <v>45799.558888888889</v>
      </c>
      <c r="E184" s="1">
        <v>2</v>
      </c>
    </row>
    <row r="185" spans="1:5" ht="14.4" x14ac:dyDescent="0.3">
      <c r="A185" s="1">
        <v>184</v>
      </c>
      <c r="B185" s="1" t="s">
        <v>5</v>
      </c>
      <c r="C185" s="3">
        <v>200025888808</v>
      </c>
      <c r="D185" s="2">
        <v>45799.560601851852</v>
      </c>
      <c r="E185" s="1">
        <v>1</v>
      </c>
    </row>
    <row r="186" spans="1:5" ht="14.4" x14ac:dyDescent="0.3">
      <c r="A186" s="1">
        <v>185</v>
      </c>
      <c r="B186" s="1" t="s">
        <v>5</v>
      </c>
      <c r="C186" s="3">
        <v>200025888808</v>
      </c>
      <c r="D186" s="2">
        <v>45799.560891203706</v>
      </c>
      <c r="E186" s="1">
        <v>0</v>
      </c>
    </row>
    <row r="187" spans="1:5" ht="14.4" x14ac:dyDescent="0.3">
      <c r="A187" s="1">
        <v>186</v>
      </c>
      <c r="B187" s="1" t="s">
        <v>5</v>
      </c>
      <c r="C187" s="3">
        <v>200025888808</v>
      </c>
      <c r="D187" s="2">
        <v>45799.560902777775</v>
      </c>
      <c r="E187" s="1">
        <v>23</v>
      </c>
    </row>
    <row r="188" spans="1:5" ht="14.4" x14ac:dyDescent="0.3">
      <c r="A188" s="1">
        <v>187</v>
      </c>
      <c r="B188" s="1" t="s">
        <v>5</v>
      </c>
      <c r="C188" s="3">
        <v>200025888808</v>
      </c>
      <c r="D188" s="2">
        <v>45799.561180555553</v>
      </c>
      <c r="E188" s="1">
        <v>0</v>
      </c>
    </row>
    <row r="189" spans="1:5" ht="14.4" x14ac:dyDescent="0.3">
      <c r="A189" s="1">
        <v>188</v>
      </c>
      <c r="B189" s="1" t="s">
        <v>5</v>
      </c>
      <c r="C189" s="3">
        <v>200025888808</v>
      </c>
      <c r="D189" s="2">
        <v>45799.563923611109</v>
      </c>
      <c r="E189" s="1">
        <v>0</v>
      </c>
    </row>
    <row r="190" spans="1:5" ht="14.4" x14ac:dyDescent="0.3">
      <c r="A190" s="1">
        <v>189</v>
      </c>
      <c r="B190" s="1" t="s">
        <v>5</v>
      </c>
      <c r="C190" s="3">
        <v>200025888808</v>
      </c>
      <c r="D190" s="2">
        <v>45799.570648148147</v>
      </c>
      <c r="E190" s="1">
        <v>1</v>
      </c>
    </row>
    <row r="191" spans="1:5" ht="14.4" x14ac:dyDescent="0.3">
      <c r="A191" s="1">
        <v>190</v>
      </c>
      <c r="B191" s="1" t="s">
        <v>5</v>
      </c>
      <c r="C191" s="3">
        <v>200025888812</v>
      </c>
      <c r="D191" s="2">
        <v>45799.5783912037</v>
      </c>
      <c r="E191" s="1">
        <v>1</v>
      </c>
    </row>
    <row r="192" spans="1:5" ht="14.4" x14ac:dyDescent="0.3">
      <c r="A192" s="1">
        <v>191</v>
      </c>
      <c r="B192" s="1" t="s">
        <v>5</v>
      </c>
      <c r="C192" s="3">
        <v>200025888812</v>
      </c>
      <c r="D192" s="2">
        <v>45799.578553240739</v>
      </c>
      <c r="E192" s="1">
        <v>0</v>
      </c>
    </row>
    <row r="193" spans="1:5" ht="14.4" x14ac:dyDescent="0.3">
      <c r="A193" s="1">
        <v>192</v>
      </c>
      <c r="B193" s="1" t="s">
        <v>5</v>
      </c>
      <c r="C193" s="3">
        <v>200025888812</v>
      </c>
      <c r="D193" s="2">
        <v>45799.578726851854</v>
      </c>
      <c r="E193" s="1">
        <v>0</v>
      </c>
    </row>
    <row r="194" spans="1:5" ht="14.4" x14ac:dyDescent="0.3">
      <c r="A194" s="1">
        <v>193</v>
      </c>
      <c r="B194" s="1" t="s">
        <v>5</v>
      </c>
      <c r="C194" s="3">
        <v>200025888812</v>
      </c>
      <c r="D194" s="2">
        <v>45799.578738425924</v>
      </c>
      <c r="E194" s="1">
        <v>0</v>
      </c>
    </row>
    <row r="195" spans="1:5" ht="14.4" x14ac:dyDescent="0.3">
      <c r="A195" s="1">
        <v>194</v>
      </c>
      <c r="B195" s="1" t="s">
        <v>5</v>
      </c>
      <c r="C195" s="3">
        <v>200025888808</v>
      </c>
      <c r="D195" s="2">
        <v>45799.583252314813</v>
      </c>
      <c r="E195" s="1">
        <v>1</v>
      </c>
    </row>
    <row r="196" spans="1:5" ht="14.4" x14ac:dyDescent="0.3">
      <c r="A196" s="1">
        <v>195</v>
      </c>
      <c r="B196" s="1" t="s">
        <v>5</v>
      </c>
      <c r="C196" s="3">
        <v>200025888509</v>
      </c>
      <c r="D196" s="2">
        <v>45799.604421296295</v>
      </c>
      <c r="E196" s="1">
        <v>0</v>
      </c>
    </row>
    <row r="197" spans="1:5" ht="14.4" x14ac:dyDescent="0.3">
      <c r="A197" s="1">
        <v>196</v>
      </c>
      <c r="B197" s="1" t="s">
        <v>5</v>
      </c>
      <c r="C197" s="3">
        <v>200025888663</v>
      </c>
      <c r="D197" s="2">
        <v>45799.694884259261</v>
      </c>
      <c r="E197" s="1">
        <v>0</v>
      </c>
    </row>
    <row r="198" spans="1:5" ht="14.4" x14ac:dyDescent="0.3">
      <c r="A198" s="1">
        <v>197</v>
      </c>
      <c r="B198" s="1" t="s">
        <v>5</v>
      </c>
      <c r="C198" s="3">
        <v>200025888216</v>
      </c>
      <c r="D198" s="2">
        <v>45799.70648148148</v>
      </c>
      <c r="E198" s="1">
        <v>0</v>
      </c>
    </row>
    <row r="199" spans="1:5" ht="14.4" x14ac:dyDescent="0.3">
      <c r="A199" s="1">
        <v>198</v>
      </c>
      <c r="B199" s="1" t="s">
        <v>5</v>
      </c>
      <c r="C199" s="3">
        <v>200025888663</v>
      </c>
      <c r="D199" s="2">
        <v>45799.711018518516</v>
      </c>
      <c r="E199" s="1">
        <v>2</v>
      </c>
    </row>
    <row r="200" spans="1:5" ht="14.4" x14ac:dyDescent="0.3">
      <c r="A200" s="1">
        <v>199</v>
      </c>
      <c r="B200" s="1" t="s">
        <v>5</v>
      </c>
      <c r="C200" s="3">
        <v>200025888663</v>
      </c>
      <c r="D200" s="2">
        <v>45799.71266203704</v>
      </c>
      <c r="E200" s="1">
        <v>0</v>
      </c>
    </row>
    <row r="201" spans="1:5" ht="14.4" x14ac:dyDescent="0.3">
      <c r="A201" s="1">
        <v>200</v>
      </c>
      <c r="B201" s="1" t="s">
        <v>5</v>
      </c>
      <c r="C201" s="3">
        <v>200025888663</v>
      </c>
      <c r="D201" s="2">
        <v>45799.712673611109</v>
      </c>
      <c r="E201" s="1">
        <v>0</v>
      </c>
    </row>
    <row r="202" spans="1:5" ht="14.4" x14ac:dyDescent="0.3">
      <c r="A202" s="1">
        <v>201</v>
      </c>
      <c r="B202" s="1" t="s">
        <v>5</v>
      </c>
      <c r="C202" s="3">
        <v>200025888271</v>
      </c>
      <c r="D202" s="2">
        <v>45799.750428240739</v>
      </c>
      <c r="E202" s="1">
        <v>2</v>
      </c>
    </row>
    <row r="203" spans="1:5" ht="14.4" x14ac:dyDescent="0.3">
      <c r="A203" s="1">
        <v>202</v>
      </c>
      <c r="B203" s="1" t="s">
        <v>5</v>
      </c>
      <c r="C203" s="3">
        <v>200025888271</v>
      </c>
      <c r="D203" s="2">
        <v>45799.750613425924</v>
      </c>
      <c r="E203" s="1">
        <v>1</v>
      </c>
    </row>
    <row r="204" spans="1:5" ht="14.4" x14ac:dyDescent="0.3">
      <c r="A204" s="1">
        <v>203</v>
      </c>
      <c r="B204" s="1" t="s">
        <v>5</v>
      </c>
      <c r="C204" s="3">
        <v>200025888200</v>
      </c>
      <c r="D204" s="2">
        <v>45799.753240740742</v>
      </c>
      <c r="E204" s="1">
        <v>0</v>
      </c>
    </row>
    <row r="205" spans="1:5" ht="14.4" x14ac:dyDescent="0.3">
      <c r="A205" s="1">
        <v>204</v>
      </c>
      <c r="B205" s="1" t="s">
        <v>5</v>
      </c>
      <c r="C205" s="3">
        <v>200025888200</v>
      </c>
      <c r="D205" s="2">
        <v>45799.753252314818</v>
      </c>
      <c r="E205" s="1">
        <v>0</v>
      </c>
    </row>
    <row r="206" spans="1:5" ht="14.4" x14ac:dyDescent="0.3">
      <c r="A206" s="1">
        <v>205</v>
      </c>
      <c r="B206" s="1" t="s">
        <v>5</v>
      </c>
      <c r="C206" s="3">
        <v>200025888216</v>
      </c>
      <c r="D206" s="2">
        <v>45799.801666666666</v>
      </c>
      <c r="E206" s="1">
        <v>1</v>
      </c>
    </row>
    <row r="207" spans="1:5" ht="14.4" x14ac:dyDescent="0.3">
      <c r="A207" s="1">
        <v>206</v>
      </c>
      <c r="B207" s="1" t="s">
        <v>5</v>
      </c>
      <c r="C207" s="3">
        <v>200025888663</v>
      </c>
      <c r="D207" s="2">
        <v>45799.81753472222</v>
      </c>
      <c r="E207" s="1">
        <v>2</v>
      </c>
    </row>
    <row r="208" spans="1:5" ht="14.4" x14ac:dyDescent="0.3">
      <c r="A208" s="1">
        <v>207</v>
      </c>
      <c r="B208" s="1" t="s">
        <v>5</v>
      </c>
      <c r="C208" s="3">
        <v>200025888663</v>
      </c>
      <c r="D208" s="2">
        <v>45799.817743055559</v>
      </c>
      <c r="E208" s="1">
        <v>2</v>
      </c>
    </row>
    <row r="209" spans="1:5" ht="14.4" x14ac:dyDescent="0.3">
      <c r="A209" s="1">
        <v>208</v>
      </c>
      <c r="B209" s="1" t="s">
        <v>5</v>
      </c>
      <c r="C209" s="3">
        <v>200025888663</v>
      </c>
      <c r="D209" s="2">
        <v>45799.818113425928</v>
      </c>
      <c r="E209" s="1">
        <v>1</v>
      </c>
    </row>
    <row r="210" spans="1:5" ht="14.4" x14ac:dyDescent="0.3">
      <c r="A210" s="1">
        <v>209</v>
      </c>
      <c r="B210" s="1" t="s">
        <v>5</v>
      </c>
      <c r="C210" s="3">
        <v>200025888663</v>
      </c>
      <c r="D210" s="2">
        <v>45799.818252314813</v>
      </c>
      <c r="E210" s="1">
        <v>0</v>
      </c>
    </row>
    <row r="211" spans="1:5" ht="14.4" x14ac:dyDescent="0.3">
      <c r="A211" s="1">
        <v>210</v>
      </c>
      <c r="B211" s="1" t="s">
        <v>5</v>
      </c>
      <c r="C211" s="3">
        <v>200025888608</v>
      </c>
      <c r="D211" s="2">
        <v>45799.82603009259</v>
      </c>
      <c r="E211" s="1">
        <v>0</v>
      </c>
    </row>
    <row r="212" spans="1:5" ht="14.4" x14ac:dyDescent="0.3">
      <c r="A212" s="1">
        <v>211</v>
      </c>
      <c r="B212" s="1" t="s">
        <v>5</v>
      </c>
      <c r="C212" s="3">
        <v>200025888608</v>
      </c>
      <c r="D212" s="2">
        <v>45799.831377314818</v>
      </c>
      <c r="E212" s="1">
        <v>1</v>
      </c>
    </row>
    <row r="213" spans="1:5" ht="14.4" x14ac:dyDescent="0.3">
      <c r="A213" s="1">
        <v>212</v>
      </c>
      <c r="B213" s="1" t="s">
        <v>5</v>
      </c>
      <c r="C213" s="3">
        <v>200025888608</v>
      </c>
      <c r="D213" s="2">
        <v>45799.831400462965</v>
      </c>
      <c r="E213" s="1">
        <v>1</v>
      </c>
    </row>
    <row r="214" spans="1:5" ht="14.4" x14ac:dyDescent="0.3">
      <c r="A214" s="1">
        <v>213</v>
      </c>
      <c r="B214" s="1" t="s">
        <v>5</v>
      </c>
      <c r="C214" s="3">
        <v>200025888608</v>
      </c>
      <c r="D214" s="2">
        <v>45799.834745370368</v>
      </c>
      <c r="E214" s="1">
        <v>0</v>
      </c>
    </row>
    <row r="215" spans="1:5" ht="14.4" x14ac:dyDescent="0.3">
      <c r="A215" s="1">
        <v>214</v>
      </c>
      <c r="B215" s="1" t="s">
        <v>5</v>
      </c>
      <c r="C215" s="3">
        <v>200025888201</v>
      </c>
      <c r="D215" s="2">
        <v>45799.887256944443</v>
      </c>
      <c r="E215" s="1">
        <v>0</v>
      </c>
    </row>
    <row r="216" spans="1:5" ht="14.4" x14ac:dyDescent="0.3">
      <c r="A216" s="1">
        <v>215</v>
      </c>
      <c r="B216" s="1" t="s">
        <v>5</v>
      </c>
      <c r="C216" s="3">
        <v>200025888201</v>
      </c>
      <c r="D216" s="2">
        <v>45799.887731481482</v>
      </c>
      <c r="E216" s="1">
        <v>0</v>
      </c>
    </row>
    <row r="217" spans="1:5" ht="14.4" x14ac:dyDescent="0.3">
      <c r="A217" s="1">
        <v>216</v>
      </c>
      <c r="B217" s="1" t="s">
        <v>5</v>
      </c>
      <c r="C217" s="3">
        <v>200025888834</v>
      </c>
      <c r="D217" s="2">
        <v>45800.009456018517</v>
      </c>
      <c r="E217" s="1">
        <v>0</v>
      </c>
    </row>
    <row r="218" spans="1:5" ht="14.4" x14ac:dyDescent="0.3">
      <c r="A218" s="1">
        <v>217</v>
      </c>
      <c r="B218" s="1" t="s">
        <v>5</v>
      </c>
      <c r="C218" s="3">
        <v>200025888834</v>
      </c>
      <c r="D218" s="2">
        <v>45800.009467592594</v>
      </c>
      <c r="E218" s="1">
        <v>1</v>
      </c>
    </row>
    <row r="219" spans="1:5" ht="14.4" x14ac:dyDescent="0.3">
      <c r="A219" s="1">
        <v>218</v>
      </c>
      <c r="B219" s="1" t="s">
        <v>5</v>
      </c>
      <c r="C219" s="3">
        <v>200025888834</v>
      </c>
      <c r="D219" s="2">
        <v>45800.013310185182</v>
      </c>
      <c r="E219" s="1">
        <v>1</v>
      </c>
    </row>
    <row r="220" spans="1:5" ht="14.4" x14ac:dyDescent="0.3">
      <c r="A220" s="1">
        <v>219</v>
      </c>
      <c r="B220" s="1" t="s">
        <v>5</v>
      </c>
      <c r="C220" s="3">
        <v>200025888834</v>
      </c>
      <c r="D220" s="2">
        <v>45800.014166666668</v>
      </c>
      <c r="E220" s="1">
        <v>0</v>
      </c>
    </row>
    <row r="221" spans="1:5" ht="14.4" x14ac:dyDescent="0.3">
      <c r="A221" s="1">
        <v>220</v>
      </c>
      <c r="B221" s="1" t="s">
        <v>5</v>
      </c>
      <c r="C221" s="3">
        <v>200025888834</v>
      </c>
      <c r="D221" s="2">
        <v>45800.014178240737</v>
      </c>
      <c r="E221" s="1">
        <v>0</v>
      </c>
    </row>
    <row r="222" spans="1:5" ht="14.4" x14ac:dyDescent="0.3">
      <c r="A222" s="1">
        <v>221</v>
      </c>
      <c r="B222" s="1" t="s">
        <v>5</v>
      </c>
      <c r="C222" s="3">
        <v>200025888834</v>
      </c>
      <c r="D222" s="2">
        <v>45800.175416666665</v>
      </c>
      <c r="E222" s="1">
        <v>0</v>
      </c>
    </row>
    <row r="223" spans="1:5" ht="14.4" x14ac:dyDescent="0.3">
      <c r="A223" s="1">
        <v>222</v>
      </c>
      <c r="B223" s="1" t="s">
        <v>5</v>
      </c>
      <c r="C223" s="3">
        <v>200025888834</v>
      </c>
      <c r="D223" s="2">
        <v>45800.175567129627</v>
      </c>
      <c r="E223" s="1">
        <v>1</v>
      </c>
    </row>
    <row r="224" spans="1:5" ht="14.4" x14ac:dyDescent="0.3">
      <c r="A224" s="1">
        <v>223</v>
      </c>
      <c r="B224" s="1" t="s">
        <v>5</v>
      </c>
      <c r="C224" s="3">
        <v>200025888834</v>
      </c>
      <c r="D224" s="2">
        <v>45800.17763888889</v>
      </c>
      <c r="E224" s="1">
        <v>0</v>
      </c>
    </row>
    <row r="225" spans="1:5" ht="14.4" x14ac:dyDescent="0.3">
      <c r="A225" s="1">
        <v>224</v>
      </c>
      <c r="B225" s="1" t="s">
        <v>5</v>
      </c>
      <c r="C225" s="3">
        <v>200025888863</v>
      </c>
      <c r="D225" s="2">
        <v>45800.380127314813</v>
      </c>
      <c r="E225" s="1">
        <v>0</v>
      </c>
    </row>
    <row r="226" spans="1:5" ht="14.4" x14ac:dyDescent="0.3">
      <c r="A226" s="1">
        <v>225</v>
      </c>
      <c r="B226" s="1" t="s">
        <v>5</v>
      </c>
      <c r="C226" s="3">
        <v>200025888863</v>
      </c>
      <c r="D226" s="2">
        <v>45800.38013888889</v>
      </c>
      <c r="E226" s="1">
        <v>1</v>
      </c>
    </row>
    <row r="227" spans="1:5" ht="14.4" x14ac:dyDescent="0.3">
      <c r="A227" s="1">
        <v>226</v>
      </c>
      <c r="B227" s="1" t="s">
        <v>5</v>
      </c>
      <c r="C227" s="3">
        <v>200025888982</v>
      </c>
      <c r="D227" s="2">
        <v>45801.237384259257</v>
      </c>
      <c r="E227" s="1">
        <v>0</v>
      </c>
    </row>
    <row r="228" spans="1:5" ht="14.4" x14ac:dyDescent="0.3">
      <c r="A228" s="1">
        <v>227</v>
      </c>
      <c r="B228" s="1" t="s">
        <v>5</v>
      </c>
      <c r="C228" s="3">
        <v>200025888982</v>
      </c>
      <c r="D228" s="2">
        <v>45801.237523148149</v>
      </c>
      <c r="E228" s="1">
        <v>1</v>
      </c>
    </row>
    <row r="229" spans="1:5" ht="14.4" x14ac:dyDescent="0.3">
      <c r="A229" s="1">
        <v>228</v>
      </c>
      <c r="B229" s="1" t="s">
        <v>5</v>
      </c>
      <c r="C229" s="3">
        <v>200025888982</v>
      </c>
      <c r="D229" s="2">
        <v>45801.237534722219</v>
      </c>
      <c r="E229" s="1">
        <v>1</v>
      </c>
    </row>
    <row r="230" spans="1:5" ht="14.4" x14ac:dyDescent="0.3">
      <c r="A230" s="1">
        <v>229</v>
      </c>
      <c r="B230" s="1" t="s">
        <v>5</v>
      </c>
      <c r="C230" s="3">
        <v>200025888982</v>
      </c>
      <c r="D230" s="2">
        <v>45801.239236111112</v>
      </c>
      <c r="E230" s="1">
        <v>0</v>
      </c>
    </row>
    <row r="231" spans="1:5" ht="14.4" x14ac:dyDescent="0.3">
      <c r="A231" s="1">
        <v>230</v>
      </c>
      <c r="B231" s="1" t="s">
        <v>5</v>
      </c>
      <c r="C231" s="3">
        <v>200025888982</v>
      </c>
      <c r="D231" s="2">
        <v>45801.31391203704</v>
      </c>
      <c r="E231" s="1">
        <v>1</v>
      </c>
    </row>
    <row r="232" spans="1:5" ht="14.4" x14ac:dyDescent="0.3">
      <c r="A232" s="1">
        <v>1</v>
      </c>
      <c r="B232" s="1" t="s">
        <v>7</v>
      </c>
      <c r="C232" s="3">
        <v>8119002419</v>
      </c>
      <c r="D232" s="2">
        <v>45792.723900462966</v>
      </c>
      <c r="E232" s="1">
        <v>1</v>
      </c>
    </row>
    <row r="233" spans="1:5" ht="14.4" x14ac:dyDescent="0.3">
      <c r="A233" s="1">
        <v>2</v>
      </c>
      <c r="B233" s="1" t="s">
        <v>7</v>
      </c>
      <c r="C233" s="3">
        <v>8119002419</v>
      </c>
      <c r="D233" s="2">
        <v>45792.723935185182</v>
      </c>
      <c r="E233" s="1">
        <v>0</v>
      </c>
    </row>
    <row r="234" spans="1:5" ht="14.4" x14ac:dyDescent="0.3">
      <c r="A234" s="1">
        <v>3</v>
      </c>
      <c r="B234" s="1" t="s">
        <v>7</v>
      </c>
      <c r="C234" s="3">
        <v>8119002419</v>
      </c>
      <c r="D234" s="2">
        <v>45792.723946759259</v>
      </c>
      <c r="E234" s="1">
        <v>0</v>
      </c>
    </row>
    <row r="235" spans="1:5" ht="14.4" x14ac:dyDescent="0.3">
      <c r="A235" s="1">
        <v>4</v>
      </c>
      <c r="B235" s="1" t="s">
        <v>7</v>
      </c>
      <c r="C235" s="3">
        <v>8119002419</v>
      </c>
      <c r="D235" s="2">
        <v>45792.723958333336</v>
      </c>
      <c r="E235" s="1">
        <v>0</v>
      </c>
    </row>
    <row r="236" spans="1:5" ht="14.4" x14ac:dyDescent="0.3">
      <c r="A236" s="1">
        <v>5</v>
      </c>
      <c r="B236" s="1" t="s">
        <v>7</v>
      </c>
      <c r="C236" s="3">
        <v>8119002419</v>
      </c>
      <c r="D236" s="2">
        <v>45792.723969907405</v>
      </c>
      <c r="E236" s="1">
        <v>0</v>
      </c>
    </row>
    <row r="237" spans="1:5" ht="14.4" x14ac:dyDescent="0.3">
      <c r="A237" s="1">
        <v>6</v>
      </c>
      <c r="B237" s="1" t="s">
        <v>7</v>
      </c>
      <c r="C237" s="3">
        <v>8119002419</v>
      </c>
      <c r="D237" s="2">
        <v>45792.723981481482</v>
      </c>
      <c r="E237" s="1">
        <v>0</v>
      </c>
    </row>
    <row r="238" spans="1:5" ht="14.4" x14ac:dyDescent="0.3">
      <c r="A238" s="1">
        <v>7</v>
      </c>
      <c r="B238" s="1" t="s">
        <v>7</v>
      </c>
      <c r="C238" s="3">
        <v>8119002419</v>
      </c>
      <c r="D238" s="2">
        <v>45792.723993055559</v>
      </c>
      <c r="E238" s="1">
        <v>0</v>
      </c>
    </row>
    <row r="239" spans="1:5" ht="14.4" x14ac:dyDescent="0.3">
      <c r="A239" s="1">
        <v>8</v>
      </c>
      <c r="B239" s="1" t="s">
        <v>7</v>
      </c>
      <c r="C239" s="3">
        <v>8119002419</v>
      </c>
      <c r="D239" s="2">
        <v>45792.724004629628</v>
      </c>
      <c r="E239" s="1">
        <v>0</v>
      </c>
    </row>
    <row r="240" spans="1:5" ht="14.4" x14ac:dyDescent="0.3">
      <c r="A240" s="1">
        <v>9</v>
      </c>
      <c r="B240" s="1" t="s">
        <v>7</v>
      </c>
      <c r="C240" s="3">
        <v>8119002419</v>
      </c>
      <c r="D240" s="2">
        <v>45792.724016203705</v>
      </c>
      <c r="E240" s="1">
        <v>0</v>
      </c>
    </row>
    <row r="241" spans="1:5" ht="14.4" x14ac:dyDescent="0.3">
      <c r="A241" s="1">
        <v>10</v>
      </c>
      <c r="B241" s="1" t="s">
        <v>7</v>
      </c>
      <c r="C241" s="3">
        <v>101</v>
      </c>
      <c r="D241" s="2">
        <v>45795.506828703707</v>
      </c>
      <c r="E241" s="1">
        <v>1</v>
      </c>
    </row>
    <row r="242" spans="1:5" ht="14.4" x14ac:dyDescent="0.3">
      <c r="A242" s="1">
        <v>11</v>
      </c>
      <c r="B242" s="1" t="s">
        <v>7</v>
      </c>
      <c r="C242" s="3">
        <v>101</v>
      </c>
      <c r="D242" s="2">
        <v>45795.506851851853</v>
      </c>
      <c r="E242" s="1">
        <v>0</v>
      </c>
    </row>
    <row r="243" spans="1:5" ht="14.4" x14ac:dyDescent="0.3">
      <c r="A243" s="1">
        <v>12</v>
      </c>
      <c r="B243" s="1" t="s">
        <v>7</v>
      </c>
      <c r="C243" s="3">
        <v>101</v>
      </c>
      <c r="D243" s="2">
        <v>45795.506874999999</v>
      </c>
      <c r="E243" s="1">
        <v>0</v>
      </c>
    </row>
    <row r="244" spans="1:5" ht="14.4" x14ac:dyDescent="0.3">
      <c r="A244" s="1">
        <v>13</v>
      </c>
      <c r="B244" s="1" t="s">
        <v>7</v>
      </c>
      <c r="C244" s="3">
        <v>200001616855</v>
      </c>
      <c r="D244" s="2">
        <v>45795.506898148145</v>
      </c>
      <c r="E244" s="1">
        <v>0</v>
      </c>
    </row>
    <row r="245" spans="1:5" ht="14.4" x14ac:dyDescent="0.3">
      <c r="A245" s="1">
        <v>14</v>
      </c>
      <c r="B245" s="1" t="s">
        <v>7</v>
      </c>
      <c r="C245" s="3">
        <v>200001616855</v>
      </c>
      <c r="D245" s="2">
        <v>45795.506909722222</v>
      </c>
      <c r="E245" s="1">
        <v>1</v>
      </c>
    </row>
    <row r="246" spans="1:5" ht="14.4" x14ac:dyDescent="0.3">
      <c r="A246" s="1">
        <v>15</v>
      </c>
      <c r="B246" s="1" t="s">
        <v>7</v>
      </c>
      <c r="C246" s="3">
        <v>200001616855</v>
      </c>
      <c r="D246" s="2">
        <v>45795.506932870368</v>
      </c>
      <c r="E246" s="1">
        <v>0</v>
      </c>
    </row>
    <row r="247" spans="1:5" ht="14.4" x14ac:dyDescent="0.3">
      <c r="A247" s="1">
        <v>16</v>
      </c>
      <c r="B247" s="1" t="s">
        <v>7</v>
      </c>
      <c r="C247" s="3">
        <v>200001616855</v>
      </c>
      <c r="D247" s="2">
        <v>45795.506944444445</v>
      </c>
      <c r="E247" s="1">
        <v>0</v>
      </c>
    </row>
    <row r="248" spans="1:5" ht="14.4" x14ac:dyDescent="0.3">
      <c r="A248" s="1">
        <v>17</v>
      </c>
      <c r="B248" s="1" t="s">
        <v>7</v>
      </c>
      <c r="C248" s="3">
        <v>101</v>
      </c>
      <c r="D248" s="2">
        <v>45795.506967592592</v>
      </c>
      <c r="E248" s="1">
        <v>0</v>
      </c>
    </row>
    <row r="249" spans="1:5" ht="14.4" x14ac:dyDescent="0.3">
      <c r="A249" s="1">
        <v>18</v>
      </c>
      <c r="B249" s="1" t="s">
        <v>7</v>
      </c>
      <c r="C249" s="3">
        <v>101</v>
      </c>
      <c r="D249" s="2">
        <v>45795.506979166668</v>
      </c>
      <c r="E249" s="1">
        <v>0</v>
      </c>
    </row>
    <row r="250" spans="1:5" ht="14.4" x14ac:dyDescent="0.3">
      <c r="A250" s="1">
        <v>19</v>
      </c>
      <c r="B250" s="1" t="s">
        <v>7</v>
      </c>
      <c r="C250" s="3">
        <v>101</v>
      </c>
      <c r="D250" s="2">
        <v>45795.587175925924</v>
      </c>
      <c r="E250" s="1">
        <v>1</v>
      </c>
    </row>
    <row r="251" spans="1:5" ht="14.4" x14ac:dyDescent="0.3">
      <c r="A251" s="1">
        <v>20</v>
      </c>
      <c r="B251" s="1" t="s">
        <v>7</v>
      </c>
      <c r="C251" s="3">
        <v>101</v>
      </c>
      <c r="D251" s="2">
        <v>45795.587187500001</v>
      </c>
      <c r="E251" s="1">
        <v>1</v>
      </c>
    </row>
    <row r="252" spans="1:5" ht="14.4" x14ac:dyDescent="0.3">
      <c r="A252" s="1">
        <v>21</v>
      </c>
      <c r="B252" s="1" t="s">
        <v>7</v>
      </c>
      <c r="C252" s="3">
        <v>101</v>
      </c>
      <c r="D252" s="2">
        <v>45795.588287037041</v>
      </c>
      <c r="E252" s="1">
        <v>0</v>
      </c>
    </row>
    <row r="253" spans="1:5" ht="14.4" x14ac:dyDescent="0.3">
      <c r="A253" s="1">
        <v>22</v>
      </c>
      <c r="B253" s="1" t="s">
        <v>7</v>
      </c>
      <c r="C253" s="3">
        <v>101</v>
      </c>
      <c r="D253" s="2">
        <v>45795.588333333333</v>
      </c>
      <c r="E253" s="1">
        <v>1</v>
      </c>
    </row>
    <row r="254" spans="1:5" ht="14.4" x14ac:dyDescent="0.3">
      <c r="A254" s="1">
        <v>23</v>
      </c>
      <c r="B254" s="1" t="s">
        <v>7</v>
      </c>
      <c r="C254" s="3">
        <v>101</v>
      </c>
      <c r="D254" s="2">
        <v>45795.588425925926</v>
      </c>
      <c r="E254" s="1">
        <v>2</v>
      </c>
    </row>
    <row r="255" spans="1:5" ht="14.4" x14ac:dyDescent="0.3">
      <c r="A255" s="1">
        <v>24</v>
      </c>
      <c r="B255" s="1" t="s">
        <v>7</v>
      </c>
      <c r="C255" s="3">
        <v>101</v>
      </c>
      <c r="D255" s="2">
        <v>45795.588460648149</v>
      </c>
      <c r="E255" s="1">
        <v>4</v>
      </c>
    </row>
    <row r="256" spans="1:5" ht="14.4" x14ac:dyDescent="0.3">
      <c r="A256" s="1">
        <v>25</v>
      </c>
      <c r="B256" s="1" t="s">
        <v>7</v>
      </c>
      <c r="C256" s="3">
        <v>101</v>
      </c>
      <c r="D256" s="2">
        <v>45795.588518518518</v>
      </c>
      <c r="E256" s="1">
        <v>0</v>
      </c>
    </row>
    <row r="257" spans="1:5" ht="14.4" x14ac:dyDescent="0.3">
      <c r="A257" s="1">
        <v>26</v>
      </c>
      <c r="B257" s="1" t="s">
        <v>7</v>
      </c>
      <c r="C257" s="3">
        <v>101</v>
      </c>
      <c r="D257" s="2">
        <v>45796.498182870368</v>
      </c>
      <c r="E257" s="1">
        <v>0</v>
      </c>
    </row>
    <row r="258" spans="1:5" ht="14.4" x14ac:dyDescent="0.3">
      <c r="A258" s="1">
        <v>27</v>
      </c>
      <c r="B258" s="1" t="s">
        <v>7</v>
      </c>
      <c r="C258" s="3">
        <v>101</v>
      </c>
      <c r="D258" s="2">
        <v>45796.498194444444</v>
      </c>
      <c r="E258" s="1">
        <v>1</v>
      </c>
    </row>
    <row r="259" spans="1:5" ht="14.4" x14ac:dyDescent="0.3">
      <c r="A259" s="1">
        <v>28</v>
      </c>
      <c r="B259" s="1" t="s">
        <v>7</v>
      </c>
      <c r="C259" s="3">
        <v>200025888137</v>
      </c>
      <c r="D259" s="2">
        <v>45797.843229166669</v>
      </c>
      <c r="E259" s="1">
        <v>47</v>
      </c>
    </row>
    <row r="260" spans="1:5" ht="14.4" x14ac:dyDescent="0.3">
      <c r="A260" s="1">
        <v>29</v>
      </c>
      <c r="B260" s="1" t="s">
        <v>7</v>
      </c>
      <c r="C260" s="3">
        <v>200025888201</v>
      </c>
      <c r="D260" s="2">
        <v>45798.499212962961</v>
      </c>
      <c r="E260" s="1">
        <v>4673</v>
      </c>
    </row>
    <row r="261" spans="1:5" ht="14.4" x14ac:dyDescent="0.3">
      <c r="A261" s="1">
        <v>30</v>
      </c>
      <c r="B261" s="1" t="s">
        <v>7</v>
      </c>
      <c r="C261" s="3">
        <v>200025888868</v>
      </c>
      <c r="D261" s="2">
        <v>45798.908206018517</v>
      </c>
      <c r="E261" s="1">
        <v>0</v>
      </c>
    </row>
    <row r="262" spans="1:5" ht="14.4" x14ac:dyDescent="0.3">
      <c r="A262" s="1">
        <v>31</v>
      </c>
      <c r="B262" s="1" t="s">
        <v>7</v>
      </c>
      <c r="C262" s="3">
        <v>200025888654</v>
      </c>
      <c r="D262" s="2">
        <v>45798.914050925923</v>
      </c>
      <c r="E262" s="1">
        <v>0</v>
      </c>
    </row>
    <row r="263" spans="1:5" ht="14.4" x14ac:dyDescent="0.3">
      <c r="A263" s="1">
        <v>32</v>
      </c>
      <c r="B263" s="1" t="s">
        <v>7</v>
      </c>
      <c r="C263" s="3">
        <v>200025888504</v>
      </c>
      <c r="D263" s="2">
        <v>45798.931296296294</v>
      </c>
      <c r="E263" s="1">
        <v>0</v>
      </c>
    </row>
    <row r="264" spans="1:5" ht="14.4" x14ac:dyDescent="0.3">
      <c r="A264" s="1">
        <v>33</v>
      </c>
      <c r="B264" s="1" t="s">
        <v>7</v>
      </c>
      <c r="C264" s="3">
        <v>200025888868</v>
      </c>
      <c r="D264" s="2">
        <v>45798.945081018515</v>
      </c>
      <c r="E264" s="1">
        <v>0</v>
      </c>
    </row>
    <row r="265" spans="1:5" ht="14.4" x14ac:dyDescent="0.3">
      <c r="A265" s="1">
        <v>34</v>
      </c>
      <c r="B265" s="1" t="s">
        <v>7</v>
      </c>
      <c r="C265" s="3">
        <v>200025888868</v>
      </c>
      <c r="D265" s="2">
        <v>45799.227569444447</v>
      </c>
      <c r="E265" s="1">
        <v>0</v>
      </c>
    </row>
    <row r="266" spans="1:5" ht="14.4" x14ac:dyDescent="0.3">
      <c r="A266" s="1">
        <v>35</v>
      </c>
      <c r="B266" s="1" t="s">
        <v>7</v>
      </c>
      <c r="C266" s="25">
        <v>200025888244</v>
      </c>
      <c r="D266" s="2">
        <v>45799.53324074074</v>
      </c>
      <c r="E266" s="1">
        <v>2</v>
      </c>
    </row>
    <row r="267" spans="1:5" ht="14.4" x14ac:dyDescent="0.3">
      <c r="A267" s="1">
        <v>1</v>
      </c>
      <c r="B267" s="1" t="s">
        <v>6</v>
      </c>
      <c r="C267" s="3">
        <v>101</v>
      </c>
      <c r="D267" s="2">
        <v>45795.517314814817</v>
      </c>
      <c r="E267" s="1">
        <v>0</v>
      </c>
    </row>
    <row r="268" spans="1:5" ht="14.4" x14ac:dyDescent="0.3">
      <c r="A268" s="1">
        <v>2</v>
      </c>
      <c r="B268" s="1" t="s">
        <v>6</v>
      </c>
      <c r="C268" s="3">
        <v>101</v>
      </c>
      <c r="D268" s="2">
        <v>45795.517337962963</v>
      </c>
      <c r="E268" s="1">
        <v>0</v>
      </c>
    </row>
    <row r="269" spans="1:5" ht="14.4" x14ac:dyDescent="0.3">
      <c r="A269" s="1">
        <v>3</v>
      </c>
      <c r="B269" s="1" t="s">
        <v>6</v>
      </c>
      <c r="C269" s="3">
        <v>101</v>
      </c>
      <c r="D269" s="2">
        <v>45795.51734953704</v>
      </c>
      <c r="E269" s="1">
        <v>0</v>
      </c>
    </row>
    <row r="270" spans="1:5" ht="14.4" x14ac:dyDescent="0.3">
      <c r="A270" s="1">
        <v>4</v>
      </c>
      <c r="B270" s="1" t="s">
        <v>6</v>
      </c>
      <c r="C270" s="3">
        <v>200001616855</v>
      </c>
      <c r="D270" s="2">
        <v>45795.517372685186</v>
      </c>
      <c r="E270" s="1">
        <v>0</v>
      </c>
    </row>
    <row r="271" spans="1:5" ht="14.4" x14ac:dyDescent="0.3">
      <c r="A271" s="1">
        <v>5</v>
      </c>
      <c r="B271" s="1" t="s">
        <v>6</v>
      </c>
      <c r="C271" s="3">
        <v>200001616855</v>
      </c>
      <c r="D271" s="2">
        <v>45795.517384259256</v>
      </c>
      <c r="E271" s="1">
        <v>1</v>
      </c>
    </row>
    <row r="272" spans="1:5" x14ac:dyDescent="0.35">
      <c r="A272" s="1">
        <v>6</v>
      </c>
      <c r="B272" s="1" t="s">
        <v>6</v>
      </c>
      <c r="C272" s="3">
        <v>200001616855</v>
      </c>
      <c r="D272" s="2">
        <v>45795.517395833333</v>
      </c>
      <c r="E272" s="1">
        <v>1</v>
      </c>
    </row>
    <row r="273" spans="1:5" x14ac:dyDescent="0.35">
      <c r="A273" s="1">
        <v>7</v>
      </c>
      <c r="B273" s="1" t="s">
        <v>6</v>
      </c>
      <c r="C273" s="3">
        <v>200001616855</v>
      </c>
      <c r="D273" s="2">
        <v>45795.517442129632</v>
      </c>
      <c r="E273" s="1">
        <v>0</v>
      </c>
    </row>
    <row r="274" spans="1:5" x14ac:dyDescent="0.35">
      <c r="A274" s="1">
        <v>8</v>
      </c>
      <c r="B274" s="1" t="s">
        <v>6</v>
      </c>
      <c r="C274" s="3">
        <v>101</v>
      </c>
      <c r="D274" s="2">
        <v>45795.517453703702</v>
      </c>
      <c r="E274" s="1">
        <v>0</v>
      </c>
    </row>
    <row r="275" spans="1:5" x14ac:dyDescent="0.35">
      <c r="A275" s="1">
        <v>9</v>
      </c>
      <c r="B275" s="1" t="s">
        <v>6</v>
      </c>
      <c r="C275" s="3">
        <v>101</v>
      </c>
      <c r="D275" s="2">
        <v>45795.517465277779</v>
      </c>
      <c r="E275" s="1">
        <v>1</v>
      </c>
    </row>
    <row r="276" spans="1:5" x14ac:dyDescent="0.35">
      <c r="A276" s="1">
        <v>10</v>
      </c>
      <c r="B276" s="1" t="s">
        <v>6</v>
      </c>
      <c r="C276" s="3">
        <v>101</v>
      </c>
      <c r="D276" s="2">
        <v>45795.517488425925</v>
      </c>
      <c r="E276" s="1">
        <v>0</v>
      </c>
    </row>
    <row r="277" spans="1:5" x14ac:dyDescent="0.35">
      <c r="A277" s="1">
        <v>11</v>
      </c>
      <c r="B277" s="1" t="s">
        <v>6</v>
      </c>
      <c r="C277" s="3">
        <v>101</v>
      </c>
      <c r="D277" s="2">
        <v>45796.502384259256</v>
      </c>
      <c r="E277" s="1">
        <v>1</v>
      </c>
    </row>
    <row r="278" spans="1:5" x14ac:dyDescent="0.35">
      <c r="A278" s="1">
        <v>12</v>
      </c>
      <c r="B278" s="1" t="s">
        <v>6</v>
      </c>
      <c r="C278" s="3">
        <v>101</v>
      </c>
      <c r="D278" s="2">
        <v>45796.50240740741</v>
      </c>
      <c r="E278" s="1">
        <v>0</v>
      </c>
    </row>
    <row r="279" spans="1:5" x14ac:dyDescent="0.35">
      <c r="A279" s="1">
        <v>13</v>
      </c>
      <c r="B279" s="1" t="s">
        <v>6</v>
      </c>
      <c r="C279" s="3">
        <v>200025888982</v>
      </c>
      <c r="D279" s="2">
        <v>45797.813101851854</v>
      </c>
      <c r="E279" s="1">
        <v>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tabSelected="1" topLeftCell="C1" workbookViewId="0">
      <selection activeCell="F4" sqref="F4"/>
    </sheetView>
  </sheetViews>
  <sheetFormatPr defaultColWidth="10.90625" defaultRowHeight="14.5" x14ac:dyDescent="0.35"/>
  <cols>
    <col min="1" max="1" width="4.90625" customWidth="1"/>
    <col min="2" max="2" width="18.36328125" customWidth="1"/>
    <col min="3" max="4" width="9.453125" customWidth="1"/>
    <col min="5" max="5" width="19.6328125" style="3" customWidth="1"/>
    <col min="6" max="6" width="15.36328125" style="3" customWidth="1"/>
    <col min="7" max="7" width="7.08984375" style="3" customWidth="1"/>
    <col min="8" max="8" width="21.453125" style="5" customWidth="1"/>
    <col min="9" max="9" width="7.453125" customWidth="1"/>
    <col min="10" max="10" width="8.54296875" customWidth="1"/>
    <col min="11" max="11" width="8.36328125" customWidth="1"/>
    <col min="12" max="12" width="7.90625" customWidth="1"/>
  </cols>
  <sheetData>
    <row r="1" spans="1:14" s="9" customFormat="1" ht="43.5" x14ac:dyDescent="0.35">
      <c r="A1" s="9" t="s">
        <v>0</v>
      </c>
      <c r="B1" s="9" t="s">
        <v>1</v>
      </c>
      <c r="C1" s="9" t="s">
        <v>9</v>
      </c>
      <c r="D1" s="9" t="s">
        <v>8</v>
      </c>
      <c r="E1" s="10" t="s">
        <v>2</v>
      </c>
      <c r="F1" s="10" t="s">
        <v>39</v>
      </c>
      <c r="G1" s="10" t="s">
        <v>40</v>
      </c>
      <c r="H1" s="11" t="s">
        <v>3</v>
      </c>
      <c r="I1" s="9" t="s">
        <v>4</v>
      </c>
      <c r="J1" s="9" t="s">
        <v>13</v>
      </c>
      <c r="K1" s="9" t="s">
        <v>41</v>
      </c>
      <c r="L1" s="9" t="s">
        <v>42</v>
      </c>
    </row>
    <row r="2" spans="1:14" ht="14.4" x14ac:dyDescent="0.3">
      <c r="A2" s="17">
        <v>28</v>
      </c>
      <c r="B2" s="18" t="s">
        <v>7</v>
      </c>
      <c r="C2" s="17" t="s">
        <v>12</v>
      </c>
      <c r="D2" s="19">
        <v>93202</v>
      </c>
      <c r="E2" s="20">
        <v>200025888137</v>
      </c>
      <c r="F2" s="20" t="s">
        <v>15</v>
      </c>
      <c r="G2" s="20">
        <v>46</v>
      </c>
      <c r="H2" s="22">
        <v>45797.843229166669</v>
      </c>
      <c r="I2" s="18">
        <v>47</v>
      </c>
      <c r="J2" s="18">
        <v>1</v>
      </c>
      <c r="K2" s="17">
        <v>1</v>
      </c>
      <c r="L2" s="17">
        <v>2</v>
      </c>
    </row>
    <row r="3" spans="1:14" ht="14.4" x14ac:dyDescent="0.3">
      <c r="A3" s="17">
        <v>48</v>
      </c>
      <c r="B3" s="17" t="s">
        <v>5</v>
      </c>
      <c r="C3" s="17" t="s">
        <v>10</v>
      </c>
      <c r="D3" s="17">
        <v>91001</v>
      </c>
      <c r="E3" s="20">
        <v>200025888137</v>
      </c>
      <c r="F3" s="20" t="s">
        <v>15</v>
      </c>
      <c r="G3" s="20">
        <v>46</v>
      </c>
      <c r="H3" s="21">
        <v>45798.511724537035</v>
      </c>
      <c r="I3" s="17">
        <v>2</v>
      </c>
      <c r="J3" s="17">
        <v>16</v>
      </c>
      <c r="K3" s="17">
        <v>2</v>
      </c>
      <c r="L3" s="17">
        <v>2</v>
      </c>
      <c r="M3" s="6"/>
      <c r="N3" s="7"/>
    </row>
    <row r="4" spans="1:14" ht="14.4" x14ac:dyDescent="0.3">
      <c r="A4" s="17">
        <v>49</v>
      </c>
      <c r="B4" s="17" t="s">
        <v>5</v>
      </c>
      <c r="C4" s="17" t="s">
        <v>10</v>
      </c>
      <c r="D4" s="17">
        <v>91001</v>
      </c>
      <c r="E4" s="20">
        <v>200025888137</v>
      </c>
      <c r="F4" s="20" t="s">
        <v>15</v>
      </c>
      <c r="G4" s="20">
        <v>46</v>
      </c>
      <c r="H4" s="21">
        <v>45798.511944444443</v>
      </c>
      <c r="I4" s="17">
        <v>3</v>
      </c>
      <c r="J4" s="17">
        <v>17</v>
      </c>
      <c r="K4" s="17">
        <v>3</v>
      </c>
      <c r="L4" s="17">
        <v>2</v>
      </c>
    </row>
    <row r="5" spans="1:14" ht="14.4" x14ac:dyDescent="0.3">
      <c r="A5" s="17">
        <v>50</v>
      </c>
      <c r="B5" s="17" t="s">
        <v>5</v>
      </c>
      <c r="C5" s="17" t="s">
        <v>10</v>
      </c>
      <c r="D5" s="17">
        <v>91001</v>
      </c>
      <c r="E5" s="20">
        <v>200025888137</v>
      </c>
      <c r="F5" s="20" t="s">
        <v>15</v>
      </c>
      <c r="G5" s="20">
        <v>46</v>
      </c>
      <c r="H5" s="21">
        <v>45798.553657407407</v>
      </c>
      <c r="I5" s="17">
        <v>0</v>
      </c>
      <c r="J5" s="17">
        <v>18</v>
      </c>
      <c r="K5" s="17">
        <v>4</v>
      </c>
      <c r="L5" s="17">
        <v>2</v>
      </c>
    </row>
    <row r="6" spans="1:14" ht="14.4" x14ac:dyDescent="0.3">
      <c r="A6" s="17">
        <v>51</v>
      </c>
      <c r="B6" s="17" t="s">
        <v>5</v>
      </c>
      <c r="C6" s="17" t="s">
        <v>10</v>
      </c>
      <c r="D6" s="17">
        <v>91001</v>
      </c>
      <c r="E6" s="20">
        <v>200025888137</v>
      </c>
      <c r="F6" s="20" t="s">
        <v>15</v>
      </c>
      <c r="G6" s="20">
        <v>46</v>
      </c>
      <c r="H6" s="21">
        <v>45798.553668981483</v>
      </c>
      <c r="I6" s="17">
        <v>0</v>
      </c>
      <c r="J6" s="17">
        <v>19</v>
      </c>
      <c r="K6" s="17">
        <v>5</v>
      </c>
      <c r="L6" s="17">
        <v>2</v>
      </c>
    </row>
    <row r="7" spans="1:14" ht="14.4" x14ac:dyDescent="0.3">
      <c r="A7" s="17">
        <v>52</v>
      </c>
      <c r="B7" s="17" t="s">
        <v>5</v>
      </c>
      <c r="C7" s="17" t="s">
        <v>10</v>
      </c>
      <c r="D7" s="17">
        <v>91001</v>
      </c>
      <c r="E7" s="20">
        <v>200025888137</v>
      </c>
      <c r="F7" s="20" t="s">
        <v>15</v>
      </c>
      <c r="G7" s="20">
        <v>46</v>
      </c>
      <c r="H7" s="21">
        <v>45798.55369212963</v>
      </c>
      <c r="I7" s="17">
        <v>0</v>
      </c>
      <c r="J7" s="17">
        <v>20</v>
      </c>
      <c r="K7" s="17">
        <v>6</v>
      </c>
      <c r="L7" s="17">
        <v>2</v>
      </c>
    </row>
    <row r="8" spans="1:14" ht="14.4" x14ac:dyDescent="0.3">
      <c r="A8" s="17">
        <v>53</v>
      </c>
      <c r="B8" s="17" t="s">
        <v>5</v>
      </c>
      <c r="C8" s="17" t="s">
        <v>10</v>
      </c>
      <c r="D8" s="17">
        <v>91001</v>
      </c>
      <c r="E8" s="20">
        <v>200025888137</v>
      </c>
      <c r="F8" s="20" t="s">
        <v>15</v>
      </c>
      <c r="G8" s="20">
        <v>46</v>
      </c>
      <c r="H8" s="21">
        <v>45798.589317129627</v>
      </c>
      <c r="I8" s="17">
        <v>1</v>
      </c>
      <c r="J8" s="17">
        <v>21</v>
      </c>
      <c r="K8" s="17">
        <v>7</v>
      </c>
      <c r="L8" s="17">
        <v>2</v>
      </c>
    </row>
    <row r="9" spans="1:14" ht="14.4" x14ac:dyDescent="0.3">
      <c r="A9" s="17">
        <v>54</v>
      </c>
      <c r="B9" s="17" t="s">
        <v>5</v>
      </c>
      <c r="C9" s="17" t="s">
        <v>10</v>
      </c>
      <c r="D9" s="17">
        <v>91001</v>
      </c>
      <c r="E9" s="20">
        <v>200025888137</v>
      </c>
      <c r="F9" s="20" t="s">
        <v>15</v>
      </c>
      <c r="G9" s="20">
        <v>46</v>
      </c>
      <c r="H9" s="21">
        <v>45798.589328703703</v>
      </c>
      <c r="I9" s="17">
        <v>1</v>
      </c>
      <c r="J9" s="17">
        <v>22</v>
      </c>
      <c r="K9" s="17">
        <v>8</v>
      </c>
      <c r="L9" s="17">
        <v>2</v>
      </c>
    </row>
    <row r="10" spans="1:14" ht="14.4" x14ac:dyDescent="0.3">
      <c r="A10" s="17">
        <v>55</v>
      </c>
      <c r="B10" s="17" t="s">
        <v>5</v>
      </c>
      <c r="C10" s="17" t="s">
        <v>10</v>
      </c>
      <c r="D10" s="17">
        <v>91001</v>
      </c>
      <c r="E10" s="20">
        <v>200025888137</v>
      </c>
      <c r="F10" s="20" t="s">
        <v>15</v>
      </c>
      <c r="G10" s="20">
        <v>46</v>
      </c>
      <c r="H10" s="21">
        <v>45798.60359953704</v>
      </c>
      <c r="I10" s="17">
        <v>1</v>
      </c>
      <c r="J10" s="17">
        <v>23</v>
      </c>
      <c r="K10" s="17">
        <v>9</v>
      </c>
      <c r="L10" s="17">
        <v>2</v>
      </c>
    </row>
    <row r="11" spans="1:14" ht="14.4" x14ac:dyDescent="0.3">
      <c r="A11" s="17">
        <v>56</v>
      </c>
      <c r="B11" s="17" t="s">
        <v>5</v>
      </c>
      <c r="C11" s="17" t="s">
        <v>10</v>
      </c>
      <c r="D11" s="17">
        <v>91001</v>
      </c>
      <c r="E11" s="20">
        <v>200025888137</v>
      </c>
      <c r="F11" s="20" t="s">
        <v>15</v>
      </c>
      <c r="G11" s="20">
        <v>46</v>
      </c>
      <c r="H11" s="21">
        <v>45798.60361111111</v>
      </c>
      <c r="I11" s="17">
        <v>1</v>
      </c>
      <c r="J11" s="17">
        <v>24</v>
      </c>
      <c r="K11" s="17">
        <v>10</v>
      </c>
      <c r="L11" s="17">
        <v>2</v>
      </c>
    </row>
    <row r="12" spans="1:14" ht="14.4" x14ac:dyDescent="0.3">
      <c r="A12" s="17">
        <v>57</v>
      </c>
      <c r="B12" s="17" t="s">
        <v>5</v>
      </c>
      <c r="C12" s="17" t="s">
        <v>10</v>
      </c>
      <c r="D12" s="17">
        <v>91001</v>
      </c>
      <c r="E12" s="20">
        <v>200025888137</v>
      </c>
      <c r="F12" s="20" t="s">
        <v>15</v>
      </c>
      <c r="G12" s="20">
        <v>46</v>
      </c>
      <c r="H12" s="21">
        <v>45798.603773148148</v>
      </c>
      <c r="I12" s="17">
        <v>1</v>
      </c>
      <c r="J12" s="17">
        <v>25</v>
      </c>
      <c r="K12" s="17">
        <v>11</v>
      </c>
      <c r="L12" s="17">
        <v>2</v>
      </c>
    </row>
    <row r="13" spans="1:14" ht="14.4" x14ac:dyDescent="0.3">
      <c r="A13" s="17">
        <v>58</v>
      </c>
      <c r="B13" s="17" t="s">
        <v>5</v>
      </c>
      <c r="C13" s="17" t="s">
        <v>10</v>
      </c>
      <c r="D13" s="17">
        <v>91001</v>
      </c>
      <c r="E13" s="20">
        <v>200025888137</v>
      </c>
      <c r="F13" s="20" t="s">
        <v>15</v>
      </c>
      <c r="G13" s="20">
        <v>46</v>
      </c>
      <c r="H13" s="21">
        <v>45798.604270833333</v>
      </c>
      <c r="I13" s="17">
        <v>0</v>
      </c>
      <c r="J13" s="17">
        <v>26</v>
      </c>
      <c r="K13" s="17">
        <v>12</v>
      </c>
      <c r="L13" s="17">
        <v>2</v>
      </c>
    </row>
    <row r="14" spans="1:14" ht="14.4" x14ac:dyDescent="0.3">
      <c r="A14" s="17">
        <v>59</v>
      </c>
      <c r="B14" s="17" t="s">
        <v>5</v>
      </c>
      <c r="C14" s="17" t="s">
        <v>10</v>
      </c>
      <c r="D14" s="17">
        <v>91001</v>
      </c>
      <c r="E14" s="20">
        <v>200025888137</v>
      </c>
      <c r="F14" s="20" t="s">
        <v>15</v>
      </c>
      <c r="G14" s="20">
        <v>46</v>
      </c>
      <c r="H14" s="21">
        <v>45798.604409722226</v>
      </c>
      <c r="I14" s="17">
        <v>0</v>
      </c>
      <c r="J14" s="17">
        <v>27</v>
      </c>
      <c r="K14" s="17">
        <v>13</v>
      </c>
      <c r="L14" s="17">
        <v>2</v>
      </c>
    </row>
    <row r="15" spans="1:14" ht="14.4" x14ac:dyDescent="0.3">
      <c r="A15" s="17">
        <v>60</v>
      </c>
      <c r="B15" s="17" t="s">
        <v>5</v>
      </c>
      <c r="C15" s="17" t="s">
        <v>10</v>
      </c>
      <c r="D15" s="17">
        <v>91001</v>
      </c>
      <c r="E15" s="20">
        <v>200025888137</v>
      </c>
      <c r="F15" s="20" t="s">
        <v>15</v>
      </c>
      <c r="G15" s="20">
        <v>46</v>
      </c>
      <c r="H15" s="21">
        <v>45798.604421296295</v>
      </c>
      <c r="I15" s="17">
        <v>1</v>
      </c>
      <c r="J15" s="17">
        <v>28</v>
      </c>
      <c r="K15" s="17">
        <v>14</v>
      </c>
      <c r="L15" s="17">
        <v>2</v>
      </c>
    </row>
    <row r="16" spans="1:14" ht="14.4" x14ac:dyDescent="0.3">
      <c r="A16" s="17">
        <v>61</v>
      </c>
      <c r="B16" s="17" t="s">
        <v>5</v>
      </c>
      <c r="C16" s="17" t="s">
        <v>10</v>
      </c>
      <c r="D16" s="17">
        <v>91001</v>
      </c>
      <c r="E16" s="20">
        <v>200025888137</v>
      </c>
      <c r="F16" s="20" t="s">
        <v>15</v>
      </c>
      <c r="G16" s="20">
        <v>46</v>
      </c>
      <c r="H16" s="21">
        <v>45798.605509259258</v>
      </c>
      <c r="I16" s="17">
        <v>1</v>
      </c>
      <c r="J16" s="17">
        <v>29</v>
      </c>
      <c r="K16" s="17">
        <v>15</v>
      </c>
      <c r="L16" s="17">
        <v>2</v>
      </c>
    </row>
    <row r="17" spans="1:14" ht="14.4" x14ac:dyDescent="0.3">
      <c r="A17" s="17">
        <v>62</v>
      </c>
      <c r="B17" s="17" t="s">
        <v>5</v>
      </c>
      <c r="C17" s="17" t="s">
        <v>10</v>
      </c>
      <c r="D17" s="17">
        <v>91001</v>
      </c>
      <c r="E17" s="20">
        <v>200025888137</v>
      </c>
      <c r="F17" s="20" t="s">
        <v>15</v>
      </c>
      <c r="G17" s="20">
        <v>46</v>
      </c>
      <c r="H17" s="21">
        <v>45798.605636574073</v>
      </c>
      <c r="I17" s="17">
        <v>0</v>
      </c>
      <c r="J17" s="17">
        <v>30</v>
      </c>
      <c r="K17" s="17">
        <v>16</v>
      </c>
      <c r="L17" s="17">
        <v>2</v>
      </c>
    </row>
    <row r="18" spans="1:14" ht="14.4" x14ac:dyDescent="0.3">
      <c r="A18" s="17">
        <v>63</v>
      </c>
      <c r="B18" s="17" t="s">
        <v>5</v>
      </c>
      <c r="C18" s="17" t="s">
        <v>10</v>
      </c>
      <c r="D18" s="17">
        <v>91001</v>
      </c>
      <c r="E18" s="20">
        <v>200025888137</v>
      </c>
      <c r="F18" s="20" t="s">
        <v>15</v>
      </c>
      <c r="G18" s="20">
        <v>46</v>
      </c>
      <c r="H18" s="21">
        <v>45798.60564814815</v>
      </c>
      <c r="I18" s="17">
        <v>12</v>
      </c>
      <c r="J18" s="17">
        <v>31</v>
      </c>
      <c r="K18" s="17">
        <v>17</v>
      </c>
      <c r="L18" s="17">
        <v>2</v>
      </c>
    </row>
    <row r="19" spans="1:14" ht="14.4" x14ac:dyDescent="0.3">
      <c r="A19" s="17">
        <v>64</v>
      </c>
      <c r="B19" s="17" t="s">
        <v>5</v>
      </c>
      <c r="C19" s="17" t="s">
        <v>10</v>
      </c>
      <c r="D19" s="17">
        <v>91001</v>
      </c>
      <c r="E19" s="20">
        <v>200025888137</v>
      </c>
      <c r="F19" s="20" t="s">
        <v>15</v>
      </c>
      <c r="G19" s="20">
        <v>46</v>
      </c>
      <c r="H19" s="21">
        <v>45798.606053240743</v>
      </c>
      <c r="I19" s="17">
        <v>1</v>
      </c>
      <c r="J19" s="17">
        <v>32</v>
      </c>
      <c r="K19" s="17">
        <v>18</v>
      </c>
      <c r="L19" s="17">
        <v>2</v>
      </c>
    </row>
    <row r="20" spans="1:14" ht="14.4" x14ac:dyDescent="0.3">
      <c r="A20" s="17">
        <v>74</v>
      </c>
      <c r="B20" s="17" t="s">
        <v>5</v>
      </c>
      <c r="C20" s="17" t="s">
        <v>10</v>
      </c>
      <c r="D20" s="17">
        <v>91001</v>
      </c>
      <c r="E20" s="20">
        <v>200025888137</v>
      </c>
      <c r="F20" s="20" t="s">
        <v>15</v>
      </c>
      <c r="G20" s="20">
        <v>46</v>
      </c>
      <c r="H20" s="21">
        <v>45798.675671296296</v>
      </c>
      <c r="I20" s="17">
        <v>1</v>
      </c>
      <c r="J20" s="17">
        <v>42</v>
      </c>
      <c r="K20" s="17">
        <v>19</v>
      </c>
      <c r="L20" s="17">
        <v>2</v>
      </c>
      <c r="M20" s="8"/>
      <c r="N20" s="7"/>
    </row>
    <row r="21" spans="1:14" ht="14.4" x14ac:dyDescent="0.3">
      <c r="A21" s="17">
        <v>75</v>
      </c>
      <c r="B21" s="17" t="s">
        <v>5</v>
      </c>
      <c r="C21" s="17" t="s">
        <v>10</v>
      </c>
      <c r="D21" s="17">
        <v>91001</v>
      </c>
      <c r="E21" s="20">
        <v>200025888137</v>
      </c>
      <c r="F21" s="20" t="s">
        <v>15</v>
      </c>
      <c r="G21" s="20">
        <v>46</v>
      </c>
      <c r="H21" s="21">
        <v>45798.675682870373</v>
      </c>
      <c r="I21" s="17">
        <v>0</v>
      </c>
      <c r="J21" s="17">
        <v>43</v>
      </c>
      <c r="K21" s="17">
        <v>20</v>
      </c>
      <c r="L21" s="17">
        <v>2</v>
      </c>
      <c r="M21" s="6"/>
      <c r="N21" s="7"/>
    </row>
    <row r="22" spans="1:14" ht="14.4" x14ac:dyDescent="0.3">
      <c r="A22" s="17">
        <v>76</v>
      </c>
      <c r="B22" s="17" t="s">
        <v>5</v>
      </c>
      <c r="C22" s="17" t="s">
        <v>10</v>
      </c>
      <c r="D22" s="17">
        <v>91001</v>
      </c>
      <c r="E22" s="20">
        <v>200025888137</v>
      </c>
      <c r="F22" s="20" t="s">
        <v>15</v>
      </c>
      <c r="G22" s="20">
        <v>46</v>
      </c>
      <c r="H22" s="21">
        <v>45798.675682870373</v>
      </c>
      <c r="I22" s="17">
        <v>1</v>
      </c>
      <c r="J22" s="17">
        <v>44</v>
      </c>
      <c r="K22" s="17">
        <v>21</v>
      </c>
      <c r="L22" s="17">
        <v>2</v>
      </c>
    </row>
    <row r="23" spans="1:14" ht="14.4" x14ac:dyDescent="0.3">
      <c r="A23" s="17">
        <v>77</v>
      </c>
      <c r="B23" s="17" t="s">
        <v>5</v>
      </c>
      <c r="C23" s="17" t="s">
        <v>10</v>
      </c>
      <c r="D23" s="17">
        <v>91001</v>
      </c>
      <c r="E23" s="20">
        <v>200025888137</v>
      </c>
      <c r="F23" s="20" t="s">
        <v>15</v>
      </c>
      <c r="G23" s="20">
        <v>46</v>
      </c>
      <c r="H23" s="21">
        <v>45798.676307870373</v>
      </c>
      <c r="I23" s="17">
        <v>13</v>
      </c>
      <c r="J23" s="17">
        <v>45</v>
      </c>
      <c r="K23" s="17">
        <v>22</v>
      </c>
      <c r="L23" s="17">
        <v>2</v>
      </c>
    </row>
    <row r="24" spans="1:14" ht="14.4" x14ac:dyDescent="0.3">
      <c r="A24" s="17">
        <v>78</v>
      </c>
      <c r="B24" s="17" t="s">
        <v>5</v>
      </c>
      <c r="C24" s="17" t="s">
        <v>10</v>
      </c>
      <c r="D24" s="17">
        <v>91001</v>
      </c>
      <c r="E24" s="20">
        <v>200025888137</v>
      </c>
      <c r="F24" s="20" t="s">
        <v>15</v>
      </c>
      <c r="G24" s="20">
        <v>46</v>
      </c>
      <c r="H24" s="21">
        <v>45798.676979166667</v>
      </c>
      <c r="I24" s="17">
        <v>0</v>
      </c>
      <c r="J24" s="17">
        <v>46</v>
      </c>
      <c r="K24" s="17">
        <v>23</v>
      </c>
      <c r="L24" s="17">
        <v>2</v>
      </c>
    </row>
    <row r="25" spans="1:14" ht="14.4" x14ac:dyDescent="0.3">
      <c r="A25" s="17">
        <v>79</v>
      </c>
      <c r="B25" s="17" t="s">
        <v>5</v>
      </c>
      <c r="C25" s="17" t="s">
        <v>10</v>
      </c>
      <c r="D25" s="17">
        <v>91001</v>
      </c>
      <c r="E25" s="20">
        <v>200025888137</v>
      </c>
      <c r="F25" s="20" t="s">
        <v>15</v>
      </c>
      <c r="G25" s="20">
        <v>46</v>
      </c>
      <c r="H25" s="21">
        <v>45798.676990740743</v>
      </c>
      <c r="I25" s="17">
        <v>0</v>
      </c>
      <c r="J25" s="17">
        <v>47</v>
      </c>
      <c r="K25" s="17">
        <v>24</v>
      </c>
      <c r="L25" s="17">
        <v>2</v>
      </c>
    </row>
    <row r="26" spans="1:14" ht="14.4" x14ac:dyDescent="0.3">
      <c r="A26" s="17">
        <v>80</v>
      </c>
      <c r="B26" s="17" t="s">
        <v>5</v>
      </c>
      <c r="C26" s="17" t="s">
        <v>10</v>
      </c>
      <c r="D26" s="17">
        <v>91001</v>
      </c>
      <c r="E26" s="20">
        <v>200025888137</v>
      </c>
      <c r="F26" s="20" t="s">
        <v>15</v>
      </c>
      <c r="G26" s="20">
        <v>46</v>
      </c>
      <c r="H26" s="21">
        <v>45798.67759259259</v>
      </c>
      <c r="I26" s="17">
        <v>1</v>
      </c>
      <c r="J26" s="17">
        <v>48</v>
      </c>
      <c r="K26" s="17">
        <v>25</v>
      </c>
      <c r="L26" s="17">
        <v>2</v>
      </c>
    </row>
    <row r="27" spans="1:14" ht="14.4" x14ac:dyDescent="0.3">
      <c r="A27" s="17">
        <v>81</v>
      </c>
      <c r="B27" s="17" t="s">
        <v>5</v>
      </c>
      <c r="C27" s="17" t="s">
        <v>10</v>
      </c>
      <c r="D27" s="17">
        <v>91001</v>
      </c>
      <c r="E27" s="20">
        <v>200025888137</v>
      </c>
      <c r="F27" s="20" t="s">
        <v>15</v>
      </c>
      <c r="G27" s="20">
        <v>46</v>
      </c>
      <c r="H27" s="21">
        <v>45798.677743055552</v>
      </c>
      <c r="I27" s="17">
        <v>0</v>
      </c>
      <c r="J27" s="17">
        <v>49</v>
      </c>
      <c r="K27" s="17">
        <v>26</v>
      </c>
      <c r="L27" s="17">
        <v>2</v>
      </c>
    </row>
    <row r="28" spans="1:14" ht="14.4" x14ac:dyDescent="0.3">
      <c r="A28" s="12">
        <v>86</v>
      </c>
      <c r="B28" s="12" t="s">
        <v>5</v>
      </c>
      <c r="C28" s="12" t="s">
        <v>10</v>
      </c>
      <c r="D28" s="12">
        <v>91001</v>
      </c>
      <c r="E28" s="15">
        <v>200025888163</v>
      </c>
      <c r="F28" s="15" t="s">
        <v>16</v>
      </c>
      <c r="G28" s="15">
        <v>2</v>
      </c>
      <c r="H28" s="16">
        <v>45798.715636574074</v>
      </c>
      <c r="I28" s="12">
        <v>0</v>
      </c>
      <c r="J28" s="12">
        <v>54</v>
      </c>
      <c r="K28" s="12">
        <v>1</v>
      </c>
      <c r="L28" s="12">
        <v>8</v>
      </c>
    </row>
    <row r="29" spans="1:14" ht="14.4" x14ac:dyDescent="0.3">
      <c r="A29" s="12">
        <v>87</v>
      </c>
      <c r="B29" s="12" t="s">
        <v>5</v>
      </c>
      <c r="C29" s="12" t="s">
        <v>10</v>
      </c>
      <c r="D29" s="12">
        <v>91001</v>
      </c>
      <c r="E29" s="15">
        <v>200025888163</v>
      </c>
      <c r="F29" s="15" t="s">
        <v>16</v>
      </c>
      <c r="G29" s="15">
        <v>2</v>
      </c>
      <c r="H29" s="16">
        <v>45798.715636574074</v>
      </c>
      <c r="I29" s="12">
        <v>2</v>
      </c>
      <c r="J29" s="12">
        <v>55</v>
      </c>
      <c r="K29" s="12">
        <v>2</v>
      </c>
      <c r="L29" s="12">
        <v>8</v>
      </c>
    </row>
    <row r="30" spans="1:14" ht="14.4" x14ac:dyDescent="0.3">
      <c r="A30" s="12">
        <v>88</v>
      </c>
      <c r="B30" s="12" t="s">
        <v>5</v>
      </c>
      <c r="C30" s="12" t="s">
        <v>10</v>
      </c>
      <c r="D30" s="12">
        <v>91001</v>
      </c>
      <c r="E30" s="15">
        <v>200025888163</v>
      </c>
      <c r="F30" s="15" t="s">
        <v>16</v>
      </c>
      <c r="G30" s="15">
        <v>2</v>
      </c>
      <c r="H30" s="16">
        <v>45798.716134259259</v>
      </c>
      <c r="I30" s="12">
        <v>1</v>
      </c>
      <c r="J30" s="12">
        <v>56</v>
      </c>
      <c r="K30" s="12">
        <v>3</v>
      </c>
      <c r="L30" s="12">
        <v>8</v>
      </c>
    </row>
    <row r="31" spans="1:14" ht="14.4" x14ac:dyDescent="0.3">
      <c r="A31" s="12">
        <v>89</v>
      </c>
      <c r="B31" s="12" t="s">
        <v>5</v>
      </c>
      <c r="C31" s="12" t="s">
        <v>10</v>
      </c>
      <c r="D31" s="12">
        <v>91001</v>
      </c>
      <c r="E31" s="15">
        <v>200025888163</v>
      </c>
      <c r="F31" s="15" t="s">
        <v>16</v>
      </c>
      <c r="G31" s="15">
        <v>2</v>
      </c>
      <c r="H31" s="16">
        <v>45798.716157407405</v>
      </c>
      <c r="I31" s="12">
        <v>22</v>
      </c>
      <c r="J31" s="12">
        <v>57</v>
      </c>
      <c r="K31" s="12">
        <v>4</v>
      </c>
      <c r="L31" s="12">
        <v>8</v>
      </c>
    </row>
    <row r="32" spans="1:14" ht="14.4" x14ac:dyDescent="0.3">
      <c r="A32" s="12">
        <v>90</v>
      </c>
      <c r="B32" s="12" t="s">
        <v>5</v>
      </c>
      <c r="C32" s="12" t="s">
        <v>10</v>
      </c>
      <c r="D32" s="12">
        <v>91001</v>
      </c>
      <c r="E32" s="15">
        <v>200025888163</v>
      </c>
      <c r="F32" s="15" t="s">
        <v>16</v>
      </c>
      <c r="G32" s="15">
        <v>2</v>
      </c>
      <c r="H32" s="16">
        <v>45798.716412037036</v>
      </c>
      <c r="I32" s="12">
        <v>0</v>
      </c>
      <c r="J32" s="12">
        <v>58</v>
      </c>
      <c r="K32" s="12">
        <v>5</v>
      </c>
      <c r="L32" s="12">
        <v>8</v>
      </c>
    </row>
    <row r="33" spans="1:12" ht="14.4" x14ac:dyDescent="0.3">
      <c r="A33" s="12">
        <v>91</v>
      </c>
      <c r="B33" s="12" t="s">
        <v>5</v>
      </c>
      <c r="C33" s="12" t="s">
        <v>10</v>
      </c>
      <c r="D33" s="12">
        <v>91001</v>
      </c>
      <c r="E33" s="15">
        <v>200025888163</v>
      </c>
      <c r="F33" s="15" t="s">
        <v>16</v>
      </c>
      <c r="G33" s="15">
        <v>2</v>
      </c>
      <c r="H33" s="16">
        <v>45798.716423611113</v>
      </c>
      <c r="I33" s="12">
        <v>1</v>
      </c>
      <c r="J33" s="12">
        <v>59</v>
      </c>
      <c r="K33" s="12">
        <v>6</v>
      </c>
      <c r="L33" s="12">
        <v>8</v>
      </c>
    </row>
    <row r="34" spans="1:12" ht="14.4" x14ac:dyDescent="0.3">
      <c r="A34" s="12">
        <v>93</v>
      </c>
      <c r="B34" s="12" t="s">
        <v>5</v>
      </c>
      <c r="C34" s="12" t="s">
        <v>10</v>
      </c>
      <c r="D34" s="12">
        <v>91001</v>
      </c>
      <c r="E34" s="15">
        <v>200025888163</v>
      </c>
      <c r="F34" s="15" t="s">
        <v>16</v>
      </c>
      <c r="G34" s="15">
        <v>2</v>
      </c>
      <c r="H34" s="16">
        <v>45798.727210648147</v>
      </c>
      <c r="I34" s="12">
        <v>1</v>
      </c>
      <c r="J34" s="12">
        <v>61</v>
      </c>
      <c r="K34" s="12">
        <v>7</v>
      </c>
      <c r="L34" s="12">
        <v>8</v>
      </c>
    </row>
    <row r="35" spans="1:12" ht="14.4" x14ac:dyDescent="0.3">
      <c r="A35" s="12">
        <v>180</v>
      </c>
      <c r="B35" s="12" t="s">
        <v>5</v>
      </c>
      <c r="C35" s="12" t="s">
        <v>10</v>
      </c>
      <c r="D35" s="12">
        <v>91001</v>
      </c>
      <c r="E35" s="15">
        <v>200025888163</v>
      </c>
      <c r="F35" s="15" t="s">
        <v>43</v>
      </c>
      <c r="G35" s="15">
        <v>3</v>
      </c>
      <c r="H35" s="16">
        <v>45799.495081018518</v>
      </c>
      <c r="I35" s="12">
        <v>3</v>
      </c>
      <c r="J35" s="12">
        <v>148</v>
      </c>
      <c r="K35" s="12">
        <v>8</v>
      </c>
      <c r="L35" s="12">
        <v>8</v>
      </c>
    </row>
    <row r="36" spans="1:12" ht="14.4" x14ac:dyDescent="0.3">
      <c r="A36" s="17">
        <v>33</v>
      </c>
      <c r="B36" s="17" t="s">
        <v>5</v>
      </c>
      <c r="C36" s="17" t="s">
        <v>10</v>
      </c>
      <c r="D36" s="17">
        <v>91001</v>
      </c>
      <c r="E36" s="20">
        <v>200025888173</v>
      </c>
      <c r="F36" s="20" t="s">
        <v>17</v>
      </c>
      <c r="G36" s="20">
        <v>34</v>
      </c>
      <c r="H36" s="21">
        <v>45798.247002314813</v>
      </c>
      <c r="I36" s="17">
        <v>0</v>
      </c>
      <c r="J36" s="17">
        <v>1</v>
      </c>
      <c r="K36" s="17">
        <v>1</v>
      </c>
      <c r="L36" s="17">
        <v>3</v>
      </c>
    </row>
    <row r="37" spans="1:12" ht="14.4" x14ac:dyDescent="0.3">
      <c r="A37" s="17">
        <v>34</v>
      </c>
      <c r="B37" s="17" t="s">
        <v>5</v>
      </c>
      <c r="C37" s="17" t="s">
        <v>10</v>
      </c>
      <c r="D37" s="17">
        <v>91001</v>
      </c>
      <c r="E37" s="20">
        <v>200025888173</v>
      </c>
      <c r="F37" s="20" t="s">
        <v>17</v>
      </c>
      <c r="G37" s="20">
        <v>34</v>
      </c>
      <c r="H37" s="21">
        <v>45798.247013888889</v>
      </c>
      <c r="I37" s="17">
        <v>0</v>
      </c>
      <c r="J37" s="17">
        <v>2</v>
      </c>
      <c r="K37" s="17">
        <v>2</v>
      </c>
      <c r="L37" s="17">
        <v>3</v>
      </c>
    </row>
    <row r="38" spans="1:12" ht="14.4" x14ac:dyDescent="0.3">
      <c r="A38" s="17">
        <v>35</v>
      </c>
      <c r="B38" s="17" t="s">
        <v>5</v>
      </c>
      <c r="C38" s="17" t="s">
        <v>10</v>
      </c>
      <c r="D38" s="17">
        <v>91001</v>
      </c>
      <c r="E38" s="20">
        <v>200025888173</v>
      </c>
      <c r="F38" s="20" t="s">
        <v>17</v>
      </c>
      <c r="G38" s="20">
        <v>34</v>
      </c>
      <c r="H38" s="21">
        <v>45798.27275462963</v>
      </c>
      <c r="I38" s="17">
        <v>0</v>
      </c>
      <c r="J38" s="17">
        <v>3</v>
      </c>
      <c r="K38" s="17">
        <v>3</v>
      </c>
      <c r="L38" s="17">
        <v>3</v>
      </c>
    </row>
    <row r="39" spans="1:12" ht="14.4" x14ac:dyDescent="0.3">
      <c r="A39" s="17">
        <v>36</v>
      </c>
      <c r="B39" s="17" t="s">
        <v>5</v>
      </c>
      <c r="C39" s="17" t="s">
        <v>10</v>
      </c>
      <c r="D39" s="17">
        <v>91001</v>
      </c>
      <c r="E39" s="20">
        <v>200025888173</v>
      </c>
      <c r="F39" s="20" t="s">
        <v>17</v>
      </c>
      <c r="G39" s="20">
        <v>34</v>
      </c>
      <c r="H39" s="21">
        <v>45798.302256944444</v>
      </c>
      <c r="I39" s="17">
        <v>0</v>
      </c>
      <c r="J39" s="17">
        <v>4</v>
      </c>
      <c r="K39" s="17">
        <v>4</v>
      </c>
      <c r="L39" s="17">
        <v>3</v>
      </c>
    </row>
    <row r="40" spans="1:12" ht="14.4" x14ac:dyDescent="0.3">
      <c r="A40" s="17">
        <v>37</v>
      </c>
      <c r="B40" s="17" t="s">
        <v>5</v>
      </c>
      <c r="C40" s="17" t="s">
        <v>10</v>
      </c>
      <c r="D40" s="17">
        <v>91001</v>
      </c>
      <c r="E40" s="20">
        <v>200025888173</v>
      </c>
      <c r="F40" s="20" t="s">
        <v>17</v>
      </c>
      <c r="G40" s="20">
        <v>34</v>
      </c>
      <c r="H40" s="21">
        <v>45798.302268518521</v>
      </c>
      <c r="I40" s="17">
        <v>0</v>
      </c>
      <c r="J40" s="17">
        <v>5</v>
      </c>
      <c r="K40" s="17">
        <v>5</v>
      </c>
      <c r="L40" s="17">
        <v>3</v>
      </c>
    </row>
    <row r="41" spans="1:12" ht="14.4" x14ac:dyDescent="0.3">
      <c r="A41" s="17">
        <v>38</v>
      </c>
      <c r="B41" s="17" t="s">
        <v>5</v>
      </c>
      <c r="C41" s="17" t="s">
        <v>10</v>
      </c>
      <c r="D41" s="17">
        <v>91001</v>
      </c>
      <c r="E41" s="20">
        <v>200025888173</v>
      </c>
      <c r="F41" s="20" t="s">
        <v>17</v>
      </c>
      <c r="G41" s="20">
        <v>34</v>
      </c>
      <c r="H41" s="21">
        <v>45798.30228009259</v>
      </c>
      <c r="I41" s="17">
        <v>1</v>
      </c>
      <c r="J41" s="17">
        <v>6</v>
      </c>
      <c r="K41" s="17">
        <v>6</v>
      </c>
      <c r="L41" s="17">
        <v>3</v>
      </c>
    </row>
    <row r="42" spans="1:12" ht="14.4" x14ac:dyDescent="0.3">
      <c r="A42" s="17">
        <v>39</v>
      </c>
      <c r="B42" s="17" t="s">
        <v>5</v>
      </c>
      <c r="C42" s="17" t="s">
        <v>10</v>
      </c>
      <c r="D42" s="17">
        <v>91001</v>
      </c>
      <c r="E42" s="20">
        <v>200025888173</v>
      </c>
      <c r="F42" s="20" t="s">
        <v>17</v>
      </c>
      <c r="G42" s="20">
        <v>34</v>
      </c>
      <c r="H42" s="21">
        <v>45798.302534722221</v>
      </c>
      <c r="I42" s="17">
        <v>1</v>
      </c>
      <c r="J42" s="17">
        <v>7</v>
      </c>
      <c r="K42" s="17">
        <v>7</v>
      </c>
      <c r="L42" s="17">
        <v>3</v>
      </c>
    </row>
    <row r="43" spans="1:12" ht="14.4" x14ac:dyDescent="0.3">
      <c r="A43" s="17">
        <v>40</v>
      </c>
      <c r="B43" s="17" t="s">
        <v>5</v>
      </c>
      <c r="C43" s="17" t="s">
        <v>10</v>
      </c>
      <c r="D43" s="17">
        <v>91001</v>
      </c>
      <c r="E43" s="20">
        <v>200025888173</v>
      </c>
      <c r="F43" s="20" t="s">
        <v>17</v>
      </c>
      <c r="G43" s="20">
        <v>34</v>
      </c>
      <c r="H43" s="21">
        <v>45798.302546296298</v>
      </c>
      <c r="I43" s="17">
        <v>0</v>
      </c>
      <c r="J43" s="17">
        <v>8</v>
      </c>
      <c r="K43" s="17">
        <v>8</v>
      </c>
      <c r="L43" s="17">
        <v>3</v>
      </c>
    </row>
    <row r="44" spans="1:12" ht="14.4" x14ac:dyDescent="0.3">
      <c r="A44" s="17">
        <v>41</v>
      </c>
      <c r="B44" s="17" t="s">
        <v>5</v>
      </c>
      <c r="C44" s="17" t="s">
        <v>10</v>
      </c>
      <c r="D44" s="17">
        <v>91001</v>
      </c>
      <c r="E44" s="20">
        <v>200025888173</v>
      </c>
      <c r="F44" s="20" t="s">
        <v>17</v>
      </c>
      <c r="G44" s="20">
        <v>34</v>
      </c>
      <c r="H44" s="21">
        <v>45798.32234953704</v>
      </c>
      <c r="I44" s="17">
        <v>0</v>
      </c>
      <c r="J44" s="17">
        <v>9</v>
      </c>
      <c r="K44" s="17">
        <v>9</v>
      </c>
      <c r="L44" s="17">
        <v>3</v>
      </c>
    </row>
    <row r="45" spans="1:12" ht="14.4" x14ac:dyDescent="0.3">
      <c r="A45" s="17">
        <v>42</v>
      </c>
      <c r="B45" s="17" t="s">
        <v>5</v>
      </c>
      <c r="C45" s="17" t="s">
        <v>10</v>
      </c>
      <c r="D45" s="17">
        <v>91001</v>
      </c>
      <c r="E45" s="20">
        <v>200025888173</v>
      </c>
      <c r="F45" s="20" t="s">
        <v>17</v>
      </c>
      <c r="G45" s="20">
        <v>34</v>
      </c>
      <c r="H45" s="21">
        <v>45798.367731481485</v>
      </c>
      <c r="I45" s="17">
        <v>0</v>
      </c>
      <c r="J45" s="17">
        <v>10</v>
      </c>
      <c r="K45" s="17">
        <v>10</v>
      </c>
      <c r="L45" s="17">
        <v>3</v>
      </c>
    </row>
    <row r="46" spans="1:12" ht="14.4" x14ac:dyDescent="0.3">
      <c r="A46" s="18">
        <v>203</v>
      </c>
      <c r="B46" s="18" t="s">
        <v>5</v>
      </c>
      <c r="C46" s="18" t="s">
        <v>10</v>
      </c>
      <c r="D46" s="18">
        <v>91001</v>
      </c>
      <c r="E46" s="20">
        <v>200025888200</v>
      </c>
      <c r="F46" s="20" t="s">
        <v>17</v>
      </c>
      <c r="G46" s="20">
        <v>34</v>
      </c>
      <c r="H46" s="21">
        <v>45799.753240740742</v>
      </c>
      <c r="I46" s="18">
        <v>0</v>
      </c>
      <c r="J46" s="17">
        <v>171</v>
      </c>
      <c r="K46" s="17">
        <v>11</v>
      </c>
      <c r="L46" s="17">
        <v>3</v>
      </c>
    </row>
    <row r="47" spans="1:12" ht="14.4" x14ac:dyDescent="0.3">
      <c r="A47" s="18">
        <v>204</v>
      </c>
      <c r="B47" s="18" t="s">
        <v>5</v>
      </c>
      <c r="C47" s="18" t="s">
        <v>10</v>
      </c>
      <c r="D47" s="18">
        <v>91001</v>
      </c>
      <c r="E47" s="20">
        <v>200025888200</v>
      </c>
      <c r="F47" s="20" t="s">
        <v>17</v>
      </c>
      <c r="G47" s="20">
        <v>34</v>
      </c>
      <c r="H47" s="21">
        <v>45799.753252314818</v>
      </c>
      <c r="I47" s="18">
        <v>0</v>
      </c>
      <c r="J47" s="17">
        <v>172</v>
      </c>
      <c r="K47" s="17">
        <v>12</v>
      </c>
      <c r="L47" s="17">
        <v>3</v>
      </c>
    </row>
    <row r="48" spans="1:12" ht="14.4" x14ac:dyDescent="0.3">
      <c r="A48" s="12">
        <v>29</v>
      </c>
      <c r="B48" s="13" t="s">
        <v>7</v>
      </c>
      <c r="C48" s="12" t="s">
        <v>12</v>
      </c>
      <c r="D48" s="14">
        <v>93202</v>
      </c>
      <c r="E48" s="15">
        <v>200025888201</v>
      </c>
      <c r="F48" s="15" t="s">
        <v>20</v>
      </c>
      <c r="G48" s="15">
        <v>20</v>
      </c>
      <c r="H48" s="16">
        <v>45798.499212962961</v>
      </c>
      <c r="I48" s="13">
        <v>4673</v>
      </c>
      <c r="J48" s="13">
        <v>2</v>
      </c>
      <c r="K48" s="12">
        <v>1</v>
      </c>
      <c r="L48" s="12">
        <v>5</v>
      </c>
    </row>
    <row r="49" spans="1:12" ht="14.4" x14ac:dyDescent="0.3">
      <c r="A49" s="13">
        <v>214</v>
      </c>
      <c r="B49" s="13" t="s">
        <v>5</v>
      </c>
      <c r="C49" s="13" t="s">
        <v>10</v>
      </c>
      <c r="D49" s="13">
        <v>91001</v>
      </c>
      <c r="E49" s="15">
        <v>200025888201</v>
      </c>
      <c r="F49" s="15" t="s">
        <v>20</v>
      </c>
      <c r="G49" s="15">
        <v>20</v>
      </c>
      <c r="H49" s="16">
        <v>45799.887256944443</v>
      </c>
      <c r="I49" s="13">
        <v>0</v>
      </c>
      <c r="J49" s="12">
        <v>182</v>
      </c>
      <c r="K49" s="12">
        <v>2</v>
      </c>
      <c r="L49" s="12">
        <v>5</v>
      </c>
    </row>
    <row r="50" spans="1:12" ht="14.4" x14ac:dyDescent="0.3">
      <c r="A50" s="13">
        <v>215</v>
      </c>
      <c r="B50" s="13" t="s">
        <v>5</v>
      </c>
      <c r="C50" s="13" t="s">
        <v>10</v>
      </c>
      <c r="D50" s="13">
        <v>91001</v>
      </c>
      <c r="E50" s="15">
        <v>200025888201</v>
      </c>
      <c r="F50" s="15" t="s">
        <v>20</v>
      </c>
      <c r="G50" s="15">
        <v>20</v>
      </c>
      <c r="H50" s="16">
        <v>45799.887731481482</v>
      </c>
      <c r="I50" s="13">
        <v>0</v>
      </c>
      <c r="J50" s="12">
        <v>183</v>
      </c>
      <c r="K50" s="12">
        <v>3</v>
      </c>
      <c r="L50" s="12">
        <v>5</v>
      </c>
    </row>
    <row r="51" spans="1:12" ht="14.4" x14ac:dyDescent="0.3">
      <c r="A51" s="17">
        <v>141</v>
      </c>
      <c r="B51" s="17" t="s">
        <v>5</v>
      </c>
      <c r="C51" s="17" t="s">
        <v>10</v>
      </c>
      <c r="D51" s="17">
        <v>91001</v>
      </c>
      <c r="E51" s="20">
        <v>200025888216</v>
      </c>
      <c r="F51" s="20" t="s">
        <v>21</v>
      </c>
      <c r="G51" s="20">
        <v>33</v>
      </c>
      <c r="H51" s="21">
        <v>45799.040590277778</v>
      </c>
      <c r="I51" s="17">
        <v>0</v>
      </c>
      <c r="J51" s="17">
        <v>109</v>
      </c>
      <c r="K51" s="17">
        <v>1</v>
      </c>
      <c r="L51" s="17">
        <v>16</v>
      </c>
    </row>
    <row r="52" spans="1:12" ht="14.4" x14ac:dyDescent="0.3">
      <c r="A52" s="17">
        <v>176</v>
      </c>
      <c r="B52" s="17" t="s">
        <v>5</v>
      </c>
      <c r="C52" s="17" t="s">
        <v>10</v>
      </c>
      <c r="D52" s="17">
        <v>91001</v>
      </c>
      <c r="E52" s="20">
        <v>200025888216</v>
      </c>
      <c r="F52" s="20" t="s">
        <v>21</v>
      </c>
      <c r="G52" s="20">
        <v>33</v>
      </c>
      <c r="H52" s="21">
        <v>45799.420543981483</v>
      </c>
      <c r="I52" s="17">
        <v>0</v>
      </c>
      <c r="J52" s="17">
        <v>144</v>
      </c>
      <c r="K52" s="17">
        <v>2</v>
      </c>
      <c r="L52" s="17">
        <v>16</v>
      </c>
    </row>
    <row r="53" spans="1:12" ht="14.4" x14ac:dyDescent="0.3">
      <c r="A53" s="18">
        <v>197</v>
      </c>
      <c r="B53" s="18" t="s">
        <v>5</v>
      </c>
      <c r="C53" s="18" t="s">
        <v>10</v>
      </c>
      <c r="D53" s="18">
        <v>91001</v>
      </c>
      <c r="E53" s="20">
        <v>200025888216</v>
      </c>
      <c r="F53" s="20" t="s">
        <v>21</v>
      </c>
      <c r="G53" s="20">
        <v>33</v>
      </c>
      <c r="H53" s="21">
        <v>45799.70648148148</v>
      </c>
      <c r="I53" s="18">
        <v>0</v>
      </c>
      <c r="J53" s="17">
        <v>165</v>
      </c>
      <c r="K53" s="17">
        <v>3</v>
      </c>
      <c r="L53" s="17">
        <v>16</v>
      </c>
    </row>
    <row r="54" spans="1:12" ht="14.4" x14ac:dyDescent="0.3">
      <c r="A54" s="18">
        <v>205</v>
      </c>
      <c r="B54" s="18" t="s">
        <v>5</v>
      </c>
      <c r="C54" s="18" t="s">
        <v>10</v>
      </c>
      <c r="D54" s="18">
        <v>91001</v>
      </c>
      <c r="E54" s="20">
        <v>200025888216</v>
      </c>
      <c r="F54" s="20" t="s">
        <v>21</v>
      </c>
      <c r="G54" s="20">
        <v>33</v>
      </c>
      <c r="H54" s="21">
        <v>45799.801666666666</v>
      </c>
      <c r="I54" s="18">
        <v>1</v>
      </c>
      <c r="J54" s="17">
        <v>173</v>
      </c>
      <c r="K54" s="17">
        <v>4</v>
      </c>
      <c r="L54" s="17">
        <v>16</v>
      </c>
    </row>
    <row r="55" spans="1:12" ht="14.4" x14ac:dyDescent="0.3">
      <c r="A55" s="12">
        <v>172</v>
      </c>
      <c r="B55" s="12" t="s">
        <v>5</v>
      </c>
      <c r="C55" s="12" t="s">
        <v>10</v>
      </c>
      <c r="D55" s="12">
        <v>91001</v>
      </c>
      <c r="E55" s="15">
        <v>200025888235</v>
      </c>
      <c r="F55" s="15" t="s">
        <v>22</v>
      </c>
      <c r="G55" s="15">
        <v>22</v>
      </c>
      <c r="H55" s="16">
        <v>45799.332499999997</v>
      </c>
      <c r="I55" s="12">
        <v>1</v>
      </c>
      <c r="J55" s="12">
        <v>140</v>
      </c>
      <c r="K55" s="12">
        <v>1</v>
      </c>
      <c r="L55" s="12">
        <v>21</v>
      </c>
    </row>
    <row r="56" spans="1:12" ht="14.4" x14ac:dyDescent="0.3">
      <c r="A56" s="12">
        <v>177</v>
      </c>
      <c r="B56" s="12" t="s">
        <v>5</v>
      </c>
      <c r="C56" s="12" t="s">
        <v>10</v>
      </c>
      <c r="D56" s="12">
        <v>91001</v>
      </c>
      <c r="E56" s="15">
        <v>200025888235</v>
      </c>
      <c r="F56" s="15" t="s">
        <v>22</v>
      </c>
      <c r="G56" s="15">
        <v>22</v>
      </c>
      <c r="H56" s="16">
        <v>45799.440474537034</v>
      </c>
      <c r="I56" s="12">
        <v>0</v>
      </c>
      <c r="J56" s="12">
        <v>145</v>
      </c>
      <c r="K56" s="12">
        <v>2</v>
      </c>
      <c r="L56" s="12">
        <v>21</v>
      </c>
    </row>
    <row r="57" spans="1:12" ht="14.4" x14ac:dyDescent="0.3">
      <c r="A57" s="12">
        <v>178</v>
      </c>
      <c r="B57" s="12" t="s">
        <v>5</v>
      </c>
      <c r="C57" s="12" t="s">
        <v>10</v>
      </c>
      <c r="D57" s="12">
        <v>91001</v>
      </c>
      <c r="E57" s="15">
        <v>200025888235</v>
      </c>
      <c r="F57" s="15" t="s">
        <v>22</v>
      </c>
      <c r="G57" s="15">
        <v>22</v>
      </c>
      <c r="H57" s="16">
        <v>45799.440486111111</v>
      </c>
      <c r="I57" s="12">
        <v>0</v>
      </c>
      <c r="J57" s="12">
        <v>146</v>
      </c>
      <c r="K57" s="12">
        <v>3</v>
      </c>
      <c r="L57" s="12">
        <v>21</v>
      </c>
    </row>
    <row r="58" spans="1:12" ht="14.4" x14ac:dyDescent="0.3">
      <c r="A58" s="12">
        <v>179</v>
      </c>
      <c r="B58" s="12" t="s">
        <v>5</v>
      </c>
      <c r="C58" s="12" t="s">
        <v>10</v>
      </c>
      <c r="D58" s="12">
        <v>91001</v>
      </c>
      <c r="E58" s="15">
        <v>200025888235</v>
      </c>
      <c r="F58" s="15" t="s">
        <v>22</v>
      </c>
      <c r="G58" s="15">
        <v>22</v>
      </c>
      <c r="H58" s="16">
        <v>45799.459699074076</v>
      </c>
      <c r="I58" s="12">
        <v>0</v>
      </c>
      <c r="J58" s="12">
        <v>147</v>
      </c>
      <c r="K58" s="12">
        <v>4</v>
      </c>
      <c r="L58" s="12">
        <v>21</v>
      </c>
    </row>
    <row r="59" spans="1:12" ht="14.4" x14ac:dyDescent="0.3">
      <c r="A59" s="26">
        <v>35</v>
      </c>
      <c r="B59" s="26" t="s">
        <v>7</v>
      </c>
      <c r="C59" s="26" t="s">
        <v>12</v>
      </c>
      <c r="D59" s="26">
        <v>93202</v>
      </c>
      <c r="E59" s="27">
        <v>200025888244</v>
      </c>
      <c r="F59" s="27" t="s">
        <v>24</v>
      </c>
      <c r="G59" s="27">
        <v>12</v>
      </c>
      <c r="H59" s="28">
        <v>45799.53324074074</v>
      </c>
      <c r="I59" s="26">
        <v>2</v>
      </c>
      <c r="J59" s="26">
        <v>8</v>
      </c>
      <c r="K59" s="29">
        <v>1</v>
      </c>
      <c r="L59" s="29">
        <v>22</v>
      </c>
    </row>
    <row r="60" spans="1:12" ht="14.4" x14ac:dyDescent="0.3">
      <c r="A60" s="17">
        <v>147</v>
      </c>
      <c r="B60" s="17" t="s">
        <v>5</v>
      </c>
      <c r="C60" s="17" t="s">
        <v>10</v>
      </c>
      <c r="D60" s="17">
        <v>91001</v>
      </c>
      <c r="E60" s="20">
        <v>200025888271</v>
      </c>
      <c r="F60" s="20" t="s">
        <v>25</v>
      </c>
      <c r="G60" s="20">
        <v>17</v>
      </c>
      <c r="H60" s="21">
        <v>45799.101458333331</v>
      </c>
      <c r="I60" s="17">
        <v>1</v>
      </c>
      <c r="J60" s="17">
        <v>115</v>
      </c>
      <c r="K60" s="17">
        <v>1</v>
      </c>
      <c r="L60" s="17">
        <v>19</v>
      </c>
    </row>
    <row r="61" spans="1:12" ht="14.4" x14ac:dyDescent="0.3">
      <c r="A61" s="17">
        <v>148</v>
      </c>
      <c r="B61" s="17" t="s">
        <v>5</v>
      </c>
      <c r="C61" s="17" t="s">
        <v>10</v>
      </c>
      <c r="D61" s="17">
        <v>91001</v>
      </c>
      <c r="E61" s="20">
        <v>200025888271</v>
      </c>
      <c r="F61" s="20" t="s">
        <v>25</v>
      </c>
      <c r="G61" s="20">
        <v>17</v>
      </c>
      <c r="H61" s="21">
        <v>45799.101469907408</v>
      </c>
      <c r="I61" s="17">
        <v>1</v>
      </c>
      <c r="J61" s="17">
        <v>116</v>
      </c>
      <c r="K61" s="17">
        <v>2</v>
      </c>
      <c r="L61" s="17">
        <v>19</v>
      </c>
    </row>
    <row r="62" spans="1:12" ht="14.4" x14ac:dyDescent="0.3">
      <c r="A62" s="17">
        <v>164</v>
      </c>
      <c r="B62" s="17" t="s">
        <v>5</v>
      </c>
      <c r="C62" s="17" t="s">
        <v>10</v>
      </c>
      <c r="D62" s="17">
        <v>91001</v>
      </c>
      <c r="E62" s="20">
        <v>200025888271</v>
      </c>
      <c r="F62" s="20" t="s">
        <v>25</v>
      </c>
      <c r="G62" s="20">
        <v>17</v>
      </c>
      <c r="H62" s="21">
        <v>45799.254386574074</v>
      </c>
      <c r="I62" s="17">
        <v>1</v>
      </c>
      <c r="J62" s="17">
        <v>132</v>
      </c>
      <c r="K62" s="17">
        <v>3</v>
      </c>
      <c r="L62" s="17">
        <v>19</v>
      </c>
    </row>
    <row r="63" spans="1:12" ht="14.4" x14ac:dyDescent="0.3">
      <c r="A63" s="18">
        <v>201</v>
      </c>
      <c r="B63" s="18" t="s">
        <v>5</v>
      </c>
      <c r="C63" s="18" t="s">
        <v>10</v>
      </c>
      <c r="D63" s="18">
        <v>91001</v>
      </c>
      <c r="E63" s="20">
        <v>200025888271</v>
      </c>
      <c r="F63" s="20" t="s">
        <v>25</v>
      </c>
      <c r="G63" s="20">
        <v>17</v>
      </c>
      <c r="H63" s="21">
        <v>45799.750428240739</v>
      </c>
      <c r="I63" s="18">
        <v>2</v>
      </c>
      <c r="J63" s="17">
        <v>169</v>
      </c>
      <c r="K63" s="17">
        <v>4</v>
      </c>
      <c r="L63" s="17">
        <v>19</v>
      </c>
    </row>
    <row r="64" spans="1:12" ht="14.4" x14ac:dyDescent="0.3">
      <c r="A64" s="18">
        <v>202</v>
      </c>
      <c r="B64" s="18" t="s">
        <v>5</v>
      </c>
      <c r="C64" s="18" t="s">
        <v>10</v>
      </c>
      <c r="D64" s="18">
        <v>91001</v>
      </c>
      <c r="E64" s="20">
        <v>200025888271</v>
      </c>
      <c r="F64" s="20" t="s">
        <v>25</v>
      </c>
      <c r="G64" s="20">
        <v>17</v>
      </c>
      <c r="H64" s="21">
        <v>45799.750613425924</v>
      </c>
      <c r="I64" s="18">
        <v>1</v>
      </c>
      <c r="J64" s="17">
        <v>170</v>
      </c>
      <c r="K64" s="17">
        <v>5</v>
      </c>
      <c r="L64" s="17">
        <v>19</v>
      </c>
    </row>
    <row r="65" spans="1:12" ht="14.4" x14ac:dyDescent="0.3">
      <c r="A65" s="12">
        <v>144</v>
      </c>
      <c r="B65" s="12" t="s">
        <v>5</v>
      </c>
      <c r="C65" s="12" t="s">
        <v>10</v>
      </c>
      <c r="D65" s="12">
        <v>91001</v>
      </c>
      <c r="E65" s="15">
        <v>200025888272</v>
      </c>
      <c r="F65" s="15" t="s">
        <v>23</v>
      </c>
      <c r="G65" s="15">
        <v>11</v>
      </c>
      <c r="H65" s="16">
        <v>45799.076701388891</v>
      </c>
      <c r="I65" s="12">
        <v>0</v>
      </c>
      <c r="J65" s="12">
        <v>112</v>
      </c>
      <c r="K65" s="12">
        <v>1</v>
      </c>
      <c r="L65" s="12">
        <v>18</v>
      </c>
    </row>
    <row r="66" spans="1:12" ht="14.4" x14ac:dyDescent="0.3">
      <c r="A66" s="12">
        <v>145</v>
      </c>
      <c r="B66" s="12" t="s">
        <v>5</v>
      </c>
      <c r="C66" s="12" t="s">
        <v>10</v>
      </c>
      <c r="D66" s="12">
        <v>91001</v>
      </c>
      <c r="E66" s="15">
        <v>200025888272</v>
      </c>
      <c r="F66" s="15" t="s">
        <v>23</v>
      </c>
      <c r="G66" s="15">
        <v>11</v>
      </c>
      <c r="H66" s="16">
        <v>45799.076701388891</v>
      </c>
      <c r="I66" s="12">
        <v>1</v>
      </c>
      <c r="J66" s="12">
        <v>113</v>
      </c>
      <c r="K66" s="12">
        <v>2</v>
      </c>
      <c r="L66" s="12">
        <v>18</v>
      </c>
    </row>
    <row r="67" spans="1:12" ht="14.4" x14ac:dyDescent="0.3">
      <c r="A67" s="17">
        <v>32</v>
      </c>
      <c r="B67" s="18" t="s">
        <v>7</v>
      </c>
      <c r="C67" s="17" t="s">
        <v>12</v>
      </c>
      <c r="D67" s="19">
        <v>93202</v>
      </c>
      <c r="E67" s="20">
        <v>200025888504</v>
      </c>
      <c r="F67" s="20" t="s">
        <v>27</v>
      </c>
      <c r="G67" s="20">
        <v>40</v>
      </c>
      <c r="H67" s="21">
        <v>45798.931296296294</v>
      </c>
      <c r="I67" s="18">
        <v>0</v>
      </c>
      <c r="J67" s="18">
        <v>5</v>
      </c>
      <c r="K67" s="17">
        <v>1</v>
      </c>
      <c r="L67" s="17">
        <v>15</v>
      </c>
    </row>
    <row r="68" spans="1:12" ht="14.4" x14ac:dyDescent="0.3">
      <c r="A68" s="29">
        <v>195</v>
      </c>
      <c r="B68" s="29" t="s">
        <v>5</v>
      </c>
      <c r="C68" s="29" t="s">
        <v>10</v>
      </c>
      <c r="D68" s="29">
        <v>91001</v>
      </c>
      <c r="E68" s="30">
        <v>200025888509</v>
      </c>
      <c r="F68" s="30" t="s">
        <v>28</v>
      </c>
      <c r="G68" s="30">
        <v>35</v>
      </c>
      <c r="H68" s="28">
        <v>45799.604421296295</v>
      </c>
      <c r="I68" s="29">
        <v>0</v>
      </c>
      <c r="J68" s="29">
        <v>163</v>
      </c>
      <c r="K68" s="29">
        <v>1</v>
      </c>
      <c r="L68" s="29">
        <v>23</v>
      </c>
    </row>
    <row r="69" spans="1:12" ht="14.4" x14ac:dyDescent="0.3">
      <c r="A69" s="12">
        <v>149</v>
      </c>
      <c r="B69" s="12" t="s">
        <v>5</v>
      </c>
      <c r="C69" s="12" t="s">
        <v>10</v>
      </c>
      <c r="D69" s="12">
        <v>91001</v>
      </c>
      <c r="E69" s="15">
        <v>200025888608</v>
      </c>
      <c r="F69" s="15" t="s">
        <v>29</v>
      </c>
      <c r="G69" s="15">
        <v>38</v>
      </c>
      <c r="H69" s="16">
        <v>45799.129664351851</v>
      </c>
      <c r="I69" s="12">
        <v>1</v>
      </c>
      <c r="J69" s="12">
        <v>117</v>
      </c>
      <c r="K69" s="12">
        <v>1</v>
      </c>
      <c r="L69" s="12">
        <v>20</v>
      </c>
    </row>
    <row r="70" spans="1:12" ht="14.4" x14ac:dyDescent="0.3">
      <c r="A70" s="13">
        <v>210</v>
      </c>
      <c r="B70" s="13" t="s">
        <v>5</v>
      </c>
      <c r="C70" s="13" t="s">
        <v>10</v>
      </c>
      <c r="D70" s="13">
        <v>91001</v>
      </c>
      <c r="E70" s="15">
        <v>200025888608</v>
      </c>
      <c r="F70" s="15" t="s">
        <v>29</v>
      </c>
      <c r="G70" s="15">
        <v>38</v>
      </c>
      <c r="H70" s="16">
        <v>45799.82603009259</v>
      </c>
      <c r="I70" s="13">
        <v>0</v>
      </c>
      <c r="J70" s="12">
        <v>178</v>
      </c>
      <c r="K70" s="12">
        <v>2</v>
      </c>
      <c r="L70" s="12">
        <v>20</v>
      </c>
    </row>
    <row r="71" spans="1:12" ht="14.4" x14ac:dyDescent="0.3">
      <c r="A71" s="13">
        <v>211</v>
      </c>
      <c r="B71" s="13" t="s">
        <v>5</v>
      </c>
      <c r="C71" s="13" t="s">
        <v>10</v>
      </c>
      <c r="D71" s="13">
        <v>91001</v>
      </c>
      <c r="E71" s="15">
        <v>200025888608</v>
      </c>
      <c r="F71" s="15" t="s">
        <v>29</v>
      </c>
      <c r="G71" s="15">
        <v>38</v>
      </c>
      <c r="H71" s="16">
        <v>45799.831377314818</v>
      </c>
      <c r="I71" s="13">
        <v>1</v>
      </c>
      <c r="J71" s="12">
        <v>179</v>
      </c>
      <c r="K71" s="12">
        <v>3</v>
      </c>
      <c r="L71" s="12">
        <v>20</v>
      </c>
    </row>
    <row r="72" spans="1:12" ht="14.4" x14ac:dyDescent="0.3">
      <c r="A72" s="13">
        <v>212</v>
      </c>
      <c r="B72" s="13" t="s">
        <v>5</v>
      </c>
      <c r="C72" s="13" t="s">
        <v>10</v>
      </c>
      <c r="D72" s="13">
        <v>91001</v>
      </c>
      <c r="E72" s="15">
        <v>200025888608</v>
      </c>
      <c r="F72" s="15" t="s">
        <v>29</v>
      </c>
      <c r="G72" s="15">
        <v>38</v>
      </c>
      <c r="H72" s="16">
        <v>45799.831400462965</v>
      </c>
      <c r="I72" s="13">
        <v>1</v>
      </c>
      <c r="J72" s="12">
        <v>180</v>
      </c>
      <c r="K72" s="12">
        <v>4</v>
      </c>
      <c r="L72" s="12">
        <v>20</v>
      </c>
    </row>
    <row r="73" spans="1:12" ht="14.4" x14ac:dyDescent="0.3">
      <c r="A73" s="13">
        <v>213</v>
      </c>
      <c r="B73" s="13" t="s">
        <v>5</v>
      </c>
      <c r="C73" s="13" t="s">
        <v>10</v>
      </c>
      <c r="D73" s="13">
        <v>91001</v>
      </c>
      <c r="E73" s="15">
        <v>200025888608</v>
      </c>
      <c r="F73" s="15" t="s">
        <v>29</v>
      </c>
      <c r="G73" s="15">
        <v>38</v>
      </c>
      <c r="H73" s="16">
        <v>45799.834745370368</v>
      </c>
      <c r="I73" s="13">
        <v>0</v>
      </c>
      <c r="J73" s="12">
        <v>181</v>
      </c>
      <c r="K73" s="12">
        <v>5</v>
      </c>
      <c r="L73" s="12">
        <v>20</v>
      </c>
    </row>
    <row r="74" spans="1:12" ht="14.4" x14ac:dyDescent="0.3">
      <c r="A74" s="17">
        <v>65</v>
      </c>
      <c r="B74" s="17" t="s">
        <v>5</v>
      </c>
      <c r="C74" s="17" t="s">
        <v>10</v>
      </c>
      <c r="D74" s="17">
        <v>91001</v>
      </c>
      <c r="E74" s="20">
        <v>200025888654</v>
      </c>
      <c r="F74" s="20" t="s">
        <v>14</v>
      </c>
      <c r="G74" s="20">
        <v>1</v>
      </c>
      <c r="H74" s="21">
        <v>45798.654340277775</v>
      </c>
      <c r="I74" s="17">
        <v>0</v>
      </c>
      <c r="J74" s="17">
        <v>33</v>
      </c>
      <c r="K74" s="17">
        <v>1</v>
      </c>
      <c r="L74" s="17">
        <v>6</v>
      </c>
    </row>
    <row r="75" spans="1:12" ht="14.4" x14ac:dyDescent="0.3">
      <c r="A75" s="17">
        <v>66</v>
      </c>
      <c r="B75" s="17" t="s">
        <v>5</v>
      </c>
      <c r="C75" s="17" t="s">
        <v>10</v>
      </c>
      <c r="D75" s="17">
        <v>91001</v>
      </c>
      <c r="E75" s="20">
        <v>200025888654</v>
      </c>
      <c r="F75" s="20" t="s">
        <v>14</v>
      </c>
      <c r="G75" s="20">
        <v>1</v>
      </c>
      <c r="H75" s="21">
        <v>45798.654351851852</v>
      </c>
      <c r="I75" s="17">
        <v>0</v>
      </c>
      <c r="J75" s="17">
        <v>34</v>
      </c>
      <c r="K75" s="17">
        <v>2</v>
      </c>
      <c r="L75" s="17">
        <v>6</v>
      </c>
    </row>
    <row r="76" spans="1:12" ht="14.4" x14ac:dyDescent="0.3">
      <c r="A76" s="17">
        <v>67</v>
      </c>
      <c r="B76" s="17" t="s">
        <v>5</v>
      </c>
      <c r="C76" s="17" t="s">
        <v>10</v>
      </c>
      <c r="D76" s="17">
        <v>91001</v>
      </c>
      <c r="E76" s="20">
        <v>200025888654</v>
      </c>
      <c r="F76" s="20" t="s">
        <v>14</v>
      </c>
      <c r="G76" s="20">
        <v>1</v>
      </c>
      <c r="H76" s="21">
        <v>45798.654363425929</v>
      </c>
      <c r="I76" s="17">
        <v>31</v>
      </c>
      <c r="J76" s="17">
        <v>35</v>
      </c>
      <c r="K76" s="17">
        <v>3</v>
      </c>
      <c r="L76" s="17">
        <v>6</v>
      </c>
    </row>
    <row r="77" spans="1:12" ht="14.4" x14ac:dyDescent="0.3">
      <c r="A77" s="17">
        <v>68</v>
      </c>
      <c r="B77" s="17" t="s">
        <v>5</v>
      </c>
      <c r="C77" s="17" t="s">
        <v>10</v>
      </c>
      <c r="D77" s="17">
        <v>91001</v>
      </c>
      <c r="E77" s="20">
        <v>200025888654</v>
      </c>
      <c r="F77" s="20" t="s">
        <v>14</v>
      </c>
      <c r="G77" s="20">
        <v>1</v>
      </c>
      <c r="H77" s="21">
        <v>45798.655798611115</v>
      </c>
      <c r="I77" s="17">
        <v>1</v>
      </c>
      <c r="J77" s="17">
        <v>36</v>
      </c>
      <c r="K77" s="17">
        <v>4</v>
      </c>
      <c r="L77" s="17">
        <v>6</v>
      </c>
    </row>
    <row r="78" spans="1:12" ht="14.4" x14ac:dyDescent="0.3">
      <c r="A78" s="17">
        <v>69</v>
      </c>
      <c r="B78" s="17" t="s">
        <v>5</v>
      </c>
      <c r="C78" s="17" t="s">
        <v>10</v>
      </c>
      <c r="D78" s="17">
        <v>91001</v>
      </c>
      <c r="E78" s="20">
        <v>200025888654</v>
      </c>
      <c r="F78" s="20" t="s">
        <v>14</v>
      </c>
      <c r="G78" s="20">
        <v>1</v>
      </c>
      <c r="H78" s="21">
        <v>45798.655821759261</v>
      </c>
      <c r="I78" s="17">
        <v>1</v>
      </c>
      <c r="J78" s="17">
        <v>37</v>
      </c>
      <c r="K78" s="17">
        <v>5</v>
      </c>
      <c r="L78" s="17">
        <v>6</v>
      </c>
    </row>
    <row r="79" spans="1:12" ht="14.4" x14ac:dyDescent="0.3">
      <c r="A79" s="17">
        <v>70</v>
      </c>
      <c r="B79" s="17" t="s">
        <v>5</v>
      </c>
      <c r="C79" s="17" t="s">
        <v>10</v>
      </c>
      <c r="D79" s="17">
        <v>91001</v>
      </c>
      <c r="E79" s="20">
        <v>200025888654</v>
      </c>
      <c r="F79" s="20" t="s">
        <v>14</v>
      </c>
      <c r="G79" s="20">
        <v>1</v>
      </c>
      <c r="H79" s="21">
        <v>45798.655833333331</v>
      </c>
      <c r="I79" s="17">
        <v>0</v>
      </c>
      <c r="J79" s="17">
        <v>38</v>
      </c>
      <c r="K79" s="17">
        <v>6</v>
      </c>
      <c r="L79" s="17">
        <v>6</v>
      </c>
    </row>
    <row r="80" spans="1:12" ht="14.4" x14ac:dyDescent="0.3">
      <c r="A80" s="17">
        <v>71</v>
      </c>
      <c r="B80" s="17" t="s">
        <v>5</v>
      </c>
      <c r="C80" s="17" t="s">
        <v>10</v>
      </c>
      <c r="D80" s="17">
        <v>91001</v>
      </c>
      <c r="E80" s="20">
        <v>200025888654</v>
      </c>
      <c r="F80" s="20" t="s">
        <v>14</v>
      </c>
      <c r="G80" s="20">
        <v>1</v>
      </c>
      <c r="H80" s="21">
        <v>45798.655844907407</v>
      </c>
      <c r="I80" s="17">
        <v>0</v>
      </c>
      <c r="J80" s="17">
        <v>39</v>
      </c>
      <c r="K80" s="17">
        <v>7</v>
      </c>
      <c r="L80" s="17">
        <v>6</v>
      </c>
    </row>
    <row r="81" spans="1:12" ht="14.4" x14ac:dyDescent="0.3">
      <c r="A81" s="17">
        <v>72</v>
      </c>
      <c r="B81" s="17" t="s">
        <v>5</v>
      </c>
      <c r="C81" s="17" t="s">
        <v>10</v>
      </c>
      <c r="D81" s="17">
        <v>91001</v>
      </c>
      <c r="E81" s="20">
        <v>200025888654</v>
      </c>
      <c r="F81" s="20" t="s">
        <v>14</v>
      </c>
      <c r="G81" s="20">
        <v>1</v>
      </c>
      <c r="H81" s="21">
        <v>45798.655844907407</v>
      </c>
      <c r="I81" s="17">
        <v>1</v>
      </c>
      <c r="J81" s="17">
        <v>40</v>
      </c>
      <c r="K81" s="17">
        <v>8</v>
      </c>
      <c r="L81" s="17">
        <v>6</v>
      </c>
    </row>
    <row r="82" spans="1:12" ht="14.4" x14ac:dyDescent="0.3">
      <c r="A82" s="17">
        <v>73</v>
      </c>
      <c r="B82" s="17" t="s">
        <v>5</v>
      </c>
      <c r="C82" s="17" t="s">
        <v>10</v>
      </c>
      <c r="D82" s="17">
        <v>91001</v>
      </c>
      <c r="E82" s="20">
        <v>200025888654</v>
      </c>
      <c r="F82" s="20" t="s">
        <v>14</v>
      </c>
      <c r="G82" s="20">
        <v>1</v>
      </c>
      <c r="H82" s="21">
        <v>45798.6559375</v>
      </c>
      <c r="I82" s="17">
        <v>1</v>
      </c>
      <c r="J82" s="17">
        <v>41</v>
      </c>
      <c r="K82" s="17">
        <v>9</v>
      </c>
      <c r="L82" s="17">
        <v>6</v>
      </c>
    </row>
    <row r="83" spans="1:12" ht="14.4" x14ac:dyDescent="0.3">
      <c r="A83" s="17">
        <v>98</v>
      </c>
      <c r="B83" s="17" t="s">
        <v>5</v>
      </c>
      <c r="C83" s="17" t="s">
        <v>10</v>
      </c>
      <c r="D83" s="17">
        <v>91001</v>
      </c>
      <c r="E83" s="20">
        <v>200025888654</v>
      </c>
      <c r="F83" s="20" t="s">
        <v>14</v>
      </c>
      <c r="G83" s="20">
        <v>1</v>
      </c>
      <c r="H83" s="21">
        <v>45798.798437500001</v>
      </c>
      <c r="I83" s="17">
        <v>0</v>
      </c>
      <c r="J83" s="17">
        <v>66</v>
      </c>
      <c r="K83" s="17">
        <v>10</v>
      </c>
      <c r="L83" s="17">
        <v>6</v>
      </c>
    </row>
    <row r="84" spans="1:12" ht="14.4" x14ac:dyDescent="0.3">
      <c r="A84" s="17">
        <v>99</v>
      </c>
      <c r="B84" s="17" t="s">
        <v>5</v>
      </c>
      <c r="C84" s="17" t="s">
        <v>10</v>
      </c>
      <c r="D84" s="17">
        <v>91001</v>
      </c>
      <c r="E84" s="20">
        <v>200025888654</v>
      </c>
      <c r="F84" s="20" t="s">
        <v>14</v>
      </c>
      <c r="G84" s="20">
        <v>1</v>
      </c>
      <c r="H84" s="21">
        <v>45798.798564814817</v>
      </c>
      <c r="I84" s="17">
        <v>1</v>
      </c>
      <c r="J84" s="17">
        <v>67</v>
      </c>
      <c r="K84" s="17">
        <v>11</v>
      </c>
      <c r="L84" s="17">
        <v>6</v>
      </c>
    </row>
    <row r="85" spans="1:12" ht="14.4" x14ac:dyDescent="0.3">
      <c r="A85" s="17">
        <v>100</v>
      </c>
      <c r="B85" s="17" t="s">
        <v>5</v>
      </c>
      <c r="C85" s="17" t="s">
        <v>10</v>
      </c>
      <c r="D85" s="17">
        <v>91001</v>
      </c>
      <c r="E85" s="20">
        <v>200025888654</v>
      </c>
      <c r="F85" s="20" t="s">
        <v>14</v>
      </c>
      <c r="G85" s="20">
        <v>1</v>
      </c>
      <c r="H85" s="21">
        <v>45798.800173611111</v>
      </c>
      <c r="I85" s="17">
        <v>1</v>
      </c>
      <c r="J85" s="17">
        <v>68</v>
      </c>
      <c r="K85" s="17">
        <v>12</v>
      </c>
      <c r="L85" s="17">
        <v>6</v>
      </c>
    </row>
    <row r="86" spans="1:12" ht="14.4" x14ac:dyDescent="0.3">
      <c r="A86" s="17">
        <v>101</v>
      </c>
      <c r="B86" s="17" t="s">
        <v>5</v>
      </c>
      <c r="C86" s="17" t="s">
        <v>10</v>
      </c>
      <c r="D86" s="17">
        <v>91001</v>
      </c>
      <c r="E86" s="20">
        <v>200025888654</v>
      </c>
      <c r="F86" s="20" t="s">
        <v>14</v>
      </c>
      <c r="G86" s="20">
        <v>1</v>
      </c>
      <c r="H86" s="21">
        <v>45798.800381944442</v>
      </c>
      <c r="I86" s="17">
        <v>0</v>
      </c>
      <c r="J86" s="17">
        <v>69</v>
      </c>
      <c r="K86" s="17">
        <v>13</v>
      </c>
      <c r="L86" s="17">
        <v>6</v>
      </c>
    </row>
    <row r="87" spans="1:12" ht="14.4" x14ac:dyDescent="0.3">
      <c r="A87" s="17">
        <v>102</v>
      </c>
      <c r="B87" s="17" t="s">
        <v>5</v>
      </c>
      <c r="C87" s="17" t="s">
        <v>10</v>
      </c>
      <c r="D87" s="17">
        <v>91001</v>
      </c>
      <c r="E87" s="20">
        <v>200025888654</v>
      </c>
      <c r="F87" s="20" t="s">
        <v>14</v>
      </c>
      <c r="G87" s="20">
        <v>1</v>
      </c>
      <c r="H87" s="21">
        <v>45798.800381944442</v>
      </c>
      <c r="I87" s="17">
        <v>1</v>
      </c>
      <c r="J87" s="17">
        <v>70</v>
      </c>
      <c r="K87" s="17">
        <v>14</v>
      </c>
      <c r="L87" s="17">
        <v>6</v>
      </c>
    </row>
    <row r="88" spans="1:12" ht="14.4" x14ac:dyDescent="0.3">
      <c r="A88" s="17">
        <v>122</v>
      </c>
      <c r="B88" s="17" t="s">
        <v>5</v>
      </c>
      <c r="C88" s="17" t="s">
        <v>10</v>
      </c>
      <c r="D88" s="17">
        <v>91001</v>
      </c>
      <c r="E88" s="20">
        <v>200025888654</v>
      </c>
      <c r="F88" s="20" t="s">
        <v>14</v>
      </c>
      <c r="G88" s="20">
        <v>1</v>
      </c>
      <c r="H88" s="21">
        <v>45798.876215277778</v>
      </c>
      <c r="I88" s="17">
        <v>0</v>
      </c>
      <c r="J88" s="17">
        <v>90</v>
      </c>
      <c r="K88" s="17">
        <v>15</v>
      </c>
      <c r="L88" s="17">
        <v>6</v>
      </c>
    </row>
    <row r="89" spans="1:12" ht="14.4" x14ac:dyDescent="0.3">
      <c r="A89" s="17">
        <v>123</v>
      </c>
      <c r="B89" s="17" t="s">
        <v>5</v>
      </c>
      <c r="C89" s="17" t="s">
        <v>10</v>
      </c>
      <c r="D89" s="17">
        <v>91001</v>
      </c>
      <c r="E89" s="20">
        <v>200025888654</v>
      </c>
      <c r="F89" s="20" t="s">
        <v>14</v>
      </c>
      <c r="G89" s="20">
        <v>1</v>
      </c>
      <c r="H89" s="21">
        <v>45798.876226851855</v>
      </c>
      <c r="I89" s="17">
        <v>33</v>
      </c>
      <c r="J89" s="17">
        <v>91</v>
      </c>
      <c r="K89" s="17">
        <v>16</v>
      </c>
      <c r="L89" s="17">
        <v>6</v>
      </c>
    </row>
    <row r="90" spans="1:12" ht="14.4" x14ac:dyDescent="0.3">
      <c r="A90" s="17">
        <v>124</v>
      </c>
      <c r="B90" s="17" t="s">
        <v>5</v>
      </c>
      <c r="C90" s="17" t="s">
        <v>10</v>
      </c>
      <c r="D90" s="17">
        <v>91001</v>
      </c>
      <c r="E90" s="20">
        <v>200025888654</v>
      </c>
      <c r="F90" s="20" t="s">
        <v>14</v>
      </c>
      <c r="G90" s="20">
        <v>1</v>
      </c>
      <c r="H90" s="21">
        <v>45798.877326388887</v>
      </c>
      <c r="I90" s="17">
        <v>0</v>
      </c>
      <c r="J90" s="17">
        <v>92</v>
      </c>
      <c r="K90" s="17">
        <v>17</v>
      </c>
      <c r="L90" s="17">
        <v>6</v>
      </c>
    </row>
    <row r="91" spans="1:12" ht="14.4" x14ac:dyDescent="0.3">
      <c r="A91" s="17">
        <v>125</v>
      </c>
      <c r="B91" s="17" t="s">
        <v>5</v>
      </c>
      <c r="C91" s="17" t="s">
        <v>10</v>
      </c>
      <c r="D91" s="17">
        <v>91001</v>
      </c>
      <c r="E91" s="20">
        <v>200025888654</v>
      </c>
      <c r="F91" s="20" t="s">
        <v>14</v>
      </c>
      <c r="G91" s="20">
        <v>1</v>
      </c>
      <c r="H91" s="21">
        <v>45798.87740740741</v>
      </c>
      <c r="I91" s="17">
        <v>1</v>
      </c>
      <c r="J91" s="17">
        <v>93</v>
      </c>
      <c r="K91" s="17">
        <v>18</v>
      </c>
      <c r="L91" s="17">
        <v>6</v>
      </c>
    </row>
    <row r="92" spans="1:12" ht="14.4" x14ac:dyDescent="0.3">
      <c r="A92" s="17">
        <v>31</v>
      </c>
      <c r="B92" s="18" t="s">
        <v>7</v>
      </c>
      <c r="C92" s="17" t="s">
        <v>12</v>
      </c>
      <c r="D92" s="19">
        <v>93202</v>
      </c>
      <c r="E92" s="20">
        <v>200025888654</v>
      </c>
      <c r="F92" s="20" t="s">
        <v>14</v>
      </c>
      <c r="G92" s="20">
        <v>1</v>
      </c>
      <c r="H92" s="21">
        <v>45798.914050925923</v>
      </c>
      <c r="I92" s="18">
        <v>0</v>
      </c>
      <c r="J92" s="18">
        <v>4</v>
      </c>
      <c r="K92" s="17">
        <v>19</v>
      </c>
      <c r="L92" s="17">
        <v>6</v>
      </c>
    </row>
    <row r="93" spans="1:12" ht="14.4" x14ac:dyDescent="0.3">
      <c r="A93" s="31">
        <v>196</v>
      </c>
      <c r="B93" s="31" t="s">
        <v>5</v>
      </c>
      <c r="C93" s="31" t="s">
        <v>10</v>
      </c>
      <c r="D93" s="31">
        <v>91001</v>
      </c>
      <c r="E93" s="32">
        <v>200025888663</v>
      </c>
      <c r="F93" s="32" t="s">
        <v>32</v>
      </c>
      <c r="G93" s="32">
        <v>29</v>
      </c>
      <c r="H93" s="34">
        <v>45799.694884259261</v>
      </c>
      <c r="I93" s="31">
        <v>0</v>
      </c>
      <c r="J93" s="33">
        <v>164</v>
      </c>
      <c r="K93" s="33">
        <v>1</v>
      </c>
      <c r="L93" s="33">
        <v>24</v>
      </c>
    </row>
    <row r="94" spans="1:12" ht="14.4" x14ac:dyDescent="0.3">
      <c r="A94" s="31">
        <v>198</v>
      </c>
      <c r="B94" s="31" t="s">
        <v>5</v>
      </c>
      <c r="C94" s="31" t="s">
        <v>10</v>
      </c>
      <c r="D94" s="31">
        <v>91001</v>
      </c>
      <c r="E94" s="32">
        <v>200025888663</v>
      </c>
      <c r="F94" s="32" t="s">
        <v>32</v>
      </c>
      <c r="G94" s="32">
        <v>29</v>
      </c>
      <c r="H94" s="34">
        <v>45799.711018518516</v>
      </c>
      <c r="I94" s="31">
        <v>2</v>
      </c>
      <c r="J94" s="33">
        <v>166</v>
      </c>
      <c r="K94" s="33">
        <v>2</v>
      </c>
      <c r="L94" s="33">
        <v>24</v>
      </c>
    </row>
    <row r="95" spans="1:12" ht="14.4" x14ac:dyDescent="0.3">
      <c r="A95" s="31">
        <v>199</v>
      </c>
      <c r="B95" s="31" t="s">
        <v>5</v>
      </c>
      <c r="C95" s="31" t="s">
        <v>10</v>
      </c>
      <c r="D95" s="31">
        <v>91001</v>
      </c>
      <c r="E95" s="32">
        <v>200025888663</v>
      </c>
      <c r="F95" s="32" t="s">
        <v>32</v>
      </c>
      <c r="G95" s="32">
        <v>29</v>
      </c>
      <c r="H95" s="34">
        <v>45799.71266203704</v>
      </c>
      <c r="I95" s="31">
        <v>0</v>
      </c>
      <c r="J95" s="33">
        <v>167</v>
      </c>
      <c r="K95" s="33">
        <v>3</v>
      </c>
      <c r="L95" s="33">
        <v>24</v>
      </c>
    </row>
    <row r="96" spans="1:12" ht="14.4" x14ac:dyDescent="0.3">
      <c r="A96" s="31">
        <v>200</v>
      </c>
      <c r="B96" s="31" t="s">
        <v>5</v>
      </c>
      <c r="C96" s="31" t="s">
        <v>10</v>
      </c>
      <c r="D96" s="31">
        <v>91001</v>
      </c>
      <c r="E96" s="32">
        <v>200025888663</v>
      </c>
      <c r="F96" s="32" t="s">
        <v>32</v>
      </c>
      <c r="G96" s="32">
        <v>29</v>
      </c>
      <c r="H96" s="34">
        <v>45799.712673611109</v>
      </c>
      <c r="I96" s="31">
        <v>0</v>
      </c>
      <c r="J96" s="33">
        <v>168</v>
      </c>
      <c r="K96" s="33">
        <v>4</v>
      </c>
      <c r="L96" s="33">
        <v>24</v>
      </c>
    </row>
    <row r="97" spans="1:12" ht="14.4" x14ac:dyDescent="0.3">
      <c r="A97" s="31">
        <v>206</v>
      </c>
      <c r="B97" s="31" t="s">
        <v>5</v>
      </c>
      <c r="C97" s="31" t="s">
        <v>10</v>
      </c>
      <c r="D97" s="31">
        <v>91001</v>
      </c>
      <c r="E97" s="32">
        <v>200025888663</v>
      </c>
      <c r="F97" s="32" t="s">
        <v>32</v>
      </c>
      <c r="G97" s="32">
        <v>29</v>
      </c>
      <c r="H97" s="34">
        <v>45799.81753472222</v>
      </c>
      <c r="I97" s="31">
        <v>2</v>
      </c>
      <c r="J97" s="33">
        <v>174</v>
      </c>
      <c r="K97" s="33">
        <v>5</v>
      </c>
      <c r="L97" s="33">
        <v>24</v>
      </c>
    </row>
    <row r="98" spans="1:12" ht="14.4" x14ac:dyDescent="0.3">
      <c r="A98" s="31">
        <v>207</v>
      </c>
      <c r="B98" s="31" t="s">
        <v>5</v>
      </c>
      <c r="C98" s="31" t="s">
        <v>10</v>
      </c>
      <c r="D98" s="31">
        <v>91001</v>
      </c>
      <c r="E98" s="32">
        <v>200025888663</v>
      </c>
      <c r="F98" s="32" t="s">
        <v>32</v>
      </c>
      <c r="G98" s="32">
        <v>29</v>
      </c>
      <c r="H98" s="34">
        <v>45799.817743055559</v>
      </c>
      <c r="I98" s="31">
        <v>2</v>
      </c>
      <c r="J98" s="33">
        <v>175</v>
      </c>
      <c r="K98" s="33">
        <v>6</v>
      </c>
      <c r="L98" s="33">
        <v>24</v>
      </c>
    </row>
    <row r="99" spans="1:12" ht="14.4" x14ac:dyDescent="0.3">
      <c r="A99" s="31">
        <v>208</v>
      </c>
      <c r="B99" s="31" t="s">
        <v>5</v>
      </c>
      <c r="C99" s="31" t="s">
        <v>10</v>
      </c>
      <c r="D99" s="31">
        <v>91001</v>
      </c>
      <c r="E99" s="32">
        <v>200025888663</v>
      </c>
      <c r="F99" s="32" t="s">
        <v>32</v>
      </c>
      <c r="G99" s="32">
        <v>29</v>
      </c>
      <c r="H99" s="34">
        <v>45799.818113425928</v>
      </c>
      <c r="I99" s="31">
        <v>1</v>
      </c>
      <c r="J99" s="33">
        <v>176</v>
      </c>
      <c r="K99" s="33">
        <v>7</v>
      </c>
      <c r="L99" s="33">
        <v>24</v>
      </c>
    </row>
    <row r="100" spans="1:12" ht="14.4" x14ac:dyDescent="0.3">
      <c r="A100" s="31">
        <v>209</v>
      </c>
      <c r="B100" s="31" t="s">
        <v>5</v>
      </c>
      <c r="C100" s="31" t="s">
        <v>10</v>
      </c>
      <c r="D100" s="31">
        <v>91001</v>
      </c>
      <c r="E100" s="32">
        <v>200025888663</v>
      </c>
      <c r="F100" s="32" t="s">
        <v>32</v>
      </c>
      <c r="G100" s="32">
        <v>29</v>
      </c>
      <c r="H100" s="34">
        <v>45799.818252314813</v>
      </c>
      <c r="I100" s="31">
        <v>0</v>
      </c>
      <c r="J100" s="33">
        <v>177</v>
      </c>
      <c r="K100" s="33">
        <v>8</v>
      </c>
      <c r="L100" s="33">
        <v>24</v>
      </c>
    </row>
    <row r="101" spans="1:12" ht="14.4" x14ac:dyDescent="0.3">
      <c r="A101" s="12">
        <v>96</v>
      </c>
      <c r="B101" s="12" t="s">
        <v>5</v>
      </c>
      <c r="C101" s="12" t="s">
        <v>10</v>
      </c>
      <c r="D101" s="12">
        <v>91001</v>
      </c>
      <c r="E101" s="15">
        <v>200025888717</v>
      </c>
      <c r="F101" s="15" t="s">
        <v>33</v>
      </c>
      <c r="G101" s="15">
        <v>48</v>
      </c>
      <c r="H101" s="16">
        <v>45798.774699074071</v>
      </c>
      <c r="I101" s="12">
        <v>1</v>
      </c>
      <c r="J101" s="12">
        <v>64</v>
      </c>
      <c r="K101" s="12">
        <v>1</v>
      </c>
      <c r="L101" s="12">
        <v>10</v>
      </c>
    </row>
    <row r="102" spans="1:12" ht="14.4" x14ac:dyDescent="0.3">
      <c r="A102" s="12">
        <v>97</v>
      </c>
      <c r="B102" s="12" t="s">
        <v>5</v>
      </c>
      <c r="C102" s="12" t="s">
        <v>10</v>
      </c>
      <c r="D102" s="12">
        <v>91001</v>
      </c>
      <c r="E102" s="15">
        <v>200025888717</v>
      </c>
      <c r="F102" s="15" t="s">
        <v>33</v>
      </c>
      <c r="G102" s="15">
        <v>48</v>
      </c>
      <c r="H102" s="16">
        <v>45798.774722222224</v>
      </c>
      <c r="I102" s="12">
        <v>0</v>
      </c>
      <c r="J102" s="12">
        <v>65</v>
      </c>
      <c r="K102" s="12">
        <v>2</v>
      </c>
      <c r="L102" s="12">
        <v>10</v>
      </c>
    </row>
    <row r="103" spans="1:12" ht="14.4" x14ac:dyDescent="0.3">
      <c r="A103" s="12">
        <v>117</v>
      </c>
      <c r="B103" s="12" t="s">
        <v>5</v>
      </c>
      <c r="C103" s="12" t="s">
        <v>10</v>
      </c>
      <c r="D103" s="12">
        <v>91001</v>
      </c>
      <c r="E103" s="15">
        <v>200025888717</v>
      </c>
      <c r="F103" s="15" t="s">
        <v>33</v>
      </c>
      <c r="G103" s="15">
        <v>48</v>
      </c>
      <c r="H103" s="16">
        <v>45798.870416666665</v>
      </c>
      <c r="I103" s="12">
        <v>0</v>
      </c>
      <c r="J103" s="12">
        <v>85</v>
      </c>
      <c r="K103" s="12">
        <v>3</v>
      </c>
      <c r="L103" s="12">
        <v>10</v>
      </c>
    </row>
    <row r="104" spans="1:12" ht="14.4" x14ac:dyDescent="0.3">
      <c r="A104" s="12">
        <v>118</v>
      </c>
      <c r="B104" s="12" t="s">
        <v>5</v>
      </c>
      <c r="C104" s="12" t="s">
        <v>10</v>
      </c>
      <c r="D104" s="12">
        <v>91001</v>
      </c>
      <c r="E104" s="15">
        <v>200025888717</v>
      </c>
      <c r="F104" s="15" t="s">
        <v>33</v>
      </c>
      <c r="G104" s="15">
        <v>48</v>
      </c>
      <c r="H104" s="16">
        <v>45798.87054398148</v>
      </c>
      <c r="I104" s="12">
        <v>0</v>
      </c>
      <c r="J104" s="12">
        <v>86</v>
      </c>
      <c r="K104" s="12">
        <v>4</v>
      </c>
      <c r="L104" s="12">
        <v>10</v>
      </c>
    </row>
    <row r="105" spans="1:12" ht="14.4" x14ac:dyDescent="0.3">
      <c r="A105" s="12">
        <v>150</v>
      </c>
      <c r="B105" s="12" t="s">
        <v>5</v>
      </c>
      <c r="C105" s="12" t="s">
        <v>10</v>
      </c>
      <c r="D105" s="12">
        <v>91001</v>
      </c>
      <c r="E105" s="15">
        <v>200025888717</v>
      </c>
      <c r="F105" s="15" t="s">
        <v>33</v>
      </c>
      <c r="G105" s="15">
        <v>48</v>
      </c>
      <c r="H105" s="16">
        <v>45799.182858796295</v>
      </c>
      <c r="I105" s="12">
        <v>1</v>
      </c>
      <c r="J105" s="12">
        <v>118</v>
      </c>
      <c r="K105" s="12">
        <v>5</v>
      </c>
      <c r="L105" s="12">
        <v>10</v>
      </c>
    </row>
    <row r="106" spans="1:12" ht="14.4" x14ac:dyDescent="0.3">
      <c r="A106" s="12">
        <v>151</v>
      </c>
      <c r="B106" s="12" t="s">
        <v>5</v>
      </c>
      <c r="C106" s="12" t="s">
        <v>10</v>
      </c>
      <c r="D106" s="12">
        <v>91001</v>
      </c>
      <c r="E106" s="15">
        <v>200025888717</v>
      </c>
      <c r="F106" s="15" t="s">
        <v>33</v>
      </c>
      <c r="G106" s="15">
        <v>48</v>
      </c>
      <c r="H106" s="16">
        <v>45799.184999999998</v>
      </c>
      <c r="I106" s="12">
        <v>195</v>
      </c>
      <c r="J106" s="12">
        <v>119</v>
      </c>
      <c r="K106" s="12">
        <v>6</v>
      </c>
      <c r="L106" s="12">
        <v>10</v>
      </c>
    </row>
    <row r="107" spans="1:12" ht="14.4" x14ac:dyDescent="0.3">
      <c r="A107" s="12">
        <v>154</v>
      </c>
      <c r="B107" s="12" t="s">
        <v>5</v>
      </c>
      <c r="C107" s="12" t="s">
        <v>10</v>
      </c>
      <c r="D107" s="12">
        <v>91001</v>
      </c>
      <c r="E107" s="15">
        <v>200025888717</v>
      </c>
      <c r="F107" s="15" t="s">
        <v>33</v>
      </c>
      <c r="G107" s="15">
        <v>48</v>
      </c>
      <c r="H107" s="16">
        <v>45799.208078703705</v>
      </c>
      <c r="I107" s="12">
        <v>107</v>
      </c>
      <c r="J107" s="12">
        <v>122</v>
      </c>
      <c r="K107" s="12">
        <v>7</v>
      </c>
      <c r="L107" s="12">
        <v>10</v>
      </c>
    </row>
    <row r="108" spans="1:12" ht="14.4" x14ac:dyDescent="0.3">
      <c r="A108" s="12">
        <v>155</v>
      </c>
      <c r="B108" s="12" t="s">
        <v>5</v>
      </c>
      <c r="C108" s="12" t="s">
        <v>10</v>
      </c>
      <c r="D108" s="12">
        <v>91001</v>
      </c>
      <c r="E108" s="15">
        <v>200025888717</v>
      </c>
      <c r="F108" s="15" t="s">
        <v>33</v>
      </c>
      <c r="G108" s="15">
        <v>48</v>
      </c>
      <c r="H108" s="16">
        <v>45799.210069444445</v>
      </c>
      <c r="I108" s="12">
        <v>1</v>
      </c>
      <c r="J108" s="12">
        <v>123</v>
      </c>
      <c r="K108" s="12">
        <v>8</v>
      </c>
      <c r="L108" s="12">
        <v>10</v>
      </c>
    </row>
    <row r="109" spans="1:12" ht="14.4" x14ac:dyDescent="0.3">
      <c r="A109" s="12">
        <v>156</v>
      </c>
      <c r="B109" s="12" t="s">
        <v>5</v>
      </c>
      <c r="C109" s="12" t="s">
        <v>10</v>
      </c>
      <c r="D109" s="12">
        <v>91001</v>
      </c>
      <c r="E109" s="15">
        <v>200025888717</v>
      </c>
      <c r="F109" s="15" t="s">
        <v>33</v>
      </c>
      <c r="G109" s="15">
        <v>48</v>
      </c>
      <c r="H109" s="16">
        <v>45799.210081018522</v>
      </c>
      <c r="I109" s="12">
        <v>1</v>
      </c>
      <c r="J109" s="12">
        <v>124</v>
      </c>
      <c r="K109" s="12">
        <v>9</v>
      </c>
      <c r="L109" s="12">
        <v>10</v>
      </c>
    </row>
    <row r="110" spans="1:12" ht="14.4" x14ac:dyDescent="0.3">
      <c r="A110" s="12">
        <v>157</v>
      </c>
      <c r="B110" s="12" t="s">
        <v>5</v>
      </c>
      <c r="C110" s="12" t="s">
        <v>10</v>
      </c>
      <c r="D110" s="12">
        <v>91001</v>
      </c>
      <c r="E110" s="15">
        <v>200025888717</v>
      </c>
      <c r="F110" s="15" t="s">
        <v>33</v>
      </c>
      <c r="G110" s="15">
        <v>48</v>
      </c>
      <c r="H110" s="16">
        <v>45799.214212962965</v>
      </c>
      <c r="I110" s="12">
        <v>1</v>
      </c>
      <c r="J110" s="12">
        <v>125</v>
      </c>
      <c r="K110" s="12">
        <v>10</v>
      </c>
      <c r="L110" s="12">
        <v>10</v>
      </c>
    </row>
    <row r="111" spans="1:12" ht="14.4" x14ac:dyDescent="0.3">
      <c r="A111" s="12">
        <v>158</v>
      </c>
      <c r="B111" s="12" t="s">
        <v>5</v>
      </c>
      <c r="C111" s="12" t="s">
        <v>10</v>
      </c>
      <c r="D111" s="12">
        <v>91001</v>
      </c>
      <c r="E111" s="15">
        <v>200025888717</v>
      </c>
      <c r="F111" s="15" t="s">
        <v>33</v>
      </c>
      <c r="G111" s="15">
        <v>48</v>
      </c>
      <c r="H111" s="16">
        <v>45799.215462962966</v>
      </c>
      <c r="I111" s="12">
        <v>2</v>
      </c>
      <c r="J111" s="12">
        <v>126</v>
      </c>
      <c r="K111" s="12">
        <v>11</v>
      </c>
      <c r="L111" s="12">
        <v>10</v>
      </c>
    </row>
    <row r="112" spans="1:12" ht="14.4" x14ac:dyDescent="0.3">
      <c r="A112" s="12">
        <v>159</v>
      </c>
      <c r="B112" s="12" t="s">
        <v>5</v>
      </c>
      <c r="C112" s="12" t="s">
        <v>10</v>
      </c>
      <c r="D112" s="12">
        <v>91001</v>
      </c>
      <c r="E112" s="15">
        <v>200025888717</v>
      </c>
      <c r="F112" s="15" t="s">
        <v>33</v>
      </c>
      <c r="G112" s="15">
        <v>48</v>
      </c>
      <c r="H112" s="16">
        <v>45799.215601851851</v>
      </c>
      <c r="I112" s="12">
        <v>1</v>
      </c>
      <c r="J112" s="12">
        <v>127</v>
      </c>
      <c r="K112" s="12">
        <v>12</v>
      </c>
      <c r="L112" s="12">
        <v>10</v>
      </c>
    </row>
    <row r="113" spans="1:12" ht="14.4" x14ac:dyDescent="0.3">
      <c r="A113" s="12">
        <v>160</v>
      </c>
      <c r="B113" s="12" t="s">
        <v>5</v>
      </c>
      <c r="C113" s="12" t="s">
        <v>10</v>
      </c>
      <c r="D113" s="12">
        <v>91001</v>
      </c>
      <c r="E113" s="15">
        <v>200025888717</v>
      </c>
      <c r="F113" s="15" t="s">
        <v>33</v>
      </c>
      <c r="G113" s="15">
        <v>48</v>
      </c>
      <c r="H113" s="16">
        <v>45799.215624999997</v>
      </c>
      <c r="I113" s="12">
        <v>1</v>
      </c>
      <c r="J113" s="12">
        <v>128</v>
      </c>
      <c r="K113" s="12">
        <v>13</v>
      </c>
      <c r="L113" s="12">
        <v>10</v>
      </c>
    </row>
    <row r="114" spans="1:12" ht="14.4" x14ac:dyDescent="0.3">
      <c r="A114" s="12">
        <v>161</v>
      </c>
      <c r="B114" s="12" t="s">
        <v>5</v>
      </c>
      <c r="C114" s="12" t="s">
        <v>10</v>
      </c>
      <c r="D114" s="12">
        <v>91001</v>
      </c>
      <c r="E114" s="15">
        <v>200025888717</v>
      </c>
      <c r="F114" s="15" t="s">
        <v>33</v>
      </c>
      <c r="G114" s="15">
        <v>48</v>
      </c>
      <c r="H114" s="16">
        <v>45799.215775462966</v>
      </c>
      <c r="I114" s="12">
        <v>291</v>
      </c>
      <c r="J114" s="12">
        <v>129</v>
      </c>
      <c r="K114" s="12">
        <v>14</v>
      </c>
      <c r="L114" s="12">
        <v>10</v>
      </c>
    </row>
    <row r="115" spans="1:12" ht="14.4" x14ac:dyDescent="0.3">
      <c r="A115" s="12">
        <v>162</v>
      </c>
      <c r="B115" s="12" t="s">
        <v>5</v>
      </c>
      <c r="C115" s="12" t="s">
        <v>10</v>
      </c>
      <c r="D115" s="12">
        <v>91001</v>
      </c>
      <c r="E115" s="15">
        <v>200025888717</v>
      </c>
      <c r="F115" s="15" t="s">
        <v>33</v>
      </c>
      <c r="G115" s="15">
        <v>48</v>
      </c>
      <c r="H115" s="16">
        <v>45799.219328703701</v>
      </c>
      <c r="I115" s="12">
        <v>0</v>
      </c>
      <c r="J115" s="12">
        <v>130</v>
      </c>
      <c r="K115" s="12">
        <v>15</v>
      </c>
      <c r="L115" s="12">
        <v>10</v>
      </c>
    </row>
    <row r="116" spans="1:12" ht="14.4" x14ac:dyDescent="0.3">
      <c r="A116" s="17">
        <v>92</v>
      </c>
      <c r="B116" s="17" t="s">
        <v>5</v>
      </c>
      <c r="C116" s="17" t="s">
        <v>10</v>
      </c>
      <c r="D116" s="17">
        <v>91001</v>
      </c>
      <c r="E116" s="20">
        <v>200025888740</v>
      </c>
      <c r="F116" s="20" t="s">
        <v>34</v>
      </c>
      <c r="G116" s="20">
        <v>50</v>
      </c>
      <c r="H116" s="21">
        <v>45798.725243055553</v>
      </c>
      <c r="I116" s="17">
        <v>0</v>
      </c>
      <c r="J116" s="17">
        <v>60</v>
      </c>
      <c r="K116" s="17">
        <v>1</v>
      </c>
      <c r="L116" s="17">
        <v>9</v>
      </c>
    </row>
    <row r="117" spans="1:12" ht="14.4" x14ac:dyDescent="0.3">
      <c r="A117" s="12">
        <v>127</v>
      </c>
      <c r="B117" s="12" t="s">
        <v>5</v>
      </c>
      <c r="C117" s="12" t="s">
        <v>10</v>
      </c>
      <c r="D117" s="12">
        <v>91001</v>
      </c>
      <c r="E117" s="15">
        <v>200025888791</v>
      </c>
      <c r="F117" s="15" t="s">
        <v>19</v>
      </c>
      <c r="G117" s="15">
        <v>7</v>
      </c>
      <c r="H117" s="16">
        <v>45798.904317129629</v>
      </c>
      <c r="I117" s="12">
        <v>0</v>
      </c>
      <c r="J117" s="12">
        <v>95</v>
      </c>
      <c r="K117" s="12">
        <v>1</v>
      </c>
      <c r="L117" s="12">
        <v>13</v>
      </c>
    </row>
    <row r="118" spans="1:12" ht="14.4" x14ac:dyDescent="0.3">
      <c r="A118" s="12">
        <v>128</v>
      </c>
      <c r="B118" s="12" t="s">
        <v>5</v>
      </c>
      <c r="C118" s="12" t="s">
        <v>10</v>
      </c>
      <c r="D118" s="12">
        <v>91001</v>
      </c>
      <c r="E118" s="15">
        <v>200025888791</v>
      </c>
      <c r="F118" s="15" t="s">
        <v>19</v>
      </c>
      <c r="G118" s="15">
        <v>7</v>
      </c>
      <c r="H118" s="16">
        <v>45798.904328703706</v>
      </c>
      <c r="I118" s="12">
        <v>15</v>
      </c>
      <c r="J118" s="12">
        <v>96</v>
      </c>
      <c r="K118" s="12">
        <v>2</v>
      </c>
      <c r="L118" s="12">
        <v>13</v>
      </c>
    </row>
    <row r="119" spans="1:12" ht="14.4" x14ac:dyDescent="0.3">
      <c r="A119" s="12">
        <v>129</v>
      </c>
      <c r="B119" s="12" t="s">
        <v>5</v>
      </c>
      <c r="C119" s="12" t="s">
        <v>10</v>
      </c>
      <c r="D119" s="12">
        <v>91001</v>
      </c>
      <c r="E119" s="15">
        <v>200025888791</v>
      </c>
      <c r="F119" s="15" t="s">
        <v>19</v>
      </c>
      <c r="G119" s="15">
        <v>7</v>
      </c>
      <c r="H119" s="16">
        <v>45798.904513888891</v>
      </c>
      <c r="I119" s="12">
        <v>0</v>
      </c>
      <c r="J119" s="12">
        <v>97</v>
      </c>
      <c r="K119" s="12">
        <v>3</v>
      </c>
      <c r="L119" s="12">
        <v>13</v>
      </c>
    </row>
    <row r="120" spans="1:12" ht="14.4" x14ac:dyDescent="0.3">
      <c r="A120" s="12">
        <v>130</v>
      </c>
      <c r="B120" s="12" t="s">
        <v>5</v>
      </c>
      <c r="C120" s="12" t="s">
        <v>10</v>
      </c>
      <c r="D120" s="12">
        <v>91001</v>
      </c>
      <c r="E120" s="15">
        <v>200025888791</v>
      </c>
      <c r="F120" s="15" t="s">
        <v>19</v>
      </c>
      <c r="G120" s="15">
        <v>7</v>
      </c>
      <c r="H120" s="16">
        <v>45798.90452546296</v>
      </c>
      <c r="I120" s="12">
        <v>24</v>
      </c>
      <c r="J120" s="12">
        <v>98</v>
      </c>
      <c r="K120" s="12">
        <v>4</v>
      </c>
      <c r="L120" s="12">
        <v>13</v>
      </c>
    </row>
    <row r="121" spans="1:12" ht="14.4" x14ac:dyDescent="0.3">
      <c r="A121" s="12">
        <v>131</v>
      </c>
      <c r="B121" s="12" t="s">
        <v>5</v>
      </c>
      <c r="C121" s="12" t="s">
        <v>10</v>
      </c>
      <c r="D121" s="12">
        <v>91001</v>
      </c>
      <c r="E121" s="15">
        <v>200025888791</v>
      </c>
      <c r="F121" s="15" t="s">
        <v>19</v>
      </c>
      <c r="G121" s="15">
        <v>7</v>
      </c>
      <c r="H121" s="16">
        <v>45798.904814814814</v>
      </c>
      <c r="I121" s="12">
        <v>2</v>
      </c>
      <c r="J121" s="12">
        <v>99</v>
      </c>
      <c r="K121" s="12">
        <v>5</v>
      </c>
      <c r="L121" s="12">
        <v>13</v>
      </c>
    </row>
    <row r="122" spans="1:12" ht="14.4" x14ac:dyDescent="0.3">
      <c r="A122" s="12">
        <v>132</v>
      </c>
      <c r="B122" s="12" t="s">
        <v>5</v>
      </c>
      <c r="C122" s="12" t="s">
        <v>10</v>
      </c>
      <c r="D122" s="12">
        <v>91001</v>
      </c>
      <c r="E122" s="15">
        <v>200025888791</v>
      </c>
      <c r="F122" s="15" t="s">
        <v>19</v>
      </c>
      <c r="G122" s="15">
        <v>7</v>
      </c>
      <c r="H122" s="16">
        <v>45798.905335648145</v>
      </c>
      <c r="I122" s="12">
        <v>158</v>
      </c>
      <c r="J122" s="12">
        <v>100</v>
      </c>
      <c r="K122" s="12">
        <v>6</v>
      </c>
      <c r="L122" s="12">
        <v>13</v>
      </c>
    </row>
    <row r="123" spans="1:12" ht="14.4" x14ac:dyDescent="0.3">
      <c r="A123" s="12">
        <v>140</v>
      </c>
      <c r="B123" s="12" t="s">
        <v>5</v>
      </c>
      <c r="C123" s="12" t="s">
        <v>10</v>
      </c>
      <c r="D123" s="12">
        <v>91001</v>
      </c>
      <c r="E123" s="15">
        <v>200025888791</v>
      </c>
      <c r="F123" s="15" t="s">
        <v>19</v>
      </c>
      <c r="G123" s="15">
        <v>7</v>
      </c>
      <c r="H123" s="16">
        <v>45799.027395833335</v>
      </c>
      <c r="I123" s="12">
        <v>1</v>
      </c>
      <c r="J123" s="12">
        <v>108</v>
      </c>
      <c r="K123" s="12">
        <v>7</v>
      </c>
      <c r="L123" s="12">
        <v>13</v>
      </c>
    </row>
    <row r="124" spans="1:12" ht="14.4" x14ac:dyDescent="0.3">
      <c r="A124" s="12">
        <v>146</v>
      </c>
      <c r="B124" s="12" t="s">
        <v>5</v>
      </c>
      <c r="C124" s="12" t="s">
        <v>10</v>
      </c>
      <c r="D124" s="12">
        <v>91001</v>
      </c>
      <c r="E124" s="15">
        <v>200025888791</v>
      </c>
      <c r="F124" s="15" t="s">
        <v>19</v>
      </c>
      <c r="G124" s="15">
        <v>7</v>
      </c>
      <c r="H124" s="16">
        <v>45799.084467592591</v>
      </c>
      <c r="I124" s="12">
        <v>0</v>
      </c>
      <c r="J124" s="12">
        <v>114</v>
      </c>
      <c r="K124" s="12">
        <v>8</v>
      </c>
      <c r="L124" s="12">
        <v>13</v>
      </c>
    </row>
    <row r="125" spans="1:12" ht="14.4" x14ac:dyDescent="0.3">
      <c r="A125" s="12">
        <v>173</v>
      </c>
      <c r="B125" s="12" t="s">
        <v>5</v>
      </c>
      <c r="C125" s="12" t="s">
        <v>10</v>
      </c>
      <c r="D125" s="12">
        <v>91001</v>
      </c>
      <c r="E125" s="15">
        <v>200025888791</v>
      </c>
      <c r="F125" s="15" t="s">
        <v>19</v>
      </c>
      <c r="G125" s="15">
        <v>7</v>
      </c>
      <c r="H125" s="16">
        <v>45799.405405092592</v>
      </c>
      <c r="I125" s="12">
        <v>0</v>
      </c>
      <c r="J125" s="12">
        <v>141</v>
      </c>
      <c r="K125" s="12">
        <v>9</v>
      </c>
      <c r="L125" s="12">
        <v>13</v>
      </c>
    </row>
    <row r="126" spans="1:12" ht="14.4" x14ac:dyDescent="0.3">
      <c r="A126" s="12">
        <v>174</v>
      </c>
      <c r="B126" s="12" t="s">
        <v>5</v>
      </c>
      <c r="C126" s="12" t="s">
        <v>10</v>
      </c>
      <c r="D126" s="12">
        <v>91001</v>
      </c>
      <c r="E126" s="15">
        <v>200025888791</v>
      </c>
      <c r="F126" s="15" t="s">
        <v>19</v>
      </c>
      <c r="G126" s="15">
        <v>7</v>
      </c>
      <c r="H126" s="16">
        <v>45799.405405092592</v>
      </c>
      <c r="I126" s="12">
        <v>1</v>
      </c>
      <c r="J126" s="12">
        <v>142</v>
      </c>
      <c r="K126" s="12">
        <v>10</v>
      </c>
      <c r="L126" s="12">
        <v>13</v>
      </c>
    </row>
    <row r="127" spans="1:12" ht="14.4" x14ac:dyDescent="0.3">
      <c r="A127" s="12">
        <v>175</v>
      </c>
      <c r="B127" s="12" t="s">
        <v>5</v>
      </c>
      <c r="C127" s="12" t="s">
        <v>10</v>
      </c>
      <c r="D127" s="12">
        <v>91001</v>
      </c>
      <c r="E127" s="15">
        <v>200025888791</v>
      </c>
      <c r="F127" s="15" t="s">
        <v>19</v>
      </c>
      <c r="G127" s="15">
        <v>7</v>
      </c>
      <c r="H127" s="16">
        <v>45799.405416666668</v>
      </c>
      <c r="I127" s="12">
        <v>1306</v>
      </c>
      <c r="J127" s="12">
        <v>143</v>
      </c>
      <c r="K127" s="12">
        <v>11</v>
      </c>
      <c r="L127" s="12">
        <v>13</v>
      </c>
    </row>
    <row r="128" spans="1:12" ht="14.4" x14ac:dyDescent="0.3">
      <c r="A128" s="17">
        <v>126</v>
      </c>
      <c r="B128" s="17" t="s">
        <v>5</v>
      </c>
      <c r="C128" s="17" t="s">
        <v>10</v>
      </c>
      <c r="D128" s="17">
        <v>91001</v>
      </c>
      <c r="E128" s="20">
        <v>200025888808</v>
      </c>
      <c r="F128" s="20" t="s">
        <v>36</v>
      </c>
      <c r="G128" s="20">
        <v>43</v>
      </c>
      <c r="H128" s="21">
        <v>45798.901967592596</v>
      </c>
      <c r="I128" s="17">
        <v>1</v>
      </c>
      <c r="J128" s="17">
        <v>94</v>
      </c>
      <c r="K128" s="17">
        <v>1</v>
      </c>
      <c r="L128" s="17">
        <v>12</v>
      </c>
    </row>
    <row r="129" spans="1:12" ht="14.4" x14ac:dyDescent="0.3">
      <c r="A129" s="17">
        <v>152</v>
      </c>
      <c r="B129" s="17" t="s">
        <v>5</v>
      </c>
      <c r="C129" s="17" t="s">
        <v>10</v>
      </c>
      <c r="D129" s="17">
        <v>91001</v>
      </c>
      <c r="E129" s="20">
        <v>200025888808</v>
      </c>
      <c r="F129" s="20" t="s">
        <v>36</v>
      </c>
      <c r="G129" s="20">
        <v>43</v>
      </c>
      <c r="H129" s="21">
        <v>45799.189340277779</v>
      </c>
      <c r="I129" s="17">
        <v>1</v>
      </c>
      <c r="J129" s="17">
        <v>120</v>
      </c>
      <c r="K129" s="17">
        <v>2</v>
      </c>
      <c r="L129" s="17">
        <v>12</v>
      </c>
    </row>
    <row r="130" spans="1:12" ht="14.4" x14ac:dyDescent="0.3">
      <c r="A130" s="17">
        <v>153</v>
      </c>
      <c r="B130" s="17" t="s">
        <v>5</v>
      </c>
      <c r="C130" s="17" t="s">
        <v>10</v>
      </c>
      <c r="D130" s="17">
        <v>91001</v>
      </c>
      <c r="E130" s="20">
        <v>200025888808</v>
      </c>
      <c r="F130" s="20" t="s">
        <v>36</v>
      </c>
      <c r="G130" s="20">
        <v>43</v>
      </c>
      <c r="H130" s="21">
        <v>45799.18953703704</v>
      </c>
      <c r="I130" s="17">
        <v>1</v>
      </c>
      <c r="J130" s="17">
        <v>121</v>
      </c>
      <c r="K130" s="17">
        <v>3</v>
      </c>
      <c r="L130" s="17">
        <v>12</v>
      </c>
    </row>
    <row r="131" spans="1:12" ht="14.4" x14ac:dyDescent="0.3">
      <c r="A131" s="17">
        <v>163</v>
      </c>
      <c r="B131" s="17" t="s">
        <v>5</v>
      </c>
      <c r="C131" s="17" t="s">
        <v>10</v>
      </c>
      <c r="D131" s="17">
        <v>91001</v>
      </c>
      <c r="E131" s="20">
        <v>200025888808</v>
      </c>
      <c r="F131" s="20" t="s">
        <v>36</v>
      </c>
      <c r="G131" s="20">
        <v>43</v>
      </c>
      <c r="H131" s="21">
        <v>45799.232152777775</v>
      </c>
      <c r="I131" s="17">
        <v>345</v>
      </c>
      <c r="J131" s="17">
        <v>131</v>
      </c>
      <c r="K131" s="17">
        <v>4</v>
      </c>
      <c r="L131" s="17">
        <v>12</v>
      </c>
    </row>
    <row r="132" spans="1:12" ht="14.4" x14ac:dyDescent="0.3">
      <c r="A132" s="17">
        <v>171</v>
      </c>
      <c r="B132" s="17" t="s">
        <v>5</v>
      </c>
      <c r="C132" s="17" t="s">
        <v>10</v>
      </c>
      <c r="D132" s="17">
        <v>91001</v>
      </c>
      <c r="E132" s="20">
        <v>200025888808</v>
      </c>
      <c r="F132" s="20" t="s">
        <v>36</v>
      </c>
      <c r="G132" s="20">
        <v>43</v>
      </c>
      <c r="H132" s="21">
        <v>45799.269074074073</v>
      </c>
      <c r="I132" s="17">
        <v>1</v>
      </c>
      <c r="J132" s="17">
        <v>139</v>
      </c>
      <c r="K132" s="17">
        <v>5</v>
      </c>
      <c r="L132" s="17">
        <v>12</v>
      </c>
    </row>
    <row r="133" spans="1:12" ht="14.4" x14ac:dyDescent="0.3">
      <c r="A133" s="17">
        <v>183</v>
      </c>
      <c r="B133" s="17" t="s">
        <v>5</v>
      </c>
      <c r="C133" s="17" t="s">
        <v>10</v>
      </c>
      <c r="D133" s="17">
        <v>91001</v>
      </c>
      <c r="E133" s="20">
        <v>200025888808</v>
      </c>
      <c r="F133" s="20" t="s">
        <v>36</v>
      </c>
      <c r="G133" s="20">
        <v>43</v>
      </c>
      <c r="H133" s="21">
        <v>45799.558888888889</v>
      </c>
      <c r="I133" s="17">
        <v>2</v>
      </c>
      <c r="J133" s="17">
        <v>151</v>
      </c>
      <c r="K133" s="17">
        <v>6</v>
      </c>
      <c r="L133" s="17">
        <v>12</v>
      </c>
    </row>
    <row r="134" spans="1:12" ht="14.4" x14ac:dyDescent="0.3">
      <c r="A134" s="17">
        <v>184</v>
      </c>
      <c r="B134" s="17" t="s">
        <v>5</v>
      </c>
      <c r="C134" s="17" t="s">
        <v>10</v>
      </c>
      <c r="D134" s="17">
        <v>91001</v>
      </c>
      <c r="E134" s="20">
        <v>200025888808</v>
      </c>
      <c r="F134" s="20" t="s">
        <v>36</v>
      </c>
      <c r="G134" s="20">
        <v>43</v>
      </c>
      <c r="H134" s="21">
        <v>45799.560601851852</v>
      </c>
      <c r="I134" s="17">
        <v>1</v>
      </c>
      <c r="J134" s="17">
        <v>152</v>
      </c>
      <c r="K134" s="17">
        <v>7</v>
      </c>
      <c r="L134" s="17">
        <v>12</v>
      </c>
    </row>
    <row r="135" spans="1:12" ht="14.4" x14ac:dyDescent="0.3">
      <c r="A135" s="17">
        <v>185</v>
      </c>
      <c r="B135" s="17" t="s">
        <v>5</v>
      </c>
      <c r="C135" s="17" t="s">
        <v>10</v>
      </c>
      <c r="D135" s="17">
        <v>91001</v>
      </c>
      <c r="E135" s="20">
        <v>200025888808</v>
      </c>
      <c r="F135" s="20" t="s">
        <v>36</v>
      </c>
      <c r="G135" s="20">
        <v>43</v>
      </c>
      <c r="H135" s="21">
        <v>45799.560891203706</v>
      </c>
      <c r="I135" s="17">
        <v>0</v>
      </c>
      <c r="J135" s="17">
        <v>153</v>
      </c>
      <c r="K135" s="17">
        <v>8</v>
      </c>
      <c r="L135" s="17">
        <v>12</v>
      </c>
    </row>
    <row r="136" spans="1:12" ht="14.4" x14ac:dyDescent="0.3">
      <c r="A136" s="17">
        <v>186</v>
      </c>
      <c r="B136" s="17" t="s">
        <v>5</v>
      </c>
      <c r="C136" s="17" t="s">
        <v>10</v>
      </c>
      <c r="D136" s="17">
        <v>91001</v>
      </c>
      <c r="E136" s="20">
        <v>200025888808</v>
      </c>
      <c r="F136" s="20" t="s">
        <v>36</v>
      </c>
      <c r="G136" s="20">
        <v>43</v>
      </c>
      <c r="H136" s="21">
        <v>45799.560902777775</v>
      </c>
      <c r="I136" s="17">
        <v>23</v>
      </c>
      <c r="J136" s="17">
        <v>154</v>
      </c>
      <c r="K136" s="17">
        <v>9</v>
      </c>
      <c r="L136" s="17">
        <v>12</v>
      </c>
    </row>
    <row r="137" spans="1:12" ht="14.4" x14ac:dyDescent="0.3">
      <c r="A137" s="17">
        <v>187</v>
      </c>
      <c r="B137" s="17" t="s">
        <v>5</v>
      </c>
      <c r="C137" s="17" t="s">
        <v>10</v>
      </c>
      <c r="D137" s="17">
        <v>91001</v>
      </c>
      <c r="E137" s="20">
        <v>200025888808</v>
      </c>
      <c r="F137" s="20" t="s">
        <v>36</v>
      </c>
      <c r="G137" s="20">
        <v>43</v>
      </c>
      <c r="H137" s="21">
        <v>45799.561180555553</v>
      </c>
      <c r="I137" s="17">
        <v>0</v>
      </c>
      <c r="J137" s="17">
        <v>155</v>
      </c>
      <c r="K137" s="17">
        <v>10</v>
      </c>
      <c r="L137" s="17">
        <v>12</v>
      </c>
    </row>
    <row r="138" spans="1:12" ht="14.4" x14ac:dyDescent="0.3">
      <c r="A138" s="17">
        <v>188</v>
      </c>
      <c r="B138" s="17" t="s">
        <v>5</v>
      </c>
      <c r="C138" s="17" t="s">
        <v>10</v>
      </c>
      <c r="D138" s="17">
        <v>91001</v>
      </c>
      <c r="E138" s="20">
        <v>200025888808</v>
      </c>
      <c r="F138" s="20" t="s">
        <v>36</v>
      </c>
      <c r="G138" s="20">
        <v>43</v>
      </c>
      <c r="H138" s="21">
        <v>45799.563923611109</v>
      </c>
      <c r="I138" s="17">
        <v>0</v>
      </c>
      <c r="J138" s="17">
        <v>156</v>
      </c>
      <c r="K138" s="17">
        <v>11</v>
      </c>
      <c r="L138" s="17">
        <v>12</v>
      </c>
    </row>
    <row r="139" spans="1:12" ht="14.4" x14ac:dyDescent="0.3">
      <c r="A139" s="17">
        <v>189</v>
      </c>
      <c r="B139" s="17" t="s">
        <v>5</v>
      </c>
      <c r="C139" s="17" t="s">
        <v>10</v>
      </c>
      <c r="D139" s="17">
        <v>91001</v>
      </c>
      <c r="E139" s="20">
        <v>200025888808</v>
      </c>
      <c r="F139" s="20" t="s">
        <v>36</v>
      </c>
      <c r="G139" s="20">
        <v>43</v>
      </c>
      <c r="H139" s="21">
        <v>45799.570648148147</v>
      </c>
      <c r="I139" s="17">
        <v>1</v>
      </c>
      <c r="J139" s="17">
        <v>157</v>
      </c>
      <c r="K139" s="17">
        <v>12</v>
      </c>
      <c r="L139" s="17">
        <v>12</v>
      </c>
    </row>
    <row r="140" spans="1:12" ht="14.4" x14ac:dyDescent="0.3">
      <c r="A140" s="17">
        <v>194</v>
      </c>
      <c r="B140" s="17" t="s">
        <v>5</v>
      </c>
      <c r="C140" s="17" t="s">
        <v>10</v>
      </c>
      <c r="D140" s="17">
        <v>91001</v>
      </c>
      <c r="E140" s="20">
        <v>200025888808</v>
      </c>
      <c r="F140" s="20" t="s">
        <v>36</v>
      </c>
      <c r="G140" s="20">
        <v>43</v>
      </c>
      <c r="H140" s="21">
        <v>45799.583252314813</v>
      </c>
      <c r="I140" s="17">
        <v>1</v>
      </c>
      <c r="J140" s="17">
        <v>162</v>
      </c>
      <c r="K140" s="17">
        <v>13</v>
      </c>
      <c r="L140" s="17">
        <v>12</v>
      </c>
    </row>
    <row r="141" spans="1:12" ht="14.4" x14ac:dyDescent="0.3">
      <c r="A141" s="12">
        <v>142</v>
      </c>
      <c r="B141" s="12" t="s">
        <v>5</v>
      </c>
      <c r="C141" s="12" t="s">
        <v>10</v>
      </c>
      <c r="D141" s="12">
        <v>91001</v>
      </c>
      <c r="E141" s="15">
        <v>200025888812</v>
      </c>
      <c r="F141" s="15" t="s">
        <v>37</v>
      </c>
      <c r="G141" s="15">
        <v>49</v>
      </c>
      <c r="H141" s="16">
        <v>45799.046331018515</v>
      </c>
      <c r="I141" s="12">
        <v>0</v>
      </c>
      <c r="J141" s="12">
        <v>110</v>
      </c>
      <c r="K141" s="12">
        <v>1</v>
      </c>
      <c r="L141" s="12">
        <v>17</v>
      </c>
    </row>
    <row r="142" spans="1:12" ht="14.4" x14ac:dyDescent="0.3">
      <c r="A142" s="12">
        <v>143</v>
      </c>
      <c r="B142" s="12" t="s">
        <v>5</v>
      </c>
      <c r="C142" s="12" t="s">
        <v>10</v>
      </c>
      <c r="D142" s="12">
        <v>91001</v>
      </c>
      <c r="E142" s="15">
        <v>200025888812</v>
      </c>
      <c r="F142" s="15" t="s">
        <v>37</v>
      </c>
      <c r="G142" s="15">
        <v>49</v>
      </c>
      <c r="H142" s="16">
        <v>45799.046689814815</v>
      </c>
      <c r="I142" s="12">
        <v>0</v>
      </c>
      <c r="J142" s="12">
        <v>111</v>
      </c>
      <c r="K142" s="12">
        <v>2</v>
      </c>
      <c r="L142" s="12">
        <v>17</v>
      </c>
    </row>
    <row r="143" spans="1:12" ht="14.4" x14ac:dyDescent="0.3">
      <c r="A143" s="12">
        <v>181</v>
      </c>
      <c r="B143" s="12" t="s">
        <v>5</v>
      </c>
      <c r="C143" s="12" t="s">
        <v>10</v>
      </c>
      <c r="D143" s="12">
        <v>91001</v>
      </c>
      <c r="E143" s="15">
        <v>200025888812</v>
      </c>
      <c r="F143" s="15" t="s">
        <v>37</v>
      </c>
      <c r="G143" s="15">
        <v>49</v>
      </c>
      <c r="H143" s="16">
        <v>45799.499143518522</v>
      </c>
      <c r="I143" s="12">
        <v>1</v>
      </c>
      <c r="J143" s="12">
        <v>149</v>
      </c>
      <c r="K143" s="12">
        <v>3</v>
      </c>
      <c r="L143" s="12">
        <v>17</v>
      </c>
    </row>
    <row r="144" spans="1:12" ht="14.4" x14ac:dyDescent="0.3">
      <c r="A144" s="12">
        <v>182</v>
      </c>
      <c r="B144" s="12" t="s">
        <v>5</v>
      </c>
      <c r="C144" s="12" t="s">
        <v>10</v>
      </c>
      <c r="D144" s="12">
        <v>91001</v>
      </c>
      <c r="E144" s="15">
        <v>200025888812</v>
      </c>
      <c r="F144" s="15" t="s">
        <v>37</v>
      </c>
      <c r="G144" s="15">
        <v>49</v>
      </c>
      <c r="H144" s="16">
        <v>45799.499155092592</v>
      </c>
      <c r="I144" s="12">
        <v>0</v>
      </c>
      <c r="J144" s="12">
        <v>150</v>
      </c>
      <c r="K144" s="12">
        <v>4</v>
      </c>
      <c r="L144" s="12">
        <v>17</v>
      </c>
    </row>
    <row r="145" spans="1:12" ht="14.4" x14ac:dyDescent="0.3">
      <c r="A145" s="12">
        <v>190</v>
      </c>
      <c r="B145" s="12" t="s">
        <v>5</v>
      </c>
      <c r="C145" s="12" t="s">
        <v>10</v>
      </c>
      <c r="D145" s="12">
        <v>91001</v>
      </c>
      <c r="E145" s="15">
        <v>200025888812</v>
      </c>
      <c r="F145" s="15" t="s">
        <v>37</v>
      </c>
      <c r="G145" s="15">
        <v>49</v>
      </c>
      <c r="H145" s="16">
        <v>45799.5783912037</v>
      </c>
      <c r="I145" s="12">
        <v>1</v>
      </c>
      <c r="J145" s="12">
        <v>158</v>
      </c>
      <c r="K145" s="12">
        <v>5</v>
      </c>
      <c r="L145" s="12">
        <v>17</v>
      </c>
    </row>
    <row r="146" spans="1:12" ht="14.4" x14ac:dyDescent="0.3">
      <c r="A146" s="12">
        <v>191</v>
      </c>
      <c r="B146" s="12" t="s">
        <v>5</v>
      </c>
      <c r="C146" s="12" t="s">
        <v>10</v>
      </c>
      <c r="D146" s="12">
        <v>91001</v>
      </c>
      <c r="E146" s="15">
        <v>200025888812</v>
      </c>
      <c r="F146" s="15" t="s">
        <v>37</v>
      </c>
      <c r="G146" s="15">
        <v>49</v>
      </c>
      <c r="H146" s="16">
        <v>45799.578553240739</v>
      </c>
      <c r="I146" s="12">
        <v>0</v>
      </c>
      <c r="J146" s="12">
        <v>159</v>
      </c>
      <c r="K146" s="12">
        <v>6</v>
      </c>
      <c r="L146" s="12">
        <v>17</v>
      </c>
    </row>
    <row r="147" spans="1:12" ht="14.4" x14ac:dyDescent="0.3">
      <c r="A147" s="12">
        <v>192</v>
      </c>
      <c r="B147" s="12" t="s">
        <v>5</v>
      </c>
      <c r="C147" s="12" t="s">
        <v>10</v>
      </c>
      <c r="D147" s="12">
        <v>91001</v>
      </c>
      <c r="E147" s="15">
        <v>200025888812</v>
      </c>
      <c r="F147" s="15" t="s">
        <v>37</v>
      </c>
      <c r="G147" s="15">
        <v>49</v>
      </c>
      <c r="H147" s="16">
        <v>45799.578726851854</v>
      </c>
      <c r="I147" s="12">
        <v>0</v>
      </c>
      <c r="J147" s="12">
        <v>160</v>
      </c>
      <c r="K147" s="12">
        <v>7</v>
      </c>
      <c r="L147" s="12">
        <v>17</v>
      </c>
    </row>
    <row r="148" spans="1:12" ht="14.4" x14ac:dyDescent="0.3">
      <c r="A148" s="12">
        <v>193</v>
      </c>
      <c r="B148" s="12" t="s">
        <v>5</v>
      </c>
      <c r="C148" s="12" t="s">
        <v>10</v>
      </c>
      <c r="D148" s="12">
        <v>91001</v>
      </c>
      <c r="E148" s="15">
        <v>200025888812</v>
      </c>
      <c r="F148" s="15" t="s">
        <v>37</v>
      </c>
      <c r="G148" s="15">
        <v>49</v>
      </c>
      <c r="H148" s="16">
        <v>45799.578738425924</v>
      </c>
      <c r="I148" s="12">
        <v>0</v>
      </c>
      <c r="J148" s="12">
        <v>161</v>
      </c>
      <c r="K148" s="12">
        <v>8</v>
      </c>
      <c r="L148" s="12">
        <v>17</v>
      </c>
    </row>
    <row r="149" spans="1:12" ht="14.4" x14ac:dyDescent="0.3">
      <c r="A149" s="17">
        <v>43</v>
      </c>
      <c r="B149" s="17" t="s">
        <v>5</v>
      </c>
      <c r="C149" s="17" t="s">
        <v>10</v>
      </c>
      <c r="D149" s="17">
        <v>91001</v>
      </c>
      <c r="E149" s="20">
        <v>200025888824</v>
      </c>
      <c r="F149" s="20" t="s">
        <v>35</v>
      </c>
      <c r="G149" s="20">
        <v>32</v>
      </c>
      <c r="H149" s="21">
        <v>45798.453252314815</v>
      </c>
      <c r="I149" s="17">
        <v>0</v>
      </c>
      <c r="J149" s="17">
        <v>11</v>
      </c>
      <c r="K149" s="17">
        <v>1</v>
      </c>
      <c r="L149" s="17">
        <v>4</v>
      </c>
    </row>
    <row r="150" spans="1:12" ht="14.4" x14ac:dyDescent="0.3">
      <c r="A150" s="17">
        <v>44</v>
      </c>
      <c r="B150" s="17" t="s">
        <v>5</v>
      </c>
      <c r="C150" s="17" t="s">
        <v>10</v>
      </c>
      <c r="D150" s="17">
        <v>91001</v>
      </c>
      <c r="E150" s="20">
        <v>200025888824</v>
      </c>
      <c r="F150" s="20" t="s">
        <v>35</v>
      </c>
      <c r="G150" s="20">
        <v>32</v>
      </c>
      <c r="H150" s="21">
        <v>45798.453263888892</v>
      </c>
      <c r="I150" s="17">
        <v>0</v>
      </c>
      <c r="J150" s="17">
        <v>12</v>
      </c>
      <c r="K150" s="17">
        <v>2</v>
      </c>
      <c r="L150" s="17">
        <v>4</v>
      </c>
    </row>
    <row r="151" spans="1:12" ht="14.4" x14ac:dyDescent="0.3">
      <c r="A151" s="17">
        <v>45</v>
      </c>
      <c r="B151" s="17" t="s">
        <v>5</v>
      </c>
      <c r="C151" s="17" t="s">
        <v>10</v>
      </c>
      <c r="D151" s="17">
        <v>91001</v>
      </c>
      <c r="E151" s="20">
        <v>200025888824</v>
      </c>
      <c r="F151" s="20" t="s">
        <v>35</v>
      </c>
      <c r="G151" s="20">
        <v>32</v>
      </c>
      <c r="H151" s="21">
        <v>45798.454606481479</v>
      </c>
      <c r="I151" s="17">
        <v>1</v>
      </c>
      <c r="J151" s="17">
        <v>13</v>
      </c>
      <c r="K151" s="17">
        <v>3</v>
      </c>
      <c r="L151" s="17">
        <v>4</v>
      </c>
    </row>
    <row r="152" spans="1:12" ht="14.4" x14ac:dyDescent="0.3">
      <c r="A152" s="17">
        <v>46</v>
      </c>
      <c r="B152" s="17" t="s">
        <v>5</v>
      </c>
      <c r="C152" s="17" t="s">
        <v>10</v>
      </c>
      <c r="D152" s="17">
        <v>91001</v>
      </c>
      <c r="E152" s="20">
        <v>200025888824</v>
      </c>
      <c r="F152" s="20" t="s">
        <v>35</v>
      </c>
      <c r="G152" s="20">
        <v>32</v>
      </c>
      <c r="H152" s="21">
        <v>45798.454618055555</v>
      </c>
      <c r="I152" s="17">
        <v>0</v>
      </c>
      <c r="J152" s="17">
        <v>14</v>
      </c>
      <c r="K152" s="17">
        <v>4</v>
      </c>
      <c r="L152" s="17">
        <v>4</v>
      </c>
    </row>
    <row r="153" spans="1:12" ht="14.4" x14ac:dyDescent="0.3">
      <c r="A153" s="17">
        <v>47</v>
      </c>
      <c r="B153" s="17" t="s">
        <v>5</v>
      </c>
      <c r="C153" s="17" t="s">
        <v>10</v>
      </c>
      <c r="D153" s="17">
        <v>91001</v>
      </c>
      <c r="E153" s="20">
        <v>200025888824</v>
      </c>
      <c r="F153" s="20" t="s">
        <v>35</v>
      </c>
      <c r="G153" s="20">
        <v>32</v>
      </c>
      <c r="H153" s="21">
        <v>45798.503449074073</v>
      </c>
      <c r="I153" s="17">
        <v>715</v>
      </c>
      <c r="J153" s="17">
        <v>15</v>
      </c>
      <c r="K153" s="17">
        <v>5</v>
      </c>
      <c r="L153" s="17">
        <v>4</v>
      </c>
    </row>
    <row r="154" spans="1:12" ht="14.4" x14ac:dyDescent="0.3">
      <c r="A154" s="17">
        <v>105</v>
      </c>
      <c r="B154" s="17" t="s">
        <v>5</v>
      </c>
      <c r="C154" s="17" t="s">
        <v>10</v>
      </c>
      <c r="D154" s="17">
        <v>91001</v>
      </c>
      <c r="E154" s="20">
        <v>200025888824</v>
      </c>
      <c r="F154" s="20" t="s">
        <v>35</v>
      </c>
      <c r="G154" s="20">
        <v>32</v>
      </c>
      <c r="H154" s="21">
        <v>45798.80878472222</v>
      </c>
      <c r="I154" s="17">
        <v>0</v>
      </c>
      <c r="J154" s="17">
        <v>73</v>
      </c>
      <c r="K154" s="17">
        <v>6</v>
      </c>
      <c r="L154" s="17">
        <v>4</v>
      </c>
    </row>
    <row r="155" spans="1:12" ht="14.4" x14ac:dyDescent="0.3">
      <c r="A155" s="17">
        <v>106</v>
      </c>
      <c r="B155" s="17" t="s">
        <v>5</v>
      </c>
      <c r="C155" s="17" t="s">
        <v>10</v>
      </c>
      <c r="D155" s="17">
        <v>91001</v>
      </c>
      <c r="E155" s="20">
        <v>200025888824</v>
      </c>
      <c r="F155" s="20" t="s">
        <v>35</v>
      </c>
      <c r="G155" s="20">
        <v>32</v>
      </c>
      <c r="H155" s="21">
        <v>45798.808796296296</v>
      </c>
      <c r="I155" s="17">
        <v>0</v>
      </c>
      <c r="J155" s="17">
        <v>74</v>
      </c>
      <c r="K155" s="17">
        <v>7</v>
      </c>
      <c r="L155" s="17">
        <v>4</v>
      </c>
    </row>
    <row r="156" spans="1:12" ht="14.4" x14ac:dyDescent="0.3">
      <c r="A156" s="17">
        <v>107</v>
      </c>
      <c r="B156" s="17" t="s">
        <v>5</v>
      </c>
      <c r="C156" s="17" t="s">
        <v>10</v>
      </c>
      <c r="D156" s="17">
        <v>91001</v>
      </c>
      <c r="E156" s="20">
        <v>200025888824</v>
      </c>
      <c r="F156" s="20" t="s">
        <v>35</v>
      </c>
      <c r="G156" s="20">
        <v>32</v>
      </c>
      <c r="H156" s="21">
        <v>45798.809374999997</v>
      </c>
      <c r="I156" s="17">
        <v>2</v>
      </c>
      <c r="J156" s="17">
        <v>75</v>
      </c>
      <c r="K156" s="17">
        <v>8</v>
      </c>
      <c r="L156" s="17">
        <v>4</v>
      </c>
    </row>
    <row r="157" spans="1:12" ht="14.4" x14ac:dyDescent="0.3">
      <c r="A157" s="17">
        <v>111</v>
      </c>
      <c r="B157" s="17" t="s">
        <v>5</v>
      </c>
      <c r="C157" s="17" t="s">
        <v>10</v>
      </c>
      <c r="D157" s="17">
        <v>91001</v>
      </c>
      <c r="E157" s="20">
        <v>200025888824</v>
      </c>
      <c r="F157" s="20" t="s">
        <v>35</v>
      </c>
      <c r="G157" s="20">
        <v>32</v>
      </c>
      <c r="H157" s="21">
        <v>45798.844988425924</v>
      </c>
      <c r="I157" s="17">
        <v>1</v>
      </c>
      <c r="J157" s="17">
        <v>79</v>
      </c>
      <c r="K157" s="17">
        <v>9</v>
      </c>
      <c r="L157" s="17">
        <v>4</v>
      </c>
    </row>
    <row r="158" spans="1:12" ht="14.4" x14ac:dyDescent="0.3">
      <c r="A158" s="17">
        <v>112</v>
      </c>
      <c r="B158" s="17" t="s">
        <v>5</v>
      </c>
      <c r="C158" s="17" t="s">
        <v>10</v>
      </c>
      <c r="D158" s="17">
        <v>91001</v>
      </c>
      <c r="E158" s="20">
        <v>200025888824</v>
      </c>
      <c r="F158" s="20" t="s">
        <v>35</v>
      </c>
      <c r="G158" s="20">
        <v>32</v>
      </c>
      <c r="H158" s="21">
        <v>45798.84511574074</v>
      </c>
      <c r="I158" s="17">
        <v>0</v>
      </c>
      <c r="J158" s="17">
        <v>80</v>
      </c>
      <c r="K158" s="17">
        <v>10</v>
      </c>
      <c r="L158" s="17">
        <v>4</v>
      </c>
    </row>
    <row r="159" spans="1:12" ht="14.4" x14ac:dyDescent="0.3">
      <c r="A159" s="17">
        <v>113</v>
      </c>
      <c r="B159" s="17" t="s">
        <v>5</v>
      </c>
      <c r="C159" s="17" t="s">
        <v>10</v>
      </c>
      <c r="D159" s="17">
        <v>91001</v>
      </c>
      <c r="E159" s="20">
        <v>200025888824</v>
      </c>
      <c r="F159" s="20" t="s">
        <v>35</v>
      </c>
      <c r="G159" s="20">
        <v>32</v>
      </c>
      <c r="H159" s="21">
        <v>45798.845266203702</v>
      </c>
      <c r="I159" s="17">
        <v>0</v>
      </c>
      <c r="J159" s="17">
        <v>81</v>
      </c>
      <c r="K159" s="17">
        <v>11</v>
      </c>
      <c r="L159" s="17">
        <v>4</v>
      </c>
    </row>
    <row r="160" spans="1:12" ht="14.4" x14ac:dyDescent="0.3">
      <c r="A160" s="17">
        <v>119</v>
      </c>
      <c r="B160" s="17" t="s">
        <v>5</v>
      </c>
      <c r="C160" s="17" t="s">
        <v>10</v>
      </c>
      <c r="D160" s="17">
        <v>91001</v>
      </c>
      <c r="E160" s="20">
        <v>200025888824</v>
      </c>
      <c r="F160" s="20" t="s">
        <v>35</v>
      </c>
      <c r="G160" s="20">
        <v>32</v>
      </c>
      <c r="H160" s="21">
        <v>45798.874618055554</v>
      </c>
      <c r="I160" s="17">
        <v>0</v>
      </c>
      <c r="J160" s="17">
        <v>87</v>
      </c>
      <c r="K160" s="17">
        <v>12</v>
      </c>
      <c r="L160" s="17">
        <v>4</v>
      </c>
    </row>
    <row r="161" spans="1:12" ht="14.4" x14ac:dyDescent="0.3">
      <c r="A161" s="17">
        <v>120</v>
      </c>
      <c r="B161" s="17" t="s">
        <v>5</v>
      </c>
      <c r="C161" s="17" t="s">
        <v>10</v>
      </c>
      <c r="D161" s="17">
        <v>91001</v>
      </c>
      <c r="E161" s="20">
        <v>200025888824</v>
      </c>
      <c r="F161" s="20" t="s">
        <v>35</v>
      </c>
      <c r="G161" s="20">
        <v>32</v>
      </c>
      <c r="H161" s="21">
        <v>45798.874895833331</v>
      </c>
      <c r="I161" s="17">
        <v>0</v>
      </c>
      <c r="J161" s="17">
        <v>88</v>
      </c>
      <c r="K161" s="17">
        <v>13</v>
      </c>
      <c r="L161" s="17">
        <v>4</v>
      </c>
    </row>
    <row r="162" spans="1:12" ht="14.4" x14ac:dyDescent="0.3">
      <c r="A162" s="17">
        <v>121</v>
      </c>
      <c r="B162" s="17" t="s">
        <v>5</v>
      </c>
      <c r="C162" s="17" t="s">
        <v>10</v>
      </c>
      <c r="D162" s="17">
        <v>91001</v>
      </c>
      <c r="E162" s="20">
        <v>200025888824</v>
      </c>
      <c r="F162" s="20" t="s">
        <v>35</v>
      </c>
      <c r="G162" s="20">
        <v>32</v>
      </c>
      <c r="H162" s="21">
        <v>45798.875</v>
      </c>
      <c r="I162" s="17">
        <v>1</v>
      </c>
      <c r="J162" s="17">
        <v>89</v>
      </c>
      <c r="K162" s="17">
        <v>14</v>
      </c>
      <c r="L162" s="17">
        <v>4</v>
      </c>
    </row>
    <row r="163" spans="1:12" ht="14.4" x14ac:dyDescent="0.3">
      <c r="A163" s="17">
        <v>167</v>
      </c>
      <c r="B163" s="17" t="s">
        <v>5</v>
      </c>
      <c r="C163" s="17" t="s">
        <v>10</v>
      </c>
      <c r="D163" s="17">
        <v>91001</v>
      </c>
      <c r="E163" s="20">
        <v>200025888824</v>
      </c>
      <c r="F163" s="20" t="s">
        <v>35</v>
      </c>
      <c r="G163" s="20">
        <v>32</v>
      </c>
      <c r="H163" s="21">
        <v>45799.264305555553</v>
      </c>
      <c r="I163" s="17">
        <v>0</v>
      </c>
      <c r="J163" s="17">
        <v>135</v>
      </c>
      <c r="K163" s="17">
        <v>15</v>
      </c>
      <c r="L163" s="17">
        <v>4</v>
      </c>
    </row>
    <row r="164" spans="1:12" ht="14.4" x14ac:dyDescent="0.3">
      <c r="A164" s="17">
        <v>168</v>
      </c>
      <c r="B164" s="17" t="s">
        <v>5</v>
      </c>
      <c r="C164" s="17" t="s">
        <v>10</v>
      </c>
      <c r="D164" s="17">
        <v>91001</v>
      </c>
      <c r="E164" s="20">
        <v>200025888824</v>
      </c>
      <c r="F164" s="20" t="s">
        <v>35</v>
      </c>
      <c r="G164" s="20">
        <v>32</v>
      </c>
      <c r="H164" s="21">
        <v>45799.265694444446</v>
      </c>
      <c r="I164" s="17">
        <v>1</v>
      </c>
      <c r="J164" s="17">
        <v>136</v>
      </c>
      <c r="K164" s="17">
        <v>16</v>
      </c>
      <c r="L164" s="17">
        <v>4</v>
      </c>
    </row>
    <row r="165" spans="1:12" ht="14.4" x14ac:dyDescent="0.3">
      <c r="A165" s="17">
        <v>169</v>
      </c>
      <c r="B165" s="17" t="s">
        <v>5</v>
      </c>
      <c r="C165" s="17" t="s">
        <v>10</v>
      </c>
      <c r="D165" s="17">
        <v>91001</v>
      </c>
      <c r="E165" s="20">
        <v>200025888824</v>
      </c>
      <c r="F165" s="20" t="s">
        <v>35</v>
      </c>
      <c r="G165" s="20">
        <v>32</v>
      </c>
      <c r="H165" s="21">
        <v>45799.265706018516</v>
      </c>
      <c r="I165" s="17">
        <v>1</v>
      </c>
      <c r="J165" s="17">
        <v>137</v>
      </c>
      <c r="K165" s="17">
        <v>17</v>
      </c>
      <c r="L165" s="17">
        <v>4</v>
      </c>
    </row>
    <row r="166" spans="1:12" ht="14.4" x14ac:dyDescent="0.3">
      <c r="A166" s="17">
        <v>170</v>
      </c>
      <c r="B166" s="17" t="s">
        <v>5</v>
      </c>
      <c r="C166" s="17" t="s">
        <v>10</v>
      </c>
      <c r="D166" s="17">
        <v>91001</v>
      </c>
      <c r="E166" s="20">
        <v>200025888824</v>
      </c>
      <c r="F166" s="20" t="s">
        <v>35</v>
      </c>
      <c r="G166" s="20">
        <v>32</v>
      </c>
      <c r="H166" s="21">
        <v>45799.266342592593</v>
      </c>
      <c r="I166" s="17">
        <v>2</v>
      </c>
      <c r="J166" s="17">
        <v>138</v>
      </c>
      <c r="K166" s="17">
        <v>18</v>
      </c>
      <c r="L166" s="17">
        <v>4</v>
      </c>
    </row>
    <row r="167" spans="1:12" ht="14.4" x14ac:dyDescent="0.3">
      <c r="A167" s="31">
        <v>216</v>
      </c>
      <c r="B167" s="31" t="s">
        <v>5</v>
      </c>
      <c r="C167" s="31" t="s">
        <v>10</v>
      </c>
      <c r="D167" s="31">
        <v>91001</v>
      </c>
      <c r="E167" s="32">
        <v>200025888834</v>
      </c>
      <c r="F167" s="32" t="s">
        <v>30</v>
      </c>
      <c r="G167" s="32">
        <v>25</v>
      </c>
      <c r="H167" s="34">
        <v>45800.009456018517</v>
      </c>
      <c r="I167" s="31">
        <v>0</v>
      </c>
      <c r="J167" s="33">
        <v>184</v>
      </c>
      <c r="K167" s="33">
        <v>1</v>
      </c>
      <c r="L167" s="33">
        <v>25</v>
      </c>
    </row>
    <row r="168" spans="1:12" ht="14.4" x14ac:dyDescent="0.3">
      <c r="A168" s="31">
        <v>217</v>
      </c>
      <c r="B168" s="31" t="s">
        <v>5</v>
      </c>
      <c r="C168" s="31" t="s">
        <v>10</v>
      </c>
      <c r="D168" s="31">
        <v>91001</v>
      </c>
      <c r="E168" s="32">
        <v>200025888834</v>
      </c>
      <c r="F168" s="32" t="s">
        <v>30</v>
      </c>
      <c r="G168" s="32">
        <v>25</v>
      </c>
      <c r="H168" s="34">
        <v>45800.009467592594</v>
      </c>
      <c r="I168" s="31">
        <v>1</v>
      </c>
      <c r="J168" s="33">
        <v>185</v>
      </c>
      <c r="K168" s="33">
        <v>2</v>
      </c>
      <c r="L168" s="33">
        <v>25</v>
      </c>
    </row>
    <row r="169" spans="1:12" ht="14.4" x14ac:dyDescent="0.3">
      <c r="A169" s="31">
        <v>218</v>
      </c>
      <c r="B169" s="31" t="s">
        <v>5</v>
      </c>
      <c r="C169" s="31" t="s">
        <v>10</v>
      </c>
      <c r="D169" s="31">
        <v>91001</v>
      </c>
      <c r="E169" s="32">
        <v>200025888834</v>
      </c>
      <c r="F169" s="32" t="s">
        <v>30</v>
      </c>
      <c r="G169" s="32">
        <v>25</v>
      </c>
      <c r="H169" s="34">
        <v>45800.013310185182</v>
      </c>
      <c r="I169" s="31">
        <v>1</v>
      </c>
      <c r="J169" s="33">
        <v>186</v>
      </c>
      <c r="K169" s="33">
        <v>3</v>
      </c>
      <c r="L169" s="33">
        <v>25</v>
      </c>
    </row>
    <row r="170" spans="1:12" ht="14.4" x14ac:dyDescent="0.3">
      <c r="A170" s="31">
        <v>219</v>
      </c>
      <c r="B170" s="31" t="s">
        <v>5</v>
      </c>
      <c r="C170" s="31" t="s">
        <v>10</v>
      </c>
      <c r="D170" s="31">
        <v>91001</v>
      </c>
      <c r="E170" s="32">
        <v>200025888834</v>
      </c>
      <c r="F170" s="32" t="s">
        <v>30</v>
      </c>
      <c r="G170" s="32">
        <v>25</v>
      </c>
      <c r="H170" s="34">
        <v>45800.014166666668</v>
      </c>
      <c r="I170" s="31">
        <v>0</v>
      </c>
      <c r="J170" s="33">
        <v>187</v>
      </c>
      <c r="K170" s="33">
        <v>4</v>
      </c>
      <c r="L170" s="33">
        <v>25</v>
      </c>
    </row>
    <row r="171" spans="1:12" ht="14.4" x14ac:dyDescent="0.3">
      <c r="A171" s="31">
        <v>220</v>
      </c>
      <c r="B171" s="31" t="s">
        <v>5</v>
      </c>
      <c r="C171" s="31" t="s">
        <v>10</v>
      </c>
      <c r="D171" s="31">
        <v>91001</v>
      </c>
      <c r="E171" s="32">
        <v>200025888834</v>
      </c>
      <c r="F171" s="32" t="s">
        <v>30</v>
      </c>
      <c r="G171" s="32">
        <v>25</v>
      </c>
      <c r="H171" s="34">
        <v>45800.014178240737</v>
      </c>
      <c r="I171" s="31">
        <v>0</v>
      </c>
      <c r="J171" s="33">
        <v>188</v>
      </c>
      <c r="K171" s="33">
        <v>5</v>
      </c>
      <c r="L171" s="33">
        <v>25</v>
      </c>
    </row>
    <row r="172" spans="1:12" ht="14.4" x14ac:dyDescent="0.3">
      <c r="A172" s="31">
        <v>221</v>
      </c>
      <c r="B172" s="31" t="s">
        <v>5</v>
      </c>
      <c r="C172" s="31" t="s">
        <v>10</v>
      </c>
      <c r="D172" s="31">
        <v>91001</v>
      </c>
      <c r="E172" s="32">
        <v>200025888834</v>
      </c>
      <c r="F172" s="32" t="s">
        <v>30</v>
      </c>
      <c r="G172" s="32">
        <v>25</v>
      </c>
      <c r="H172" s="34">
        <v>45800.175416666665</v>
      </c>
      <c r="I172" s="31">
        <v>0</v>
      </c>
      <c r="J172" s="33">
        <v>189</v>
      </c>
      <c r="K172" s="33">
        <v>6</v>
      </c>
      <c r="L172" s="33">
        <v>25</v>
      </c>
    </row>
    <row r="173" spans="1:12" ht="14.4" x14ac:dyDescent="0.3">
      <c r="A173" s="31">
        <v>222</v>
      </c>
      <c r="B173" s="31" t="s">
        <v>5</v>
      </c>
      <c r="C173" s="31" t="s">
        <v>10</v>
      </c>
      <c r="D173" s="31">
        <v>91001</v>
      </c>
      <c r="E173" s="32">
        <v>200025888834</v>
      </c>
      <c r="F173" s="32" t="s">
        <v>30</v>
      </c>
      <c r="G173" s="32">
        <v>25</v>
      </c>
      <c r="H173" s="34">
        <v>45800.175567129627</v>
      </c>
      <c r="I173" s="31">
        <v>1</v>
      </c>
      <c r="J173" s="33">
        <v>190</v>
      </c>
      <c r="K173" s="33">
        <v>7</v>
      </c>
      <c r="L173" s="33">
        <v>25</v>
      </c>
    </row>
    <row r="174" spans="1:12" ht="14.4" x14ac:dyDescent="0.3">
      <c r="A174" s="31">
        <v>223</v>
      </c>
      <c r="B174" s="31" t="s">
        <v>5</v>
      </c>
      <c r="C174" s="31" t="s">
        <v>10</v>
      </c>
      <c r="D174" s="31">
        <v>91001</v>
      </c>
      <c r="E174" s="32">
        <v>200025888834</v>
      </c>
      <c r="F174" s="32" t="s">
        <v>30</v>
      </c>
      <c r="G174" s="32">
        <v>25</v>
      </c>
      <c r="H174" s="34">
        <v>45800.17763888889</v>
      </c>
      <c r="I174" s="31">
        <v>0</v>
      </c>
      <c r="J174" s="33">
        <v>191</v>
      </c>
      <c r="K174" s="33">
        <v>8</v>
      </c>
      <c r="L174" s="33">
        <v>25</v>
      </c>
    </row>
    <row r="175" spans="1:12" ht="14.4" x14ac:dyDescent="0.3">
      <c r="A175" s="12">
        <v>108</v>
      </c>
      <c r="B175" s="12" t="s">
        <v>5</v>
      </c>
      <c r="C175" s="12" t="s">
        <v>10</v>
      </c>
      <c r="D175" s="12">
        <v>91001</v>
      </c>
      <c r="E175" s="15">
        <v>200025888839</v>
      </c>
      <c r="F175" s="15" t="s">
        <v>26</v>
      </c>
      <c r="G175" s="15">
        <v>16</v>
      </c>
      <c r="H175" s="16">
        <v>45798.810324074075</v>
      </c>
      <c r="I175" s="12">
        <v>0</v>
      </c>
      <c r="J175" s="12">
        <v>76</v>
      </c>
      <c r="K175" s="12">
        <v>1</v>
      </c>
      <c r="L175" s="12">
        <v>11</v>
      </c>
    </row>
    <row r="176" spans="1:12" ht="14.4" x14ac:dyDescent="0.3">
      <c r="A176" s="12">
        <v>109</v>
      </c>
      <c r="B176" s="12" t="s">
        <v>5</v>
      </c>
      <c r="C176" s="12" t="s">
        <v>10</v>
      </c>
      <c r="D176" s="12">
        <v>91001</v>
      </c>
      <c r="E176" s="15">
        <v>200025888839</v>
      </c>
      <c r="F176" s="15" t="s">
        <v>26</v>
      </c>
      <c r="G176" s="15">
        <v>16</v>
      </c>
      <c r="H176" s="16">
        <v>45798.810324074075</v>
      </c>
      <c r="I176" s="12">
        <v>0</v>
      </c>
      <c r="J176" s="12">
        <v>77</v>
      </c>
      <c r="K176" s="12">
        <v>2</v>
      </c>
      <c r="L176" s="12">
        <v>11</v>
      </c>
    </row>
    <row r="177" spans="1:12" ht="14.4" x14ac:dyDescent="0.3">
      <c r="A177" s="12">
        <v>110</v>
      </c>
      <c r="B177" s="12" t="s">
        <v>5</v>
      </c>
      <c r="C177" s="12" t="s">
        <v>10</v>
      </c>
      <c r="D177" s="12">
        <v>91001</v>
      </c>
      <c r="E177" s="15">
        <v>200025888839</v>
      </c>
      <c r="F177" s="15" t="s">
        <v>26</v>
      </c>
      <c r="G177" s="15">
        <v>16</v>
      </c>
      <c r="H177" s="16">
        <v>45798.810335648152</v>
      </c>
      <c r="I177" s="12">
        <v>0</v>
      </c>
      <c r="J177" s="12">
        <v>78</v>
      </c>
      <c r="K177" s="12">
        <v>3</v>
      </c>
      <c r="L177" s="12">
        <v>11</v>
      </c>
    </row>
    <row r="178" spans="1:12" ht="14.4" x14ac:dyDescent="0.3">
      <c r="A178" s="17">
        <v>82</v>
      </c>
      <c r="B178" s="17" t="s">
        <v>5</v>
      </c>
      <c r="C178" s="17" t="s">
        <v>10</v>
      </c>
      <c r="D178" s="17">
        <v>91001</v>
      </c>
      <c r="E178" s="20">
        <v>200025888863</v>
      </c>
      <c r="F178" s="20" t="s">
        <v>31</v>
      </c>
      <c r="G178" s="20">
        <v>26</v>
      </c>
      <c r="H178" s="21">
        <v>45798.704502314817</v>
      </c>
      <c r="I178" s="17">
        <v>1</v>
      </c>
      <c r="J178" s="17">
        <v>50</v>
      </c>
      <c r="K178" s="17">
        <v>1</v>
      </c>
      <c r="L178" s="17">
        <v>7</v>
      </c>
    </row>
    <row r="179" spans="1:12" ht="14.4" x14ac:dyDescent="0.3">
      <c r="A179" s="17">
        <v>83</v>
      </c>
      <c r="B179" s="17" t="s">
        <v>5</v>
      </c>
      <c r="C179" s="17" t="s">
        <v>10</v>
      </c>
      <c r="D179" s="17">
        <v>91001</v>
      </c>
      <c r="E179" s="20">
        <v>200025888863</v>
      </c>
      <c r="F179" s="20" t="s">
        <v>31</v>
      </c>
      <c r="G179" s="20">
        <v>26</v>
      </c>
      <c r="H179" s="21">
        <v>45798.704872685186</v>
      </c>
      <c r="I179" s="17">
        <v>0</v>
      </c>
      <c r="J179" s="17">
        <v>51</v>
      </c>
      <c r="K179" s="17">
        <v>2</v>
      </c>
      <c r="L179" s="17">
        <v>7</v>
      </c>
    </row>
    <row r="180" spans="1:12" ht="14.4" x14ac:dyDescent="0.3">
      <c r="A180" s="17">
        <v>84</v>
      </c>
      <c r="B180" s="17" t="s">
        <v>5</v>
      </c>
      <c r="C180" s="17" t="s">
        <v>10</v>
      </c>
      <c r="D180" s="17">
        <v>91001</v>
      </c>
      <c r="E180" s="20">
        <v>200025888863</v>
      </c>
      <c r="F180" s="20" t="s">
        <v>31</v>
      </c>
      <c r="G180" s="20">
        <v>26</v>
      </c>
      <c r="H180" s="21">
        <v>45798.704872685186</v>
      </c>
      <c r="I180" s="17">
        <v>1</v>
      </c>
      <c r="J180" s="17">
        <v>52</v>
      </c>
      <c r="K180" s="17">
        <v>3</v>
      </c>
      <c r="L180" s="17">
        <v>7</v>
      </c>
    </row>
    <row r="181" spans="1:12" ht="14.4" x14ac:dyDescent="0.3">
      <c r="A181" s="17">
        <v>85</v>
      </c>
      <c r="B181" s="17" t="s">
        <v>5</v>
      </c>
      <c r="C181" s="17" t="s">
        <v>10</v>
      </c>
      <c r="D181" s="17">
        <v>91001</v>
      </c>
      <c r="E181" s="20">
        <v>200025888863</v>
      </c>
      <c r="F181" s="20" t="s">
        <v>31</v>
      </c>
      <c r="G181" s="20">
        <v>26</v>
      </c>
      <c r="H181" s="21">
        <v>45798.704884259256</v>
      </c>
      <c r="I181" s="17">
        <v>13</v>
      </c>
      <c r="J181" s="17">
        <v>53</v>
      </c>
      <c r="K181" s="17">
        <v>4</v>
      </c>
      <c r="L181" s="17">
        <v>7</v>
      </c>
    </row>
    <row r="182" spans="1:12" ht="14.4" x14ac:dyDescent="0.3">
      <c r="A182" s="17">
        <v>114</v>
      </c>
      <c r="B182" s="17" t="s">
        <v>5</v>
      </c>
      <c r="C182" s="17" t="s">
        <v>10</v>
      </c>
      <c r="D182" s="17">
        <v>91001</v>
      </c>
      <c r="E182" s="20">
        <v>200025888863</v>
      </c>
      <c r="F182" s="20" t="s">
        <v>31</v>
      </c>
      <c r="G182" s="20">
        <v>26</v>
      </c>
      <c r="H182" s="21">
        <v>45798.866608796299</v>
      </c>
      <c r="I182" s="17">
        <v>18</v>
      </c>
      <c r="J182" s="17">
        <v>82</v>
      </c>
      <c r="K182" s="17">
        <v>5</v>
      </c>
      <c r="L182" s="17">
        <v>7</v>
      </c>
    </row>
    <row r="183" spans="1:12" ht="14.4" x14ac:dyDescent="0.3">
      <c r="A183" s="17">
        <v>115</v>
      </c>
      <c r="B183" s="17" t="s">
        <v>5</v>
      </c>
      <c r="C183" s="17" t="s">
        <v>10</v>
      </c>
      <c r="D183" s="17">
        <v>91001</v>
      </c>
      <c r="E183" s="20">
        <v>200025888863</v>
      </c>
      <c r="F183" s="20" t="s">
        <v>31</v>
      </c>
      <c r="G183" s="20">
        <v>26</v>
      </c>
      <c r="H183" s="21">
        <v>45798.866979166669</v>
      </c>
      <c r="I183" s="17">
        <v>2</v>
      </c>
      <c r="J183" s="17">
        <v>83</v>
      </c>
      <c r="K183" s="17">
        <v>6</v>
      </c>
      <c r="L183" s="17">
        <v>7</v>
      </c>
    </row>
    <row r="184" spans="1:12" ht="14.4" x14ac:dyDescent="0.3">
      <c r="A184" s="17">
        <v>116</v>
      </c>
      <c r="B184" s="17" t="s">
        <v>5</v>
      </c>
      <c r="C184" s="17" t="s">
        <v>10</v>
      </c>
      <c r="D184" s="17">
        <v>91001</v>
      </c>
      <c r="E184" s="20">
        <v>200025888863</v>
      </c>
      <c r="F184" s="20" t="s">
        <v>31</v>
      </c>
      <c r="G184" s="20">
        <v>26</v>
      </c>
      <c r="H184" s="21">
        <v>45798.868611111109</v>
      </c>
      <c r="I184" s="17">
        <v>1</v>
      </c>
      <c r="J184" s="17">
        <v>84</v>
      </c>
      <c r="K184" s="17">
        <v>7</v>
      </c>
      <c r="L184" s="17">
        <v>7</v>
      </c>
    </row>
    <row r="185" spans="1:12" ht="14.4" x14ac:dyDescent="0.3">
      <c r="A185" s="17">
        <v>133</v>
      </c>
      <c r="B185" s="17" t="s">
        <v>5</v>
      </c>
      <c r="C185" s="17" t="s">
        <v>10</v>
      </c>
      <c r="D185" s="17">
        <v>91001</v>
      </c>
      <c r="E185" s="20">
        <v>200025888863</v>
      </c>
      <c r="F185" s="20" t="s">
        <v>31</v>
      </c>
      <c r="G185" s="20">
        <v>26</v>
      </c>
      <c r="H185" s="21">
        <v>45798.967048611114</v>
      </c>
      <c r="I185" s="17">
        <v>1</v>
      </c>
      <c r="J185" s="17">
        <v>101</v>
      </c>
      <c r="K185" s="17">
        <v>8</v>
      </c>
      <c r="L185" s="17">
        <v>7</v>
      </c>
    </row>
    <row r="186" spans="1:12" ht="14.4" x14ac:dyDescent="0.3">
      <c r="A186" s="17">
        <v>134</v>
      </c>
      <c r="B186" s="17" t="s">
        <v>5</v>
      </c>
      <c r="C186" s="17" t="s">
        <v>10</v>
      </c>
      <c r="D186" s="17">
        <v>91001</v>
      </c>
      <c r="E186" s="20">
        <v>200025888863</v>
      </c>
      <c r="F186" s="20" t="s">
        <v>31</v>
      </c>
      <c r="G186" s="20">
        <v>26</v>
      </c>
      <c r="H186" s="21">
        <v>45798.967280092591</v>
      </c>
      <c r="I186" s="17">
        <v>2</v>
      </c>
      <c r="J186" s="17">
        <v>102</v>
      </c>
      <c r="K186" s="17">
        <v>9</v>
      </c>
      <c r="L186" s="17">
        <v>7</v>
      </c>
    </row>
    <row r="187" spans="1:12" ht="14.4" x14ac:dyDescent="0.3">
      <c r="A187" s="17">
        <v>135</v>
      </c>
      <c r="B187" s="17" t="s">
        <v>5</v>
      </c>
      <c r="C187" s="17" t="s">
        <v>10</v>
      </c>
      <c r="D187" s="17">
        <v>91001</v>
      </c>
      <c r="E187" s="20">
        <v>200025888863</v>
      </c>
      <c r="F187" s="20" t="s">
        <v>31</v>
      </c>
      <c r="G187" s="20">
        <v>26</v>
      </c>
      <c r="H187" s="21">
        <v>45798.967557870368</v>
      </c>
      <c r="I187" s="17">
        <v>0</v>
      </c>
      <c r="J187" s="17">
        <v>103</v>
      </c>
      <c r="K187" s="17">
        <v>10</v>
      </c>
      <c r="L187" s="17">
        <v>7</v>
      </c>
    </row>
    <row r="188" spans="1:12" ht="14.4" x14ac:dyDescent="0.3">
      <c r="A188" s="17">
        <v>136</v>
      </c>
      <c r="B188" s="17" t="s">
        <v>5</v>
      </c>
      <c r="C188" s="17" t="s">
        <v>10</v>
      </c>
      <c r="D188" s="17">
        <v>91001</v>
      </c>
      <c r="E188" s="20">
        <v>200025888863</v>
      </c>
      <c r="F188" s="20" t="s">
        <v>31</v>
      </c>
      <c r="G188" s="20">
        <v>26</v>
      </c>
      <c r="H188" s="21">
        <v>45798.967557870368</v>
      </c>
      <c r="I188" s="17">
        <v>2</v>
      </c>
      <c r="J188" s="17">
        <v>104</v>
      </c>
      <c r="K188" s="17">
        <v>11</v>
      </c>
      <c r="L188" s="17">
        <v>7</v>
      </c>
    </row>
    <row r="189" spans="1:12" ht="14.4" x14ac:dyDescent="0.3">
      <c r="A189" s="17">
        <v>137</v>
      </c>
      <c r="B189" s="17" t="s">
        <v>5</v>
      </c>
      <c r="C189" s="17" t="s">
        <v>10</v>
      </c>
      <c r="D189" s="17">
        <v>91001</v>
      </c>
      <c r="E189" s="20">
        <v>200025888863</v>
      </c>
      <c r="F189" s="20" t="s">
        <v>31</v>
      </c>
      <c r="G189" s="20">
        <v>26</v>
      </c>
      <c r="H189" s="21">
        <v>45798.96775462963</v>
      </c>
      <c r="I189" s="17">
        <v>2</v>
      </c>
      <c r="J189" s="17">
        <v>105</v>
      </c>
      <c r="K189" s="17">
        <v>12</v>
      </c>
      <c r="L189" s="17">
        <v>7</v>
      </c>
    </row>
    <row r="190" spans="1:12" ht="14.4" x14ac:dyDescent="0.3">
      <c r="A190" s="17">
        <v>138</v>
      </c>
      <c r="B190" s="17" t="s">
        <v>5</v>
      </c>
      <c r="C190" s="17" t="s">
        <v>10</v>
      </c>
      <c r="D190" s="17">
        <v>91001</v>
      </c>
      <c r="E190" s="20">
        <v>200025888863</v>
      </c>
      <c r="F190" s="20" t="s">
        <v>31</v>
      </c>
      <c r="G190" s="20">
        <v>26</v>
      </c>
      <c r="H190" s="21">
        <v>45798.968043981484</v>
      </c>
      <c r="I190" s="17">
        <v>0</v>
      </c>
      <c r="J190" s="17">
        <v>106</v>
      </c>
      <c r="K190" s="17">
        <v>13</v>
      </c>
      <c r="L190" s="17">
        <v>7</v>
      </c>
    </row>
    <row r="191" spans="1:12" ht="14.4" x14ac:dyDescent="0.3">
      <c r="A191" s="17">
        <v>139</v>
      </c>
      <c r="B191" s="17" t="s">
        <v>5</v>
      </c>
      <c r="C191" s="17" t="s">
        <v>10</v>
      </c>
      <c r="D191" s="17">
        <v>91001</v>
      </c>
      <c r="E191" s="20">
        <v>200025888863</v>
      </c>
      <c r="F191" s="20" t="s">
        <v>31</v>
      </c>
      <c r="G191" s="20">
        <v>26</v>
      </c>
      <c r="H191" s="21">
        <v>45798.968055555553</v>
      </c>
      <c r="I191" s="17">
        <v>4924</v>
      </c>
      <c r="J191" s="17">
        <v>107</v>
      </c>
      <c r="K191" s="17">
        <v>14</v>
      </c>
      <c r="L191" s="17">
        <v>7</v>
      </c>
    </row>
    <row r="192" spans="1:12" ht="14.4" x14ac:dyDescent="0.3">
      <c r="A192" s="17">
        <v>165</v>
      </c>
      <c r="B192" s="17" t="s">
        <v>5</v>
      </c>
      <c r="C192" s="17" t="s">
        <v>10</v>
      </c>
      <c r="D192" s="17">
        <v>91001</v>
      </c>
      <c r="E192" s="20">
        <v>200025888863</v>
      </c>
      <c r="F192" s="20" t="s">
        <v>31</v>
      </c>
      <c r="G192" s="20">
        <v>26</v>
      </c>
      <c r="H192" s="21">
        <v>45799.255231481482</v>
      </c>
      <c r="I192" s="17">
        <v>2</v>
      </c>
      <c r="J192" s="17">
        <v>133</v>
      </c>
      <c r="K192" s="17">
        <v>15</v>
      </c>
      <c r="L192" s="17">
        <v>7</v>
      </c>
    </row>
    <row r="193" spans="1:12" ht="14.4" x14ac:dyDescent="0.3">
      <c r="A193" s="18">
        <v>224</v>
      </c>
      <c r="B193" s="18" t="s">
        <v>5</v>
      </c>
      <c r="C193" s="18" t="s">
        <v>10</v>
      </c>
      <c r="D193" s="18">
        <v>91001</v>
      </c>
      <c r="E193" s="20">
        <v>200025888863</v>
      </c>
      <c r="F193" s="20" t="s">
        <v>31</v>
      </c>
      <c r="G193" s="20">
        <v>26</v>
      </c>
      <c r="H193" s="21">
        <v>45800.380127314813</v>
      </c>
      <c r="I193" s="18">
        <v>0</v>
      </c>
      <c r="J193" s="17">
        <v>192</v>
      </c>
      <c r="K193" s="17">
        <v>16</v>
      </c>
      <c r="L193" s="17">
        <v>7</v>
      </c>
    </row>
    <row r="194" spans="1:12" ht="14.4" x14ac:dyDescent="0.3">
      <c r="A194" s="18">
        <v>225</v>
      </c>
      <c r="B194" s="18" t="s">
        <v>5</v>
      </c>
      <c r="C194" s="18" t="s">
        <v>10</v>
      </c>
      <c r="D194" s="18">
        <v>91001</v>
      </c>
      <c r="E194" s="20">
        <v>200025888863</v>
      </c>
      <c r="F194" s="20" t="s">
        <v>31</v>
      </c>
      <c r="G194" s="20">
        <v>26</v>
      </c>
      <c r="H194" s="21">
        <v>45800.38013888889</v>
      </c>
      <c r="I194" s="18">
        <v>1</v>
      </c>
      <c r="J194" s="17">
        <v>193</v>
      </c>
      <c r="K194" s="17">
        <v>17</v>
      </c>
      <c r="L194" s="17">
        <v>7</v>
      </c>
    </row>
    <row r="195" spans="1:12" ht="14.4" x14ac:dyDescent="0.3">
      <c r="A195" s="12">
        <v>30</v>
      </c>
      <c r="B195" s="13" t="s">
        <v>7</v>
      </c>
      <c r="C195" s="12" t="s">
        <v>12</v>
      </c>
      <c r="D195" s="14">
        <v>93202</v>
      </c>
      <c r="E195" s="15">
        <v>200025888868</v>
      </c>
      <c r="F195" s="15" t="s">
        <v>38</v>
      </c>
      <c r="G195" s="15">
        <v>44</v>
      </c>
      <c r="H195" s="16">
        <v>45798.908206018517</v>
      </c>
      <c r="I195" s="13">
        <v>0</v>
      </c>
      <c r="J195" s="13">
        <v>3</v>
      </c>
      <c r="K195" s="12">
        <v>1</v>
      </c>
      <c r="L195" s="12">
        <v>14</v>
      </c>
    </row>
    <row r="196" spans="1:12" ht="14.4" x14ac:dyDescent="0.3">
      <c r="A196" s="13">
        <v>33</v>
      </c>
      <c r="B196" s="13" t="s">
        <v>7</v>
      </c>
      <c r="C196" s="12" t="s">
        <v>12</v>
      </c>
      <c r="D196" s="14">
        <v>93202</v>
      </c>
      <c r="E196" s="15">
        <v>200025888868</v>
      </c>
      <c r="F196" s="15" t="s">
        <v>38</v>
      </c>
      <c r="G196" s="15">
        <v>44</v>
      </c>
      <c r="H196" s="16">
        <v>45798.945081018515</v>
      </c>
      <c r="I196" s="13">
        <v>0</v>
      </c>
      <c r="J196" s="13">
        <v>6</v>
      </c>
      <c r="K196" s="12">
        <v>2</v>
      </c>
      <c r="L196" s="12">
        <v>14</v>
      </c>
    </row>
    <row r="197" spans="1:12" ht="14.4" x14ac:dyDescent="0.3">
      <c r="A197" s="13">
        <v>34</v>
      </c>
      <c r="B197" s="13" t="s">
        <v>7</v>
      </c>
      <c r="C197" s="12" t="s">
        <v>12</v>
      </c>
      <c r="D197" s="14">
        <v>93202</v>
      </c>
      <c r="E197" s="15">
        <v>200025888868</v>
      </c>
      <c r="F197" s="15" t="s">
        <v>38</v>
      </c>
      <c r="G197" s="15">
        <v>44</v>
      </c>
      <c r="H197" s="16">
        <v>45799.227569444447</v>
      </c>
      <c r="I197" s="13">
        <v>0</v>
      </c>
      <c r="J197" s="13">
        <v>7</v>
      </c>
      <c r="K197" s="12">
        <v>3</v>
      </c>
      <c r="L197" s="12">
        <v>14</v>
      </c>
    </row>
    <row r="198" spans="1:12" ht="14.4" x14ac:dyDescent="0.3">
      <c r="A198" s="13">
        <v>166</v>
      </c>
      <c r="B198" s="12" t="s">
        <v>5</v>
      </c>
      <c r="C198" s="12" t="s">
        <v>10</v>
      </c>
      <c r="D198" s="12">
        <v>91001</v>
      </c>
      <c r="E198" s="15">
        <v>200025888868</v>
      </c>
      <c r="F198" s="15" t="s">
        <v>38</v>
      </c>
      <c r="G198" s="15">
        <v>44</v>
      </c>
      <c r="H198" s="16">
        <v>45799.257881944446</v>
      </c>
      <c r="I198" s="12">
        <v>1</v>
      </c>
      <c r="J198" s="12">
        <v>134</v>
      </c>
      <c r="K198" s="12">
        <v>4</v>
      </c>
      <c r="L198" s="12">
        <v>14</v>
      </c>
    </row>
    <row r="199" spans="1:12" ht="14.4" x14ac:dyDescent="0.3">
      <c r="A199" s="18">
        <v>13</v>
      </c>
      <c r="B199" s="18" t="s">
        <v>6</v>
      </c>
      <c r="C199" s="17" t="s">
        <v>11</v>
      </c>
      <c r="D199" s="18">
        <v>91807</v>
      </c>
      <c r="E199" s="20">
        <v>200025888982</v>
      </c>
      <c r="F199" s="20" t="s">
        <v>18</v>
      </c>
      <c r="G199" s="20">
        <v>6</v>
      </c>
      <c r="H199" s="22">
        <v>45797.813101851854</v>
      </c>
      <c r="I199" s="18">
        <v>31</v>
      </c>
      <c r="J199" s="18">
        <v>1</v>
      </c>
      <c r="K199" s="17">
        <v>1</v>
      </c>
      <c r="L199" s="17">
        <v>1</v>
      </c>
    </row>
    <row r="200" spans="1:12" ht="14.4" x14ac:dyDescent="0.3">
      <c r="A200" s="18">
        <v>94</v>
      </c>
      <c r="B200" s="17" t="s">
        <v>5</v>
      </c>
      <c r="C200" s="17" t="s">
        <v>10</v>
      </c>
      <c r="D200" s="17">
        <v>91001</v>
      </c>
      <c r="E200" s="20">
        <v>200025888982</v>
      </c>
      <c r="F200" s="20" t="s">
        <v>18</v>
      </c>
      <c r="G200" s="20">
        <v>6</v>
      </c>
      <c r="H200" s="21">
        <v>45798.750671296293</v>
      </c>
      <c r="I200" s="17">
        <v>0</v>
      </c>
      <c r="J200" s="17">
        <v>62</v>
      </c>
      <c r="K200" s="17">
        <v>2</v>
      </c>
      <c r="L200" s="17">
        <v>1</v>
      </c>
    </row>
    <row r="201" spans="1:12" ht="14.4" x14ac:dyDescent="0.3">
      <c r="A201" s="18">
        <v>95</v>
      </c>
      <c r="B201" s="17" t="s">
        <v>5</v>
      </c>
      <c r="C201" s="17" t="s">
        <v>10</v>
      </c>
      <c r="D201" s="17">
        <v>91001</v>
      </c>
      <c r="E201" s="20">
        <v>200025888982</v>
      </c>
      <c r="F201" s="20" t="s">
        <v>18</v>
      </c>
      <c r="G201" s="20">
        <v>6</v>
      </c>
      <c r="H201" s="21">
        <v>45798.75068287037</v>
      </c>
      <c r="I201" s="17">
        <v>0</v>
      </c>
      <c r="J201" s="17">
        <v>63</v>
      </c>
      <c r="K201" s="17">
        <v>3</v>
      </c>
      <c r="L201" s="17">
        <v>1</v>
      </c>
    </row>
    <row r="202" spans="1:12" ht="14.4" x14ac:dyDescent="0.3">
      <c r="A202" s="18">
        <v>103</v>
      </c>
      <c r="B202" s="17" t="s">
        <v>5</v>
      </c>
      <c r="C202" s="17" t="s">
        <v>10</v>
      </c>
      <c r="D202" s="17">
        <v>91001</v>
      </c>
      <c r="E202" s="20">
        <v>200025888982</v>
      </c>
      <c r="F202" s="20" t="s">
        <v>18</v>
      </c>
      <c r="G202" s="20">
        <v>6</v>
      </c>
      <c r="H202" s="21">
        <v>45798.807500000003</v>
      </c>
      <c r="I202" s="17">
        <v>2</v>
      </c>
      <c r="J202" s="17">
        <v>71</v>
      </c>
      <c r="K202" s="17">
        <v>4</v>
      </c>
      <c r="L202" s="17">
        <v>1</v>
      </c>
    </row>
    <row r="203" spans="1:12" x14ac:dyDescent="0.35">
      <c r="A203" s="18">
        <v>104</v>
      </c>
      <c r="B203" s="17" t="s">
        <v>5</v>
      </c>
      <c r="C203" s="17" t="s">
        <v>10</v>
      </c>
      <c r="D203" s="17">
        <v>91001</v>
      </c>
      <c r="E203" s="20">
        <v>200025888982</v>
      </c>
      <c r="F203" s="20" t="s">
        <v>18</v>
      </c>
      <c r="G203" s="20">
        <v>6</v>
      </c>
      <c r="H203" s="21">
        <v>45798.807650462964</v>
      </c>
      <c r="I203" s="17">
        <v>2</v>
      </c>
      <c r="J203" s="17">
        <v>72</v>
      </c>
      <c r="K203" s="17">
        <v>5</v>
      </c>
      <c r="L203" s="17">
        <v>1</v>
      </c>
    </row>
    <row r="204" spans="1:12" x14ac:dyDescent="0.35">
      <c r="A204" s="18">
        <v>226</v>
      </c>
      <c r="B204" s="18" t="s">
        <v>5</v>
      </c>
      <c r="C204" s="18" t="s">
        <v>10</v>
      </c>
      <c r="D204" s="18">
        <v>91001</v>
      </c>
      <c r="E204" s="20">
        <v>200025888982</v>
      </c>
      <c r="F204" s="20" t="s">
        <v>18</v>
      </c>
      <c r="G204" s="20">
        <v>6</v>
      </c>
      <c r="H204" s="21">
        <v>45801.237384259257</v>
      </c>
      <c r="I204" s="18">
        <v>0</v>
      </c>
      <c r="J204" s="17">
        <v>194</v>
      </c>
      <c r="K204" s="17">
        <v>6</v>
      </c>
      <c r="L204" s="17">
        <v>1</v>
      </c>
    </row>
    <row r="205" spans="1:12" x14ac:dyDescent="0.35">
      <c r="A205" s="18">
        <v>227</v>
      </c>
      <c r="B205" s="18" t="s">
        <v>5</v>
      </c>
      <c r="C205" s="18" t="s">
        <v>10</v>
      </c>
      <c r="D205" s="18">
        <v>91001</v>
      </c>
      <c r="E205" s="20">
        <v>200025888982</v>
      </c>
      <c r="F205" s="20" t="s">
        <v>18</v>
      </c>
      <c r="G205" s="20">
        <v>6</v>
      </c>
      <c r="H205" s="21">
        <v>45801.237523148149</v>
      </c>
      <c r="I205" s="18">
        <v>1</v>
      </c>
      <c r="J205" s="17">
        <v>195</v>
      </c>
      <c r="K205" s="17">
        <v>7</v>
      </c>
      <c r="L205" s="17">
        <v>1</v>
      </c>
    </row>
    <row r="206" spans="1:12" x14ac:dyDescent="0.35">
      <c r="A206" s="18">
        <v>228</v>
      </c>
      <c r="B206" s="18" t="s">
        <v>5</v>
      </c>
      <c r="C206" s="18" t="s">
        <v>10</v>
      </c>
      <c r="D206" s="18">
        <v>91001</v>
      </c>
      <c r="E206" s="20">
        <v>200025888982</v>
      </c>
      <c r="F206" s="20" t="s">
        <v>18</v>
      </c>
      <c r="G206" s="20">
        <v>6</v>
      </c>
      <c r="H206" s="21">
        <v>45801.237534722219</v>
      </c>
      <c r="I206" s="18">
        <v>1</v>
      </c>
      <c r="J206" s="17">
        <v>196</v>
      </c>
      <c r="K206" s="17">
        <v>8</v>
      </c>
      <c r="L206" s="17">
        <v>1</v>
      </c>
    </row>
    <row r="207" spans="1:12" x14ac:dyDescent="0.35">
      <c r="A207" s="18">
        <v>229</v>
      </c>
      <c r="B207" s="18" t="s">
        <v>5</v>
      </c>
      <c r="C207" s="18" t="s">
        <v>10</v>
      </c>
      <c r="D207" s="18">
        <v>91001</v>
      </c>
      <c r="E207" s="20">
        <v>200025888982</v>
      </c>
      <c r="F207" s="20" t="s">
        <v>18</v>
      </c>
      <c r="G207" s="20">
        <v>6</v>
      </c>
      <c r="H207" s="21">
        <v>45801.239236111112</v>
      </c>
      <c r="I207" s="18">
        <v>0</v>
      </c>
      <c r="J207" s="17">
        <v>197</v>
      </c>
      <c r="K207" s="17">
        <v>9</v>
      </c>
      <c r="L207" s="17">
        <v>1</v>
      </c>
    </row>
    <row r="208" spans="1:12" x14ac:dyDescent="0.35">
      <c r="A208" s="18">
        <v>230</v>
      </c>
      <c r="B208" s="18" t="s">
        <v>5</v>
      </c>
      <c r="C208" s="18" t="s">
        <v>10</v>
      </c>
      <c r="D208" s="18">
        <v>91001</v>
      </c>
      <c r="E208" s="20">
        <v>200025888982</v>
      </c>
      <c r="F208" s="20" t="s">
        <v>18</v>
      </c>
      <c r="G208" s="20">
        <v>6</v>
      </c>
      <c r="H208" s="21">
        <v>45801.31391203704</v>
      </c>
      <c r="I208" s="18">
        <v>1</v>
      </c>
      <c r="J208" s="17">
        <v>198</v>
      </c>
      <c r="K208" s="17">
        <v>10</v>
      </c>
      <c r="L208" s="17">
        <v>1</v>
      </c>
    </row>
  </sheetData>
  <autoFilter ref="A1:N201">
    <sortState ref="A2:N155">
      <sortCondition ref="H1:H155"/>
    </sortState>
  </autoFilter>
  <sortState ref="A2:L155">
    <sortCondition ref="E2:E155"/>
    <sortCondition ref="H2:H155"/>
  </sortState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8"/>
  <sheetViews>
    <sheetView topLeftCell="A7" workbookViewId="0">
      <selection activeCell="Z2" sqref="Z2"/>
    </sheetView>
  </sheetViews>
  <sheetFormatPr defaultColWidth="10.90625" defaultRowHeight="14.5" x14ac:dyDescent="0.35"/>
  <cols>
    <col min="1" max="1" width="4.90625" style="38" customWidth="1"/>
    <col min="2" max="2" width="18.36328125" style="38" customWidth="1"/>
    <col min="3" max="4" width="9.453125" style="38" customWidth="1"/>
    <col min="5" max="5" width="15.54296875" style="39" customWidth="1"/>
    <col min="6" max="6" width="9.36328125" style="39" customWidth="1"/>
    <col min="7" max="7" width="7.08984375" style="39" customWidth="1"/>
    <col min="8" max="8" width="21.453125" style="40" customWidth="1"/>
    <col min="9" max="9" width="7.453125" style="38" customWidth="1"/>
    <col min="10" max="10" width="8.54296875" style="38" customWidth="1"/>
    <col min="11" max="11" width="8.36328125" style="38" customWidth="1"/>
    <col min="12" max="12" width="7.90625" style="38" customWidth="1"/>
  </cols>
  <sheetData>
    <row r="1" spans="1:12" ht="43.5" x14ac:dyDescent="0.35">
      <c r="A1" s="35" t="s">
        <v>0</v>
      </c>
      <c r="B1" s="35" t="s">
        <v>1</v>
      </c>
      <c r="C1" s="35" t="s">
        <v>9</v>
      </c>
      <c r="D1" s="35" t="s">
        <v>8</v>
      </c>
      <c r="E1" s="36" t="s">
        <v>2</v>
      </c>
      <c r="F1" s="36" t="s">
        <v>39</v>
      </c>
      <c r="G1" s="36" t="s">
        <v>40</v>
      </c>
      <c r="H1" s="37" t="s">
        <v>3</v>
      </c>
      <c r="I1" s="35" t="s">
        <v>4</v>
      </c>
      <c r="J1" s="35" t="s">
        <v>13</v>
      </c>
      <c r="K1" s="35" t="s">
        <v>41</v>
      </c>
      <c r="L1" s="35" t="s">
        <v>42</v>
      </c>
    </row>
    <row r="2" spans="1:12" ht="14.4" x14ac:dyDescent="0.3">
      <c r="A2" s="38">
        <v>33</v>
      </c>
      <c r="B2" s="38" t="s">
        <v>5</v>
      </c>
      <c r="C2" s="38" t="s">
        <v>10</v>
      </c>
      <c r="D2" s="38">
        <v>91001</v>
      </c>
      <c r="E2" s="39">
        <v>200025888173</v>
      </c>
      <c r="F2" s="39" t="s">
        <v>17</v>
      </c>
      <c r="G2" s="39">
        <v>34</v>
      </c>
      <c r="H2" s="40">
        <v>45798.247002314813</v>
      </c>
      <c r="I2" s="38">
        <v>0</v>
      </c>
      <c r="J2" s="38">
        <v>1</v>
      </c>
      <c r="K2" s="38">
        <v>1</v>
      </c>
      <c r="L2" s="38">
        <v>3</v>
      </c>
    </row>
    <row r="3" spans="1:12" ht="14.4" x14ac:dyDescent="0.3">
      <c r="A3" s="38">
        <v>34</v>
      </c>
      <c r="B3" s="38" t="s">
        <v>5</v>
      </c>
      <c r="C3" s="38" t="s">
        <v>10</v>
      </c>
      <c r="D3" s="38">
        <v>91001</v>
      </c>
      <c r="E3" s="39">
        <v>200025888173</v>
      </c>
      <c r="F3" s="39" t="s">
        <v>17</v>
      </c>
      <c r="G3" s="39">
        <v>34</v>
      </c>
      <c r="H3" s="40">
        <v>45798.247013888889</v>
      </c>
      <c r="I3" s="38">
        <v>0</v>
      </c>
      <c r="J3" s="38">
        <v>2</v>
      </c>
      <c r="K3" s="38">
        <v>2</v>
      </c>
      <c r="L3" s="38">
        <v>3</v>
      </c>
    </row>
    <row r="4" spans="1:12" ht="14.4" x14ac:dyDescent="0.3">
      <c r="A4" s="38">
        <v>35</v>
      </c>
      <c r="B4" s="38" t="s">
        <v>5</v>
      </c>
      <c r="C4" s="38" t="s">
        <v>10</v>
      </c>
      <c r="D4" s="38">
        <v>91001</v>
      </c>
      <c r="E4" s="39">
        <v>200025888173</v>
      </c>
      <c r="F4" s="39" t="s">
        <v>17</v>
      </c>
      <c r="G4" s="39">
        <v>34</v>
      </c>
      <c r="H4" s="40">
        <v>45798.27275462963</v>
      </c>
      <c r="I4" s="38">
        <v>0</v>
      </c>
      <c r="J4" s="38">
        <v>3</v>
      </c>
      <c r="K4" s="38">
        <v>3</v>
      </c>
      <c r="L4" s="38">
        <v>3</v>
      </c>
    </row>
    <row r="5" spans="1:12" ht="14.4" x14ac:dyDescent="0.3">
      <c r="A5" s="38">
        <v>36</v>
      </c>
      <c r="B5" s="38" t="s">
        <v>5</v>
      </c>
      <c r="C5" s="38" t="s">
        <v>10</v>
      </c>
      <c r="D5" s="38">
        <v>91001</v>
      </c>
      <c r="E5" s="39">
        <v>200025888173</v>
      </c>
      <c r="F5" s="39" t="s">
        <v>17</v>
      </c>
      <c r="G5" s="39">
        <v>34</v>
      </c>
      <c r="H5" s="40">
        <v>45798.302256944444</v>
      </c>
      <c r="I5" s="38">
        <v>0</v>
      </c>
      <c r="J5" s="38">
        <v>4</v>
      </c>
      <c r="K5" s="38">
        <v>4</v>
      </c>
      <c r="L5" s="38">
        <v>3</v>
      </c>
    </row>
    <row r="6" spans="1:12" ht="14.4" x14ac:dyDescent="0.3">
      <c r="A6" s="38">
        <v>37</v>
      </c>
      <c r="B6" s="38" t="s">
        <v>5</v>
      </c>
      <c r="C6" s="38" t="s">
        <v>10</v>
      </c>
      <c r="D6" s="38">
        <v>91001</v>
      </c>
      <c r="E6" s="39">
        <v>200025888173</v>
      </c>
      <c r="F6" s="39" t="s">
        <v>17</v>
      </c>
      <c r="G6" s="39">
        <v>34</v>
      </c>
      <c r="H6" s="40">
        <v>45798.302268518521</v>
      </c>
      <c r="I6" s="38">
        <v>0</v>
      </c>
      <c r="J6" s="38">
        <v>5</v>
      </c>
      <c r="K6" s="38">
        <v>5</v>
      </c>
      <c r="L6" s="38">
        <v>3</v>
      </c>
    </row>
    <row r="7" spans="1:12" ht="14.4" x14ac:dyDescent="0.3">
      <c r="A7" s="38">
        <v>38</v>
      </c>
      <c r="B7" s="38" t="s">
        <v>5</v>
      </c>
      <c r="C7" s="38" t="s">
        <v>10</v>
      </c>
      <c r="D7" s="38">
        <v>91001</v>
      </c>
      <c r="E7" s="39">
        <v>200025888173</v>
      </c>
      <c r="F7" s="39" t="s">
        <v>17</v>
      </c>
      <c r="G7" s="39">
        <v>34</v>
      </c>
      <c r="H7" s="40">
        <v>45798.30228009259</v>
      </c>
      <c r="I7" s="38">
        <v>1</v>
      </c>
      <c r="J7" s="38">
        <v>6</v>
      </c>
      <c r="K7" s="38">
        <v>6</v>
      </c>
      <c r="L7" s="38">
        <v>3</v>
      </c>
    </row>
    <row r="8" spans="1:12" ht="14.4" x14ac:dyDescent="0.3">
      <c r="A8" s="38">
        <v>39</v>
      </c>
      <c r="B8" s="38" t="s">
        <v>5</v>
      </c>
      <c r="C8" s="38" t="s">
        <v>10</v>
      </c>
      <c r="D8" s="38">
        <v>91001</v>
      </c>
      <c r="E8" s="39">
        <v>200025888173</v>
      </c>
      <c r="F8" s="39" t="s">
        <v>17</v>
      </c>
      <c r="G8" s="39">
        <v>34</v>
      </c>
      <c r="H8" s="40">
        <v>45798.302534722221</v>
      </c>
      <c r="I8" s="38">
        <v>1</v>
      </c>
      <c r="J8" s="38">
        <v>7</v>
      </c>
      <c r="K8" s="38">
        <v>7</v>
      </c>
      <c r="L8" s="38">
        <v>3</v>
      </c>
    </row>
    <row r="9" spans="1:12" ht="14.4" x14ac:dyDescent="0.3">
      <c r="A9" s="38">
        <v>40</v>
      </c>
      <c r="B9" s="38" t="s">
        <v>5</v>
      </c>
      <c r="C9" s="38" t="s">
        <v>10</v>
      </c>
      <c r="D9" s="38">
        <v>91001</v>
      </c>
      <c r="E9" s="39">
        <v>200025888173</v>
      </c>
      <c r="F9" s="39" t="s">
        <v>17</v>
      </c>
      <c r="G9" s="39">
        <v>34</v>
      </c>
      <c r="H9" s="40">
        <v>45798.302546296298</v>
      </c>
      <c r="I9" s="38">
        <v>0</v>
      </c>
      <c r="J9" s="38">
        <v>8</v>
      </c>
      <c r="K9" s="38">
        <v>8</v>
      </c>
      <c r="L9" s="38">
        <v>3</v>
      </c>
    </row>
    <row r="10" spans="1:12" ht="14.4" x14ac:dyDescent="0.3">
      <c r="A10" s="38">
        <v>41</v>
      </c>
      <c r="B10" s="38" t="s">
        <v>5</v>
      </c>
      <c r="C10" s="38" t="s">
        <v>10</v>
      </c>
      <c r="D10" s="38">
        <v>91001</v>
      </c>
      <c r="E10" s="39">
        <v>200025888173</v>
      </c>
      <c r="F10" s="39" t="s">
        <v>17</v>
      </c>
      <c r="G10" s="39">
        <v>34</v>
      </c>
      <c r="H10" s="40">
        <v>45798.32234953704</v>
      </c>
      <c r="I10" s="38">
        <v>0</v>
      </c>
      <c r="J10" s="38">
        <v>9</v>
      </c>
      <c r="K10" s="38">
        <v>9</v>
      </c>
      <c r="L10" s="38">
        <v>3</v>
      </c>
    </row>
    <row r="11" spans="1:12" ht="14.4" x14ac:dyDescent="0.3">
      <c r="A11" s="38">
        <v>42</v>
      </c>
      <c r="B11" s="38" t="s">
        <v>5</v>
      </c>
      <c r="C11" s="38" t="s">
        <v>10</v>
      </c>
      <c r="D11" s="38">
        <v>91001</v>
      </c>
      <c r="E11" s="39">
        <v>200025888173</v>
      </c>
      <c r="F11" s="39" t="s">
        <v>17</v>
      </c>
      <c r="G11" s="39">
        <v>34</v>
      </c>
      <c r="H11" s="40">
        <v>45798.367731481485</v>
      </c>
      <c r="I11" s="38">
        <v>0</v>
      </c>
      <c r="J11" s="38">
        <v>10</v>
      </c>
      <c r="K11" s="38">
        <v>10</v>
      </c>
      <c r="L11" s="38">
        <v>3</v>
      </c>
    </row>
    <row r="12" spans="1:12" ht="14.4" x14ac:dyDescent="0.3">
      <c r="A12" s="38">
        <v>43</v>
      </c>
      <c r="B12" s="38" t="s">
        <v>5</v>
      </c>
      <c r="C12" s="38" t="s">
        <v>10</v>
      </c>
      <c r="D12" s="38">
        <v>91001</v>
      </c>
      <c r="E12" s="39">
        <v>200025888824</v>
      </c>
      <c r="F12" s="39" t="s">
        <v>35</v>
      </c>
      <c r="G12" s="39">
        <v>32</v>
      </c>
      <c r="H12" s="40">
        <v>45798.453252314815</v>
      </c>
      <c r="I12" s="38">
        <v>0</v>
      </c>
      <c r="J12" s="38">
        <v>11</v>
      </c>
      <c r="K12" s="38">
        <v>1</v>
      </c>
      <c r="L12" s="38">
        <v>4</v>
      </c>
    </row>
    <row r="13" spans="1:12" ht="14.4" x14ac:dyDescent="0.3">
      <c r="A13" s="38">
        <v>44</v>
      </c>
      <c r="B13" s="38" t="s">
        <v>5</v>
      </c>
      <c r="C13" s="38" t="s">
        <v>10</v>
      </c>
      <c r="D13" s="38">
        <v>91001</v>
      </c>
      <c r="E13" s="39">
        <v>200025888824</v>
      </c>
      <c r="F13" s="39" t="s">
        <v>35</v>
      </c>
      <c r="G13" s="39">
        <v>32</v>
      </c>
      <c r="H13" s="40">
        <v>45798.453263888892</v>
      </c>
      <c r="I13" s="38">
        <v>0</v>
      </c>
      <c r="J13" s="38">
        <v>12</v>
      </c>
      <c r="K13" s="38">
        <v>2</v>
      </c>
      <c r="L13" s="38">
        <v>4</v>
      </c>
    </row>
    <row r="14" spans="1:12" ht="14.4" x14ac:dyDescent="0.3">
      <c r="A14" s="38">
        <v>45</v>
      </c>
      <c r="B14" s="38" t="s">
        <v>5</v>
      </c>
      <c r="C14" s="38" t="s">
        <v>10</v>
      </c>
      <c r="D14" s="38">
        <v>91001</v>
      </c>
      <c r="E14" s="39">
        <v>200025888824</v>
      </c>
      <c r="F14" s="39" t="s">
        <v>35</v>
      </c>
      <c r="G14" s="39">
        <v>32</v>
      </c>
      <c r="H14" s="40">
        <v>45798.454606481479</v>
      </c>
      <c r="I14" s="38">
        <v>1</v>
      </c>
      <c r="J14" s="38">
        <v>13</v>
      </c>
      <c r="K14" s="38">
        <v>3</v>
      </c>
      <c r="L14" s="38">
        <v>4</v>
      </c>
    </row>
    <row r="15" spans="1:12" ht="14.4" x14ac:dyDescent="0.3">
      <c r="A15" s="38">
        <v>46</v>
      </c>
      <c r="B15" s="38" t="s">
        <v>5</v>
      </c>
      <c r="C15" s="38" t="s">
        <v>10</v>
      </c>
      <c r="D15" s="38">
        <v>91001</v>
      </c>
      <c r="E15" s="39">
        <v>200025888824</v>
      </c>
      <c r="F15" s="39" t="s">
        <v>35</v>
      </c>
      <c r="G15" s="39">
        <v>32</v>
      </c>
      <c r="H15" s="40">
        <v>45798.454618055555</v>
      </c>
      <c r="I15" s="38">
        <v>0</v>
      </c>
      <c r="J15" s="38">
        <v>14</v>
      </c>
      <c r="K15" s="38">
        <v>4</v>
      </c>
      <c r="L15" s="38">
        <v>4</v>
      </c>
    </row>
    <row r="16" spans="1:12" ht="14.4" x14ac:dyDescent="0.3">
      <c r="A16" s="38">
        <v>47</v>
      </c>
      <c r="B16" s="38" t="s">
        <v>5</v>
      </c>
      <c r="C16" s="38" t="s">
        <v>10</v>
      </c>
      <c r="D16" s="38">
        <v>91001</v>
      </c>
      <c r="E16" s="39">
        <v>200025888824</v>
      </c>
      <c r="F16" s="39" t="s">
        <v>35</v>
      </c>
      <c r="G16" s="39">
        <v>32</v>
      </c>
      <c r="H16" s="40">
        <v>45798.503449074073</v>
      </c>
      <c r="I16" s="38">
        <v>715</v>
      </c>
      <c r="J16" s="38">
        <v>15</v>
      </c>
      <c r="K16" s="38">
        <v>5</v>
      </c>
      <c r="L16" s="38">
        <v>4</v>
      </c>
    </row>
    <row r="17" spans="1:12" ht="14.4" x14ac:dyDescent="0.3">
      <c r="A17" s="38">
        <v>48</v>
      </c>
      <c r="B17" s="38" t="s">
        <v>5</v>
      </c>
      <c r="C17" s="38" t="s">
        <v>10</v>
      </c>
      <c r="D17" s="38">
        <v>91001</v>
      </c>
      <c r="E17" s="39">
        <v>200025888137</v>
      </c>
      <c r="F17" s="39" t="s">
        <v>15</v>
      </c>
      <c r="G17" s="39">
        <v>46</v>
      </c>
      <c r="H17" s="40">
        <v>45798.511724537035</v>
      </c>
      <c r="I17" s="38">
        <v>2</v>
      </c>
      <c r="J17" s="38">
        <v>16</v>
      </c>
      <c r="K17" s="38">
        <v>2</v>
      </c>
      <c r="L17" s="38">
        <v>2</v>
      </c>
    </row>
    <row r="18" spans="1:12" ht="14.4" x14ac:dyDescent="0.3">
      <c r="A18" s="38">
        <v>49</v>
      </c>
      <c r="B18" s="38" t="s">
        <v>5</v>
      </c>
      <c r="C18" s="38" t="s">
        <v>10</v>
      </c>
      <c r="D18" s="38">
        <v>91001</v>
      </c>
      <c r="E18" s="39">
        <v>200025888137</v>
      </c>
      <c r="F18" s="39" t="s">
        <v>15</v>
      </c>
      <c r="G18" s="39">
        <v>46</v>
      </c>
      <c r="H18" s="40">
        <v>45798.511944444443</v>
      </c>
      <c r="I18" s="38">
        <v>3</v>
      </c>
      <c r="J18" s="38">
        <v>17</v>
      </c>
      <c r="K18" s="38">
        <v>3</v>
      </c>
      <c r="L18" s="38">
        <v>2</v>
      </c>
    </row>
    <row r="19" spans="1:12" ht="14.4" x14ac:dyDescent="0.3">
      <c r="A19" s="38">
        <v>50</v>
      </c>
      <c r="B19" s="38" t="s">
        <v>5</v>
      </c>
      <c r="C19" s="38" t="s">
        <v>10</v>
      </c>
      <c r="D19" s="38">
        <v>91001</v>
      </c>
      <c r="E19" s="39">
        <v>200025888137</v>
      </c>
      <c r="F19" s="39" t="s">
        <v>15</v>
      </c>
      <c r="G19" s="39">
        <v>46</v>
      </c>
      <c r="H19" s="40">
        <v>45798.553657407407</v>
      </c>
      <c r="I19" s="38">
        <v>0</v>
      </c>
      <c r="J19" s="38">
        <v>18</v>
      </c>
      <c r="K19" s="38">
        <v>4</v>
      </c>
      <c r="L19" s="38">
        <v>2</v>
      </c>
    </row>
    <row r="20" spans="1:12" ht="14.4" x14ac:dyDescent="0.3">
      <c r="A20" s="38">
        <v>51</v>
      </c>
      <c r="B20" s="38" t="s">
        <v>5</v>
      </c>
      <c r="C20" s="38" t="s">
        <v>10</v>
      </c>
      <c r="D20" s="38">
        <v>91001</v>
      </c>
      <c r="E20" s="39">
        <v>200025888137</v>
      </c>
      <c r="F20" s="39" t="s">
        <v>15</v>
      </c>
      <c r="G20" s="39">
        <v>46</v>
      </c>
      <c r="H20" s="40">
        <v>45798.553668981483</v>
      </c>
      <c r="I20" s="38">
        <v>0</v>
      </c>
      <c r="J20" s="38">
        <v>19</v>
      </c>
      <c r="K20" s="38">
        <v>5</v>
      </c>
      <c r="L20" s="38">
        <v>2</v>
      </c>
    </row>
    <row r="21" spans="1:12" x14ac:dyDescent="0.35">
      <c r="A21" s="38">
        <v>52</v>
      </c>
      <c r="B21" s="38" t="s">
        <v>5</v>
      </c>
      <c r="C21" s="38" t="s">
        <v>10</v>
      </c>
      <c r="D21" s="38">
        <v>91001</v>
      </c>
      <c r="E21" s="39">
        <v>200025888137</v>
      </c>
      <c r="F21" s="39" t="s">
        <v>15</v>
      </c>
      <c r="G21" s="39">
        <v>46</v>
      </c>
      <c r="H21" s="40">
        <v>45798.55369212963</v>
      </c>
      <c r="I21" s="38">
        <v>0</v>
      </c>
      <c r="J21" s="38">
        <v>20</v>
      </c>
      <c r="K21" s="38">
        <v>6</v>
      </c>
      <c r="L21" s="38">
        <v>2</v>
      </c>
    </row>
    <row r="22" spans="1:12" x14ac:dyDescent="0.35">
      <c r="A22" s="38">
        <v>53</v>
      </c>
      <c r="B22" s="38" t="s">
        <v>5</v>
      </c>
      <c r="C22" s="38" t="s">
        <v>10</v>
      </c>
      <c r="D22" s="38">
        <v>91001</v>
      </c>
      <c r="E22" s="39">
        <v>200025888137</v>
      </c>
      <c r="F22" s="39" t="s">
        <v>15</v>
      </c>
      <c r="G22" s="39">
        <v>46</v>
      </c>
      <c r="H22" s="40">
        <v>45798.589317129627</v>
      </c>
      <c r="I22" s="38">
        <v>1</v>
      </c>
      <c r="J22" s="38">
        <v>21</v>
      </c>
      <c r="K22" s="38">
        <v>7</v>
      </c>
      <c r="L22" s="38">
        <v>2</v>
      </c>
    </row>
    <row r="23" spans="1:12" x14ac:dyDescent="0.35">
      <c r="A23" s="38">
        <v>54</v>
      </c>
      <c r="B23" s="38" t="s">
        <v>5</v>
      </c>
      <c r="C23" s="38" t="s">
        <v>10</v>
      </c>
      <c r="D23" s="38">
        <v>91001</v>
      </c>
      <c r="E23" s="39">
        <v>200025888137</v>
      </c>
      <c r="F23" s="39" t="s">
        <v>15</v>
      </c>
      <c r="G23" s="39">
        <v>46</v>
      </c>
      <c r="H23" s="40">
        <v>45798.589328703703</v>
      </c>
      <c r="I23" s="38">
        <v>1</v>
      </c>
      <c r="J23" s="38">
        <v>22</v>
      </c>
      <c r="K23" s="38">
        <v>8</v>
      </c>
      <c r="L23" s="38">
        <v>2</v>
      </c>
    </row>
    <row r="24" spans="1:12" x14ac:dyDescent="0.35">
      <c r="A24" s="38">
        <v>55</v>
      </c>
      <c r="B24" s="38" t="s">
        <v>5</v>
      </c>
      <c r="C24" s="38" t="s">
        <v>10</v>
      </c>
      <c r="D24" s="38">
        <v>91001</v>
      </c>
      <c r="E24" s="39">
        <v>200025888137</v>
      </c>
      <c r="F24" s="39" t="s">
        <v>15</v>
      </c>
      <c r="G24" s="39">
        <v>46</v>
      </c>
      <c r="H24" s="40">
        <v>45798.60359953704</v>
      </c>
      <c r="I24" s="38">
        <v>1</v>
      </c>
      <c r="J24" s="38">
        <v>23</v>
      </c>
      <c r="K24" s="38">
        <v>9</v>
      </c>
      <c r="L24" s="38">
        <v>2</v>
      </c>
    </row>
    <row r="25" spans="1:12" x14ac:dyDescent="0.35">
      <c r="A25" s="38">
        <v>56</v>
      </c>
      <c r="B25" s="38" t="s">
        <v>5</v>
      </c>
      <c r="C25" s="38" t="s">
        <v>10</v>
      </c>
      <c r="D25" s="38">
        <v>91001</v>
      </c>
      <c r="E25" s="39">
        <v>200025888137</v>
      </c>
      <c r="F25" s="39" t="s">
        <v>15</v>
      </c>
      <c r="G25" s="39">
        <v>46</v>
      </c>
      <c r="H25" s="40">
        <v>45798.60361111111</v>
      </c>
      <c r="I25" s="38">
        <v>1</v>
      </c>
      <c r="J25" s="38">
        <v>24</v>
      </c>
      <c r="K25" s="38">
        <v>10</v>
      </c>
      <c r="L25" s="38">
        <v>2</v>
      </c>
    </row>
    <row r="26" spans="1:12" x14ac:dyDescent="0.35">
      <c r="A26" s="38">
        <v>57</v>
      </c>
      <c r="B26" s="38" t="s">
        <v>5</v>
      </c>
      <c r="C26" s="38" t="s">
        <v>10</v>
      </c>
      <c r="D26" s="38">
        <v>91001</v>
      </c>
      <c r="E26" s="39">
        <v>200025888137</v>
      </c>
      <c r="F26" s="39" t="s">
        <v>15</v>
      </c>
      <c r="G26" s="39">
        <v>46</v>
      </c>
      <c r="H26" s="40">
        <v>45798.603773148148</v>
      </c>
      <c r="I26" s="38">
        <v>1</v>
      </c>
      <c r="J26" s="38">
        <v>25</v>
      </c>
      <c r="K26" s="38">
        <v>11</v>
      </c>
      <c r="L26" s="38">
        <v>2</v>
      </c>
    </row>
    <row r="27" spans="1:12" x14ac:dyDescent="0.35">
      <c r="A27" s="38">
        <v>58</v>
      </c>
      <c r="B27" s="38" t="s">
        <v>5</v>
      </c>
      <c r="C27" s="38" t="s">
        <v>10</v>
      </c>
      <c r="D27" s="38">
        <v>91001</v>
      </c>
      <c r="E27" s="39">
        <v>200025888137</v>
      </c>
      <c r="F27" s="39" t="s">
        <v>15</v>
      </c>
      <c r="G27" s="39">
        <v>46</v>
      </c>
      <c r="H27" s="40">
        <v>45798.604270833333</v>
      </c>
      <c r="I27" s="38">
        <v>0</v>
      </c>
      <c r="J27" s="38">
        <v>26</v>
      </c>
      <c r="K27" s="38">
        <v>12</v>
      </c>
      <c r="L27" s="38">
        <v>2</v>
      </c>
    </row>
    <row r="28" spans="1:12" x14ac:dyDescent="0.35">
      <c r="A28" s="38">
        <v>59</v>
      </c>
      <c r="B28" s="38" t="s">
        <v>5</v>
      </c>
      <c r="C28" s="38" t="s">
        <v>10</v>
      </c>
      <c r="D28" s="38">
        <v>91001</v>
      </c>
      <c r="E28" s="39">
        <v>200025888137</v>
      </c>
      <c r="F28" s="39" t="s">
        <v>15</v>
      </c>
      <c r="G28" s="39">
        <v>46</v>
      </c>
      <c r="H28" s="40">
        <v>45798.604409722226</v>
      </c>
      <c r="I28" s="38">
        <v>0</v>
      </c>
      <c r="J28" s="38">
        <v>27</v>
      </c>
      <c r="K28" s="38">
        <v>13</v>
      </c>
      <c r="L28" s="38">
        <v>2</v>
      </c>
    </row>
    <row r="29" spans="1:12" x14ac:dyDescent="0.35">
      <c r="A29" s="38">
        <v>60</v>
      </c>
      <c r="B29" s="38" t="s">
        <v>5</v>
      </c>
      <c r="C29" s="38" t="s">
        <v>10</v>
      </c>
      <c r="D29" s="38">
        <v>91001</v>
      </c>
      <c r="E29" s="39">
        <v>200025888137</v>
      </c>
      <c r="F29" s="39" t="s">
        <v>15</v>
      </c>
      <c r="G29" s="39">
        <v>46</v>
      </c>
      <c r="H29" s="40">
        <v>45798.604421296295</v>
      </c>
      <c r="I29" s="38">
        <v>1</v>
      </c>
      <c r="J29" s="38">
        <v>28</v>
      </c>
      <c r="K29" s="38">
        <v>14</v>
      </c>
      <c r="L29" s="38">
        <v>2</v>
      </c>
    </row>
    <row r="30" spans="1:12" x14ac:dyDescent="0.35">
      <c r="A30" s="38">
        <v>61</v>
      </c>
      <c r="B30" s="38" t="s">
        <v>5</v>
      </c>
      <c r="C30" s="38" t="s">
        <v>10</v>
      </c>
      <c r="D30" s="38">
        <v>91001</v>
      </c>
      <c r="E30" s="39">
        <v>200025888137</v>
      </c>
      <c r="F30" s="39" t="s">
        <v>15</v>
      </c>
      <c r="G30" s="39">
        <v>46</v>
      </c>
      <c r="H30" s="40">
        <v>45798.605509259258</v>
      </c>
      <c r="I30" s="38">
        <v>1</v>
      </c>
      <c r="J30" s="38">
        <v>29</v>
      </c>
      <c r="K30" s="38">
        <v>15</v>
      </c>
      <c r="L30" s="38">
        <v>2</v>
      </c>
    </row>
    <row r="31" spans="1:12" x14ac:dyDescent="0.35">
      <c r="A31" s="38">
        <v>62</v>
      </c>
      <c r="B31" s="38" t="s">
        <v>5</v>
      </c>
      <c r="C31" s="38" t="s">
        <v>10</v>
      </c>
      <c r="D31" s="38">
        <v>91001</v>
      </c>
      <c r="E31" s="39">
        <v>200025888137</v>
      </c>
      <c r="F31" s="39" t="s">
        <v>15</v>
      </c>
      <c r="G31" s="39">
        <v>46</v>
      </c>
      <c r="H31" s="40">
        <v>45798.605636574073</v>
      </c>
      <c r="I31" s="38">
        <v>0</v>
      </c>
      <c r="J31" s="38">
        <v>30</v>
      </c>
      <c r="K31" s="38">
        <v>16</v>
      </c>
      <c r="L31" s="38">
        <v>2</v>
      </c>
    </row>
    <row r="32" spans="1:12" x14ac:dyDescent="0.35">
      <c r="A32" s="38">
        <v>63</v>
      </c>
      <c r="B32" s="38" t="s">
        <v>5</v>
      </c>
      <c r="C32" s="38" t="s">
        <v>10</v>
      </c>
      <c r="D32" s="38">
        <v>91001</v>
      </c>
      <c r="E32" s="39">
        <v>200025888137</v>
      </c>
      <c r="F32" s="39" t="s">
        <v>15</v>
      </c>
      <c r="G32" s="39">
        <v>46</v>
      </c>
      <c r="H32" s="40">
        <v>45798.60564814815</v>
      </c>
      <c r="I32" s="38">
        <v>12</v>
      </c>
      <c r="J32" s="38">
        <v>31</v>
      </c>
      <c r="K32" s="38">
        <v>17</v>
      </c>
      <c r="L32" s="38">
        <v>2</v>
      </c>
    </row>
    <row r="33" spans="1:12" x14ac:dyDescent="0.35">
      <c r="A33" s="38">
        <v>64</v>
      </c>
      <c r="B33" s="38" t="s">
        <v>5</v>
      </c>
      <c r="C33" s="38" t="s">
        <v>10</v>
      </c>
      <c r="D33" s="38">
        <v>91001</v>
      </c>
      <c r="E33" s="39">
        <v>200025888137</v>
      </c>
      <c r="F33" s="39" t="s">
        <v>15</v>
      </c>
      <c r="G33" s="39">
        <v>46</v>
      </c>
      <c r="H33" s="40">
        <v>45798.606053240743</v>
      </c>
      <c r="I33" s="38">
        <v>1</v>
      </c>
      <c r="J33" s="38">
        <v>32</v>
      </c>
      <c r="K33" s="38">
        <v>18</v>
      </c>
      <c r="L33" s="38">
        <v>2</v>
      </c>
    </row>
    <row r="34" spans="1:12" x14ac:dyDescent="0.35">
      <c r="A34" s="38">
        <v>65</v>
      </c>
      <c r="B34" s="38" t="s">
        <v>5</v>
      </c>
      <c r="C34" s="38" t="s">
        <v>10</v>
      </c>
      <c r="D34" s="38">
        <v>91001</v>
      </c>
      <c r="E34" s="39">
        <v>200025888654</v>
      </c>
      <c r="F34" s="39" t="s">
        <v>14</v>
      </c>
      <c r="G34" s="39">
        <v>1</v>
      </c>
      <c r="H34" s="40">
        <v>45798.654340277775</v>
      </c>
      <c r="I34" s="38">
        <v>0</v>
      </c>
      <c r="J34" s="38">
        <v>33</v>
      </c>
      <c r="K34" s="38">
        <v>1</v>
      </c>
      <c r="L34" s="38">
        <v>6</v>
      </c>
    </row>
    <row r="35" spans="1:12" x14ac:dyDescent="0.35">
      <c r="A35" s="38">
        <v>66</v>
      </c>
      <c r="B35" s="38" t="s">
        <v>5</v>
      </c>
      <c r="C35" s="38" t="s">
        <v>10</v>
      </c>
      <c r="D35" s="38">
        <v>91001</v>
      </c>
      <c r="E35" s="39">
        <v>200025888654</v>
      </c>
      <c r="F35" s="39" t="s">
        <v>14</v>
      </c>
      <c r="G35" s="39">
        <v>1</v>
      </c>
      <c r="H35" s="40">
        <v>45798.654351851852</v>
      </c>
      <c r="I35" s="38">
        <v>0</v>
      </c>
      <c r="J35" s="38">
        <v>34</v>
      </c>
      <c r="K35" s="38">
        <v>2</v>
      </c>
      <c r="L35" s="38">
        <v>6</v>
      </c>
    </row>
    <row r="36" spans="1:12" x14ac:dyDescent="0.35">
      <c r="A36" s="38">
        <v>67</v>
      </c>
      <c r="B36" s="38" t="s">
        <v>5</v>
      </c>
      <c r="C36" s="38" t="s">
        <v>10</v>
      </c>
      <c r="D36" s="38">
        <v>91001</v>
      </c>
      <c r="E36" s="39">
        <v>200025888654</v>
      </c>
      <c r="F36" s="39" t="s">
        <v>14</v>
      </c>
      <c r="G36" s="39">
        <v>1</v>
      </c>
      <c r="H36" s="40">
        <v>45798.654363425929</v>
      </c>
      <c r="I36" s="38">
        <v>31</v>
      </c>
      <c r="J36" s="38">
        <v>35</v>
      </c>
      <c r="K36" s="38">
        <v>3</v>
      </c>
      <c r="L36" s="38">
        <v>6</v>
      </c>
    </row>
    <row r="37" spans="1:12" x14ac:dyDescent="0.35">
      <c r="A37" s="38">
        <v>68</v>
      </c>
      <c r="B37" s="38" t="s">
        <v>5</v>
      </c>
      <c r="C37" s="38" t="s">
        <v>10</v>
      </c>
      <c r="D37" s="38">
        <v>91001</v>
      </c>
      <c r="E37" s="39">
        <v>200025888654</v>
      </c>
      <c r="F37" s="39" t="s">
        <v>14</v>
      </c>
      <c r="G37" s="39">
        <v>1</v>
      </c>
      <c r="H37" s="40">
        <v>45798.655798611115</v>
      </c>
      <c r="I37" s="38">
        <v>1</v>
      </c>
      <c r="J37" s="38">
        <v>36</v>
      </c>
      <c r="K37" s="38">
        <v>4</v>
      </c>
      <c r="L37" s="38">
        <v>6</v>
      </c>
    </row>
    <row r="38" spans="1:12" x14ac:dyDescent="0.35">
      <c r="A38" s="38">
        <v>69</v>
      </c>
      <c r="B38" s="38" t="s">
        <v>5</v>
      </c>
      <c r="C38" s="38" t="s">
        <v>10</v>
      </c>
      <c r="D38" s="38">
        <v>91001</v>
      </c>
      <c r="E38" s="39">
        <v>200025888654</v>
      </c>
      <c r="F38" s="39" t="s">
        <v>14</v>
      </c>
      <c r="G38" s="39">
        <v>1</v>
      </c>
      <c r="H38" s="40">
        <v>45798.655821759261</v>
      </c>
      <c r="I38" s="38">
        <v>1</v>
      </c>
      <c r="J38" s="38">
        <v>37</v>
      </c>
      <c r="K38" s="38">
        <v>5</v>
      </c>
      <c r="L38" s="38">
        <v>6</v>
      </c>
    </row>
    <row r="39" spans="1:12" x14ac:dyDescent="0.35">
      <c r="A39" s="38">
        <v>70</v>
      </c>
      <c r="B39" s="38" t="s">
        <v>5</v>
      </c>
      <c r="C39" s="38" t="s">
        <v>10</v>
      </c>
      <c r="D39" s="38">
        <v>91001</v>
      </c>
      <c r="E39" s="39">
        <v>200025888654</v>
      </c>
      <c r="F39" s="39" t="s">
        <v>14</v>
      </c>
      <c r="G39" s="39">
        <v>1</v>
      </c>
      <c r="H39" s="40">
        <v>45798.655833333331</v>
      </c>
      <c r="I39" s="38">
        <v>0</v>
      </c>
      <c r="J39" s="38">
        <v>38</v>
      </c>
      <c r="K39" s="38">
        <v>6</v>
      </c>
      <c r="L39" s="38">
        <v>6</v>
      </c>
    </row>
    <row r="40" spans="1:12" x14ac:dyDescent="0.35">
      <c r="A40" s="38">
        <v>71</v>
      </c>
      <c r="B40" s="38" t="s">
        <v>5</v>
      </c>
      <c r="C40" s="38" t="s">
        <v>10</v>
      </c>
      <c r="D40" s="38">
        <v>91001</v>
      </c>
      <c r="E40" s="39">
        <v>200025888654</v>
      </c>
      <c r="F40" s="39" t="s">
        <v>14</v>
      </c>
      <c r="G40" s="39">
        <v>1</v>
      </c>
      <c r="H40" s="40">
        <v>45798.655844907407</v>
      </c>
      <c r="I40" s="38">
        <v>0</v>
      </c>
      <c r="J40" s="38">
        <v>39</v>
      </c>
      <c r="K40" s="38">
        <v>7</v>
      </c>
      <c r="L40" s="38">
        <v>6</v>
      </c>
    </row>
    <row r="41" spans="1:12" x14ac:dyDescent="0.35">
      <c r="A41" s="38">
        <v>72</v>
      </c>
      <c r="B41" s="38" t="s">
        <v>5</v>
      </c>
      <c r="C41" s="38" t="s">
        <v>10</v>
      </c>
      <c r="D41" s="38">
        <v>91001</v>
      </c>
      <c r="E41" s="39">
        <v>200025888654</v>
      </c>
      <c r="F41" s="39" t="s">
        <v>14</v>
      </c>
      <c r="G41" s="39">
        <v>1</v>
      </c>
      <c r="H41" s="40">
        <v>45798.655844907407</v>
      </c>
      <c r="I41" s="38">
        <v>1</v>
      </c>
      <c r="J41" s="38">
        <v>40</v>
      </c>
      <c r="K41" s="38">
        <v>8</v>
      </c>
      <c r="L41" s="38">
        <v>6</v>
      </c>
    </row>
    <row r="42" spans="1:12" x14ac:dyDescent="0.35">
      <c r="A42" s="38">
        <v>73</v>
      </c>
      <c r="B42" s="38" t="s">
        <v>5</v>
      </c>
      <c r="C42" s="38" t="s">
        <v>10</v>
      </c>
      <c r="D42" s="38">
        <v>91001</v>
      </c>
      <c r="E42" s="39">
        <v>200025888654</v>
      </c>
      <c r="F42" s="39" t="s">
        <v>14</v>
      </c>
      <c r="G42" s="39">
        <v>1</v>
      </c>
      <c r="H42" s="40">
        <v>45798.6559375</v>
      </c>
      <c r="I42" s="38">
        <v>1</v>
      </c>
      <c r="J42" s="38">
        <v>41</v>
      </c>
      <c r="K42" s="38">
        <v>9</v>
      </c>
      <c r="L42" s="38">
        <v>6</v>
      </c>
    </row>
    <row r="43" spans="1:12" x14ac:dyDescent="0.35">
      <c r="A43" s="38">
        <v>74</v>
      </c>
      <c r="B43" s="38" t="s">
        <v>5</v>
      </c>
      <c r="C43" s="38" t="s">
        <v>10</v>
      </c>
      <c r="D43" s="38">
        <v>91001</v>
      </c>
      <c r="E43" s="39">
        <v>200025888137</v>
      </c>
      <c r="F43" s="39" t="s">
        <v>15</v>
      </c>
      <c r="G43" s="39">
        <v>46</v>
      </c>
      <c r="H43" s="40">
        <v>45798.675671296296</v>
      </c>
      <c r="I43" s="38">
        <v>1</v>
      </c>
      <c r="J43" s="38">
        <v>42</v>
      </c>
      <c r="K43" s="38">
        <v>19</v>
      </c>
      <c r="L43" s="38">
        <v>2</v>
      </c>
    </row>
    <row r="44" spans="1:12" x14ac:dyDescent="0.35">
      <c r="A44" s="38">
        <v>75</v>
      </c>
      <c r="B44" s="38" t="s">
        <v>5</v>
      </c>
      <c r="C44" s="38" t="s">
        <v>10</v>
      </c>
      <c r="D44" s="38">
        <v>91001</v>
      </c>
      <c r="E44" s="39">
        <v>200025888137</v>
      </c>
      <c r="F44" s="39" t="s">
        <v>15</v>
      </c>
      <c r="G44" s="39">
        <v>46</v>
      </c>
      <c r="H44" s="40">
        <v>45798.675682870373</v>
      </c>
      <c r="I44" s="38">
        <v>0</v>
      </c>
      <c r="J44" s="38">
        <v>43</v>
      </c>
      <c r="K44" s="38">
        <v>20</v>
      </c>
      <c r="L44" s="38">
        <v>2</v>
      </c>
    </row>
    <row r="45" spans="1:12" x14ac:dyDescent="0.35">
      <c r="A45" s="38">
        <v>76</v>
      </c>
      <c r="B45" s="38" t="s">
        <v>5</v>
      </c>
      <c r="C45" s="38" t="s">
        <v>10</v>
      </c>
      <c r="D45" s="38">
        <v>91001</v>
      </c>
      <c r="E45" s="39">
        <v>200025888137</v>
      </c>
      <c r="F45" s="39" t="s">
        <v>15</v>
      </c>
      <c r="G45" s="39">
        <v>46</v>
      </c>
      <c r="H45" s="40">
        <v>45798.675682870373</v>
      </c>
      <c r="I45" s="38">
        <v>1</v>
      </c>
      <c r="J45" s="38">
        <v>44</v>
      </c>
      <c r="K45" s="38">
        <v>21</v>
      </c>
      <c r="L45" s="38">
        <v>2</v>
      </c>
    </row>
    <row r="46" spans="1:12" x14ac:dyDescent="0.35">
      <c r="A46" s="38">
        <v>77</v>
      </c>
      <c r="B46" s="38" t="s">
        <v>5</v>
      </c>
      <c r="C46" s="38" t="s">
        <v>10</v>
      </c>
      <c r="D46" s="38">
        <v>91001</v>
      </c>
      <c r="E46" s="39">
        <v>200025888137</v>
      </c>
      <c r="F46" s="39" t="s">
        <v>15</v>
      </c>
      <c r="G46" s="39">
        <v>46</v>
      </c>
      <c r="H46" s="40">
        <v>45798.676307870373</v>
      </c>
      <c r="I46" s="38">
        <v>13</v>
      </c>
      <c r="J46" s="38">
        <v>45</v>
      </c>
      <c r="K46" s="38">
        <v>22</v>
      </c>
      <c r="L46" s="38">
        <v>2</v>
      </c>
    </row>
    <row r="47" spans="1:12" x14ac:dyDescent="0.35">
      <c r="A47" s="38">
        <v>78</v>
      </c>
      <c r="B47" s="38" t="s">
        <v>5</v>
      </c>
      <c r="C47" s="38" t="s">
        <v>10</v>
      </c>
      <c r="D47" s="38">
        <v>91001</v>
      </c>
      <c r="E47" s="39">
        <v>200025888137</v>
      </c>
      <c r="F47" s="39" t="s">
        <v>15</v>
      </c>
      <c r="G47" s="39">
        <v>46</v>
      </c>
      <c r="H47" s="40">
        <v>45798.676979166667</v>
      </c>
      <c r="I47" s="38">
        <v>0</v>
      </c>
      <c r="J47" s="38">
        <v>46</v>
      </c>
      <c r="K47" s="38">
        <v>23</v>
      </c>
      <c r="L47" s="38">
        <v>2</v>
      </c>
    </row>
    <row r="48" spans="1:12" x14ac:dyDescent="0.35">
      <c r="A48" s="38">
        <v>79</v>
      </c>
      <c r="B48" s="38" t="s">
        <v>5</v>
      </c>
      <c r="C48" s="38" t="s">
        <v>10</v>
      </c>
      <c r="D48" s="38">
        <v>91001</v>
      </c>
      <c r="E48" s="39">
        <v>200025888137</v>
      </c>
      <c r="F48" s="39" t="s">
        <v>15</v>
      </c>
      <c r="G48" s="39">
        <v>46</v>
      </c>
      <c r="H48" s="40">
        <v>45798.676990740743</v>
      </c>
      <c r="I48" s="38">
        <v>0</v>
      </c>
      <c r="J48" s="38">
        <v>47</v>
      </c>
      <c r="K48" s="38">
        <v>24</v>
      </c>
      <c r="L48" s="38">
        <v>2</v>
      </c>
    </row>
    <row r="49" spans="1:12" x14ac:dyDescent="0.35">
      <c r="A49" s="38">
        <v>80</v>
      </c>
      <c r="B49" s="38" t="s">
        <v>5</v>
      </c>
      <c r="C49" s="38" t="s">
        <v>10</v>
      </c>
      <c r="D49" s="38">
        <v>91001</v>
      </c>
      <c r="E49" s="39">
        <v>200025888137</v>
      </c>
      <c r="F49" s="39" t="s">
        <v>15</v>
      </c>
      <c r="G49" s="39">
        <v>46</v>
      </c>
      <c r="H49" s="40">
        <v>45798.67759259259</v>
      </c>
      <c r="I49" s="38">
        <v>1</v>
      </c>
      <c r="J49" s="38">
        <v>48</v>
      </c>
      <c r="K49" s="38">
        <v>25</v>
      </c>
      <c r="L49" s="38">
        <v>2</v>
      </c>
    </row>
    <row r="50" spans="1:12" x14ac:dyDescent="0.35">
      <c r="A50" s="38">
        <v>81</v>
      </c>
      <c r="B50" s="38" t="s">
        <v>5</v>
      </c>
      <c r="C50" s="38" t="s">
        <v>10</v>
      </c>
      <c r="D50" s="38">
        <v>91001</v>
      </c>
      <c r="E50" s="39">
        <v>200025888137</v>
      </c>
      <c r="F50" s="39" t="s">
        <v>15</v>
      </c>
      <c r="G50" s="39">
        <v>46</v>
      </c>
      <c r="H50" s="40">
        <v>45798.677743055552</v>
      </c>
      <c r="I50" s="38">
        <v>0</v>
      </c>
      <c r="J50" s="38">
        <v>49</v>
      </c>
      <c r="K50" s="38">
        <v>26</v>
      </c>
      <c r="L50" s="38">
        <v>2</v>
      </c>
    </row>
    <row r="51" spans="1:12" x14ac:dyDescent="0.35">
      <c r="A51" s="38">
        <v>82</v>
      </c>
      <c r="B51" s="38" t="s">
        <v>5</v>
      </c>
      <c r="C51" s="38" t="s">
        <v>10</v>
      </c>
      <c r="D51" s="38">
        <v>91001</v>
      </c>
      <c r="E51" s="39">
        <v>200025888863</v>
      </c>
      <c r="F51" s="39" t="s">
        <v>31</v>
      </c>
      <c r="G51" s="39">
        <v>26</v>
      </c>
      <c r="H51" s="40">
        <v>45798.704502314817</v>
      </c>
      <c r="I51" s="38">
        <v>1</v>
      </c>
      <c r="J51" s="38">
        <v>50</v>
      </c>
      <c r="K51" s="38">
        <v>1</v>
      </c>
      <c r="L51" s="38">
        <v>7</v>
      </c>
    </row>
    <row r="52" spans="1:12" x14ac:dyDescent="0.35">
      <c r="A52" s="38">
        <v>83</v>
      </c>
      <c r="B52" s="38" t="s">
        <v>5</v>
      </c>
      <c r="C52" s="38" t="s">
        <v>10</v>
      </c>
      <c r="D52" s="38">
        <v>91001</v>
      </c>
      <c r="E52" s="39">
        <v>200025888863</v>
      </c>
      <c r="F52" s="39" t="s">
        <v>31</v>
      </c>
      <c r="G52" s="39">
        <v>26</v>
      </c>
      <c r="H52" s="40">
        <v>45798.704872685186</v>
      </c>
      <c r="I52" s="38">
        <v>0</v>
      </c>
      <c r="J52" s="38">
        <v>51</v>
      </c>
      <c r="K52" s="38">
        <v>2</v>
      </c>
      <c r="L52" s="38">
        <v>7</v>
      </c>
    </row>
    <row r="53" spans="1:12" x14ac:dyDescent="0.35">
      <c r="A53" s="38">
        <v>84</v>
      </c>
      <c r="B53" s="38" t="s">
        <v>5</v>
      </c>
      <c r="C53" s="38" t="s">
        <v>10</v>
      </c>
      <c r="D53" s="38">
        <v>91001</v>
      </c>
      <c r="E53" s="39">
        <v>200025888863</v>
      </c>
      <c r="F53" s="39" t="s">
        <v>31</v>
      </c>
      <c r="G53" s="39">
        <v>26</v>
      </c>
      <c r="H53" s="40">
        <v>45798.704872685186</v>
      </c>
      <c r="I53" s="38">
        <v>1</v>
      </c>
      <c r="J53" s="38">
        <v>52</v>
      </c>
      <c r="K53" s="38">
        <v>3</v>
      </c>
      <c r="L53" s="38">
        <v>7</v>
      </c>
    </row>
    <row r="54" spans="1:12" x14ac:dyDescent="0.35">
      <c r="A54" s="38">
        <v>85</v>
      </c>
      <c r="B54" s="38" t="s">
        <v>5</v>
      </c>
      <c r="C54" s="38" t="s">
        <v>10</v>
      </c>
      <c r="D54" s="38">
        <v>91001</v>
      </c>
      <c r="E54" s="39">
        <v>200025888863</v>
      </c>
      <c r="F54" s="39" t="s">
        <v>31</v>
      </c>
      <c r="G54" s="39">
        <v>26</v>
      </c>
      <c r="H54" s="40">
        <v>45798.704884259256</v>
      </c>
      <c r="I54" s="38">
        <v>13</v>
      </c>
      <c r="J54" s="38">
        <v>53</v>
      </c>
      <c r="K54" s="38">
        <v>4</v>
      </c>
      <c r="L54" s="38">
        <v>7</v>
      </c>
    </row>
    <row r="55" spans="1:12" x14ac:dyDescent="0.35">
      <c r="A55" s="38">
        <v>86</v>
      </c>
      <c r="B55" s="38" t="s">
        <v>5</v>
      </c>
      <c r="C55" s="38" t="s">
        <v>10</v>
      </c>
      <c r="D55" s="38">
        <v>91001</v>
      </c>
      <c r="E55" s="39">
        <v>200025888163</v>
      </c>
      <c r="F55" s="39" t="s">
        <v>16</v>
      </c>
      <c r="G55" s="39">
        <v>2</v>
      </c>
      <c r="H55" s="40">
        <v>45798.715636574074</v>
      </c>
      <c r="I55" s="38">
        <v>0</v>
      </c>
      <c r="J55" s="38">
        <v>54</v>
      </c>
      <c r="K55" s="38">
        <v>1</v>
      </c>
      <c r="L55" s="38">
        <v>8</v>
      </c>
    </row>
    <row r="56" spans="1:12" x14ac:dyDescent="0.35">
      <c r="A56" s="38">
        <v>87</v>
      </c>
      <c r="B56" s="38" t="s">
        <v>5</v>
      </c>
      <c r="C56" s="38" t="s">
        <v>10</v>
      </c>
      <c r="D56" s="38">
        <v>91001</v>
      </c>
      <c r="E56" s="39">
        <v>200025888163</v>
      </c>
      <c r="F56" s="39" t="s">
        <v>16</v>
      </c>
      <c r="G56" s="39">
        <v>2</v>
      </c>
      <c r="H56" s="40">
        <v>45798.715636574074</v>
      </c>
      <c r="I56" s="38">
        <v>2</v>
      </c>
      <c r="J56" s="38">
        <v>55</v>
      </c>
      <c r="K56" s="38">
        <v>2</v>
      </c>
      <c r="L56" s="38">
        <v>8</v>
      </c>
    </row>
    <row r="57" spans="1:12" x14ac:dyDescent="0.35">
      <c r="A57" s="38">
        <v>88</v>
      </c>
      <c r="B57" s="38" t="s">
        <v>5</v>
      </c>
      <c r="C57" s="38" t="s">
        <v>10</v>
      </c>
      <c r="D57" s="38">
        <v>91001</v>
      </c>
      <c r="E57" s="39">
        <v>200025888163</v>
      </c>
      <c r="F57" s="39" t="s">
        <v>16</v>
      </c>
      <c r="G57" s="39">
        <v>2</v>
      </c>
      <c r="H57" s="40">
        <v>45798.716134259259</v>
      </c>
      <c r="I57" s="38">
        <v>1</v>
      </c>
      <c r="J57" s="38">
        <v>56</v>
      </c>
      <c r="K57" s="38">
        <v>3</v>
      </c>
      <c r="L57" s="38">
        <v>8</v>
      </c>
    </row>
    <row r="58" spans="1:12" x14ac:dyDescent="0.35">
      <c r="A58" s="38">
        <v>89</v>
      </c>
      <c r="B58" s="38" t="s">
        <v>5</v>
      </c>
      <c r="C58" s="38" t="s">
        <v>10</v>
      </c>
      <c r="D58" s="38">
        <v>91001</v>
      </c>
      <c r="E58" s="39">
        <v>200025888163</v>
      </c>
      <c r="F58" s="39" t="s">
        <v>16</v>
      </c>
      <c r="G58" s="39">
        <v>2</v>
      </c>
      <c r="H58" s="40">
        <v>45798.716157407405</v>
      </c>
      <c r="I58" s="38">
        <v>22</v>
      </c>
      <c r="J58" s="38">
        <v>57</v>
      </c>
      <c r="K58" s="38">
        <v>4</v>
      </c>
      <c r="L58" s="38">
        <v>8</v>
      </c>
    </row>
    <row r="59" spans="1:12" x14ac:dyDescent="0.35">
      <c r="A59" s="38">
        <v>90</v>
      </c>
      <c r="B59" s="38" t="s">
        <v>5</v>
      </c>
      <c r="C59" s="38" t="s">
        <v>10</v>
      </c>
      <c r="D59" s="38">
        <v>91001</v>
      </c>
      <c r="E59" s="39">
        <v>200025888163</v>
      </c>
      <c r="F59" s="39" t="s">
        <v>16</v>
      </c>
      <c r="G59" s="39">
        <v>2</v>
      </c>
      <c r="H59" s="40">
        <v>45798.716412037036</v>
      </c>
      <c r="I59" s="38">
        <v>0</v>
      </c>
      <c r="J59" s="38">
        <v>58</v>
      </c>
      <c r="K59" s="38">
        <v>5</v>
      </c>
      <c r="L59" s="38">
        <v>8</v>
      </c>
    </row>
    <row r="60" spans="1:12" x14ac:dyDescent="0.35">
      <c r="A60" s="38">
        <v>91</v>
      </c>
      <c r="B60" s="38" t="s">
        <v>5</v>
      </c>
      <c r="C60" s="38" t="s">
        <v>10</v>
      </c>
      <c r="D60" s="38">
        <v>91001</v>
      </c>
      <c r="E60" s="39">
        <v>200025888163</v>
      </c>
      <c r="F60" s="39" t="s">
        <v>16</v>
      </c>
      <c r="G60" s="39">
        <v>2</v>
      </c>
      <c r="H60" s="40">
        <v>45798.716423611113</v>
      </c>
      <c r="I60" s="38">
        <v>1</v>
      </c>
      <c r="J60" s="38">
        <v>59</v>
      </c>
      <c r="K60" s="38">
        <v>6</v>
      </c>
      <c r="L60" s="38">
        <v>8</v>
      </c>
    </row>
    <row r="61" spans="1:12" x14ac:dyDescent="0.35">
      <c r="A61" s="38">
        <v>92</v>
      </c>
      <c r="B61" s="38" t="s">
        <v>5</v>
      </c>
      <c r="C61" s="38" t="s">
        <v>10</v>
      </c>
      <c r="D61" s="38">
        <v>91001</v>
      </c>
      <c r="E61" s="39">
        <v>200025888740</v>
      </c>
      <c r="F61" s="39" t="s">
        <v>34</v>
      </c>
      <c r="G61" s="39">
        <v>50</v>
      </c>
      <c r="H61" s="40">
        <v>45798.725243055553</v>
      </c>
      <c r="I61" s="38">
        <v>0</v>
      </c>
      <c r="J61" s="38">
        <v>60</v>
      </c>
      <c r="K61" s="38">
        <v>1</v>
      </c>
      <c r="L61" s="38">
        <v>9</v>
      </c>
    </row>
    <row r="62" spans="1:12" x14ac:dyDescent="0.35">
      <c r="A62" s="38">
        <v>93</v>
      </c>
      <c r="B62" s="38" t="s">
        <v>5</v>
      </c>
      <c r="C62" s="38" t="s">
        <v>10</v>
      </c>
      <c r="D62" s="38">
        <v>91001</v>
      </c>
      <c r="E62" s="39">
        <v>200025888163</v>
      </c>
      <c r="F62" s="39" t="s">
        <v>16</v>
      </c>
      <c r="G62" s="39">
        <v>2</v>
      </c>
      <c r="H62" s="40">
        <v>45798.727210648147</v>
      </c>
      <c r="I62" s="38">
        <v>1</v>
      </c>
      <c r="J62" s="38">
        <v>61</v>
      </c>
      <c r="K62" s="38">
        <v>7</v>
      </c>
      <c r="L62" s="38">
        <v>8</v>
      </c>
    </row>
    <row r="63" spans="1:12" x14ac:dyDescent="0.35">
      <c r="A63" s="41">
        <v>94</v>
      </c>
      <c r="B63" s="38" t="s">
        <v>5</v>
      </c>
      <c r="C63" s="38" t="s">
        <v>10</v>
      </c>
      <c r="D63" s="38">
        <v>91001</v>
      </c>
      <c r="E63" s="39">
        <v>200025888982</v>
      </c>
      <c r="F63" s="39" t="s">
        <v>18</v>
      </c>
      <c r="G63" s="39">
        <v>6</v>
      </c>
      <c r="H63" s="40">
        <v>45798.750671296293</v>
      </c>
      <c r="I63" s="38">
        <v>0</v>
      </c>
      <c r="J63" s="38">
        <v>62</v>
      </c>
      <c r="K63" s="38">
        <v>2</v>
      </c>
      <c r="L63" s="38">
        <v>1</v>
      </c>
    </row>
    <row r="64" spans="1:12" x14ac:dyDescent="0.35">
      <c r="A64" s="41">
        <v>95</v>
      </c>
      <c r="B64" s="38" t="s">
        <v>5</v>
      </c>
      <c r="C64" s="38" t="s">
        <v>10</v>
      </c>
      <c r="D64" s="38">
        <v>91001</v>
      </c>
      <c r="E64" s="39">
        <v>200025888982</v>
      </c>
      <c r="F64" s="39" t="s">
        <v>18</v>
      </c>
      <c r="G64" s="39">
        <v>6</v>
      </c>
      <c r="H64" s="40">
        <v>45798.75068287037</v>
      </c>
      <c r="I64" s="38">
        <v>0</v>
      </c>
      <c r="J64" s="38">
        <v>63</v>
      </c>
      <c r="K64" s="38">
        <v>3</v>
      </c>
      <c r="L64" s="38">
        <v>1</v>
      </c>
    </row>
    <row r="65" spans="1:12" x14ac:dyDescent="0.35">
      <c r="A65" s="38">
        <v>96</v>
      </c>
      <c r="B65" s="38" t="s">
        <v>5</v>
      </c>
      <c r="C65" s="38" t="s">
        <v>10</v>
      </c>
      <c r="D65" s="38">
        <v>91001</v>
      </c>
      <c r="E65" s="39">
        <v>200025888717</v>
      </c>
      <c r="F65" s="39" t="s">
        <v>33</v>
      </c>
      <c r="G65" s="39">
        <v>48</v>
      </c>
      <c r="H65" s="40">
        <v>45798.774699074071</v>
      </c>
      <c r="I65" s="38">
        <v>1</v>
      </c>
      <c r="J65" s="38">
        <v>64</v>
      </c>
      <c r="K65" s="38">
        <v>1</v>
      </c>
      <c r="L65" s="38">
        <v>10</v>
      </c>
    </row>
    <row r="66" spans="1:12" x14ac:dyDescent="0.35">
      <c r="A66" s="38">
        <v>97</v>
      </c>
      <c r="B66" s="38" t="s">
        <v>5</v>
      </c>
      <c r="C66" s="38" t="s">
        <v>10</v>
      </c>
      <c r="D66" s="38">
        <v>91001</v>
      </c>
      <c r="E66" s="39">
        <v>200025888717</v>
      </c>
      <c r="F66" s="39" t="s">
        <v>33</v>
      </c>
      <c r="G66" s="39">
        <v>48</v>
      </c>
      <c r="H66" s="40">
        <v>45798.774722222224</v>
      </c>
      <c r="I66" s="38">
        <v>0</v>
      </c>
      <c r="J66" s="38">
        <v>65</v>
      </c>
      <c r="K66" s="38">
        <v>2</v>
      </c>
      <c r="L66" s="38">
        <v>10</v>
      </c>
    </row>
    <row r="67" spans="1:12" x14ac:dyDescent="0.35">
      <c r="A67" s="38">
        <v>98</v>
      </c>
      <c r="B67" s="38" t="s">
        <v>5</v>
      </c>
      <c r="C67" s="38" t="s">
        <v>10</v>
      </c>
      <c r="D67" s="38">
        <v>91001</v>
      </c>
      <c r="E67" s="39">
        <v>200025888654</v>
      </c>
      <c r="F67" s="39" t="s">
        <v>14</v>
      </c>
      <c r="G67" s="39">
        <v>1</v>
      </c>
      <c r="H67" s="40">
        <v>45798.798437500001</v>
      </c>
      <c r="I67" s="38">
        <v>0</v>
      </c>
      <c r="J67" s="38">
        <v>66</v>
      </c>
      <c r="K67" s="38">
        <v>10</v>
      </c>
      <c r="L67" s="38">
        <v>6</v>
      </c>
    </row>
    <row r="68" spans="1:12" x14ac:dyDescent="0.35">
      <c r="A68" s="38">
        <v>99</v>
      </c>
      <c r="B68" s="38" t="s">
        <v>5</v>
      </c>
      <c r="C68" s="38" t="s">
        <v>10</v>
      </c>
      <c r="D68" s="38">
        <v>91001</v>
      </c>
      <c r="E68" s="39">
        <v>200025888654</v>
      </c>
      <c r="F68" s="39" t="s">
        <v>14</v>
      </c>
      <c r="G68" s="39">
        <v>1</v>
      </c>
      <c r="H68" s="40">
        <v>45798.798564814817</v>
      </c>
      <c r="I68" s="38">
        <v>1</v>
      </c>
      <c r="J68" s="38">
        <v>67</v>
      </c>
      <c r="K68" s="38">
        <v>11</v>
      </c>
      <c r="L68" s="38">
        <v>6</v>
      </c>
    </row>
    <row r="69" spans="1:12" x14ac:dyDescent="0.35">
      <c r="A69" s="38">
        <v>100</v>
      </c>
      <c r="B69" s="38" t="s">
        <v>5</v>
      </c>
      <c r="C69" s="38" t="s">
        <v>10</v>
      </c>
      <c r="D69" s="38">
        <v>91001</v>
      </c>
      <c r="E69" s="39">
        <v>200025888654</v>
      </c>
      <c r="F69" s="39" t="s">
        <v>14</v>
      </c>
      <c r="G69" s="39">
        <v>1</v>
      </c>
      <c r="H69" s="40">
        <v>45798.800173611111</v>
      </c>
      <c r="I69" s="38">
        <v>1</v>
      </c>
      <c r="J69" s="38">
        <v>68</v>
      </c>
      <c r="K69" s="38">
        <v>12</v>
      </c>
      <c r="L69" s="38">
        <v>6</v>
      </c>
    </row>
    <row r="70" spans="1:12" x14ac:dyDescent="0.35">
      <c r="A70" s="38">
        <v>101</v>
      </c>
      <c r="B70" s="38" t="s">
        <v>5</v>
      </c>
      <c r="C70" s="38" t="s">
        <v>10</v>
      </c>
      <c r="D70" s="38">
        <v>91001</v>
      </c>
      <c r="E70" s="39">
        <v>200025888654</v>
      </c>
      <c r="F70" s="39" t="s">
        <v>14</v>
      </c>
      <c r="G70" s="39">
        <v>1</v>
      </c>
      <c r="H70" s="40">
        <v>45798.800381944442</v>
      </c>
      <c r="I70" s="38">
        <v>0</v>
      </c>
      <c r="J70" s="38">
        <v>69</v>
      </c>
      <c r="K70" s="38">
        <v>13</v>
      </c>
      <c r="L70" s="38">
        <v>6</v>
      </c>
    </row>
    <row r="71" spans="1:12" x14ac:dyDescent="0.35">
      <c r="A71" s="38">
        <v>102</v>
      </c>
      <c r="B71" s="38" t="s">
        <v>5</v>
      </c>
      <c r="C71" s="38" t="s">
        <v>10</v>
      </c>
      <c r="D71" s="38">
        <v>91001</v>
      </c>
      <c r="E71" s="39">
        <v>200025888654</v>
      </c>
      <c r="F71" s="39" t="s">
        <v>14</v>
      </c>
      <c r="G71" s="39">
        <v>1</v>
      </c>
      <c r="H71" s="40">
        <v>45798.800381944442</v>
      </c>
      <c r="I71" s="38">
        <v>1</v>
      </c>
      <c r="J71" s="38">
        <v>70</v>
      </c>
      <c r="K71" s="38">
        <v>14</v>
      </c>
      <c r="L71" s="38">
        <v>6</v>
      </c>
    </row>
    <row r="72" spans="1:12" x14ac:dyDescent="0.35">
      <c r="A72" s="41">
        <v>103</v>
      </c>
      <c r="B72" s="38" t="s">
        <v>5</v>
      </c>
      <c r="C72" s="38" t="s">
        <v>10</v>
      </c>
      <c r="D72" s="38">
        <v>91001</v>
      </c>
      <c r="E72" s="39">
        <v>200025888982</v>
      </c>
      <c r="F72" s="39" t="s">
        <v>18</v>
      </c>
      <c r="G72" s="39">
        <v>6</v>
      </c>
      <c r="H72" s="40">
        <v>45798.807500000003</v>
      </c>
      <c r="I72" s="38">
        <v>2</v>
      </c>
      <c r="J72" s="38">
        <v>71</v>
      </c>
      <c r="K72" s="38">
        <v>4</v>
      </c>
      <c r="L72" s="38">
        <v>1</v>
      </c>
    </row>
    <row r="73" spans="1:12" x14ac:dyDescent="0.35">
      <c r="A73" s="41">
        <v>104</v>
      </c>
      <c r="B73" s="38" t="s">
        <v>5</v>
      </c>
      <c r="C73" s="38" t="s">
        <v>10</v>
      </c>
      <c r="D73" s="38">
        <v>91001</v>
      </c>
      <c r="E73" s="39">
        <v>200025888982</v>
      </c>
      <c r="F73" s="39" t="s">
        <v>18</v>
      </c>
      <c r="G73" s="39">
        <v>6</v>
      </c>
      <c r="H73" s="40">
        <v>45798.807650462964</v>
      </c>
      <c r="I73" s="38">
        <v>2</v>
      </c>
      <c r="J73" s="38">
        <v>72</v>
      </c>
      <c r="K73" s="38">
        <v>5</v>
      </c>
      <c r="L73" s="38">
        <v>1</v>
      </c>
    </row>
    <row r="74" spans="1:12" x14ac:dyDescent="0.35">
      <c r="A74" s="38">
        <v>105</v>
      </c>
      <c r="B74" s="38" t="s">
        <v>5</v>
      </c>
      <c r="C74" s="38" t="s">
        <v>10</v>
      </c>
      <c r="D74" s="38">
        <v>91001</v>
      </c>
      <c r="E74" s="39">
        <v>200025888824</v>
      </c>
      <c r="F74" s="39" t="s">
        <v>35</v>
      </c>
      <c r="G74" s="39">
        <v>32</v>
      </c>
      <c r="H74" s="40">
        <v>45798.80878472222</v>
      </c>
      <c r="I74" s="38">
        <v>0</v>
      </c>
      <c r="J74" s="38">
        <v>73</v>
      </c>
      <c r="K74" s="38">
        <v>6</v>
      </c>
      <c r="L74" s="38">
        <v>4</v>
      </c>
    </row>
    <row r="75" spans="1:12" x14ac:dyDescent="0.35">
      <c r="A75" s="38">
        <v>106</v>
      </c>
      <c r="B75" s="38" t="s">
        <v>5</v>
      </c>
      <c r="C75" s="38" t="s">
        <v>10</v>
      </c>
      <c r="D75" s="38">
        <v>91001</v>
      </c>
      <c r="E75" s="39">
        <v>200025888824</v>
      </c>
      <c r="F75" s="39" t="s">
        <v>35</v>
      </c>
      <c r="G75" s="39">
        <v>32</v>
      </c>
      <c r="H75" s="40">
        <v>45798.808796296296</v>
      </c>
      <c r="I75" s="38">
        <v>0</v>
      </c>
      <c r="J75" s="38">
        <v>74</v>
      </c>
      <c r="K75" s="38">
        <v>7</v>
      </c>
      <c r="L75" s="38">
        <v>4</v>
      </c>
    </row>
    <row r="76" spans="1:12" x14ac:dyDescent="0.35">
      <c r="A76" s="38">
        <v>107</v>
      </c>
      <c r="B76" s="38" t="s">
        <v>5</v>
      </c>
      <c r="C76" s="38" t="s">
        <v>10</v>
      </c>
      <c r="D76" s="38">
        <v>91001</v>
      </c>
      <c r="E76" s="39">
        <v>200025888824</v>
      </c>
      <c r="F76" s="39" t="s">
        <v>35</v>
      </c>
      <c r="G76" s="39">
        <v>32</v>
      </c>
      <c r="H76" s="40">
        <v>45798.809374999997</v>
      </c>
      <c r="I76" s="38">
        <v>2</v>
      </c>
      <c r="J76" s="38">
        <v>75</v>
      </c>
      <c r="K76" s="38">
        <v>8</v>
      </c>
      <c r="L76" s="38">
        <v>4</v>
      </c>
    </row>
    <row r="77" spans="1:12" x14ac:dyDescent="0.35">
      <c r="A77" s="38">
        <v>108</v>
      </c>
      <c r="B77" s="38" t="s">
        <v>5</v>
      </c>
      <c r="C77" s="38" t="s">
        <v>10</v>
      </c>
      <c r="D77" s="38">
        <v>91001</v>
      </c>
      <c r="E77" s="39">
        <v>200025888839</v>
      </c>
      <c r="F77" s="39" t="s">
        <v>26</v>
      </c>
      <c r="G77" s="39">
        <v>16</v>
      </c>
      <c r="H77" s="40">
        <v>45798.810324074075</v>
      </c>
      <c r="I77" s="38">
        <v>0</v>
      </c>
      <c r="J77" s="38">
        <v>76</v>
      </c>
      <c r="K77" s="38">
        <v>1</v>
      </c>
      <c r="L77" s="38">
        <v>11</v>
      </c>
    </row>
    <row r="78" spans="1:12" x14ac:dyDescent="0.35">
      <c r="A78" s="38">
        <v>109</v>
      </c>
      <c r="B78" s="38" t="s">
        <v>5</v>
      </c>
      <c r="C78" s="38" t="s">
        <v>10</v>
      </c>
      <c r="D78" s="38">
        <v>91001</v>
      </c>
      <c r="E78" s="39">
        <v>200025888839</v>
      </c>
      <c r="F78" s="39" t="s">
        <v>26</v>
      </c>
      <c r="G78" s="39">
        <v>16</v>
      </c>
      <c r="H78" s="40">
        <v>45798.810324074075</v>
      </c>
      <c r="I78" s="38">
        <v>0</v>
      </c>
      <c r="J78" s="38">
        <v>77</v>
      </c>
      <c r="K78" s="38">
        <v>2</v>
      </c>
      <c r="L78" s="38">
        <v>11</v>
      </c>
    </row>
    <row r="79" spans="1:12" x14ac:dyDescent="0.35">
      <c r="A79" s="38">
        <v>110</v>
      </c>
      <c r="B79" s="38" t="s">
        <v>5</v>
      </c>
      <c r="C79" s="38" t="s">
        <v>10</v>
      </c>
      <c r="D79" s="38">
        <v>91001</v>
      </c>
      <c r="E79" s="39">
        <v>200025888839</v>
      </c>
      <c r="F79" s="39" t="s">
        <v>26</v>
      </c>
      <c r="G79" s="39">
        <v>16</v>
      </c>
      <c r="H79" s="40">
        <v>45798.810335648152</v>
      </c>
      <c r="I79" s="38">
        <v>0</v>
      </c>
      <c r="J79" s="38">
        <v>78</v>
      </c>
      <c r="K79" s="38">
        <v>3</v>
      </c>
      <c r="L79" s="38">
        <v>11</v>
      </c>
    </row>
    <row r="80" spans="1:12" x14ac:dyDescent="0.35">
      <c r="A80" s="38">
        <v>111</v>
      </c>
      <c r="B80" s="38" t="s">
        <v>5</v>
      </c>
      <c r="C80" s="38" t="s">
        <v>10</v>
      </c>
      <c r="D80" s="38">
        <v>91001</v>
      </c>
      <c r="E80" s="39">
        <v>200025888824</v>
      </c>
      <c r="F80" s="39" t="s">
        <v>35</v>
      </c>
      <c r="G80" s="39">
        <v>32</v>
      </c>
      <c r="H80" s="40">
        <v>45798.844988425924</v>
      </c>
      <c r="I80" s="38">
        <v>1</v>
      </c>
      <c r="J80" s="38">
        <v>79</v>
      </c>
      <c r="K80" s="38">
        <v>9</v>
      </c>
      <c r="L80" s="38">
        <v>4</v>
      </c>
    </row>
    <row r="81" spans="1:12" x14ac:dyDescent="0.35">
      <c r="A81" s="38">
        <v>112</v>
      </c>
      <c r="B81" s="38" t="s">
        <v>5</v>
      </c>
      <c r="C81" s="38" t="s">
        <v>10</v>
      </c>
      <c r="D81" s="38">
        <v>91001</v>
      </c>
      <c r="E81" s="39">
        <v>200025888824</v>
      </c>
      <c r="F81" s="39" t="s">
        <v>35</v>
      </c>
      <c r="G81" s="39">
        <v>32</v>
      </c>
      <c r="H81" s="40">
        <v>45798.84511574074</v>
      </c>
      <c r="I81" s="38">
        <v>0</v>
      </c>
      <c r="J81" s="38">
        <v>80</v>
      </c>
      <c r="K81" s="38">
        <v>10</v>
      </c>
      <c r="L81" s="38">
        <v>4</v>
      </c>
    </row>
    <row r="82" spans="1:12" x14ac:dyDescent="0.35">
      <c r="A82" s="38">
        <v>113</v>
      </c>
      <c r="B82" s="38" t="s">
        <v>5</v>
      </c>
      <c r="C82" s="38" t="s">
        <v>10</v>
      </c>
      <c r="D82" s="38">
        <v>91001</v>
      </c>
      <c r="E82" s="39">
        <v>200025888824</v>
      </c>
      <c r="F82" s="39" t="s">
        <v>35</v>
      </c>
      <c r="G82" s="39">
        <v>32</v>
      </c>
      <c r="H82" s="40">
        <v>45798.845266203702</v>
      </c>
      <c r="I82" s="38">
        <v>0</v>
      </c>
      <c r="J82" s="38">
        <v>81</v>
      </c>
      <c r="K82" s="38">
        <v>11</v>
      </c>
      <c r="L82" s="38">
        <v>4</v>
      </c>
    </row>
    <row r="83" spans="1:12" x14ac:dyDescent="0.35">
      <c r="A83" s="38">
        <v>114</v>
      </c>
      <c r="B83" s="38" t="s">
        <v>5</v>
      </c>
      <c r="C83" s="38" t="s">
        <v>10</v>
      </c>
      <c r="D83" s="38">
        <v>91001</v>
      </c>
      <c r="E83" s="39">
        <v>200025888863</v>
      </c>
      <c r="F83" s="39" t="s">
        <v>31</v>
      </c>
      <c r="G83" s="39">
        <v>26</v>
      </c>
      <c r="H83" s="40">
        <v>45798.866608796299</v>
      </c>
      <c r="I83" s="38">
        <v>18</v>
      </c>
      <c r="J83" s="38">
        <v>82</v>
      </c>
      <c r="K83" s="38">
        <v>5</v>
      </c>
      <c r="L83" s="38">
        <v>7</v>
      </c>
    </row>
    <row r="84" spans="1:12" x14ac:dyDescent="0.35">
      <c r="A84" s="38">
        <v>115</v>
      </c>
      <c r="B84" s="38" t="s">
        <v>5</v>
      </c>
      <c r="C84" s="38" t="s">
        <v>10</v>
      </c>
      <c r="D84" s="38">
        <v>91001</v>
      </c>
      <c r="E84" s="39">
        <v>200025888863</v>
      </c>
      <c r="F84" s="39" t="s">
        <v>31</v>
      </c>
      <c r="G84" s="39">
        <v>26</v>
      </c>
      <c r="H84" s="40">
        <v>45798.866979166669</v>
      </c>
      <c r="I84" s="38">
        <v>2</v>
      </c>
      <c r="J84" s="38">
        <v>83</v>
      </c>
      <c r="K84" s="38">
        <v>6</v>
      </c>
      <c r="L84" s="38">
        <v>7</v>
      </c>
    </row>
    <row r="85" spans="1:12" x14ac:dyDescent="0.35">
      <c r="A85" s="38">
        <v>116</v>
      </c>
      <c r="B85" s="38" t="s">
        <v>5</v>
      </c>
      <c r="C85" s="38" t="s">
        <v>10</v>
      </c>
      <c r="D85" s="38">
        <v>91001</v>
      </c>
      <c r="E85" s="39">
        <v>200025888863</v>
      </c>
      <c r="F85" s="39" t="s">
        <v>31</v>
      </c>
      <c r="G85" s="39">
        <v>26</v>
      </c>
      <c r="H85" s="40">
        <v>45798.868611111109</v>
      </c>
      <c r="I85" s="38">
        <v>1</v>
      </c>
      <c r="J85" s="38">
        <v>84</v>
      </c>
      <c r="K85" s="38">
        <v>7</v>
      </c>
      <c r="L85" s="38">
        <v>7</v>
      </c>
    </row>
    <row r="86" spans="1:12" x14ac:dyDescent="0.35">
      <c r="A86" s="38">
        <v>117</v>
      </c>
      <c r="B86" s="38" t="s">
        <v>5</v>
      </c>
      <c r="C86" s="38" t="s">
        <v>10</v>
      </c>
      <c r="D86" s="38">
        <v>91001</v>
      </c>
      <c r="E86" s="39">
        <v>200025888717</v>
      </c>
      <c r="F86" s="39" t="s">
        <v>33</v>
      </c>
      <c r="G86" s="39">
        <v>48</v>
      </c>
      <c r="H86" s="40">
        <v>45798.870416666665</v>
      </c>
      <c r="I86" s="38">
        <v>0</v>
      </c>
      <c r="J86" s="38">
        <v>85</v>
      </c>
      <c r="K86" s="38">
        <v>3</v>
      </c>
      <c r="L86" s="38">
        <v>10</v>
      </c>
    </row>
    <row r="87" spans="1:12" x14ac:dyDescent="0.35">
      <c r="A87" s="38">
        <v>118</v>
      </c>
      <c r="B87" s="38" t="s">
        <v>5</v>
      </c>
      <c r="C87" s="38" t="s">
        <v>10</v>
      </c>
      <c r="D87" s="38">
        <v>91001</v>
      </c>
      <c r="E87" s="39">
        <v>200025888717</v>
      </c>
      <c r="F87" s="39" t="s">
        <v>33</v>
      </c>
      <c r="G87" s="39">
        <v>48</v>
      </c>
      <c r="H87" s="40">
        <v>45798.87054398148</v>
      </c>
      <c r="I87" s="38">
        <v>0</v>
      </c>
      <c r="J87" s="38">
        <v>86</v>
      </c>
      <c r="K87" s="38">
        <v>4</v>
      </c>
      <c r="L87" s="38">
        <v>10</v>
      </c>
    </row>
    <row r="88" spans="1:12" x14ac:dyDescent="0.35">
      <c r="A88" s="38">
        <v>119</v>
      </c>
      <c r="B88" s="38" t="s">
        <v>5</v>
      </c>
      <c r="C88" s="38" t="s">
        <v>10</v>
      </c>
      <c r="D88" s="38">
        <v>91001</v>
      </c>
      <c r="E88" s="39">
        <v>200025888824</v>
      </c>
      <c r="F88" s="39" t="s">
        <v>35</v>
      </c>
      <c r="G88" s="39">
        <v>32</v>
      </c>
      <c r="H88" s="40">
        <v>45798.874618055554</v>
      </c>
      <c r="I88" s="38">
        <v>0</v>
      </c>
      <c r="J88" s="38">
        <v>87</v>
      </c>
      <c r="K88" s="38">
        <v>12</v>
      </c>
      <c r="L88" s="38">
        <v>4</v>
      </c>
    </row>
    <row r="89" spans="1:12" x14ac:dyDescent="0.35">
      <c r="A89" s="38">
        <v>120</v>
      </c>
      <c r="B89" s="38" t="s">
        <v>5</v>
      </c>
      <c r="C89" s="38" t="s">
        <v>10</v>
      </c>
      <c r="D89" s="38">
        <v>91001</v>
      </c>
      <c r="E89" s="39">
        <v>200025888824</v>
      </c>
      <c r="F89" s="39" t="s">
        <v>35</v>
      </c>
      <c r="G89" s="39">
        <v>32</v>
      </c>
      <c r="H89" s="40">
        <v>45798.874895833331</v>
      </c>
      <c r="I89" s="38">
        <v>0</v>
      </c>
      <c r="J89" s="38">
        <v>88</v>
      </c>
      <c r="K89" s="38">
        <v>13</v>
      </c>
      <c r="L89" s="38">
        <v>4</v>
      </c>
    </row>
    <row r="90" spans="1:12" x14ac:dyDescent="0.35">
      <c r="A90" s="38">
        <v>121</v>
      </c>
      <c r="B90" s="38" t="s">
        <v>5</v>
      </c>
      <c r="C90" s="38" t="s">
        <v>10</v>
      </c>
      <c r="D90" s="38">
        <v>91001</v>
      </c>
      <c r="E90" s="39">
        <v>200025888824</v>
      </c>
      <c r="F90" s="39" t="s">
        <v>35</v>
      </c>
      <c r="G90" s="39">
        <v>32</v>
      </c>
      <c r="H90" s="40">
        <v>45798.875</v>
      </c>
      <c r="I90" s="38">
        <v>1</v>
      </c>
      <c r="J90" s="38">
        <v>89</v>
      </c>
      <c r="K90" s="38">
        <v>14</v>
      </c>
      <c r="L90" s="38">
        <v>4</v>
      </c>
    </row>
    <row r="91" spans="1:12" x14ac:dyDescent="0.35">
      <c r="A91" s="38">
        <v>122</v>
      </c>
      <c r="B91" s="38" t="s">
        <v>5</v>
      </c>
      <c r="C91" s="38" t="s">
        <v>10</v>
      </c>
      <c r="D91" s="38">
        <v>91001</v>
      </c>
      <c r="E91" s="39">
        <v>200025888654</v>
      </c>
      <c r="F91" s="39" t="s">
        <v>14</v>
      </c>
      <c r="G91" s="39">
        <v>1</v>
      </c>
      <c r="H91" s="40">
        <v>45798.876215277778</v>
      </c>
      <c r="I91" s="38">
        <v>0</v>
      </c>
      <c r="J91" s="38">
        <v>90</v>
      </c>
      <c r="K91" s="38">
        <v>15</v>
      </c>
      <c r="L91" s="38">
        <v>6</v>
      </c>
    </row>
    <row r="92" spans="1:12" x14ac:dyDescent="0.35">
      <c r="A92" s="38">
        <v>123</v>
      </c>
      <c r="B92" s="38" t="s">
        <v>5</v>
      </c>
      <c r="C92" s="38" t="s">
        <v>10</v>
      </c>
      <c r="D92" s="38">
        <v>91001</v>
      </c>
      <c r="E92" s="39">
        <v>200025888654</v>
      </c>
      <c r="F92" s="39" t="s">
        <v>14</v>
      </c>
      <c r="G92" s="39">
        <v>1</v>
      </c>
      <c r="H92" s="40">
        <v>45798.876226851855</v>
      </c>
      <c r="I92" s="38">
        <v>33</v>
      </c>
      <c r="J92" s="38">
        <v>91</v>
      </c>
      <c r="K92" s="38">
        <v>16</v>
      </c>
      <c r="L92" s="38">
        <v>6</v>
      </c>
    </row>
    <row r="93" spans="1:12" x14ac:dyDescent="0.35">
      <c r="A93" s="38">
        <v>124</v>
      </c>
      <c r="B93" s="38" t="s">
        <v>5</v>
      </c>
      <c r="C93" s="38" t="s">
        <v>10</v>
      </c>
      <c r="D93" s="38">
        <v>91001</v>
      </c>
      <c r="E93" s="39">
        <v>200025888654</v>
      </c>
      <c r="F93" s="39" t="s">
        <v>14</v>
      </c>
      <c r="G93" s="39">
        <v>1</v>
      </c>
      <c r="H93" s="40">
        <v>45798.877326388887</v>
      </c>
      <c r="I93" s="38">
        <v>0</v>
      </c>
      <c r="J93" s="38">
        <v>92</v>
      </c>
      <c r="K93" s="38">
        <v>17</v>
      </c>
      <c r="L93" s="38">
        <v>6</v>
      </c>
    </row>
    <row r="94" spans="1:12" x14ac:dyDescent="0.35">
      <c r="A94" s="38">
        <v>125</v>
      </c>
      <c r="B94" s="38" t="s">
        <v>5</v>
      </c>
      <c r="C94" s="38" t="s">
        <v>10</v>
      </c>
      <c r="D94" s="38">
        <v>91001</v>
      </c>
      <c r="E94" s="39">
        <v>200025888654</v>
      </c>
      <c r="F94" s="39" t="s">
        <v>14</v>
      </c>
      <c r="G94" s="39">
        <v>1</v>
      </c>
      <c r="H94" s="40">
        <v>45798.87740740741</v>
      </c>
      <c r="I94" s="38">
        <v>1</v>
      </c>
      <c r="J94" s="38">
        <v>93</v>
      </c>
      <c r="K94" s="38">
        <v>18</v>
      </c>
      <c r="L94" s="38">
        <v>6</v>
      </c>
    </row>
    <row r="95" spans="1:12" x14ac:dyDescent="0.35">
      <c r="A95" s="38">
        <v>126</v>
      </c>
      <c r="B95" s="38" t="s">
        <v>5</v>
      </c>
      <c r="C95" s="38" t="s">
        <v>10</v>
      </c>
      <c r="D95" s="38">
        <v>91001</v>
      </c>
      <c r="E95" s="39">
        <v>200025888808</v>
      </c>
      <c r="F95" s="39" t="s">
        <v>36</v>
      </c>
      <c r="G95" s="39">
        <v>43</v>
      </c>
      <c r="H95" s="40">
        <v>45798.901967592596</v>
      </c>
      <c r="I95" s="38">
        <v>1</v>
      </c>
      <c r="J95" s="38">
        <v>94</v>
      </c>
      <c r="K95" s="38">
        <v>1</v>
      </c>
      <c r="L95" s="38">
        <v>12</v>
      </c>
    </row>
    <row r="96" spans="1:12" x14ac:dyDescent="0.35">
      <c r="A96" s="38">
        <v>127</v>
      </c>
      <c r="B96" s="38" t="s">
        <v>5</v>
      </c>
      <c r="C96" s="38" t="s">
        <v>10</v>
      </c>
      <c r="D96" s="38">
        <v>91001</v>
      </c>
      <c r="E96" s="39">
        <v>200025888791</v>
      </c>
      <c r="F96" s="39" t="s">
        <v>19</v>
      </c>
      <c r="G96" s="39">
        <v>7</v>
      </c>
      <c r="H96" s="40">
        <v>45798.904317129629</v>
      </c>
      <c r="I96" s="38">
        <v>0</v>
      </c>
      <c r="J96" s="38">
        <v>95</v>
      </c>
      <c r="K96" s="38">
        <v>1</v>
      </c>
      <c r="L96" s="38">
        <v>13</v>
      </c>
    </row>
    <row r="97" spans="1:12" x14ac:dyDescent="0.35">
      <c r="A97" s="38">
        <v>128</v>
      </c>
      <c r="B97" s="38" t="s">
        <v>5</v>
      </c>
      <c r="C97" s="38" t="s">
        <v>10</v>
      </c>
      <c r="D97" s="38">
        <v>91001</v>
      </c>
      <c r="E97" s="39">
        <v>200025888791</v>
      </c>
      <c r="F97" s="39" t="s">
        <v>19</v>
      </c>
      <c r="G97" s="39">
        <v>7</v>
      </c>
      <c r="H97" s="40">
        <v>45798.904328703706</v>
      </c>
      <c r="I97" s="38">
        <v>15</v>
      </c>
      <c r="J97" s="38">
        <v>96</v>
      </c>
      <c r="K97" s="38">
        <v>2</v>
      </c>
      <c r="L97" s="38">
        <v>13</v>
      </c>
    </row>
    <row r="98" spans="1:12" x14ac:dyDescent="0.35">
      <c r="A98" s="38">
        <v>129</v>
      </c>
      <c r="B98" s="38" t="s">
        <v>5</v>
      </c>
      <c r="C98" s="38" t="s">
        <v>10</v>
      </c>
      <c r="D98" s="38">
        <v>91001</v>
      </c>
      <c r="E98" s="39">
        <v>200025888791</v>
      </c>
      <c r="F98" s="39" t="s">
        <v>19</v>
      </c>
      <c r="G98" s="39">
        <v>7</v>
      </c>
      <c r="H98" s="40">
        <v>45798.904513888891</v>
      </c>
      <c r="I98" s="38">
        <v>0</v>
      </c>
      <c r="J98" s="38">
        <v>97</v>
      </c>
      <c r="K98" s="38">
        <v>3</v>
      </c>
      <c r="L98" s="38">
        <v>13</v>
      </c>
    </row>
    <row r="99" spans="1:12" x14ac:dyDescent="0.35">
      <c r="A99" s="38">
        <v>130</v>
      </c>
      <c r="B99" s="38" t="s">
        <v>5</v>
      </c>
      <c r="C99" s="38" t="s">
        <v>10</v>
      </c>
      <c r="D99" s="38">
        <v>91001</v>
      </c>
      <c r="E99" s="39">
        <v>200025888791</v>
      </c>
      <c r="F99" s="39" t="s">
        <v>19</v>
      </c>
      <c r="G99" s="39">
        <v>7</v>
      </c>
      <c r="H99" s="40">
        <v>45798.90452546296</v>
      </c>
      <c r="I99" s="38">
        <v>24</v>
      </c>
      <c r="J99" s="38">
        <v>98</v>
      </c>
      <c r="K99" s="38">
        <v>4</v>
      </c>
      <c r="L99" s="38">
        <v>13</v>
      </c>
    </row>
    <row r="100" spans="1:12" x14ac:dyDescent="0.35">
      <c r="A100" s="38">
        <v>131</v>
      </c>
      <c r="B100" s="38" t="s">
        <v>5</v>
      </c>
      <c r="C100" s="38" t="s">
        <v>10</v>
      </c>
      <c r="D100" s="38">
        <v>91001</v>
      </c>
      <c r="E100" s="39">
        <v>200025888791</v>
      </c>
      <c r="F100" s="39" t="s">
        <v>19</v>
      </c>
      <c r="G100" s="39">
        <v>7</v>
      </c>
      <c r="H100" s="40">
        <v>45798.904814814814</v>
      </c>
      <c r="I100" s="38">
        <v>2</v>
      </c>
      <c r="J100" s="38">
        <v>99</v>
      </c>
      <c r="K100" s="38">
        <v>5</v>
      </c>
      <c r="L100" s="38">
        <v>13</v>
      </c>
    </row>
    <row r="101" spans="1:12" x14ac:dyDescent="0.35">
      <c r="A101" s="38">
        <v>132</v>
      </c>
      <c r="B101" s="38" t="s">
        <v>5</v>
      </c>
      <c r="C101" s="38" t="s">
        <v>10</v>
      </c>
      <c r="D101" s="38">
        <v>91001</v>
      </c>
      <c r="E101" s="39">
        <v>200025888791</v>
      </c>
      <c r="F101" s="39" t="s">
        <v>19</v>
      </c>
      <c r="G101" s="39">
        <v>7</v>
      </c>
      <c r="H101" s="40">
        <v>45798.905335648145</v>
      </c>
      <c r="I101" s="38">
        <v>158</v>
      </c>
      <c r="J101" s="38">
        <v>100</v>
      </c>
      <c r="K101" s="38">
        <v>6</v>
      </c>
      <c r="L101" s="38">
        <v>13</v>
      </c>
    </row>
    <row r="102" spans="1:12" x14ac:dyDescent="0.35">
      <c r="A102" s="38">
        <v>133</v>
      </c>
      <c r="B102" s="38" t="s">
        <v>5</v>
      </c>
      <c r="C102" s="38" t="s">
        <v>10</v>
      </c>
      <c r="D102" s="38">
        <v>91001</v>
      </c>
      <c r="E102" s="39">
        <v>200025888863</v>
      </c>
      <c r="F102" s="39" t="s">
        <v>31</v>
      </c>
      <c r="G102" s="39">
        <v>26</v>
      </c>
      <c r="H102" s="40">
        <v>45798.967048611114</v>
      </c>
      <c r="I102" s="38">
        <v>1</v>
      </c>
      <c r="J102" s="38">
        <v>101</v>
      </c>
      <c r="K102" s="38">
        <v>8</v>
      </c>
      <c r="L102" s="38">
        <v>7</v>
      </c>
    </row>
    <row r="103" spans="1:12" x14ac:dyDescent="0.35">
      <c r="A103" s="38">
        <v>134</v>
      </c>
      <c r="B103" s="38" t="s">
        <v>5</v>
      </c>
      <c r="C103" s="38" t="s">
        <v>10</v>
      </c>
      <c r="D103" s="38">
        <v>91001</v>
      </c>
      <c r="E103" s="39">
        <v>200025888863</v>
      </c>
      <c r="F103" s="39" t="s">
        <v>31</v>
      </c>
      <c r="G103" s="39">
        <v>26</v>
      </c>
      <c r="H103" s="40">
        <v>45798.967280092591</v>
      </c>
      <c r="I103" s="38">
        <v>2</v>
      </c>
      <c r="J103" s="38">
        <v>102</v>
      </c>
      <c r="K103" s="38">
        <v>9</v>
      </c>
      <c r="L103" s="38">
        <v>7</v>
      </c>
    </row>
    <row r="104" spans="1:12" x14ac:dyDescent="0.35">
      <c r="A104" s="38">
        <v>135</v>
      </c>
      <c r="B104" s="38" t="s">
        <v>5</v>
      </c>
      <c r="C104" s="38" t="s">
        <v>10</v>
      </c>
      <c r="D104" s="38">
        <v>91001</v>
      </c>
      <c r="E104" s="39">
        <v>200025888863</v>
      </c>
      <c r="F104" s="39" t="s">
        <v>31</v>
      </c>
      <c r="G104" s="39">
        <v>26</v>
      </c>
      <c r="H104" s="40">
        <v>45798.967557870368</v>
      </c>
      <c r="I104" s="38">
        <v>0</v>
      </c>
      <c r="J104" s="38">
        <v>103</v>
      </c>
      <c r="K104" s="38">
        <v>10</v>
      </c>
      <c r="L104" s="38">
        <v>7</v>
      </c>
    </row>
    <row r="105" spans="1:12" x14ac:dyDescent="0.35">
      <c r="A105" s="38">
        <v>136</v>
      </c>
      <c r="B105" s="38" t="s">
        <v>5</v>
      </c>
      <c r="C105" s="38" t="s">
        <v>10</v>
      </c>
      <c r="D105" s="38">
        <v>91001</v>
      </c>
      <c r="E105" s="39">
        <v>200025888863</v>
      </c>
      <c r="F105" s="39" t="s">
        <v>31</v>
      </c>
      <c r="G105" s="39">
        <v>26</v>
      </c>
      <c r="H105" s="40">
        <v>45798.967557870368</v>
      </c>
      <c r="I105" s="38">
        <v>2</v>
      </c>
      <c r="J105" s="38">
        <v>104</v>
      </c>
      <c r="K105" s="38">
        <v>11</v>
      </c>
      <c r="L105" s="38">
        <v>7</v>
      </c>
    </row>
    <row r="106" spans="1:12" x14ac:dyDescent="0.35">
      <c r="A106" s="38">
        <v>137</v>
      </c>
      <c r="B106" s="38" t="s">
        <v>5</v>
      </c>
      <c r="C106" s="38" t="s">
        <v>10</v>
      </c>
      <c r="D106" s="38">
        <v>91001</v>
      </c>
      <c r="E106" s="39">
        <v>200025888863</v>
      </c>
      <c r="F106" s="39" t="s">
        <v>31</v>
      </c>
      <c r="G106" s="39">
        <v>26</v>
      </c>
      <c r="H106" s="40">
        <v>45798.96775462963</v>
      </c>
      <c r="I106" s="38">
        <v>2</v>
      </c>
      <c r="J106" s="38">
        <v>105</v>
      </c>
      <c r="K106" s="38">
        <v>12</v>
      </c>
      <c r="L106" s="38">
        <v>7</v>
      </c>
    </row>
    <row r="107" spans="1:12" x14ac:dyDescent="0.35">
      <c r="A107" s="38">
        <v>138</v>
      </c>
      <c r="B107" s="38" t="s">
        <v>5</v>
      </c>
      <c r="C107" s="38" t="s">
        <v>10</v>
      </c>
      <c r="D107" s="38">
        <v>91001</v>
      </c>
      <c r="E107" s="39">
        <v>200025888863</v>
      </c>
      <c r="F107" s="39" t="s">
        <v>31</v>
      </c>
      <c r="G107" s="39">
        <v>26</v>
      </c>
      <c r="H107" s="40">
        <v>45798.968043981484</v>
      </c>
      <c r="I107" s="38">
        <v>0</v>
      </c>
      <c r="J107" s="38">
        <v>106</v>
      </c>
      <c r="K107" s="38">
        <v>13</v>
      </c>
      <c r="L107" s="38">
        <v>7</v>
      </c>
    </row>
    <row r="108" spans="1:12" x14ac:dyDescent="0.35">
      <c r="A108" s="38">
        <v>139</v>
      </c>
      <c r="B108" s="38" t="s">
        <v>5</v>
      </c>
      <c r="C108" s="38" t="s">
        <v>10</v>
      </c>
      <c r="D108" s="38">
        <v>91001</v>
      </c>
      <c r="E108" s="39">
        <v>200025888863</v>
      </c>
      <c r="F108" s="39" t="s">
        <v>31</v>
      </c>
      <c r="G108" s="39">
        <v>26</v>
      </c>
      <c r="H108" s="40">
        <v>45798.968055555553</v>
      </c>
      <c r="I108" s="38">
        <v>4924</v>
      </c>
      <c r="J108" s="38">
        <v>107</v>
      </c>
      <c r="K108" s="38">
        <v>14</v>
      </c>
      <c r="L108" s="38">
        <v>7</v>
      </c>
    </row>
    <row r="109" spans="1:12" x14ac:dyDescent="0.35">
      <c r="A109" s="38">
        <v>140</v>
      </c>
      <c r="B109" s="38" t="s">
        <v>5</v>
      </c>
      <c r="C109" s="38" t="s">
        <v>10</v>
      </c>
      <c r="D109" s="38">
        <v>91001</v>
      </c>
      <c r="E109" s="39">
        <v>200025888791</v>
      </c>
      <c r="F109" s="39" t="s">
        <v>19</v>
      </c>
      <c r="G109" s="39">
        <v>7</v>
      </c>
      <c r="H109" s="40">
        <v>45799.027395833335</v>
      </c>
      <c r="I109" s="38">
        <v>1</v>
      </c>
      <c r="J109" s="38">
        <v>108</v>
      </c>
      <c r="K109" s="38">
        <v>7</v>
      </c>
      <c r="L109" s="38">
        <v>13</v>
      </c>
    </row>
    <row r="110" spans="1:12" x14ac:dyDescent="0.35">
      <c r="A110" s="38">
        <v>141</v>
      </c>
      <c r="B110" s="38" t="s">
        <v>5</v>
      </c>
      <c r="C110" s="38" t="s">
        <v>10</v>
      </c>
      <c r="D110" s="38">
        <v>91001</v>
      </c>
      <c r="E110" s="39">
        <v>200025888216</v>
      </c>
      <c r="F110" s="39" t="s">
        <v>21</v>
      </c>
      <c r="G110" s="39">
        <v>33</v>
      </c>
      <c r="H110" s="40">
        <v>45799.040590277778</v>
      </c>
      <c r="I110" s="38">
        <v>0</v>
      </c>
      <c r="J110" s="38">
        <v>109</v>
      </c>
      <c r="K110" s="38">
        <v>1</v>
      </c>
      <c r="L110" s="38">
        <v>16</v>
      </c>
    </row>
    <row r="111" spans="1:12" x14ac:dyDescent="0.35">
      <c r="A111" s="38">
        <v>142</v>
      </c>
      <c r="B111" s="38" t="s">
        <v>5</v>
      </c>
      <c r="C111" s="38" t="s">
        <v>10</v>
      </c>
      <c r="D111" s="38">
        <v>91001</v>
      </c>
      <c r="E111" s="39">
        <v>200025888812</v>
      </c>
      <c r="F111" s="39" t="s">
        <v>37</v>
      </c>
      <c r="G111" s="39">
        <v>49</v>
      </c>
      <c r="H111" s="40">
        <v>45799.046331018515</v>
      </c>
      <c r="I111" s="38">
        <v>0</v>
      </c>
      <c r="J111" s="38">
        <v>110</v>
      </c>
      <c r="K111" s="38">
        <v>1</v>
      </c>
      <c r="L111" s="38">
        <v>17</v>
      </c>
    </row>
    <row r="112" spans="1:12" x14ac:dyDescent="0.35">
      <c r="A112" s="38">
        <v>143</v>
      </c>
      <c r="B112" s="38" t="s">
        <v>5</v>
      </c>
      <c r="C112" s="38" t="s">
        <v>10</v>
      </c>
      <c r="D112" s="38">
        <v>91001</v>
      </c>
      <c r="E112" s="39">
        <v>200025888812</v>
      </c>
      <c r="F112" s="39" t="s">
        <v>37</v>
      </c>
      <c r="G112" s="39">
        <v>49</v>
      </c>
      <c r="H112" s="40">
        <v>45799.046689814815</v>
      </c>
      <c r="I112" s="38">
        <v>0</v>
      </c>
      <c r="J112" s="38">
        <v>111</v>
      </c>
      <c r="K112" s="38">
        <v>2</v>
      </c>
      <c r="L112" s="38">
        <v>17</v>
      </c>
    </row>
    <row r="113" spans="1:12" x14ac:dyDescent="0.35">
      <c r="A113" s="38">
        <v>144</v>
      </c>
      <c r="B113" s="38" t="s">
        <v>5</v>
      </c>
      <c r="C113" s="38" t="s">
        <v>10</v>
      </c>
      <c r="D113" s="38">
        <v>91001</v>
      </c>
      <c r="E113" s="39">
        <v>200025888272</v>
      </c>
      <c r="F113" s="39" t="s">
        <v>23</v>
      </c>
      <c r="G113" s="39">
        <v>11</v>
      </c>
      <c r="H113" s="40">
        <v>45799.076701388891</v>
      </c>
      <c r="I113" s="38">
        <v>0</v>
      </c>
      <c r="J113" s="38">
        <v>112</v>
      </c>
      <c r="K113" s="38">
        <v>1</v>
      </c>
      <c r="L113" s="38">
        <v>18</v>
      </c>
    </row>
    <row r="114" spans="1:12" x14ac:dyDescent="0.35">
      <c r="A114" s="38">
        <v>145</v>
      </c>
      <c r="B114" s="38" t="s">
        <v>5</v>
      </c>
      <c r="C114" s="38" t="s">
        <v>10</v>
      </c>
      <c r="D114" s="38">
        <v>91001</v>
      </c>
      <c r="E114" s="39">
        <v>200025888272</v>
      </c>
      <c r="F114" s="39" t="s">
        <v>23</v>
      </c>
      <c r="G114" s="39">
        <v>11</v>
      </c>
      <c r="H114" s="40">
        <v>45799.076701388891</v>
      </c>
      <c r="I114" s="38">
        <v>1</v>
      </c>
      <c r="J114" s="38">
        <v>113</v>
      </c>
      <c r="K114" s="38">
        <v>2</v>
      </c>
      <c r="L114" s="38">
        <v>18</v>
      </c>
    </row>
    <row r="115" spans="1:12" x14ac:dyDescent="0.35">
      <c r="A115" s="38">
        <v>146</v>
      </c>
      <c r="B115" s="38" t="s">
        <v>5</v>
      </c>
      <c r="C115" s="38" t="s">
        <v>10</v>
      </c>
      <c r="D115" s="38">
        <v>91001</v>
      </c>
      <c r="E115" s="39">
        <v>200025888791</v>
      </c>
      <c r="F115" s="39" t="s">
        <v>19</v>
      </c>
      <c r="G115" s="39">
        <v>7</v>
      </c>
      <c r="H115" s="40">
        <v>45799.084467592591</v>
      </c>
      <c r="I115" s="38">
        <v>0</v>
      </c>
      <c r="J115" s="38">
        <v>114</v>
      </c>
      <c r="K115" s="38">
        <v>8</v>
      </c>
      <c r="L115" s="38">
        <v>13</v>
      </c>
    </row>
    <row r="116" spans="1:12" x14ac:dyDescent="0.35">
      <c r="A116" s="38">
        <v>147</v>
      </c>
      <c r="B116" s="38" t="s">
        <v>5</v>
      </c>
      <c r="C116" s="38" t="s">
        <v>10</v>
      </c>
      <c r="D116" s="38">
        <v>91001</v>
      </c>
      <c r="E116" s="39">
        <v>200025888271</v>
      </c>
      <c r="F116" s="39" t="s">
        <v>25</v>
      </c>
      <c r="G116" s="39">
        <v>17</v>
      </c>
      <c r="H116" s="40">
        <v>45799.101458333331</v>
      </c>
      <c r="I116" s="38">
        <v>1</v>
      </c>
      <c r="J116" s="38">
        <v>115</v>
      </c>
      <c r="K116" s="38">
        <v>1</v>
      </c>
      <c r="L116" s="38">
        <v>19</v>
      </c>
    </row>
    <row r="117" spans="1:12" x14ac:dyDescent="0.35">
      <c r="A117" s="38">
        <v>148</v>
      </c>
      <c r="B117" s="38" t="s">
        <v>5</v>
      </c>
      <c r="C117" s="38" t="s">
        <v>10</v>
      </c>
      <c r="D117" s="38">
        <v>91001</v>
      </c>
      <c r="E117" s="39">
        <v>200025888271</v>
      </c>
      <c r="F117" s="39" t="s">
        <v>25</v>
      </c>
      <c r="G117" s="39">
        <v>17</v>
      </c>
      <c r="H117" s="40">
        <v>45799.101469907408</v>
      </c>
      <c r="I117" s="38">
        <v>1</v>
      </c>
      <c r="J117" s="38">
        <v>116</v>
      </c>
      <c r="K117" s="38">
        <v>2</v>
      </c>
      <c r="L117" s="38">
        <v>19</v>
      </c>
    </row>
    <row r="118" spans="1:12" x14ac:dyDescent="0.35">
      <c r="A118" s="38">
        <v>149</v>
      </c>
      <c r="B118" s="38" t="s">
        <v>5</v>
      </c>
      <c r="C118" s="38" t="s">
        <v>10</v>
      </c>
      <c r="D118" s="38">
        <v>91001</v>
      </c>
      <c r="E118" s="39">
        <v>200025888608</v>
      </c>
      <c r="F118" s="39" t="s">
        <v>29</v>
      </c>
      <c r="G118" s="39">
        <v>38</v>
      </c>
      <c r="H118" s="40">
        <v>45799.129664351851</v>
      </c>
      <c r="I118" s="38">
        <v>1</v>
      </c>
      <c r="J118" s="38">
        <v>117</v>
      </c>
      <c r="K118" s="38">
        <v>1</v>
      </c>
      <c r="L118" s="38">
        <v>20</v>
      </c>
    </row>
    <row r="119" spans="1:12" x14ac:dyDescent="0.35">
      <c r="A119" s="38">
        <v>150</v>
      </c>
      <c r="B119" s="38" t="s">
        <v>5</v>
      </c>
      <c r="C119" s="38" t="s">
        <v>10</v>
      </c>
      <c r="D119" s="38">
        <v>91001</v>
      </c>
      <c r="E119" s="39">
        <v>200025888717</v>
      </c>
      <c r="F119" s="39" t="s">
        <v>33</v>
      </c>
      <c r="G119" s="39">
        <v>48</v>
      </c>
      <c r="H119" s="40">
        <v>45799.182858796295</v>
      </c>
      <c r="I119" s="38">
        <v>1</v>
      </c>
      <c r="J119" s="38">
        <v>118</v>
      </c>
      <c r="K119" s="38">
        <v>5</v>
      </c>
      <c r="L119" s="38">
        <v>10</v>
      </c>
    </row>
    <row r="120" spans="1:12" x14ac:dyDescent="0.35">
      <c r="A120" s="38">
        <v>151</v>
      </c>
      <c r="B120" s="38" t="s">
        <v>5</v>
      </c>
      <c r="C120" s="38" t="s">
        <v>10</v>
      </c>
      <c r="D120" s="38">
        <v>91001</v>
      </c>
      <c r="E120" s="39">
        <v>200025888717</v>
      </c>
      <c r="F120" s="39" t="s">
        <v>33</v>
      </c>
      <c r="G120" s="39">
        <v>48</v>
      </c>
      <c r="H120" s="40">
        <v>45799.184999999998</v>
      </c>
      <c r="I120" s="38">
        <v>195</v>
      </c>
      <c r="J120" s="38">
        <v>119</v>
      </c>
      <c r="K120" s="38">
        <v>6</v>
      </c>
      <c r="L120" s="38">
        <v>10</v>
      </c>
    </row>
    <row r="121" spans="1:12" x14ac:dyDescent="0.35">
      <c r="A121" s="38">
        <v>152</v>
      </c>
      <c r="B121" s="38" t="s">
        <v>5</v>
      </c>
      <c r="C121" s="38" t="s">
        <v>10</v>
      </c>
      <c r="D121" s="38">
        <v>91001</v>
      </c>
      <c r="E121" s="39">
        <v>200025888808</v>
      </c>
      <c r="F121" s="39" t="s">
        <v>36</v>
      </c>
      <c r="G121" s="39">
        <v>43</v>
      </c>
      <c r="H121" s="40">
        <v>45799.189340277779</v>
      </c>
      <c r="I121" s="38">
        <v>1</v>
      </c>
      <c r="J121" s="38">
        <v>120</v>
      </c>
      <c r="K121" s="38">
        <v>2</v>
      </c>
      <c r="L121" s="38">
        <v>12</v>
      </c>
    </row>
    <row r="122" spans="1:12" x14ac:dyDescent="0.35">
      <c r="A122" s="38">
        <v>153</v>
      </c>
      <c r="B122" s="38" t="s">
        <v>5</v>
      </c>
      <c r="C122" s="38" t="s">
        <v>10</v>
      </c>
      <c r="D122" s="38">
        <v>91001</v>
      </c>
      <c r="E122" s="39">
        <v>200025888808</v>
      </c>
      <c r="F122" s="39" t="s">
        <v>36</v>
      </c>
      <c r="G122" s="39">
        <v>43</v>
      </c>
      <c r="H122" s="40">
        <v>45799.18953703704</v>
      </c>
      <c r="I122" s="38">
        <v>1</v>
      </c>
      <c r="J122" s="38">
        <v>121</v>
      </c>
      <c r="K122" s="38">
        <v>3</v>
      </c>
      <c r="L122" s="38">
        <v>12</v>
      </c>
    </row>
    <row r="123" spans="1:12" x14ac:dyDescent="0.35">
      <c r="A123" s="38">
        <v>154</v>
      </c>
      <c r="B123" s="38" t="s">
        <v>5</v>
      </c>
      <c r="C123" s="38" t="s">
        <v>10</v>
      </c>
      <c r="D123" s="38">
        <v>91001</v>
      </c>
      <c r="E123" s="39">
        <v>200025888717</v>
      </c>
      <c r="F123" s="39" t="s">
        <v>33</v>
      </c>
      <c r="G123" s="39">
        <v>48</v>
      </c>
      <c r="H123" s="40">
        <v>45799.208078703705</v>
      </c>
      <c r="I123" s="38">
        <v>107</v>
      </c>
      <c r="J123" s="38">
        <v>122</v>
      </c>
      <c r="K123" s="38">
        <v>7</v>
      </c>
      <c r="L123" s="38">
        <v>10</v>
      </c>
    </row>
    <row r="124" spans="1:12" x14ac:dyDescent="0.35">
      <c r="A124" s="38">
        <v>155</v>
      </c>
      <c r="B124" s="38" t="s">
        <v>5</v>
      </c>
      <c r="C124" s="38" t="s">
        <v>10</v>
      </c>
      <c r="D124" s="38">
        <v>91001</v>
      </c>
      <c r="E124" s="39">
        <v>200025888717</v>
      </c>
      <c r="F124" s="39" t="s">
        <v>33</v>
      </c>
      <c r="G124" s="39">
        <v>48</v>
      </c>
      <c r="H124" s="40">
        <v>45799.210069444445</v>
      </c>
      <c r="I124" s="38">
        <v>1</v>
      </c>
      <c r="J124" s="38">
        <v>123</v>
      </c>
      <c r="K124" s="38">
        <v>8</v>
      </c>
      <c r="L124" s="38">
        <v>10</v>
      </c>
    </row>
    <row r="125" spans="1:12" x14ac:dyDescent="0.35">
      <c r="A125" s="38">
        <v>156</v>
      </c>
      <c r="B125" s="38" t="s">
        <v>5</v>
      </c>
      <c r="C125" s="38" t="s">
        <v>10</v>
      </c>
      <c r="D125" s="38">
        <v>91001</v>
      </c>
      <c r="E125" s="39">
        <v>200025888717</v>
      </c>
      <c r="F125" s="39" t="s">
        <v>33</v>
      </c>
      <c r="G125" s="39">
        <v>48</v>
      </c>
      <c r="H125" s="40">
        <v>45799.210081018522</v>
      </c>
      <c r="I125" s="38">
        <v>1</v>
      </c>
      <c r="J125" s="38">
        <v>124</v>
      </c>
      <c r="K125" s="38">
        <v>9</v>
      </c>
      <c r="L125" s="38">
        <v>10</v>
      </c>
    </row>
    <row r="126" spans="1:12" x14ac:dyDescent="0.35">
      <c r="A126" s="38">
        <v>157</v>
      </c>
      <c r="B126" s="38" t="s">
        <v>5</v>
      </c>
      <c r="C126" s="38" t="s">
        <v>10</v>
      </c>
      <c r="D126" s="38">
        <v>91001</v>
      </c>
      <c r="E126" s="39">
        <v>200025888717</v>
      </c>
      <c r="F126" s="39" t="s">
        <v>33</v>
      </c>
      <c r="G126" s="39">
        <v>48</v>
      </c>
      <c r="H126" s="40">
        <v>45799.214212962965</v>
      </c>
      <c r="I126" s="38">
        <v>1</v>
      </c>
      <c r="J126" s="38">
        <v>125</v>
      </c>
      <c r="K126" s="38">
        <v>10</v>
      </c>
      <c r="L126" s="38">
        <v>10</v>
      </c>
    </row>
    <row r="127" spans="1:12" x14ac:dyDescent="0.35">
      <c r="A127" s="38">
        <v>158</v>
      </c>
      <c r="B127" s="38" t="s">
        <v>5</v>
      </c>
      <c r="C127" s="38" t="s">
        <v>10</v>
      </c>
      <c r="D127" s="38">
        <v>91001</v>
      </c>
      <c r="E127" s="39">
        <v>200025888717</v>
      </c>
      <c r="F127" s="39" t="s">
        <v>33</v>
      </c>
      <c r="G127" s="39">
        <v>48</v>
      </c>
      <c r="H127" s="40">
        <v>45799.215462962966</v>
      </c>
      <c r="I127" s="38">
        <v>2</v>
      </c>
      <c r="J127" s="38">
        <v>126</v>
      </c>
      <c r="K127" s="38">
        <v>11</v>
      </c>
      <c r="L127" s="38">
        <v>10</v>
      </c>
    </row>
    <row r="128" spans="1:12" x14ac:dyDescent="0.35">
      <c r="A128" s="38">
        <v>159</v>
      </c>
      <c r="B128" s="38" t="s">
        <v>5</v>
      </c>
      <c r="C128" s="38" t="s">
        <v>10</v>
      </c>
      <c r="D128" s="38">
        <v>91001</v>
      </c>
      <c r="E128" s="39">
        <v>200025888717</v>
      </c>
      <c r="F128" s="39" t="s">
        <v>33</v>
      </c>
      <c r="G128" s="39">
        <v>48</v>
      </c>
      <c r="H128" s="40">
        <v>45799.215601851851</v>
      </c>
      <c r="I128" s="38">
        <v>1</v>
      </c>
      <c r="J128" s="38">
        <v>127</v>
      </c>
      <c r="K128" s="38">
        <v>12</v>
      </c>
      <c r="L128" s="38">
        <v>10</v>
      </c>
    </row>
    <row r="129" spans="1:12" x14ac:dyDescent="0.35">
      <c r="A129" s="38">
        <v>160</v>
      </c>
      <c r="B129" s="38" t="s">
        <v>5</v>
      </c>
      <c r="C129" s="38" t="s">
        <v>10</v>
      </c>
      <c r="D129" s="38">
        <v>91001</v>
      </c>
      <c r="E129" s="39">
        <v>200025888717</v>
      </c>
      <c r="F129" s="39" t="s">
        <v>33</v>
      </c>
      <c r="G129" s="39">
        <v>48</v>
      </c>
      <c r="H129" s="40">
        <v>45799.215624999997</v>
      </c>
      <c r="I129" s="38">
        <v>1</v>
      </c>
      <c r="J129" s="38">
        <v>128</v>
      </c>
      <c r="K129" s="38">
        <v>13</v>
      </c>
      <c r="L129" s="38">
        <v>10</v>
      </c>
    </row>
    <row r="130" spans="1:12" x14ac:dyDescent="0.35">
      <c r="A130" s="38">
        <v>161</v>
      </c>
      <c r="B130" s="38" t="s">
        <v>5</v>
      </c>
      <c r="C130" s="38" t="s">
        <v>10</v>
      </c>
      <c r="D130" s="38">
        <v>91001</v>
      </c>
      <c r="E130" s="39">
        <v>200025888717</v>
      </c>
      <c r="F130" s="39" t="s">
        <v>33</v>
      </c>
      <c r="G130" s="39">
        <v>48</v>
      </c>
      <c r="H130" s="40">
        <v>45799.215775462966</v>
      </c>
      <c r="I130" s="38">
        <v>291</v>
      </c>
      <c r="J130" s="38">
        <v>129</v>
      </c>
      <c r="K130" s="38">
        <v>14</v>
      </c>
      <c r="L130" s="38">
        <v>10</v>
      </c>
    </row>
    <row r="131" spans="1:12" x14ac:dyDescent="0.35">
      <c r="A131" s="38">
        <v>162</v>
      </c>
      <c r="B131" s="38" t="s">
        <v>5</v>
      </c>
      <c r="C131" s="38" t="s">
        <v>10</v>
      </c>
      <c r="D131" s="38">
        <v>91001</v>
      </c>
      <c r="E131" s="39">
        <v>200025888717</v>
      </c>
      <c r="F131" s="39" t="s">
        <v>33</v>
      </c>
      <c r="G131" s="39">
        <v>48</v>
      </c>
      <c r="H131" s="40">
        <v>45799.219328703701</v>
      </c>
      <c r="I131" s="38">
        <v>0</v>
      </c>
      <c r="J131" s="38">
        <v>130</v>
      </c>
      <c r="K131" s="38">
        <v>15</v>
      </c>
      <c r="L131" s="38">
        <v>10</v>
      </c>
    </row>
    <row r="132" spans="1:12" x14ac:dyDescent="0.35">
      <c r="A132" s="38">
        <v>163</v>
      </c>
      <c r="B132" s="38" t="s">
        <v>5</v>
      </c>
      <c r="C132" s="38" t="s">
        <v>10</v>
      </c>
      <c r="D132" s="38">
        <v>91001</v>
      </c>
      <c r="E132" s="39">
        <v>200025888808</v>
      </c>
      <c r="F132" s="39" t="s">
        <v>36</v>
      </c>
      <c r="G132" s="39">
        <v>43</v>
      </c>
      <c r="H132" s="40">
        <v>45799.232152777775</v>
      </c>
      <c r="I132" s="38">
        <v>345</v>
      </c>
      <c r="J132" s="38">
        <v>131</v>
      </c>
      <c r="K132" s="38">
        <v>4</v>
      </c>
      <c r="L132" s="38">
        <v>12</v>
      </c>
    </row>
    <row r="133" spans="1:12" x14ac:dyDescent="0.35">
      <c r="A133" s="38">
        <v>164</v>
      </c>
      <c r="B133" s="38" t="s">
        <v>5</v>
      </c>
      <c r="C133" s="38" t="s">
        <v>10</v>
      </c>
      <c r="D133" s="38">
        <v>91001</v>
      </c>
      <c r="E133" s="39">
        <v>200025888271</v>
      </c>
      <c r="F133" s="39" t="s">
        <v>25</v>
      </c>
      <c r="G133" s="39">
        <v>17</v>
      </c>
      <c r="H133" s="40">
        <v>45799.254386574074</v>
      </c>
      <c r="I133" s="38">
        <v>1</v>
      </c>
      <c r="J133" s="38">
        <v>132</v>
      </c>
      <c r="K133" s="38">
        <v>3</v>
      </c>
      <c r="L133" s="38">
        <v>19</v>
      </c>
    </row>
    <row r="134" spans="1:12" x14ac:dyDescent="0.35">
      <c r="A134" s="38">
        <v>165</v>
      </c>
      <c r="B134" s="38" t="s">
        <v>5</v>
      </c>
      <c r="C134" s="38" t="s">
        <v>10</v>
      </c>
      <c r="D134" s="38">
        <v>91001</v>
      </c>
      <c r="E134" s="39">
        <v>200025888863</v>
      </c>
      <c r="F134" s="39" t="s">
        <v>31</v>
      </c>
      <c r="G134" s="39">
        <v>26</v>
      </c>
      <c r="H134" s="40">
        <v>45799.255231481482</v>
      </c>
      <c r="I134" s="38">
        <v>2</v>
      </c>
      <c r="J134" s="38">
        <v>133</v>
      </c>
      <c r="K134" s="38">
        <v>15</v>
      </c>
      <c r="L134" s="38">
        <v>7</v>
      </c>
    </row>
    <row r="135" spans="1:12" x14ac:dyDescent="0.35">
      <c r="A135" s="41">
        <v>166</v>
      </c>
      <c r="B135" s="38" t="s">
        <v>5</v>
      </c>
      <c r="C135" s="38" t="s">
        <v>10</v>
      </c>
      <c r="D135" s="38">
        <v>91001</v>
      </c>
      <c r="E135" s="39">
        <v>200025888868</v>
      </c>
      <c r="F135" s="39" t="s">
        <v>38</v>
      </c>
      <c r="G135" s="39">
        <v>44</v>
      </c>
      <c r="H135" s="40">
        <v>45799.257881944446</v>
      </c>
      <c r="I135" s="38">
        <v>1</v>
      </c>
      <c r="J135" s="38">
        <v>134</v>
      </c>
      <c r="K135" s="38">
        <v>4</v>
      </c>
      <c r="L135" s="38">
        <v>14</v>
      </c>
    </row>
    <row r="136" spans="1:12" x14ac:dyDescent="0.35">
      <c r="A136" s="38">
        <v>167</v>
      </c>
      <c r="B136" s="38" t="s">
        <v>5</v>
      </c>
      <c r="C136" s="38" t="s">
        <v>10</v>
      </c>
      <c r="D136" s="38">
        <v>91001</v>
      </c>
      <c r="E136" s="39">
        <v>200025888824</v>
      </c>
      <c r="F136" s="39" t="s">
        <v>35</v>
      </c>
      <c r="G136" s="39">
        <v>32</v>
      </c>
      <c r="H136" s="40">
        <v>45799.264305555553</v>
      </c>
      <c r="I136" s="38">
        <v>0</v>
      </c>
      <c r="J136" s="38">
        <v>135</v>
      </c>
      <c r="K136" s="38">
        <v>15</v>
      </c>
      <c r="L136" s="38">
        <v>4</v>
      </c>
    </row>
    <row r="137" spans="1:12" x14ac:dyDescent="0.35">
      <c r="A137" s="38">
        <v>168</v>
      </c>
      <c r="B137" s="38" t="s">
        <v>5</v>
      </c>
      <c r="C137" s="38" t="s">
        <v>10</v>
      </c>
      <c r="D137" s="38">
        <v>91001</v>
      </c>
      <c r="E137" s="39">
        <v>200025888824</v>
      </c>
      <c r="F137" s="39" t="s">
        <v>35</v>
      </c>
      <c r="G137" s="39">
        <v>32</v>
      </c>
      <c r="H137" s="40">
        <v>45799.265694444446</v>
      </c>
      <c r="I137" s="38">
        <v>1</v>
      </c>
      <c r="J137" s="38">
        <v>136</v>
      </c>
      <c r="K137" s="38">
        <v>16</v>
      </c>
      <c r="L137" s="38">
        <v>4</v>
      </c>
    </row>
    <row r="138" spans="1:12" x14ac:dyDescent="0.35">
      <c r="A138" s="38">
        <v>169</v>
      </c>
      <c r="B138" s="38" t="s">
        <v>5</v>
      </c>
      <c r="C138" s="38" t="s">
        <v>10</v>
      </c>
      <c r="D138" s="38">
        <v>91001</v>
      </c>
      <c r="E138" s="39">
        <v>200025888824</v>
      </c>
      <c r="F138" s="39" t="s">
        <v>35</v>
      </c>
      <c r="G138" s="39">
        <v>32</v>
      </c>
      <c r="H138" s="40">
        <v>45799.265706018516</v>
      </c>
      <c r="I138" s="38">
        <v>1</v>
      </c>
      <c r="J138" s="38">
        <v>137</v>
      </c>
      <c r="K138" s="38">
        <v>17</v>
      </c>
      <c r="L138" s="38">
        <v>4</v>
      </c>
    </row>
    <row r="139" spans="1:12" x14ac:dyDescent="0.35">
      <c r="A139" s="38">
        <v>170</v>
      </c>
      <c r="B139" s="38" t="s">
        <v>5</v>
      </c>
      <c r="C139" s="38" t="s">
        <v>10</v>
      </c>
      <c r="D139" s="38">
        <v>91001</v>
      </c>
      <c r="E139" s="39">
        <v>200025888824</v>
      </c>
      <c r="F139" s="39" t="s">
        <v>35</v>
      </c>
      <c r="G139" s="39">
        <v>32</v>
      </c>
      <c r="H139" s="40">
        <v>45799.266342592593</v>
      </c>
      <c r="I139" s="38">
        <v>2</v>
      </c>
      <c r="J139" s="38">
        <v>138</v>
      </c>
      <c r="K139" s="38">
        <v>18</v>
      </c>
      <c r="L139" s="38">
        <v>4</v>
      </c>
    </row>
    <row r="140" spans="1:12" x14ac:dyDescent="0.35">
      <c r="A140" s="38">
        <v>171</v>
      </c>
      <c r="B140" s="38" t="s">
        <v>5</v>
      </c>
      <c r="C140" s="38" t="s">
        <v>10</v>
      </c>
      <c r="D140" s="38">
        <v>91001</v>
      </c>
      <c r="E140" s="39">
        <v>200025888808</v>
      </c>
      <c r="F140" s="39" t="s">
        <v>36</v>
      </c>
      <c r="G140" s="39">
        <v>43</v>
      </c>
      <c r="H140" s="40">
        <v>45799.269074074073</v>
      </c>
      <c r="I140" s="38">
        <v>1</v>
      </c>
      <c r="J140" s="38">
        <v>139</v>
      </c>
      <c r="K140" s="38">
        <v>5</v>
      </c>
      <c r="L140" s="38">
        <v>12</v>
      </c>
    </row>
    <row r="141" spans="1:12" x14ac:dyDescent="0.35">
      <c r="A141" s="38">
        <v>172</v>
      </c>
      <c r="B141" s="38" t="s">
        <v>5</v>
      </c>
      <c r="C141" s="38" t="s">
        <v>10</v>
      </c>
      <c r="D141" s="38">
        <v>91001</v>
      </c>
      <c r="E141" s="39">
        <v>200025888235</v>
      </c>
      <c r="F141" s="39" t="s">
        <v>22</v>
      </c>
      <c r="G141" s="39">
        <v>22</v>
      </c>
      <c r="H141" s="40">
        <v>45799.332499999997</v>
      </c>
      <c r="I141" s="38">
        <v>1</v>
      </c>
      <c r="J141" s="38">
        <v>140</v>
      </c>
      <c r="K141" s="38">
        <v>1</v>
      </c>
      <c r="L141" s="38">
        <v>21</v>
      </c>
    </row>
    <row r="142" spans="1:12" x14ac:dyDescent="0.35">
      <c r="A142" s="38">
        <v>173</v>
      </c>
      <c r="B142" s="38" t="s">
        <v>5</v>
      </c>
      <c r="C142" s="38" t="s">
        <v>10</v>
      </c>
      <c r="D142" s="38">
        <v>91001</v>
      </c>
      <c r="E142" s="39">
        <v>200025888791</v>
      </c>
      <c r="F142" s="39" t="s">
        <v>19</v>
      </c>
      <c r="G142" s="39">
        <v>7</v>
      </c>
      <c r="H142" s="40">
        <v>45799.405405092592</v>
      </c>
      <c r="I142" s="38">
        <v>0</v>
      </c>
      <c r="J142" s="38">
        <v>141</v>
      </c>
      <c r="K142" s="38">
        <v>9</v>
      </c>
      <c r="L142" s="38">
        <v>13</v>
      </c>
    </row>
    <row r="143" spans="1:12" x14ac:dyDescent="0.35">
      <c r="A143" s="38">
        <v>174</v>
      </c>
      <c r="B143" s="38" t="s">
        <v>5</v>
      </c>
      <c r="C143" s="38" t="s">
        <v>10</v>
      </c>
      <c r="D143" s="38">
        <v>91001</v>
      </c>
      <c r="E143" s="39">
        <v>200025888791</v>
      </c>
      <c r="F143" s="39" t="s">
        <v>19</v>
      </c>
      <c r="G143" s="39">
        <v>7</v>
      </c>
      <c r="H143" s="40">
        <v>45799.405405092592</v>
      </c>
      <c r="I143" s="38">
        <v>1</v>
      </c>
      <c r="J143" s="38">
        <v>142</v>
      </c>
      <c r="K143" s="38">
        <v>10</v>
      </c>
      <c r="L143" s="38">
        <v>13</v>
      </c>
    </row>
    <row r="144" spans="1:12" x14ac:dyDescent="0.35">
      <c r="A144" s="38">
        <v>175</v>
      </c>
      <c r="B144" s="38" t="s">
        <v>5</v>
      </c>
      <c r="C144" s="38" t="s">
        <v>10</v>
      </c>
      <c r="D144" s="38">
        <v>91001</v>
      </c>
      <c r="E144" s="39">
        <v>200025888791</v>
      </c>
      <c r="F144" s="39" t="s">
        <v>19</v>
      </c>
      <c r="G144" s="39">
        <v>7</v>
      </c>
      <c r="H144" s="40">
        <v>45799.405416666668</v>
      </c>
      <c r="I144" s="38">
        <v>1306</v>
      </c>
      <c r="J144" s="38">
        <v>143</v>
      </c>
      <c r="K144" s="38">
        <v>11</v>
      </c>
      <c r="L144" s="38">
        <v>13</v>
      </c>
    </row>
    <row r="145" spans="1:12" x14ac:dyDescent="0.35">
      <c r="A145" s="38">
        <v>176</v>
      </c>
      <c r="B145" s="38" t="s">
        <v>5</v>
      </c>
      <c r="C145" s="38" t="s">
        <v>10</v>
      </c>
      <c r="D145" s="38">
        <v>91001</v>
      </c>
      <c r="E145" s="39">
        <v>200025888216</v>
      </c>
      <c r="F145" s="39" t="s">
        <v>21</v>
      </c>
      <c r="G145" s="39">
        <v>33</v>
      </c>
      <c r="H145" s="40">
        <v>45799.420543981483</v>
      </c>
      <c r="I145" s="38">
        <v>0</v>
      </c>
      <c r="J145" s="38">
        <v>144</v>
      </c>
      <c r="K145" s="38">
        <v>2</v>
      </c>
      <c r="L145" s="38">
        <v>16</v>
      </c>
    </row>
    <row r="146" spans="1:12" x14ac:dyDescent="0.35">
      <c r="A146" s="38">
        <v>177</v>
      </c>
      <c r="B146" s="38" t="s">
        <v>5</v>
      </c>
      <c r="C146" s="38" t="s">
        <v>10</v>
      </c>
      <c r="D146" s="38">
        <v>91001</v>
      </c>
      <c r="E146" s="39">
        <v>200025888235</v>
      </c>
      <c r="F146" s="39" t="s">
        <v>22</v>
      </c>
      <c r="G146" s="39">
        <v>22</v>
      </c>
      <c r="H146" s="40">
        <v>45799.440474537034</v>
      </c>
      <c r="I146" s="38">
        <v>0</v>
      </c>
      <c r="J146" s="38">
        <v>145</v>
      </c>
      <c r="K146" s="38">
        <v>2</v>
      </c>
      <c r="L146" s="38">
        <v>21</v>
      </c>
    </row>
    <row r="147" spans="1:12" x14ac:dyDescent="0.35">
      <c r="A147" s="38">
        <v>178</v>
      </c>
      <c r="B147" s="38" t="s">
        <v>5</v>
      </c>
      <c r="C147" s="38" t="s">
        <v>10</v>
      </c>
      <c r="D147" s="38">
        <v>91001</v>
      </c>
      <c r="E147" s="39">
        <v>200025888235</v>
      </c>
      <c r="F147" s="39" t="s">
        <v>22</v>
      </c>
      <c r="G147" s="39">
        <v>22</v>
      </c>
      <c r="H147" s="40">
        <v>45799.440486111111</v>
      </c>
      <c r="I147" s="38">
        <v>0</v>
      </c>
      <c r="J147" s="38">
        <v>146</v>
      </c>
      <c r="K147" s="38">
        <v>3</v>
      </c>
      <c r="L147" s="38">
        <v>21</v>
      </c>
    </row>
    <row r="148" spans="1:12" x14ac:dyDescent="0.35">
      <c r="A148" s="38">
        <v>179</v>
      </c>
      <c r="B148" s="38" t="s">
        <v>5</v>
      </c>
      <c r="C148" s="38" t="s">
        <v>10</v>
      </c>
      <c r="D148" s="38">
        <v>91001</v>
      </c>
      <c r="E148" s="39">
        <v>200025888235</v>
      </c>
      <c r="F148" s="39" t="s">
        <v>22</v>
      </c>
      <c r="G148" s="39">
        <v>22</v>
      </c>
      <c r="H148" s="40">
        <v>45799.459699074076</v>
      </c>
      <c r="I148" s="38">
        <v>0</v>
      </c>
      <c r="J148" s="38">
        <v>147</v>
      </c>
      <c r="K148" s="38">
        <v>4</v>
      </c>
      <c r="L148" s="38">
        <v>21</v>
      </c>
    </row>
    <row r="149" spans="1:12" x14ac:dyDescent="0.35">
      <c r="A149" s="38">
        <v>180</v>
      </c>
      <c r="B149" s="38" t="s">
        <v>5</v>
      </c>
      <c r="C149" s="38" t="s">
        <v>10</v>
      </c>
      <c r="D149" s="38">
        <v>91001</v>
      </c>
      <c r="E149" s="39">
        <v>200025888163</v>
      </c>
      <c r="F149" s="39" t="s">
        <v>43</v>
      </c>
      <c r="G149" s="39">
        <v>3</v>
      </c>
      <c r="H149" s="40">
        <v>45799.495081018518</v>
      </c>
      <c r="I149" s="38">
        <v>3</v>
      </c>
      <c r="J149" s="38">
        <v>148</v>
      </c>
      <c r="K149" s="38">
        <v>8</v>
      </c>
      <c r="L149" s="38">
        <v>8</v>
      </c>
    </row>
    <row r="150" spans="1:12" x14ac:dyDescent="0.35">
      <c r="A150" s="38">
        <v>181</v>
      </c>
      <c r="B150" s="38" t="s">
        <v>5</v>
      </c>
      <c r="C150" s="38" t="s">
        <v>10</v>
      </c>
      <c r="D150" s="38">
        <v>91001</v>
      </c>
      <c r="E150" s="39">
        <v>200025888812</v>
      </c>
      <c r="F150" s="39" t="s">
        <v>37</v>
      </c>
      <c r="G150" s="39">
        <v>49</v>
      </c>
      <c r="H150" s="40">
        <v>45799.499143518522</v>
      </c>
      <c r="I150" s="38">
        <v>1</v>
      </c>
      <c r="J150" s="38">
        <v>149</v>
      </c>
      <c r="K150" s="38">
        <v>3</v>
      </c>
      <c r="L150" s="38">
        <v>17</v>
      </c>
    </row>
    <row r="151" spans="1:12" x14ac:dyDescent="0.35">
      <c r="A151" s="38">
        <v>182</v>
      </c>
      <c r="B151" s="38" t="s">
        <v>5</v>
      </c>
      <c r="C151" s="38" t="s">
        <v>10</v>
      </c>
      <c r="D151" s="38">
        <v>91001</v>
      </c>
      <c r="E151" s="39">
        <v>200025888812</v>
      </c>
      <c r="F151" s="39" t="s">
        <v>37</v>
      </c>
      <c r="G151" s="39">
        <v>49</v>
      </c>
      <c r="H151" s="40">
        <v>45799.499155092592</v>
      </c>
      <c r="I151" s="38">
        <v>0</v>
      </c>
      <c r="J151" s="38">
        <v>150</v>
      </c>
      <c r="K151" s="38">
        <v>4</v>
      </c>
      <c r="L151" s="38">
        <v>17</v>
      </c>
    </row>
    <row r="152" spans="1:12" x14ac:dyDescent="0.35">
      <c r="A152" s="38">
        <v>183</v>
      </c>
      <c r="B152" s="38" t="s">
        <v>5</v>
      </c>
      <c r="C152" s="38" t="s">
        <v>10</v>
      </c>
      <c r="D152" s="38">
        <v>91001</v>
      </c>
      <c r="E152" s="39">
        <v>200025888808</v>
      </c>
      <c r="F152" s="39" t="s">
        <v>36</v>
      </c>
      <c r="G152" s="39">
        <v>43</v>
      </c>
      <c r="H152" s="40">
        <v>45799.558888888889</v>
      </c>
      <c r="I152" s="38">
        <v>2</v>
      </c>
      <c r="J152" s="38">
        <v>151</v>
      </c>
      <c r="K152" s="38">
        <v>6</v>
      </c>
      <c r="L152" s="38">
        <v>12</v>
      </c>
    </row>
    <row r="153" spans="1:12" x14ac:dyDescent="0.35">
      <c r="A153" s="38">
        <v>184</v>
      </c>
      <c r="B153" s="38" t="s">
        <v>5</v>
      </c>
      <c r="C153" s="38" t="s">
        <v>10</v>
      </c>
      <c r="D153" s="38">
        <v>91001</v>
      </c>
      <c r="E153" s="39">
        <v>200025888808</v>
      </c>
      <c r="F153" s="39" t="s">
        <v>36</v>
      </c>
      <c r="G153" s="39">
        <v>43</v>
      </c>
      <c r="H153" s="40">
        <v>45799.560601851852</v>
      </c>
      <c r="I153" s="38">
        <v>1</v>
      </c>
      <c r="J153" s="38">
        <v>152</v>
      </c>
      <c r="K153" s="38">
        <v>7</v>
      </c>
      <c r="L153" s="38">
        <v>12</v>
      </c>
    </row>
    <row r="154" spans="1:12" x14ac:dyDescent="0.35">
      <c r="A154" s="38">
        <v>185</v>
      </c>
      <c r="B154" s="38" t="s">
        <v>5</v>
      </c>
      <c r="C154" s="38" t="s">
        <v>10</v>
      </c>
      <c r="D154" s="38">
        <v>91001</v>
      </c>
      <c r="E154" s="39">
        <v>200025888808</v>
      </c>
      <c r="F154" s="39" t="s">
        <v>36</v>
      </c>
      <c r="G154" s="39">
        <v>43</v>
      </c>
      <c r="H154" s="40">
        <v>45799.560891203706</v>
      </c>
      <c r="I154" s="38">
        <v>0</v>
      </c>
      <c r="J154" s="38">
        <v>153</v>
      </c>
      <c r="K154" s="38">
        <v>8</v>
      </c>
      <c r="L154" s="38">
        <v>12</v>
      </c>
    </row>
    <row r="155" spans="1:12" x14ac:dyDescent="0.35">
      <c r="A155" s="38">
        <v>186</v>
      </c>
      <c r="B155" s="38" t="s">
        <v>5</v>
      </c>
      <c r="C155" s="38" t="s">
        <v>10</v>
      </c>
      <c r="D155" s="38">
        <v>91001</v>
      </c>
      <c r="E155" s="39">
        <v>200025888808</v>
      </c>
      <c r="F155" s="39" t="s">
        <v>36</v>
      </c>
      <c r="G155" s="39">
        <v>43</v>
      </c>
      <c r="H155" s="40">
        <v>45799.560902777775</v>
      </c>
      <c r="I155" s="38">
        <v>23</v>
      </c>
      <c r="J155" s="38">
        <v>154</v>
      </c>
      <c r="K155" s="38">
        <v>9</v>
      </c>
      <c r="L155" s="38">
        <v>12</v>
      </c>
    </row>
    <row r="156" spans="1:12" x14ac:dyDescent="0.35">
      <c r="A156" s="38">
        <v>187</v>
      </c>
      <c r="B156" s="38" t="s">
        <v>5</v>
      </c>
      <c r="C156" s="38" t="s">
        <v>10</v>
      </c>
      <c r="D156" s="38">
        <v>91001</v>
      </c>
      <c r="E156" s="39">
        <v>200025888808</v>
      </c>
      <c r="F156" s="39" t="s">
        <v>36</v>
      </c>
      <c r="G156" s="39">
        <v>43</v>
      </c>
      <c r="H156" s="40">
        <v>45799.561180555553</v>
      </c>
      <c r="I156" s="38">
        <v>0</v>
      </c>
      <c r="J156" s="38">
        <v>155</v>
      </c>
      <c r="K156" s="38">
        <v>10</v>
      </c>
      <c r="L156" s="38">
        <v>12</v>
      </c>
    </row>
    <row r="157" spans="1:12" x14ac:dyDescent="0.35">
      <c r="A157" s="38">
        <v>188</v>
      </c>
      <c r="B157" s="38" t="s">
        <v>5</v>
      </c>
      <c r="C157" s="38" t="s">
        <v>10</v>
      </c>
      <c r="D157" s="38">
        <v>91001</v>
      </c>
      <c r="E157" s="39">
        <v>200025888808</v>
      </c>
      <c r="F157" s="39" t="s">
        <v>36</v>
      </c>
      <c r="G157" s="39">
        <v>43</v>
      </c>
      <c r="H157" s="40">
        <v>45799.563923611109</v>
      </c>
      <c r="I157" s="38">
        <v>0</v>
      </c>
      <c r="J157" s="38">
        <v>156</v>
      </c>
      <c r="K157" s="38">
        <v>11</v>
      </c>
      <c r="L157" s="38">
        <v>12</v>
      </c>
    </row>
    <row r="158" spans="1:12" x14ac:dyDescent="0.35">
      <c r="A158" s="38">
        <v>189</v>
      </c>
      <c r="B158" s="38" t="s">
        <v>5</v>
      </c>
      <c r="C158" s="38" t="s">
        <v>10</v>
      </c>
      <c r="D158" s="38">
        <v>91001</v>
      </c>
      <c r="E158" s="39">
        <v>200025888808</v>
      </c>
      <c r="F158" s="39" t="s">
        <v>36</v>
      </c>
      <c r="G158" s="39">
        <v>43</v>
      </c>
      <c r="H158" s="40">
        <v>45799.570648148147</v>
      </c>
      <c r="I158" s="38">
        <v>1</v>
      </c>
      <c r="J158" s="38">
        <v>157</v>
      </c>
      <c r="K158" s="38">
        <v>12</v>
      </c>
      <c r="L158" s="38">
        <v>12</v>
      </c>
    </row>
    <row r="159" spans="1:12" x14ac:dyDescent="0.35">
      <c r="A159" s="38">
        <v>190</v>
      </c>
      <c r="B159" s="38" t="s">
        <v>5</v>
      </c>
      <c r="C159" s="38" t="s">
        <v>10</v>
      </c>
      <c r="D159" s="38">
        <v>91001</v>
      </c>
      <c r="E159" s="39">
        <v>200025888812</v>
      </c>
      <c r="F159" s="39" t="s">
        <v>37</v>
      </c>
      <c r="G159" s="39">
        <v>49</v>
      </c>
      <c r="H159" s="40">
        <v>45799.5783912037</v>
      </c>
      <c r="I159" s="38">
        <v>1</v>
      </c>
      <c r="J159" s="38">
        <v>158</v>
      </c>
      <c r="K159" s="38">
        <v>5</v>
      </c>
      <c r="L159" s="38">
        <v>17</v>
      </c>
    </row>
    <row r="160" spans="1:12" x14ac:dyDescent="0.35">
      <c r="A160" s="38">
        <v>191</v>
      </c>
      <c r="B160" s="38" t="s">
        <v>5</v>
      </c>
      <c r="C160" s="38" t="s">
        <v>10</v>
      </c>
      <c r="D160" s="38">
        <v>91001</v>
      </c>
      <c r="E160" s="39">
        <v>200025888812</v>
      </c>
      <c r="F160" s="39" t="s">
        <v>37</v>
      </c>
      <c r="G160" s="39">
        <v>49</v>
      </c>
      <c r="H160" s="40">
        <v>45799.578553240739</v>
      </c>
      <c r="I160" s="38">
        <v>0</v>
      </c>
      <c r="J160" s="38">
        <v>159</v>
      </c>
      <c r="K160" s="38">
        <v>6</v>
      </c>
      <c r="L160" s="38">
        <v>17</v>
      </c>
    </row>
    <row r="161" spans="1:12" x14ac:dyDescent="0.35">
      <c r="A161" s="38">
        <v>192</v>
      </c>
      <c r="B161" s="38" t="s">
        <v>5</v>
      </c>
      <c r="C161" s="38" t="s">
        <v>10</v>
      </c>
      <c r="D161" s="38">
        <v>91001</v>
      </c>
      <c r="E161" s="39">
        <v>200025888812</v>
      </c>
      <c r="F161" s="39" t="s">
        <v>37</v>
      </c>
      <c r="G161" s="39">
        <v>49</v>
      </c>
      <c r="H161" s="40">
        <v>45799.578726851854</v>
      </c>
      <c r="I161" s="38">
        <v>0</v>
      </c>
      <c r="J161" s="38">
        <v>160</v>
      </c>
      <c r="K161" s="38">
        <v>7</v>
      </c>
      <c r="L161" s="38">
        <v>17</v>
      </c>
    </row>
    <row r="162" spans="1:12" x14ac:dyDescent="0.35">
      <c r="A162" s="38">
        <v>193</v>
      </c>
      <c r="B162" s="38" t="s">
        <v>5</v>
      </c>
      <c r="C162" s="38" t="s">
        <v>10</v>
      </c>
      <c r="D162" s="38">
        <v>91001</v>
      </c>
      <c r="E162" s="39">
        <v>200025888812</v>
      </c>
      <c r="F162" s="39" t="s">
        <v>37</v>
      </c>
      <c r="G162" s="39">
        <v>49</v>
      </c>
      <c r="H162" s="40">
        <v>45799.578738425924</v>
      </c>
      <c r="I162" s="38">
        <v>0</v>
      </c>
      <c r="J162" s="38">
        <v>161</v>
      </c>
      <c r="K162" s="38">
        <v>8</v>
      </c>
      <c r="L162" s="38">
        <v>17</v>
      </c>
    </row>
    <row r="163" spans="1:12" x14ac:dyDescent="0.35">
      <c r="A163" s="38">
        <v>194</v>
      </c>
      <c r="B163" s="38" t="s">
        <v>5</v>
      </c>
      <c r="C163" s="38" t="s">
        <v>10</v>
      </c>
      <c r="D163" s="38">
        <v>91001</v>
      </c>
      <c r="E163" s="39">
        <v>200025888808</v>
      </c>
      <c r="F163" s="39" t="s">
        <v>36</v>
      </c>
      <c r="G163" s="39">
        <v>43</v>
      </c>
      <c r="H163" s="40">
        <v>45799.583252314813</v>
      </c>
      <c r="I163" s="38">
        <v>1</v>
      </c>
      <c r="J163" s="38">
        <v>162</v>
      </c>
      <c r="K163" s="38">
        <v>13</v>
      </c>
      <c r="L163" s="38">
        <v>12</v>
      </c>
    </row>
    <row r="164" spans="1:12" x14ac:dyDescent="0.35">
      <c r="A164" s="38">
        <v>195</v>
      </c>
      <c r="B164" s="38" t="s">
        <v>5</v>
      </c>
      <c r="C164" s="38" t="s">
        <v>10</v>
      </c>
      <c r="D164" s="38">
        <v>91001</v>
      </c>
      <c r="E164" s="39">
        <v>200025888509</v>
      </c>
      <c r="F164" s="39" t="s">
        <v>28</v>
      </c>
      <c r="G164" s="39">
        <v>35</v>
      </c>
      <c r="H164" s="40">
        <v>45799.604421296295</v>
      </c>
      <c r="I164" s="38">
        <v>0</v>
      </c>
      <c r="J164" s="38">
        <v>163</v>
      </c>
      <c r="K164" s="38">
        <v>1</v>
      </c>
      <c r="L164" s="38">
        <v>23</v>
      </c>
    </row>
    <row r="165" spans="1:12" x14ac:dyDescent="0.35">
      <c r="A165" s="41">
        <v>196</v>
      </c>
      <c r="B165" s="41" t="s">
        <v>5</v>
      </c>
      <c r="C165" s="41" t="s">
        <v>10</v>
      </c>
      <c r="D165" s="41">
        <v>91001</v>
      </c>
      <c r="E165" s="39">
        <v>200025888663</v>
      </c>
      <c r="F165" s="39" t="s">
        <v>32</v>
      </c>
      <c r="G165" s="39">
        <v>29</v>
      </c>
      <c r="H165" s="40">
        <v>45799.694884259261</v>
      </c>
      <c r="I165" s="41">
        <v>0</v>
      </c>
      <c r="J165" s="38">
        <v>164</v>
      </c>
      <c r="K165" s="38">
        <v>1</v>
      </c>
      <c r="L165" s="38">
        <v>24</v>
      </c>
    </row>
    <row r="166" spans="1:12" x14ac:dyDescent="0.35">
      <c r="A166" s="41">
        <v>197</v>
      </c>
      <c r="B166" s="41" t="s">
        <v>5</v>
      </c>
      <c r="C166" s="41" t="s">
        <v>10</v>
      </c>
      <c r="D166" s="41">
        <v>91001</v>
      </c>
      <c r="E166" s="39">
        <v>200025888216</v>
      </c>
      <c r="F166" s="39" t="s">
        <v>21</v>
      </c>
      <c r="G166" s="39">
        <v>33</v>
      </c>
      <c r="H166" s="40">
        <v>45799.70648148148</v>
      </c>
      <c r="I166" s="41">
        <v>0</v>
      </c>
      <c r="J166" s="38">
        <v>165</v>
      </c>
      <c r="K166" s="38">
        <v>3</v>
      </c>
      <c r="L166" s="38">
        <v>16</v>
      </c>
    </row>
    <row r="167" spans="1:12" x14ac:dyDescent="0.35">
      <c r="A167" s="41">
        <v>198</v>
      </c>
      <c r="B167" s="41" t="s">
        <v>5</v>
      </c>
      <c r="C167" s="41" t="s">
        <v>10</v>
      </c>
      <c r="D167" s="41">
        <v>91001</v>
      </c>
      <c r="E167" s="39">
        <v>200025888663</v>
      </c>
      <c r="F167" s="39" t="s">
        <v>32</v>
      </c>
      <c r="G167" s="39">
        <v>29</v>
      </c>
      <c r="H167" s="40">
        <v>45799.711018518516</v>
      </c>
      <c r="I167" s="41">
        <v>2</v>
      </c>
      <c r="J167" s="38">
        <v>166</v>
      </c>
      <c r="K167" s="38">
        <v>2</v>
      </c>
      <c r="L167" s="38">
        <v>24</v>
      </c>
    </row>
    <row r="168" spans="1:12" x14ac:dyDescent="0.35">
      <c r="A168" s="41">
        <v>199</v>
      </c>
      <c r="B168" s="41" t="s">
        <v>5</v>
      </c>
      <c r="C168" s="41" t="s">
        <v>10</v>
      </c>
      <c r="D168" s="41">
        <v>91001</v>
      </c>
      <c r="E168" s="39">
        <v>200025888663</v>
      </c>
      <c r="F168" s="39" t="s">
        <v>32</v>
      </c>
      <c r="G168" s="39">
        <v>29</v>
      </c>
      <c r="H168" s="40">
        <v>45799.71266203704</v>
      </c>
      <c r="I168" s="41">
        <v>0</v>
      </c>
      <c r="J168" s="38">
        <v>167</v>
      </c>
      <c r="K168" s="38">
        <v>3</v>
      </c>
      <c r="L168" s="38">
        <v>24</v>
      </c>
    </row>
    <row r="169" spans="1:12" x14ac:dyDescent="0.35">
      <c r="A169" s="41">
        <v>200</v>
      </c>
      <c r="B169" s="41" t="s">
        <v>5</v>
      </c>
      <c r="C169" s="41" t="s">
        <v>10</v>
      </c>
      <c r="D169" s="41">
        <v>91001</v>
      </c>
      <c r="E169" s="39">
        <v>200025888663</v>
      </c>
      <c r="F169" s="39" t="s">
        <v>32</v>
      </c>
      <c r="G169" s="39">
        <v>29</v>
      </c>
      <c r="H169" s="40">
        <v>45799.712673611109</v>
      </c>
      <c r="I169" s="41">
        <v>0</v>
      </c>
      <c r="J169" s="38">
        <v>168</v>
      </c>
      <c r="K169" s="38">
        <v>4</v>
      </c>
      <c r="L169" s="38">
        <v>24</v>
      </c>
    </row>
    <row r="170" spans="1:12" x14ac:dyDescent="0.35">
      <c r="A170" s="41">
        <v>201</v>
      </c>
      <c r="B170" s="41" t="s">
        <v>5</v>
      </c>
      <c r="C170" s="41" t="s">
        <v>10</v>
      </c>
      <c r="D170" s="41">
        <v>91001</v>
      </c>
      <c r="E170" s="39">
        <v>200025888271</v>
      </c>
      <c r="F170" s="39" t="s">
        <v>25</v>
      </c>
      <c r="G170" s="39">
        <v>17</v>
      </c>
      <c r="H170" s="40">
        <v>45799.750428240739</v>
      </c>
      <c r="I170" s="41">
        <v>2</v>
      </c>
      <c r="J170" s="38">
        <v>169</v>
      </c>
      <c r="K170" s="38">
        <v>4</v>
      </c>
      <c r="L170" s="38">
        <v>19</v>
      </c>
    </row>
    <row r="171" spans="1:12" x14ac:dyDescent="0.35">
      <c r="A171" s="41">
        <v>202</v>
      </c>
      <c r="B171" s="41" t="s">
        <v>5</v>
      </c>
      <c r="C171" s="41" t="s">
        <v>10</v>
      </c>
      <c r="D171" s="41">
        <v>91001</v>
      </c>
      <c r="E171" s="39">
        <v>200025888271</v>
      </c>
      <c r="F171" s="39" t="s">
        <v>25</v>
      </c>
      <c r="G171" s="39">
        <v>17</v>
      </c>
      <c r="H171" s="40">
        <v>45799.750613425924</v>
      </c>
      <c r="I171" s="41">
        <v>1</v>
      </c>
      <c r="J171" s="38">
        <v>170</v>
      </c>
      <c r="K171" s="38">
        <v>5</v>
      </c>
      <c r="L171" s="38">
        <v>19</v>
      </c>
    </row>
    <row r="172" spans="1:12" x14ac:dyDescent="0.35">
      <c r="A172" s="41">
        <v>203</v>
      </c>
      <c r="B172" s="41" t="s">
        <v>5</v>
      </c>
      <c r="C172" s="41" t="s">
        <v>10</v>
      </c>
      <c r="D172" s="41">
        <v>91001</v>
      </c>
      <c r="E172" s="39">
        <v>200025888200</v>
      </c>
      <c r="F172" s="39" t="s">
        <v>17</v>
      </c>
      <c r="G172" s="39">
        <v>34</v>
      </c>
      <c r="H172" s="40">
        <v>45799.753240740742</v>
      </c>
      <c r="I172" s="41">
        <v>0</v>
      </c>
      <c r="J172" s="38">
        <v>171</v>
      </c>
      <c r="K172" s="38">
        <v>11</v>
      </c>
      <c r="L172" s="38">
        <v>3</v>
      </c>
    </row>
    <row r="173" spans="1:12" x14ac:dyDescent="0.35">
      <c r="A173" s="41">
        <v>204</v>
      </c>
      <c r="B173" s="41" t="s">
        <v>5</v>
      </c>
      <c r="C173" s="41" t="s">
        <v>10</v>
      </c>
      <c r="D173" s="41">
        <v>91001</v>
      </c>
      <c r="E173" s="39">
        <v>200025888200</v>
      </c>
      <c r="F173" s="39" t="s">
        <v>17</v>
      </c>
      <c r="G173" s="39">
        <v>34</v>
      </c>
      <c r="H173" s="40">
        <v>45799.753252314818</v>
      </c>
      <c r="I173" s="41">
        <v>0</v>
      </c>
      <c r="J173" s="38">
        <v>172</v>
      </c>
      <c r="K173" s="38">
        <v>12</v>
      </c>
      <c r="L173" s="38">
        <v>3</v>
      </c>
    </row>
    <row r="174" spans="1:12" x14ac:dyDescent="0.35">
      <c r="A174" s="41">
        <v>205</v>
      </c>
      <c r="B174" s="41" t="s">
        <v>5</v>
      </c>
      <c r="C174" s="41" t="s">
        <v>10</v>
      </c>
      <c r="D174" s="41">
        <v>91001</v>
      </c>
      <c r="E174" s="39">
        <v>200025888216</v>
      </c>
      <c r="F174" s="39" t="s">
        <v>21</v>
      </c>
      <c r="G174" s="39">
        <v>33</v>
      </c>
      <c r="H174" s="40">
        <v>45799.801666666666</v>
      </c>
      <c r="I174" s="41">
        <v>1</v>
      </c>
      <c r="J174" s="38">
        <v>173</v>
      </c>
      <c r="K174" s="38">
        <v>4</v>
      </c>
      <c r="L174" s="38">
        <v>16</v>
      </c>
    </row>
    <row r="175" spans="1:12" x14ac:dyDescent="0.35">
      <c r="A175" s="41">
        <v>206</v>
      </c>
      <c r="B175" s="41" t="s">
        <v>5</v>
      </c>
      <c r="C175" s="41" t="s">
        <v>10</v>
      </c>
      <c r="D175" s="41">
        <v>91001</v>
      </c>
      <c r="E175" s="39">
        <v>200025888663</v>
      </c>
      <c r="F175" s="39" t="s">
        <v>32</v>
      </c>
      <c r="G175" s="39">
        <v>29</v>
      </c>
      <c r="H175" s="40">
        <v>45799.81753472222</v>
      </c>
      <c r="I175" s="41">
        <v>2</v>
      </c>
      <c r="J175" s="38">
        <v>174</v>
      </c>
      <c r="K175" s="38">
        <v>5</v>
      </c>
      <c r="L175" s="38">
        <v>24</v>
      </c>
    </row>
    <row r="176" spans="1:12" x14ac:dyDescent="0.35">
      <c r="A176" s="41">
        <v>207</v>
      </c>
      <c r="B176" s="41" t="s">
        <v>5</v>
      </c>
      <c r="C176" s="41" t="s">
        <v>10</v>
      </c>
      <c r="D176" s="41">
        <v>91001</v>
      </c>
      <c r="E176" s="39">
        <v>200025888663</v>
      </c>
      <c r="F176" s="39" t="s">
        <v>32</v>
      </c>
      <c r="G176" s="39">
        <v>29</v>
      </c>
      <c r="H176" s="40">
        <v>45799.817743055559</v>
      </c>
      <c r="I176" s="41">
        <v>2</v>
      </c>
      <c r="J176" s="38">
        <v>175</v>
      </c>
      <c r="K176" s="38">
        <v>6</v>
      </c>
      <c r="L176" s="38">
        <v>24</v>
      </c>
    </row>
    <row r="177" spans="1:12" x14ac:dyDescent="0.35">
      <c r="A177" s="41">
        <v>208</v>
      </c>
      <c r="B177" s="41" t="s">
        <v>5</v>
      </c>
      <c r="C177" s="41" t="s">
        <v>10</v>
      </c>
      <c r="D177" s="41">
        <v>91001</v>
      </c>
      <c r="E177" s="39">
        <v>200025888663</v>
      </c>
      <c r="F177" s="39" t="s">
        <v>32</v>
      </c>
      <c r="G177" s="39">
        <v>29</v>
      </c>
      <c r="H177" s="40">
        <v>45799.818113425928</v>
      </c>
      <c r="I177" s="41">
        <v>1</v>
      </c>
      <c r="J177" s="38">
        <v>176</v>
      </c>
      <c r="K177" s="38">
        <v>7</v>
      </c>
      <c r="L177" s="38">
        <v>24</v>
      </c>
    </row>
    <row r="178" spans="1:12" x14ac:dyDescent="0.35">
      <c r="A178" s="41">
        <v>209</v>
      </c>
      <c r="B178" s="41" t="s">
        <v>5</v>
      </c>
      <c r="C178" s="41" t="s">
        <v>10</v>
      </c>
      <c r="D178" s="41">
        <v>91001</v>
      </c>
      <c r="E178" s="39">
        <v>200025888663</v>
      </c>
      <c r="F178" s="39" t="s">
        <v>32</v>
      </c>
      <c r="G178" s="39">
        <v>29</v>
      </c>
      <c r="H178" s="40">
        <v>45799.818252314813</v>
      </c>
      <c r="I178" s="41">
        <v>0</v>
      </c>
      <c r="J178" s="38">
        <v>177</v>
      </c>
      <c r="K178" s="38">
        <v>8</v>
      </c>
      <c r="L178" s="38">
        <v>24</v>
      </c>
    </row>
    <row r="179" spans="1:12" x14ac:dyDescent="0.35">
      <c r="A179" s="41">
        <v>210</v>
      </c>
      <c r="B179" s="41" t="s">
        <v>5</v>
      </c>
      <c r="C179" s="41" t="s">
        <v>10</v>
      </c>
      <c r="D179" s="41">
        <v>91001</v>
      </c>
      <c r="E179" s="39">
        <v>200025888608</v>
      </c>
      <c r="F179" s="39" t="s">
        <v>29</v>
      </c>
      <c r="G179" s="39">
        <v>38</v>
      </c>
      <c r="H179" s="40">
        <v>45799.82603009259</v>
      </c>
      <c r="I179" s="41">
        <v>0</v>
      </c>
      <c r="J179" s="38">
        <v>178</v>
      </c>
      <c r="K179" s="38">
        <v>2</v>
      </c>
      <c r="L179" s="38">
        <v>20</v>
      </c>
    </row>
    <row r="180" spans="1:12" x14ac:dyDescent="0.35">
      <c r="A180" s="41">
        <v>211</v>
      </c>
      <c r="B180" s="41" t="s">
        <v>5</v>
      </c>
      <c r="C180" s="41" t="s">
        <v>10</v>
      </c>
      <c r="D180" s="41">
        <v>91001</v>
      </c>
      <c r="E180" s="39">
        <v>200025888608</v>
      </c>
      <c r="F180" s="39" t="s">
        <v>29</v>
      </c>
      <c r="G180" s="39">
        <v>38</v>
      </c>
      <c r="H180" s="40">
        <v>45799.831377314818</v>
      </c>
      <c r="I180" s="41">
        <v>1</v>
      </c>
      <c r="J180" s="38">
        <v>179</v>
      </c>
      <c r="K180" s="38">
        <v>3</v>
      </c>
      <c r="L180" s="38">
        <v>20</v>
      </c>
    </row>
    <row r="181" spans="1:12" x14ac:dyDescent="0.35">
      <c r="A181" s="41">
        <v>212</v>
      </c>
      <c r="B181" s="41" t="s">
        <v>5</v>
      </c>
      <c r="C181" s="41" t="s">
        <v>10</v>
      </c>
      <c r="D181" s="41">
        <v>91001</v>
      </c>
      <c r="E181" s="39">
        <v>200025888608</v>
      </c>
      <c r="F181" s="39" t="s">
        <v>29</v>
      </c>
      <c r="G181" s="39">
        <v>38</v>
      </c>
      <c r="H181" s="40">
        <v>45799.831400462965</v>
      </c>
      <c r="I181" s="41">
        <v>1</v>
      </c>
      <c r="J181" s="38">
        <v>180</v>
      </c>
      <c r="K181" s="38">
        <v>4</v>
      </c>
      <c r="L181" s="38">
        <v>20</v>
      </c>
    </row>
    <row r="182" spans="1:12" x14ac:dyDescent="0.35">
      <c r="A182" s="41">
        <v>213</v>
      </c>
      <c r="B182" s="41" t="s">
        <v>5</v>
      </c>
      <c r="C182" s="41" t="s">
        <v>10</v>
      </c>
      <c r="D182" s="41">
        <v>91001</v>
      </c>
      <c r="E182" s="39">
        <v>200025888608</v>
      </c>
      <c r="F182" s="39" t="s">
        <v>29</v>
      </c>
      <c r="G182" s="39">
        <v>38</v>
      </c>
      <c r="H182" s="40">
        <v>45799.834745370368</v>
      </c>
      <c r="I182" s="41">
        <v>0</v>
      </c>
      <c r="J182" s="38">
        <v>181</v>
      </c>
      <c r="K182" s="38">
        <v>5</v>
      </c>
      <c r="L182" s="38">
        <v>20</v>
      </c>
    </row>
    <row r="183" spans="1:12" x14ac:dyDescent="0.35">
      <c r="A183" s="41">
        <v>214</v>
      </c>
      <c r="B183" s="41" t="s">
        <v>5</v>
      </c>
      <c r="C183" s="41" t="s">
        <v>10</v>
      </c>
      <c r="D183" s="41">
        <v>91001</v>
      </c>
      <c r="E183" s="39">
        <v>200025888201</v>
      </c>
      <c r="F183" s="39" t="s">
        <v>20</v>
      </c>
      <c r="G183" s="39">
        <v>20</v>
      </c>
      <c r="H183" s="40">
        <v>45799.887256944443</v>
      </c>
      <c r="I183" s="41">
        <v>0</v>
      </c>
      <c r="J183" s="38">
        <v>182</v>
      </c>
      <c r="K183" s="38">
        <v>2</v>
      </c>
      <c r="L183" s="38">
        <v>5</v>
      </c>
    </row>
    <row r="184" spans="1:12" x14ac:dyDescent="0.35">
      <c r="A184" s="41">
        <v>215</v>
      </c>
      <c r="B184" s="41" t="s">
        <v>5</v>
      </c>
      <c r="C184" s="41" t="s">
        <v>10</v>
      </c>
      <c r="D184" s="41">
        <v>91001</v>
      </c>
      <c r="E184" s="39">
        <v>200025888201</v>
      </c>
      <c r="F184" s="39" t="s">
        <v>20</v>
      </c>
      <c r="G184" s="39">
        <v>20</v>
      </c>
      <c r="H184" s="40">
        <v>45799.887731481482</v>
      </c>
      <c r="I184" s="41">
        <v>0</v>
      </c>
      <c r="J184" s="38">
        <v>183</v>
      </c>
      <c r="K184" s="38">
        <v>3</v>
      </c>
      <c r="L184" s="38">
        <v>5</v>
      </c>
    </row>
    <row r="185" spans="1:12" x14ac:dyDescent="0.35">
      <c r="A185" s="41">
        <v>216</v>
      </c>
      <c r="B185" s="41" t="s">
        <v>5</v>
      </c>
      <c r="C185" s="41" t="s">
        <v>10</v>
      </c>
      <c r="D185" s="41">
        <v>91001</v>
      </c>
      <c r="E185" s="39">
        <v>200025888834</v>
      </c>
      <c r="F185" s="39" t="s">
        <v>30</v>
      </c>
      <c r="G185" s="39">
        <v>25</v>
      </c>
      <c r="H185" s="40">
        <v>45800.009456018517</v>
      </c>
      <c r="I185" s="41">
        <v>0</v>
      </c>
      <c r="J185" s="38">
        <v>184</v>
      </c>
      <c r="K185" s="38">
        <v>1</v>
      </c>
      <c r="L185" s="38">
        <v>25</v>
      </c>
    </row>
    <row r="186" spans="1:12" x14ac:dyDescent="0.35">
      <c r="A186" s="41">
        <v>217</v>
      </c>
      <c r="B186" s="41" t="s">
        <v>5</v>
      </c>
      <c r="C186" s="41" t="s">
        <v>10</v>
      </c>
      <c r="D186" s="41">
        <v>91001</v>
      </c>
      <c r="E186" s="39">
        <v>200025888834</v>
      </c>
      <c r="F186" s="39" t="s">
        <v>30</v>
      </c>
      <c r="G186" s="39">
        <v>25</v>
      </c>
      <c r="H186" s="40">
        <v>45800.009467592594</v>
      </c>
      <c r="I186" s="41">
        <v>1</v>
      </c>
      <c r="J186" s="38">
        <v>185</v>
      </c>
      <c r="K186" s="38">
        <v>2</v>
      </c>
      <c r="L186" s="38">
        <v>25</v>
      </c>
    </row>
    <row r="187" spans="1:12" x14ac:dyDescent="0.35">
      <c r="A187" s="41">
        <v>218</v>
      </c>
      <c r="B187" s="41" t="s">
        <v>5</v>
      </c>
      <c r="C187" s="41" t="s">
        <v>10</v>
      </c>
      <c r="D187" s="41">
        <v>91001</v>
      </c>
      <c r="E187" s="39">
        <v>200025888834</v>
      </c>
      <c r="F187" s="39" t="s">
        <v>30</v>
      </c>
      <c r="G187" s="39">
        <v>25</v>
      </c>
      <c r="H187" s="40">
        <v>45800.013310185182</v>
      </c>
      <c r="I187" s="41">
        <v>1</v>
      </c>
      <c r="J187" s="38">
        <v>186</v>
      </c>
      <c r="K187" s="38">
        <v>3</v>
      </c>
      <c r="L187" s="38">
        <v>25</v>
      </c>
    </row>
    <row r="188" spans="1:12" x14ac:dyDescent="0.35">
      <c r="A188" s="41">
        <v>219</v>
      </c>
      <c r="B188" s="41" t="s">
        <v>5</v>
      </c>
      <c r="C188" s="41" t="s">
        <v>10</v>
      </c>
      <c r="D188" s="41">
        <v>91001</v>
      </c>
      <c r="E188" s="39">
        <v>200025888834</v>
      </c>
      <c r="F188" s="39" t="s">
        <v>30</v>
      </c>
      <c r="G188" s="39">
        <v>25</v>
      </c>
      <c r="H188" s="40">
        <v>45800.014166666668</v>
      </c>
      <c r="I188" s="41">
        <v>0</v>
      </c>
      <c r="J188" s="38">
        <v>187</v>
      </c>
      <c r="K188" s="38">
        <v>4</v>
      </c>
      <c r="L188" s="38">
        <v>25</v>
      </c>
    </row>
    <row r="189" spans="1:12" x14ac:dyDescent="0.35">
      <c r="A189" s="41">
        <v>220</v>
      </c>
      <c r="B189" s="41" t="s">
        <v>5</v>
      </c>
      <c r="C189" s="41" t="s">
        <v>10</v>
      </c>
      <c r="D189" s="41">
        <v>91001</v>
      </c>
      <c r="E189" s="39">
        <v>200025888834</v>
      </c>
      <c r="F189" s="39" t="s">
        <v>30</v>
      </c>
      <c r="G189" s="39">
        <v>25</v>
      </c>
      <c r="H189" s="40">
        <v>45800.014178240737</v>
      </c>
      <c r="I189" s="41">
        <v>0</v>
      </c>
      <c r="J189" s="38">
        <v>188</v>
      </c>
      <c r="K189" s="38">
        <v>5</v>
      </c>
      <c r="L189" s="38">
        <v>25</v>
      </c>
    </row>
    <row r="190" spans="1:12" x14ac:dyDescent="0.35">
      <c r="A190" s="41">
        <v>221</v>
      </c>
      <c r="B190" s="41" t="s">
        <v>5</v>
      </c>
      <c r="C190" s="41" t="s">
        <v>10</v>
      </c>
      <c r="D190" s="41">
        <v>91001</v>
      </c>
      <c r="E190" s="39">
        <v>200025888834</v>
      </c>
      <c r="F190" s="39" t="s">
        <v>30</v>
      </c>
      <c r="G190" s="39">
        <v>25</v>
      </c>
      <c r="H190" s="40">
        <v>45800.175416666665</v>
      </c>
      <c r="I190" s="41">
        <v>0</v>
      </c>
      <c r="J190" s="38">
        <v>189</v>
      </c>
      <c r="K190" s="38">
        <v>6</v>
      </c>
      <c r="L190" s="38">
        <v>25</v>
      </c>
    </row>
    <row r="191" spans="1:12" x14ac:dyDescent="0.35">
      <c r="A191" s="41">
        <v>222</v>
      </c>
      <c r="B191" s="41" t="s">
        <v>5</v>
      </c>
      <c r="C191" s="41" t="s">
        <v>10</v>
      </c>
      <c r="D191" s="41">
        <v>91001</v>
      </c>
      <c r="E191" s="39">
        <v>200025888834</v>
      </c>
      <c r="F191" s="39" t="s">
        <v>30</v>
      </c>
      <c r="G191" s="39">
        <v>25</v>
      </c>
      <c r="H191" s="40">
        <v>45800.175567129627</v>
      </c>
      <c r="I191" s="41">
        <v>1</v>
      </c>
      <c r="J191" s="38">
        <v>190</v>
      </c>
      <c r="K191" s="38">
        <v>7</v>
      </c>
      <c r="L191" s="38">
        <v>25</v>
      </c>
    </row>
    <row r="192" spans="1:12" x14ac:dyDescent="0.35">
      <c r="A192" s="41">
        <v>223</v>
      </c>
      <c r="B192" s="41" t="s">
        <v>5</v>
      </c>
      <c r="C192" s="41" t="s">
        <v>10</v>
      </c>
      <c r="D192" s="41">
        <v>91001</v>
      </c>
      <c r="E192" s="39">
        <v>200025888834</v>
      </c>
      <c r="F192" s="39" t="s">
        <v>30</v>
      </c>
      <c r="G192" s="39">
        <v>25</v>
      </c>
      <c r="H192" s="40">
        <v>45800.17763888889</v>
      </c>
      <c r="I192" s="41">
        <v>0</v>
      </c>
      <c r="J192" s="38">
        <v>191</v>
      </c>
      <c r="K192" s="38">
        <v>8</v>
      </c>
      <c r="L192" s="38">
        <v>25</v>
      </c>
    </row>
    <row r="193" spans="1:12" x14ac:dyDescent="0.35">
      <c r="A193" s="41">
        <v>224</v>
      </c>
      <c r="B193" s="41" t="s">
        <v>5</v>
      </c>
      <c r="C193" s="41" t="s">
        <v>10</v>
      </c>
      <c r="D193" s="41">
        <v>91001</v>
      </c>
      <c r="E193" s="39">
        <v>200025888863</v>
      </c>
      <c r="F193" s="39" t="s">
        <v>31</v>
      </c>
      <c r="G193" s="39">
        <v>26</v>
      </c>
      <c r="H193" s="40">
        <v>45800.380127314813</v>
      </c>
      <c r="I193" s="41">
        <v>0</v>
      </c>
      <c r="J193" s="38">
        <v>192</v>
      </c>
      <c r="K193" s="38">
        <v>16</v>
      </c>
      <c r="L193" s="38">
        <v>7</v>
      </c>
    </row>
    <row r="194" spans="1:12" x14ac:dyDescent="0.35">
      <c r="A194" s="41">
        <v>225</v>
      </c>
      <c r="B194" s="41" t="s">
        <v>5</v>
      </c>
      <c r="C194" s="41" t="s">
        <v>10</v>
      </c>
      <c r="D194" s="41">
        <v>91001</v>
      </c>
      <c r="E194" s="39">
        <v>200025888863</v>
      </c>
      <c r="F194" s="39" t="s">
        <v>31</v>
      </c>
      <c r="G194" s="39">
        <v>26</v>
      </c>
      <c r="H194" s="40">
        <v>45800.38013888889</v>
      </c>
      <c r="I194" s="41">
        <v>1</v>
      </c>
      <c r="J194" s="38">
        <v>193</v>
      </c>
      <c r="K194" s="38">
        <v>17</v>
      </c>
      <c r="L194" s="38">
        <v>7</v>
      </c>
    </row>
    <row r="195" spans="1:12" x14ac:dyDescent="0.35">
      <c r="A195" s="41">
        <v>226</v>
      </c>
      <c r="B195" s="41" t="s">
        <v>5</v>
      </c>
      <c r="C195" s="41" t="s">
        <v>10</v>
      </c>
      <c r="D195" s="41">
        <v>91001</v>
      </c>
      <c r="E195" s="39">
        <v>200025888982</v>
      </c>
      <c r="F195" s="39" t="s">
        <v>18</v>
      </c>
      <c r="G195" s="39">
        <v>6</v>
      </c>
      <c r="H195" s="40">
        <v>45801.237384259257</v>
      </c>
      <c r="I195" s="41">
        <v>0</v>
      </c>
      <c r="J195" s="38">
        <v>194</v>
      </c>
      <c r="K195" s="38">
        <v>6</v>
      </c>
      <c r="L195" s="38">
        <v>1</v>
      </c>
    </row>
    <row r="196" spans="1:12" x14ac:dyDescent="0.35">
      <c r="A196" s="41">
        <v>227</v>
      </c>
      <c r="B196" s="41" t="s">
        <v>5</v>
      </c>
      <c r="C196" s="41" t="s">
        <v>10</v>
      </c>
      <c r="D196" s="41">
        <v>91001</v>
      </c>
      <c r="E196" s="39">
        <v>200025888982</v>
      </c>
      <c r="F196" s="39" t="s">
        <v>18</v>
      </c>
      <c r="G196" s="39">
        <v>6</v>
      </c>
      <c r="H196" s="40">
        <v>45801.237523148149</v>
      </c>
      <c r="I196" s="41">
        <v>1</v>
      </c>
      <c r="J196" s="38">
        <v>195</v>
      </c>
      <c r="K196" s="38">
        <v>7</v>
      </c>
      <c r="L196" s="38">
        <v>1</v>
      </c>
    </row>
    <row r="197" spans="1:12" x14ac:dyDescent="0.35">
      <c r="A197" s="41">
        <v>228</v>
      </c>
      <c r="B197" s="41" t="s">
        <v>5</v>
      </c>
      <c r="C197" s="41" t="s">
        <v>10</v>
      </c>
      <c r="D197" s="41">
        <v>91001</v>
      </c>
      <c r="E197" s="39">
        <v>200025888982</v>
      </c>
      <c r="F197" s="39" t="s">
        <v>18</v>
      </c>
      <c r="G197" s="39">
        <v>6</v>
      </c>
      <c r="H197" s="40">
        <v>45801.237534722219</v>
      </c>
      <c r="I197" s="41">
        <v>1</v>
      </c>
      <c r="J197" s="38">
        <v>196</v>
      </c>
      <c r="K197" s="38">
        <v>8</v>
      </c>
      <c r="L197" s="38">
        <v>1</v>
      </c>
    </row>
    <row r="198" spans="1:12" x14ac:dyDescent="0.35">
      <c r="A198" s="41">
        <v>229</v>
      </c>
      <c r="B198" s="41" t="s">
        <v>5</v>
      </c>
      <c r="C198" s="41" t="s">
        <v>10</v>
      </c>
      <c r="D198" s="41">
        <v>91001</v>
      </c>
      <c r="E198" s="39">
        <v>200025888982</v>
      </c>
      <c r="F198" s="39" t="s">
        <v>18</v>
      </c>
      <c r="G198" s="39">
        <v>6</v>
      </c>
      <c r="H198" s="40">
        <v>45801.239236111112</v>
      </c>
      <c r="I198" s="41">
        <v>0</v>
      </c>
      <c r="J198" s="38">
        <v>197</v>
      </c>
      <c r="K198" s="38">
        <v>9</v>
      </c>
      <c r="L198" s="38">
        <v>1</v>
      </c>
    </row>
    <row r="199" spans="1:12" x14ac:dyDescent="0.35">
      <c r="A199" s="41">
        <v>230</v>
      </c>
      <c r="B199" s="41" t="s">
        <v>5</v>
      </c>
      <c r="C199" s="41" t="s">
        <v>10</v>
      </c>
      <c r="D199" s="41">
        <v>91001</v>
      </c>
      <c r="E199" s="39">
        <v>200025888982</v>
      </c>
      <c r="F199" s="39" t="s">
        <v>18</v>
      </c>
      <c r="G199" s="39">
        <v>6</v>
      </c>
      <c r="H199" s="40">
        <v>45801.31391203704</v>
      </c>
      <c r="I199" s="41">
        <v>1</v>
      </c>
      <c r="J199" s="38">
        <v>198</v>
      </c>
      <c r="K199" s="38">
        <v>10</v>
      </c>
      <c r="L199" s="38">
        <v>1</v>
      </c>
    </row>
    <row r="200" spans="1:12" x14ac:dyDescent="0.35">
      <c r="A200" s="41">
        <v>13</v>
      </c>
      <c r="B200" s="41" t="s">
        <v>6</v>
      </c>
      <c r="C200" s="38" t="s">
        <v>11</v>
      </c>
      <c r="D200" s="41">
        <v>91807</v>
      </c>
      <c r="E200" s="39">
        <v>200025888982</v>
      </c>
      <c r="F200" s="39" t="s">
        <v>18</v>
      </c>
      <c r="G200" s="39">
        <v>6</v>
      </c>
      <c r="H200" s="40">
        <v>45797.813101851854</v>
      </c>
      <c r="I200" s="41">
        <v>31</v>
      </c>
      <c r="J200" s="41">
        <v>1</v>
      </c>
      <c r="K200" s="38">
        <v>1</v>
      </c>
      <c r="L200" s="38">
        <v>1</v>
      </c>
    </row>
    <row r="201" spans="1:12" x14ac:dyDescent="0.35">
      <c r="A201" s="38">
        <v>28</v>
      </c>
      <c r="B201" s="41" t="s">
        <v>7</v>
      </c>
      <c r="C201" s="38" t="s">
        <v>12</v>
      </c>
      <c r="D201" s="42">
        <v>93202</v>
      </c>
      <c r="E201" s="39">
        <v>200025888137</v>
      </c>
      <c r="F201" s="39" t="s">
        <v>15</v>
      </c>
      <c r="G201" s="39">
        <v>46</v>
      </c>
      <c r="H201" s="40">
        <v>45797.843229166669</v>
      </c>
      <c r="I201" s="41">
        <v>47</v>
      </c>
      <c r="J201" s="41">
        <v>1</v>
      </c>
      <c r="K201" s="38">
        <v>1</v>
      </c>
      <c r="L201" s="38">
        <v>2</v>
      </c>
    </row>
    <row r="202" spans="1:12" x14ac:dyDescent="0.35">
      <c r="A202" s="38">
        <v>29</v>
      </c>
      <c r="B202" s="41" t="s">
        <v>7</v>
      </c>
      <c r="C202" s="38" t="s">
        <v>12</v>
      </c>
      <c r="D202" s="42">
        <v>93202</v>
      </c>
      <c r="E202" s="39">
        <v>200025888201</v>
      </c>
      <c r="F202" s="39" t="s">
        <v>20</v>
      </c>
      <c r="G202" s="39">
        <v>20</v>
      </c>
      <c r="H202" s="40">
        <v>45798.499212962961</v>
      </c>
      <c r="I202" s="41">
        <v>4673</v>
      </c>
      <c r="J202" s="41">
        <v>2</v>
      </c>
      <c r="K202" s="38">
        <v>1</v>
      </c>
      <c r="L202" s="38">
        <v>5</v>
      </c>
    </row>
    <row r="203" spans="1:12" x14ac:dyDescent="0.35">
      <c r="A203" s="38">
        <v>30</v>
      </c>
      <c r="B203" s="41" t="s">
        <v>7</v>
      </c>
      <c r="C203" s="38" t="s">
        <v>12</v>
      </c>
      <c r="D203" s="42">
        <v>93202</v>
      </c>
      <c r="E203" s="39">
        <v>200025888868</v>
      </c>
      <c r="F203" s="39" t="s">
        <v>38</v>
      </c>
      <c r="G203" s="39">
        <v>44</v>
      </c>
      <c r="H203" s="40">
        <v>45798.908206018517</v>
      </c>
      <c r="I203" s="41">
        <v>0</v>
      </c>
      <c r="J203" s="41">
        <v>3</v>
      </c>
      <c r="K203" s="38">
        <v>1</v>
      </c>
      <c r="L203" s="38">
        <v>14</v>
      </c>
    </row>
    <row r="204" spans="1:12" x14ac:dyDescent="0.35">
      <c r="A204" s="38">
        <v>31</v>
      </c>
      <c r="B204" s="41" t="s">
        <v>7</v>
      </c>
      <c r="C204" s="38" t="s">
        <v>12</v>
      </c>
      <c r="D204" s="42">
        <v>93202</v>
      </c>
      <c r="E204" s="39">
        <v>200025888654</v>
      </c>
      <c r="F204" s="39" t="s">
        <v>14</v>
      </c>
      <c r="G204" s="39">
        <v>1</v>
      </c>
      <c r="H204" s="40">
        <v>45798.914050925923</v>
      </c>
      <c r="I204" s="41">
        <v>0</v>
      </c>
      <c r="J204" s="41">
        <v>4</v>
      </c>
      <c r="K204" s="38">
        <v>19</v>
      </c>
      <c r="L204" s="38">
        <v>6</v>
      </c>
    </row>
    <row r="205" spans="1:12" x14ac:dyDescent="0.35">
      <c r="A205" s="38">
        <v>32</v>
      </c>
      <c r="B205" s="41" t="s">
        <v>7</v>
      </c>
      <c r="C205" s="38" t="s">
        <v>12</v>
      </c>
      <c r="D205" s="42">
        <v>93202</v>
      </c>
      <c r="E205" s="39">
        <v>200025888504</v>
      </c>
      <c r="F205" s="39" t="s">
        <v>27</v>
      </c>
      <c r="G205" s="39">
        <v>40</v>
      </c>
      <c r="H205" s="40">
        <v>45798.931296296294</v>
      </c>
      <c r="I205" s="41">
        <v>0</v>
      </c>
      <c r="J205" s="41">
        <v>5</v>
      </c>
      <c r="K205" s="38">
        <v>1</v>
      </c>
      <c r="L205" s="38">
        <v>15</v>
      </c>
    </row>
    <row r="206" spans="1:12" x14ac:dyDescent="0.35">
      <c r="A206" s="41">
        <v>33</v>
      </c>
      <c r="B206" s="41" t="s">
        <v>7</v>
      </c>
      <c r="C206" s="38" t="s">
        <v>12</v>
      </c>
      <c r="D206" s="42">
        <v>93202</v>
      </c>
      <c r="E206" s="39">
        <v>200025888868</v>
      </c>
      <c r="F206" s="39" t="s">
        <v>38</v>
      </c>
      <c r="G206" s="39">
        <v>44</v>
      </c>
      <c r="H206" s="40">
        <v>45798.945081018515</v>
      </c>
      <c r="I206" s="41">
        <v>0</v>
      </c>
      <c r="J206" s="41">
        <v>6</v>
      </c>
      <c r="K206" s="38">
        <v>2</v>
      </c>
      <c r="L206" s="38">
        <v>14</v>
      </c>
    </row>
    <row r="207" spans="1:12" x14ac:dyDescent="0.35">
      <c r="A207" s="41">
        <v>34</v>
      </c>
      <c r="B207" s="41" t="s">
        <v>7</v>
      </c>
      <c r="C207" s="38" t="s">
        <v>12</v>
      </c>
      <c r="D207" s="42">
        <v>93202</v>
      </c>
      <c r="E207" s="39">
        <v>200025888868</v>
      </c>
      <c r="F207" s="39" t="s">
        <v>38</v>
      </c>
      <c r="G207" s="39">
        <v>44</v>
      </c>
      <c r="H207" s="40">
        <v>45799.227569444447</v>
      </c>
      <c r="I207" s="41">
        <v>0</v>
      </c>
      <c r="J207" s="41">
        <v>7</v>
      </c>
      <c r="K207" s="38">
        <v>3</v>
      </c>
      <c r="L207" s="38">
        <v>14</v>
      </c>
    </row>
    <row r="208" spans="1:12" x14ac:dyDescent="0.35">
      <c r="A208" s="41">
        <v>35</v>
      </c>
      <c r="B208" s="41" t="s">
        <v>7</v>
      </c>
      <c r="C208" s="41" t="s">
        <v>12</v>
      </c>
      <c r="D208" s="41">
        <v>93202</v>
      </c>
      <c r="E208" s="43">
        <v>200025888244</v>
      </c>
      <c r="F208" s="43" t="s">
        <v>24</v>
      </c>
      <c r="G208" s="43">
        <v>12</v>
      </c>
      <c r="H208" s="40">
        <v>45799.53324074074</v>
      </c>
      <c r="I208" s="41">
        <v>2</v>
      </c>
      <c r="J208" s="41">
        <v>8</v>
      </c>
      <c r="K208" s="38">
        <v>1</v>
      </c>
      <c r="L208" s="38">
        <v>22</v>
      </c>
    </row>
  </sheetData>
  <autoFilter ref="A1:L208"/>
  <sortState ref="A2:L155">
    <sortCondition ref="D2:D155"/>
    <sortCondition ref="H2:H155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8"/>
  <sheetViews>
    <sheetView topLeftCell="A298" workbookViewId="0">
      <selection activeCell="F13" sqref="F13"/>
    </sheetView>
  </sheetViews>
  <sheetFormatPr defaultColWidth="10.90625" defaultRowHeight="14.5" x14ac:dyDescent="0.35"/>
  <cols>
    <col min="1" max="1" width="4.90625" style="38" customWidth="1"/>
    <col min="2" max="2" width="18.36328125" style="38" customWidth="1"/>
    <col min="3" max="4" width="9.453125" style="38" customWidth="1"/>
    <col min="5" max="5" width="15.54296875" style="39" customWidth="1"/>
    <col min="6" max="6" width="9.36328125" style="39" customWidth="1"/>
    <col min="7" max="7" width="7.08984375" style="39" customWidth="1"/>
    <col min="8" max="8" width="21.453125" style="40" customWidth="1"/>
    <col min="9" max="9" width="8.36328125" style="38" customWidth="1"/>
    <col min="10" max="10" width="7.90625" style="38" customWidth="1"/>
    <col min="11" max="11" width="8.54296875" style="38" customWidth="1"/>
    <col min="12" max="12" width="7.453125" style="38" customWidth="1"/>
  </cols>
  <sheetData>
    <row r="1" spans="1:12" ht="43.5" x14ac:dyDescent="0.35">
      <c r="A1" s="35" t="s">
        <v>0</v>
      </c>
      <c r="B1" s="35" t="s">
        <v>1</v>
      </c>
      <c r="C1" s="35" t="s">
        <v>9</v>
      </c>
      <c r="D1" s="35" t="s">
        <v>8</v>
      </c>
      <c r="E1" s="36" t="s">
        <v>2</v>
      </c>
      <c r="F1" s="36" t="s">
        <v>39</v>
      </c>
      <c r="G1" s="36" t="s">
        <v>40</v>
      </c>
      <c r="H1" s="37" t="s">
        <v>3</v>
      </c>
      <c r="I1" s="35" t="s">
        <v>41</v>
      </c>
      <c r="J1" s="35" t="s">
        <v>42</v>
      </c>
      <c r="K1" s="35" t="s">
        <v>13</v>
      </c>
      <c r="L1" s="35" t="s">
        <v>4</v>
      </c>
    </row>
    <row r="2" spans="1:12" ht="14.4" customHeight="1" x14ac:dyDescent="0.35">
      <c r="A2" s="38">
        <v>65</v>
      </c>
      <c r="B2" s="38" t="s">
        <v>5</v>
      </c>
      <c r="C2" s="38" t="s">
        <v>10</v>
      </c>
      <c r="D2" s="38">
        <v>91001</v>
      </c>
      <c r="E2" s="39">
        <v>200025888654</v>
      </c>
      <c r="F2" s="39" t="s">
        <v>14</v>
      </c>
      <c r="G2" s="39">
        <v>1</v>
      </c>
      <c r="H2" s="40">
        <v>45798.654340277775</v>
      </c>
      <c r="I2" s="38">
        <v>1</v>
      </c>
      <c r="J2" s="38">
        <v>6</v>
      </c>
      <c r="K2" s="38">
        <v>33</v>
      </c>
      <c r="L2" s="38">
        <v>0</v>
      </c>
    </row>
    <row r="3" spans="1:12" ht="14.4" customHeight="1" x14ac:dyDescent="0.35">
      <c r="A3" s="38">
        <v>66</v>
      </c>
      <c r="B3" s="38" t="s">
        <v>5</v>
      </c>
      <c r="C3" s="38" t="s">
        <v>10</v>
      </c>
      <c r="D3" s="38">
        <v>91001</v>
      </c>
      <c r="E3" s="39">
        <v>200025888654</v>
      </c>
      <c r="F3" s="39" t="s">
        <v>14</v>
      </c>
      <c r="G3" s="39">
        <v>1</v>
      </c>
      <c r="H3" s="40">
        <v>45798.654351851852</v>
      </c>
      <c r="I3" s="38">
        <v>2</v>
      </c>
      <c r="J3" s="38">
        <v>6</v>
      </c>
      <c r="K3" s="38">
        <v>34</v>
      </c>
      <c r="L3" s="38">
        <v>0</v>
      </c>
    </row>
    <row r="4" spans="1:12" ht="14.4" customHeight="1" x14ac:dyDescent="0.35">
      <c r="A4" s="38">
        <v>67</v>
      </c>
      <c r="B4" s="38" t="s">
        <v>5</v>
      </c>
      <c r="C4" s="38" t="s">
        <v>10</v>
      </c>
      <c r="D4" s="38">
        <v>91001</v>
      </c>
      <c r="E4" s="39">
        <v>200025888654</v>
      </c>
      <c r="F4" s="39" t="s">
        <v>14</v>
      </c>
      <c r="G4" s="39">
        <v>1</v>
      </c>
      <c r="H4" s="40">
        <v>45798.654363425929</v>
      </c>
      <c r="I4" s="38">
        <v>3</v>
      </c>
      <c r="J4" s="38">
        <v>6</v>
      </c>
      <c r="K4" s="38">
        <v>35</v>
      </c>
      <c r="L4" s="38">
        <v>31</v>
      </c>
    </row>
    <row r="5" spans="1:12" ht="14.4" customHeight="1" x14ac:dyDescent="0.35">
      <c r="A5" s="38">
        <v>68</v>
      </c>
      <c r="B5" s="38" t="s">
        <v>5</v>
      </c>
      <c r="C5" s="38" t="s">
        <v>10</v>
      </c>
      <c r="D5" s="38">
        <v>91001</v>
      </c>
      <c r="E5" s="39">
        <v>200025888654</v>
      </c>
      <c r="F5" s="39" t="s">
        <v>14</v>
      </c>
      <c r="G5" s="39">
        <v>1</v>
      </c>
      <c r="H5" s="40">
        <v>45798.655798611115</v>
      </c>
      <c r="I5" s="38">
        <v>4</v>
      </c>
      <c r="J5" s="38">
        <v>6</v>
      </c>
      <c r="K5" s="38">
        <v>36</v>
      </c>
      <c r="L5" s="38">
        <v>1</v>
      </c>
    </row>
    <row r="6" spans="1:12" ht="14.4" customHeight="1" x14ac:dyDescent="0.35">
      <c r="A6" s="38">
        <v>69</v>
      </c>
      <c r="B6" s="38" t="s">
        <v>5</v>
      </c>
      <c r="C6" s="38" t="s">
        <v>10</v>
      </c>
      <c r="D6" s="38">
        <v>91001</v>
      </c>
      <c r="E6" s="39">
        <v>200025888654</v>
      </c>
      <c r="F6" s="39" t="s">
        <v>14</v>
      </c>
      <c r="G6" s="39">
        <v>1</v>
      </c>
      <c r="H6" s="40">
        <v>45798.655821759261</v>
      </c>
      <c r="I6" s="38">
        <v>5</v>
      </c>
      <c r="J6" s="38">
        <v>6</v>
      </c>
      <c r="K6" s="38">
        <v>37</v>
      </c>
      <c r="L6" s="38">
        <v>1</v>
      </c>
    </row>
    <row r="7" spans="1:12" ht="14.4" customHeight="1" x14ac:dyDescent="0.35">
      <c r="A7" s="38">
        <v>70</v>
      </c>
      <c r="B7" s="38" t="s">
        <v>5</v>
      </c>
      <c r="C7" s="38" t="s">
        <v>10</v>
      </c>
      <c r="D7" s="38">
        <v>91001</v>
      </c>
      <c r="E7" s="39">
        <v>200025888654</v>
      </c>
      <c r="F7" s="39" t="s">
        <v>14</v>
      </c>
      <c r="G7" s="39">
        <v>1</v>
      </c>
      <c r="H7" s="40">
        <v>45798.655833333331</v>
      </c>
      <c r="I7" s="38">
        <v>6</v>
      </c>
      <c r="J7" s="38">
        <v>6</v>
      </c>
      <c r="K7" s="38">
        <v>38</v>
      </c>
      <c r="L7" s="38">
        <v>0</v>
      </c>
    </row>
    <row r="8" spans="1:12" ht="14.4" customHeight="1" x14ac:dyDescent="0.35">
      <c r="A8" s="38">
        <v>71</v>
      </c>
      <c r="B8" s="38" t="s">
        <v>5</v>
      </c>
      <c r="C8" s="38" t="s">
        <v>10</v>
      </c>
      <c r="D8" s="38">
        <v>91001</v>
      </c>
      <c r="E8" s="39">
        <v>200025888654</v>
      </c>
      <c r="F8" s="39" t="s">
        <v>14</v>
      </c>
      <c r="G8" s="39">
        <v>1</v>
      </c>
      <c r="H8" s="40">
        <v>45798.655844907407</v>
      </c>
      <c r="I8" s="38">
        <v>7</v>
      </c>
      <c r="J8" s="38">
        <v>6</v>
      </c>
      <c r="K8" s="38">
        <v>39</v>
      </c>
      <c r="L8" s="38">
        <v>0</v>
      </c>
    </row>
    <row r="9" spans="1:12" ht="14.4" customHeight="1" x14ac:dyDescent="0.35">
      <c r="A9" s="38">
        <v>72</v>
      </c>
      <c r="B9" s="38" t="s">
        <v>5</v>
      </c>
      <c r="C9" s="38" t="s">
        <v>10</v>
      </c>
      <c r="D9" s="38">
        <v>91001</v>
      </c>
      <c r="E9" s="39">
        <v>200025888654</v>
      </c>
      <c r="F9" s="39" t="s">
        <v>14</v>
      </c>
      <c r="G9" s="39">
        <v>1</v>
      </c>
      <c r="H9" s="40">
        <v>45798.655844907407</v>
      </c>
      <c r="I9" s="38">
        <v>8</v>
      </c>
      <c r="J9" s="38">
        <v>6</v>
      </c>
      <c r="K9" s="38">
        <v>40</v>
      </c>
      <c r="L9" s="38">
        <v>1</v>
      </c>
    </row>
    <row r="10" spans="1:12" ht="14.4" customHeight="1" x14ac:dyDescent="0.35">
      <c r="A10" s="38">
        <v>73</v>
      </c>
      <c r="B10" s="38" t="s">
        <v>5</v>
      </c>
      <c r="C10" s="38" t="s">
        <v>10</v>
      </c>
      <c r="D10" s="38">
        <v>91001</v>
      </c>
      <c r="E10" s="39">
        <v>200025888654</v>
      </c>
      <c r="F10" s="39" t="s">
        <v>14</v>
      </c>
      <c r="G10" s="39">
        <v>1</v>
      </c>
      <c r="H10" s="40">
        <v>45798.6559375</v>
      </c>
      <c r="I10" s="38">
        <v>9</v>
      </c>
      <c r="J10" s="38">
        <v>6</v>
      </c>
      <c r="K10" s="38">
        <v>41</v>
      </c>
      <c r="L10" s="38">
        <v>1</v>
      </c>
    </row>
    <row r="11" spans="1:12" ht="14.4" customHeight="1" x14ac:dyDescent="0.35">
      <c r="A11" s="38">
        <v>98</v>
      </c>
      <c r="B11" s="38" t="s">
        <v>5</v>
      </c>
      <c r="C11" s="38" t="s">
        <v>10</v>
      </c>
      <c r="D11" s="38">
        <v>91001</v>
      </c>
      <c r="E11" s="39">
        <v>200025888654</v>
      </c>
      <c r="F11" s="39" t="s">
        <v>14</v>
      </c>
      <c r="G11" s="39">
        <v>1</v>
      </c>
      <c r="H11" s="40">
        <v>45798.798437500001</v>
      </c>
      <c r="I11" s="38">
        <v>10</v>
      </c>
      <c r="J11" s="38">
        <v>6</v>
      </c>
      <c r="K11" s="38">
        <v>66</v>
      </c>
      <c r="L11" s="38">
        <v>0</v>
      </c>
    </row>
    <row r="12" spans="1:12" ht="14.4" customHeight="1" x14ac:dyDescent="0.35">
      <c r="A12" s="38">
        <v>99</v>
      </c>
      <c r="B12" s="38" t="s">
        <v>5</v>
      </c>
      <c r="C12" s="38" t="s">
        <v>10</v>
      </c>
      <c r="D12" s="38">
        <v>91001</v>
      </c>
      <c r="E12" s="39">
        <v>200025888654</v>
      </c>
      <c r="F12" s="39" t="s">
        <v>14</v>
      </c>
      <c r="G12" s="39">
        <v>1</v>
      </c>
      <c r="H12" s="40">
        <v>45798.798564814817</v>
      </c>
      <c r="I12" s="38">
        <v>11</v>
      </c>
      <c r="J12" s="38">
        <v>6</v>
      </c>
      <c r="K12" s="38">
        <v>67</v>
      </c>
      <c r="L12" s="38">
        <v>1</v>
      </c>
    </row>
    <row r="13" spans="1:12" ht="14.4" customHeight="1" x14ac:dyDescent="0.35">
      <c r="A13" s="38">
        <v>100</v>
      </c>
      <c r="B13" s="38" t="s">
        <v>5</v>
      </c>
      <c r="C13" s="38" t="s">
        <v>10</v>
      </c>
      <c r="D13" s="38">
        <v>91001</v>
      </c>
      <c r="E13" s="39">
        <v>200025888654</v>
      </c>
      <c r="F13" s="39" t="s">
        <v>14</v>
      </c>
      <c r="G13" s="39">
        <v>1</v>
      </c>
      <c r="H13" s="40">
        <v>45798.800173611111</v>
      </c>
      <c r="I13" s="38">
        <v>12</v>
      </c>
      <c r="J13" s="38">
        <v>6</v>
      </c>
      <c r="K13" s="38">
        <v>68</v>
      </c>
      <c r="L13" s="38">
        <v>1</v>
      </c>
    </row>
    <row r="14" spans="1:12" ht="14.4" customHeight="1" x14ac:dyDescent="0.35">
      <c r="A14" s="38">
        <v>101</v>
      </c>
      <c r="B14" s="38" t="s">
        <v>5</v>
      </c>
      <c r="C14" s="38" t="s">
        <v>10</v>
      </c>
      <c r="D14" s="38">
        <v>91001</v>
      </c>
      <c r="E14" s="39">
        <v>200025888654</v>
      </c>
      <c r="F14" s="39" t="s">
        <v>14</v>
      </c>
      <c r="G14" s="39">
        <v>1</v>
      </c>
      <c r="H14" s="40">
        <v>45798.800381944442</v>
      </c>
      <c r="I14" s="38">
        <v>13</v>
      </c>
      <c r="J14" s="38">
        <v>6</v>
      </c>
      <c r="K14" s="38">
        <v>69</v>
      </c>
      <c r="L14" s="38">
        <v>0</v>
      </c>
    </row>
    <row r="15" spans="1:12" ht="14.4" customHeight="1" x14ac:dyDescent="0.35">
      <c r="A15" s="38">
        <v>102</v>
      </c>
      <c r="B15" s="38" t="s">
        <v>5</v>
      </c>
      <c r="C15" s="38" t="s">
        <v>10</v>
      </c>
      <c r="D15" s="38">
        <v>91001</v>
      </c>
      <c r="E15" s="39">
        <v>200025888654</v>
      </c>
      <c r="F15" s="39" t="s">
        <v>14</v>
      </c>
      <c r="G15" s="39">
        <v>1</v>
      </c>
      <c r="H15" s="40">
        <v>45798.800381944442</v>
      </c>
      <c r="I15" s="38">
        <v>14</v>
      </c>
      <c r="J15" s="38">
        <v>6</v>
      </c>
      <c r="K15" s="38">
        <v>70</v>
      </c>
      <c r="L15" s="38">
        <v>1</v>
      </c>
    </row>
    <row r="16" spans="1:12" ht="14.4" customHeight="1" x14ac:dyDescent="0.35">
      <c r="A16" s="38">
        <v>122</v>
      </c>
      <c r="B16" s="38" t="s">
        <v>5</v>
      </c>
      <c r="C16" s="38" t="s">
        <v>10</v>
      </c>
      <c r="D16" s="38">
        <v>91001</v>
      </c>
      <c r="E16" s="39">
        <v>200025888654</v>
      </c>
      <c r="F16" s="39" t="s">
        <v>14</v>
      </c>
      <c r="G16" s="39">
        <v>1</v>
      </c>
      <c r="H16" s="40">
        <v>45798.876215277778</v>
      </c>
      <c r="I16" s="38">
        <v>15</v>
      </c>
      <c r="J16" s="38">
        <v>6</v>
      </c>
      <c r="K16" s="38">
        <v>90</v>
      </c>
      <c r="L16" s="38">
        <v>0</v>
      </c>
    </row>
    <row r="17" spans="1:12" ht="14.4" customHeight="1" x14ac:dyDescent="0.35">
      <c r="A17" s="38">
        <v>123</v>
      </c>
      <c r="B17" s="38" t="s">
        <v>5</v>
      </c>
      <c r="C17" s="38" t="s">
        <v>10</v>
      </c>
      <c r="D17" s="38">
        <v>91001</v>
      </c>
      <c r="E17" s="39">
        <v>200025888654</v>
      </c>
      <c r="F17" s="39" t="s">
        <v>14</v>
      </c>
      <c r="G17" s="39">
        <v>1</v>
      </c>
      <c r="H17" s="40">
        <v>45798.876226851855</v>
      </c>
      <c r="I17" s="38">
        <v>16</v>
      </c>
      <c r="J17" s="38">
        <v>6</v>
      </c>
      <c r="K17" s="38">
        <v>91</v>
      </c>
      <c r="L17" s="38">
        <v>33</v>
      </c>
    </row>
    <row r="18" spans="1:12" ht="14.4" customHeight="1" x14ac:dyDescent="0.35">
      <c r="A18" s="38">
        <v>124</v>
      </c>
      <c r="B18" s="38" t="s">
        <v>5</v>
      </c>
      <c r="C18" s="38" t="s">
        <v>10</v>
      </c>
      <c r="D18" s="38">
        <v>91001</v>
      </c>
      <c r="E18" s="39">
        <v>200025888654</v>
      </c>
      <c r="F18" s="39" t="s">
        <v>14</v>
      </c>
      <c r="G18" s="39">
        <v>1</v>
      </c>
      <c r="H18" s="40">
        <v>45798.877326388887</v>
      </c>
      <c r="I18" s="38">
        <v>17</v>
      </c>
      <c r="J18" s="38">
        <v>6</v>
      </c>
      <c r="K18" s="38">
        <v>92</v>
      </c>
      <c r="L18" s="38">
        <v>0</v>
      </c>
    </row>
    <row r="19" spans="1:12" ht="14.4" customHeight="1" x14ac:dyDescent="0.35">
      <c r="A19" s="38">
        <v>125</v>
      </c>
      <c r="B19" s="38" t="s">
        <v>5</v>
      </c>
      <c r="C19" s="38" t="s">
        <v>10</v>
      </c>
      <c r="D19" s="38">
        <v>91001</v>
      </c>
      <c r="E19" s="39">
        <v>200025888654</v>
      </c>
      <c r="F19" s="39" t="s">
        <v>14</v>
      </c>
      <c r="G19" s="39">
        <v>1</v>
      </c>
      <c r="H19" s="40">
        <v>45798.87740740741</v>
      </c>
      <c r="I19" s="38">
        <v>18</v>
      </c>
      <c r="J19" s="38">
        <v>6</v>
      </c>
      <c r="K19" s="38">
        <v>93</v>
      </c>
      <c r="L19" s="38">
        <v>1</v>
      </c>
    </row>
    <row r="20" spans="1:12" ht="14.4" customHeight="1" x14ac:dyDescent="0.35">
      <c r="A20" s="38">
        <v>31</v>
      </c>
      <c r="B20" s="41" t="s">
        <v>7</v>
      </c>
      <c r="C20" s="38" t="s">
        <v>12</v>
      </c>
      <c r="D20" s="42">
        <v>93202</v>
      </c>
      <c r="E20" s="39">
        <v>200025888654</v>
      </c>
      <c r="F20" s="39" t="s">
        <v>14</v>
      </c>
      <c r="G20" s="39">
        <v>1</v>
      </c>
      <c r="H20" s="40">
        <v>45798.914050925923</v>
      </c>
      <c r="I20" s="38">
        <v>19</v>
      </c>
      <c r="J20" s="38">
        <v>6</v>
      </c>
      <c r="K20" s="41">
        <v>4</v>
      </c>
      <c r="L20" s="41">
        <v>0</v>
      </c>
    </row>
    <row r="21" spans="1:12" x14ac:dyDescent="0.35">
      <c r="A21" s="38">
        <v>86</v>
      </c>
      <c r="B21" s="38" t="s">
        <v>5</v>
      </c>
      <c r="C21" s="38" t="s">
        <v>10</v>
      </c>
      <c r="D21" s="38">
        <v>91001</v>
      </c>
      <c r="E21" s="39">
        <v>200025888163</v>
      </c>
      <c r="F21" s="39" t="s">
        <v>16</v>
      </c>
      <c r="G21" s="39">
        <v>2</v>
      </c>
      <c r="H21" s="40">
        <v>45798.715636574074</v>
      </c>
      <c r="I21" s="38">
        <v>1</v>
      </c>
      <c r="J21" s="38">
        <v>8</v>
      </c>
      <c r="K21" s="38">
        <v>54</v>
      </c>
      <c r="L21" s="38">
        <v>0</v>
      </c>
    </row>
    <row r="22" spans="1:12" x14ac:dyDescent="0.35">
      <c r="A22" s="38">
        <v>87</v>
      </c>
      <c r="B22" s="38" t="s">
        <v>5</v>
      </c>
      <c r="C22" s="38" t="s">
        <v>10</v>
      </c>
      <c r="D22" s="38">
        <v>91001</v>
      </c>
      <c r="E22" s="39">
        <v>200025888163</v>
      </c>
      <c r="F22" s="39" t="s">
        <v>16</v>
      </c>
      <c r="G22" s="39">
        <v>2</v>
      </c>
      <c r="H22" s="40">
        <v>45798.715636574074</v>
      </c>
      <c r="I22" s="38">
        <v>2</v>
      </c>
      <c r="J22" s="38">
        <v>8</v>
      </c>
      <c r="K22" s="38">
        <v>55</v>
      </c>
      <c r="L22" s="38">
        <v>2</v>
      </c>
    </row>
    <row r="23" spans="1:12" x14ac:dyDescent="0.35">
      <c r="A23" s="38">
        <v>88</v>
      </c>
      <c r="B23" s="38" t="s">
        <v>5</v>
      </c>
      <c r="C23" s="38" t="s">
        <v>10</v>
      </c>
      <c r="D23" s="38">
        <v>91001</v>
      </c>
      <c r="E23" s="39">
        <v>200025888163</v>
      </c>
      <c r="F23" s="39" t="s">
        <v>16</v>
      </c>
      <c r="G23" s="39">
        <v>2</v>
      </c>
      <c r="H23" s="40">
        <v>45798.716134259259</v>
      </c>
      <c r="I23" s="38">
        <v>3</v>
      </c>
      <c r="J23" s="38">
        <v>8</v>
      </c>
      <c r="K23" s="38">
        <v>56</v>
      </c>
      <c r="L23" s="38">
        <v>1</v>
      </c>
    </row>
    <row r="24" spans="1:12" x14ac:dyDescent="0.35">
      <c r="A24" s="38">
        <v>89</v>
      </c>
      <c r="B24" s="38" t="s">
        <v>5</v>
      </c>
      <c r="C24" s="38" t="s">
        <v>10</v>
      </c>
      <c r="D24" s="38">
        <v>91001</v>
      </c>
      <c r="E24" s="39">
        <v>200025888163</v>
      </c>
      <c r="F24" s="39" t="s">
        <v>16</v>
      </c>
      <c r="G24" s="39">
        <v>2</v>
      </c>
      <c r="H24" s="40">
        <v>45798.716157407405</v>
      </c>
      <c r="I24" s="38">
        <v>4</v>
      </c>
      <c r="J24" s="38">
        <v>8</v>
      </c>
      <c r="K24" s="38">
        <v>57</v>
      </c>
      <c r="L24" s="38">
        <v>22</v>
      </c>
    </row>
    <row r="25" spans="1:12" x14ac:dyDescent="0.35">
      <c r="A25" s="38">
        <v>90</v>
      </c>
      <c r="B25" s="38" t="s">
        <v>5</v>
      </c>
      <c r="C25" s="38" t="s">
        <v>10</v>
      </c>
      <c r="D25" s="38">
        <v>91001</v>
      </c>
      <c r="E25" s="39">
        <v>200025888163</v>
      </c>
      <c r="F25" s="39" t="s">
        <v>16</v>
      </c>
      <c r="G25" s="39">
        <v>2</v>
      </c>
      <c r="H25" s="40">
        <v>45798.716412037036</v>
      </c>
      <c r="I25" s="38">
        <v>5</v>
      </c>
      <c r="J25" s="38">
        <v>8</v>
      </c>
      <c r="K25" s="38">
        <v>58</v>
      </c>
      <c r="L25" s="38">
        <v>0</v>
      </c>
    </row>
    <row r="26" spans="1:12" x14ac:dyDescent="0.35">
      <c r="A26" s="38">
        <v>91</v>
      </c>
      <c r="B26" s="38" t="s">
        <v>5</v>
      </c>
      <c r="C26" s="38" t="s">
        <v>10</v>
      </c>
      <c r="D26" s="38">
        <v>91001</v>
      </c>
      <c r="E26" s="39">
        <v>200025888163</v>
      </c>
      <c r="F26" s="39" t="s">
        <v>16</v>
      </c>
      <c r="G26" s="39">
        <v>2</v>
      </c>
      <c r="H26" s="40">
        <v>45798.716423611113</v>
      </c>
      <c r="I26" s="38">
        <v>6</v>
      </c>
      <c r="J26" s="38">
        <v>8</v>
      </c>
      <c r="K26" s="38">
        <v>59</v>
      </c>
      <c r="L26" s="38">
        <v>1</v>
      </c>
    </row>
    <row r="27" spans="1:12" x14ac:dyDescent="0.35">
      <c r="A27" s="38">
        <v>93</v>
      </c>
      <c r="B27" s="38" t="s">
        <v>5</v>
      </c>
      <c r="C27" s="38" t="s">
        <v>10</v>
      </c>
      <c r="D27" s="38">
        <v>91001</v>
      </c>
      <c r="E27" s="39">
        <v>200025888163</v>
      </c>
      <c r="F27" s="39" t="s">
        <v>16</v>
      </c>
      <c r="G27" s="39">
        <v>2</v>
      </c>
      <c r="H27" s="40">
        <v>45798.727210648147</v>
      </c>
      <c r="I27" s="38">
        <v>7</v>
      </c>
      <c r="J27" s="38">
        <v>8</v>
      </c>
      <c r="K27" s="38">
        <v>61</v>
      </c>
      <c r="L27" s="38">
        <v>1</v>
      </c>
    </row>
    <row r="28" spans="1:12" x14ac:dyDescent="0.35">
      <c r="A28" s="38">
        <v>180</v>
      </c>
      <c r="B28" s="38" t="s">
        <v>5</v>
      </c>
      <c r="C28" s="38" t="s">
        <v>10</v>
      </c>
      <c r="D28" s="38">
        <v>91001</v>
      </c>
      <c r="E28" s="39">
        <v>200025888163</v>
      </c>
      <c r="F28" s="39" t="s">
        <v>43</v>
      </c>
      <c r="G28" s="39">
        <v>3</v>
      </c>
      <c r="H28" s="40">
        <v>45799.495081018518</v>
      </c>
      <c r="I28" s="38">
        <v>8</v>
      </c>
      <c r="J28" s="38">
        <v>8</v>
      </c>
      <c r="K28" s="38">
        <v>148</v>
      </c>
      <c r="L28" s="38">
        <v>3</v>
      </c>
    </row>
    <row r="29" spans="1:12" x14ac:dyDescent="0.35">
      <c r="A29" s="41">
        <v>13</v>
      </c>
      <c r="B29" s="41" t="s">
        <v>6</v>
      </c>
      <c r="C29" s="38" t="s">
        <v>11</v>
      </c>
      <c r="D29" s="41">
        <v>91807</v>
      </c>
      <c r="E29" s="39">
        <v>200025888982</v>
      </c>
      <c r="F29" s="39" t="s">
        <v>18</v>
      </c>
      <c r="G29" s="39">
        <v>6</v>
      </c>
      <c r="H29" s="40">
        <v>45797.813101851854</v>
      </c>
      <c r="I29" s="38">
        <v>1</v>
      </c>
      <c r="J29" s="38">
        <v>1</v>
      </c>
      <c r="K29" s="41">
        <v>1</v>
      </c>
      <c r="L29" s="41">
        <v>31</v>
      </c>
    </row>
    <row r="30" spans="1:12" x14ac:dyDescent="0.35">
      <c r="A30" s="41">
        <v>94</v>
      </c>
      <c r="B30" s="38" t="s">
        <v>5</v>
      </c>
      <c r="C30" s="38" t="s">
        <v>10</v>
      </c>
      <c r="D30" s="38">
        <v>91001</v>
      </c>
      <c r="E30" s="39">
        <v>200025888982</v>
      </c>
      <c r="F30" s="39" t="s">
        <v>18</v>
      </c>
      <c r="G30" s="39">
        <v>6</v>
      </c>
      <c r="H30" s="40">
        <v>45798.750671296293</v>
      </c>
      <c r="I30" s="38">
        <v>2</v>
      </c>
      <c r="J30" s="38">
        <v>1</v>
      </c>
      <c r="K30" s="38">
        <v>62</v>
      </c>
      <c r="L30" s="38">
        <v>0</v>
      </c>
    </row>
    <row r="31" spans="1:12" x14ac:dyDescent="0.35">
      <c r="A31" s="41">
        <v>95</v>
      </c>
      <c r="B31" s="38" t="s">
        <v>5</v>
      </c>
      <c r="C31" s="38" t="s">
        <v>10</v>
      </c>
      <c r="D31" s="38">
        <v>91001</v>
      </c>
      <c r="E31" s="39">
        <v>200025888982</v>
      </c>
      <c r="F31" s="39" t="s">
        <v>18</v>
      </c>
      <c r="G31" s="39">
        <v>6</v>
      </c>
      <c r="H31" s="40">
        <v>45798.75068287037</v>
      </c>
      <c r="I31" s="38">
        <v>3</v>
      </c>
      <c r="J31" s="38">
        <v>1</v>
      </c>
      <c r="K31" s="38">
        <v>63</v>
      </c>
      <c r="L31" s="38">
        <v>0</v>
      </c>
    </row>
    <row r="32" spans="1:12" x14ac:dyDescent="0.35">
      <c r="A32" s="41">
        <v>103</v>
      </c>
      <c r="B32" s="38" t="s">
        <v>5</v>
      </c>
      <c r="C32" s="38" t="s">
        <v>10</v>
      </c>
      <c r="D32" s="38">
        <v>91001</v>
      </c>
      <c r="E32" s="39">
        <v>200025888982</v>
      </c>
      <c r="F32" s="39" t="s">
        <v>18</v>
      </c>
      <c r="G32" s="39">
        <v>6</v>
      </c>
      <c r="H32" s="40">
        <v>45798.807500000003</v>
      </c>
      <c r="I32" s="38">
        <v>4</v>
      </c>
      <c r="J32" s="38">
        <v>1</v>
      </c>
      <c r="K32" s="38">
        <v>71</v>
      </c>
      <c r="L32" s="38">
        <v>2</v>
      </c>
    </row>
    <row r="33" spans="1:12" x14ac:dyDescent="0.35">
      <c r="A33" s="41">
        <v>104</v>
      </c>
      <c r="B33" s="38" t="s">
        <v>5</v>
      </c>
      <c r="C33" s="38" t="s">
        <v>10</v>
      </c>
      <c r="D33" s="38">
        <v>91001</v>
      </c>
      <c r="E33" s="39">
        <v>200025888982</v>
      </c>
      <c r="F33" s="39" t="s">
        <v>18</v>
      </c>
      <c r="G33" s="39">
        <v>6</v>
      </c>
      <c r="H33" s="40">
        <v>45798.807650462964</v>
      </c>
      <c r="I33" s="38">
        <v>5</v>
      </c>
      <c r="J33" s="38">
        <v>1</v>
      </c>
      <c r="K33" s="38">
        <v>72</v>
      </c>
      <c r="L33" s="38">
        <v>2</v>
      </c>
    </row>
    <row r="34" spans="1:12" x14ac:dyDescent="0.35">
      <c r="A34" s="41">
        <v>226</v>
      </c>
      <c r="B34" s="41" t="s">
        <v>5</v>
      </c>
      <c r="C34" s="41" t="s">
        <v>10</v>
      </c>
      <c r="D34" s="41">
        <v>91001</v>
      </c>
      <c r="E34" s="39">
        <v>200025888982</v>
      </c>
      <c r="F34" s="39" t="s">
        <v>18</v>
      </c>
      <c r="G34" s="39">
        <v>6</v>
      </c>
      <c r="H34" s="40">
        <v>45801.237384259257</v>
      </c>
      <c r="I34" s="38">
        <v>6</v>
      </c>
      <c r="J34" s="38">
        <v>1</v>
      </c>
      <c r="K34" s="38">
        <v>194</v>
      </c>
      <c r="L34" s="41">
        <v>0</v>
      </c>
    </row>
    <row r="35" spans="1:12" x14ac:dyDescent="0.35">
      <c r="A35" s="41">
        <v>227</v>
      </c>
      <c r="B35" s="41" t="s">
        <v>5</v>
      </c>
      <c r="C35" s="41" t="s">
        <v>10</v>
      </c>
      <c r="D35" s="41">
        <v>91001</v>
      </c>
      <c r="E35" s="39">
        <v>200025888982</v>
      </c>
      <c r="F35" s="39" t="s">
        <v>18</v>
      </c>
      <c r="G35" s="39">
        <v>6</v>
      </c>
      <c r="H35" s="40">
        <v>45801.237523148149</v>
      </c>
      <c r="I35" s="38">
        <v>7</v>
      </c>
      <c r="J35" s="38">
        <v>1</v>
      </c>
      <c r="K35" s="38">
        <v>195</v>
      </c>
      <c r="L35" s="41">
        <v>1</v>
      </c>
    </row>
    <row r="36" spans="1:12" x14ac:dyDescent="0.35">
      <c r="A36" s="41">
        <v>228</v>
      </c>
      <c r="B36" s="41" t="s">
        <v>5</v>
      </c>
      <c r="C36" s="41" t="s">
        <v>10</v>
      </c>
      <c r="D36" s="41">
        <v>91001</v>
      </c>
      <c r="E36" s="39">
        <v>200025888982</v>
      </c>
      <c r="F36" s="39" t="s">
        <v>18</v>
      </c>
      <c r="G36" s="39">
        <v>6</v>
      </c>
      <c r="H36" s="40">
        <v>45801.237534722219</v>
      </c>
      <c r="I36" s="38">
        <v>8</v>
      </c>
      <c r="J36" s="38">
        <v>1</v>
      </c>
      <c r="K36" s="38">
        <v>196</v>
      </c>
      <c r="L36" s="41">
        <v>1</v>
      </c>
    </row>
    <row r="37" spans="1:12" x14ac:dyDescent="0.35">
      <c r="A37" s="41">
        <v>229</v>
      </c>
      <c r="B37" s="41" t="s">
        <v>5</v>
      </c>
      <c r="C37" s="41" t="s">
        <v>10</v>
      </c>
      <c r="D37" s="41">
        <v>91001</v>
      </c>
      <c r="E37" s="39">
        <v>200025888982</v>
      </c>
      <c r="F37" s="39" t="s">
        <v>18</v>
      </c>
      <c r="G37" s="39">
        <v>6</v>
      </c>
      <c r="H37" s="40">
        <v>45801.239236111112</v>
      </c>
      <c r="I37" s="38">
        <v>9</v>
      </c>
      <c r="J37" s="38">
        <v>1</v>
      </c>
      <c r="K37" s="38">
        <v>197</v>
      </c>
      <c r="L37" s="41">
        <v>0</v>
      </c>
    </row>
    <row r="38" spans="1:12" x14ac:dyDescent="0.35">
      <c r="A38" s="41">
        <v>230</v>
      </c>
      <c r="B38" s="41" t="s">
        <v>5</v>
      </c>
      <c r="C38" s="41" t="s">
        <v>10</v>
      </c>
      <c r="D38" s="41">
        <v>91001</v>
      </c>
      <c r="E38" s="39">
        <v>200025888982</v>
      </c>
      <c r="F38" s="39" t="s">
        <v>18</v>
      </c>
      <c r="G38" s="39">
        <v>6</v>
      </c>
      <c r="H38" s="40">
        <v>45801.31391203704</v>
      </c>
      <c r="I38" s="38">
        <v>10</v>
      </c>
      <c r="J38" s="38">
        <v>1</v>
      </c>
      <c r="K38" s="38">
        <v>198</v>
      </c>
      <c r="L38" s="41">
        <v>1</v>
      </c>
    </row>
    <row r="39" spans="1:12" x14ac:dyDescent="0.35">
      <c r="A39" s="38">
        <v>127</v>
      </c>
      <c r="B39" s="38" t="s">
        <v>5</v>
      </c>
      <c r="C39" s="38" t="s">
        <v>10</v>
      </c>
      <c r="D39" s="38">
        <v>91001</v>
      </c>
      <c r="E39" s="39">
        <v>200025888791</v>
      </c>
      <c r="F39" s="39" t="s">
        <v>19</v>
      </c>
      <c r="G39" s="39">
        <v>7</v>
      </c>
      <c r="H39" s="40">
        <v>45798.904317129629</v>
      </c>
      <c r="I39" s="38">
        <v>1</v>
      </c>
      <c r="J39" s="38">
        <v>13</v>
      </c>
      <c r="K39" s="38">
        <v>95</v>
      </c>
      <c r="L39" s="38">
        <v>0</v>
      </c>
    </row>
    <row r="40" spans="1:12" x14ac:dyDescent="0.35">
      <c r="A40" s="38">
        <v>128</v>
      </c>
      <c r="B40" s="38" t="s">
        <v>5</v>
      </c>
      <c r="C40" s="38" t="s">
        <v>10</v>
      </c>
      <c r="D40" s="38">
        <v>91001</v>
      </c>
      <c r="E40" s="39">
        <v>200025888791</v>
      </c>
      <c r="F40" s="39" t="s">
        <v>19</v>
      </c>
      <c r="G40" s="39">
        <v>7</v>
      </c>
      <c r="H40" s="40">
        <v>45798.904328703706</v>
      </c>
      <c r="I40" s="38">
        <v>2</v>
      </c>
      <c r="J40" s="38">
        <v>13</v>
      </c>
      <c r="K40" s="38">
        <v>96</v>
      </c>
      <c r="L40" s="38">
        <v>15</v>
      </c>
    </row>
    <row r="41" spans="1:12" x14ac:dyDescent="0.35">
      <c r="A41" s="38">
        <v>129</v>
      </c>
      <c r="B41" s="38" t="s">
        <v>5</v>
      </c>
      <c r="C41" s="38" t="s">
        <v>10</v>
      </c>
      <c r="D41" s="38">
        <v>91001</v>
      </c>
      <c r="E41" s="39">
        <v>200025888791</v>
      </c>
      <c r="F41" s="39" t="s">
        <v>19</v>
      </c>
      <c r="G41" s="39">
        <v>7</v>
      </c>
      <c r="H41" s="40">
        <v>45798.904513888891</v>
      </c>
      <c r="I41" s="38">
        <v>3</v>
      </c>
      <c r="J41" s="38">
        <v>13</v>
      </c>
      <c r="K41" s="38">
        <v>97</v>
      </c>
      <c r="L41" s="38">
        <v>0</v>
      </c>
    </row>
    <row r="42" spans="1:12" x14ac:dyDescent="0.35">
      <c r="A42" s="38">
        <v>130</v>
      </c>
      <c r="B42" s="38" t="s">
        <v>5</v>
      </c>
      <c r="C42" s="38" t="s">
        <v>10</v>
      </c>
      <c r="D42" s="38">
        <v>91001</v>
      </c>
      <c r="E42" s="39">
        <v>200025888791</v>
      </c>
      <c r="F42" s="39" t="s">
        <v>19</v>
      </c>
      <c r="G42" s="39">
        <v>7</v>
      </c>
      <c r="H42" s="40">
        <v>45798.90452546296</v>
      </c>
      <c r="I42" s="38">
        <v>4</v>
      </c>
      <c r="J42" s="38">
        <v>13</v>
      </c>
      <c r="K42" s="38">
        <v>98</v>
      </c>
      <c r="L42" s="38">
        <v>24</v>
      </c>
    </row>
    <row r="43" spans="1:12" x14ac:dyDescent="0.35">
      <c r="A43" s="38">
        <v>131</v>
      </c>
      <c r="B43" s="38" t="s">
        <v>5</v>
      </c>
      <c r="C43" s="38" t="s">
        <v>10</v>
      </c>
      <c r="D43" s="38">
        <v>91001</v>
      </c>
      <c r="E43" s="39">
        <v>200025888791</v>
      </c>
      <c r="F43" s="39" t="s">
        <v>19</v>
      </c>
      <c r="G43" s="39">
        <v>7</v>
      </c>
      <c r="H43" s="40">
        <v>45798.904814814814</v>
      </c>
      <c r="I43" s="38">
        <v>5</v>
      </c>
      <c r="J43" s="38">
        <v>13</v>
      </c>
      <c r="K43" s="38">
        <v>99</v>
      </c>
      <c r="L43" s="38">
        <v>2</v>
      </c>
    </row>
    <row r="44" spans="1:12" x14ac:dyDescent="0.35">
      <c r="A44" s="38">
        <v>132</v>
      </c>
      <c r="B44" s="38" t="s">
        <v>5</v>
      </c>
      <c r="C44" s="38" t="s">
        <v>10</v>
      </c>
      <c r="D44" s="38">
        <v>91001</v>
      </c>
      <c r="E44" s="39">
        <v>200025888791</v>
      </c>
      <c r="F44" s="39" t="s">
        <v>19</v>
      </c>
      <c r="G44" s="39">
        <v>7</v>
      </c>
      <c r="H44" s="40">
        <v>45798.905335648145</v>
      </c>
      <c r="I44" s="38">
        <v>6</v>
      </c>
      <c r="J44" s="38">
        <v>13</v>
      </c>
      <c r="K44" s="38">
        <v>100</v>
      </c>
      <c r="L44" s="38">
        <v>158</v>
      </c>
    </row>
    <row r="45" spans="1:12" x14ac:dyDescent="0.35">
      <c r="A45" s="38">
        <v>140</v>
      </c>
      <c r="B45" s="38" t="s">
        <v>5</v>
      </c>
      <c r="C45" s="38" t="s">
        <v>10</v>
      </c>
      <c r="D45" s="38">
        <v>91001</v>
      </c>
      <c r="E45" s="39">
        <v>200025888791</v>
      </c>
      <c r="F45" s="39" t="s">
        <v>19</v>
      </c>
      <c r="G45" s="39">
        <v>7</v>
      </c>
      <c r="H45" s="40">
        <v>45799.027395833335</v>
      </c>
      <c r="I45" s="38">
        <v>7</v>
      </c>
      <c r="J45" s="38">
        <v>13</v>
      </c>
      <c r="K45" s="38">
        <v>108</v>
      </c>
      <c r="L45" s="38">
        <v>1</v>
      </c>
    </row>
    <row r="46" spans="1:12" x14ac:dyDescent="0.35">
      <c r="A46" s="38">
        <v>146</v>
      </c>
      <c r="B46" s="38" t="s">
        <v>5</v>
      </c>
      <c r="C46" s="38" t="s">
        <v>10</v>
      </c>
      <c r="D46" s="38">
        <v>91001</v>
      </c>
      <c r="E46" s="39">
        <v>200025888791</v>
      </c>
      <c r="F46" s="39" t="s">
        <v>19</v>
      </c>
      <c r="G46" s="39">
        <v>7</v>
      </c>
      <c r="H46" s="40">
        <v>45799.084467592591</v>
      </c>
      <c r="I46" s="38">
        <v>8</v>
      </c>
      <c r="J46" s="38">
        <v>13</v>
      </c>
      <c r="K46" s="38">
        <v>114</v>
      </c>
      <c r="L46" s="38">
        <v>0</v>
      </c>
    </row>
    <row r="47" spans="1:12" x14ac:dyDescent="0.35">
      <c r="A47" s="38">
        <v>173</v>
      </c>
      <c r="B47" s="38" t="s">
        <v>5</v>
      </c>
      <c r="C47" s="38" t="s">
        <v>10</v>
      </c>
      <c r="D47" s="38">
        <v>91001</v>
      </c>
      <c r="E47" s="39">
        <v>200025888791</v>
      </c>
      <c r="F47" s="39" t="s">
        <v>19</v>
      </c>
      <c r="G47" s="39">
        <v>7</v>
      </c>
      <c r="H47" s="40">
        <v>45799.405405092592</v>
      </c>
      <c r="I47" s="38">
        <v>9</v>
      </c>
      <c r="J47" s="38">
        <v>13</v>
      </c>
      <c r="K47" s="38">
        <v>141</v>
      </c>
      <c r="L47" s="38">
        <v>0</v>
      </c>
    </row>
    <row r="48" spans="1:12" x14ac:dyDescent="0.35">
      <c r="A48" s="38">
        <v>174</v>
      </c>
      <c r="B48" s="38" t="s">
        <v>5</v>
      </c>
      <c r="C48" s="38" t="s">
        <v>10</v>
      </c>
      <c r="D48" s="38">
        <v>91001</v>
      </c>
      <c r="E48" s="39">
        <v>200025888791</v>
      </c>
      <c r="F48" s="39" t="s">
        <v>19</v>
      </c>
      <c r="G48" s="39">
        <v>7</v>
      </c>
      <c r="H48" s="40">
        <v>45799.405405092592</v>
      </c>
      <c r="I48" s="38">
        <v>10</v>
      </c>
      <c r="J48" s="38">
        <v>13</v>
      </c>
      <c r="K48" s="38">
        <v>142</v>
      </c>
      <c r="L48" s="38">
        <v>1</v>
      </c>
    </row>
    <row r="49" spans="1:12" x14ac:dyDescent="0.35">
      <c r="A49" s="38">
        <v>175</v>
      </c>
      <c r="B49" s="38" t="s">
        <v>5</v>
      </c>
      <c r="C49" s="38" t="s">
        <v>10</v>
      </c>
      <c r="D49" s="38">
        <v>91001</v>
      </c>
      <c r="E49" s="39">
        <v>200025888791</v>
      </c>
      <c r="F49" s="39" t="s">
        <v>19</v>
      </c>
      <c r="G49" s="39">
        <v>7</v>
      </c>
      <c r="H49" s="40">
        <v>45799.405416666668</v>
      </c>
      <c r="I49" s="38">
        <v>11</v>
      </c>
      <c r="J49" s="38">
        <v>13</v>
      </c>
      <c r="K49" s="38">
        <v>143</v>
      </c>
      <c r="L49" s="38">
        <v>1306</v>
      </c>
    </row>
    <row r="50" spans="1:12" x14ac:dyDescent="0.35">
      <c r="A50" s="38">
        <v>144</v>
      </c>
      <c r="B50" s="38" t="s">
        <v>5</v>
      </c>
      <c r="C50" s="38" t="s">
        <v>10</v>
      </c>
      <c r="D50" s="38">
        <v>91001</v>
      </c>
      <c r="E50" s="39">
        <v>200025888272</v>
      </c>
      <c r="F50" s="39" t="s">
        <v>23</v>
      </c>
      <c r="G50" s="39">
        <v>11</v>
      </c>
      <c r="H50" s="40">
        <v>45799.076701388891</v>
      </c>
      <c r="I50" s="38">
        <v>1</v>
      </c>
      <c r="J50" s="38">
        <v>18</v>
      </c>
      <c r="K50" s="38">
        <v>112</v>
      </c>
      <c r="L50" s="38">
        <v>0</v>
      </c>
    </row>
    <row r="51" spans="1:12" x14ac:dyDescent="0.35">
      <c r="A51" s="38">
        <v>145</v>
      </c>
      <c r="B51" s="38" t="s">
        <v>5</v>
      </c>
      <c r="C51" s="38" t="s">
        <v>10</v>
      </c>
      <c r="D51" s="38">
        <v>91001</v>
      </c>
      <c r="E51" s="39">
        <v>200025888272</v>
      </c>
      <c r="F51" s="39" t="s">
        <v>23</v>
      </c>
      <c r="G51" s="39">
        <v>11</v>
      </c>
      <c r="H51" s="40">
        <v>45799.076701388891</v>
      </c>
      <c r="I51" s="38">
        <v>2</v>
      </c>
      <c r="J51" s="38">
        <v>18</v>
      </c>
      <c r="K51" s="38">
        <v>113</v>
      </c>
      <c r="L51" s="38">
        <v>1</v>
      </c>
    </row>
    <row r="52" spans="1:12" x14ac:dyDescent="0.35">
      <c r="A52" s="41">
        <v>35</v>
      </c>
      <c r="B52" s="41" t="s">
        <v>7</v>
      </c>
      <c r="C52" s="41" t="s">
        <v>12</v>
      </c>
      <c r="D52" s="41">
        <v>93202</v>
      </c>
      <c r="E52" s="43">
        <v>200025888244</v>
      </c>
      <c r="F52" s="43" t="s">
        <v>24</v>
      </c>
      <c r="G52" s="43">
        <v>12</v>
      </c>
      <c r="H52" s="40">
        <v>45799.53324074074</v>
      </c>
      <c r="I52" s="38">
        <v>1</v>
      </c>
      <c r="J52" s="38">
        <v>22</v>
      </c>
      <c r="K52" s="41">
        <v>8</v>
      </c>
      <c r="L52" s="41">
        <v>2</v>
      </c>
    </row>
    <row r="53" spans="1:12" x14ac:dyDescent="0.35">
      <c r="A53" s="38">
        <v>108</v>
      </c>
      <c r="B53" s="38" t="s">
        <v>5</v>
      </c>
      <c r="C53" s="38" t="s">
        <v>10</v>
      </c>
      <c r="D53" s="38">
        <v>91001</v>
      </c>
      <c r="E53" s="39">
        <v>200025888839</v>
      </c>
      <c r="F53" s="39" t="s">
        <v>26</v>
      </c>
      <c r="G53" s="39">
        <v>16</v>
      </c>
      <c r="H53" s="40">
        <v>45798.810324074075</v>
      </c>
      <c r="I53" s="38">
        <v>1</v>
      </c>
      <c r="J53" s="38">
        <v>11</v>
      </c>
      <c r="K53" s="38">
        <v>76</v>
      </c>
      <c r="L53" s="38">
        <v>0</v>
      </c>
    </row>
    <row r="54" spans="1:12" x14ac:dyDescent="0.35">
      <c r="A54" s="38">
        <v>109</v>
      </c>
      <c r="B54" s="38" t="s">
        <v>5</v>
      </c>
      <c r="C54" s="38" t="s">
        <v>10</v>
      </c>
      <c r="D54" s="38">
        <v>91001</v>
      </c>
      <c r="E54" s="39">
        <v>200025888839</v>
      </c>
      <c r="F54" s="39" t="s">
        <v>26</v>
      </c>
      <c r="G54" s="39">
        <v>16</v>
      </c>
      <c r="H54" s="40">
        <v>45798.810324074075</v>
      </c>
      <c r="I54" s="38">
        <v>2</v>
      </c>
      <c r="J54" s="38">
        <v>11</v>
      </c>
      <c r="K54" s="38">
        <v>77</v>
      </c>
      <c r="L54" s="38">
        <v>0</v>
      </c>
    </row>
    <row r="55" spans="1:12" x14ac:dyDescent="0.35">
      <c r="A55" s="38">
        <v>110</v>
      </c>
      <c r="B55" s="38" t="s">
        <v>5</v>
      </c>
      <c r="C55" s="38" t="s">
        <v>10</v>
      </c>
      <c r="D55" s="38">
        <v>91001</v>
      </c>
      <c r="E55" s="39">
        <v>200025888839</v>
      </c>
      <c r="F55" s="39" t="s">
        <v>26</v>
      </c>
      <c r="G55" s="39">
        <v>16</v>
      </c>
      <c r="H55" s="40">
        <v>45798.810335648152</v>
      </c>
      <c r="I55" s="38">
        <v>3</v>
      </c>
      <c r="J55" s="38">
        <v>11</v>
      </c>
      <c r="K55" s="38">
        <v>78</v>
      </c>
      <c r="L55" s="38">
        <v>0</v>
      </c>
    </row>
    <row r="56" spans="1:12" x14ac:dyDescent="0.35">
      <c r="A56" s="38">
        <v>147</v>
      </c>
      <c r="B56" s="38" t="s">
        <v>5</v>
      </c>
      <c r="C56" s="38" t="s">
        <v>10</v>
      </c>
      <c r="D56" s="38">
        <v>91001</v>
      </c>
      <c r="E56" s="39">
        <v>200025888271</v>
      </c>
      <c r="F56" s="39" t="s">
        <v>25</v>
      </c>
      <c r="G56" s="39">
        <v>17</v>
      </c>
      <c r="H56" s="40">
        <v>45799.101458333331</v>
      </c>
      <c r="I56" s="38">
        <v>1</v>
      </c>
      <c r="J56" s="38">
        <v>19</v>
      </c>
      <c r="K56" s="38">
        <v>115</v>
      </c>
      <c r="L56" s="38">
        <v>1</v>
      </c>
    </row>
    <row r="57" spans="1:12" x14ac:dyDescent="0.35">
      <c r="A57" s="38">
        <v>148</v>
      </c>
      <c r="B57" s="38" t="s">
        <v>5</v>
      </c>
      <c r="C57" s="38" t="s">
        <v>10</v>
      </c>
      <c r="D57" s="38">
        <v>91001</v>
      </c>
      <c r="E57" s="39">
        <v>200025888271</v>
      </c>
      <c r="F57" s="39" t="s">
        <v>25</v>
      </c>
      <c r="G57" s="39">
        <v>17</v>
      </c>
      <c r="H57" s="40">
        <v>45799.101469907408</v>
      </c>
      <c r="I57" s="38">
        <v>2</v>
      </c>
      <c r="J57" s="38">
        <v>19</v>
      </c>
      <c r="K57" s="38">
        <v>116</v>
      </c>
      <c r="L57" s="38">
        <v>1</v>
      </c>
    </row>
    <row r="58" spans="1:12" x14ac:dyDescent="0.35">
      <c r="A58" s="38">
        <v>164</v>
      </c>
      <c r="B58" s="38" t="s">
        <v>5</v>
      </c>
      <c r="C58" s="38" t="s">
        <v>10</v>
      </c>
      <c r="D58" s="38">
        <v>91001</v>
      </c>
      <c r="E58" s="39">
        <v>200025888271</v>
      </c>
      <c r="F58" s="39" t="s">
        <v>25</v>
      </c>
      <c r="G58" s="39">
        <v>17</v>
      </c>
      <c r="H58" s="40">
        <v>45799.254386574074</v>
      </c>
      <c r="I58" s="38">
        <v>3</v>
      </c>
      <c r="J58" s="38">
        <v>19</v>
      </c>
      <c r="K58" s="38">
        <v>132</v>
      </c>
      <c r="L58" s="38">
        <v>1</v>
      </c>
    </row>
    <row r="59" spans="1:12" x14ac:dyDescent="0.35">
      <c r="A59" s="41">
        <v>201</v>
      </c>
      <c r="B59" s="41" t="s">
        <v>5</v>
      </c>
      <c r="C59" s="41" t="s">
        <v>10</v>
      </c>
      <c r="D59" s="41">
        <v>91001</v>
      </c>
      <c r="E59" s="39">
        <v>200025888271</v>
      </c>
      <c r="F59" s="39" t="s">
        <v>25</v>
      </c>
      <c r="G59" s="39">
        <v>17</v>
      </c>
      <c r="H59" s="40">
        <v>45799.750428240739</v>
      </c>
      <c r="I59" s="38">
        <v>4</v>
      </c>
      <c r="J59" s="38">
        <v>19</v>
      </c>
      <c r="K59" s="38">
        <v>169</v>
      </c>
      <c r="L59" s="41">
        <v>2</v>
      </c>
    </row>
    <row r="60" spans="1:12" x14ac:dyDescent="0.35">
      <c r="A60" s="41">
        <v>202</v>
      </c>
      <c r="B60" s="41" t="s">
        <v>5</v>
      </c>
      <c r="C60" s="41" t="s">
        <v>10</v>
      </c>
      <c r="D60" s="41">
        <v>91001</v>
      </c>
      <c r="E60" s="39">
        <v>200025888271</v>
      </c>
      <c r="F60" s="39" t="s">
        <v>25</v>
      </c>
      <c r="G60" s="39">
        <v>17</v>
      </c>
      <c r="H60" s="40">
        <v>45799.750613425924</v>
      </c>
      <c r="I60" s="38">
        <v>5</v>
      </c>
      <c r="J60" s="38">
        <v>19</v>
      </c>
      <c r="K60" s="38">
        <v>170</v>
      </c>
      <c r="L60" s="41">
        <v>1</v>
      </c>
    </row>
    <row r="61" spans="1:12" x14ac:dyDescent="0.35">
      <c r="A61" s="38">
        <v>29</v>
      </c>
      <c r="B61" s="41" t="s">
        <v>7</v>
      </c>
      <c r="C61" s="38" t="s">
        <v>12</v>
      </c>
      <c r="D61" s="42">
        <v>93202</v>
      </c>
      <c r="E61" s="39">
        <v>200025888201</v>
      </c>
      <c r="F61" s="39" t="s">
        <v>20</v>
      </c>
      <c r="G61" s="39">
        <v>20</v>
      </c>
      <c r="H61" s="40">
        <v>45798.499212962961</v>
      </c>
      <c r="I61" s="38">
        <v>1</v>
      </c>
      <c r="J61" s="38">
        <v>5</v>
      </c>
      <c r="K61" s="41">
        <v>2</v>
      </c>
      <c r="L61" s="41">
        <v>4673</v>
      </c>
    </row>
    <row r="62" spans="1:12" x14ac:dyDescent="0.35">
      <c r="A62" s="41">
        <v>214</v>
      </c>
      <c r="B62" s="41" t="s">
        <v>5</v>
      </c>
      <c r="C62" s="41" t="s">
        <v>10</v>
      </c>
      <c r="D62" s="41">
        <v>91001</v>
      </c>
      <c r="E62" s="39">
        <v>200025888201</v>
      </c>
      <c r="F62" s="39" t="s">
        <v>20</v>
      </c>
      <c r="G62" s="39">
        <v>20</v>
      </c>
      <c r="H62" s="40">
        <v>45799.887256944443</v>
      </c>
      <c r="I62" s="38">
        <v>2</v>
      </c>
      <c r="J62" s="38">
        <v>5</v>
      </c>
      <c r="K62" s="38">
        <v>182</v>
      </c>
      <c r="L62" s="41">
        <v>0</v>
      </c>
    </row>
    <row r="63" spans="1:12" x14ac:dyDescent="0.35">
      <c r="A63" s="41">
        <v>215</v>
      </c>
      <c r="B63" s="41" t="s">
        <v>5</v>
      </c>
      <c r="C63" s="41" t="s">
        <v>10</v>
      </c>
      <c r="D63" s="41">
        <v>91001</v>
      </c>
      <c r="E63" s="39">
        <v>200025888201</v>
      </c>
      <c r="F63" s="39" t="s">
        <v>20</v>
      </c>
      <c r="G63" s="39">
        <v>20</v>
      </c>
      <c r="H63" s="40">
        <v>45799.887731481482</v>
      </c>
      <c r="I63" s="38">
        <v>3</v>
      </c>
      <c r="J63" s="38">
        <v>5</v>
      </c>
      <c r="K63" s="38">
        <v>183</v>
      </c>
      <c r="L63" s="41">
        <v>0</v>
      </c>
    </row>
    <row r="64" spans="1:12" x14ac:dyDescent="0.35">
      <c r="A64" s="38">
        <v>172</v>
      </c>
      <c r="B64" s="38" t="s">
        <v>5</v>
      </c>
      <c r="C64" s="38" t="s">
        <v>10</v>
      </c>
      <c r="D64" s="38">
        <v>91001</v>
      </c>
      <c r="E64" s="39">
        <v>200025888235</v>
      </c>
      <c r="F64" s="39" t="s">
        <v>22</v>
      </c>
      <c r="G64" s="39">
        <v>22</v>
      </c>
      <c r="H64" s="40">
        <v>45799.332499999997</v>
      </c>
      <c r="I64" s="38">
        <v>1</v>
      </c>
      <c r="J64" s="38">
        <v>21</v>
      </c>
      <c r="K64" s="38">
        <v>140</v>
      </c>
      <c r="L64" s="38">
        <v>1</v>
      </c>
    </row>
    <row r="65" spans="1:12" x14ac:dyDescent="0.35">
      <c r="A65" s="38">
        <v>177</v>
      </c>
      <c r="B65" s="38" t="s">
        <v>5</v>
      </c>
      <c r="C65" s="38" t="s">
        <v>10</v>
      </c>
      <c r="D65" s="38">
        <v>91001</v>
      </c>
      <c r="E65" s="39">
        <v>200025888235</v>
      </c>
      <c r="F65" s="39" t="s">
        <v>22</v>
      </c>
      <c r="G65" s="39">
        <v>22</v>
      </c>
      <c r="H65" s="40">
        <v>45799.440474537034</v>
      </c>
      <c r="I65" s="38">
        <v>2</v>
      </c>
      <c r="J65" s="38">
        <v>21</v>
      </c>
      <c r="K65" s="38">
        <v>145</v>
      </c>
      <c r="L65" s="38">
        <v>0</v>
      </c>
    </row>
    <row r="66" spans="1:12" x14ac:dyDescent="0.35">
      <c r="A66" s="38">
        <v>178</v>
      </c>
      <c r="B66" s="38" t="s">
        <v>5</v>
      </c>
      <c r="C66" s="38" t="s">
        <v>10</v>
      </c>
      <c r="D66" s="38">
        <v>91001</v>
      </c>
      <c r="E66" s="39">
        <v>200025888235</v>
      </c>
      <c r="F66" s="39" t="s">
        <v>22</v>
      </c>
      <c r="G66" s="39">
        <v>22</v>
      </c>
      <c r="H66" s="40">
        <v>45799.440486111111</v>
      </c>
      <c r="I66" s="38">
        <v>3</v>
      </c>
      <c r="J66" s="38">
        <v>21</v>
      </c>
      <c r="K66" s="38">
        <v>146</v>
      </c>
      <c r="L66" s="38">
        <v>0</v>
      </c>
    </row>
    <row r="67" spans="1:12" x14ac:dyDescent="0.35">
      <c r="A67" s="38">
        <v>179</v>
      </c>
      <c r="B67" s="38" t="s">
        <v>5</v>
      </c>
      <c r="C67" s="38" t="s">
        <v>10</v>
      </c>
      <c r="D67" s="38">
        <v>91001</v>
      </c>
      <c r="E67" s="39">
        <v>200025888235</v>
      </c>
      <c r="F67" s="39" t="s">
        <v>22</v>
      </c>
      <c r="G67" s="39">
        <v>22</v>
      </c>
      <c r="H67" s="40">
        <v>45799.459699074076</v>
      </c>
      <c r="I67" s="38">
        <v>4</v>
      </c>
      <c r="J67" s="38">
        <v>21</v>
      </c>
      <c r="K67" s="38">
        <v>147</v>
      </c>
      <c r="L67" s="38">
        <v>0</v>
      </c>
    </row>
    <row r="68" spans="1:12" x14ac:dyDescent="0.35">
      <c r="A68" s="41">
        <v>216</v>
      </c>
      <c r="B68" s="41" t="s">
        <v>5</v>
      </c>
      <c r="C68" s="41" t="s">
        <v>10</v>
      </c>
      <c r="D68" s="41">
        <v>91001</v>
      </c>
      <c r="E68" s="39">
        <v>200025888834</v>
      </c>
      <c r="F68" s="39" t="s">
        <v>30</v>
      </c>
      <c r="G68" s="39">
        <v>25</v>
      </c>
      <c r="H68" s="40">
        <v>45800.009456018517</v>
      </c>
      <c r="I68" s="38">
        <v>1</v>
      </c>
      <c r="J68" s="38">
        <v>25</v>
      </c>
      <c r="K68" s="38">
        <v>184</v>
      </c>
      <c r="L68" s="41">
        <v>0</v>
      </c>
    </row>
    <row r="69" spans="1:12" x14ac:dyDescent="0.35">
      <c r="A69" s="41">
        <v>217</v>
      </c>
      <c r="B69" s="41" t="s">
        <v>5</v>
      </c>
      <c r="C69" s="41" t="s">
        <v>10</v>
      </c>
      <c r="D69" s="41">
        <v>91001</v>
      </c>
      <c r="E69" s="39">
        <v>200025888834</v>
      </c>
      <c r="F69" s="39" t="s">
        <v>30</v>
      </c>
      <c r="G69" s="39">
        <v>25</v>
      </c>
      <c r="H69" s="40">
        <v>45800.009467592594</v>
      </c>
      <c r="I69" s="38">
        <v>2</v>
      </c>
      <c r="J69" s="38">
        <v>25</v>
      </c>
      <c r="K69" s="38">
        <v>185</v>
      </c>
      <c r="L69" s="41">
        <v>1</v>
      </c>
    </row>
    <row r="70" spans="1:12" x14ac:dyDescent="0.35">
      <c r="A70" s="41">
        <v>218</v>
      </c>
      <c r="B70" s="41" t="s">
        <v>5</v>
      </c>
      <c r="C70" s="41" t="s">
        <v>10</v>
      </c>
      <c r="D70" s="41">
        <v>91001</v>
      </c>
      <c r="E70" s="39">
        <v>200025888834</v>
      </c>
      <c r="F70" s="39" t="s">
        <v>30</v>
      </c>
      <c r="G70" s="39">
        <v>25</v>
      </c>
      <c r="H70" s="40">
        <v>45800.013310185182</v>
      </c>
      <c r="I70" s="38">
        <v>3</v>
      </c>
      <c r="J70" s="38">
        <v>25</v>
      </c>
      <c r="K70" s="38">
        <v>186</v>
      </c>
      <c r="L70" s="41">
        <v>1</v>
      </c>
    </row>
    <row r="71" spans="1:12" x14ac:dyDescent="0.35">
      <c r="A71" s="41">
        <v>219</v>
      </c>
      <c r="B71" s="41" t="s">
        <v>5</v>
      </c>
      <c r="C71" s="41" t="s">
        <v>10</v>
      </c>
      <c r="D71" s="41">
        <v>91001</v>
      </c>
      <c r="E71" s="39">
        <v>200025888834</v>
      </c>
      <c r="F71" s="39" t="s">
        <v>30</v>
      </c>
      <c r="G71" s="39">
        <v>25</v>
      </c>
      <c r="H71" s="40">
        <v>45800.014166666668</v>
      </c>
      <c r="I71" s="38">
        <v>4</v>
      </c>
      <c r="J71" s="38">
        <v>25</v>
      </c>
      <c r="K71" s="38">
        <v>187</v>
      </c>
      <c r="L71" s="41">
        <v>0</v>
      </c>
    </row>
    <row r="72" spans="1:12" x14ac:dyDescent="0.35">
      <c r="A72" s="41">
        <v>220</v>
      </c>
      <c r="B72" s="41" t="s">
        <v>5</v>
      </c>
      <c r="C72" s="41" t="s">
        <v>10</v>
      </c>
      <c r="D72" s="41">
        <v>91001</v>
      </c>
      <c r="E72" s="39">
        <v>200025888834</v>
      </c>
      <c r="F72" s="39" t="s">
        <v>30</v>
      </c>
      <c r="G72" s="39">
        <v>25</v>
      </c>
      <c r="H72" s="40">
        <v>45800.014178240737</v>
      </c>
      <c r="I72" s="38">
        <v>5</v>
      </c>
      <c r="J72" s="38">
        <v>25</v>
      </c>
      <c r="K72" s="38">
        <v>188</v>
      </c>
      <c r="L72" s="41">
        <v>0</v>
      </c>
    </row>
    <row r="73" spans="1:12" x14ac:dyDescent="0.35">
      <c r="A73" s="41">
        <v>221</v>
      </c>
      <c r="B73" s="41" t="s">
        <v>5</v>
      </c>
      <c r="C73" s="41" t="s">
        <v>10</v>
      </c>
      <c r="D73" s="41">
        <v>91001</v>
      </c>
      <c r="E73" s="39">
        <v>200025888834</v>
      </c>
      <c r="F73" s="39" t="s">
        <v>30</v>
      </c>
      <c r="G73" s="39">
        <v>25</v>
      </c>
      <c r="H73" s="40">
        <v>45800.175416666665</v>
      </c>
      <c r="I73" s="38">
        <v>6</v>
      </c>
      <c r="J73" s="38">
        <v>25</v>
      </c>
      <c r="K73" s="38">
        <v>189</v>
      </c>
      <c r="L73" s="41">
        <v>0</v>
      </c>
    </row>
    <row r="74" spans="1:12" x14ac:dyDescent="0.35">
      <c r="A74" s="41">
        <v>222</v>
      </c>
      <c r="B74" s="41" t="s">
        <v>5</v>
      </c>
      <c r="C74" s="41" t="s">
        <v>10</v>
      </c>
      <c r="D74" s="41">
        <v>91001</v>
      </c>
      <c r="E74" s="39">
        <v>200025888834</v>
      </c>
      <c r="F74" s="39" t="s">
        <v>30</v>
      </c>
      <c r="G74" s="39">
        <v>25</v>
      </c>
      <c r="H74" s="40">
        <v>45800.175567129627</v>
      </c>
      <c r="I74" s="38">
        <v>7</v>
      </c>
      <c r="J74" s="38">
        <v>25</v>
      </c>
      <c r="K74" s="38">
        <v>190</v>
      </c>
      <c r="L74" s="41">
        <v>1</v>
      </c>
    </row>
    <row r="75" spans="1:12" x14ac:dyDescent="0.35">
      <c r="A75" s="41">
        <v>223</v>
      </c>
      <c r="B75" s="41" t="s">
        <v>5</v>
      </c>
      <c r="C75" s="41" t="s">
        <v>10</v>
      </c>
      <c r="D75" s="41">
        <v>91001</v>
      </c>
      <c r="E75" s="39">
        <v>200025888834</v>
      </c>
      <c r="F75" s="39" t="s">
        <v>30</v>
      </c>
      <c r="G75" s="39">
        <v>25</v>
      </c>
      <c r="H75" s="40">
        <v>45800.17763888889</v>
      </c>
      <c r="I75" s="38">
        <v>8</v>
      </c>
      <c r="J75" s="38">
        <v>25</v>
      </c>
      <c r="K75" s="38">
        <v>191</v>
      </c>
      <c r="L75" s="41">
        <v>0</v>
      </c>
    </row>
    <row r="76" spans="1:12" x14ac:dyDescent="0.35">
      <c r="A76" s="38">
        <v>82</v>
      </c>
      <c r="B76" s="38" t="s">
        <v>5</v>
      </c>
      <c r="C76" s="38" t="s">
        <v>10</v>
      </c>
      <c r="D76" s="38">
        <v>91001</v>
      </c>
      <c r="E76" s="39">
        <v>200025888863</v>
      </c>
      <c r="F76" s="39" t="s">
        <v>31</v>
      </c>
      <c r="G76" s="39">
        <v>26</v>
      </c>
      <c r="H76" s="40">
        <v>45798.704502314817</v>
      </c>
      <c r="I76" s="38">
        <v>1</v>
      </c>
      <c r="J76" s="38">
        <v>7</v>
      </c>
      <c r="K76" s="38">
        <v>50</v>
      </c>
      <c r="L76" s="38">
        <v>1</v>
      </c>
    </row>
    <row r="77" spans="1:12" x14ac:dyDescent="0.35">
      <c r="A77" s="38">
        <v>83</v>
      </c>
      <c r="B77" s="38" t="s">
        <v>5</v>
      </c>
      <c r="C77" s="38" t="s">
        <v>10</v>
      </c>
      <c r="D77" s="38">
        <v>91001</v>
      </c>
      <c r="E77" s="39">
        <v>200025888863</v>
      </c>
      <c r="F77" s="39" t="s">
        <v>31</v>
      </c>
      <c r="G77" s="39">
        <v>26</v>
      </c>
      <c r="H77" s="40">
        <v>45798.704872685186</v>
      </c>
      <c r="I77" s="38">
        <v>2</v>
      </c>
      <c r="J77" s="38">
        <v>7</v>
      </c>
      <c r="K77" s="38">
        <v>51</v>
      </c>
      <c r="L77" s="38">
        <v>0</v>
      </c>
    </row>
    <row r="78" spans="1:12" x14ac:dyDescent="0.35">
      <c r="A78" s="38">
        <v>84</v>
      </c>
      <c r="B78" s="38" t="s">
        <v>5</v>
      </c>
      <c r="C78" s="38" t="s">
        <v>10</v>
      </c>
      <c r="D78" s="38">
        <v>91001</v>
      </c>
      <c r="E78" s="39">
        <v>200025888863</v>
      </c>
      <c r="F78" s="39" t="s">
        <v>31</v>
      </c>
      <c r="G78" s="39">
        <v>26</v>
      </c>
      <c r="H78" s="40">
        <v>45798.704872685186</v>
      </c>
      <c r="I78" s="38">
        <v>3</v>
      </c>
      <c r="J78" s="38">
        <v>7</v>
      </c>
      <c r="K78" s="38">
        <v>52</v>
      </c>
      <c r="L78" s="38">
        <v>1</v>
      </c>
    </row>
    <row r="79" spans="1:12" x14ac:dyDescent="0.35">
      <c r="A79" s="38">
        <v>85</v>
      </c>
      <c r="B79" s="38" t="s">
        <v>5</v>
      </c>
      <c r="C79" s="38" t="s">
        <v>10</v>
      </c>
      <c r="D79" s="38">
        <v>91001</v>
      </c>
      <c r="E79" s="39">
        <v>200025888863</v>
      </c>
      <c r="F79" s="39" t="s">
        <v>31</v>
      </c>
      <c r="G79" s="39">
        <v>26</v>
      </c>
      <c r="H79" s="40">
        <v>45798.704884259256</v>
      </c>
      <c r="I79" s="38">
        <v>4</v>
      </c>
      <c r="J79" s="38">
        <v>7</v>
      </c>
      <c r="K79" s="38">
        <v>53</v>
      </c>
      <c r="L79" s="38">
        <v>13</v>
      </c>
    </row>
    <row r="80" spans="1:12" x14ac:dyDescent="0.35">
      <c r="A80" s="38">
        <v>114</v>
      </c>
      <c r="B80" s="38" t="s">
        <v>5</v>
      </c>
      <c r="C80" s="38" t="s">
        <v>10</v>
      </c>
      <c r="D80" s="38">
        <v>91001</v>
      </c>
      <c r="E80" s="39">
        <v>200025888863</v>
      </c>
      <c r="F80" s="39" t="s">
        <v>31</v>
      </c>
      <c r="G80" s="39">
        <v>26</v>
      </c>
      <c r="H80" s="40">
        <v>45798.866608796299</v>
      </c>
      <c r="I80" s="38">
        <v>5</v>
      </c>
      <c r="J80" s="38">
        <v>7</v>
      </c>
      <c r="K80" s="38">
        <v>82</v>
      </c>
      <c r="L80" s="38">
        <v>18</v>
      </c>
    </row>
    <row r="81" spans="1:12" x14ac:dyDescent="0.35">
      <c r="A81" s="38">
        <v>115</v>
      </c>
      <c r="B81" s="38" t="s">
        <v>5</v>
      </c>
      <c r="C81" s="38" t="s">
        <v>10</v>
      </c>
      <c r="D81" s="38">
        <v>91001</v>
      </c>
      <c r="E81" s="39">
        <v>200025888863</v>
      </c>
      <c r="F81" s="39" t="s">
        <v>31</v>
      </c>
      <c r="G81" s="39">
        <v>26</v>
      </c>
      <c r="H81" s="40">
        <v>45798.866979166669</v>
      </c>
      <c r="I81" s="38">
        <v>6</v>
      </c>
      <c r="J81" s="38">
        <v>7</v>
      </c>
      <c r="K81" s="38">
        <v>83</v>
      </c>
      <c r="L81" s="38">
        <v>2</v>
      </c>
    </row>
    <row r="82" spans="1:12" x14ac:dyDescent="0.35">
      <c r="A82" s="38">
        <v>116</v>
      </c>
      <c r="B82" s="38" t="s">
        <v>5</v>
      </c>
      <c r="C82" s="38" t="s">
        <v>10</v>
      </c>
      <c r="D82" s="38">
        <v>91001</v>
      </c>
      <c r="E82" s="39">
        <v>200025888863</v>
      </c>
      <c r="F82" s="39" t="s">
        <v>31</v>
      </c>
      <c r="G82" s="39">
        <v>26</v>
      </c>
      <c r="H82" s="40">
        <v>45798.868611111109</v>
      </c>
      <c r="I82" s="38">
        <v>7</v>
      </c>
      <c r="J82" s="38">
        <v>7</v>
      </c>
      <c r="K82" s="38">
        <v>84</v>
      </c>
      <c r="L82" s="38">
        <v>1</v>
      </c>
    </row>
    <row r="83" spans="1:12" x14ac:dyDescent="0.35">
      <c r="A83" s="38">
        <v>133</v>
      </c>
      <c r="B83" s="38" t="s">
        <v>5</v>
      </c>
      <c r="C83" s="38" t="s">
        <v>10</v>
      </c>
      <c r="D83" s="38">
        <v>91001</v>
      </c>
      <c r="E83" s="39">
        <v>200025888863</v>
      </c>
      <c r="F83" s="39" t="s">
        <v>31</v>
      </c>
      <c r="G83" s="39">
        <v>26</v>
      </c>
      <c r="H83" s="40">
        <v>45798.967048611114</v>
      </c>
      <c r="I83" s="38">
        <v>8</v>
      </c>
      <c r="J83" s="38">
        <v>7</v>
      </c>
      <c r="K83" s="38">
        <v>101</v>
      </c>
      <c r="L83" s="38">
        <v>1</v>
      </c>
    </row>
    <row r="84" spans="1:12" x14ac:dyDescent="0.35">
      <c r="A84" s="38">
        <v>134</v>
      </c>
      <c r="B84" s="38" t="s">
        <v>5</v>
      </c>
      <c r="C84" s="38" t="s">
        <v>10</v>
      </c>
      <c r="D84" s="38">
        <v>91001</v>
      </c>
      <c r="E84" s="39">
        <v>200025888863</v>
      </c>
      <c r="F84" s="39" t="s">
        <v>31</v>
      </c>
      <c r="G84" s="39">
        <v>26</v>
      </c>
      <c r="H84" s="40">
        <v>45798.967280092591</v>
      </c>
      <c r="I84" s="38">
        <v>9</v>
      </c>
      <c r="J84" s="38">
        <v>7</v>
      </c>
      <c r="K84" s="38">
        <v>102</v>
      </c>
      <c r="L84" s="38">
        <v>2</v>
      </c>
    </row>
    <row r="85" spans="1:12" x14ac:dyDescent="0.35">
      <c r="A85" s="38">
        <v>135</v>
      </c>
      <c r="B85" s="38" t="s">
        <v>5</v>
      </c>
      <c r="C85" s="38" t="s">
        <v>10</v>
      </c>
      <c r="D85" s="38">
        <v>91001</v>
      </c>
      <c r="E85" s="39">
        <v>200025888863</v>
      </c>
      <c r="F85" s="39" t="s">
        <v>31</v>
      </c>
      <c r="G85" s="39">
        <v>26</v>
      </c>
      <c r="H85" s="40">
        <v>45798.967557870368</v>
      </c>
      <c r="I85" s="38">
        <v>10</v>
      </c>
      <c r="J85" s="38">
        <v>7</v>
      </c>
      <c r="K85" s="38">
        <v>103</v>
      </c>
      <c r="L85" s="38">
        <v>0</v>
      </c>
    </row>
    <row r="86" spans="1:12" x14ac:dyDescent="0.35">
      <c r="A86" s="38">
        <v>136</v>
      </c>
      <c r="B86" s="38" t="s">
        <v>5</v>
      </c>
      <c r="C86" s="38" t="s">
        <v>10</v>
      </c>
      <c r="D86" s="38">
        <v>91001</v>
      </c>
      <c r="E86" s="39">
        <v>200025888863</v>
      </c>
      <c r="F86" s="39" t="s">
        <v>31</v>
      </c>
      <c r="G86" s="39">
        <v>26</v>
      </c>
      <c r="H86" s="40">
        <v>45798.967557870368</v>
      </c>
      <c r="I86" s="38">
        <v>11</v>
      </c>
      <c r="J86" s="38">
        <v>7</v>
      </c>
      <c r="K86" s="38">
        <v>104</v>
      </c>
      <c r="L86" s="38">
        <v>2</v>
      </c>
    </row>
    <row r="87" spans="1:12" x14ac:dyDescent="0.35">
      <c r="A87" s="38">
        <v>137</v>
      </c>
      <c r="B87" s="38" t="s">
        <v>5</v>
      </c>
      <c r="C87" s="38" t="s">
        <v>10</v>
      </c>
      <c r="D87" s="38">
        <v>91001</v>
      </c>
      <c r="E87" s="39">
        <v>200025888863</v>
      </c>
      <c r="F87" s="39" t="s">
        <v>31</v>
      </c>
      <c r="G87" s="39">
        <v>26</v>
      </c>
      <c r="H87" s="40">
        <v>45798.96775462963</v>
      </c>
      <c r="I87" s="38">
        <v>12</v>
      </c>
      <c r="J87" s="38">
        <v>7</v>
      </c>
      <c r="K87" s="38">
        <v>105</v>
      </c>
      <c r="L87" s="38">
        <v>2</v>
      </c>
    </row>
    <row r="88" spans="1:12" x14ac:dyDescent="0.35">
      <c r="A88" s="38">
        <v>138</v>
      </c>
      <c r="B88" s="38" t="s">
        <v>5</v>
      </c>
      <c r="C88" s="38" t="s">
        <v>10</v>
      </c>
      <c r="D88" s="38">
        <v>91001</v>
      </c>
      <c r="E88" s="39">
        <v>200025888863</v>
      </c>
      <c r="F88" s="39" t="s">
        <v>31</v>
      </c>
      <c r="G88" s="39">
        <v>26</v>
      </c>
      <c r="H88" s="40">
        <v>45798.968043981484</v>
      </c>
      <c r="I88" s="38">
        <v>13</v>
      </c>
      <c r="J88" s="38">
        <v>7</v>
      </c>
      <c r="K88" s="38">
        <v>106</v>
      </c>
      <c r="L88" s="38">
        <v>0</v>
      </c>
    </row>
    <row r="89" spans="1:12" x14ac:dyDescent="0.35">
      <c r="A89" s="38">
        <v>139</v>
      </c>
      <c r="B89" s="38" t="s">
        <v>5</v>
      </c>
      <c r="C89" s="38" t="s">
        <v>10</v>
      </c>
      <c r="D89" s="38">
        <v>91001</v>
      </c>
      <c r="E89" s="39">
        <v>200025888863</v>
      </c>
      <c r="F89" s="39" t="s">
        <v>31</v>
      </c>
      <c r="G89" s="39">
        <v>26</v>
      </c>
      <c r="H89" s="40">
        <v>45798.968055555553</v>
      </c>
      <c r="I89" s="38">
        <v>14</v>
      </c>
      <c r="J89" s="38">
        <v>7</v>
      </c>
      <c r="K89" s="38">
        <v>107</v>
      </c>
      <c r="L89" s="38">
        <v>4924</v>
      </c>
    </row>
    <row r="90" spans="1:12" x14ac:dyDescent="0.35">
      <c r="A90" s="38">
        <v>165</v>
      </c>
      <c r="B90" s="38" t="s">
        <v>5</v>
      </c>
      <c r="C90" s="38" t="s">
        <v>10</v>
      </c>
      <c r="D90" s="38">
        <v>91001</v>
      </c>
      <c r="E90" s="39">
        <v>200025888863</v>
      </c>
      <c r="F90" s="39" t="s">
        <v>31</v>
      </c>
      <c r="G90" s="39">
        <v>26</v>
      </c>
      <c r="H90" s="40">
        <v>45799.255231481482</v>
      </c>
      <c r="I90" s="38">
        <v>15</v>
      </c>
      <c r="J90" s="38">
        <v>7</v>
      </c>
      <c r="K90" s="38">
        <v>133</v>
      </c>
      <c r="L90" s="38">
        <v>2</v>
      </c>
    </row>
    <row r="91" spans="1:12" x14ac:dyDescent="0.35">
      <c r="A91" s="41">
        <v>224</v>
      </c>
      <c r="B91" s="41" t="s">
        <v>5</v>
      </c>
      <c r="C91" s="41" t="s">
        <v>10</v>
      </c>
      <c r="D91" s="41">
        <v>91001</v>
      </c>
      <c r="E91" s="39">
        <v>200025888863</v>
      </c>
      <c r="F91" s="39" t="s">
        <v>31</v>
      </c>
      <c r="G91" s="39">
        <v>26</v>
      </c>
      <c r="H91" s="40">
        <v>45800.380127314813</v>
      </c>
      <c r="I91" s="38">
        <v>16</v>
      </c>
      <c r="J91" s="38">
        <v>7</v>
      </c>
      <c r="K91" s="38">
        <v>192</v>
      </c>
      <c r="L91" s="41">
        <v>0</v>
      </c>
    </row>
    <row r="92" spans="1:12" x14ac:dyDescent="0.35">
      <c r="A92" s="41">
        <v>225</v>
      </c>
      <c r="B92" s="41" t="s">
        <v>5</v>
      </c>
      <c r="C92" s="41" t="s">
        <v>10</v>
      </c>
      <c r="D92" s="41">
        <v>91001</v>
      </c>
      <c r="E92" s="39">
        <v>200025888863</v>
      </c>
      <c r="F92" s="39" t="s">
        <v>31</v>
      </c>
      <c r="G92" s="39">
        <v>26</v>
      </c>
      <c r="H92" s="40">
        <v>45800.38013888889</v>
      </c>
      <c r="I92" s="38">
        <v>17</v>
      </c>
      <c r="J92" s="38">
        <v>7</v>
      </c>
      <c r="K92" s="38">
        <v>193</v>
      </c>
      <c r="L92" s="41">
        <v>1</v>
      </c>
    </row>
    <row r="93" spans="1:12" x14ac:dyDescent="0.35">
      <c r="A93" s="41">
        <v>196</v>
      </c>
      <c r="B93" s="41" t="s">
        <v>5</v>
      </c>
      <c r="C93" s="41" t="s">
        <v>10</v>
      </c>
      <c r="D93" s="41">
        <v>91001</v>
      </c>
      <c r="E93" s="39">
        <v>200025888663</v>
      </c>
      <c r="F93" s="39" t="s">
        <v>32</v>
      </c>
      <c r="G93" s="39">
        <v>29</v>
      </c>
      <c r="H93" s="40">
        <v>45799.694884259261</v>
      </c>
      <c r="I93" s="38">
        <v>1</v>
      </c>
      <c r="J93" s="38">
        <v>24</v>
      </c>
      <c r="K93" s="38">
        <v>164</v>
      </c>
      <c r="L93" s="41">
        <v>0</v>
      </c>
    </row>
    <row r="94" spans="1:12" x14ac:dyDescent="0.35">
      <c r="A94" s="41">
        <v>198</v>
      </c>
      <c r="B94" s="41" t="s">
        <v>5</v>
      </c>
      <c r="C94" s="41" t="s">
        <v>10</v>
      </c>
      <c r="D94" s="41">
        <v>91001</v>
      </c>
      <c r="E94" s="39">
        <v>200025888663</v>
      </c>
      <c r="F94" s="39" t="s">
        <v>32</v>
      </c>
      <c r="G94" s="39">
        <v>29</v>
      </c>
      <c r="H94" s="40">
        <v>45799.711018518516</v>
      </c>
      <c r="I94" s="38">
        <v>2</v>
      </c>
      <c r="J94" s="38">
        <v>24</v>
      </c>
      <c r="K94" s="38">
        <v>166</v>
      </c>
      <c r="L94" s="41">
        <v>2</v>
      </c>
    </row>
    <row r="95" spans="1:12" x14ac:dyDescent="0.35">
      <c r="A95" s="41">
        <v>199</v>
      </c>
      <c r="B95" s="41" t="s">
        <v>5</v>
      </c>
      <c r="C95" s="41" t="s">
        <v>10</v>
      </c>
      <c r="D95" s="41">
        <v>91001</v>
      </c>
      <c r="E95" s="39">
        <v>200025888663</v>
      </c>
      <c r="F95" s="39" t="s">
        <v>32</v>
      </c>
      <c r="G95" s="39">
        <v>29</v>
      </c>
      <c r="H95" s="40">
        <v>45799.71266203704</v>
      </c>
      <c r="I95" s="38">
        <v>3</v>
      </c>
      <c r="J95" s="38">
        <v>24</v>
      </c>
      <c r="K95" s="38">
        <v>167</v>
      </c>
      <c r="L95" s="41">
        <v>0</v>
      </c>
    </row>
    <row r="96" spans="1:12" x14ac:dyDescent="0.35">
      <c r="A96" s="41">
        <v>200</v>
      </c>
      <c r="B96" s="41" t="s">
        <v>5</v>
      </c>
      <c r="C96" s="41" t="s">
        <v>10</v>
      </c>
      <c r="D96" s="41">
        <v>91001</v>
      </c>
      <c r="E96" s="39">
        <v>200025888663</v>
      </c>
      <c r="F96" s="39" t="s">
        <v>32</v>
      </c>
      <c r="G96" s="39">
        <v>29</v>
      </c>
      <c r="H96" s="40">
        <v>45799.712673611109</v>
      </c>
      <c r="I96" s="38">
        <v>4</v>
      </c>
      <c r="J96" s="38">
        <v>24</v>
      </c>
      <c r="K96" s="38">
        <v>168</v>
      </c>
      <c r="L96" s="41">
        <v>0</v>
      </c>
    </row>
    <row r="97" spans="1:12" x14ac:dyDescent="0.35">
      <c r="A97" s="41">
        <v>206</v>
      </c>
      <c r="B97" s="41" t="s">
        <v>5</v>
      </c>
      <c r="C97" s="41" t="s">
        <v>10</v>
      </c>
      <c r="D97" s="41">
        <v>91001</v>
      </c>
      <c r="E97" s="39">
        <v>200025888663</v>
      </c>
      <c r="F97" s="39" t="s">
        <v>32</v>
      </c>
      <c r="G97" s="39">
        <v>29</v>
      </c>
      <c r="H97" s="40">
        <v>45799.81753472222</v>
      </c>
      <c r="I97" s="38">
        <v>5</v>
      </c>
      <c r="J97" s="38">
        <v>24</v>
      </c>
      <c r="K97" s="38">
        <v>174</v>
      </c>
      <c r="L97" s="41">
        <v>2</v>
      </c>
    </row>
    <row r="98" spans="1:12" x14ac:dyDescent="0.35">
      <c r="A98" s="41">
        <v>207</v>
      </c>
      <c r="B98" s="41" t="s">
        <v>5</v>
      </c>
      <c r="C98" s="41" t="s">
        <v>10</v>
      </c>
      <c r="D98" s="41">
        <v>91001</v>
      </c>
      <c r="E98" s="39">
        <v>200025888663</v>
      </c>
      <c r="F98" s="39" t="s">
        <v>32</v>
      </c>
      <c r="G98" s="39">
        <v>29</v>
      </c>
      <c r="H98" s="40">
        <v>45799.817743055559</v>
      </c>
      <c r="I98" s="38">
        <v>6</v>
      </c>
      <c r="J98" s="38">
        <v>24</v>
      </c>
      <c r="K98" s="38">
        <v>175</v>
      </c>
      <c r="L98" s="41">
        <v>2</v>
      </c>
    </row>
    <row r="99" spans="1:12" x14ac:dyDescent="0.35">
      <c r="A99" s="41">
        <v>208</v>
      </c>
      <c r="B99" s="41" t="s">
        <v>5</v>
      </c>
      <c r="C99" s="41" t="s">
        <v>10</v>
      </c>
      <c r="D99" s="41">
        <v>91001</v>
      </c>
      <c r="E99" s="39">
        <v>200025888663</v>
      </c>
      <c r="F99" s="39" t="s">
        <v>32</v>
      </c>
      <c r="G99" s="39">
        <v>29</v>
      </c>
      <c r="H99" s="40">
        <v>45799.818113425928</v>
      </c>
      <c r="I99" s="38">
        <v>7</v>
      </c>
      <c r="J99" s="38">
        <v>24</v>
      </c>
      <c r="K99" s="38">
        <v>176</v>
      </c>
      <c r="L99" s="41">
        <v>1</v>
      </c>
    </row>
    <row r="100" spans="1:12" x14ac:dyDescent="0.35">
      <c r="A100" s="41">
        <v>209</v>
      </c>
      <c r="B100" s="41" t="s">
        <v>5</v>
      </c>
      <c r="C100" s="41" t="s">
        <v>10</v>
      </c>
      <c r="D100" s="41">
        <v>91001</v>
      </c>
      <c r="E100" s="39">
        <v>200025888663</v>
      </c>
      <c r="F100" s="39" t="s">
        <v>32</v>
      </c>
      <c r="G100" s="39">
        <v>29</v>
      </c>
      <c r="H100" s="40">
        <v>45799.818252314813</v>
      </c>
      <c r="I100" s="38">
        <v>8</v>
      </c>
      <c r="J100" s="38">
        <v>24</v>
      </c>
      <c r="K100" s="38">
        <v>177</v>
      </c>
      <c r="L100" s="41">
        <v>0</v>
      </c>
    </row>
    <row r="101" spans="1:12" x14ac:dyDescent="0.35">
      <c r="A101" s="38">
        <v>43</v>
      </c>
      <c r="B101" s="38" t="s">
        <v>5</v>
      </c>
      <c r="C101" s="38" t="s">
        <v>10</v>
      </c>
      <c r="D101" s="38">
        <v>91001</v>
      </c>
      <c r="E101" s="39">
        <v>200025888824</v>
      </c>
      <c r="F101" s="39" t="s">
        <v>35</v>
      </c>
      <c r="G101" s="39">
        <v>32</v>
      </c>
      <c r="H101" s="40">
        <v>45798.453252314815</v>
      </c>
      <c r="I101" s="38">
        <v>1</v>
      </c>
      <c r="J101" s="38">
        <v>4</v>
      </c>
      <c r="K101" s="38">
        <v>11</v>
      </c>
      <c r="L101" s="38">
        <v>0</v>
      </c>
    </row>
    <row r="102" spans="1:12" x14ac:dyDescent="0.35">
      <c r="A102" s="38">
        <v>44</v>
      </c>
      <c r="B102" s="38" t="s">
        <v>5</v>
      </c>
      <c r="C102" s="38" t="s">
        <v>10</v>
      </c>
      <c r="D102" s="38">
        <v>91001</v>
      </c>
      <c r="E102" s="39">
        <v>200025888824</v>
      </c>
      <c r="F102" s="39" t="s">
        <v>35</v>
      </c>
      <c r="G102" s="39">
        <v>32</v>
      </c>
      <c r="H102" s="40">
        <v>45798.453263888892</v>
      </c>
      <c r="I102" s="38">
        <v>2</v>
      </c>
      <c r="J102" s="38">
        <v>4</v>
      </c>
      <c r="K102" s="38">
        <v>12</v>
      </c>
      <c r="L102" s="38">
        <v>0</v>
      </c>
    </row>
    <row r="103" spans="1:12" x14ac:dyDescent="0.35">
      <c r="A103" s="38">
        <v>45</v>
      </c>
      <c r="B103" s="38" t="s">
        <v>5</v>
      </c>
      <c r="C103" s="38" t="s">
        <v>10</v>
      </c>
      <c r="D103" s="38">
        <v>91001</v>
      </c>
      <c r="E103" s="39">
        <v>200025888824</v>
      </c>
      <c r="F103" s="39" t="s">
        <v>35</v>
      </c>
      <c r="G103" s="39">
        <v>32</v>
      </c>
      <c r="H103" s="40">
        <v>45798.454606481479</v>
      </c>
      <c r="I103" s="38">
        <v>3</v>
      </c>
      <c r="J103" s="38">
        <v>4</v>
      </c>
      <c r="K103" s="38">
        <v>13</v>
      </c>
      <c r="L103" s="38">
        <v>1</v>
      </c>
    </row>
    <row r="104" spans="1:12" x14ac:dyDescent="0.35">
      <c r="A104" s="38">
        <v>46</v>
      </c>
      <c r="B104" s="38" t="s">
        <v>5</v>
      </c>
      <c r="C104" s="38" t="s">
        <v>10</v>
      </c>
      <c r="D104" s="38">
        <v>91001</v>
      </c>
      <c r="E104" s="39">
        <v>200025888824</v>
      </c>
      <c r="F104" s="39" t="s">
        <v>35</v>
      </c>
      <c r="G104" s="39">
        <v>32</v>
      </c>
      <c r="H104" s="40">
        <v>45798.454618055555</v>
      </c>
      <c r="I104" s="38">
        <v>4</v>
      </c>
      <c r="J104" s="38">
        <v>4</v>
      </c>
      <c r="K104" s="38">
        <v>14</v>
      </c>
      <c r="L104" s="38">
        <v>0</v>
      </c>
    </row>
    <row r="105" spans="1:12" x14ac:dyDescent="0.35">
      <c r="A105" s="38">
        <v>47</v>
      </c>
      <c r="B105" s="38" t="s">
        <v>5</v>
      </c>
      <c r="C105" s="38" t="s">
        <v>10</v>
      </c>
      <c r="D105" s="38">
        <v>91001</v>
      </c>
      <c r="E105" s="39">
        <v>200025888824</v>
      </c>
      <c r="F105" s="39" t="s">
        <v>35</v>
      </c>
      <c r="G105" s="39">
        <v>32</v>
      </c>
      <c r="H105" s="40">
        <v>45798.503449074073</v>
      </c>
      <c r="I105" s="38">
        <v>5</v>
      </c>
      <c r="J105" s="38">
        <v>4</v>
      </c>
      <c r="K105" s="38">
        <v>15</v>
      </c>
      <c r="L105" s="38">
        <v>715</v>
      </c>
    </row>
    <row r="106" spans="1:12" x14ac:dyDescent="0.35">
      <c r="A106" s="38">
        <v>105</v>
      </c>
      <c r="B106" s="38" t="s">
        <v>5</v>
      </c>
      <c r="C106" s="38" t="s">
        <v>10</v>
      </c>
      <c r="D106" s="38">
        <v>91001</v>
      </c>
      <c r="E106" s="39">
        <v>200025888824</v>
      </c>
      <c r="F106" s="39" t="s">
        <v>35</v>
      </c>
      <c r="G106" s="39">
        <v>32</v>
      </c>
      <c r="H106" s="40">
        <v>45798.80878472222</v>
      </c>
      <c r="I106" s="38">
        <v>6</v>
      </c>
      <c r="J106" s="38">
        <v>4</v>
      </c>
      <c r="K106" s="38">
        <v>73</v>
      </c>
      <c r="L106" s="38">
        <v>0</v>
      </c>
    </row>
    <row r="107" spans="1:12" x14ac:dyDescent="0.35">
      <c r="A107" s="38">
        <v>106</v>
      </c>
      <c r="B107" s="38" t="s">
        <v>5</v>
      </c>
      <c r="C107" s="38" t="s">
        <v>10</v>
      </c>
      <c r="D107" s="38">
        <v>91001</v>
      </c>
      <c r="E107" s="39">
        <v>200025888824</v>
      </c>
      <c r="F107" s="39" t="s">
        <v>35</v>
      </c>
      <c r="G107" s="39">
        <v>32</v>
      </c>
      <c r="H107" s="40">
        <v>45798.808796296296</v>
      </c>
      <c r="I107" s="38">
        <v>7</v>
      </c>
      <c r="J107" s="38">
        <v>4</v>
      </c>
      <c r="K107" s="38">
        <v>74</v>
      </c>
      <c r="L107" s="38">
        <v>0</v>
      </c>
    </row>
    <row r="108" spans="1:12" x14ac:dyDescent="0.35">
      <c r="A108" s="38">
        <v>107</v>
      </c>
      <c r="B108" s="38" t="s">
        <v>5</v>
      </c>
      <c r="C108" s="38" t="s">
        <v>10</v>
      </c>
      <c r="D108" s="38">
        <v>91001</v>
      </c>
      <c r="E108" s="39">
        <v>200025888824</v>
      </c>
      <c r="F108" s="39" t="s">
        <v>35</v>
      </c>
      <c r="G108" s="39">
        <v>32</v>
      </c>
      <c r="H108" s="40">
        <v>45798.809374999997</v>
      </c>
      <c r="I108" s="38">
        <v>8</v>
      </c>
      <c r="J108" s="38">
        <v>4</v>
      </c>
      <c r="K108" s="38">
        <v>75</v>
      </c>
      <c r="L108" s="38">
        <v>2</v>
      </c>
    </row>
    <row r="109" spans="1:12" x14ac:dyDescent="0.35">
      <c r="A109" s="38">
        <v>111</v>
      </c>
      <c r="B109" s="38" t="s">
        <v>5</v>
      </c>
      <c r="C109" s="38" t="s">
        <v>10</v>
      </c>
      <c r="D109" s="38">
        <v>91001</v>
      </c>
      <c r="E109" s="39">
        <v>200025888824</v>
      </c>
      <c r="F109" s="39" t="s">
        <v>35</v>
      </c>
      <c r="G109" s="39">
        <v>32</v>
      </c>
      <c r="H109" s="40">
        <v>45798.844988425924</v>
      </c>
      <c r="I109" s="38">
        <v>9</v>
      </c>
      <c r="J109" s="38">
        <v>4</v>
      </c>
      <c r="K109" s="38">
        <v>79</v>
      </c>
      <c r="L109" s="38">
        <v>1</v>
      </c>
    </row>
    <row r="110" spans="1:12" x14ac:dyDescent="0.35">
      <c r="A110" s="38">
        <v>112</v>
      </c>
      <c r="B110" s="38" t="s">
        <v>5</v>
      </c>
      <c r="C110" s="38" t="s">
        <v>10</v>
      </c>
      <c r="D110" s="38">
        <v>91001</v>
      </c>
      <c r="E110" s="39">
        <v>200025888824</v>
      </c>
      <c r="F110" s="39" t="s">
        <v>35</v>
      </c>
      <c r="G110" s="39">
        <v>32</v>
      </c>
      <c r="H110" s="40">
        <v>45798.84511574074</v>
      </c>
      <c r="I110" s="38">
        <v>10</v>
      </c>
      <c r="J110" s="38">
        <v>4</v>
      </c>
      <c r="K110" s="38">
        <v>80</v>
      </c>
      <c r="L110" s="38">
        <v>0</v>
      </c>
    </row>
    <row r="111" spans="1:12" x14ac:dyDescent="0.35">
      <c r="A111" s="38">
        <v>113</v>
      </c>
      <c r="B111" s="38" t="s">
        <v>5</v>
      </c>
      <c r="C111" s="38" t="s">
        <v>10</v>
      </c>
      <c r="D111" s="38">
        <v>91001</v>
      </c>
      <c r="E111" s="39">
        <v>200025888824</v>
      </c>
      <c r="F111" s="39" t="s">
        <v>35</v>
      </c>
      <c r="G111" s="39">
        <v>32</v>
      </c>
      <c r="H111" s="40">
        <v>45798.845266203702</v>
      </c>
      <c r="I111" s="38">
        <v>11</v>
      </c>
      <c r="J111" s="38">
        <v>4</v>
      </c>
      <c r="K111" s="38">
        <v>81</v>
      </c>
      <c r="L111" s="38">
        <v>0</v>
      </c>
    </row>
    <row r="112" spans="1:12" x14ac:dyDescent="0.35">
      <c r="A112" s="38">
        <v>119</v>
      </c>
      <c r="B112" s="38" t="s">
        <v>5</v>
      </c>
      <c r="C112" s="38" t="s">
        <v>10</v>
      </c>
      <c r="D112" s="38">
        <v>91001</v>
      </c>
      <c r="E112" s="39">
        <v>200025888824</v>
      </c>
      <c r="F112" s="39" t="s">
        <v>35</v>
      </c>
      <c r="G112" s="39">
        <v>32</v>
      </c>
      <c r="H112" s="40">
        <v>45798.874618055554</v>
      </c>
      <c r="I112" s="38">
        <v>12</v>
      </c>
      <c r="J112" s="38">
        <v>4</v>
      </c>
      <c r="K112" s="38">
        <v>87</v>
      </c>
      <c r="L112" s="38">
        <v>0</v>
      </c>
    </row>
    <row r="113" spans="1:12" x14ac:dyDescent="0.35">
      <c r="A113" s="38">
        <v>120</v>
      </c>
      <c r="B113" s="38" t="s">
        <v>5</v>
      </c>
      <c r="C113" s="38" t="s">
        <v>10</v>
      </c>
      <c r="D113" s="38">
        <v>91001</v>
      </c>
      <c r="E113" s="39">
        <v>200025888824</v>
      </c>
      <c r="F113" s="39" t="s">
        <v>35</v>
      </c>
      <c r="G113" s="39">
        <v>32</v>
      </c>
      <c r="H113" s="40">
        <v>45798.874895833331</v>
      </c>
      <c r="I113" s="38">
        <v>13</v>
      </c>
      <c r="J113" s="38">
        <v>4</v>
      </c>
      <c r="K113" s="38">
        <v>88</v>
      </c>
      <c r="L113" s="38">
        <v>0</v>
      </c>
    </row>
    <row r="114" spans="1:12" x14ac:dyDescent="0.35">
      <c r="A114" s="38">
        <v>121</v>
      </c>
      <c r="B114" s="38" t="s">
        <v>5</v>
      </c>
      <c r="C114" s="38" t="s">
        <v>10</v>
      </c>
      <c r="D114" s="38">
        <v>91001</v>
      </c>
      <c r="E114" s="39">
        <v>200025888824</v>
      </c>
      <c r="F114" s="39" t="s">
        <v>35</v>
      </c>
      <c r="G114" s="39">
        <v>32</v>
      </c>
      <c r="H114" s="40">
        <v>45798.875</v>
      </c>
      <c r="I114" s="38">
        <v>14</v>
      </c>
      <c r="J114" s="38">
        <v>4</v>
      </c>
      <c r="K114" s="38">
        <v>89</v>
      </c>
      <c r="L114" s="38">
        <v>1</v>
      </c>
    </row>
    <row r="115" spans="1:12" x14ac:dyDescent="0.35">
      <c r="A115" s="38">
        <v>167</v>
      </c>
      <c r="B115" s="38" t="s">
        <v>5</v>
      </c>
      <c r="C115" s="38" t="s">
        <v>10</v>
      </c>
      <c r="D115" s="38">
        <v>91001</v>
      </c>
      <c r="E115" s="39">
        <v>200025888824</v>
      </c>
      <c r="F115" s="39" t="s">
        <v>35</v>
      </c>
      <c r="G115" s="39">
        <v>32</v>
      </c>
      <c r="H115" s="40">
        <v>45799.264305555553</v>
      </c>
      <c r="I115" s="38">
        <v>15</v>
      </c>
      <c r="J115" s="38">
        <v>4</v>
      </c>
      <c r="K115" s="38">
        <v>135</v>
      </c>
      <c r="L115" s="38">
        <v>0</v>
      </c>
    </row>
    <row r="116" spans="1:12" x14ac:dyDescent="0.35">
      <c r="A116" s="38">
        <v>168</v>
      </c>
      <c r="B116" s="38" t="s">
        <v>5</v>
      </c>
      <c r="C116" s="38" t="s">
        <v>10</v>
      </c>
      <c r="D116" s="38">
        <v>91001</v>
      </c>
      <c r="E116" s="39">
        <v>200025888824</v>
      </c>
      <c r="F116" s="39" t="s">
        <v>35</v>
      </c>
      <c r="G116" s="39">
        <v>32</v>
      </c>
      <c r="H116" s="40">
        <v>45799.265694444446</v>
      </c>
      <c r="I116" s="38">
        <v>16</v>
      </c>
      <c r="J116" s="38">
        <v>4</v>
      </c>
      <c r="K116" s="38">
        <v>136</v>
      </c>
      <c r="L116" s="38">
        <v>1</v>
      </c>
    </row>
    <row r="117" spans="1:12" x14ac:dyDescent="0.35">
      <c r="A117" s="38">
        <v>169</v>
      </c>
      <c r="B117" s="38" t="s">
        <v>5</v>
      </c>
      <c r="C117" s="38" t="s">
        <v>10</v>
      </c>
      <c r="D117" s="38">
        <v>91001</v>
      </c>
      <c r="E117" s="39">
        <v>200025888824</v>
      </c>
      <c r="F117" s="39" t="s">
        <v>35</v>
      </c>
      <c r="G117" s="39">
        <v>32</v>
      </c>
      <c r="H117" s="40">
        <v>45799.265706018516</v>
      </c>
      <c r="I117" s="38">
        <v>17</v>
      </c>
      <c r="J117" s="38">
        <v>4</v>
      </c>
      <c r="K117" s="38">
        <v>137</v>
      </c>
      <c r="L117" s="38">
        <v>1</v>
      </c>
    </row>
    <row r="118" spans="1:12" x14ac:dyDescent="0.35">
      <c r="A118" s="38">
        <v>170</v>
      </c>
      <c r="B118" s="38" t="s">
        <v>5</v>
      </c>
      <c r="C118" s="38" t="s">
        <v>10</v>
      </c>
      <c r="D118" s="38">
        <v>91001</v>
      </c>
      <c r="E118" s="39">
        <v>200025888824</v>
      </c>
      <c r="F118" s="39" t="s">
        <v>35</v>
      </c>
      <c r="G118" s="39">
        <v>32</v>
      </c>
      <c r="H118" s="40">
        <v>45799.266342592593</v>
      </c>
      <c r="I118" s="38">
        <v>18</v>
      </c>
      <c r="J118" s="38">
        <v>4</v>
      </c>
      <c r="K118" s="38">
        <v>138</v>
      </c>
      <c r="L118" s="38">
        <v>2</v>
      </c>
    </row>
    <row r="119" spans="1:12" x14ac:dyDescent="0.35">
      <c r="A119" s="38">
        <v>141</v>
      </c>
      <c r="B119" s="38" t="s">
        <v>5</v>
      </c>
      <c r="C119" s="38" t="s">
        <v>10</v>
      </c>
      <c r="D119" s="38">
        <v>91001</v>
      </c>
      <c r="E119" s="39">
        <v>200025888216</v>
      </c>
      <c r="F119" s="39" t="s">
        <v>21</v>
      </c>
      <c r="G119" s="39">
        <v>33</v>
      </c>
      <c r="H119" s="40">
        <v>45799.040590277778</v>
      </c>
      <c r="I119" s="38">
        <v>1</v>
      </c>
      <c r="J119" s="38">
        <v>16</v>
      </c>
      <c r="K119" s="38">
        <v>109</v>
      </c>
      <c r="L119" s="38">
        <v>0</v>
      </c>
    </row>
    <row r="120" spans="1:12" x14ac:dyDescent="0.35">
      <c r="A120" s="38">
        <v>176</v>
      </c>
      <c r="B120" s="38" t="s">
        <v>5</v>
      </c>
      <c r="C120" s="38" t="s">
        <v>10</v>
      </c>
      <c r="D120" s="38">
        <v>91001</v>
      </c>
      <c r="E120" s="39">
        <v>200025888216</v>
      </c>
      <c r="F120" s="39" t="s">
        <v>21</v>
      </c>
      <c r="G120" s="39">
        <v>33</v>
      </c>
      <c r="H120" s="40">
        <v>45799.420543981483</v>
      </c>
      <c r="I120" s="38">
        <v>2</v>
      </c>
      <c r="J120" s="38">
        <v>16</v>
      </c>
      <c r="K120" s="38">
        <v>144</v>
      </c>
      <c r="L120" s="38">
        <v>0</v>
      </c>
    </row>
    <row r="121" spans="1:12" x14ac:dyDescent="0.35">
      <c r="A121" s="41">
        <v>197</v>
      </c>
      <c r="B121" s="41" t="s">
        <v>5</v>
      </c>
      <c r="C121" s="41" t="s">
        <v>10</v>
      </c>
      <c r="D121" s="41">
        <v>91001</v>
      </c>
      <c r="E121" s="39">
        <v>200025888216</v>
      </c>
      <c r="F121" s="39" t="s">
        <v>21</v>
      </c>
      <c r="G121" s="39">
        <v>33</v>
      </c>
      <c r="H121" s="40">
        <v>45799.70648148148</v>
      </c>
      <c r="I121" s="38">
        <v>3</v>
      </c>
      <c r="J121" s="38">
        <v>16</v>
      </c>
      <c r="K121" s="38">
        <v>165</v>
      </c>
      <c r="L121" s="41">
        <v>0</v>
      </c>
    </row>
    <row r="122" spans="1:12" x14ac:dyDescent="0.35">
      <c r="A122" s="41">
        <v>205</v>
      </c>
      <c r="B122" s="41" t="s">
        <v>5</v>
      </c>
      <c r="C122" s="41" t="s">
        <v>10</v>
      </c>
      <c r="D122" s="41">
        <v>91001</v>
      </c>
      <c r="E122" s="39">
        <v>200025888216</v>
      </c>
      <c r="F122" s="39" t="s">
        <v>21</v>
      </c>
      <c r="G122" s="39">
        <v>33</v>
      </c>
      <c r="H122" s="40">
        <v>45799.801666666666</v>
      </c>
      <c r="I122" s="38">
        <v>4</v>
      </c>
      <c r="J122" s="38">
        <v>16</v>
      </c>
      <c r="K122" s="38">
        <v>173</v>
      </c>
      <c r="L122" s="41">
        <v>1</v>
      </c>
    </row>
    <row r="123" spans="1:12" x14ac:dyDescent="0.35">
      <c r="A123" s="38">
        <v>33</v>
      </c>
      <c r="B123" s="38" t="s">
        <v>5</v>
      </c>
      <c r="C123" s="38" t="s">
        <v>10</v>
      </c>
      <c r="D123" s="38">
        <v>91001</v>
      </c>
      <c r="E123" s="39">
        <v>200025888173</v>
      </c>
      <c r="F123" s="39" t="s">
        <v>17</v>
      </c>
      <c r="G123" s="39">
        <v>34</v>
      </c>
      <c r="H123" s="40">
        <v>45798.247002314813</v>
      </c>
      <c r="I123" s="38">
        <v>1</v>
      </c>
      <c r="J123" s="38">
        <v>3</v>
      </c>
      <c r="K123" s="38">
        <v>1</v>
      </c>
      <c r="L123" s="38">
        <v>0</v>
      </c>
    </row>
    <row r="124" spans="1:12" x14ac:dyDescent="0.35">
      <c r="A124" s="38">
        <v>34</v>
      </c>
      <c r="B124" s="38" t="s">
        <v>5</v>
      </c>
      <c r="C124" s="38" t="s">
        <v>10</v>
      </c>
      <c r="D124" s="38">
        <v>91001</v>
      </c>
      <c r="E124" s="39">
        <v>200025888173</v>
      </c>
      <c r="F124" s="39" t="s">
        <v>17</v>
      </c>
      <c r="G124" s="39">
        <v>34</v>
      </c>
      <c r="H124" s="40">
        <v>45798.247013888889</v>
      </c>
      <c r="I124" s="38">
        <v>2</v>
      </c>
      <c r="J124" s="38">
        <v>3</v>
      </c>
      <c r="K124" s="38">
        <v>2</v>
      </c>
      <c r="L124" s="38">
        <v>0</v>
      </c>
    </row>
    <row r="125" spans="1:12" x14ac:dyDescent="0.35">
      <c r="A125" s="38">
        <v>35</v>
      </c>
      <c r="B125" s="38" t="s">
        <v>5</v>
      </c>
      <c r="C125" s="38" t="s">
        <v>10</v>
      </c>
      <c r="D125" s="38">
        <v>91001</v>
      </c>
      <c r="E125" s="39">
        <v>200025888173</v>
      </c>
      <c r="F125" s="39" t="s">
        <v>17</v>
      </c>
      <c r="G125" s="39">
        <v>34</v>
      </c>
      <c r="H125" s="40">
        <v>45798.27275462963</v>
      </c>
      <c r="I125" s="38">
        <v>3</v>
      </c>
      <c r="J125" s="38">
        <v>3</v>
      </c>
      <c r="K125" s="38">
        <v>3</v>
      </c>
      <c r="L125" s="38">
        <v>0</v>
      </c>
    </row>
    <row r="126" spans="1:12" x14ac:dyDescent="0.35">
      <c r="A126" s="38">
        <v>36</v>
      </c>
      <c r="B126" s="38" t="s">
        <v>5</v>
      </c>
      <c r="C126" s="38" t="s">
        <v>10</v>
      </c>
      <c r="D126" s="38">
        <v>91001</v>
      </c>
      <c r="E126" s="39">
        <v>200025888173</v>
      </c>
      <c r="F126" s="39" t="s">
        <v>17</v>
      </c>
      <c r="G126" s="39">
        <v>34</v>
      </c>
      <c r="H126" s="40">
        <v>45798.302256944444</v>
      </c>
      <c r="I126" s="38">
        <v>4</v>
      </c>
      <c r="J126" s="38">
        <v>3</v>
      </c>
      <c r="K126" s="38">
        <v>4</v>
      </c>
      <c r="L126" s="38">
        <v>0</v>
      </c>
    </row>
    <row r="127" spans="1:12" x14ac:dyDescent="0.35">
      <c r="A127" s="38">
        <v>37</v>
      </c>
      <c r="B127" s="38" t="s">
        <v>5</v>
      </c>
      <c r="C127" s="38" t="s">
        <v>10</v>
      </c>
      <c r="D127" s="38">
        <v>91001</v>
      </c>
      <c r="E127" s="39">
        <v>200025888173</v>
      </c>
      <c r="F127" s="39" t="s">
        <v>17</v>
      </c>
      <c r="G127" s="39">
        <v>34</v>
      </c>
      <c r="H127" s="40">
        <v>45798.302268518521</v>
      </c>
      <c r="I127" s="38">
        <v>5</v>
      </c>
      <c r="J127" s="38">
        <v>3</v>
      </c>
      <c r="K127" s="38">
        <v>5</v>
      </c>
      <c r="L127" s="38">
        <v>0</v>
      </c>
    </row>
    <row r="128" spans="1:12" x14ac:dyDescent="0.35">
      <c r="A128" s="38">
        <v>38</v>
      </c>
      <c r="B128" s="38" t="s">
        <v>5</v>
      </c>
      <c r="C128" s="38" t="s">
        <v>10</v>
      </c>
      <c r="D128" s="38">
        <v>91001</v>
      </c>
      <c r="E128" s="39">
        <v>200025888173</v>
      </c>
      <c r="F128" s="39" t="s">
        <v>17</v>
      </c>
      <c r="G128" s="39">
        <v>34</v>
      </c>
      <c r="H128" s="40">
        <v>45798.30228009259</v>
      </c>
      <c r="I128" s="38">
        <v>6</v>
      </c>
      <c r="J128" s="38">
        <v>3</v>
      </c>
      <c r="K128" s="38">
        <v>6</v>
      </c>
      <c r="L128" s="38">
        <v>1</v>
      </c>
    </row>
    <row r="129" spans="1:12" x14ac:dyDescent="0.35">
      <c r="A129" s="38">
        <v>39</v>
      </c>
      <c r="B129" s="38" t="s">
        <v>5</v>
      </c>
      <c r="C129" s="38" t="s">
        <v>10</v>
      </c>
      <c r="D129" s="38">
        <v>91001</v>
      </c>
      <c r="E129" s="39">
        <v>200025888173</v>
      </c>
      <c r="F129" s="39" t="s">
        <v>17</v>
      </c>
      <c r="G129" s="39">
        <v>34</v>
      </c>
      <c r="H129" s="40">
        <v>45798.302534722221</v>
      </c>
      <c r="I129" s="38">
        <v>7</v>
      </c>
      <c r="J129" s="38">
        <v>3</v>
      </c>
      <c r="K129" s="38">
        <v>7</v>
      </c>
      <c r="L129" s="38">
        <v>1</v>
      </c>
    </row>
    <row r="130" spans="1:12" x14ac:dyDescent="0.35">
      <c r="A130" s="38">
        <v>40</v>
      </c>
      <c r="B130" s="38" t="s">
        <v>5</v>
      </c>
      <c r="C130" s="38" t="s">
        <v>10</v>
      </c>
      <c r="D130" s="38">
        <v>91001</v>
      </c>
      <c r="E130" s="39">
        <v>200025888173</v>
      </c>
      <c r="F130" s="39" t="s">
        <v>17</v>
      </c>
      <c r="G130" s="39">
        <v>34</v>
      </c>
      <c r="H130" s="40">
        <v>45798.302546296298</v>
      </c>
      <c r="I130" s="38">
        <v>8</v>
      </c>
      <c r="J130" s="38">
        <v>3</v>
      </c>
      <c r="K130" s="38">
        <v>8</v>
      </c>
      <c r="L130" s="38">
        <v>0</v>
      </c>
    </row>
    <row r="131" spans="1:12" x14ac:dyDescent="0.35">
      <c r="A131" s="38">
        <v>41</v>
      </c>
      <c r="B131" s="38" t="s">
        <v>5</v>
      </c>
      <c r="C131" s="38" t="s">
        <v>10</v>
      </c>
      <c r="D131" s="38">
        <v>91001</v>
      </c>
      <c r="E131" s="39">
        <v>200025888173</v>
      </c>
      <c r="F131" s="39" t="s">
        <v>17</v>
      </c>
      <c r="G131" s="39">
        <v>34</v>
      </c>
      <c r="H131" s="40">
        <v>45798.32234953704</v>
      </c>
      <c r="I131" s="38">
        <v>9</v>
      </c>
      <c r="J131" s="38">
        <v>3</v>
      </c>
      <c r="K131" s="38">
        <v>9</v>
      </c>
      <c r="L131" s="38">
        <v>0</v>
      </c>
    </row>
    <row r="132" spans="1:12" x14ac:dyDescent="0.35">
      <c r="A132" s="38">
        <v>42</v>
      </c>
      <c r="B132" s="38" t="s">
        <v>5</v>
      </c>
      <c r="C132" s="38" t="s">
        <v>10</v>
      </c>
      <c r="D132" s="38">
        <v>91001</v>
      </c>
      <c r="E132" s="39">
        <v>200025888173</v>
      </c>
      <c r="F132" s="39" t="s">
        <v>17</v>
      </c>
      <c r="G132" s="39">
        <v>34</v>
      </c>
      <c r="H132" s="40">
        <v>45798.367731481485</v>
      </c>
      <c r="I132" s="38">
        <v>10</v>
      </c>
      <c r="J132" s="38">
        <v>3</v>
      </c>
      <c r="K132" s="38">
        <v>10</v>
      </c>
      <c r="L132" s="38">
        <v>0</v>
      </c>
    </row>
    <row r="133" spans="1:12" x14ac:dyDescent="0.35">
      <c r="A133" s="41">
        <v>203</v>
      </c>
      <c r="B133" s="41" t="s">
        <v>5</v>
      </c>
      <c r="C133" s="41" t="s">
        <v>10</v>
      </c>
      <c r="D133" s="41">
        <v>91001</v>
      </c>
      <c r="E133" s="39">
        <v>200025888200</v>
      </c>
      <c r="F133" s="39" t="s">
        <v>17</v>
      </c>
      <c r="G133" s="39">
        <v>34</v>
      </c>
      <c r="H133" s="40">
        <v>45799.753240740742</v>
      </c>
      <c r="I133" s="38">
        <v>11</v>
      </c>
      <c r="J133" s="38">
        <v>3</v>
      </c>
      <c r="K133" s="38">
        <v>171</v>
      </c>
      <c r="L133" s="41">
        <v>0</v>
      </c>
    </row>
    <row r="134" spans="1:12" x14ac:dyDescent="0.35">
      <c r="A134" s="41">
        <v>204</v>
      </c>
      <c r="B134" s="41" t="s">
        <v>5</v>
      </c>
      <c r="C134" s="41" t="s">
        <v>10</v>
      </c>
      <c r="D134" s="41">
        <v>91001</v>
      </c>
      <c r="E134" s="39">
        <v>200025888200</v>
      </c>
      <c r="F134" s="39" t="s">
        <v>17</v>
      </c>
      <c r="G134" s="39">
        <v>34</v>
      </c>
      <c r="H134" s="40">
        <v>45799.753252314818</v>
      </c>
      <c r="I134" s="38">
        <v>12</v>
      </c>
      <c r="J134" s="38">
        <v>3</v>
      </c>
      <c r="K134" s="38">
        <v>172</v>
      </c>
      <c r="L134" s="41">
        <v>0</v>
      </c>
    </row>
    <row r="135" spans="1:12" x14ac:dyDescent="0.35">
      <c r="A135" s="38">
        <v>195</v>
      </c>
      <c r="B135" s="38" t="s">
        <v>5</v>
      </c>
      <c r="C135" s="38" t="s">
        <v>10</v>
      </c>
      <c r="D135" s="38">
        <v>91001</v>
      </c>
      <c r="E135" s="39">
        <v>200025888509</v>
      </c>
      <c r="F135" s="39" t="s">
        <v>28</v>
      </c>
      <c r="G135" s="39">
        <v>35</v>
      </c>
      <c r="H135" s="40">
        <v>45799.604421296295</v>
      </c>
      <c r="I135" s="38">
        <v>1</v>
      </c>
      <c r="J135" s="38">
        <v>23</v>
      </c>
      <c r="K135" s="38">
        <v>163</v>
      </c>
      <c r="L135" s="38">
        <v>0</v>
      </c>
    </row>
    <row r="136" spans="1:12" x14ac:dyDescent="0.35">
      <c r="A136" s="38">
        <v>149</v>
      </c>
      <c r="B136" s="38" t="s">
        <v>5</v>
      </c>
      <c r="C136" s="38" t="s">
        <v>10</v>
      </c>
      <c r="D136" s="38">
        <v>91001</v>
      </c>
      <c r="E136" s="39">
        <v>200025888608</v>
      </c>
      <c r="F136" s="39" t="s">
        <v>29</v>
      </c>
      <c r="G136" s="39">
        <v>38</v>
      </c>
      <c r="H136" s="40">
        <v>45799.129664351851</v>
      </c>
      <c r="I136" s="38">
        <v>1</v>
      </c>
      <c r="J136" s="38">
        <v>20</v>
      </c>
      <c r="K136" s="38">
        <v>117</v>
      </c>
      <c r="L136" s="38">
        <v>1</v>
      </c>
    </row>
    <row r="137" spans="1:12" x14ac:dyDescent="0.35">
      <c r="A137" s="41">
        <v>210</v>
      </c>
      <c r="B137" s="41" t="s">
        <v>5</v>
      </c>
      <c r="C137" s="41" t="s">
        <v>10</v>
      </c>
      <c r="D137" s="41">
        <v>91001</v>
      </c>
      <c r="E137" s="39">
        <v>200025888608</v>
      </c>
      <c r="F137" s="39" t="s">
        <v>29</v>
      </c>
      <c r="G137" s="39">
        <v>38</v>
      </c>
      <c r="H137" s="40">
        <v>45799.82603009259</v>
      </c>
      <c r="I137" s="38">
        <v>2</v>
      </c>
      <c r="J137" s="38">
        <v>20</v>
      </c>
      <c r="K137" s="38">
        <v>178</v>
      </c>
      <c r="L137" s="41">
        <v>0</v>
      </c>
    </row>
    <row r="138" spans="1:12" x14ac:dyDescent="0.35">
      <c r="A138" s="41">
        <v>211</v>
      </c>
      <c r="B138" s="41" t="s">
        <v>5</v>
      </c>
      <c r="C138" s="41" t="s">
        <v>10</v>
      </c>
      <c r="D138" s="41">
        <v>91001</v>
      </c>
      <c r="E138" s="39">
        <v>200025888608</v>
      </c>
      <c r="F138" s="39" t="s">
        <v>29</v>
      </c>
      <c r="G138" s="39">
        <v>38</v>
      </c>
      <c r="H138" s="40">
        <v>45799.831377314818</v>
      </c>
      <c r="I138" s="38">
        <v>3</v>
      </c>
      <c r="J138" s="38">
        <v>20</v>
      </c>
      <c r="K138" s="38">
        <v>179</v>
      </c>
      <c r="L138" s="41">
        <v>1</v>
      </c>
    </row>
    <row r="139" spans="1:12" x14ac:dyDescent="0.35">
      <c r="A139" s="41">
        <v>212</v>
      </c>
      <c r="B139" s="41" t="s">
        <v>5</v>
      </c>
      <c r="C139" s="41" t="s">
        <v>10</v>
      </c>
      <c r="D139" s="41">
        <v>91001</v>
      </c>
      <c r="E139" s="39">
        <v>200025888608</v>
      </c>
      <c r="F139" s="39" t="s">
        <v>29</v>
      </c>
      <c r="G139" s="39">
        <v>38</v>
      </c>
      <c r="H139" s="40">
        <v>45799.831400462965</v>
      </c>
      <c r="I139" s="38">
        <v>4</v>
      </c>
      <c r="J139" s="38">
        <v>20</v>
      </c>
      <c r="K139" s="38">
        <v>180</v>
      </c>
      <c r="L139" s="41">
        <v>1</v>
      </c>
    </row>
    <row r="140" spans="1:12" x14ac:dyDescent="0.35">
      <c r="A140" s="41">
        <v>213</v>
      </c>
      <c r="B140" s="41" t="s">
        <v>5</v>
      </c>
      <c r="C140" s="41" t="s">
        <v>10</v>
      </c>
      <c r="D140" s="41">
        <v>91001</v>
      </c>
      <c r="E140" s="39">
        <v>200025888608</v>
      </c>
      <c r="F140" s="39" t="s">
        <v>29</v>
      </c>
      <c r="G140" s="39">
        <v>38</v>
      </c>
      <c r="H140" s="40">
        <v>45799.834745370368</v>
      </c>
      <c r="I140" s="38">
        <v>5</v>
      </c>
      <c r="J140" s="38">
        <v>20</v>
      </c>
      <c r="K140" s="38">
        <v>181</v>
      </c>
      <c r="L140" s="41">
        <v>0</v>
      </c>
    </row>
    <row r="141" spans="1:12" x14ac:dyDescent="0.35">
      <c r="A141" s="38">
        <v>32</v>
      </c>
      <c r="B141" s="41" t="s">
        <v>7</v>
      </c>
      <c r="C141" s="38" t="s">
        <v>12</v>
      </c>
      <c r="D141" s="42">
        <v>93202</v>
      </c>
      <c r="E141" s="39">
        <v>200025888504</v>
      </c>
      <c r="F141" s="39" t="s">
        <v>27</v>
      </c>
      <c r="G141" s="39">
        <v>40</v>
      </c>
      <c r="H141" s="40">
        <v>45798.931296296294</v>
      </c>
      <c r="I141" s="38">
        <v>1</v>
      </c>
      <c r="J141" s="38">
        <v>15</v>
      </c>
      <c r="K141" s="41">
        <v>5</v>
      </c>
      <c r="L141" s="41">
        <v>0</v>
      </c>
    </row>
    <row r="142" spans="1:12" x14ac:dyDescent="0.35">
      <c r="A142" s="38">
        <v>126</v>
      </c>
      <c r="B142" s="38" t="s">
        <v>5</v>
      </c>
      <c r="C142" s="38" t="s">
        <v>10</v>
      </c>
      <c r="D142" s="38">
        <v>91001</v>
      </c>
      <c r="E142" s="39">
        <v>200025888808</v>
      </c>
      <c r="F142" s="39" t="s">
        <v>36</v>
      </c>
      <c r="G142" s="39">
        <v>43</v>
      </c>
      <c r="H142" s="40">
        <v>45798.901967592596</v>
      </c>
      <c r="I142" s="38">
        <v>1</v>
      </c>
      <c r="J142" s="38">
        <v>12</v>
      </c>
      <c r="K142" s="38">
        <v>94</v>
      </c>
      <c r="L142" s="38">
        <v>1</v>
      </c>
    </row>
    <row r="143" spans="1:12" x14ac:dyDescent="0.35">
      <c r="A143" s="38">
        <v>152</v>
      </c>
      <c r="B143" s="38" t="s">
        <v>5</v>
      </c>
      <c r="C143" s="38" t="s">
        <v>10</v>
      </c>
      <c r="D143" s="38">
        <v>91001</v>
      </c>
      <c r="E143" s="39">
        <v>200025888808</v>
      </c>
      <c r="F143" s="39" t="s">
        <v>36</v>
      </c>
      <c r="G143" s="39">
        <v>43</v>
      </c>
      <c r="H143" s="40">
        <v>45799.189340277779</v>
      </c>
      <c r="I143" s="38">
        <v>2</v>
      </c>
      <c r="J143" s="38">
        <v>12</v>
      </c>
      <c r="K143" s="38">
        <v>120</v>
      </c>
      <c r="L143" s="38">
        <v>1</v>
      </c>
    </row>
    <row r="144" spans="1:12" x14ac:dyDescent="0.35">
      <c r="A144" s="38">
        <v>153</v>
      </c>
      <c r="B144" s="38" t="s">
        <v>5</v>
      </c>
      <c r="C144" s="38" t="s">
        <v>10</v>
      </c>
      <c r="D144" s="38">
        <v>91001</v>
      </c>
      <c r="E144" s="39">
        <v>200025888808</v>
      </c>
      <c r="F144" s="39" t="s">
        <v>36</v>
      </c>
      <c r="G144" s="39">
        <v>43</v>
      </c>
      <c r="H144" s="40">
        <v>45799.18953703704</v>
      </c>
      <c r="I144" s="38">
        <v>3</v>
      </c>
      <c r="J144" s="38">
        <v>12</v>
      </c>
      <c r="K144" s="38">
        <v>121</v>
      </c>
      <c r="L144" s="38">
        <v>1</v>
      </c>
    </row>
    <row r="145" spans="1:12" x14ac:dyDescent="0.35">
      <c r="A145" s="38">
        <v>163</v>
      </c>
      <c r="B145" s="38" t="s">
        <v>5</v>
      </c>
      <c r="C145" s="38" t="s">
        <v>10</v>
      </c>
      <c r="D145" s="38">
        <v>91001</v>
      </c>
      <c r="E145" s="39">
        <v>200025888808</v>
      </c>
      <c r="F145" s="39" t="s">
        <v>36</v>
      </c>
      <c r="G145" s="39">
        <v>43</v>
      </c>
      <c r="H145" s="40">
        <v>45799.232152777775</v>
      </c>
      <c r="I145" s="38">
        <v>4</v>
      </c>
      <c r="J145" s="38">
        <v>12</v>
      </c>
      <c r="K145" s="38">
        <v>131</v>
      </c>
      <c r="L145" s="38">
        <v>345</v>
      </c>
    </row>
    <row r="146" spans="1:12" x14ac:dyDescent="0.35">
      <c r="A146" s="38">
        <v>171</v>
      </c>
      <c r="B146" s="38" t="s">
        <v>5</v>
      </c>
      <c r="C146" s="38" t="s">
        <v>10</v>
      </c>
      <c r="D146" s="38">
        <v>91001</v>
      </c>
      <c r="E146" s="39">
        <v>200025888808</v>
      </c>
      <c r="F146" s="39" t="s">
        <v>36</v>
      </c>
      <c r="G146" s="39">
        <v>43</v>
      </c>
      <c r="H146" s="40">
        <v>45799.269074074073</v>
      </c>
      <c r="I146" s="38">
        <v>5</v>
      </c>
      <c r="J146" s="38">
        <v>12</v>
      </c>
      <c r="K146" s="38">
        <v>139</v>
      </c>
      <c r="L146" s="38">
        <v>1</v>
      </c>
    </row>
    <row r="147" spans="1:12" x14ac:dyDescent="0.35">
      <c r="A147" s="38">
        <v>183</v>
      </c>
      <c r="B147" s="38" t="s">
        <v>5</v>
      </c>
      <c r="C147" s="38" t="s">
        <v>10</v>
      </c>
      <c r="D147" s="38">
        <v>91001</v>
      </c>
      <c r="E147" s="39">
        <v>200025888808</v>
      </c>
      <c r="F147" s="39" t="s">
        <v>36</v>
      </c>
      <c r="G147" s="39">
        <v>43</v>
      </c>
      <c r="H147" s="40">
        <v>45799.558888888889</v>
      </c>
      <c r="I147" s="38">
        <v>6</v>
      </c>
      <c r="J147" s="38">
        <v>12</v>
      </c>
      <c r="K147" s="38">
        <v>151</v>
      </c>
      <c r="L147" s="38">
        <v>2</v>
      </c>
    </row>
    <row r="148" spans="1:12" x14ac:dyDescent="0.35">
      <c r="A148" s="38">
        <v>184</v>
      </c>
      <c r="B148" s="38" t="s">
        <v>5</v>
      </c>
      <c r="C148" s="38" t="s">
        <v>10</v>
      </c>
      <c r="D148" s="38">
        <v>91001</v>
      </c>
      <c r="E148" s="39">
        <v>200025888808</v>
      </c>
      <c r="F148" s="39" t="s">
        <v>36</v>
      </c>
      <c r="G148" s="39">
        <v>43</v>
      </c>
      <c r="H148" s="40">
        <v>45799.560601851852</v>
      </c>
      <c r="I148" s="38">
        <v>7</v>
      </c>
      <c r="J148" s="38">
        <v>12</v>
      </c>
      <c r="K148" s="38">
        <v>152</v>
      </c>
      <c r="L148" s="38">
        <v>1</v>
      </c>
    </row>
    <row r="149" spans="1:12" x14ac:dyDescent="0.35">
      <c r="A149" s="38">
        <v>185</v>
      </c>
      <c r="B149" s="38" t="s">
        <v>5</v>
      </c>
      <c r="C149" s="38" t="s">
        <v>10</v>
      </c>
      <c r="D149" s="38">
        <v>91001</v>
      </c>
      <c r="E149" s="39">
        <v>200025888808</v>
      </c>
      <c r="F149" s="39" t="s">
        <v>36</v>
      </c>
      <c r="G149" s="39">
        <v>43</v>
      </c>
      <c r="H149" s="40">
        <v>45799.560891203706</v>
      </c>
      <c r="I149" s="38">
        <v>8</v>
      </c>
      <c r="J149" s="38">
        <v>12</v>
      </c>
      <c r="K149" s="38">
        <v>153</v>
      </c>
      <c r="L149" s="38">
        <v>0</v>
      </c>
    </row>
    <row r="150" spans="1:12" x14ac:dyDescent="0.35">
      <c r="A150" s="38">
        <v>186</v>
      </c>
      <c r="B150" s="38" t="s">
        <v>5</v>
      </c>
      <c r="C150" s="38" t="s">
        <v>10</v>
      </c>
      <c r="D150" s="38">
        <v>91001</v>
      </c>
      <c r="E150" s="39">
        <v>200025888808</v>
      </c>
      <c r="F150" s="39" t="s">
        <v>36</v>
      </c>
      <c r="G150" s="39">
        <v>43</v>
      </c>
      <c r="H150" s="40">
        <v>45799.560902777775</v>
      </c>
      <c r="I150" s="38">
        <v>9</v>
      </c>
      <c r="J150" s="38">
        <v>12</v>
      </c>
      <c r="K150" s="38">
        <v>154</v>
      </c>
      <c r="L150" s="38">
        <v>23</v>
      </c>
    </row>
    <row r="151" spans="1:12" x14ac:dyDescent="0.35">
      <c r="A151" s="38">
        <v>187</v>
      </c>
      <c r="B151" s="38" t="s">
        <v>5</v>
      </c>
      <c r="C151" s="38" t="s">
        <v>10</v>
      </c>
      <c r="D151" s="38">
        <v>91001</v>
      </c>
      <c r="E151" s="39">
        <v>200025888808</v>
      </c>
      <c r="F151" s="39" t="s">
        <v>36</v>
      </c>
      <c r="G151" s="39">
        <v>43</v>
      </c>
      <c r="H151" s="40">
        <v>45799.561180555553</v>
      </c>
      <c r="I151" s="38">
        <v>10</v>
      </c>
      <c r="J151" s="38">
        <v>12</v>
      </c>
      <c r="K151" s="38">
        <v>155</v>
      </c>
      <c r="L151" s="38">
        <v>0</v>
      </c>
    </row>
    <row r="152" spans="1:12" x14ac:dyDescent="0.35">
      <c r="A152" s="38">
        <v>188</v>
      </c>
      <c r="B152" s="38" t="s">
        <v>5</v>
      </c>
      <c r="C152" s="38" t="s">
        <v>10</v>
      </c>
      <c r="D152" s="38">
        <v>91001</v>
      </c>
      <c r="E152" s="39">
        <v>200025888808</v>
      </c>
      <c r="F152" s="39" t="s">
        <v>36</v>
      </c>
      <c r="G152" s="39">
        <v>43</v>
      </c>
      <c r="H152" s="40">
        <v>45799.563923611109</v>
      </c>
      <c r="I152" s="38">
        <v>11</v>
      </c>
      <c r="J152" s="38">
        <v>12</v>
      </c>
      <c r="K152" s="38">
        <v>156</v>
      </c>
      <c r="L152" s="38">
        <v>0</v>
      </c>
    </row>
    <row r="153" spans="1:12" x14ac:dyDescent="0.35">
      <c r="A153" s="38">
        <v>189</v>
      </c>
      <c r="B153" s="38" t="s">
        <v>5</v>
      </c>
      <c r="C153" s="38" t="s">
        <v>10</v>
      </c>
      <c r="D153" s="38">
        <v>91001</v>
      </c>
      <c r="E153" s="39">
        <v>200025888808</v>
      </c>
      <c r="F153" s="39" t="s">
        <v>36</v>
      </c>
      <c r="G153" s="39">
        <v>43</v>
      </c>
      <c r="H153" s="40">
        <v>45799.570648148147</v>
      </c>
      <c r="I153" s="38">
        <v>12</v>
      </c>
      <c r="J153" s="38">
        <v>12</v>
      </c>
      <c r="K153" s="38">
        <v>157</v>
      </c>
      <c r="L153" s="38">
        <v>1</v>
      </c>
    </row>
    <row r="154" spans="1:12" x14ac:dyDescent="0.35">
      <c r="A154" s="38">
        <v>194</v>
      </c>
      <c r="B154" s="38" t="s">
        <v>5</v>
      </c>
      <c r="C154" s="38" t="s">
        <v>10</v>
      </c>
      <c r="D154" s="38">
        <v>91001</v>
      </c>
      <c r="E154" s="39">
        <v>200025888808</v>
      </c>
      <c r="F154" s="39" t="s">
        <v>36</v>
      </c>
      <c r="G154" s="39">
        <v>43</v>
      </c>
      <c r="H154" s="40">
        <v>45799.583252314813</v>
      </c>
      <c r="I154" s="38">
        <v>13</v>
      </c>
      <c r="J154" s="38">
        <v>12</v>
      </c>
      <c r="K154" s="38">
        <v>162</v>
      </c>
      <c r="L154" s="38">
        <v>1</v>
      </c>
    </row>
    <row r="155" spans="1:12" x14ac:dyDescent="0.35">
      <c r="A155" s="38">
        <v>30</v>
      </c>
      <c r="B155" s="41" t="s">
        <v>7</v>
      </c>
      <c r="C155" s="38" t="s">
        <v>12</v>
      </c>
      <c r="D155" s="42">
        <v>93202</v>
      </c>
      <c r="E155" s="39">
        <v>200025888868</v>
      </c>
      <c r="F155" s="39" t="s">
        <v>38</v>
      </c>
      <c r="G155" s="39">
        <v>44</v>
      </c>
      <c r="H155" s="40">
        <v>45798.908206018517</v>
      </c>
      <c r="I155" s="38">
        <v>1</v>
      </c>
      <c r="J155" s="38">
        <v>14</v>
      </c>
      <c r="K155" s="41">
        <v>3</v>
      </c>
      <c r="L155" s="41">
        <v>0</v>
      </c>
    </row>
    <row r="156" spans="1:12" x14ac:dyDescent="0.35">
      <c r="A156" s="41">
        <v>33</v>
      </c>
      <c r="B156" s="41" t="s">
        <v>7</v>
      </c>
      <c r="C156" s="38" t="s">
        <v>12</v>
      </c>
      <c r="D156" s="42">
        <v>93202</v>
      </c>
      <c r="E156" s="39">
        <v>200025888868</v>
      </c>
      <c r="F156" s="39" t="s">
        <v>38</v>
      </c>
      <c r="G156" s="39">
        <v>44</v>
      </c>
      <c r="H156" s="40">
        <v>45798.945081018515</v>
      </c>
      <c r="I156" s="38">
        <v>2</v>
      </c>
      <c r="J156" s="38">
        <v>14</v>
      </c>
      <c r="K156" s="41">
        <v>6</v>
      </c>
      <c r="L156" s="41">
        <v>0</v>
      </c>
    </row>
    <row r="157" spans="1:12" x14ac:dyDescent="0.35">
      <c r="A157" s="41">
        <v>34</v>
      </c>
      <c r="B157" s="41" t="s">
        <v>7</v>
      </c>
      <c r="C157" s="38" t="s">
        <v>12</v>
      </c>
      <c r="D157" s="42">
        <v>93202</v>
      </c>
      <c r="E157" s="39">
        <v>200025888868</v>
      </c>
      <c r="F157" s="39" t="s">
        <v>38</v>
      </c>
      <c r="G157" s="39">
        <v>44</v>
      </c>
      <c r="H157" s="40">
        <v>45799.227569444447</v>
      </c>
      <c r="I157" s="38">
        <v>3</v>
      </c>
      <c r="J157" s="38">
        <v>14</v>
      </c>
      <c r="K157" s="41">
        <v>7</v>
      </c>
      <c r="L157" s="41">
        <v>0</v>
      </c>
    </row>
    <row r="158" spans="1:12" x14ac:dyDescent="0.35">
      <c r="A158" s="41">
        <v>166</v>
      </c>
      <c r="B158" s="38" t="s">
        <v>5</v>
      </c>
      <c r="C158" s="38" t="s">
        <v>10</v>
      </c>
      <c r="D158" s="38">
        <v>91001</v>
      </c>
      <c r="E158" s="39">
        <v>200025888868</v>
      </c>
      <c r="F158" s="39" t="s">
        <v>38</v>
      </c>
      <c r="G158" s="39">
        <v>44</v>
      </c>
      <c r="H158" s="40">
        <v>45799.257881944446</v>
      </c>
      <c r="I158" s="38">
        <v>4</v>
      </c>
      <c r="J158" s="38">
        <v>14</v>
      </c>
      <c r="K158" s="38">
        <v>134</v>
      </c>
      <c r="L158" s="38">
        <v>1</v>
      </c>
    </row>
    <row r="159" spans="1:12" x14ac:dyDescent="0.35">
      <c r="A159" s="38">
        <v>28</v>
      </c>
      <c r="B159" s="41" t="s">
        <v>7</v>
      </c>
      <c r="C159" s="38" t="s">
        <v>12</v>
      </c>
      <c r="D159" s="42">
        <v>93202</v>
      </c>
      <c r="E159" s="39">
        <v>200025888137</v>
      </c>
      <c r="F159" s="39" t="s">
        <v>15</v>
      </c>
      <c r="G159" s="39">
        <v>46</v>
      </c>
      <c r="H159" s="40">
        <v>45797.843229166669</v>
      </c>
      <c r="I159" s="38">
        <v>1</v>
      </c>
      <c r="J159" s="38">
        <v>2</v>
      </c>
      <c r="K159" s="41">
        <v>1</v>
      </c>
      <c r="L159" s="41">
        <v>47</v>
      </c>
    </row>
    <row r="160" spans="1:12" x14ac:dyDescent="0.35">
      <c r="A160" s="38">
        <v>48</v>
      </c>
      <c r="B160" s="38" t="s">
        <v>5</v>
      </c>
      <c r="C160" s="38" t="s">
        <v>10</v>
      </c>
      <c r="D160" s="38">
        <v>91001</v>
      </c>
      <c r="E160" s="39">
        <v>200025888137</v>
      </c>
      <c r="F160" s="39" t="s">
        <v>15</v>
      </c>
      <c r="G160" s="39">
        <v>46</v>
      </c>
      <c r="H160" s="40">
        <v>45798.511724537035</v>
      </c>
      <c r="I160" s="38">
        <v>2</v>
      </c>
      <c r="J160" s="38">
        <v>2</v>
      </c>
      <c r="K160" s="38">
        <v>16</v>
      </c>
      <c r="L160" s="38">
        <v>2</v>
      </c>
    </row>
    <row r="161" spans="1:12" x14ac:dyDescent="0.35">
      <c r="A161" s="38">
        <v>49</v>
      </c>
      <c r="B161" s="38" t="s">
        <v>5</v>
      </c>
      <c r="C161" s="38" t="s">
        <v>10</v>
      </c>
      <c r="D161" s="38">
        <v>91001</v>
      </c>
      <c r="E161" s="39">
        <v>200025888137</v>
      </c>
      <c r="F161" s="39" t="s">
        <v>15</v>
      </c>
      <c r="G161" s="39">
        <v>46</v>
      </c>
      <c r="H161" s="40">
        <v>45798.511944444443</v>
      </c>
      <c r="I161" s="38">
        <v>3</v>
      </c>
      <c r="J161" s="38">
        <v>2</v>
      </c>
      <c r="K161" s="38">
        <v>17</v>
      </c>
      <c r="L161" s="38">
        <v>3</v>
      </c>
    </row>
    <row r="162" spans="1:12" x14ac:dyDescent="0.35">
      <c r="A162" s="38">
        <v>50</v>
      </c>
      <c r="B162" s="38" t="s">
        <v>5</v>
      </c>
      <c r="C162" s="38" t="s">
        <v>10</v>
      </c>
      <c r="D162" s="38">
        <v>91001</v>
      </c>
      <c r="E162" s="39">
        <v>200025888137</v>
      </c>
      <c r="F162" s="39" t="s">
        <v>15</v>
      </c>
      <c r="G162" s="39">
        <v>46</v>
      </c>
      <c r="H162" s="40">
        <v>45798.553657407407</v>
      </c>
      <c r="I162" s="38">
        <v>4</v>
      </c>
      <c r="J162" s="38">
        <v>2</v>
      </c>
      <c r="K162" s="38">
        <v>18</v>
      </c>
      <c r="L162" s="38">
        <v>0</v>
      </c>
    </row>
    <row r="163" spans="1:12" x14ac:dyDescent="0.35">
      <c r="A163" s="38">
        <v>51</v>
      </c>
      <c r="B163" s="38" t="s">
        <v>5</v>
      </c>
      <c r="C163" s="38" t="s">
        <v>10</v>
      </c>
      <c r="D163" s="38">
        <v>91001</v>
      </c>
      <c r="E163" s="39">
        <v>200025888137</v>
      </c>
      <c r="F163" s="39" t="s">
        <v>15</v>
      </c>
      <c r="G163" s="39">
        <v>46</v>
      </c>
      <c r="H163" s="40">
        <v>45798.553668981483</v>
      </c>
      <c r="I163" s="38">
        <v>5</v>
      </c>
      <c r="J163" s="38">
        <v>2</v>
      </c>
      <c r="K163" s="38">
        <v>19</v>
      </c>
      <c r="L163" s="38">
        <v>0</v>
      </c>
    </row>
    <row r="164" spans="1:12" x14ac:dyDescent="0.35">
      <c r="A164" s="38">
        <v>52</v>
      </c>
      <c r="B164" s="38" t="s">
        <v>5</v>
      </c>
      <c r="C164" s="38" t="s">
        <v>10</v>
      </c>
      <c r="D164" s="38">
        <v>91001</v>
      </c>
      <c r="E164" s="39">
        <v>200025888137</v>
      </c>
      <c r="F164" s="39" t="s">
        <v>15</v>
      </c>
      <c r="G164" s="39">
        <v>46</v>
      </c>
      <c r="H164" s="40">
        <v>45798.55369212963</v>
      </c>
      <c r="I164" s="38">
        <v>6</v>
      </c>
      <c r="J164" s="38">
        <v>2</v>
      </c>
      <c r="K164" s="38">
        <v>20</v>
      </c>
      <c r="L164" s="38">
        <v>0</v>
      </c>
    </row>
    <row r="165" spans="1:12" x14ac:dyDescent="0.35">
      <c r="A165" s="38">
        <v>53</v>
      </c>
      <c r="B165" s="38" t="s">
        <v>5</v>
      </c>
      <c r="C165" s="38" t="s">
        <v>10</v>
      </c>
      <c r="D165" s="38">
        <v>91001</v>
      </c>
      <c r="E165" s="39">
        <v>200025888137</v>
      </c>
      <c r="F165" s="39" t="s">
        <v>15</v>
      </c>
      <c r="G165" s="39">
        <v>46</v>
      </c>
      <c r="H165" s="40">
        <v>45798.589317129627</v>
      </c>
      <c r="I165" s="38">
        <v>7</v>
      </c>
      <c r="J165" s="38">
        <v>2</v>
      </c>
      <c r="K165" s="38">
        <v>21</v>
      </c>
      <c r="L165" s="38">
        <v>1</v>
      </c>
    </row>
    <row r="166" spans="1:12" x14ac:dyDescent="0.35">
      <c r="A166" s="38">
        <v>54</v>
      </c>
      <c r="B166" s="38" t="s">
        <v>5</v>
      </c>
      <c r="C166" s="38" t="s">
        <v>10</v>
      </c>
      <c r="D166" s="38">
        <v>91001</v>
      </c>
      <c r="E166" s="39">
        <v>200025888137</v>
      </c>
      <c r="F166" s="39" t="s">
        <v>15</v>
      </c>
      <c r="G166" s="39">
        <v>46</v>
      </c>
      <c r="H166" s="40">
        <v>45798.589328703703</v>
      </c>
      <c r="I166" s="38">
        <v>8</v>
      </c>
      <c r="J166" s="38">
        <v>2</v>
      </c>
      <c r="K166" s="38">
        <v>22</v>
      </c>
      <c r="L166" s="38">
        <v>1</v>
      </c>
    </row>
    <row r="167" spans="1:12" x14ac:dyDescent="0.35">
      <c r="A167" s="38">
        <v>55</v>
      </c>
      <c r="B167" s="38" t="s">
        <v>5</v>
      </c>
      <c r="C167" s="38" t="s">
        <v>10</v>
      </c>
      <c r="D167" s="38">
        <v>91001</v>
      </c>
      <c r="E167" s="39">
        <v>200025888137</v>
      </c>
      <c r="F167" s="39" t="s">
        <v>15</v>
      </c>
      <c r="G167" s="39">
        <v>46</v>
      </c>
      <c r="H167" s="40">
        <v>45798.60359953704</v>
      </c>
      <c r="I167" s="38">
        <v>9</v>
      </c>
      <c r="J167" s="38">
        <v>2</v>
      </c>
      <c r="K167" s="38">
        <v>23</v>
      </c>
      <c r="L167" s="38">
        <v>1</v>
      </c>
    </row>
    <row r="168" spans="1:12" x14ac:dyDescent="0.35">
      <c r="A168" s="38">
        <v>56</v>
      </c>
      <c r="B168" s="38" t="s">
        <v>5</v>
      </c>
      <c r="C168" s="38" t="s">
        <v>10</v>
      </c>
      <c r="D168" s="38">
        <v>91001</v>
      </c>
      <c r="E168" s="39">
        <v>200025888137</v>
      </c>
      <c r="F168" s="39" t="s">
        <v>15</v>
      </c>
      <c r="G168" s="39">
        <v>46</v>
      </c>
      <c r="H168" s="40">
        <v>45798.60361111111</v>
      </c>
      <c r="I168" s="38">
        <v>10</v>
      </c>
      <c r="J168" s="38">
        <v>2</v>
      </c>
      <c r="K168" s="38">
        <v>24</v>
      </c>
      <c r="L168" s="38">
        <v>1</v>
      </c>
    </row>
    <row r="169" spans="1:12" x14ac:dyDescent="0.35">
      <c r="A169" s="38">
        <v>57</v>
      </c>
      <c r="B169" s="38" t="s">
        <v>5</v>
      </c>
      <c r="C169" s="38" t="s">
        <v>10</v>
      </c>
      <c r="D169" s="38">
        <v>91001</v>
      </c>
      <c r="E169" s="39">
        <v>200025888137</v>
      </c>
      <c r="F169" s="39" t="s">
        <v>15</v>
      </c>
      <c r="G169" s="39">
        <v>46</v>
      </c>
      <c r="H169" s="40">
        <v>45798.603773148148</v>
      </c>
      <c r="I169" s="38">
        <v>11</v>
      </c>
      <c r="J169" s="38">
        <v>2</v>
      </c>
      <c r="K169" s="38">
        <v>25</v>
      </c>
      <c r="L169" s="38">
        <v>1</v>
      </c>
    </row>
    <row r="170" spans="1:12" x14ac:dyDescent="0.35">
      <c r="A170" s="38">
        <v>58</v>
      </c>
      <c r="B170" s="38" t="s">
        <v>5</v>
      </c>
      <c r="C170" s="38" t="s">
        <v>10</v>
      </c>
      <c r="D170" s="38">
        <v>91001</v>
      </c>
      <c r="E170" s="39">
        <v>200025888137</v>
      </c>
      <c r="F170" s="39" t="s">
        <v>15</v>
      </c>
      <c r="G170" s="39">
        <v>46</v>
      </c>
      <c r="H170" s="40">
        <v>45798.604270833333</v>
      </c>
      <c r="I170" s="38">
        <v>12</v>
      </c>
      <c r="J170" s="38">
        <v>2</v>
      </c>
      <c r="K170" s="38">
        <v>26</v>
      </c>
      <c r="L170" s="38">
        <v>0</v>
      </c>
    </row>
    <row r="171" spans="1:12" x14ac:dyDescent="0.35">
      <c r="A171" s="38">
        <v>59</v>
      </c>
      <c r="B171" s="38" t="s">
        <v>5</v>
      </c>
      <c r="C171" s="38" t="s">
        <v>10</v>
      </c>
      <c r="D171" s="38">
        <v>91001</v>
      </c>
      <c r="E171" s="39">
        <v>200025888137</v>
      </c>
      <c r="F171" s="39" t="s">
        <v>15</v>
      </c>
      <c r="G171" s="39">
        <v>46</v>
      </c>
      <c r="H171" s="40">
        <v>45798.604409722226</v>
      </c>
      <c r="I171" s="38">
        <v>13</v>
      </c>
      <c r="J171" s="38">
        <v>2</v>
      </c>
      <c r="K171" s="38">
        <v>27</v>
      </c>
      <c r="L171" s="38">
        <v>0</v>
      </c>
    </row>
    <row r="172" spans="1:12" x14ac:dyDescent="0.35">
      <c r="A172" s="38">
        <v>60</v>
      </c>
      <c r="B172" s="38" t="s">
        <v>5</v>
      </c>
      <c r="C172" s="38" t="s">
        <v>10</v>
      </c>
      <c r="D172" s="38">
        <v>91001</v>
      </c>
      <c r="E172" s="39">
        <v>200025888137</v>
      </c>
      <c r="F172" s="39" t="s">
        <v>15</v>
      </c>
      <c r="G172" s="39">
        <v>46</v>
      </c>
      <c r="H172" s="40">
        <v>45798.604421296295</v>
      </c>
      <c r="I172" s="38">
        <v>14</v>
      </c>
      <c r="J172" s="38">
        <v>2</v>
      </c>
      <c r="K172" s="38">
        <v>28</v>
      </c>
      <c r="L172" s="38">
        <v>1</v>
      </c>
    </row>
    <row r="173" spans="1:12" x14ac:dyDescent="0.35">
      <c r="A173" s="38">
        <v>61</v>
      </c>
      <c r="B173" s="38" t="s">
        <v>5</v>
      </c>
      <c r="C173" s="38" t="s">
        <v>10</v>
      </c>
      <c r="D173" s="38">
        <v>91001</v>
      </c>
      <c r="E173" s="39">
        <v>200025888137</v>
      </c>
      <c r="F173" s="39" t="s">
        <v>15</v>
      </c>
      <c r="G173" s="39">
        <v>46</v>
      </c>
      <c r="H173" s="40">
        <v>45798.605509259258</v>
      </c>
      <c r="I173" s="38">
        <v>15</v>
      </c>
      <c r="J173" s="38">
        <v>2</v>
      </c>
      <c r="K173" s="38">
        <v>29</v>
      </c>
      <c r="L173" s="38">
        <v>1</v>
      </c>
    </row>
    <row r="174" spans="1:12" x14ac:dyDescent="0.35">
      <c r="A174" s="38">
        <v>62</v>
      </c>
      <c r="B174" s="38" t="s">
        <v>5</v>
      </c>
      <c r="C174" s="38" t="s">
        <v>10</v>
      </c>
      <c r="D174" s="38">
        <v>91001</v>
      </c>
      <c r="E174" s="39">
        <v>200025888137</v>
      </c>
      <c r="F174" s="39" t="s">
        <v>15</v>
      </c>
      <c r="G174" s="39">
        <v>46</v>
      </c>
      <c r="H174" s="40">
        <v>45798.605636574073</v>
      </c>
      <c r="I174" s="38">
        <v>16</v>
      </c>
      <c r="J174" s="38">
        <v>2</v>
      </c>
      <c r="K174" s="38">
        <v>30</v>
      </c>
      <c r="L174" s="38">
        <v>0</v>
      </c>
    </row>
    <row r="175" spans="1:12" x14ac:dyDescent="0.35">
      <c r="A175" s="38">
        <v>63</v>
      </c>
      <c r="B175" s="38" t="s">
        <v>5</v>
      </c>
      <c r="C175" s="38" t="s">
        <v>10</v>
      </c>
      <c r="D175" s="38">
        <v>91001</v>
      </c>
      <c r="E175" s="39">
        <v>200025888137</v>
      </c>
      <c r="F175" s="39" t="s">
        <v>15</v>
      </c>
      <c r="G175" s="39">
        <v>46</v>
      </c>
      <c r="H175" s="40">
        <v>45798.60564814815</v>
      </c>
      <c r="I175" s="38">
        <v>17</v>
      </c>
      <c r="J175" s="38">
        <v>2</v>
      </c>
      <c r="K175" s="38">
        <v>31</v>
      </c>
      <c r="L175" s="38">
        <v>12</v>
      </c>
    </row>
    <row r="176" spans="1:12" x14ac:dyDescent="0.35">
      <c r="A176" s="38">
        <v>64</v>
      </c>
      <c r="B176" s="38" t="s">
        <v>5</v>
      </c>
      <c r="C176" s="38" t="s">
        <v>10</v>
      </c>
      <c r="D176" s="38">
        <v>91001</v>
      </c>
      <c r="E176" s="39">
        <v>200025888137</v>
      </c>
      <c r="F176" s="39" t="s">
        <v>15</v>
      </c>
      <c r="G176" s="39">
        <v>46</v>
      </c>
      <c r="H176" s="40">
        <v>45798.606053240743</v>
      </c>
      <c r="I176" s="38">
        <v>18</v>
      </c>
      <c r="J176" s="38">
        <v>2</v>
      </c>
      <c r="K176" s="38">
        <v>32</v>
      </c>
      <c r="L176" s="38">
        <v>1</v>
      </c>
    </row>
    <row r="177" spans="1:12" x14ac:dyDescent="0.35">
      <c r="A177" s="38">
        <v>74</v>
      </c>
      <c r="B177" s="38" t="s">
        <v>5</v>
      </c>
      <c r="C177" s="38" t="s">
        <v>10</v>
      </c>
      <c r="D177" s="38">
        <v>91001</v>
      </c>
      <c r="E177" s="39">
        <v>200025888137</v>
      </c>
      <c r="F177" s="39" t="s">
        <v>15</v>
      </c>
      <c r="G177" s="39">
        <v>46</v>
      </c>
      <c r="H177" s="40">
        <v>45798.675671296296</v>
      </c>
      <c r="I177" s="38">
        <v>19</v>
      </c>
      <c r="J177" s="38">
        <v>2</v>
      </c>
      <c r="K177" s="38">
        <v>42</v>
      </c>
      <c r="L177" s="38">
        <v>1</v>
      </c>
    </row>
    <row r="178" spans="1:12" x14ac:dyDescent="0.35">
      <c r="A178" s="38">
        <v>75</v>
      </c>
      <c r="B178" s="38" t="s">
        <v>5</v>
      </c>
      <c r="C178" s="38" t="s">
        <v>10</v>
      </c>
      <c r="D178" s="38">
        <v>91001</v>
      </c>
      <c r="E178" s="39">
        <v>200025888137</v>
      </c>
      <c r="F178" s="39" t="s">
        <v>15</v>
      </c>
      <c r="G178" s="39">
        <v>46</v>
      </c>
      <c r="H178" s="40">
        <v>45798.675682870373</v>
      </c>
      <c r="I178" s="38">
        <v>20</v>
      </c>
      <c r="J178" s="38">
        <v>2</v>
      </c>
      <c r="K178" s="38">
        <v>43</v>
      </c>
      <c r="L178" s="38">
        <v>0</v>
      </c>
    </row>
    <row r="179" spans="1:12" x14ac:dyDescent="0.35">
      <c r="A179" s="38">
        <v>76</v>
      </c>
      <c r="B179" s="38" t="s">
        <v>5</v>
      </c>
      <c r="C179" s="38" t="s">
        <v>10</v>
      </c>
      <c r="D179" s="38">
        <v>91001</v>
      </c>
      <c r="E179" s="39">
        <v>200025888137</v>
      </c>
      <c r="F179" s="39" t="s">
        <v>15</v>
      </c>
      <c r="G179" s="39">
        <v>46</v>
      </c>
      <c r="H179" s="40">
        <v>45798.675682870373</v>
      </c>
      <c r="I179" s="38">
        <v>21</v>
      </c>
      <c r="J179" s="38">
        <v>2</v>
      </c>
      <c r="K179" s="38">
        <v>44</v>
      </c>
      <c r="L179" s="38">
        <v>1</v>
      </c>
    </row>
    <row r="180" spans="1:12" x14ac:dyDescent="0.35">
      <c r="A180" s="38">
        <v>77</v>
      </c>
      <c r="B180" s="38" t="s">
        <v>5</v>
      </c>
      <c r="C180" s="38" t="s">
        <v>10</v>
      </c>
      <c r="D180" s="38">
        <v>91001</v>
      </c>
      <c r="E180" s="39">
        <v>200025888137</v>
      </c>
      <c r="F180" s="39" t="s">
        <v>15</v>
      </c>
      <c r="G180" s="39">
        <v>46</v>
      </c>
      <c r="H180" s="40">
        <v>45798.676307870373</v>
      </c>
      <c r="I180" s="38">
        <v>22</v>
      </c>
      <c r="J180" s="38">
        <v>2</v>
      </c>
      <c r="K180" s="38">
        <v>45</v>
      </c>
      <c r="L180" s="38">
        <v>13</v>
      </c>
    </row>
    <row r="181" spans="1:12" x14ac:dyDescent="0.35">
      <c r="A181" s="38">
        <v>78</v>
      </c>
      <c r="B181" s="38" t="s">
        <v>5</v>
      </c>
      <c r="C181" s="38" t="s">
        <v>10</v>
      </c>
      <c r="D181" s="38">
        <v>91001</v>
      </c>
      <c r="E181" s="39">
        <v>200025888137</v>
      </c>
      <c r="F181" s="39" t="s">
        <v>15</v>
      </c>
      <c r="G181" s="39">
        <v>46</v>
      </c>
      <c r="H181" s="40">
        <v>45798.676979166667</v>
      </c>
      <c r="I181" s="38">
        <v>23</v>
      </c>
      <c r="J181" s="38">
        <v>2</v>
      </c>
      <c r="K181" s="38">
        <v>46</v>
      </c>
      <c r="L181" s="38">
        <v>0</v>
      </c>
    </row>
    <row r="182" spans="1:12" x14ac:dyDescent="0.35">
      <c r="A182" s="38">
        <v>79</v>
      </c>
      <c r="B182" s="38" t="s">
        <v>5</v>
      </c>
      <c r="C182" s="38" t="s">
        <v>10</v>
      </c>
      <c r="D182" s="38">
        <v>91001</v>
      </c>
      <c r="E182" s="39">
        <v>200025888137</v>
      </c>
      <c r="F182" s="39" t="s">
        <v>15</v>
      </c>
      <c r="G182" s="39">
        <v>46</v>
      </c>
      <c r="H182" s="40">
        <v>45798.676990740743</v>
      </c>
      <c r="I182" s="38">
        <v>24</v>
      </c>
      <c r="J182" s="38">
        <v>2</v>
      </c>
      <c r="K182" s="38">
        <v>47</v>
      </c>
      <c r="L182" s="38">
        <v>0</v>
      </c>
    </row>
    <row r="183" spans="1:12" x14ac:dyDescent="0.35">
      <c r="A183" s="38">
        <v>80</v>
      </c>
      <c r="B183" s="38" t="s">
        <v>5</v>
      </c>
      <c r="C183" s="38" t="s">
        <v>10</v>
      </c>
      <c r="D183" s="38">
        <v>91001</v>
      </c>
      <c r="E183" s="39">
        <v>200025888137</v>
      </c>
      <c r="F183" s="39" t="s">
        <v>15</v>
      </c>
      <c r="G183" s="39">
        <v>46</v>
      </c>
      <c r="H183" s="40">
        <v>45798.67759259259</v>
      </c>
      <c r="I183" s="38">
        <v>25</v>
      </c>
      <c r="J183" s="38">
        <v>2</v>
      </c>
      <c r="K183" s="38">
        <v>48</v>
      </c>
      <c r="L183" s="38">
        <v>1</v>
      </c>
    </row>
    <row r="184" spans="1:12" x14ac:dyDescent="0.35">
      <c r="A184" s="38">
        <v>81</v>
      </c>
      <c r="B184" s="38" t="s">
        <v>5</v>
      </c>
      <c r="C184" s="38" t="s">
        <v>10</v>
      </c>
      <c r="D184" s="38">
        <v>91001</v>
      </c>
      <c r="E184" s="39">
        <v>200025888137</v>
      </c>
      <c r="F184" s="39" t="s">
        <v>15</v>
      </c>
      <c r="G184" s="39">
        <v>46</v>
      </c>
      <c r="H184" s="40">
        <v>45798.677743055552</v>
      </c>
      <c r="I184" s="38">
        <v>26</v>
      </c>
      <c r="J184" s="38">
        <v>2</v>
      </c>
      <c r="K184" s="38">
        <v>49</v>
      </c>
      <c r="L184" s="38">
        <v>0</v>
      </c>
    </row>
    <row r="185" spans="1:12" x14ac:dyDescent="0.35">
      <c r="A185" s="38">
        <v>96</v>
      </c>
      <c r="B185" s="38" t="s">
        <v>5</v>
      </c>
      <c r="C185" s="38" t="s">
        <v>10</v>
      </c>
      <c r="D185" s="38">
        <v>91001</v>
      </c>
      <c r="E185" s="39">
        <v>200025888717</v>
      </c>
      <c r="F185" s="39" t="s">
        <v>33</v>
      </c>
      <c r="G185" s="39">
        <v>48</v>
      </c>
      <c r="H185" s="40">
        <v>45798.774699074071</v>
      </c>
      <c r="I185" s="38">
        <v>1</v>
      </c>
      <c r="J185" s="38">
        <v>10</v>
      </c>
      <c r="K185" s="38">
        <v>64</v>
      </c>
      <c r="L185" s="38">
        <v>1</v>
      </c>
    </row>
    <row r="186" spans="1:12" x14ac:dyDescent="0.35">
      <c r="A186" s="38">
        <v>97</v>
      </c>
      <c r="B186" s="38" t="s">
        <v>5</v>
      </c>
      <c r="C186" s="38" t="s">
        <v>10</v>
      </c>
      <c r="D186" s="38">
        <v>91001</v>
      </c>
      <c r="E186" s="39">
        <v>200025888717</v>
      </c>
      <c r="F186" s="39" t="s">
        <v>33</v>
      </c>
      <c r="G186" s="39">
        <v>48</v>
      </c>
      <c r="H186" s="40">
        <v>45798.774722222224</v>
      </c>
      <c r="I186" s="38">
        <v>2</v>
      </c>
      <c r="J186" s="38">
        <v>10</v>
      </c>
      <c r="K186" s="38">
        <v>65</v>
      </c>
      <c r="L186" s="38">
        <v>0</v>
      </c>
    </row>
    <row r="187" spans="1:12" x14ac:dyDescent="0.35">
      <c r="A187" s="38">
        <v>117</v>
      </c>
      <c r="B187" s="38" t="s">
        <v>5</v>
      </c>
      <c r="C187" s="38" t="s">
        <v>10</v>
      </c>
      <c r="D187" s="38">
        <v>91001</v>
      </c>
      <c r="E187" s="39">
        <v>200025888717</v>
      </c>
      <c r="F187" s="39" t="s">
        <v>33</v>
      </c>
      <c r="G187" s="39">
        <v>48</v>
      </c>
      <c r="H187" s="40">
        <v>45798.870416666665</v>
      </c>
      <c r="I187" s="38">
        <v>3</v>
      </c>
      <c r="J187" s="38">
        <v>10</v>
      </c>
      <c r="K187" s="38">
        <v>85</v>
      </c>
      <c r="L187" s="38">
        <v>0</v>
      </c>
    </row>
    <row r="188" spans="1:12" x14ac:dyDescent="0.35">
      <c r="A188" s="38">
        <v>118</v>
      </c>
      <c r="B188" s="38" t="s">
        <v>5</v>
      </c>
      <c r="C188" s="38" t="s">
        <v>10</v>
      </c>
      <c r="D188" s="38">
        <v>91001</v>
      </c>
      <c r="E188" s="39">
        <v>200025888717</v>
      </c>
      <c r="F188" s="39" t="s">
        <v>33</v>
      </c>
      <c r="G188" s="39">
        <v>48</v>
      </c>
      <c r="H188" s="40">
        <v>45798.87054398148</v>
      </c>
      <c r="I188" s="38">
        <v>4</v>
      </c>
      <c r="J188" s="38">
        <v>10</v>
      </c>
      <c r="K188" s="38">
        <v>86</v>
      </c>
      <c r="L188" s="38">
        <v>0</v>
      </c>
    </row>
    <row r="189" spans="1:12" x14ac:dyDescent="0.35">
      <c r="A189" s="38">
        <v>150</v>
      </c>
      <c r="B189" s="38" t="s">
        <v>5</v>
      </c>
      <c r="C189" s="38" t="s">
        <v>10</v>
      </c>
      <c r="D189" s="38">
        <v>91001</v>
      </c>
      <c r="E189" s="39">
        <v>200025888717</v>
      </c>
      <c r="F189" s="39" t="s">
        <v>33</v>
      </c>
      <c r="G189" s="39">
        <v>48</v>
      </c>
      <c r="H189" s="40">
        <v>45799.182858796295</v>
      </c>
      <c r="I189" s="38">
        <v>5</v>
      </c>
      <c r="J189" s="38">
        <v>10</v>
      </c>
      <c r="K189" s="38">
        <v>118</v>
      </c>
      <c r="L189" s="38">
        <v>1</v>
      </c>
    </row>
    <row r="190" spans="1:12" x14ac:dyDescent="0.35">
      <c r="A190" s="38">
        <v>151</v>
      </c>
      <c r="B190" s="38" t="s">
        <v>5</v>
      </c>
      <c r="C190" s="38" t="s">
        <v>10</v>
      </c>
      <c r="D190" s="38">
        <v>91001</v>
      </c>
      <c r="E190" s="39">
        <v>200025888717</v>
      </c>
      <c r="F190" s="39" t="s">
        <v>33</v>
      </c>
      <c r="G190" s="39">
        <v>48</v>
      </c>
      <c r="H190" s="40">
        <v>45799.184999999998</v>
      </c>
      <c r="I190" s="38">
        <v>6</v>
      </c>
      <c r="J190" s="38">
        <v>10</v>
      </c>
      <c r="K190" s="38">
        <v>119</v>
      </c>
      <c r="L190" s="38">
        <v>195</v>
      </c>
    </row>
    <row r="191" spans="1:12" x14ac:dyDescent="0.35">
      <c r="A191" s="38">
        <v>154</v>
      </c>
      <c r="B191" s="38" t="s">
        <v>5</v>
      </c>
      <c r="C191" s="38" t="s">
        <v>10</v>
      </c>
      <c r="D191" s="38">
        <v>91001</v>
      </c>
      <c r="E191" s="39">
        <v>200025888717</v>
      </c>
      <c r="F191" s="39" t="s">
        <v>33</v>
      </c>
      <c r="G191" s="39">
        <v>48</v>
      </c>
      <c r="H191" s="40">
        <v>45799.208078703705</v>
      </c>
      <c r="I191" s="38">
        <v>7</v>
      </c>
      <c r="J191" s="38">
        <v>10</v>
      </c>
      <c r="K191" s="38">
        <v>122</v>
      </c>
      <c r="L191" s="38">
        <v>107</v>
      </c>
    </row>
    <row r="192" spans="1:12" x14ac:dyDescent="0.35">
      <c r="A192" s="38">
        <v>155</v>
      </c>
      <c r="B192" s="38" t="s">
        <v>5</v>
      </c>
      <c r="C192" s="38" t="s">
        <v>10</v>
      </c>
      <c r="D192" s="38">
        <v>91001</v>
      </c>
      <c r="E192" s="39">
        <v>200025888717</v>
      </c>
      <c r="F192" s="39" t="s">
        <v>33</v>
      </c>
      <c r="G192" s="39">
        <v>48</v>
      </c>
      <c r="H192" s="40">
        <v>45799.210069444445</v>
      </c>
      <c r="I192" s="38">
        <v>8</v>
      </c>
      <c r="J192" s="38">
        <v>10</v>
      </c>
      <c r="K192" s="38">
        <v>123</v>
      </c>
      <c r="L192" s="38">
        <v>1</v>
      </c>
    </row>
    <row r="193" spans="1:12" x14ac:dyDescent="0.35">
      <c r="A193" s="38">
        <v>156</v>
      </c>
      <c r="B193" s="38" t="s">
        <v>5</v>
      </c>
      <c r="C193" s="38" t="s">
        <v>10</v>
      </c>
      <c r="D193" s="38">
        <v>91001</v>
      </c>
      <c r="E193" s="39">
        <v>200025888717</v>
      </c>
      <c r="F193" s="39" t="s">
        <v>33</v>
      </c>
      <c r="G193" s="39">
        <v>48</v>
      </c>
      <c r="H193" s="40">
        <v>45799.210081018522</v>
      </c>
      <c r="I193" s="38">
        <v>9</v>
      </c>
      <c r="J193" s="38">
        <v>10</v>
      </c>
      <c r="K193" s="38">
        <v>124</v>
      </c>
      <c r="L193" s="38">
        <v>1</v>
      </c>
    </row>
    <row r="194" spans="1:12" x14ac:dyDescent="0.35">
      <c r="A194" s="38">
        <v>157</v>
      </c>
      <c r="B194" s="38" t="s">
        <v>5</v>
      </c>
      <c r="C194" s="38" t="s">
        <v>10</v>
      </c>
      <c r="D194" s="38">
        <v>91001</v>
      </c>
      <c r="E194" s="39">
        <v>200025888717</v>
      </c>
      <c r="F194" s="39" t="s">
        <v>33</v>
      </c>
      <c r="G194" s="39">
        <v>48</v>
      </c>
      <c r="H194" s="40">
        <v>45799.214212962965</v>
      </c>
      <c r="I194" s="38">
        <v>10</v>
      </c>
      <c r="J194" s="38">
        <v>10</v>
      </c>
      <c r="K194" s="38">
        <v>125</v>
      </c>
      <c r="L194" s="38">
        <v>1</v>
      </c>
    </row>
    <row r="195" spans="1:12" x14ac:dyDescent="0.35">
      <c r="A195" s="38">
        <v>158</v>
      </c>
      <c r="B195" s="38" t="s">
        <v>5</v>
      </c>
      <c r="C195" s="38" t="s">
        <v>10</v>
      </c>
      <c r="D195" s="38">
        <v>91001</v>
      </c>
      <c r="E195" s="39">
        <v>200025888717</v>
      </c>
      <c r="F195" s="39" t="s">
        <v>33</v>
      </c>
      <c r="G195" s="39">
        <v>48</v>
      </c>
      <c r="H195" s="40">
        <v>45799.215462962966</v>
      </c>
      <c r="I195" s="38">
        <v>11</v>
      </c>
      <c r="J195" s="38">
        <v>10</v>
      </c>
      <c r="K195" s="38">
        <v>126</v>
      </c>
      <c r="L195" s="38">
        <v>2</v>
      </c>
    </row>
    <row r="196" spans="1:12" x14ac:dyDescent="0.35">
      <c r="A196" s="38">
        <v>159</v>
      </c>
      <c r="B196" s="38" t="s">
        <v>5</v>
      </c>
      <c r="C196" s="38" t="s">
        <v>10</v>
      </c>
      <c r="D196" s="38">
        <v>91001</v>
      </c>
      <c r="E196" s="39">
        <v>200025888717</v>
      </c>
      <c r="F196" s="39" t="s">
        <v>33</v>
      </c>
      <c r="G196" s="39">
        <v>48</v>
      </c>
      <c r="H196" s="40">
        <v>45799.215601851851</v>
      </c>
      <c r="I196" s="38">
        <v>12</v>
      </c>
      <c r="J196" s="38">
        <v>10</v>
      </c>
      <c r="K196" s="38">
        <v>127</v>
      </c>
      <c r="L196" s="38">
        <v>1</v>
      </c>
    </row>
    <row r="197" spans="1:12" x14ac:dyDescent="0.35">
      <c r="A197" s="38">
        <v>160</v>
      </c>
      <c r="B197" s="38" t="s">
        <v>5</v>
      </c>
      <c r="C197" s="38" t="s">
        <v>10</v>
      </c>
      <c r="D197" s="38">
        <v>91001</v>
      </c>
      <c r="E197" s="39">
        <v>200025888717</v>
      </c>
      <c r="F197" s="39" t="s">
        <v>33</v>
      </c>
      <c r="G197" s="39">
        <v>48</v>
      </c>
      <c r="H197" s="40">
        <v>45799.215624999997</v>
      </c>
      <c r="I197" s="38">
        <v>13</v>
      </c>
      <c r="J197" s="38">
        <v>10</v>
      </c>
      <c r="K197" s="38">
        <v>128</v>
      </c>
      <c r="L197" s="38">
        <v>1</v>
      </c>
    </row>
    <row r="198" spans="1:12" x14ac:dyDescent="0.35">
      <c r="A198" s="38">
        <v>161</v>
      </c>
      <c r="B198" s="38" t="s">
        <v>5</v>
      </c>
      <c r="C198" s="38" t="s">
        <v>10</v>
      </c>
      <c r="D198" s="38">
        <v>91001</v>
      </c>
      <c r="E198" s="39">
        <v>200025888717</v>
      </c>
      <c r="F198" s="39" t="s">
        <v>33</v>
      </c>
      <c r="G198" s="39">
        <v>48</v>
      </c>
      <c r="H198" s="40">
        <v>45799.215775462966</v>
      </c>
      <c r="I198" s="38">
        <v>14</v>
      </c>
      <c r="J198" s="38">
        <v>10</v>
      </c>
      <c r="K198" s="38">
        <v>129</v>
      </c>
      <c r="L198" s="38">
        <v>291</v>
      </c>
    </row>
    <row r="199" spans="1:12" x14ac:dyDescent="0.35">
      <c r="A199" s="38">
        <v>162</v>
      </c>
      <c r="B199" s="38" t="s">
        <v>5</v>
      </c>
      <c r="C199" s="38" t="s">
        <v>10</v>
      </c>
      <c r="D199" s="38">
        <v>91001</v>
      </c>
      <c r="E199" s="39">
        <v>200025888717</v>
      </c>
      <c r="F199" s="39" t="s">
        <v>33</v>
      </c>
      <c r="G199" s="39">
        <v>48</v>
      </c>
      <c r="H199" s="40">
        <v>45799.219328703701</v>
      </c>
      <c r="I199" s="38">
        <v>15</v>
      </c>
      <c r="J199" s="38">
        <v>10</v>
      </c>
      <c r="K199" s="38">
        <v>130</v>
      </c>
      <c r="L199" s="38">
        <v>0</v>
      </c>
    </row>
    <row r="200" spans="1:12" x14ac:dyDescent="0.35">
      <c r="A200" s="38">
        <v>142</v>
      </c>
      <c r="B200" s="38" t="s">
        <v>5</v>
      </c>
      <c r="C200" s="38" t="s">
        <v>10</v>
      </c>
      <c r="D200" s="38">
        <v>91001</v>
      </c>
      <c r="E200" s="39">
        <v>200025888812</v>
      </c>
      <c r="F200" s="39" t="s">
        <v>37</v>
      </c>
      <c r="G200" s="39">
        <v>49</v>
      </c>
      <c r="H200" s="40">
        <v>45799.046331018515</v>
      </c>
      <c r="I200" s="38">
        <v>1</v>
      </c>
      <c r="J200" s="38">
        <v>17</v>
      </c>
      <c r="K200" s="38">
        <v>110</v>
      </c>
      <c r="L200" s="38">
        <v>0</v>
      </c>
    </row>
    <row r="201" spans="1:12" x14ac:dyDescent="0.35">
      <c r="A201" s="38">
        <v>143</v>
      </c>
      <c r="B201" s="38" t="s">
        <v>5</v>
      </c>
      <c r="C201" s="38" t="s">
        <v>10</v>
      </c>
      <c r="D201" s="38">
        <v>91001</v>
      </c>
      <c r="E201" s="39">
        <v>200025888812</v>
      </c>
      <c r="F201" s="39" t="s">
        <v>37</v>
      </c>
      <c r="G201" s="39">
        <v>49</v>
      </c>
      <c r="H201" s="40">
        <v>45799.046689814815</v>
      </c>
      <c r="I201" s="38">
        <v>2</v>
      </c>
      <c r="J201" s="38">
        <v>17</v>
      </c>
      <c r="K201" s="38">
        <v>111</v>
      </c>
      <c r="L201" s="38">
        <v>0</v>
      </c>
    </row>
    <row r="202" spans="1:12" x14ac:dyDescent="0.35">
      <c r="A202" s="38">
        <v>181</v>
      </c>
      <c r="B202" s="38" t="s">
        <v>5</v>
      </c>
      <c r="C202" s="38" t="s">
        <v>10</v>
      </c>
      <c r="D202" s="38">
        <v>91001</v>
      </c>
      <c r="E202" s="39">
        <v>200025888812</v>
      </c>
      <c r="F202" s="39" t="s">
        <v>37</v>
      </c>
      <c r="G202" s="39">
        <v>49</v>
      </c>
      <c r="H202" s="40">
        <v>45799.499143518522</v>
      </c>
      <c r="I202" s="38">
        <v>3</v>
      </c>
      <c r="J202" s="38">
        <v>17</v>
      </c>
      <c r="K202" s="38">
        <v>149</v>
      </c>
      <c r="L202" s="38">
        <v>1</v>
      </c>
    </row>
    <row r="203" spans="1:12" x14ac:dyDescent="0.35">
      <c r="A203" s="38">
        <v>182</v>
      </c>
      <c r="B203" s="38" t="s">
        <v>5</v>
      </c>
      <c r="C203" s="38" t="s">
        <v>10</v>
      </c>
      <c r="D203" s="38">
        <v>91001</v>
      </c>
      <c r="E203" s="39">
        <v>200025888812</v>
      </c>
      <c r="F203" s="39" t="s">
        <v>37</v>
      </c>
      <c r="G203" s="39">
        <v>49</v>
      </c>
      <c r="H203" s="40">
        <v>45799.499155092592</v>
      </c>
      <c r="I203" s="38">
        <v>4</v>
      </c>
      <c r="J203" s="38">
        <v>17</v>
      </c>
      <c r="K203" s="38">
        <v>150</v>
      </c>
      <c r="L203" s="38">
        <v>0</v>
      </c>
    </row>
    <row r="204" spans="1:12" x14ac:dyDescent="0.35">
      <c r="A204" s="38">
        <v>190</v>
      </c>
      <c r="B204" s="38" t="s">
        <v>5</v>
      </c>
      <c r="C204" s="38" t="s">
        <v>10</v>
      </c>
      <c r="D204" s="38">
        <v>91001</v>
      </c>
      <c r="E204" s="39">
        <v>200025888812</v>
      </c>
      <c r="F204" s="39" t="s">
        <v>37</v>
      </c>
      <c r="G204" s="39">
        <v>49</v>
      </c>
      <c r="H204" s="40">
        <v>45799.5783912037</v>
      </c>
      <c r="I204" s="38">
        <v>5</v>
      </c>
      <c r="J204" s="38">
        <v>17</v>
      </c>
      <c r="K204" s="38">
        <v>158</v>
      </c>
      <c r="L204" s="38">
        <v>1</v>
      </c>
    </row>
    <row r="205" spans="1:12" x14ac:dyDescent="0.35">
      <c r="A205" s="38">
        <v>191</v>
      </c>
      <c r="B205" s="38" t="s">
        <v>5</v>
      </c>
      <c r="C205" s="38" t="s">
        <v>10</v>
      </c>
      <c r="D205" s="38">
        <v>91001</v>
      </c>
      <c r="E205" s="39">
        <v>200025888812</v>
      </c>
      <c r="F205" s="39" t="s">
        <v>37</v>
      </c>
      <c r="G205" s="39">
        <v>49</v>
      </c>
      <c r="H205" s="40">
        <v>45799.578553240739</v>
      </c>
      <c r="I205" s="38">
        <v>6</v>
      </c>
      <c r="J205" s="38">
        <v>17</v>
      </c>
      <c r="K205" s="38">
        <v>159</v>
      </c>
      <c r="L205" s="38">
        <v>0</v>
      </c>
    </row>
    <row r="206" spans="1:12" x14ac:dyDescent="0.35">
      <c r="A206" s="38">
        <v>192</v>
      </c>
      <c r="B206" s="38" t="s">
        <v>5</v>
      </c>
      <c r="C206" s="38" t="s">
        <v>10</v>
      </c>
      <c r="D206" s="38">
        <v>91001</v>
      </c>
      <c r="E206" s="39">
        <v>200025888812</v>
      </c>
      <c r="F206" s="39" t="s">
        <v>37</v>
      </c>
      <c r="G206" s="39">
        <v>49</v>
      </c>
      <c r="H206" s="40">
        <v>45799.578726851854</v>
      </c>
      <c r="I206" s="38">
        <v>7</v>
      </c>
      <c r="J206" s="38">
        <v>17</v>
      </c>
      <c r="K206" s="38">
        <v>160</v>
      </c>
      <c r="L206" s="38">
        <v>0</v>
      </c>
    </row>
    <row r="207" spans="1:12" x14ac:dyDescent="0.35">
      <c r="A207" s="38">
        <v>193</v>
      </c>
      <c r="B207" s="38" t="s">
        <v>5</v>
      </c>
      <c r="C207" s="38" t="s">
        <v>10</v>
      </c>
      <c r="D207" s="38">
        <v>91001</v>
      </c>
      <c r="E207" s="39">
        <v>200025888812</v>
      </c>
      <c r="F207" s="39" t="s">
        <v>37</v>
      </c>
      <c r="G207" s="39">
        <v>49</v>
      </c>
      <c r="H207" s="40">
        <v>45799.578738425924</v>
      </c>
      <c r="I207" s="38">
        <v>8</v>
      </c>
      <c r="J207" s="38">
        <v>17</v>
      </c>
      <c r="K207" s="38">
        <v>161</v>
      </c>
      <c r="L207" s="38">
        <v>0</v>
      </c>
    </row>
    <row r="208" spans="1:12" x14ac:dyDescent="0.35">
      <c r="A208" s="38">
        <v>92</v>
      </c>
      <c r="B208" s="38" t="s">
        <v>5</v>
      </c>
      <c r="C208" s="38" t="s">
        <v>10</v>
      </c>
      <c r="D208" s="38">
        <v>91001</v>
      </c>
      <c r="E208" s="39">
        <v>200025888740</v>
      </c>
      <c r="F208" s="39" t="s">
        <v>34</v>
      </c>
      <c r="G208" s="39">
        <v>50</v>
      </c>
      <c r="H208" s="40">
        <v>45798.725243055553</v>
      </c>
      <c r="I208" s="38">
        <v>1</v>
      </c>
      <c r="J208" s="38">
        <v>9</v>
      </c>
      <c r="K208" s="38">
        <v>60</v>
      </c>
      <c r="L208" s="38">
        <v>0</v>
      </c>
    </row>
  </sheetData>
  <sortState ref="A2:L208">
    <sortCondition ref="G1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8"/>
  <sheetViews>
    <sheetView topLeftCell="D19" zoomScale="70" zoomScaleNormal="70" workbookViewId="0">
      <selection activeCell="AD15" sqref="AD15"/>
    </sheetView>
  </sheetViews>
  <sheetFormatPr defaultColWidth="10.90625" defaultRowHeight="14.5" x14ac:dyDescent="0.35"/>
  <cols>
    <col min="1" max="1" width="4.90625" style="38" customWidth="1"/>
    <col min="2" max="2" width="18.36328125" style="38" customWidth="1"/>
    <col min="3" max="4" width="9.453125" style="38" customWidth="1"/>
    <col min="5" max="5" width="15.54296875" style="39" customWidth="1"/>
    <col min="6" max="6" width="9.36328125" style="39" customWidth="1"/>
    <col min="7" max="7" width="7.08984375" style="39" customWidth="1"/>
    <col min="8" max="8" width="21.453125" style="40" customWidth="1"/>
    <col min="9" max="10" width="7.90625" style="38" customWidth="1"/>
    <col min="11" max="11" width="8.36328125" style="38" customWidth="1"/>
    <col min="12" max="12" width="8.54296875" style="38" customWidth="1"/>
    <col min="13" max="13" width="7.453125" style="38" customWidth="1"/>
  </cols>
  <sheetData>
    <row r="1" spans="1:13" ht="43.5" x14ac:dyDescent="0.35">
      <c r="A1" s="35" t="s">
        <v>0</v>
      </c>
      <c r="B1" s="35" t="s">
        <v>1</v>
      </c>
      <c r="C1" s="35" t="s">
        <v>9</v>
      </c>
      <c r="D1" s="35" t="s">
        <v>8</v>
      </c>
      <c r="E1" s="36" t="s">
        <v>2</v>
      </c>
      <c r="F1" s="36" t="s">
        <v>39</v>
      </c>
      <c r="G1" s="36" t="s">
        <v>40</v>
      </c>
      <c r="H1" s="37" t="s">
        <v>3</v>
      </c>
      <c r="I1" s="35" t="s">
        <v>42</v>
      </c>
      <c r="J1" s="35" t="s">
        <v>42</v>
      </c>
      <c r="K1" s="35" t="s">
        <v>41</v>
      </c>
      <c r="L1" s="35" t="s">
        <v>13</v>
      </c>
      <c r="M1" s="35" t="s">
        <v>4</v>
      </c>
    </row>
    <row r="2" spans="1:13" ht="14.4" x14ac:dyDescent="0.3">
      <c r="A2" s="41">
        <v>13</v>
      </c>
      <c r="B2" s="41" t="s">
        <v>6</v>
      </c>
      <c r="C2" s="38" t="s">
        <v>11</v>
      </c>
      <c r="D2" s="41">
        <v>91807</v>
      </c>
      <c r="E2" s="39">
        <v>200025888982</v>
      </c>
      <c r="F2" s="39" t="s">
        <v>18</v>
      </c>
      <c r="G2" s="39">
        <v>6</v>
      </c>
      <c r="H2" s="40">
        <v>45797.813101851854</v>
      </c>
      <c r="I2" s="38">
        <v>1</v>
      </c>
      <c r="J2" s="38">
        <v>1</v>
      </c>
      <c r="K2" s="38">
        <v>1</v>
      </c>
      <c r="L2" s="41">
        <v>1</v>
      </c>
      <c r="M2" s="41">
        <v>31</v>
      </c>
    </row>
    <row r="3" spans="1:13" ht="14.4" x14ac:dyDescent="0.3">
      <c r="A3" s="41">
        <v>94</v>
      </c>
      <c r="B3" s="38" t="s">
        <v>5</v>
      </c>
      <c r="C3" s="38" t="s">
        <v>10</v>
      </c>
      <c r="D3" s="38">
        <v>91001</v>
      </c>
      <c r="E3" s="39">
        <v>200025888982</v>
      </c>
      <c r="F3" s="39" t="s">
        <v>18</v>
      </c>
      <c r="G3" s="39">
        <v>6</v>
      </c>
      <c r="H3" s="40">
        <v>45798.750671296293</v>
      </c>
      <c r="I3" s="38">
        <v>1</v>
      </c>
      <c r="J3" s="38">
        <v>1</v>
      </c>
      <c r="K3" s="38">
        <v>2</v>
      </c>
      <c r="L3" s="38">
        <v>62</v>
      </c>
      <c r="M3" s="38">
        <v>0</v>
      </c>
    </row>
    <row r="4" spans="1:13" ht="14.4" x14ac:dyDescent="0.3">
      <c r="A4" s="41">
        <v>95</v>
      </c>
      <c r="B4" s="38" t="s">
        <v>5</v>
      </c>
      <c r="C4" s="38" t="s">
        <v>10</v>
      </c>
      <c r="D4" s="38">
        <v>91001</v>
      </c>
      <c r="E4" s="39">
        <v>200025888982</v>
      </c>
      <c r="F4" s="39" t="s">
        <v>18</v>
      </c>
      <c r="G4" s="39">
        <v>6</v>
      </c>
      <c r="H4" s="40">
        <v>45798.75068287037</v>
      </c>
      <c r="I4" s="38">
        <v>1</v>
      </c>
      <c r="J4" s="38">
        <v>1</v>
      </c>
      <c r="K4" s="38">
        <v>3</v>
      </c>
      <c r="L4" s="38">
        <v>63</v>
      </c>
      <c r="M4" s="38">
        <v>0</v>
      </c>
    </row>
    <row r="5" spans="1:13" ht="14.4" x14ac:dyDescent="0.3">
      <c r="A5" s="41">
        <v>103</v>
      </c>
      <c r="B5" s="38" t="s">
        <v>5</v>
      </c>
      <c r="C5" s="38" t="s">
        <v>10</v>
      </c>
      <c r="D5" s="38">
        <v>91001</v>
      </c>
      <c r="E5" s="39">
        <v>200025888982</v>
      </c>
      <c r="F5" s="39" t="s">
        <v>18</v>
      </c>
      <c r="G5" s="39">
        <v>6</v>
      </c>
      <c r="H5" s="40">
        <v>45798.807500000003</v>
      </c>
      <c r="I5" s="38">
        <v>1</v>
      </c>
      <c r="J5" s="38">
        <v>1</v>
      </c>
      <c r="K5" s="38">
        <v>4</v>
      </c>
      <c r="L5" s="38">
        <v>71</v>
      </c>
      <c r="M5" s="38">
        <v>2</v>
      </c>
    </row>
    <row r="6" spans="1:13" ht="14.4" x14ac:dyDescent="0.3">
      <c r="A6" s="41">
        <v>104</v>
      </c>
      <c r="B6" s="38" t="s">
        <v>5</v>
      </c>
      <c r="C6" s="38" t="s">
        <v>10</v>
      </c>
      <c r="D6" s="38">
        <v>91001</v>
      </c>
      <c r="E6" s="39">
        <v>200025888982</v>
      </c>
      <c r="F6" s="39" t="s">
        <v>18</v>
      </c>
      <c r="G6" s="39">
        <v>6</v>
      </c>
      <c r="H6" s="40">
        <v>45798.807650462964</v>
      </c>
      <c r="I6" s="38">
        <v>1</v>
      </c>
      <c r="J6" s="38">
        <v>1</v>
      </c>
      <c r="K6" s="38">
        <v>5</v>
      </c>
      <c r="L6" s="38">
        <v>72</v>
      </c>
      <c r="M6" s="38">
        <v>2</v>
      </c>
    </row>
    <row r="7" spans="1:13" ht="14.4" x14ac:dyDescent="0.3">
      <c r="A7" s="41">
        <v>226</v>
      </c>
      <c r="B7" s="41" t="s">
        <v>5</v>
      </c>
      <c r="C7" s="41" t="s">
        <v>10</v>
      </c>
      <c r="D7" s="41">
        <v>91001</v>
      </c>
      <c r="E7" s="39">
        <v>200025888982</v>
      </c>
      <c r="F7" s="39" t="s">
        <v>18</v>
      </c>
      <c r="G7" s="39">
        <v>6</v>
      </c>
      <c r="H7" s="40">
        <v>45801.237384259257</v>
      </c>
      <c r="I7" s="38">
        <v>1</v>
      </c>
      <c r="J7" s="38">
        <v>1</v>
      </c>
      <c r="K7" s="38">
        <v>6</v>
      </c>
      <c r="L7" s="38">
        <v>194</v>
      </c>
      <c r="M7" s="41">
        <v>0</v>
      </c>
    </row>
    <row r="8" spans="1:13" ht="14.4" x14ac:dyDescent="0.3">
      <c r="A8" s="41">
        <v>227</v>
      </c>
      <c r="B8" s="41" t="s">
        <v>5</v>
      </c>
      <c r="C8" s="41" t="s">
        <v>10</v>
      </c>
      <c r="D8" s="41">
        <v>91001</v>
      </c>
      <c r="E8" s="39">
        <v>200025888982</v>
      </c>
      <c r="F8" s="39" t="s">
        <v>18</v>
      </c>
      <c r="G8" s="39">
        <v>6</v>
      </c>
      <c r="H8" s="40">
        <v>45801.237523148149</v>
      </c>
      <c r="I8" s="38">
        <v>1</v>
      </c>
      <c r="J8" s="38">
        <v>1</v>
      </c>
      <c r="K8" s="38">
        <v>7</v>
      </c>
      <c r="L8" s="38">
        <v>195</v>
      </c>
      <c r="M8" s="41">
        <v>1</v>
      </c>
    </row>
    <row r="9" spans="1:13" ht="14.4" x14ac:dyDescent="0.3">
      <c r="A9" s="41">
        <v>228</v>
      </c>
      <c r="B9" s="41" t="s">
        <v>5</v>
      </c>
      <c r="C9" s="41" t="s">
        <v>10</v>
      </c>
      <c r="D9" s="41">
        <v>91001</v>
      </c>
      <c r="E9" s="39">
        <v>200025888982</v>
      </c>
      <c r="F9" s="39" t="s">
        <v>18</v>
      </c>
      <c r="G9" s="39">
        <v>6</v>
      </c>
      <c r="H9" s="40">
        <v>45801.237534722219</v>
      </c>
      <c r="I9" s="38">
        <v>1</v>
      </c>
      <c r="J9" s="38">
        <v>1</v>
      </c>
      <c r="K9" s="38">
        <v>8</v>
      </c>
      <c r="L9" s="38">
        <v>196</v>
      </c>
      <c r="M9" s="41">
        <v>1</v>
      </c>
    </row>
    <row r="10" spans="1:13" ht="14.4" x14ac:dyDescent="0.3">
      <c r="A10" s="41">
        <v>229</v>
      </c>
      <c r="B10" s="41" t="s">
        <v>5</v>
      </c>
      <c r="C10" s="41" t="s">
        <v>10</v>
      </c>
      <c r="D10" s="41">
        <v>91001</v>
      </c>
      <c r="E10" s="39">
        <v>200025888982</v>
      </c>
      <c r="F10" s="39" t="s">
        <v>18</v>
      </c>
      <c r="G10" s="39">
        <v>6</v>
      </c>
      <c r="H10" s="40">
        <v>45801.239236111112</v>
      </c>
      <c r="I10" s="38">
        <v>1</v>
      </c>
      <c r="J10" s="38">
        <v>1</v>
      </c>
      <c r="K10" s="38">
        <v>9</v>
      </c>
      <c r="L10" s="38">
        <v>197</v>
      </c>
      <c r="M10" s="41">
        <v>0</v>
      </c>
    </row>
    <row r="11" spans="1:13" ht="14.4" x14ac:dyDescent="0.3">
      <c r="A11" s="41">
        <v>230</v>
      </c>
      <c r="B11" s="41" t="s">
        <v>5</v>
      </c>
      <c r="C11" s="41" t="s">
        <v>10</v>
      </c>
      <c r="D11" s="41">
        <v>91001</v>
      </c>
      <c r="E11" s="39">
        <v>200025888982</v>
      </c>
      <c r="F11" s="39" t="s">
        <v>18</v>
      </c>
      <c r="G11" s="39">
        <v>6</v>
      </c>
      <c r="H11" s="40">
        <v>45801.31391203704</v>
      </c>
      <c r="I11" s="38">
        <v>1</v>
      </c>
      <c r="J11" s="38">
        <v>1</v>
      </c>
      <c r="K11" s="38">
        <v>10</v>
      </c>
      <c r="L11" s="38">
        <v>198</v>
      </c>
      <c r="M11" s="41">
        <v>1</v>
      </c>
    </row>
    <row r="12" spans="1:13" ht="14.4" x14ac:dyDescent="0.3">
      <c r="A12" s="38">
        <v>28</v>
      </c>
      <c r="B12" s="41" t="s">
        <v>7</v>
      </c>
      <c r="C12" s="38" t="s">
        <v>12</v>
      </c>
      <c r="D12" s="42">
        <v>93202</v>
      </c>
      <c r="E12" s="39">
        <v>200025888137</v>
      </c>
      <c r="F12" s="39" t="s">
        <v>15</v>
      </c>
      <c r="G12" s="39">
        <v>46</v>
      </c>
      <c r="H12" s="40">
        <v>45797.843229166669</v>
      </c>
      <c r="I12" s="38">
        <v>2</v>
      </c>
      <c r="J12" s="38">
        <v>2</v>
      </c>
      <c r="K12" s="38">
        <v>1</v>
      </c>
      <c r="L12" s="41">
        <v>1</v>
      </c>
      <c r="M12" s="41">
        <v>47</v>
      </c>
    </row>
    <row r="13" spans="1:13" ht="14.4" x14ac:dyDescent="0.3">
      <c r="A13" s="38">
        <v>48</v>
      </c>
      <c r="B13" s="38" t="s">
        <v>5</v>
      </c>
      <c r="C13" s="38" t="s">
        <v>10</v>
      </c>
      <c r="D13" s="38">
        <v>91001</v>
      </c>
      <c r="E13" s="39">
        <v>200025888137</v>
      </c>
      <c r="F13" s="39" t="s">
        <v>15</v>
      </c>
      <c r="G13" s="39">
        <v>46</v>
      </c>
      <c r="H13" s="40">
        <v>45798.511724537035</v>
      </c>
      <c r="I13" s="38">
        <v>2</v>
      </c>
      <c r="J13" s="38">
        <v>2</v>
      </c>
      <c r="K13" s="38">
        <v>2</v>
      </c>
      <c r="L13" s="38">
        <v>16</v>
      </c>
      <c r="M13" s="38">
        <v>2</v>
      </c>
    </row>
    <row r="14" spans="1:13" ht="14.4" x14ac:dyDescent="0.3">
      <c r="A14" s="38">
        <v>49</v>
      </c>
      <c r="B14" s="38" t="s">
        <v>5</v>
      </c>
      <c r="C14" s="38" t="s">
        <v>10</v>
      </c>
      <c r="D14" s="38">
        <v>91001</v>
      </c>
      <c r="E14" s="39">
        <v>200025888137</v>
      </c>
      <c r="F14" s="39" t="s">
        <v>15</v>
      </c>
      <c r="G14" s="39">
        <v>46</v>
      </c>
      <c r="H14" s="40">
        <v>45798.511944444443</v>
      </c>
      <c r="I14" s="38">
        <v>2</v>
      </c>
      <c r="J14" s="38">
        <v>2</v>
      </c>
      <c r="K14" s="38">
        <v>3</v>
      </c>
      <c r="L14" s="38">
        <v>17</v>
      </c>
      <c r="M14" s="38">
        <v>3</v>
      </c>
    </row>
    <row r="15" spans="1:13" ht="14.4" x14ac:dyDescent="0.3">
      <c r="A15" s="38">
        <v>50</v>
      </c>
      <c r="B15" s="38" t="s">
        <v>5</v>
      </c>
      <c r="C15" s="38" t="s">
        <v>10</v>
      </c>
      <c r="D15" s="38">
        <v>91001</v>
      </c>
      <c r="E15" s="39">
        <v>200025888137</v>
      </c>
      <c r="F15" s="39" t="s">
        <v>15</v>
      </c>
      <c r="G15" s="39">
        <v>46</v>
      </c>
      <c r="H15" s="40">
        <v>45798.553657407407</v>
      </c>
      <c r="I15" s="38">
        <v>2</v>
      </c>
      <c r="J15" s="38">
        <v>2</v>
      </c>
      <c r="K15" s="38">
        <v>4</v>
      </c>
      <c r="L15" s="38">
        <v>18</v>
      </c>
      <c r="M15" s="38">
        <v>0</v>
      </c>
    </row>
    <row r="16" spans="1:13" ht="14.4" x14ac:dyDescent="0.3">
      <c r="A16" s="38">
        <v>51</v>
      </c>
      <c r="B16" s="38" t="s">
        <v>5</v>
      </c>
      <c r="C16" s="38" t="s">
        <v>10</v>
      </c>
      <c r="D16" s="38">
        <v>91001</v>
      </c>
      <c r="E16" s="39">
        <v>200025888137</v>
      </c>
      <c r="F16" s="39" t="s">
        <v>15</v>
      </c>
      <c r="G16" s="39">
        <v>46</v>
      </c>
      <c r="H16" s="40">
        <v>45798.553668981483</v>
      </c>
      <c r="I16" s="38">
        <v>2</v>
      </c>
      <c r="J16" s="38">
        <v>2</v>
      </c>
      <c r="K16" s="38">
        <v>5</v>
      </c>
      <c r="L16" s="38">
        <v>19</v>
      </c>
      <c r="M16" s="38">
        <v>0</v>
      </c>
    </row>
    <row r="17" spans="1:13" ht="14.4" x14ac:dyDescent="0.3">
      <c r="A17" s="38">
        <v>52</v>
      </c>
      <c r="B17" s="38" t="s">
        <v>5</v>
      </c>
      <c r="C17" s="38" t="s">
        <v>10</v>
      </c>
      <c r="D17" s="38">
        <v>91001</v>
      </c>
      <c r="E17" s="39">
        <v>200025888137</v>
      </c>
      <c r="F17" s="39" t="s">
        <v>15</v>
      </c>
      <c r="G17" s="39">
        <v>46</v>
      </c>
      <c r="H17" s="40">
        <v>45798.55369212963</v>
      </c>
      <c r="I17" s="38">
        <v>2</v>
      </c>
      <c r="J17" s="38">
        <v>2</v>
      </c>
      <c r="K17" s="38">
        <v>6</v>
      </c>
      <c r="L17" s="38">
        <v>20</v>
      </c>
      <c r="M17" s="38">
        <v>0</v>
      </c>
    </row>
    <row r="18" spans="1:13" ht="14.4" x14ac:dyDescent="0.3">
      <c r="A18" s="38">
        <v>53</v>
      </c>
      <c r="B18" s="38" t="s">
        <v>5</v>
      </c>
      <c r="C18" s="38" t="s">
        <v>10</v>
      </c>
      <c r="D18" s="38">
        <v>91001</v>
      </c>
      <c r="E18" s="39">
        <v>200025888137</v>
      </c>
      <c r="F18" s="39" t="s">
        <v>15</v>
      </c>
      <c r="G18" s="39">
        <v>46</v>
      </c>
      <c r="H18" s="40">
        <v>45798.589317129627</v>
      </c>
      <c r="I18" s="38">
        <v>2</v>
      </c>
      <c r="J18" s="38">
        <v>2</v>
      </c>
      <c r="K18" s="38">
        <v>7</v>
      </c>
      <c r="L18" s="38">
        <v>21</v>
      </c>
      <c r="M18" s="38">
        <v>1</v>
      </c>
    </row>
    <row r="19" spans="1:13" ht="14.4" x14ac:dyDescent="0.3">
      <c r="A19" s="38">
        <v>54</v>
      </c>
      <c r="B19" s="38" t="s">
        <v>5</v>
      </c>
      <c r="C19" s="38" t="s">
        <v>10</v>
      </c>
      <c r="D19" s="38">
        <v>91001</v>
      </c>
      <c r="E19" s="39">
        <v>200025888137</v>
      </c>
      <c r="F19" s="39" t="s">
        <v>15</v>
      </c>
      <c r="G19" s="39">
        <v>46</v>
      </c>
      <c r="H19" s="40">
        <v>45798.589328703703</v>
      </c>
      <c r="I19" s="38">
        <v>2</v>
      </c>
      <c r="J19" s="38">
        <v>2</v>
      </c>
      <c r="K19" s="38">
        <v>8</v>
      </c>
      <c r="L19" s="38">
        <v>22</v>
      </c>
      <c r="M19" s="38">
        <v>1</v>
      </c>
    </row>
    <row r="20" spans="1:13" ht="14.4" x14ac:dyDescent="0.3">
      <c r="A20" s="38">
        <v>55</v>
      </c>
      <c r="B20" s="38" t="s">
        <v>5</v>
      </c>
      <c r="C20" s="38" t="s">
        <v>10</v>
      </c>
      <c r="D20" s="38">
        <v>91001</v>
      </c>
      <c r="E20" s="39">
        <v>200025888137</v>
      </c>
      <c r="F20" s="39" t="s">
        <v>15</v>
      </c>
      <c r="G20" s="39">
        <v>46</v>
      </c>
      <c r="H20" s="40">
        <v>45798.60359953704</v>
      </c>
      <c r="I20" s="38">
        <v>2</v>
      </c>
      <c r="J20" s="38">
        <v>2</v>
      </c>
      <c r="K20" s="38">
        <v>9</v>
      </c>
      <c r="L20" s="38">
        <v>23</v>
      </c>
      <c r="M20" s="38">
        <v>1</v>
      </c>
    </row>
    <row r="21" spans="1:13" ht="14.4" x14ac:dyDescent="0.3">
      <c r="A21" s="38">
        <v>56</v>
      </c>
      <c r="B21" s="38" t="s">
        <v>5</v>
      </c>
      <c r="C21" s="38" t="s">
        <v>10</v>
      </c>
      <c r="D21" s="38">
        <v>91001</v>
      </c>
      <c r="E21" s="39">
        <v>200025888137</v>
      </c>
      <c r="F21" s="39" t="s">
        <v>15</v>
      </c>
      <c r="G21" s="39">
        <v>46</v>
      </c>
      <c r="H21" s="40">
        <v>45798.60361111111</v>
      </c>
      <c r="I21" s="38">
        <v>2</v>
      </c>
      <c r="J21" s="38">
        <v>2</v>
      </c>
      <c r="K21" s="38">
        <v>10</v>
      </c>
      <c r="L21" s="38">
        <v>24</v>
      </c>
      <c r="M21" s="38">
        <v>1</v>
      </c>
    </row>
    <row r="22" spans="1:13" ht="14.4" x14ac:dyDescent="0.3">
      <c r="A22" s="38">
        <v>57</v>
      </c>
      <c r="B22" s="38" t="s">
        <v>5</v>
      </c>
      <c r="C22" s="38" t="s">
        <v>10</v>
      </c>
      <c r="D22" s="38">
        <v>91001</v>
      </c>
      <c r="E22" s="39">
        <v>200025888137</v>
      </c>
      <c r="F22" s="39" t="s">
        <v>15</v>
      </c>
      <c r="G22" s="39">
        <v>46</v>
      </c>
      <c r="H22" s="40">
        <v>45798.603773148148</v>
      </c>
      <c r="I22" s="38">
        <v>2</v>
      </c>
      <c r="J22" s="38">
        <v>2</v>
      </c>
      <c r="K22" s="38">
        <v>11</v>
      </c>
      <c r="L22" s="38">
        <v>25</v>
      </c>
      <c r="M22" s="38">
        <v>1</v>
      </c>
    </row>
    <row r="23" spans="1:13" ht="14.4" x14ac:dyDescent="0.3">
      <c r="A23" s="38">
        <v>58</v>
      </c>
      <c r="B23" s="38" t="s">
        <v>5</v>
      </c>
      <c r="C23" s="38" t="s">
        <v>10</v>
      </c>
      <c r="D23" s="38">
        <v>91001</v>
      </c>
      <c r="E23" s="39">
        <v>200025888137</v>
      </c>
      <c r="F23" s="39" t="s">
        <v>15</v>
      </c>
      <c r="G23" s="39">
        <v>46</v>
      </c>
      <c r="H23" s="40">
        <v>45798.604270833333</v>
      </c>
      <c r="I23" s="38">
        <v>2</v>
      </c>
      <c r="J23" s="38">
        <v>2</v>
      </c>
      <c r="K23" s="38">
        <v>12</v>
      </c>
      <c r="L23" s="38">
        <v>26</v>
      </c>
      <c r="M23" s="38">
        <v>0</v>
      </c>
    </row>
    <row r="24" spans="1:13" ht="14.4" x14ac:dyDescent="0.3">
      <c r="A24" s="38">
        <v>59</v>
      </c>
      <c r="B24" s="38" t="s">
        <v>5</v>
      </c>
      <c r="C24" s="38" t="s">
        <v>10</v>
      </c>
      <c r="D24" s="38">
        <v>91001</v>
      </c>
      <c r="E24" s="39">
        <v>200025888137</v>
      </c>
      <c r="F24" s="39" t="s">
        <v>15</v>
      </c>
      <c r="G24" s="39">
        <v>46</v>
      </c>
      <c r="H24" s="40">
        <v>45798.604409722226</v>
      </c>
      <c r="I24" s="38">
        <v>2</v>
      </c>
      <c r="J24" s="38">
        <v>2</v>
      </c>
      <c r="K24" s="38">
        <v>13</v>
      </c>
      <c r="L24" s="38">
        <v>27</v>
      </c>
      <c r="M24" s="38">
        <v>0</v>
      </c>
    </row>
    <row r="25" spans="1:13" ht="14.4" x14ac:dyDescent="0.3">
      <c r="A25" s="38">
        <v>60</v>
      </c>
      <c r="B25" s="38" t="s">
        <v>5</v>
      </c>
      <c r="C25" s="38" t="s">
        <v>10</v>
      </c>
      <c r="D25" s="38">
        <v>91001</v>
      </c>
      <c r="E25" s="39">
        <v>200025888137</v>
      </c>
      <c r="F25" s="39" t="s">
        <v>15</v>
      </c>
      <c r="G25" s="39">
        <v>46</v>
      </c>
      <c r="H25" s="40">
        <v>45798.604421296295</v>
      </c>
      <c r="I25" s="38">
        <v>2</v>
      </c>
      <c r="J25" s="38">
        <v>2</v>
      </c>
      <c r="K25" s="38">
        <v>14</v>
      </c>
      <c r="L25" s="38">
        <v>28</v>
      </c>
      <c r="M25" s="38">
        <v>1</v>
      </c>
    </row>
    <row r="26" spans="1:13" x14ac:dyDescent="0.35">
      <c r="A26" s="38">
        <v>61</v>
      </c>
      <c r="B26" s="38" t="s">
        <v>5</v>
      </c>
      <c r="C26" s="38" t="s">
        <v>10</v>
      </c>
      <c r="D26" s="38">
        <v>91001</v>
      </c>
      <c r="E26" s="39">
        <v>200025888137</v>
      </c>
      <c r="F26" s="39" t="s">
        <v>15</v>
      </c>
      <c r="G26" s="39">
        <v>46</v>
      </c>
      <c r="H26" s="40">
        <v>45798.605509259258</v>
      </c>
      <c r="I26" s="38">
        <v>2</v>
      </c>
      <c r="J26" s="38">
        <v>2</v>
      </c>
      <c r="K26" s="38">
        <v>15</v>
      </c>
      <c r="L26" s="38">
        <v>29</v>
      </c>
      <c r="M26" s="38">
        <v>1</v>
      </c>
    </row>
    <row r="27" spans="1:13" x14ac:dyDescent="0.35">
      <c r="A27" s="38">
        <v>62</v>
      </c>
      <c r="B27" s="38" t="s">
        <v>5</v>
      </c>
      <c r="C27" s="38" t="s">
        <v>10</v>
      </c>
      <c r="D27" s="38">
        <v>91001</v>
      </c>
      <c r="E27" s="39">
        <v>200025888137</v>
      </c>
      <c r="F27" s="39" t="s">
        <v>15</v>
      </c>
      <c r="G27" s="39">
        <v>46</v>
      </c>
      <c r="H27" s="40">
        <v>45798.605636574073</v>
      </c>
      <c r="I27" s="38">
        <v>2</v>
      </c>
      <c r="J27" s="38">
        <v>2</v>
      </c>
      <c r="K27" s="38">
        <v>16</v>
      </c>
      <c r="L27" s="38">
        <v>30</v>
      </c>
      <c r="M27" s="38">
        <v>0</v>
      </c>
    </row>
    <row r="28" spans="1:13" x14ac:dyDescent="0.35">
      <c r="A28" s="38">
        <v>63</v>
      </c>
      <c r="B28" s="38" t="s">
        <v>5</v>
      </c>
      <c r="C28" s="38" t="s">
        <v>10</v>
      </c>
      <c r="D28" s="38">
        <v>91001</v>
      </c>
      <c r="E28" s="39">
        <v>200025888137</v>
      </c>
      <c r="F28" s="39" t="s">
        <v>15</v>
      </c>
      <c r="G28" s="39">
        <v>46</v>
      </c>
      <c r="H28" s="40">
        <v>45798.60564814815</v>
      </c>
      <c r="I28" s="38">
        <v>2</v>
      </c>
      <c r="J28" s="38">
        <v>2</v>
      </c>
      <c r="K28" s="38">
        <v>17</v>
      </c>
      <c r="L28" s="38">
        <v>31</v>
      </c>
      <c r="M28" s="38">
        <v>12</v>
      </c>
    </row>
    <row r="29" spans="1:13" x14ac:dyDescent="0.35">
      <c r="A29" s="38">
        <v>64</v>
      </c>
      <c r="B29" s="38" t="s">
        <v>5</v>
      </c>
      <c r="C29" s="38" t="s">
        <v>10</v>
      </c>
      <c r="D29" s="38">
        <v>91001</v>
      </c>
      <c r="E29" s="39">
        <v>200025888137</v>
      </c>
      <c r="F29" s="39" t="s">
        <v>15</v>
      </c>
      <c r="G29" s="39">
        <v>46</v>
      </c>
      <c r="H29" s="40">
        <v>45798.606053240743</v>
      </c>
      <c r="I29" s="38">
        <v>2</v>
      </c>
      <c r="J29" s="38">
        <v>2</v>
      </c>
      <c r="K29" s="38">
        <v>18</v>
      </c>
      <c r="L29" s="38">
        <v>32</v>
      </c>
      <c r="M29" s="38">
        <v>1</v>
      </c>
    </row>
    <row r="30" spans="1:13" x14ac:dyDescent="0.35">
      <c r="A30" s="38">
        <v>74</v>
      </c>
      <c r="B30" s="38" t="s">
        <v>5</v>
      </c>
      <c r="C30" s="38" t="s">
        <v>10</v>
      </c>
      <c r="D30" s="38">
        <v>91001</v>
      </c>
      <c r="E30" s="39">
        <v>200025888137</v>
      </c>
      <c r="F30" s="39" t="s">
        <v>15</v>
      </c>
      <c r="G30" s="39">
        <v>46</v>
      </c>
      <c r="H30" s="40">
        <v>45798.675671296296</v>
      </c>
      <c r="I30" s="38">
        <v>2</v>
      </c>
      <c r="J30" s="38">
        <v>2</v>
      </c>
      <c r="K30" s="38">
        <v>19</v>
      </c>
      <c r="L30" s="38">
        <v>42</v>
      </c>
      <c r="M30" s="38">
        <v>1</v>
      </c>
    </row>
    <row r="31" spans="1:13" x14ac:dyDescent="0.35">
      <c r="A31" s="38">
        <v>75</v>
      </c>
      <c r="B31" s="38" t="s">
        <v>5</v>
      </c>
      <c r="C31" s="38" t="s">
        <v>10</v>
      </c>
      <c r="D31" s="38">
        <v>91001</v>
      </c>
      <c r="E31" s="39">
        <v>200025888137</v>
      </c>
      <c r="F31" s="39" t="s">
        <v>15</v>
      </c>
      <c r="G31" s="39">
        <v>46</v>
      </c>
      <c r="H31" s="40">
        <v>45798.675682870373</v>
      </c>
      <c r="I31" s="38">
        <v>2</v>
      </c>
      <c r="J31" s="38">
        <v>2</v>
      </c>
      <c r="K31" s="38">
        <v>20</v>
      </c>
      <c r="L31" s="38">
        <v>43</v>
      </c>
      <c r="M31" s="38">
        <v>0</v>
      </c>
    </row>
    <row r="32" spans="1:13" x14ac:dyDescent="0.35">
      <c r="A32" s="38">
        <v>76</v>
      </c>
      <c r="B32" s="38" t="s">
        <v>5</v>
      </c>
      <c r="C32" s="38" t="s">
        <v>10</v>
      </c>
      <c r="D32" s="38">
        <v>91001</v>
      </c>
      <c r="E32" s="39">
        <v>200025888137</v>
      </c>
      <c r="F32" s="39" t="s">
        <v>15</v>
      </c>
      <c r="G32" s="39">
        <v>46</v>
      </c>
      <c r="H32" s="40">
        <v>45798.675682870373</v>
      </c>
      <c r="I32" s="38">
        <v>2</v>
      </c>
      <c r="J32" s="38">
        <v>2</v>
      </c>
      <c r="K32" s="38">
        <v>21</v>
      </c>
      <c r="L32" s="38">
        <v>44</v>
      </c>
      <c r="M32" s="38">
        <v>1</v>
      </c>
    </row>
    <row r="33" spans="1:13" x14ac:dyDescent="0.35">
      <c r="A33" s="38">
        <v>77</v>
      </c>
      <c r="B33" s="38" t="s">
        <v>5</v>
      </c>
      <c r="C33" s="38" t="s">
        <v>10</v>
      </c>
      <c r="D33" s="38">
        <v>91001</v>
      </c>
      <c r="E33" s="39">
        <v>200025888137</v>
      </c>
      <c r="F33" s="39" t="s">
        <v>15</v>
      </c>
      <c r="G33" s="39">
        <v>46</v>
      </c>
      <c r="H33" s="40">
        <v>45798.676307870373</v>
      </c>
      <c r="I33" s="38">
        <v>2</v>
      </c>
      <c r="J33" s="38">
        <v>2</v>
      </c>
      <c r="K33" s="38">
        <v>22</v>
      </c>
      <c r="L33" s="38">
        <v>45</v>
      </c>
      <c r="M33" s="38">
        <v>13</v>
      </c>
    </row>
    <row r="34" spans="1:13" x14ac:dyDescent="0.35">
      <c r="A34" s="38">
        <v>78</v>
      </c>
      <c r="B34" s="38" t="s">
        <v>5</v>
      </c>
      <c r="C34" s="38" t="s">
        <v>10</v>
      </c>
      <c r="D34" s="38">
        <v>91001</v>
      </c>
      <c r="E34" s="39">
        <v>200025888137</v>
      </c>
      <c r="F34" s="39" t="s">
        <v>15</v>
      </c>
      <c r="G34" s="39">
        <v>46</v>
      </c>
      <c r="H34" s="40">
        <v>45798.676979166667</v>
      </c>
      <c r="I34" s="38">
        <v>2</v>
      </c>
      <c r="J34" s="38">
        <v>2</v>
      </c>
      <c r="K34" s="38">
        <v>23</v>
      </c>
      <c r="L34" s="38">
        <v>46</v>
      </c>
      <c r="M34" s="38">
        <v>0</v>
      </c>
    </row>
    <row r="35" spans="1:13" x14ac:dyDescent="0.35">
      <c r="A35" s="38">
        <v>79</v>
      </c>
      <c r="B35" s="38" t="s">
        <v>5</v>
      </c>
      <c r="C35" s="38" t="s">
        <v>10</v>
      </c>
      <c r="D35" s="38">
        <v>91001</v>
      </c>
      <c r="E35" s="39">
        <v>200025888137</v>
      </c>
      <c r="F35" s="39" t="s">
        <v>15</v>
      </c>
      <c r="G35" s="39">
        <v>46</v>
      </c>
      <c r="H35" s="40">
        <v>45798.676990740743</v>
      </c>
      <c r="I35" s="38">
        <v>2</v>
      </c>
      <c r="J35" s="38">
        <v>2</v>
      </c>
      <c r="K35" s="38">
        <v>24</v>
      </c>
      <c r="L35" s="38">
        <v>47</v>
      </c>
      <c r="M35" s="38">
        <v>0</v>
      </c>
    </row>
    <row r="36" spans="1:13" x14ac:dyDescent="0.35">
      <c r="A36" s="38">
        <v>80</v>
      </c>
      <c r="B36" s="38" t="s">
        <v>5</v>
      </c>
      <c r="C36" s="38" t="s">
        <v>10</v>
      </c>
      <c r="D36" s="38">
        <v>91001</v>
      </c>
      <c r="E36" s="39">
        <v>200025888137</v>
      </c>
      <c r="F36" s="39" t="s">
        <v>15</v>
      </c>
      <c r="G36" s="39">
        <v>46</v>
      </c>
      <c r="H36" s="40">
        <v>45798.67759259259</v>
      </c>
      <c r="I36" s="38">
        <v>2</v>
      </c>
      <c r="J36" s="38">
        <v>2</v>
      </c>
      <c r="K36" s="38">
        <v>25</v>
      </c>
      <c r="L36" s="38">
        <v>48</v>
      </c>
      <c r="M36" s="38">
        <v>1</v>
      </c>
    </row>
    <row r="37" spans="1:13" x14ac:dyDescent="0.35">
      <c r="A37" s="38">
        <v>81</v>
      </c>
      <c r="B37" s="38" t="s">
        <v>5</v>
      </c>
      <c r="C37" s="38" t="s">
        <v>10</v>
      </c>
      <c r="D37" s="38">
        <v>91001</v>
      </c>
      <c r="E37" s="39">
        <v>200025888137</v>
      </c>
      <c r="F37" s="39" t="s">
        <v>15</v>
      </c>
      <c r="G37" s="39">
        <v>46</v>
      </c>
      <c r="H37" s="40">
        <v>45798.677743055552</v>
      </c>
      <c r="I37" s="38">
        <v>2</v>
      </c>
      <c r="J37" s="38">
        <v>2</v>
      </c>
      <c r="K37" s="38">
        <v>26</v>
      </c>
      <c r="L37" s="38">
        <v>49</v>
      </c>
      <c r="M37" s="38">
        <v>0</v>
      </c>
    </row>
    <row r="38" spans="1:13" x14ac:dyDescent="0.35">
      <c r="A38" s="38">
        <v>33</v>
      </c>
      <c r="B38" s="38" t="s">
        <v>5</v>
      </c>
      <c r="C38" s="38" t="s">
        <v>10</v>
      </c>
      <c r="D38" s="38">
        <v>91001</v>
      </c>
      <c r="E38" s="39">
        <v>200025888173</v>
      </c>
      <c r="F38" s="39" t="s">
        <v>17</v>
      </c>
      <c r="G38" s="39">
        <v>34</v>
      </c>
      <c r="H38" s="40">
        <v>45798.247002314813</v>
      </c>
      <c r="I38" s="38">
        <v>3</v>
      </c>
      <c r="J38" s="38">
        <v>3</v>
      </c>
      <c r="K38" s="38">
        <v>1</v>
      </c>
      <c r="L38" s="38">
        <v>1</v>
      </c>
      <c r="M38" s="38">
        <v>0</v>
      </c>
    </row>
    <row r="39" spans="1:13" x14ac:dyDescent="0.35">
      <c r="A39" s="38">
        <v>34</v>
      </c>
      <c r="B39" s="38" t="s">
        <v>5</v>
      </c>
      <c r="C39" s="38" t="s">
        <v>10</v>
      </c>
      <c r="D39" s="38">
        <v>91001</v>
      </c>
      <c r="E39" s="39">
        <v>200025888173</v>
      </c>
      <c r="F39" s="39" t="s">
        <v>17</v>
      </c>
      <c r="G39" s="39">
        <v>34</v>
      </c>
      <c r="H39" s="40">
        <v>45798.247013888889</v>
      </c>
      <c r="I39" s="38">
        <v>3</v>
      </c>
      <c r="J39" s="38">
        <v>3</v>
      </c>
      <c r="K39" s="38">
        <v>2</v>
      </c>
      <c r="L39" s="38">
        <v>2</v>
      </c>
      <c r="M39" s="38">
        <v>0</v>
      </c>
    </row>
    <row r="40" spans="1:13" x14ac:dyDescent="0.35">
      <c r="A40" s="38">
        <v>35</v>
      </c>
      <c r="B40" s="38" t="s">
        <v>5</v>
      </c>
      <c r="C40" s="38" t="s">
        <v>10</v>
      </c>
      <c r="D40" s="38">
        <v>91001</v>
      </c>
      <c r="E40" s="39">
        <v>200025888173</v>
      </c>
      <c r="F40" s="39" t="s">
        <v>17</v>
      </c>
      <c r="G40" s="39">
        <v>34</v>
      </c>
      <c r="H40" s="40">
        <v>45798.27275462963</v>
      </c>
      <c r="I40" s="38">
        <v>3</v>
      </c>
      <c r="J40" s="38">
        <v>3</v>
      </c>
      <c r="K40" s="38">
        <v>3</v>
      </c>
      <c r="L40" s="38">
        <v>3</v>
      </c>
      <c r="M40" s="38">
        <v>0</v>
      </c>
    </row>
    <row r="41" spans="1:13" x14ac:dyDescent="0.35">
      <c r="A41" s="38">
        <v>36</v>
      </c>
      <c r="B41" s="38" t="s">
        <v>5</v>
      </c>
      <c r="C41" s="38" t="s">
        <v>10</v>
      </c>
      <c r="D41" s="38">
        <v>91001</v>
      </c>
      <c r="E41" s="39">
        <v>200025888173</v>
      </c>
      <c r="F41" s="39" t="s">
        <v>17</v>
      </c>
      <c r="G41" s="39">
        <v>34</v>
      </c>
      <c r="H41" s="40">
        <v>45798.302256944444</v>
      </c>
      <c r="I41" s="38">
        <v>3</v>
      </c>
      <c r="J41" s="38">
        <v>3</v>
      </c>
      <c r="K41" s="38">
        <v>4</v>
      </c>
      <c r="L41" s="38">
        <v>4</v>
      </c>
      <c r="M41" s="38">
        <v>0</v>
      </c>
    </row>
    <row r="42" spans="1:13" x14ac:dyDescent="0.35">
      <c r="A42" s="38">
        <v>37</v>
      </c>
      <c r="B42" s="38" t="s">
        <v>5</v>
      </c>
      <c r="C42" s="38" t="s">
        <v>10</v>
      </c>
      <c r="D42" s="38">
        <v>91001</v>
      </c>
      <c r="E42" s="39">
        <v>200025888173</v>
      </c>
      <c r="F42" s="39" t="s">
        <v>17</v>
      </c>
      <c r="G42" s="39">
        <v>34</v>
      </c>
      <c r="H42" s="40">
        <v>45798.302268518521</v>
      </c>
      <c r="I42" s="38">
        <v>3</v>
      </c>
      <c r="J42" s="38">
        <v>3</v>
      </c>
      <c r="K42" s="38">
        <v>5</v>
      </c>
      <c r="L42" s="38">
        <v>5</v>
      </c>
      <c r="M42" s="38">
        <v>0</v>
      </c>
    </row>
    <row r="43" spans="1:13" x14ac:dyDescent="0.35">
      <c r="A43" s="38">
        <v>38</v>
      </c>
      <c r="B43" s="38" t="s">
        <v>5</v>
      </c>
      <c r="C43" s="38" t="s">
        <v>10</v>
      </c>
      <c r="D43" s="38">
        <v>91001</v>
      </c>
      <c r="E43" s="39">
        <v>200025888173</v>
      </c>
      <c r="F43" s="39" t="s">
        <v>17</v>
      </c>
      <c r="G43" s="39">
        <v>34</v>
      </c>
      <c r="H43" s="40">
        <v>45798.30228009259</v>
      </c>
      <c r="I43" s="38">
        <v>3</v>
      </c>
      <c r="J43" s="38">
        <v>3</v>
      </c>
      <c r="K43" s="38">
        <v>6</v>
      </c>
      <c r="L43" s="38">
        <v>6</v>
      </c>
      <c r="M43" s="38">
        <v>1</v>
      </c>
    </row>
    <row r="44" spans="1:13" x14ac:dyDescent="0.35">
      <c r="A44" s="38">
        <v>39</v>
      </c>
      <c r="B44" s="38" t="s">
        <v>5</v>
      </c>
      <c r="C44" s="38" t="s">
        <v>10</v>
      </c>
      <c r="D44" s="38">
        <v>91001</v>
      </c>
      <c r="E44" s="39">
        <v>200025888173</v>
      </c>
      <c r="F44" s="39" t="s">
        <v>17</v>
      </c>
      <c r="G44" s="39">
        <v>34</v>
      </c>
      <c r="H44" s="40">
        <v>45798.302534722221</v>
      </c>
      <c r="I44" s="38">
        <v>3</v>
      </c>
      <c r="J44" s="38">
        <v>3</v>
      </c>
      <c r="K44" s="38">
        <v>7</v>
      </c>
      <c r="L44" s="38">
        <v>7</v>
      </c>
      <c r="M44" s="38">
        <v>1</v>
      </c>
    </row>
    <row r="45" spans="1:13" x14ac:dyDescent="0.35">
      <c r="A45" s="38">
        <v>40</v>
      </c>
      <c r="B45" s="38" t="s">
        <v>5</v>
      </c>
      <c r="C45" s="38" t="s">
        <v>10</v>
      </c>
      <c r="D45" s="38">
        <v>91001</v>
      </c>
      <c r="E45" s="39">
        <v>200025888173</v>
      </c>
      <c r="F45" s="39" t="s">
        <v>17</v>
      </c>
      <c r="G45" s="39">
        <v>34</v>
      </c>
      <c r="H45" s="40">
        <v>45798.302546296298</v>
      </c>
      <c r="I45" s="38">
        <v>3</v>
      </c>
      <c r="J45" s="38">
        <v>3</v>
      </c>
      <c r="K45" s="38">
        <v>8</v>
      </c>
      <c r="L45" s="38">
        <v>8</v>
      </c>
      <c r="M45" s="38">
        <v>0</v>
      </c>
    </row>
    <row r="46" spans="1:13" x14ac:dyDescent="0.35">
      <c r="A46" s="38">
        <v>41</v>
      </c>
      <c r="B46" s="38" t="s">
        <v>5</v>
      </c>
      <c r="C46" s="38" t="s">
        <v>10</v>
      </c>
      <c r="D46" s="38">
        <v>91001</v>
      </c>
      <c r="E46" s="39">
        <v>200025888173</v>
      </c>
      <c r="F46" s="39" t="s">
        <v>17</v>
      </c>
      <c r="G46" s="39">
        <v>34</v>
      </c>
      <c r="H46" s="40">
        <v>45798.32234953704</v>
      </c>
      <c r="I46" s="38">
        <v>3</v>
      </c>
      <c r="J46" s="38">
        <v>3</v>
      </c>
      <c r="K46" s="38">
        <v>9</v>
      </c>
      <c r="L46" s="38">
        <v>9</v>
      </c>
      <c r="M46" s="38">
        <v>0</v>
      </c>
    </row>
    <row r="47" spans="1:13" x14ac:dyDescent="0.35">
      <c r="A47" s="38">
        <v>42</v>
      </c>
      <c r="B47" s="38" t="s">
        <v>5</v>
      </c>
      <c r="C47" s="38" t="s">
        <v>10</v>
      </c>
      <c r="D47" s="38">
        <v>91001</v>
      </c>
      <c r="E47" s="39">
        <v>200025888173</v>
      </c>
      <c r="F47" s="39" t="s">
        <v>17</v>
      </c>
      <c r="G47" s="39">
        <v>34</v>
      </c>
      <c r="H47" s="40">
        <v>45798.367731481485</v>
      </c>
      <c r="I47" s="38">
        <v>3</v>
      </c>
      <c r="J47" s="38">
        <v>3</v>
      </c>
      <c r="K47" s="38">
        <v>10</v>
      </c>
      <c r="L47" s="38">
        <v>10</v>
      </c>
      <c r="M47" s="38">
        <v>0</v>
      </c>
    </row>
    <row r="48" spans="1:13" x14ac:dyDescent="0.35">
      <c r="A48" s="41">
        <v>203</v>
      </c>
      <c r="B48" s="41" t="s">
        <v>5</v>
      </c>
      <c r="C48" s="41" t="s">
        <v>10</v>
      </c>
      <c r="D48" s="41">
        <v>91001</v>
      </c>
      <c r="E48" s="39">
        <v>200025888200</v>
      </c>
      <c r="F48" s="39" t="s">
        <v>17</v>
      </c>
      <c r="G48" s="39">
        <v>34</v>
      </c>
      <c r="H48" s="40">
        <v>45799.753240740742</v>
      </c>
      <c r="I48" s="38">
        <v>3</v>
      </c>
      <c r="J48" s="38">
        <v>3</v>
      </c>
      <c r="K48" s="38">
        <v>11</v>
      </c>
      <c r="L48" s="38">
        <v>171</v>
      </c>
      <c r="M48" s="41">
        <v>0</v>
      </c>
    </row>
    <row r="49" spans="1:13" x14ac:dyDescent="0.35">
      <c r="A49" s="41">
        <v>204</v>
      </c>
      <c r="B49" s="41" t="s">
        <v>5</v>
      </c>
      <c r="C49" s="41" t="s">
        <v>10</v>
      </c>
      <c r="D49" s="41">
        <v>91001</v>
      </c>
      <c r="E49" s="39">
        <v>200025888200</v>
      </c>
      <c r="F49" s="39" t="s">
        <v>17</v>
      </c>
      <c r="G49" s="39">
        <v>34</v>
      </c>
      <c r="H49" s="40">
        <v>45799.753252314818</v>
      </c>
      <c r="I49" s="38">
        <v>3</v>
      </c>
      <c r="J49" s="38">
        <v>3</v>
      </c>
      <c r="K49" s="38">
        <v>12</v>
      </c>
      <c r="L49" s="38">
        <v>172</v>
      </c>
      <c r="M49" s="41">
        <v>0</v>
      </c>
    </row>
    <row r="50" spans="1:13" x14ac:dyDescent="0.35">
      <c r="A50" s="38">
        <v>43</v>
      </c>
      <c r="B50" s="38" t="s">
        <v>5</v>
      </c>
      <c r="C50" s="38" t="s">
        <v>10</v>
      </c>
      <c r="D50" s="38">
        <v>91001</v>
      </c>
      <c r="E50" s="39">
        <v>200025888824</v>
      </c>
      <c r="F50" s="39" t="s">
        <v>35</v>
      </c>
      <c r="G50" s="39">
        <v>32</v>
      </c>
      <c r="H50" s="40">
        <v>45798.453252314815</v>
      </c>
      <c r="I50" s="38">
        <v>4</v>
      </c>
      <c r="J50" s="38">
        <v>4</v>
      </c>
      <c r="K50" s="38">
        <v>1</v>
      </c>
      <c r="L50" s="38">
        <v>11</v>
      </c>
      <c r="M50" s="38">
        <v>0</v>
      </c>
    </row>
    <row r="51" spans="1:13" x14ac:dyDescent="0.35">
      <c r="A51" s="38">
        <v>44</v>
      </c>
      <c r="B51" s="38" t="s">
        <v>5</v>
      </c>
      <c r="C51" s="38" t="s">
        <v>10</v>
      </c>
      <c r="D51" s="38">
        <v>91001</v>
      </c>
      <c r="E51" s="39">
        <v>200025888824</v>
      </c>
      <c r="F51" s="39" t="s">
        <v>35</v>
      </c>
      <c r="G51" s="39">
        <v>32</v>
      </c>
      <c r="H51" s="40">
        <v>45798.453263888892</v>
      </c>
      <c r="I51" s="38">
        <v>4</v>
      </c>
      <c r="J51" s="38">
        <v>4</v>
      </c>
      <c r="K51" s="38">
        <v>2</v>
      </c>
      <c r="L51" s="38">
        <v>12</v>
      </c>
      <c r="M51" s="38">
        <v>0</v>
      </c>
    </row>
    <row r="52" spans="1:13" x14ac:dyDescent="0.35">
      <c r="A52" s="38">
        <v>45</v>
      </c>
      <c r="B52" s="38" t="s">
        <v>5</v>
      </c>
      <c r="C52" s="38" t="s">
        <v>10</v>
      </c>
      <c r="D52" s="38">
        <v>91001</v>
      </c>
      <c r="E52" s="39">
        <v>200025888824</v>
      </c>
      <c r="F52" s="39" t="s">
        <v>35</v>
      </c>
      <c r="G52" s="39">
        <v>32</v>
      </c>
      <c r="H52" s="40">
        <v>45798.454606481479</v>
      </c>
      <c r="I52" s="38">
        <v>4</v>
      </c>
      <c r="J52" s="38">
        <v>4</v>
      </c>
      <c r="K52" s="38">
        <v>3</v>
      </c>
      <c r="L52" s="38">
        <v>13</v>
      </c>
      <c r="M52" s="38">
        <v>1</v>
      </c>
    </row>
    <row r="53" spans="1:13" x14ac:dyDescent="0.35">
      <c r="A53" s="38">
        <v>46</v>
      </c>
      <c r="B53" s="38" t="s">
        <v>5</v>
      </c>
      <c r="C53" s="38" t="s">
        <v>10</v>
      </c>
      <c r="D53" s="38">
        <v>91001</v>
      </c>
      <c r="E53" s="39">
        <v>200025888824</v>
      </c>
      <c r="F53" s="39" t="s">
        <v>35</v>
      </c>
      <c r="G53" s="39">
        <v>32</v>
      </c>
      <c r="H53" s="40">
        <v>45798.454618055555</v>
      </c>
      <c r="I53" s="38">
        <v>4</v>
      </c>
      <c r="J53" s="38">
        <v>4</v>
      </c>
      <c r="K53" s="38">
        <v>4</v>
      </c>
      <c r="L53" s="38">
        <v>14</v>
      </c>
      <c r="M53" s="38">
        <v>0</v>
      </c>
    </row>
    <row r="54" spans="1:13" x14ac:dyDescent="0.35">
      <c r="A54" s="38">
        <v>47</v>
      </c>
      <c r="B54" s="38" t="s">
        <v>5</v>
      </c>
      <c r="C54" s="38" t="s">
        <v>10</v>
      </c>
      <c r="D54" s="38">
        <v>91001</v>
      </c>
      <c r="E54" s="39">
        <v>200025888824</v>
      </c>
      <c r="F54" s="39" t="s">
        <v>35</v>
      </c>
      <c r="G54" s="39">
        <v>32</v>
      </c>
      <c r="H54" s="40">
        <v>45798.503449074073</v>
      </c>
      <c r="I54" s="38">
        <v>4</v>
      </c>
      <c r="J54" s="38">
        <v>4</v>
      </c>
      <c r="K54" s="38">
        <v>5</v>
      </c>
      <c r="L54" s="38">
        <v>15</v>
      </c>
      <c r="M54" s="38">
        <v>715</v>
      </c>
    </row>
    <row r="55" spans="1:13" x14ac:dyDescent="0.35">
      <c r="A55" s="38">
        <v>105</v>
      </c>
      <c r="B55" s="38" t="s">
        <v>5</v>
      </c>
      <c r="C55" s="38" t="s">
        <v>10</v>
      </c>
      <c r="D55" s="38">
        <v>91001</v>
      </c>
      <c r="E55" s="39">
        <v>200025888824</v>
      </c>
      <c r="F55" s="39" t="s">
        <v>35</v>
      </c>
      <c r="G55" s="39">
        <v>32</v>
      </c>
      <c r="H55" s="40">
        <v>45798.80878472222</v>
      </c>
      <c r="I55" s="38">
        <v>4</v>
      </c>
      <c r="J55" s="38">
        <v>4</v>
      </c>
      <c r="K55" s="38">
        <v>6</v>
      </c>
      <c r="L55" s="38">
        <v>73</v>
      </c>
      <c r="M55" s="38">
        <v>0</v>
      </c>
    </row>
    <row r="56" spans="1:13" x14ac:dyDescent="0.35">
      <c r="A56" s="38">
        <v>106</v>
      </c>
      <c r="B56" s="38" t="s">
        <v>5</v>
      </c>
      <c r="C56" s="38" t="s">
        <v>10</v>
      </c>
      <c r="D56" s="38">
        <v>91001</v>
      </c>
      <c r="E56" s="39">
        <v>200025888824</v>
      </c>
      <c r="F56" s="39" t="s">
        <v>35</v>
      </c>
      <c r="G56" s="39">
        <v>32</v>
      </c>
      <c r="H56" s="40">
        <v>45798.808796296296</v>
      </c>
      <c r="I56" s="38">
        <v>4</v>
      </c>
      <c r="J56" s="38">
        <v>4</v>
      </c>
      <c r="K56" s="38">
        <v>7</v>
      </c>
      <c r="L56" s="38">
        <v>74</v>
      </c>
      <c r="M56" s="38">
        <v>0</v>
      </c>
    </row>
    <row r="57" spans="1:13" x14ac:dyDescent="0.35">
      <c r="A57" s="38">
        <v>107</v>
      </c>
      <c r="B57" s="38" t="s">
        <v>5</v>
      </c>
      <c r="C57" s="38" t="s">
        <v>10</v>
      </c>
      <c r="D57" s="38">
        <v>91001</v>
      </c>
      <c r="E57" s="39">
        <v>200025888824</v>
      </c>
      <c r="F57" s="39" t="s">
        <v>35</v>
      </c>
      <c r="G57" s="39">
        <v>32</v>
      </c>
      <c r="H57" s="40">
        <v>45798.809374999997</v>
      </c>
      <c r="I57" s="38">
        <v>4</v>
      </c>
      <c r="J57" s="38">
        <v>4</v>
      </c>
      <c r="K57" s="38">
        <v>8</v>
      </c>
      <c r="L57" s="38">
        <v>75</v>
      </c>
      <c r="M57" s="38">
        <v>2</v>
      </c>
    </row>
    <row r="58" spans="1:13" x14ac:dyDescent="0.35">
      <c r="A58" s="38">
        <v>111</v>
      </c>
      <c r="B58" s="38" t="s">
        <v>5</v>
      </c>
      <c r="C58" s="38" t="s">
        <v>10</v>
      </c>
      <c r="D58" s="38">
        <v>91001</v>
      </c>
      <c r="E58" s="39">
        <v>200025888824</v>
      </c>
      <c r="F58" s="39" t="s">
        <v>35</v>
      </c>
      <c r="G58" s="39">
        <v>32</v>
      </c>
      <c r="H58" s="40">
        <v>45798.844988425924</v>
      </c>
      <c r="I58" s="38">
        <v>4</v>
      </c>
      <c r="J58" s="38">
        <v>4</v>
      </c>
      <c r="K58" s="38">
        <v>9</v>
      </c>
      <c r="L58" s="38">
        <v>79</v>
      </c>
      <c r="M58" s="38">
        <v>1</v>
      </c>
    </row>
    <row r="59" spans="1:13" x14ac:dyDescent="0.35">
      <c r="A59" s="38">
        <v>112</v>
      </c>
      <c r="B59" s="38" t="s">
        <v>5</v>
      </c>
      <c r="C59" s="38" t="s">
        <v>10</v>
      </c>
      <c r="D59" s="38">
        <v>91001</v>
      </c>
      <c r="E59" s="39">
        <v>200025888824</v>
      </c>
      <c r="F59" s="39" t="s">
        <v>35</v>
      </c>
      <c r="G59" s="39">
        <v>32</v>
      </c>
      <c r="H59" s="40">
        <v>45798.84511574074</v>
      </c>
      <c r="I59" s="38">
        <v>4</v>
      </c>
      <c r="J59" s="38">
        <v>4</v>
      </c>
      <c r="K59" s="38">
        <v>10</v>
      </c>
      <c r="L59" s="38">
        <v>80</v>
      </c>
      <c r="M59" s="38">
        <v>0</v>
      </c>
    </row>
    <row r="60" spans="1:13" x14ac:dyDescent="0.35">
      <c r="A60" s="38">
        <v>113</v>
      </c>
      <c r="B60" s="38" t="s">
        <v>5</v>
      </c>
      <c r="C60" s="38" t="s">
        <v>10</v>
      </c>
      <c r="D60" s="38">
        <v>91001</v>
      </c>
      <c r="E60" s="39">
        <v>200025888824</v>
      </c>
      <c r="F60" s="39" t="s">
        <v>35</v>
      </c>
      <c r="G60" s="39">
        <v>32</v>
      </c>
      <c r="H60" s="40">
        <v>45798.845266203702</v>
      </c>
      <c r="I60" s="38">
        <v>4</v>
      </c>
      <c r="J60" s="38">
        <v>4</v>
      </c>
      <c r="K60" s="38">
        <v>11</v>
      </c>
      <c r="L60" s="38">
        <v>81</v>
      </c>
      <c r="M60" s="38">
        <v>0</v>
      </c>
    </row>
    <row r="61" spans="1:13" x14ac:dyDescent="0.35">
      <c r="A61" s="38">
        <v>119</v>
      </c>
      <c r="B61" s="38" t="s">
        <v>5</v>
      </c>
      <c r="C61" s="38" t="s">
        <v>10</v>
      </c>
      <c r="D61" s="38">
        <v>91001</v>
      </c>
      <c r="E61" s="39">
        <v>200025888824</v>
      </c>
      <c r="F61" s="39" t="s">
        <v>35</v>
      </c>
      <c r="G61" s="39">
        <v>32</v>
      </c>
      <c r="H61" s="40">
        <v>45798.874618055554</v>
      </c>
      <c r="I61" s="38">
        <v>4</v>
      </c>
      <c r="J61" s="38">
        <v>4</v>
      </c>
      <c r="K61" s="38">
        <v>12</v>
      </c>
      <c r="L61" s="38">
        <v>87</v>
      </c>
      <c r="M61" s="38">
        <v>0</v>
      </c>
    </row>
    <row r="62" spans="1:13" x14ac:dyDescent="0.35">
      <c r="A62" s="38">
        <v>120</v>
      </c>
      <c r="B62" s="38" t="s">
        <v>5</v>
      </c>
      <c r="C62" s="38" t="s">
        <v>10</v>
      </c>
      <c r="D62" s="38">
        <v>91001</v>
      </c>
      <c r="E62" s="39">
        <v>200025888824</v>
      </c>
      <c r="F62" s="39" t="s">
        <v>35</v>
      </c>
      <c r="G62" s="39">
        <v>32</v>
      </c>
      <c r="H62" s="40">
        <v>45798.874895833331</v>
      </c>
      <c r="I62" s="38">
        <v>4</v>
      </c>
      <c r="J62" s="38">
        <v>4</v>
      </c>
      <c r="K62" s="38">
        <v>13</v>
      </c>
      <c r="L62" s="38">
        <v>88</v>
      </c>
      <c r="M62" s="38">
        <v>0</v>
      </c>
    </row>
    <row r="63" spans="1:13" x14ac:dyDescent="0.35">
      <c r="A63" s="38">
        <v>121</v>
      </c>
      <c r="B63" s="38" t="s">
        <v>5</v>
      </c>
      <c r="C63" s="38" t="s">
        <v>10</v>
      </c>
      <c r="D63" s="38">
        <v>91001</v>
      </c>
      <c r="E63" s="39">
        <v>200025888824</v>
      </c>
      <c r="F63" s="39" t="s">
        <v>35</v>
      </c>
      <c r="G63" s="39">
        <v>32</v>
      </c>
      <c r="H63" s="40">
        <v>45798.875</v>
      </c>
      <c r="I63" s="38">
        <v>4</v>
      </c>
      <c r="J63" s="38">
        <v>4</v>
      </c>
      <c r="K63" s="38">
        <v>14</v>
      </c>
      <c r="L63" s="38">
        <v>89</v>
      </c>
      <c r="M63" s="38">
        <v>1</v>
      </c>
    </row>
    <row r="64" spans="1:13" x14ac:dyDescent="0.35">
      <c r="A64" s="38">
        <v>167</v>
      </c>
      <c r="B64" s="38" t="s">
        <v>5</v>
      </c>
      <c r="C64" s="38" t="s">
        <v>10</v>
      </c>
      <c r="D64" s="38">
        <v>91001</v>
      </c>
      <c r="E64" s="39">
        <v>200025888824</v>
      </c>
      <c r="F64" s="39" t="s">
        <v>35</v>
      </c>
      <c r="G64" s="39">
        <v>32</v>
      </c>
      <c r="H64" s="40">
        <v>45799.264305555553</v>
      </c>
      <c r="I64" s="38">
        <v>4</v>
      </c>
      <c r="J64" s="38">
        <v>4</v>
      </c>
      <c r="K64" s="38">
        <v>15</v>
      </c>
      <c r="L64" s="38">
        <v>135</v>
      </c>
      <c r="M64" s="38">
        <v>0</v>
      </c>
    </row>
    <row r="65" spans="1:13" x14ac:dyDescent="0.35">
      <c r="A65" s="38">
        <v>168</v>
      </c>
      <c r="B65" s="38" t="s">
        <v>5</v>
      </c>
      <c r="C65" s="38" t="s">
        <v>10</v>
      </c>
      <c r="D65" s="38">
        <v>91001</v>
      </c>
      <c r="E65" s="39">
        <v>200025888824</v>
      </c>
      <c r="F65" s="39" t="s">
        <v>35</v>
      </c>
      <c r="G65" s="39">
        <v>32</v>
      </c>
      <c r="H65" s="40">
        <v>45799.265694444446</v>
      </c>
      <c r="I65" s="38">
        <v>4</v>
      </c>
      <c r="J65" s="38">
        <v>4</v>
      </c>
      <c r="K65" s="38">
        <v>16</v>
      </c>
      <c r="L65" s="38">
        <v>136</v>
      </c>
      <c r="M65" s="38">
        <v>1</v>
      </c>
    </row>
    <row r="66" spans="1:13" x14ac:dyDescent="0.35">
      <c r="A66" s="38">
        <v>169</v>
      </c>
      <c r="B66" s="38" t="s">
        <v>5</v>
      </c>
      <c r="C66" s="38" t="s">
        <v>10</v>
      </c>
      <c r="D66" s="38">
        <v>91001</v>
      </c>
      <c r="E66" s="39">
        <v>200025888824</v>
      </c>
      <c r="F66" s="39" t="s">
        <v>35</v>
      </c>
      <c r="G66" s="39">
        <v>32</v>
      </c>
      <c r="H66" s="40">
        <v>45799.265706018516</v>
      </c>
      <c r="I66" s="38">
        <v>4</v>
      </c>
      <c r="J66" s="38">
        <v>4</v>
      </c>
      <c r="K66" s="38">
        <v>17</v>
      </c>
      <c r="L66" s="38">
        <v>137</v>
      </c>
      <c r="M66" s="38">
        <v>1</v>
      </c>
    </row>
    <row r="67" spans="1:13" x14ac:dyDescent="0.35">
      <c r="A67" s="38">
        <v>170</v>
      </c>
      <c r="B67" s="38" t="s">
        <v>5</v>
      </c>
      <c r="C67" s="38" t="s">
        <v>10</v>
      </c>
      <c r="D67" s="38">
        <v>91001</v>
      </c>
      <c r="E67" s="39">
        <v>200025888824</v>
      </c>
      <c r="F67" s="39" t="s">
        <v>35</v>
      </c>
      <c r="G67" s="39">
        <v>32</v>
      </c>
      <c r="H67" s="40">
        <v>45799.266342592593</v>
      </c>
      <c r="I67" s="38">
        <v>4</v>
      </c>
      <c r="J67" s="38">
        <v>4</v>
      </c>
      <c r="K67" s="38">
        <v>18</v>
      </c>
      <c r="L67" s="38">
        <v>138</v>
      </c>
      <c r="M67" s="38">
        <v>2</v>
      </c>
    </row>
    <row r="68" spans="1:13" x14ac:dyDescent="0.35">
      <c r="A68" s="38">
        <v>29</v>
      </c>
      <c r="B68" s="41" t="s">
        <v>7</v>
      </c>
      <c r="C68" s="38" t="s">
        <v>12</v>
      </c>
      <c r="D68" s="42">
        <v>93202</v>
      </c>
      <c r="E68" s="39">
        <v>200025888201</v>
      </c>
      <c r="F68" s="39" t="s">
        <v>20</v>
      </c>
      <c r="G68" s="39">
        <v>20</v>
      </c>
      <c r="H68" s="40">
        <v>45798.499212962961</v>
      </c>
      <c r="I68" s="38">
        <v>5</v>
      </c>
      <c r="J68" s="38">
        <v>5</v>
      </c>
      <c r="K68" s="38">
        <v>1</v>
      </c>
      <c r="L68" s="41">
        <v>2</v>
      </c>
      <c r="M68" s="41">
        <v>4673</v>
      </c>
    </row>
    <row r="69" spans="1:13" x14ac:dyDescent="0.35">
      <c r="A69" s="41">
        <v>214</v>
      </c>
      <c r="B69" s="41" t="s">
        <v>5</v>
      </c>
      <c r="C69" s="41" t="s">
        <v>10</v>
      </c>
      <c r="D69" s="41">
        <v>91001</v>
      </c>
      <c r="E69" s="39">
        <v>200025888201</v>
      </c>
      <c r="F69" s="39" t="s">
        <v>20</v>
      </c>
      <c r="G69" s="39">
        <v>20</v>
      </c>
      <c r="H69" s="40">
        <v>45799.887256944443</v>
      </c>
      <c r="I69" s="38">
        <v>5</v>
      </c>
      <c r="J69" s="38">
        <v>5</v>
      </c>
      <c r="K69" s="38">
        <v>2</v>
      </c>
      <c r="L69" s="38">
        <v>182</v>
      </c>
      <c r="M69" s="41">
        <v>0</v>
      </c>
    </row>
    <row r="70" spans="1:13" x14ac:dyDescent="0.35">
      <c r="A70" s="41">
        <v>215</v>
      </c>
      <c r="B70" s="41" t="s">
        <v>5</v>
      </c>
      <c r="C70" s="41" t="s">
        <v>10</v>
      </c>
      <c r="D70" s="41">
        <v>91001</v>
      </c>
      <c r="E70" s="39">
        <v>200025888201</v>
      </c>
      <c r="F70" s="39" t="s">
        <v>20</v>
      </c>
      <c r="G70" s="39">
        <v>20</v>
      </c>
      <c r="H70" s="40">
        <v>45799.887731481482</v>
      </c>
      <c r="I70" s="38">
        <v>5</v>
      </c>
      <c r="J70" s="38">
        <v>5</v>
      </c>
      <c r="K70" s="38">
        <v>3</v>
      </c>
      <c r="L70" s="38">
        <v>183</v>
      </c>
      <c r="M70" s="41">
        <v>0</v>
      </c>
    </row>
    <row r="71" spans="1:13" x14ac:dyDescent="0.35">
      <c r="A71" s="38">
        <v>65</v>
      </c>
      <c r="B71" s="38" t="s">
        <v>5</v>
      </c>
      <c r="C71" s="38" t="s">
        <v>10</v>
      </c>
      <c r="D71" s="38">
        <v>91001</v>
      </c>
      <c r="E71" s="39">
        <v>200025888654</v>
      </c>
      <c r="F71" s="39" t="s">
        <v>14</v>
      </c>
      <c r="G71" s="39">
        <v>1</v>
      </c>
      <c r="H71" s="40">
        <v>45798.654340277775</v>
      </c>
      <c r="I71" s="38">
        <v>6</v>
      </c>
      <c r="J71" s="38">
        <v>6</v>
      </c>
      <c r="K71" s="38">
        <v>1</v>
      </c>
      <c r="L71" s="38">
        <v>33</v>
      </c>
      <c r="M71" s="38">
        <v>0</v>
      </c>
    </row>
    <row r="72" spans="1:13" x14ac:dyDescent="0.35">
      <c r="A72" s="38">
        <v>66</v>
      </c>
      <c r="B72" s="38" t="s">
        <v>5</v>
      </c>
      <c r="C72" s="38" t="s">
        <v>10</v>
      </c>
      <c r="D72" s="38">
        <v>91001</v>
      </c>
      <c r="E72" s="39">
        <v>200025888654</v>
      </c>
      <c r="F72" s="39" t="s">
        <v>14</v>
      </c>
      <c r="G72" s="39">
        <v>1</v>
      </c>
      <c r="H72" s="40">
        <v>45798.654351851852</v>
      </c>
      <c r="I72" s="38">
        <v>6</v>
      </c>
      <c r="J72" s="38">
        <v>6</v>
      </c>
      <c r="K72" s="38">
        <v>2</v>
      </c>
      <c r="L72" s="38">
        <v>34</v>
      </c>
      <c r="M72" s="38">
        <v>0</v>
      </c>
    </row>
    <row r="73" spans="1:13" x14ac:dyDescent="0.35">
      <c r="A73" s="38">
        <v>67</v>
      </c>
      <c r="B73" s="38" t="s">
        <v>5</v>
      </c>
      <c r="C73" s="38" t="s">
        <v>10</v>
      </c>
      <c r="D73" s="38">
        <v>91001</v>
      </c>
      <c r="E73" s="39">
        <v>200025888654</v>
      </c>
      <c r="F73" s="39" t="s">
        <v>14</v>
      </c>
      <c r="G73" s="39">
        <v>1</v>
      </c>
      <c r="H73" s="40">
        <v>45798.654363425929</v>
      </c>
      <c r="I73" s="38">
        <v>6</v>
      </c>
      <c r="J73" s="38">
        <v>6</v>
      </c>
      <c r="K73" s="38">
        <v>3</v>
      </c>
      <c r="L73" s="38">
        <v>35</v>
      </c>
      <c r="M73" s="38">
        <v>31</v>
      </c>
    </row>
    <row r="74" spans="1:13" x14ac:dyDescent="0.35">
      <c r="A74" s="38">
        <v>68</v>
      </c>
      <c r="B74" s="38" t="s">
        <v>5</v>
      </c>
      <c r="C74" s="38" t="s">
        <v>10</v>
      </c>
      <c r="D74" s="38">
        <v>91001</v>
      </c>
      <c r="E74" s="39">
        <v>200025888654</v>
      </c>
      <c r="F74" s="39" t="s">
        <v>14</v>
      </c>
      <c r="G74" s="39">
        <v>1</v>
      </c>
      <c r="H74" s="40">
        <v>45798.655798611115</v>
      </c>
      <c r="I74" s="38">
        <v>6</v>
      </c>
      <c r="J74" s="38">
        <v>6</v>
      </c>
      <c r="K74" s="38">
        <v>4</v>
      </c>
      <c r="L74" s="38">
        <v>36</v>
      </c>
      <c r="M74" s="38">
        <v>1</v>
      </c>
    </row>
    <row r="75" spans="1:13" x14ac:dyDescent="0.35">
      <c r="A75" s="38">
        <v>69</v>
      </c>
      <c r="B75" s="38" t="s">
        <v>5</v>
      </c>
      <c r="C75" s="38" t="s">
        <v>10</v>
      </c>
      <c r="D75" s="38">
        <v>91001</v>
      </c>
      <c r="E75" s="39">
        <v>200025888654</v>
      </c>
      <c r="F75" s="39" t="s">
        <v>14</v>
      </c>
      <c r="G75" s="39">
        <v>1</v>
      </c>
      <c r="H75" s="40">
        <v>45798.655821759261</v>
      </c>
      <c r="I75" s="38">
        <v>6</v>
      </c>
      <c r="J75" s="38">
        <v>6</v>
      </c>
      <c r="K75" s="38">
        <v>5</v>
      </c>
      <c r="L75" s="38">
        <v>37</v>
      </c>
      <c r="M75" s="38">
        <v>1</v>
      </c>
    </row>
    <row r="76" spans="1:13" x14ac:dyDescent="0.35">
      <c r="A76" s="38">
        <v>70</v>
      </c>
      <c r="B76" s="38" t="s">
        <v>5</v>
      </c>
      <c r="C76" s="38" t="s">
        <v>10</v>
      </c>
      <c r="D76" s="38">
        <v>91001</v>
      </c>
      <c r="E76" s="39">
        <v>200025888654</v>
      </c>
      <c r="F76" s="39" t="s">
        <v>14</v>
      </c>
      <c r="G76" s="39">
        <v>1</v>
      </c>
      <c r="H76" s="40">
        <v>45798.655833333331</v>
      </c>
      <c r="I76" s="38">
        <v>6</v>
      </c>
      <c r="J76" s="38">
        <v>6</v>
      </c>
      <c r="K76" s="38">
        <v>6</v>
      </c>
      <c r="L76" s="38">
        <v>38</v>
      </c>
      <c r="M76" s="38">
        <v>0</v>
      </c>
    </row>
    <row r="77" spans="1:13" x14ac:dyDescent="0.35">
      <c r="A77" s="38">
        <v>71</v>
      </c>
      <c r="B77" s="38" t="s">
        <v>5</v>
      </c>
      <c r="C77" s="38" t="s">
        <v>10</v>
      </c>
      <c r="D77" s="38">
        <v>91001</v>
      </c>
      <c r="E77" s="39">
        <v>200025888654</v>
      </c>
      <c r="F77" s="39" t="s">
        <v>14</v>
      </c>
      <c r="G77" s="39">
        <v>1</v>
      </c>
      <c r="H77" s="40">
        <v>45798.655844907407</v>
      </c>
      <c r="I77" s="38">
        <v>6</v>
      </c>
      <c r="J77" s="38">
        <v>6</v>
      </c>
      <c r="K77" s="38">
        <v>7</v>
      </c>
      <c r="L77" s="38">
        <v>39</v>
      </c>
      <c r="M77" s="38">
        <v>0</v>
      </c>
    </row>
    <row r="78" spans="1:13" x14ac:dyDescent="0.35">
      <c r="A78" s="38">
        <v>72</v>
      </c>
      <c r="B78" s="38" t="s">
        <v>5</v>
      </c>
      <c r="C78" s="38" t="s">
        <v>10</v>
      </c>
      <c r="D78" s="38">
        <v>91001</v>
      </c>
      <c r="E78" s="39">
        <v>200025888654</v>
      </c>
      <c r="F78" s="39" t="s">
        <v>14</v>
      </c>
      <c r="G78" s="39">
        <v>1</v>
      </c>
      <c r="H78" s="40">
        <v>45798.655844907407</v>
      </c>
      <c r="I78" s="38">
        <v>6</v>
      </c>
      <c r="J78" s="38">
        <v>6</v>
      </c>
      <c r="K78" s="38">
        <v>8</v>
      </c>
      <c r="L78" s="38">
        <v>40</v>
      </c>
      <c r="M78" s="38">
        <v>1</v>
      </c>
    </row>
    <row r="79" spans="1:13" x14ac:dyDescent="0.35">
      <c r="A79" s="38">
        <v>73</v>
      </c>
      <c r="B79" s="38" t="s">
        <v>5</v>
      </c>
      <c r="C79" s="38" t="s">
        <v>10</v>
      </c>
      <c r="D79" s="38">
        <v>91001</v>
      </c>
      <c r="E79" s="39">
        <v>200025888654</v>
      </c>
      <c r="F79" s="39" t="s">
        <v>14</v>
      </c>
      <c r="G79" s="39">
        <v>1</v>
      </c>
      <c r="H79" s="40">
        <v>45798.6559375</v>
      </c>
      <c r="I79" s="38">
        <v>6</v>
      </c>
      <c r="J79" s="38">
        <v>6</v>
      </c>
      <c r="K79" s="38">
        <v>9</v>
      </c>
      <c r="L79" s="38">
        <v>41</v>
      </c>
      <c r="M79" s="38">
        <v>1</v>
      </c>
    </row>
    <row r="80" spans="1:13" x14ac:dyDescent="0.35">
      <c r="A80" s="38">
        <v>98</v>
      </c>
      <c r="B80" s="38" t="s">
        <v>5</v>
      </c>
      <c r="C80" s="38" t="s">
        <v>10</v>
      </c>
      <c r="D80" s="38">
        <v>91001</v>
      </c>
      <c r="E80" s="39">
        <v>200025888654</v>
      </c>
      <c r="F80" s="39" t="s">
        <v>14</v>
      </c>
      <c r="G80" s="39">
        <v>1</v>
      </c>
      <c r="H80" s="40">
        <v>45798.798437500001</v>
      </c>
      <c r="I80" s="38">
        <v>6</v>
      </c>
      <c r="J80" s="38">
        <v>6</v>
      </c>
      <c r="K80" s="38">
        <v>10</v>
      </c>
      <c r="L80" s="38">
        <v>66</v>
      </c>
      <c r="M80" s="38">
        <v>0</v>
      </c>
    </row>
    <row r="81" spans="1:13" x14ac:dyDescent="0.35">
      <c r="A81" s="38">
        <v>99</v>
      </c>
      <c r="B81" s="38" t="s">
        <v>5</v>
      </c>
      <c r="C81" s="38" t="s">
        <v>10</v>
      </c>
      <c r="D81" s="38">
        <v>91001</v>
      </c>
      <c r="E81" s="39">
        <v>200025888654</v>
      </c>
      <c r="F81" s="39" t="s">
        <v>14</v>
      </c>
      <c r="G81" s="39">
        <v>1</v>
      </c>
      <c r="H81" s="40">
        <v>45798.798564814817</v>
      </c>
      <c r="I81" s="38">
        <v>6</v>
      </c>
      <c r="J81" s="38">
        <v>6</v>
      </c>
      <c r="K81" s="38">
        <v>11</v>
      </c>
      <c r="L81" s="38">
        <v>67</v>
      </c>
      <c r="M81" s="38">
        <v>1</v>
      </c>
    </row>
    <row r="82" spans="1:13" x14ac:dyDescent="0.35">
      <c r="A82" s="38">
        <v>100</v>
      </c>
      <c r="B82" s="38" t="s">
        <v>5</v>
      </c>
      <c r="C82" s="38" t="s">
        <v>10</v>
      </c>
      <c r="D82" s="38">
        <v>91001</v>
      </c>
      <c r="E82" s="39">
        <v>200025888654</v>
      </c>
      <c r="F82" s="39" t="s">
        <v>14</v>
      </c>
      <c r="G82" s="39">
        <v>1</v>
      </c>
      <c r="H82" s="40">
        <v>45798.800173611111</v>
      </c>
      <c r="I82" s="38">
        <v>6</v>
      </c>
      <c r="J82" s="38">
        <v>6</v>
      </c>
      <c r="K82" s="38">
        <v>12</v>
      </c>
      <c r="L82" s="38">
        <v>68</v>
      </c>
      <c r="M82" s="38">
        <v>1</v>
      </c>
    </row>
    <row r="83" spans="1:13" x14ac:dyDescent="0.35">
      <c r="A83" s="38">
        <v>101</v>
      </c>
      <c r="B83" s="38" t="s">
        <v>5</v>
      </c>
      <c r="C83" s="38" t="s">
        <v>10</v>
      </c>
      <c r="D83" s="38">
        <v>91001</v>
      </c>
      <c r="E83" s="39">
        <v>200025888654</v>
      </c>
      <c r="F83" s="39" t="s">
        <v>14</v>
      </c>
      <c r="G83" s="39">
        <v>1</v>
      </c>
      <c r="H83" s="40">
        <v>45798.800381944442</v>
      </c>
      <c r="I83" s="38">
        <v>6</v>
      </c>
      <c r="J83" s="38">
        <v>6</v>
      </c>
      <c r="K83" s="38">
        <v>13</v>
      </c>
      <c r="L83" s="38">
        <v>69</v>
      </c>
      <c r="M83" s="38">
        <v>0</v>
      </c>
    </row>
    <row r="84" spans="1:13" x14ac:dyDescent="0.35">
      <c r="A84" s="38">
        <v>102</v>
      </c>
      <c r="B84" s="38" t="s">
        <v>5</v>
      </c>
      <c r="C84" s="38" t="s">
        <v>10</v>
      </c>
      <c r="D84" s="38">
        <v>91001</v>
      </c>
      <c r="E84" s="39">
        <v>200025888654</v>
      </c>
      <c r="F84" s="39" t="s">
        <v>14</v>
      </c>
      <c r="G84" s="39">
        <v>1</v>
      </c>
      <c r="H84" s="40">
        <v>45798.800381944442</v>
      </c>
      <c r="I84" s="38">
        <v>6</v>
      </c>
      <c r="J84" s="38">
        <v>6</v>
      </c>
      <c r="K84" s="38">
        <v>14</v>
      </c>
      <c r="L84" s="38">
        <v>70</v>
      </c>
      <c r="M84" s="38">
        <v>1</v>
      </c>
    </row>
    <row r="85" spans="1:13" x14ac:dyDescent="0.35">
      <c r="A85" s="38">
        <v>122</v>
      </c>
      <c r="B85" s="38" t="s">
        <v>5</v>
      </c>
      <c r="C85" s="38" t="s">
        <v>10</v>
      </c>
      <c r="D85" s="38">
        <v>91001</v>
      </c>
      <c r="E85" s="39">
        <v>200025888654</v>
      </c>
      <c r="F85" s="39" t="s">
        <v>14</v>
      </c>
      <c r="G85" s="39">
        <v>1</v>
      </c>
      <c r="H85" s="40">
        <v>45798.876215277778</v>
      </c>
      <c r="I85" s="38">
        <v>6</v>
      </c>
      <c r="J85" s="38">
        <v>6</v>
      </c>
      <c r="K85" s="38">
        <v>15</v>
      </c>
      <c r="L85" s="38">
        <v>90</v>
      </c>
      <c r="M85" s="38">
        <v>0</v>
      </c>
    </row>
    <row r="86" spans="1:13" x14ac:dyDescent="0.35">
      <c r="A86" s="38">
        <v>123</v>
      </c>
      <c r="B86" s="38" t="s">
        <v>5</v>
      </c>
      <c r="C86" s="38" t="s">
        <v>10</v>
      </c>
      <c r="D86" s="38">
        <v>91001</v>
      </c>
      <c r="E86" s="39">
        <v>200025888654</v>
      </c>
      <c r="F86" s="39" t="s">
        <v>14</v>
      </c>
      <c r="G86" s="39">
        <v>1</v>
      </c>
      <c r="H86" s="40">
        <v>45798.876226851855</v>
      </c>
      <c r="I86" s="38">
        <v>6</v>
      </c>
      <c r="J86" s="38">
        <v>6</v>
      </c>
      <c r="K86" s="38">
        <v>16</v>
      </c>
      <c r="L86" s="38">
        <v>91</v>
      </c>
      <c r="M86" s="38">
        <v>33</v>
      </c>
    </row>
    <row r="87" spans="1:13" x14ac:dyDescent="0.35">
      <c r="A87" s="38">
        <v>124</v>
      </c>
      <c r="B87" s="38" t="s">
        <v>5</v>
      </c>
      <c r="C87" s="38" t="s">
        <v>10</v>
      </c>
      <c r="D87" s="38">
        <v>91001</v>
      </c>
      <c r="E87" s="39">
        <v>200025888654</v>
      </c>
      <c r="F87" s="39" t="s">
        <v>14</v>
      </c>
      <c r="G87" s="39">
        <v>1</v>
      </c>
      <c r="H87" s="40">
        <v>45798.877326388887</v>
      </c>
      <c r="I87" s="38">
        <v>6</v>
      </c>
      <c r="J87" s="38">
        <v>6</v>
      </c>
      <c r="K87" s="38">
        <v>17</v>
      </c>
      <c r="L87" s="38">
        <v>92</v>
      </c>
      <c r="M87" s="38">
        <v>0</v>
      </c>
    </row>
    <row r="88" spans="1:13" x14ac:dyDescent="0.35">
      <c r="A88" s="38">
        <v>125</v>
      </c>
      <c r="B88" s="38" t="s">
        <v>5</v>
      </c>
      <c r="C88" s="38" t="s">
        <v>10</v>
      </c>
      <c r="D88" s="38">
        <v>91001</v>
      </c>
      <c r="E88" s="39">
        <v>200025888654</v>
      </c>
      <c r="F88" s="39" t="s">
        <v>14</v>
      </c>
      <c r="G88" s="39">
        <v>1</v>
      </c>
      <c r="H88" s="40">
        <v>45798.87740740741</v>
      </c>
      <c r="I88" s="38">
        <v>6</v>
      </c>
      <c r="J88" s="38">
        <v>6</v>
      </c>
      <c r="K88" s="38">
        <v>18</v>
      </c>
      <c r="L88" s="38">
        <v>93</v>
      </c>
      <c r="M88" s="38">
        <v>1</v>
      </c>
    </row>
    <row r="89" spans="1:13" x14ac:dyDescent="0.35">
      <c r="A89" s="38">
        <v>31</v>
      </c>
      <c r="B89" s="41" t="s">
        <v>7</v>
      </c>
      <c r="C89" s="38" t="s">
        <v>12</v>
      </c>
      <c r="D89" s="42">
        <v>93202</v>
      </c>
      <c r="E89" s="39">
        <v>200025888654</v>
      </c>
      <c r="F89" s="39" t="s">
        <v>14</v>
      </c>
      <c r="G89" s="39">
        <v>1</v>
      </c>
      <c r="H89" s="40">
        <v>45798.914050925923</v>
      </c>
      <c r="I89" s="38">
        <v>6</v>
      </c>
      <c r="J89" s="38">
        <v>6</v>
      </c>
      <c r="K89" s="38">
        <v>19</v>
      </c>
      <c r="L89" s="41">
        <v>4</v>
      </c>
      <c r="M89" s="41">
        <v>0</v>
      </c>
    </row>
    <row r="90" spans="1:13" x14ac:dyDescent="0.35">
      <c r="A90" s="38">
        <v>82</v>
      </c>
      <c r="B90" s="38" t="s">
        <v>5</v>
      </c>
      <c r="C90" s="38" t="s">
        <v>10</v>
      </c>
      <c r="D90" s="38">
        <v>91001</v>
      </c>
      <c r="E90" s="39">
        <v>200025888863</v>
      </c>
      <c r="F90" s="39" t="s">
        <v>31</v>
      </c>
      <c r="G90" s="39">
        <v>26</v>
      </c>
      <c r="H90" s="40">
        <v>45798.704502314817</v>
      </c>
      <c r="I90" s="38">
        <v>7</v>
      </c>
      <c r="J90" s="38">
        <v>7</v>
      </c>
      <c r="K90" s="38">
        <v>1</v>
      </c>
      <c r="L90" s="38">
        <v>50</v>
      </c>
      <c r="M90" s="38">
        <v>1</v>
      </c>
    </row>
    <row r="91" spans="1:13" x14ac:dyDescent="0.35">
      <c r="A91" s="38">
        <v>83</v>
      </c>
      <c r="B91" s="38" t="s">
        <v>5</v>
      </c>
      <c r="C91" s="38" t="s">
        <v>10</v>
      </c>
      <c r="D91" s="38">
        <v>91001</v>
      </c>
      <c r="E91" s="39">
        <v>200025888863</v>
      </c>
      <c r="F91" s="39" t="s">
        <v>31</v>
      </c>
      <c r="G91" s="39">
        <v>26</v>
      </c>
      <c r="H91" s="40">
        <v>45798.704872685186</v>
      </c>
      <c r="I91" s="38">
        <v>7</v>
      </c>
      <c r="J91" s="38">
        <v>7</v>
      </c>
      <c r="K91" s="38">
        <v>2</v>
      </c>
      <c r="L91" s="38">
        <v>51</v>
      </c>
      <c r="M91" s="38">
        <v>0</v>
      </c>
    </row>
    <row r="92" spans="1:13" x14ac:dyDescent="0.35">
      <c r="A92" s="38">
        <v>84</v>
      </c>
      <c r="B92" s="38" t="s">
        <v>5</v>
      </c>
      <c r="C92" s="38" t="s">
        <v>10</v>
      </c>
      <c r="D92" s="38">
        <v>91001</v>
      </c>
      <c r="E92" s="39">
        <v>200025888863</v>
      </c>
      <c r="F92" s="39" t="s">
        <v>31</v>
      </c>
      <c r="G92" s="39">
        <v>26</v>
      </c>
      <c r="H92" s="40">
        <v>45798.704872685186</v>
      </c>
      <c r="I92" s="38">
        <v>7</v>
      </c>
      <c r="J92" s="38">
        <v>7</v>
      </c>
      <c r="K92" s="38">
        <v>3</v>
      </c>
      <c r="L92" s="38">
        <v>52</v>
      </c>
      <c r="M92" s="38">
        <v>1</v>
      </c>
    </row>
    <row r="93" spans="1:13" x14ac:dyDescent="0.35">
      <c r="A93" s="38">
        <v>85</v>
      </c>
      <c r="B93" s="38" t="s">
        <v>5</v>
      </c>
      <c r="C93" s="38" t="s">
        <v>10</v>
      </c>
      <c r="D93" s="38">
        <v>91001</v>
      </c>
      <c r="E93" s="39">
        <v>200025888863</v>
      </c>
      <c r="F93" s="39" t="s">
        <v>31</v>
      </c>
      <c r="G93" s="39">
        <v>26</v>
      </c>
      <c r="H93" s="40">
        <v>45798.704884259256</v>
      </c>
      <c r="I93" s="38">
        <v>7</v>
      </c>
      <c r="J93" s="38">
        <v>7</v>
      </c>
      <c r="K93" s="38">
        <v>4</v>
      </c>
      <c r="L93" s="38">
        <v>53</v>
      </c>
      <c r="M93" s="38">
        <v>13</v>
      </c>
    </row>
    <row r="94" spans="1:13" x14ac:dyDescent="0.35">
      <c r="A94" s="38">
        <v>114</v>
      </c>
      <c r="B94" s="38" t="s">
        <v>5</v>
      </c>
      <c r="C94" s="38" t="s">
        <v>10</v>
      </c>
      <c r="D94" s="38">
        <v>91001</v>
      </c>
      <c r="E94" s="39">
        <v>200025888863</v>
      </c>
      <c r="F94" s="39" t="s">
        <v>31</v>
      </c>
      <c r="G94" s="39">
        <v>26</v>
      </c>
      <c r="H94" s="40">
        <v>45798.866608796299</v>
      </c>
      <c r="I94" s="38">
        <v>7</v>
      </c>
      <c r="J94" s="38">
        <v>7</v>
      </c>
      <c r="K94" s="38">
        <v>5</v>
      </c>
      <c r="L94" s="38">
        <v>82</v>
      </c>
      <c r="M94" s="38">
        <v>18</v>
      </c>
    </row>
    <row r="95" spans="1:13" x14ac:dyDescent="0.35">
      <c r="A95" s="38">
        <v>115</v>
      </c>
      <c r="B95" s="38" t="s">
        <v>5</v>
      </c>
      <c r="C95" s="38" t="s">
        <v>10</v>
      </c>
      <c r="D95" s="38">
        <v>91001</v>
      </c>
      <c r="E95" s="39">
        <v>200025888863</v>
      </c>
      <c r="F95" s="39" t="s">
        <v>31</v>
      </c>
      <c r="G95" s="39">
        <v>26</v>
      </c>
      <c r="H95" s="40">
        <v>45798.866979166669</v>
      </c>
      <c r="I95" s="38">
        <v>7</v>
      </c>
      <c r="J95" s="38">
        <v>7</v>
      </c>
      <c r="K95" s="38">
        <v>6</v>
      </c>
      <c r="L95" s="38">
        <v>83</v>
      </c>
      <c r="M95" s="38">
        <v>2</v>
      </c>
    </row>
    <row r="96" spans="1:13" x14ac:dyDescent="0.35">
      <c r="A96" s="38">
        <v>116</v>
      </c>
      <c r="B96" s="38" t="s">
        <v>5</v>
      </c>
      <c r="C96" s="38" t="s">
        <v>10</v>
      </c>
      <c r="D96" s="38">
        <v>91001</v>
      </c>
      <c r="E96" s="39">
        <v>200025888863</v>
      </c>
      <c r="F96" s="39" t="s">
        <v>31</v>
      </c>
      <c r="G96" s="39">
        <v>26</v>
      </c>
      <c r="H96" s="40">
        <v>45798.868611111109</v>
      </c>
      <c r="I96" s="38">
        <v>7</v>
      </c>
      <c r="J96" s="38">
        <v>7</v>
      </c>
      <c r="K96" s="38">
        <v>7</v>
      </c>
      <c r="L96" s="38">
        <v>84</v>
      </c>
      <c r="M96" s="38">
        <v>1</v>
      </c>
    </row>
    <row r="97" spans="1:13" x14ac:dyDescent="0.35">
      <c r="A97" s="38">
        <v>133</v>
      </c>
      <c r="B97" s="38" t="s">
        <v>5</v>
      </c>
      <c r="C97" s="38" t="s">
        <v>10</v>
      </c>
      <c r="D97" s="38">
        <v>91001</v>
      </c>
      <c r="E97" s="39">
        <v>200025888863</v>
      </c>
      <c r="F97" s="39" t="s">
        <v>31</v>
      </c>
      <c r="G97" s="39">
        <v>26</v>
      </c>
      <c r="H97" s="40">
        <v>45798.967048611114</v>
      </c>
      <c r="I97" s="38">
        <v>7</v>
      </c>
      <c r="J97" s="38">
        <v>7</v>
      </c>
      <c r="K97" s="38">
        <v>8</v>
      </c>
      <c r="L97" s="38">
        <v>101</v>
      </c>
      <c r="M97" s="38">
        <v>1</v>
      </c>
    </row>
    <row r="98" spans="1:13" x14ac:dyDescent="0.35">
      <c r="A98" s="38">
        <v>134</v>
      </c>
      <c r="B98" s="38" t="s">
        <v>5</v>
      </c>
      <c r="C98" s="38" t="s">
        <v>10</v>
      </c>
      <c r="D98" s="38">
        <v>91001</v>
      </c>
      <c r="E98" s="39">
        <v>200025888863</v>
      </c>
      <c r="F98" s="39" t="s">
        <v>31</v>
      </c>
      <c r="G98" s="39">
        <v>26</v>
      </c>
      <c r="H98" s="40">
        <v>45798.967280092591</v>
      </c>
      <c r="I98" s="38">
        <v>7</v>
      </c>
      <c r="J98" s="38">
        <v>7</v>
      </c>
      <c r="K98" s="38">
        <v>9</v>
      </c>
      <c r="L98" s="38">
        <v>102</v>
      </c>
      <c r="M98" s="38">
        <v>2</v>
      </c>
    </row>
    <row r="99" spans="1:13" x14ac:dyDescent="0.35">
      <c r="A99" s="38">
        <v>135</v>
      </c>
      <c r="B99" s="38" t="s">
        <v>5</v>
      </c>
      <c r="C99" s="38" t="s">
        <v>10</v>
      </c>
      <c r="D99" s="38">
        <v>91001</v>
      </c>
      <c r="E99" s="39">
        <v>200025888863</v>
      </c>
      <c r="F99" s="39" t="s">
        <v>31</v>
      </c>
      <c r="G99" s="39">
        <v>26</v>
      </c>
      <c r="H99" s="40">
        <v>45798.967557870368</v>
      </c>
      <c r="I99" s="38">
        <v>7</v>
      </c>
      <c r="J99" s="38">
        <v>7</v>
      </c>
      <c r="K99" s="38">
        <v>10</v>
      </c>
      <c r="L99" s="38">
        <v>103</v>
      </c>
      <c r="M99" s="38">
        <v>0</v>
      </c>
    </row>
    <row r="100" spans="1:13" x14ac:dyDescent="0.35">
      <c r="A100" s="38">
        <v>136</v>
      </c>
      <c r="B100" s="38" t="s">
        <v>5</v>
      </c>
      <c r="C100" s="38" t="s">
        <v>10</v>
      </c>
      <c r="D100" s="38">
        <v>91001</v>
      </c>
      <c r="E100" s="39">
        <v>200025888863</v>
      </c>
      <c r="F100" s="39" t="s">
        <v>31</v>
      </c>
      <c r="G100" s="39">
        <v>26</v>
      </c>
      <c r="H100" s="40">
        <v>45798.967557870368</v>
      </c>
      <c r="I100" s="38">
        <v>7</v>
      </c>
      <c r="J100" s="38">
        <v>7</v>
      </c>
      <c r="K100" s="38">
        <v>11</v>
      </c>
      <c r="L100" s="38">
        <v>104</v>
      </c>
      <c r="M100" s="38">
        <v>2</v>
      </c>
    </row>
    <row r="101" spans="1:13" x14ac:dyDescent="0.35">
      <c r="A101" s="38">
        <v>137</v>
      </c>
      <c r="B101" s="38" t="s">
        <v>5</v>
      </c>
      <c r="C101" s="38" t="s">
        <v>10</v>
      </c>
      <c r="D101" s="38">
        <v>91001</v>
      </c>
      <c r="E101" s="39">
        <v>200025888863</v>
      </c>
      <c r="F101" s="39" t="s">
        <v>31</v>
      </c>
      <c r="G101" s="39">
        <v>26</v>
      </c>
      <c r="H101" s="40">
        <v>45798.96775462963</v>
      </c>
      <c r="I101" s="38">
        <v>7</v>
      </c>
      <c r="J101" s="38">
        <v>7</v>
      </c>
      <c r="K101" s="38">
        <v>12</v>
      </c>
      <c r="L101" s="38">
        <v>105</v>
      </c>
      <c r="M101" s="38">
        <v>2</v>
      </c>
    </row>
    <row r="102" spans="1:13" x14ac:dyDescent="0.35">
      <c r="A102" s="38">
        <v>138</v>
      </c>
      <c r="B102" s="38" t="s">
        <v>5</v>
      </c>
      <c r="C102" s="38" t="s">
        <v>10</v>
      </c>
      <c r="D102" s="38">
        <v>91001</v>
      </c>
      <c r="E102" s="39">
        <v>200025888863</v>
      </c>
      <c r="F102" s="39" t="s">
        <v>31</v>
      </c>
      <c r="G102" s="39">
        <v>26</v>
      </c>
      <c r="H102" s="40">
        <v>45798.968043981484</v>
      </c>
      <c r="I102" s="38">
        <v>7</v>
      </c>
      <c r="J102" s="38">
        <v>7</v>
      </c>
      <c r="K102" s="38">
        <v>13</v>
      </c>
      <c r="L102" s="38">
        <v>106</v>
      </c>
      <c r="M102" s="38">
        <v>0</v>
      </c>
    </row>
    <row r="103" spans="1:13" x14ac:dyDescent="0.35">
      <c r="A103" s="38">
        <v>139</v>
      </c>
      <c r="B103" s="38" t="s">
        <v>5</v>
      </c>
      <c r="C103" s="38" t="s">
        <v>10</v>
      </c>
      <c r="D103" s="38">
        <v>91001</v>
      </c>
      <c r="E103" s="39">
        <v>200025888863</v>
      </c>
      <c r="F103" s="39" t="s">
        <v>31</v>
      </c>
      <c r="G103" s="39">
        <v>26</v>
      </c>
      <c r="H103" s="40">
        <v>45798.968055555553</v>
      </c>
      <c r="I103" s="38">
        <v>7</v>
      </c>
      <c r="J103" s="38">
        <v>7</v>
      </c>
      <c r="K103" s="38">
        <v>14</v>
      </c>
      <c r="L103" s="38">
        <v>107</v>
      </c>
      <c r="M103" s="38">
        <v>4924</v>
      </c>
    </row>
    <row r="104" spans="1:13" x14ac:dyDescent="0.35">
      <c r="A104" s="38">
        <v>165</v>
      </c>
      <c r="B104" s="38" t="s">
        <v>5</v>
      </c>
      <c r="C104" s="38" t="s">
        <v>10</v>
      </c>
      <c r="D104" s="38">
        <v>91001</v>
      </c>
      <c r="E104" s="39">
        <v>200025888863</v>
      </c>
      <c r="F104" s="39" t="s">
        <v>31</v>
      </c>
      <c r="G104" s="39">
        <v>26</v>
      </c>
      <c r="H104" s="40">
        <v>45799.255231481482</v>
      </c>
      <c r="I104" s="38">
        <v>7</v>
      </c>
      <c r="J104" s="38">
        <v>7</v>
      </c>
      <c r="K104" s="38">
        <v>15</v>
      </c>
      <c r="L104" s="38">
        <v>133</v>
      </c>
      <c r="M104" s="38">
        <v>2</v>
      </c>
    </row>
    <row r="105" spans="1:13" x14ac:dyDescent="0.35">
      <c r="A105" s="41">
        <v>224</v>
      </c>
      <c r="B105" s="41" t="s">
        <v>5</v>
      </c>
      <c r="C105" s="41" t="s">
        <v>10</v>
      </c>
      <c r="D105" s="41">
        <v>91001</v>
      </c>
      <c r="E105" s="39">
        <v>200025888863</v>
      </c>
      <c r="F105" s="39" t="s">
        <v>31</v>
      </c>
      <c r="G105" s="39">
        <v>26</v>
      </c>
      <c r="H105" s="40">
        <v>45800.380127314813</v>
      </c>
      <c r="I105" s="38">
        <v>7</v>
      </c>
      <c r="J105" s="38">
        <v>7</v>
      </c>
      <c r="K105" s="38">
        <v>16</v>
      </c>
      <c r="L105" s="38">
        <v>192</v>
      </c>
      <c r="M105" s="41">
        <v>0</v>
      </c>
    </row>
    <row r="106" spans="1:13" x14ac:dyDescent="0.35">
      <c r="A106" s="41">
        <v>225</v>
      </c>
      <c r="B106" s="41" t="s">
        <v>5</v>
      </c>
      <c r="C106" s="41" t="s">
        <v>10</v>
      </c>
      <c r="D106" s="41">
        <v>91001</v>
      </c>
      <c r="E106" s="39">
        <v>200025888863</v>
      </c>
      <c r="F106" s="39" t="s">
        <v>31</v>
      </c>
      <c r="G106" s="39">
        <v>26</v>
      </c>
      <c r="H106" s="40">
        <v>45800.38013888889</v>
      </c>
      <c r="I106" s="38">
        <v>7</v>
      </c>
      <c r="J106" s="38">
        <v>7</v>
      </c>
      <c r="K106" s="38">
        <v>17</v>
      </c>
      <c r="L106" s="38">
        <v>193</v>
      </c>
      <c r="M106" s="41">
        <v>1</v>
      </c>
    </row>
    <row r="107" spans="1:13" x14ac:dyDescent="0.35">
      <c r="A107" s="38">
        <v>86</v>
      </c>
      <c r="B107" s="38" t="s">
        <v>5</v>
      </c>
      <c r="C107" s="38" t="s">
        <v>10</v>
      </c>
      <c r="D107" s="38">
        <v>91001</v>
      </c>
      <c r="E107" s="39">
        <v>200025888163</v>
      </c>
      <c r="F107" s="39" t="s">
        <v>16</v>
      </c>
      <c r="G107" s="39">
        <v>2</v>
      </c>
      <c r="H107" s="40">
        <v>45798.715636574074</v>
      </c>
      <c r="I107" s="38">
        <v>8</v>
      </c>
      <c r="J107" s="38">
        <v>8</v>
      </c>
      <c r="K107" s="38">
        <v>1</v>
      </c>
      <c r="L107" s="38">
        <v>54</v>
      </c>
      <c r="M107" s="38">
        <v>0</v>
      </c>
    </row>
    <row r="108" spans="1:13" x14ac:dyDescent="0.35">
      <c r="A108" s="38">
        <v>87</v>
      </c>
      <c r="B108" s="38" t="s">
        <v>5</v>
      </c>
      <c r="C108" s="38" t="s">
        <v>10</v>
      </c>
      <c r="D108" s="38">
        <v>91001</v>
      </c>
      <c r="E108" s="39">
        <v>200025888163</v>
      </c>
      <c r="F108" s="39" t="s">
        <v>16</v>
      </c>
      <c r="G108" s="39">
        <v>2</v>
      </c>
      <c r="H108" s="40">
        <v>45798.715636574074</v>
      </c>
      <c r="I108" s="38">
        <v>8</v>
      </c>
      <c r="J108" s="38">
        <v>8</v>
      </c>
      <c r="K108" s="38">
        <v>2</v>
      </c>
      <c r="L108" s="38">
        <v>55</v>
      </c>
      <c r="M108" s="38">
        <v>2</v>
      </c>
    </row>
    <row r="109" spans="1:13" x14ac:dyDescent="0.35">
      <c r="A109" s="38">
        <v>88</v>
      </c>
      <c r="B109" s="38" t="s">
        <v>5</v>
      </c>
      <c r="C109" s="38" t="s">
        <v>10</v>
      </c>
      <c r="D109" s="38">
        <v>91001</v>
      </c>
      <c r="E109" s="39">
        <v>200025888163</v>
      </c>
      <c r="F109" s="39" t="s">
        <v>16</v>
      </c>
      <c r="G109" s="39">
        <v>2</v>
      </c>
      <c r="H109" s="40">
        <v>45798.716134259259</v>
      </c>
      <c r="I109" s="38">
        <v>8</v>
      </c>
      <c r="J109" s="38">
        <v>8</v>
      </c>
      <c r="K109" s="38">
        <v>3</v>
      </c>
      <c r="L109" s="38">
        <v>56</v>
      </c>
      <c r="M109" s="38">
        <v>1</v>
      </c>
    </row>
    <row r="110" spans="1:13" x14ac:dyDescent="0.35">
      <c r="A110" s="38">
        <v>89</v>
      </c>
      <c r="B110" s="38" t="s">
        <v>5</v>
      </c>
      <c r="C110" s="38" t="s">
        <v>10</v>
      </c>
      <c r="D110" s="38">
        <v>91001</v>
      </c>
      <c r="E110" s="39">
        <v>200025888163</v>
      </c>
      <c r="F110" s="39" t="s">
        <v>16</v>
      </c>
      <c r="G110" s="39">
        <v>2</v>
      </c>
      <c r="H110" s="40">
        <v>45798.716157407405</v>
      </c>
      <c r="I110" s="38">
        <v>8</v>
      </c>
      <c r="J110" s="38">
        <v>8</v>
      </c>
      <c r="K110" s="38">
        <v>4</v>
      </c>
      <c r="L110" s="38">
        <v>57</v>
      </c>
      <c r="M110" s="38">
        <v>22</v>
      </c>
    </row>
    <row r="111" spans="1:13" x14ac:dyDescent="0.35">
      <c r="A111" s="38">
        <v>90</v>
      </c>
      <c r="B111" s="38" t="s">
        <v>5</v>
      </c>
      <c r="C111" s="38" t="s">
        <v>10</v>
      </c>
      <c r="D111" s="38">
        <v>91001</v>
      </c>
      <c r="E111" s="39">
        <v>200025888163</v>
      </c>
      <c r="F111" s="39" t="s">
        <v>16</v>
      </c>
      <c r="G111" s="39">
        <v>2</v>
      </c>
      <c r="H111" s="40">
        <v>45798.716412037036</v>
      </c>
      <c r="I111" s="38">
        <v>8</v>
      </c>
      <c r="J111" s="38">
        <v>8</v>
      </c>
      <c r="K111" s="38">
        <v>5</v>
      </c>
      <c r="L111" s="38">
        <v>58</v>
      </c>
      <c r="M111" s="38">
        <v>0</v>
      </c>
    </row>
    <row r="112" spans="1:13" x14ac:dyDescent="0.35">
      <c r="A112" s="38">
        <v>91</v>
      </c>
      <c r="B112" s="38" t="s">
        <v>5</v>
      </c>
      <c r="C112" s="38" t="s">
        <v>10</v>
      </c>
      <c r="D112" s="38">
        <v>91001</v>
      </c>
      <c r="E112" s="39">
        <v>200025888163</v>
      </c>
      <c r="F112" s="39" t="s">
        <v>16</v>
      </c>
      <c r="G112" s="39">
        <v>2</v>
      </c>
      <c r="H112" s="40">
        <v>45798.716423611113</v>
      </c>
      <c r="I112" s="38">
        <v>8</v>
      </c>
      <c r="J112" s="38">
        <v>8</v>
      </c>
      <c r="K112" s="38">
        <v>6</v>
      </c>
      <c r="L112" s="38">
        <v>59</v>
      </c>
      <c r="M112" s="38">
        <v>1</v>
      </c>
    </row>
    <row r="113" spans="1:13" x14ac:dyDescent="0.35">
      <c r="A113" s="38">
        <v>93</v>
      </c>
      <c r="B113" s="38" t="s">
        <v>5</v>
      </c>
      <c r="C113" s="38" t="s">
        <v>10</v>
      </c>
      <c r="D113" s="38">
        <v>91001</v>
      </c>
      <c r="E113" s="39">
        <v>200025888163</v>
      </c>
      <c r="F113" s="39" t="s">
        <v>16</v>
      </c>
      <c r="G113" s="39">
        <v>2</v>
      </c>
      <c r="H113" s="40">
        <v>45798.727210648147</v>
      </c>
      <c r="I113" s="38">
        <v>8</v>
      </c>
      <c r="J113" s="38">
        <v>8</v>
      </c>
      <c r="K113" s="38">
        <v>7</v>
      </c>
      <c r="L113" s="38">
        <v>61</v>
      </c>
      <c r="M113" s="38">
        <v>1</v>
      </c>
    </row>
    <row r="114" spans="1:13" x14ac:dyDescent="0.35">
      <c r="A114" s="38">
        <v>180</v>
      </c>
      <c r="B114" s="38" t="s">
        <v>5</v>
      </c>
      <c r="C114" s="38" t="s">
        <v>10</v>
      </c>
      <c r="D114" s="38">
        <v>91001</v>
      </c>
      <c r="E114" s="39">
        <v>200025888163</v>
      </c>
      <c r="F114" s="39" t="s">
        <v>43</v>
      </c>
      <c r="G114" s="39">
        <v>3</v>
      </c>
      <c r="H114" s="40">
        <v>45799.495081018518</v>
      </c>
      <c r="I114" s="38">
        <v>8</v>
      </c>
      <c r="J114" s="38">
        <v>8</v>
      </c>
      <c r="K114" s="38">
        <v>8</v>
      </c>
      <c r="L114" s="38">
        <v>148</v>
      </c>
      <c r="M114" s="38">
        <v>3</v>
      </c>
    </row>
    <row r="115" spans="1:13" x14ac:dyDescent="0.35">
      <c r="A115" s="38">
        <v>92</v>
      </c>
      <c r="B115" s="38" t="s">
        <v>5</v>
      </c>
      <c r="C115" s="38" t="s">
        <v>10</v>
      </c>
      <c r="D115" s="38">
        <v>91001</v>
      </c>
      <c r="E115" s="39">
        <v>200025888740</v>
      </c>
      <c r="F115" s="39" t="s">
        <v>34</v>
      </c>
      <c r="G115" s="39">
        <v>50</v>
      </c>
      <c r="H115" s="40">
        <v>45798.725243055553</v>
      </c>
      <c r="I115" s="38">
        <v>9</v>
      </c>
      <c r="J115" s="38">
        <v>9</v>
      </c>
      <c r="K115" s="38">
        <v>1</v>
      </c>
      <c r="L115" s="38">
        <v>60</v>
      </c>
      <c r="M115" s="38">
        <v>0</v>
      </c>
    </row>
    <row r="116" spans="1:13" x14ac:dyDescent="0.35">
      <c r="A116" s="38">
        <v>96</v>
      </c>
      <c r="B116" s="38" t="s">
        <v>5</v>
      </c>
      <c r="C116" s="38" t="s">
        <v>10</v>
      </c>
      <c r="D116" s="38">
        <v>91001</v>
      </c>
      <c r="E116" s="39">
        <v>200025888717</v>
      </c>
      <c r="F116" s="39" t="s">
        <v>33</v>
      </c>
      <c r="G116" s="39">
        <v>48</v>
      </c>
      <c r="H116" s="40">
        <v>45798.774699074071</v>
      </c>
      <c r="I116" s="38">
        <v>10</v>
      </c>
      <c r="J116" s="38">
        <v>10</v>
      </c>
      <c r="K116" s="38">
        <v>1</v>
      </c>
      <c r="L116" s="38">
        <v>64</v>
      </c>
      <c r="M116" s="38">
        <v>1</v>
      </c>
    </row>
    <row r="117" spans="1:13" x14ac:dyDescent="0.35">
      <c r="A117" s="38">
        <v>97</v>
      </c>
      <c r="B117" s="38" t="s">
        <v>5</v>
      </c>
      <c r="C117" s="38" t="s">
        <v>10</v>
      </c>
      <c r="D117" s="38">
        <v>91001</v>
      </c>
      <c r="E117" s="39">
        <v>200025888717</v>
      </c>
      <c r="F117" s="39" t="s">
        <v>33</v>
      </c>
      <c r="G117" s="39">
        <v>48</v>
      </c>
      <c r="H117" s="40">
        <v>45798.774722222224</v>
      </c>
      <c r="I117" s="38">
        <v>10</v>
      </c>
      <c r="J117" s="38">
        <v>10</v>
      </c>
      <c r="K117" s="38">
        <v>2</v>
      </c>
      <c r="L117" s="38">
        <v>65</v>
      </c>
      <c r="M117" s="38">
        <v>0</v>
      </c>
    </row>
    <row r="118" spans="1:13" x14ac:dyDescent="0.35">
      <c r="A118" s="38">
        <v>117</v>
      </c>
      <c r="B118" s="38" t="s">
        <v>5</v>
      </c>
      <c r="C118" s="38" t="s">
        <v>10</v>
      </c>
      <c r="D118" s="38">
        <v>91001</v>
      </c>
      <c r="E118" s="39">
        <v>200025888717</v>
      </c>
      <c r="F118" s="39" t="s">
        <v>33</v>
      </c>
      <c r="G118" s="39">
        <v>48</v>
      </c>
      <c r="H118" s="40">
        <v>45798.870416666665</v>
      </c>
      <c r="I118" s="38">
        <v>10</v>
      </c>
      <c r="J118" s="38">
        <v>10</v>
      </c>
      <c r="K118" s="38">
        <v>3</v>
      </c>
      <c r="L118" s="38">
        <v>85</v>
      </c>
      <c r="M118" s="38">
        <v>0</v>
      </c>
    </row>
    <row r="119" spans="1:13" x14ac:dyDescent="0.35">
      <c r="A119" s="38">
        <v>118</v>
      </c>
      <c r="B119" s="38" t="s">
        <v>5</v>
      </c>
      <c r="C119" s="38" t="s">
        <v>10</v>
      </c>
      <c r="D119" s="38">
        <v>91001</v>
      </c>
      <c r="E119" s="39">
        <v>200025888717</v>
      </c>
      <c r="F119" s="39" t="s">
        <v>33</v>
      </c>
      <c r="G119" s="39">
        <v>48</v>
      </c>
      <c r="H119" s="40">
        <v>45798.87054398148</v>
      </c>
      <c r="I119" s="38">
        <v>10</v>
      </c>
      <c r="J119" s="38">
        <v>10</v>
      </c>
      <c r="K119" s="38">
        <v>4</v>
      </c>
      <c r="L119" s="38">
        <v>86</v>
      </c>
      <c r="M119" s="38">
        <v>0</v>
      </c>
    </row>
    <row r="120" spans="1:13" x14ac:dyDescent="0.35">
      <c r="A120" s="38">
        <v>150</v>
      </c>
      <c r="B120" s="38" t="s">
        <v>5</v>
      </c>
      <c r="C120" s="38" t="s">
        <v>10</v>
      </c>
      <c r="D120" s="38">
        <v>91001</v>
      </c>
      <c r="E120" s="39">
        <v>200025888717</v>
      </c>
      <c r="F120" s="39" t="s">
        <v>33</v>
      </c>
      <c r="G120" s="39">
        <v>48</v>
      </c>
      <c r="H120" s="40">
        <v>45799.182858796295</v>
      </c>
      <c r="I120" s="38">
        <v>10</v>
      </c>
      <c r="J120" s="38">
        <v>10</v>
      </c>
      <c r="K120" s="38">
        <v>5</v>
      </c>
      <c r="L120" s="38">
        <v>118</v>
      </c>
      <c r="M120" s="38">
        <v>1</v>
      </c>
    </row>
    <row r="121" spans="1:13" x14ac:dyDescent="0.35">
      <c r="A121" s="38">
        <v>151</v>
      </c>
      <c r="B121" s="38" t="s">
        <v>5</v>
      </c>
      <c r="C121" s="38" t="s">
        <v>10</v>
      </c>
      <c r="D121" s="38">
        <v>91001</v>
      </c>
      <c r="E121" s="39">
        <v>200025888717</v>
      </c>
      <c r="F121" s="39" t="s">
        <v>33</v>
      </c>
      <c r="G121" s="39">
        <v>48</v>
      </c>
      <c r="H121" s="40">
        <v>45799.184999999998</v>
      </c>
      <c r="I121" s="38">
        <v>10</v>
      </c>
      <c r="J121" s="38">
        <v>10</v>
      </c>
      <c r="K121" s="38">
        <v>6</v>
      </c>
      <c r="L121" s="38">
        <v>119</v>
      </c>
      <c r="M121" s="38">
        <v>195</v>
      </c>
    </row>
    <row r="122" spans="1:13" x14ac:dyDescent="0.35">
      <c r="A122" s="38">
        <v>154</v>
      </c>
      <c r="B122" s="38" t="s">
        <v>5</v>
      </c>
      <c r="C122" s="38" t="s">
        <v>10</v>
      </c>
      <c r="D122" s="38">
        <v>91001</v>
      </c>
      <c r="E122" s="39">
        <v>200025888717</v>
      </c>
      <c r="F122" s="39" t="s">
        <v>33</v>
      </c>
      <c r="G122" s="39">
        <v>48</v>
      </c>
      <c r="H122" s="40">
        <v>45799.208078703705</v>
      </c>
      <c r="I122" s="38">
        <v>10</v>
      </c>
      <c r="J122" s="38">
        <v>10</v>
      </c>
      <c r="K122" s="38">
        <v>7</v>
      </c>
      <c r="L122" s="38">
        <v>122</v>
      </c>
      <c r="M122" s="38">
        <v>107</v>
      </c>
    </row>
    <row r="123" spans="1:13" x14ac:dyDescent="0.35">
      <c r="A123" s="38">
        <v>155</v>
      </c>
      <c r="B123" s="38" t="s">
        <v>5</v>
      </c>
      <c r="C123" s="38" t="s">
        <v>10</v>
      </c>
      <c r="D123" s="38">
        <v>91001</v>
      </c>
      <c r="E123" s="39">
        <v>200025888717</v>
      </c>
      <c r="F123" s="39" t="s">
        <v>33</v>
      </c>
      <c r="G123" s="39">
        <v>48</v>
      </c>
      <c r="H123" s="40">
        <v>45799.210069444445</v>
      </c>
      <c r="I123" s="38">
        <v>10</v>
      </c>
      <c r="J123" s="38">
        <v>10</v>
      </c>
      <c r="K123" s="38">
        <v>8</v>
      </c>
      <c r="L123" s="38">
        <v>123</v>
      </c>
      <c r="M123" s="38">
        <v>1</v>
      </c>
    </row>
    <row r="124" spans="1:13" x14ac:dyDescent="0.35">
      <c r="A124" s="38">
        <v>156</v>
      </c>
      <c r="B124" s="38" t="s">
        <v>5</v>
      </c>
      <c r="C124" s="38" t="s">
        <v>10</v>
      </c>
      <c r="D124" s="38">
        <v>91001</v>
      </c>
      <c r="E124" s="39">
        <v>200025888717</v>
      </c>
      <c r="F124" s="39" t="s">
        <v>33</v>
      </c>
      <c r="G124" s="39">
        <v>48</v>
      </c>
      <c r="H124" s="40">
        <v>45799.210081018522</v>
      </c>
      <c r="I124" s="38">
        <v>10</v>
      </c>
      <c r="J124" s="38">
        <v>10</v>
      </c>
      <c r="K124" s="38">
        <v>9</v>
      </c>
      <c r="L124" s="38">
        <v>124</v>
      </c>
      <c r="M124" s="38">
        <v>1</v>
      </c>
    </row>
    <row r="125" spans="1:13" x14ac:dyDescent="0.35">
      <c r="A125" s="38">
        <v>157</v>
      </c>
      <c r="B125" s="38" t="s">
        <v>5</v>
      </c>
      <c r="C125" s="38" t="s">
        <v>10</v>
      </c>
      <c r="D125" s="38">
        <v>91001</v>
      </c>
      <c r="E125" s="39">
        <v>200025888717</v>
      </c>
      <c r="F125" s="39" t="s">
        <v>33</v>
      </c>
      <c r="G125" s="39">
        <v>48</v>
      </c>
      <c r="H125" s="40">
        <v>45799.214212962965</v>
      </c>
      <c r="I125" s="38">
        <v>10</v>
      </c>
      <c r="J125" s="38">
        <v>10</v>
      </c>
      <c r="K125" s="38">
        <v>10</v>
      </c>
      <c r="L125" s="38">
        <v>125</v>
      </c>
      <c r="M125" s="38">
        <v>1</v>
      </c>
    </row>
    <row r="126" spans="1:13" x14ac:dyDescent="0.35">
      <c r="A126" s="38">
        <v>158</v>
      </c>
      <c r="B126" s="38" t="s">
        <v>5</v>
      </c>
      <c r="C126" s="38" t="s">
        <v>10</v>
      </c>
      <c r="D126" s="38">
        <v>91001</v>
      </c>
      <c r="E126" s="39">
        <v>200025888717</v>
      </c>
      <c r="F126" s="39" t="s">
        <v>33</v>
      </c>
      <c r="G126" s="39">
        <v>48</v>
      </c>
      <c r="H126" s="40">
        <v>45799.215462962966</v>
      </c>
      <c r="I126" s="38">
        <v>10</v>
      </c>
      <c r="J126" s="38">
        <v>10</v>
      </c>
      <c r="K126" s="38">
        <v>11</v>
      </c>
      <c r="L126" s="38">
        <v>126</v>
      </c>
      <c r="M126" s="38">
        <v>2</v>
      </c>
    </row>
    <row r="127" spans="1:13" x14ac:dyDescent="0.35">
      <c r="A127" s="38">
        <v>159</v>
      </c>
      <c r="B127" s="38" t="s">
        <v>5</v>
      </c>
      <c r="C127" s="38" t="s">
        <v>10</v>
      </c>
      <c r="D127" s="38">
        <v>91001</v>
      </c>
      <c r="E127" s="39">
        <v>200025888717</v>
      </c>
      <c r="F127" s="39" t="s">
        <v>33</v>
      </c>
      <c r="G127" s="39">
        <v>48</v>
      </c>
      <c r="H127" s="40">
        <v>45799.215601851851</v>
      </c>
      <c r="I127" s="38">
        <v>10</v>
      </c>
      <c r="J127" s="38">
        <v>10</v>
      </c>
      <c r="K127" s="38">
        <v>12</v>
      </c>
      <c r="L127" s="38">
        <v>127</v>
      </c>
      <c r="M127" s="38">
        <v>1</v>
      </c>
    </row>
    <row r="128" spans="1:13" x14ac:dyDescent="0.35">
      <c r="A128" s="38">
        <v>160</v>
      </c>
      <c r="B128" s="38" t="s">
        <v>5</v>
      </c>
      <c r="C128" s="38" t="s">
        <v>10</v>
      </c>
      <c r="D128" s="38">
        <v>91001</v>
      </c>
      <c r="E128" s="39">
        <v>200025888717</v>
      </c>
      <c r="F128" s="39" t="s">
        <v>33</v>
      </c>
      <c r="G128" s="39">
        <v>48</v>
      </c>
      <c r="H128" s="40">
        <v>45799.215624999997</v>
      </c>
      <c r="I128" s="38">
        <v>10</v>
      </c>
      <c r="J128" s="38">
        <v>10</v>
      </c>
      <c r="K128" s="38">
        <v>13</v>
      </c>
      <c r="L128" s="38">
        <v>128</v>
      </c>
      <c r="M128" s="38">
        <v>1</v>
      </c>
    </row>
    <row r="129" spans="1:13" x14ac:dyDescent="0.35">
      <c r="A129" s="38">
        <v>161</v>
      </c>
      <c r="B129" s="38" t="s">
        <v>5</v>
      </c>
      <c r="C129" s="38" t="s">
        <v>10</v>
      </c>
      <c r="D129" s="38">
        <v>91001</v>
      </c>
      <c r="E129" s="39">
        <v>200025888717</v>
      </c>
      <c r="F129" s="39" t="s">
        <v>33</v>
      </c>
      <c r="G129" s="39">
        <v>48</v>
      </c>
      <c r="H129" s="40">
        <v>45799.215775462966</v>
      </c>
      <c r="I129" s="38">
        <v>10</v>
      </c>
      <c r="J129" s="38">
        <v>10</v>
      </c>
      <c r="K129" s="38">
        <v>14</v>
      </c>
      <c r="L129" s="38">
        <v>129</v>
      </c>
      <c r="M129" s="38">
        <v>291</v>
      </c>
    </row>
    <row r="130" spans="1:13" x14ac:dyDescent="0.35">
      <c r="A130" s="38">
        <v>162</v>
      </c>
      <c r="B130" s="38" t="s">
        <v>5</v>
      </c>
      <c r="C130" s="38" t="s">
        <v>10</v>
      </c>
      <c r="D130" s="38">
        <v>91001</v>
      </c>
      <c r="E130" s="39">
        <v>200025888717</v>
      </c>
      <c r="F130" s="39" t="s">
        <v>33</v>
      </c>
      <c r="G130" s="39">
        <v>48</v>
      </c>
      <c r="H130" s="40">
        <v>45799.219328703701</v>
      </c>
      <c r="I130" s="38">
        <v>10</v>
      </c>
      <c r="J130" s="38">
        <v>10</v>
      </c>
      <c r="K130" s="38">
        <v>15</v>
      </c>
      <c r="L130" s="38">
        <v>130</v>
      </c>
      <c r="M130" s="38">
        <v>0</v>
      </c>
    </row>
    <row r="131" spans="1:13" x14ac:dyDescent="0.35">
      <c r="A131" s="38">
        <v>108</v>
      </c>
      <c r="B131" s="38" t="s">
        <v>5</v>
      </c>
      <c r="C131" s="38" t="s">
        <v>10</v>
      </c>
      <c r="D131" s="38">
        <v>91001</v>
      </c>
      <c r="E131" s="39">
        <v>200025888839</v>
      </c>
      <c r="F131" s="39" t="s">
        <v>26</v>
      </c>
      <c r="G131" s="39">
        <v>16</v>
      </c>
      <c r="H131" s="40">
        <v>45798.810324074075</v>
      </c>
      <c r="I131" s="38">
        <v>11</v>
      </c>
      <c r="J131" s="38">
        <v>11</v>
      </c>
      <c r="K131" s="38">
        <v>1</v>
      </c>
      <c r="L131" s="38">
        <v>76</v>
      </c>
      <c r="M131" s="38">
        <v>0</v>
      </c>
    </row>
    <row r="132" spans="1:13" x14ac:dyDescent="0.35">
      <c r="A132" s="38">
        <v>109</v>
      </c>
      <c r="B132" s="38" t="s">
        <v>5</v>
      </c>
      <c r="C132" s="38" t="s">
        <v>10</v>
      </c>
      <c r="D132" s="38">
        <v>91001</v>
      </c>
      <c r="E132" s="39">
        <v>200025888839</v>
      </c>
      <c r="F132" s="39" t="s">
        <v>26</v>
      </c>
      <c r="G132" s="39">
        <v>16</v>
      </c>
      <c r="H132" s="40">
        <v>45798.810324074075</v>
      </c>
      <c r="I132" s="38">
        <v>11</v>
      </c>
      <c r="J132" s="38">
        <v>11</v>
      </c>
      <c r="K132" s="38">
        <v>2</v>
      </c>
      <c r="L132" s="38">
        <v>77</v>
      </c>
      <c r="M132" s="38">
        <v>0</v>
      </c>
    </row>
    <row r="133" spans="1:13" x14ac:dyDescent="0.35">
      <c r="A133" s="38">
        <v>110</v>
      </c>
      <c r="B133" s="38" t="s">
        <v>5</v>
      </c>
      <c r="C133" s="38" t="s">
        <v>10</v>
      </c>
      <c r="D133" s="38">
        <v>91001</v>
      </c>
      <c r="E133" s="39">
        <v>200025888839</v>
      </c>
      <c r="F133" s="39" t="s">
        <v>26</v>
      </c>
      <c r="G133" s="39">
        <v>16</v>
      </c>
      <c r="H133" s="40">
        <v>45798.810335648152</v>
      </c>
      <c r="I133" s="38">
        <v>11</v>
      </c>
      <c r="J133" s="38">
        <v>11</v>
      </c>
      <c r="K133" s="38">
        <v>3</v>
      </c>
      <c r="L133" s="38">
        <v>78</v>
      </c>
      <c r="M133" s="38">
        <v>0</v>
      </c>
    </row>
    <row r="134" spans="1:13" x14ac:dyDescent="0.35">
      <c r="A134" s="38">
        <v>126</v>
      </c>
      <c r="B134" s="38" t="s">
        <v>5</v>
      </c>
      <c r="C134" s="38" t="s">
        <v>10</v>
      </c>
      <c r="D134" s="38">
        <v>91001</v>
      </c>
      <c r="E134" s="39">
        <v>200025888808</v>
      </c>
      <c r="F134" s="39" t="s">
        <v>36</v>
      </c>
      <c r="G134" s="39">
        <v>43</v>
      </c>
      <c r="H134" s="40">
        <v>45798.901967592596</v>
      </c>
      <c r="I134" s="38">
        <v>12</v>
      </c>
      <c r="J134" s="38">
        <v>12</v>
      </c>
      <c r="K134" s="38">
        <v>1</v>
      </c>
      <c r="L134" s="38">
        <v>94</v>
      </c>
      <c r="M134" s="38">
        <v>1</v>
      </c>
    </row>
    <row r="135" spans="1:13" x14ac:dyDescent="0.35">
      <c r="A135" s="38">
        <v>152</v>
      </c>
      <c r="B135" s="38" t="s">
        <v>5</v>
      </c>
      <c r="C135" s="38" t="s">
        <v>10</v>
      </c>
      <c r="D135" s="38">
        <v>91001</v>
      </c>
      <c r="E135" s="39">
        <v>200025888808</v>
      </c>
      <c r="F135" s="39" t="s">
        <v>36</v>
      </c>
      <c r="G135" s="39">
        <v>43</v>
      </c>
      <c r="H135" s="40">
        <v>45799.189340277779</v>
      </c>
      <c r="I135" s="38">
        <v>12</v>
      </c>
      <c r="J135" s="38">
        <v>12</v>
      </c>
      <c r="K135" s="38">
        <v>2</v>
      </c>
      <c r="L135" s="38">
        <v>120</v>
      </c>
      <c r="M135" s="38">
        <v>1</v>
      </c>
    </row>
    <row r="136" spans="1:13" x14ac:dyDescent="0.35">
      <c r="A136" s="38">
        <v>153</v>
      </c>
      <c r="B136" s="38" t="s">
        <v>5</v>
      </c>
      <c r="C136" s="38" t="s">
        <v>10</v>
      </c>
      <c r="D136" s="38">
        <v>91001</v>
      </c>
      <c r="E136" s="39">
        <v>200025888808</v>
      </c>
      <c r="F136" s="39" t="s">
        <v>36</v>
      </c>
      <c r="G136" s="39">
        <v>43</v>
      </c>
      <c r="H136" s="40">
        <v>45799.18953703704</v>
      </c>
      <c r="I136" s="38">
        <v>12</v>
      </c>
      <c r="J136" s="38">
        <v>12</v>
      </c>
      <c r="K136" s="38">
        <v>3</v>
      </c>
      <c r="L136" s="38">
        <v>121</v>
      </c>
      <c r="M136" s="38">
        <v>1</v>
      </c>
    </row>
    <row r="137" spans="1:13" x14ac:dyDescent="0.35">
      <c r="A137" s="38">
        <v>163</v>
      </c>
      <c r="B137" s="38" t="s">
        <v>5</v>
      </c>
      <c r="C137" s="38" t="s">
        <v>10</v>
      </c>
      <c r="D137" s="38">
        <v>91001</v>
      </c>
      <c r="E137" s="39">
        <v>200025888808</v>
      </c>
      <c r="F137" s="39" t="s">
        <v>36</v>
      </c>
      <c r="G137" s="39">
        <v>43</v>
      </c>
      <c r="H137" s="40">
        <v>45799.232152777775</v>
      </c>
      <c r="I137" s="38">
        <v>12</v>
      </c>
      <c r="J137" s="38">
        <v>12</v>
      </c>
      <c r="K137" s="38">
        <v>4</v>
      </c>
      <c r="L137" s="38">
        <v>131</v>
      </c>
      <c r="M137" s="38">
        <v>345</v>
      </c>
    </row>
    <row r="138" spans="1:13" x14ac:dyDescent="0.35">
      <c r="A138" s="38">
        <v>171</v>
      </c>
      <c r="B138" s="38" t="s">
        <v>5</v>
      </c>
      <c r="C138" s="38" t="s">
        <v>10</v>
      </c>
      <c r="D138" s="38">
        <v>91001</v>
      </c>
      <c r="E138" s="39">
        <v>200025888808</v>
      </c>
      <c r="F138" s="39" t="s">
        <v>36</v>
      </c>
      <c r="G138" s="39">
        <v>43</v>
      </c>
      <c r="H138" s="40">
        <v>45799.269074074073</v>
      </c>
      <c r="I138" s="38">
        <v>12</v>
      </c>
      <c r="J138" s="38">
        <v>12</v>
      </c>
      <c r="K138" s="38">
        <v>5</v>
      </c>
      <c r="L138" s="38">
        <v>139</v>
      </c>
      <c r="M138" s="38">
        <v>1</v>
      </c>
    </row>
    <row r="139" spans="1:13" x14ac:dyDescent="0.35">
      <c r="A139" s="38">
        <v>183</v>
      </c>
      <c r="B139" s="38" t="s">
        <v>5</v>
      </c>
      <c r="C139" s="38" t="s">
        <v>10</v>
      </c>
      <c r="D139" s="38">
        <v>91001</v>
      </c>
      <c r="E139" s="39">
        <v>200025888808</v>
      </c>
      <c r="F139" s="39" t="s">
        <v>36</v>
      </c>
      <c r="G139" s="39">
        <v>43</v>
      </c>
      <c r="H139" s="40">
        <v>45799.558888888889</v>
      </c>
      <c r="I139" s="38">
        <v>12</v>
      </c>
      <c r="J139" s="38">
        <v>12</v>
      </c>
      <c r="K139" s="38">
        <v>6</v>
      </c>
      <c r="L139" s="38">
        <v>151</v>
      </c>
      <c r="M139" s="38">
        <v>2</v>
      </c>
    </row>
    <row r="140" spans="1:13" x14ac:dyDescent="0.35">
      <c r="A140" s="38">
        <v>184</v>
      </c>
      <c r="B140" s="38" t="s">
        <v>5</v>
      </c>
      <c r="C140" s="38" t="s">
        <v>10</v>
      </c>
      <c r="D140" s="38">
        <v>91001</v>
      </c>
      <c r="E140" s="39">
        <v>200025888808</v>
      </c>
      <c r="F140" s="39" t="s">
        <v>36</v>
      </c>
      <c r="G140" s="39">
        <v>43</v>
      </c>
      <c r="H140" s="40">
        <v>45799.560601851852</v>
      </c>
      <c r="I140" s="38">
        <v>12</v>
      </c>
      <c r="J140" s="38">
        <v>12</v>
      </c>
      <c r="K140" s="38">
        <v>7</v>
      </c>
      <c r="L140" s="38">
        <v>152</v>
      </c>
      <c r="M140" s="38">
        <v>1</v>
      </c>
    </row>
    <row r="141" spans="1:13" x14ac:dyDescent="0.35">
      <c r="A141" s="38">
        <v>185</v>
      </c>
      <c r="B141" s="38" t="s">
        <v>5</v>
      </c>
      <c r="C141" s="38" t="s">
        <v>10</v>
      </c>
      <c r="D141" s="38">
        <v>91001</v>
      </c>
      <c r="E141" s="39">
        <v>200025888808</v>
      </c>
      <c r="F141" s="39" t="s">
        <v>36</v>
      </c>
      <c r="G141" s="39">
        <v>43</v>
      </c>
      <c r="H141" s="40">
        <v>45799.560891203706</v>
      </c>
      <c r="I141" s="38">
        <v>12</v>
      </c>
      <c r="J141" s="38">
        <v>12</v>
      </c>
      <c r="K141" s="38">
        <v>8</v>
      </c>
      <c r="L141" s="38">
        <v>153</v>
      </c>
      <c r="M141" s="38">
        <v>0</v>
      </c>
    </row>
    <row r="142" spans="1:13" x14ac:dyDescent="0.35">
      <c r="A142" s="38">
        <v>186</v>
      </c>
      <c r="B142" s="38" t="s">
        <v>5</v>
      </c>
      <c r="C142" s="38" t="s">
        <v>10</v>
      </c>
      <c r="D142" s="38">
        <v>91001</v>
      </c>
      <c r="E142" s="39">
        <v>200025888808</v>
      </c>
      <c r="F142" s="39" t="s">
        <v>36</v>
      </c>
      <c r="G142" s="39">
        <v>43</v>
      </c>
      <c r="H142" s="40">
        <v>45799.560902777775</v>
      </c>
      <c r="I142" s="38">
        <v>12</v>
      </c>
      <c r="J142" s="38">
        <v>12</v>
      </c>
      <c r="K142" s="38">
        <v>9</v>
      </c>
      <c r="L142" s="38">
        <v>154</v>
      </c>
      <c r="M142" s="38">
        <v>23</v>
      </c>
    </row>
    <row r="143" spans="1:13" x14ac:dyDescent="0.35">
      <c r="A143" s="38">
        <v>187</v>
      </c>
      <c r="B143" s="38" t="s">
        <v>5</v>
      </c>
      <c r="C143" s="38" t="s">
        <v>10</v>
      </c>
      <c r="D143" s="38">
        <v>91001</v>
      </c>
      <c r="E143" s="39">
        <v>200025888808</v>
      </c>
      <c r="F143" s="39" t="s">
        <v>36</v>
      </c>
      <c r="G143" s="39">
        <v>43</v>
      </c>
      <c r="H143" s="40">
        <v>45799.561180555553</v>
      </c>
      <c r="I143" s="38">
        <v>12</v>
      </c>
      <c r="J143" s="38">
        <v>12</v>
      </c>
      <c r="K143" s="38">
        <v>10</v>
      </c>
      <c r="L143" s="38">
        <v>155</v>
      </c>
      <c r="M143" s="38">
        <v>0</v>
      </c>
    </row>
    <row r="144" spans="1:13" x14ac:dyDescent="0.35">
      <c r="A144" s="38">
        <v>188</v>
      </c>
      <c r="B144" s="38" t="s">
        <v>5</v>
      </c>
      <c r="C144" s="38" t="s">
        <v>10</v>
      </c>
      <c r="D144" s="38">
        <v>91001</v>
      </c>
      <c r="E144" s="39">
        <v>200025888808</v>
      </c>
      <c r="F144" s="39" t="s">
        <v>36</v>
      </c>
      <c r="G144" s="39">
        <v>43</v>
      </c>
      <c r="H144" s="40">
        <v>45799.563923611109</v>
      </c>
      <c r="I144" s="38">
        <v>12</v>
      </c>
      <c r="J144" s="38">
        <v>12</v>
      </c>
      <c r="K144" s="38">
        <v>11</v>
      </c>
      <c r="L144" s="38">
        <v>156</v>
      </c>
      <c r="M144" s="38">
        <v>0</v>
      </c>
    </row>
    <row r="145" spans="1:13" x14ac:dyDescent="0.35">
      <c r="A145" s="38">
        <v>189</v>
      </c>
      <c r="B145" s="38" t="s">
        <v>5</v>
      </c>
      <c r="C145" s="38" t="s">
        <v>10</v>
      </c>
      <c r="D145" s="38">
        <v>91001</v>
      </c>
      <c r="E145" s="39">
        <v>200025888808</v>
      </c>
      <c r="F145" s="39" t="s">
        <v>36</v>
      </c>
      <c r="G145" s="39">
        <v>43</v>
      </c>
      <c r="H145" s="40">
        <v>45799.570648148147</v>
      </c>
      <c r="I145" s="38">
        <v>12</v>
      </c>
      <c r="J145" s="38">
        <v>12</v>
      </c>
      <c r="K145" s="38">
        <v>12</v>
      </c>
      <c r="L145" s="38">
        <v>157</v>
      </c>
      <c r="M145" s="38">
        <v>1</v>
      </c>
    </row>
    <row r="146" spans="1:13" x14ac:dyDescent="0.35">
      <c r="A146" s="38">
        <v>194</v>
      </c>
      <c r="B146" s="38" t="s">
        <v>5</v>
      </c>
      <c r="C146" s="38" t="s">
        <v>10</v>
      </c>
      <c r="D146" s="38">
        <v>91001</v>
      </c>
      <c r="E146" s="39">
        <v>200025888808</v>
      </c>
      <c r="F146" s="39" t="s">
        <v>36</v>
      </c>
      <c r="G146" s="39">
        <v>43</v>
      </c>
      <c r="H146" s="40">
        <v>45799.583252314813</v>
      </c>
      <c r="I146" s="38">
        <v>12</v>
      </c>
      <c r="J146" s="38">
        <v>12</v>
      </c>
      <c r="K146" s="38">
        <v>13</v>
      </c>
      <c r="L146" s="38">
        <v>162</v>
      </c>
      <c r="M146" s="38">
        <v>1</v>
      </c>
    </row>
    <row r="147" spans="1:13" x14ac:dyDescent="0.35">
      <c r="A147" s="38">
        <v>127</v>
      </c>
      <c r="B147" s="38" t="s">
        <v>5</v>
      </c>
      <c r="C147" s="38" t="s">
        <v>10</v>
      </c>
      <c r="D147" s="38">
        <v>91001</v>
      </c>
      <c r="E147" s="39">
        <v>200025888791</v>
      </c>
      <c r="F147" s="39" t="s">
        <v>19</v>
      </c>
      <c r="G147" s="39">
        <v>7</v>
      </c>
      <c r="H147" s="40">
        <v>45798.904317129629</v>
      </c>
      <c r="I147" s="38">
        <v>13</v>
      </c>
      <c r="J147" s="38">
        <v>13</v>
      </c>
      <c r="K147" s="38">
        <v>1</v>
      </c>
      <c r="L147" s="38">
        <v>95</v>
      </c>
      <c r="M147" s="38">
        <v>0</v>
      </c>
    </row>
    <row r="148" spans="1:13" x14ac:dyDescent="0.35">
      <c r="A148" s="38">
        <v>128</v>
      </c>
      <c r="B148" s="38" t="s">
        <v>5</v>
      </c>
      <c r="C148" s="38" t="s">
        <v>10</v>
      </c>
      <c r="D148" s="38">
        <v>91001</v>
      </c>
      <c r="E148" s="39">
        <v>200025888791</v>
      </c>
      <c r="F148" s="39" t="s">
        <v>19</v>
      </c>
      <c r="G148" s="39">
        <v>7</v>
      </c>
      <c r="H148" s="40">
        <v>45798.904328703706</v>
      </c>
      <c r="I148" s="38">
        <v>13</v>
      </c>
      <c r="J148" s="38">
        <v>13</v>
      </c>
      <c r="K148" s="38">
        <v>2</v>
      </c>
      <c r="L148" s="38">
        <v>96</v>
      </c>
      <c r="M148" s="38">
        <v>15</v>
      </c>
    </row>
    <row r="149" spans="1:13" x14ac:dyDescent="0.35">
      <c r="A149" s="38">
        <v>129</v>
      </c>
      <c r="B149" s="38" t="s">
        <v>5</v>
      </c>
      <c r="C149" s="38" t="s">
        <v>10</v>
      </c>
      <c r="D149" s="38">
        <v>91001</v>
      </c>
      <c r="E149" s="39">
        <v>200025888791</v>
      </c>
      <c r="F149" s="39" t="s">
        <v>19</v>
      </c>
      <c r="G149" s="39">
        <v>7</v>
      </c>
      <c r="H149" s="40">
        <v>45798.904513888891</v>
      </c>
      <c r="I149" s="38">
        <v>13</v>
      </c>
      <c r="J149" s="38">
        <v>13</v>
      </c>
      <c r="K149" s="38">
        <v>3</v>
      </c>
      <c r="L149" s="38">
        <v>97</v>
      </c>
      <c r="M149" s="38">
        <v>0</v>
      </c>
    </row>
    <row r="150" spans="1:13" x14ac:dyDescent="0.35">
      <c r="A150" s="38">
        <v>130</v>
      </c>
      <c r="B150" s="38" t="s">
        <v>5</v>
      </c>
      <c r="C150" s="38" t="s">
        <v>10</v>
      </c>
      <c r="D150" s="38">
        <v>91001</v>
      </c>
      <c r="E150" s="39">
        <v>200025888791</v>
      </c>
      <c r="F150" s="39" t="s">
        <v>19</v>
      </c>
      <c r="G150" s="39">
        <v>7</v>
      </c>
      <c r="H150" s="40">
        <v>45798.90452546296</v>
      </c>
      <c r="I150" s="38">
        <v>13</v>
      </c>
      <c r="J150" s="38">
        <v>13</v>
      </c>
      <c r="K150" s="38">
        <v>4</v>
      </c>
      <c r="L150" s="38">
        <v>98</v>
      </c>
      <c r="M150" s="38">
        <v>24</v>
      </c>
    </row>
    <row r="151" spans="1:13" x14ac:dyDescent="0.35">
      <c r="A151" s="38">
        <v>131</v>
      </c>
      <c r="B151" s="38" t="s">
        <v>5</v>
      </c>
      <c r="C151" s="38" t="s">
        <v>10</v>
      </c>
      <c r="D151" s="38">
        <v>91001</v>
      </c>
      <c r="E151" s="39">
        <v>200025888791</v>
      </c>
      <c r="F151" s="39" t="s">
        <v>19</v>
      </c>
      <c r="G151" s="39">
        <v>7</v>
      </c>
      <c r="H151" s="40">
        <v>45798.904814814814</v>
      </c>
      <c r="I151" s="38">
        <v>13</v>
      </c>
      <c r="J151" s="38">
        <v>13</v>
      </c>
      <c r="K151" s="38">
        <v>5</v>
      </c>
      <c r="L151" s="38">
        <v>99</v>
      </c>
      <c r="M151" s="38">
        <v>2</v>
      </c>
    </row>
    <row r="152" spans="1:13" x14ac:dyDescent="0.35">
      <c r="A152" s="38">
        <v>132</v>
      </c>
      <c r="B152" s="38" t="s">
        <v>5</v>
      </c>
      <c r="C152" s="38" t="s">
        <v>10</v>
      </c>
      <c r="D152" s="38">
        <v>91001</v>
      </c>
      <c r="E152" s="39">
        <v>200025888791</v>
      </c>
      <c r="F152" s="39" t="s">
        <v>19</v>
      </c>
      <c r="G152" s="39">
        <v>7</v>
      </c>
      <c r="H152" s="40">
        <v>45798.905335648145</v>
      </c>
      <c r="I152" s="38">
        <v>13</v>
      </c>
      <c r="J152" s="38">
        <v>13</v>
      </c>
      <c r="K152" s="38">
        <v>6</v>
      </c>
      <c r="L152" s="38">
        <v>100</v>
      </c>
      <c r="M152" s="38">
        <v>158</v>
      </c>
    </row>
    <row r="153" spans="1:13" x14ac:dyDescent="0.35">
      <c r="A153" s="38">
        <v>140</v>
      </c>
      <c r="B153" s="38" t="s">
        <v>5</v>
      </c>
      <c r="C153" s="38" t="s">
        <v>10</v>
      </c>
      <c r="D153" s="38">
        <v>91001</v>
      </c>
      <c r="E153" s="39">
        <v>200025888791</v>
      </c>
      <c r="F153" s="39" t="s">
        <v>19</v>
      </c>
      <c r="G153" s="39">
        <v>7</v>
      </c>
      <c r="H153" s="40">
        <v>45799.027395833335</v>
      </c>
      <c r="I153" s="38">
        <v>13</v>
      </c>
      <c r="J153" s="38">
        <v>13</v>
      </c>
      <c r="K153" s="38">
        <v>7</v>
      </c>
      <c r="L153" s="38">
        <v>108</v>
      </c>
      <c r="M153" s="38">
        <v>1</v>
      </c>
    </row>
    <row r="154" spans="1:13" x14ac:dyDescent="0.35">
      <c r="A154" s="38">
        <v>146</v>
      </c>
      <c r="B154" s="38" t="s">
        <v>5</v>
      </c>
      <c r="C154" s="38" t="s">
        <v>10</v>
      </c>
      <c r="D154" s="38">
        <v>91001</v>
      </c>
      <c r="E154" s="39">
        <v>200025888791</v>
      </c>
      <c r="F154" s="39" t="s">
        <v>19</v>
      </c>
      <c r="G154" s="39">
        <v>7</v>
      </c>
      <c r="H154" s="40">
        <v>45799.084467592591</v>
      </c>
      <c r="I154" s="38">
        <v>13</v>
      </c>
      <c r="J154" s="38">
        <v>13</v>
      </c>
      <c r="K154" s="38">
        <v>8</v>
      </c>
      <c r="L154" s="38">
        <v>114</v>
      </c>
      <c r="M154" s="38">
        <v>0</v>
      </c>
    </row>
    <row r="155" spans="1:13" x14ac:dyDescent="0.35">
      <c r="A155" s="38">
        <v>173</v>
      </c>
      <c r="B155" s="38" t="s">
        <v>5</v>
      </c>
      <c r="C155" s="38" t="s">
        <v>10</v>
      </c>
      <c r="D155" s="38">
        <v>91001</v>
      </c>
      <c r="E155" s="39">
        <v>200025888791</v>
      </c>
      <c r="F155" s="39" t="s">
        <v>19</v>
      </c>
      <c r="G155" s="39">
        <v>7</v>
      </c>
      <c r="H155" s="40">
        <v>45799.405405092592</v>
      </c>
      <c r="I155" s="38">
        <v>13</v>
      </c>
      <c r="J155" s="38">
        <v>13</v>
      </c>
      <c r="K155" s="38">
        <v>9</v>
      </c>
      <c r="L155" s="38">
        <v>141</v>
      </c>
      <c r="M155" s="38">
        <v>0</v>
      </c>
    </row>
    <row r="156" spans="1:13" x14ac:dyDescent="0.35">
      <c r="A156" s="38">
        <v>174</v>
      </c>
      <c r="B156" s="38" t="s">
        <v>5</v>
      </c>
      <c r="C156" s="38" t="s">
        <v>10</v>
      </c>
      <c r="D156" s="38">
        <v>91001</v>
      </c>
      <c r="E156" s="39">
        <v>200025888791</v>
      </c>
      <c r="F156" s="39" t="s">
        <v>19</v>
      </c>
      <c r="G156" s="39">
        <v>7</v>
      </c>
      <c r="H156" s="40">
        <v>45799.405405092592</v>
      </c>
      <c r="I156" s="38">
        <v>13</v>
      </c>
      <c r="J156" s="38">
        <v>13</v>
      </c>
      <c r="K156" s="38">
        <v>10</v>
      </c>
      <c r="L156" s="38">
        <v>142</v>
      </c>
      <c r="M156" s="38">
        <v>1</v>
      </c>
    </row>
    <row r="157" spans="1:13" x14ac:dyDescent="0.35">
      <c r="A157" s="38">
        <v>175</v>
      </c>
      <c r="B157" s="38" t="s">
        <v>5</v>
      </c>
      <c r="C157" s="38" t="s">
        <v>10</v>
      </c>
      <c r="D157" s="38">
        <v>91001</v>
      </c>
      <c r="E157" s="39">
        <v>200025888791</v>
      </c>
      <c r="F157" s="39" t="s">
        <v>19</v>
      </c>
      <c r="G157" s="39">
        <v>7</v>
      </c>
      <c r="H157" s="40">
        <v>45799.405416666668</v>
      </c>
      <c r="I157" s="38">
        <v>13</v>
      </c>
      <c r="J157" s="38">
        <v>13</v>
      </c>
      <c r="K157" s="38">
        <v>11</v>
      </c>
      <c r="L157" s="38">
        <v>143</v>
      </c>
      <c r="M157" s="38">
        <v>1306</v>
      </c>
    </row>
    <row r="158" spans="1:13" x14ac:dyDescent="0.35">
      <c r="A158" s="38">
        <v>30</v>
      </c>
      <c r="B158" s="41" t="s">
        <v>7</v>
      </c>
      <c r="C158" s="38" t="s">
        <v>12</v>
      </c>
      <c r="D158" s="42">
        <v>93202</v>
      </c>
      <c r="E158" s="39">
        <v>200025888868</v>
      </c>
      <c r="F158" s="39" t="s">
        <v>38</v>
      </c>
      <c r="G158" s="39">
        <v>44</v>
      </c>
      <c r="H158" s="40">
        <v>45798.908206018517</v>
      </c>
      <c r="I158" s="38">
        <v>14</v>
      </c>
      <c r="J158" s="38">
        <v>14</v>
      </c>
      <c r="K158" s="38">
        <v>1</v>
      </c>
      <c r="L158" s="41">
        <v>3</v>
      </c>
      <c r="M158" s="41">
        <v>0</v>
      </c>
    </row>
    <row r="159" spans="1:13" x14ac:dyDescent="0.35">
      <c r="A159" s="41">
        <v>33</v>
      </c>
      <c r="B159" s="41" t="s">
        <v>7</v>
      </c>
      <c r="C159" s="38" t="s">
        <v>12</v>
      </c>
      <c r="D159" s="42">
        <v>93202</v>
      </c>
      <c r="E159" s="39">
        <v>200025888868</v>
      </c>
      <c r="F159" s="39" t="s">
        <v>38</v>
      </c>
      <c r="G159" s="39">
        <v>44</v>
      </c>
      <c r="H159" s="40">
        <v>45798.945081018515</v>
      </c>
      <c r="I159" s="38">
        <v>14</v>
      </c>
      <c r="J159" s="38">
        <v>14</v>
      </c>
      <c r="K159" s="38">
        <v>2</v>
      </c>
      <c r="L159" s="41">
        <v>6</v>
      </c>
      <c r="M159" s="41">
        <v>0</v>
      </c>
    </row>
    <row r="160" spans="1:13" x14ac:dyDescent="0.35">
      <c r="A160" s="41">
        <v>34</v>
      </c>
      <c r="B160" s="41" t="s">
        <v>7</v>
      </c>
      <c r="C160" s="38" t="s">
        <v>12</v>
      </c>
      <c r="D160" s="42">
        <v>93202</v>
      </c>
      <c r="E160" s="39">
        <v>200025888868</v>
      </c>
      <c r="F160" s="39" t="s">
        <v>38</v>
      </c>
      <c r="G160" s="39">
        <v>44</v>
      </c>
      <c r="H160" s="40">
        <v>45799.227569444447</v>
      </c>
      <c r="I160" s="38">
        <v>14</v>
      </c>
      <c r="J160" s="38">
        <v>14</v>
      </c>
      <c r="K160" s="38">
        <v>3</v>
      </c>
      <c r="L160" s="41">
        <v>7</v>
      </c>
      <c r="M160" s="41">
        <v>0</v>
      </c>
    </row>
    <row r="161" spans="1:13" x14ac:dyDescent="0.35">
      <c r="A161" s="41">
        <v>166</v>
      </c>
      <c r="B161" s="38" t="s">
        <v>5</v>
      </c>
      <c r="C161" s="38" t="s">
        <v>10</v>
      </c>
      <c r="D161" s="38">
        <v>91001</v>
      </c>
      <c r="E161" s="39">
        <v>200025888868</v>
      </c>
      <c r="F161" s="39" t="s">
        <v>38</v>
      </c>
      <c r="G161" s="39">
        <v>44</v>
      </c>
      <c r="H161" s="40">
        <v>45799.257881944446</v>
      </c>
      <c r="I161" s="38">
        <v>14</v>
      </c>
      <c r="J161" s="38">
        <v>14</v>
      </c>
      <c r="K161" s="38">
        <v>4</v>
      </c>
      <c r="L161" s="38">
        <v>134</v>
      </c>
      <c r="M161" s="38">
        <v>1</v>
      </c>
    </row>
    <row r="162" spans="1:13" x14ac:dyDescent="0.35">
      <c r="A162" s="38">
        <v>32</v>
      </c>
      <c r="B162" s="41" t="s">
        <v>7</v>
      </c>
      <c r="C162" s="38" t="s">
        <v>12</v>
      </c>
      <c r="D162" s="42">
        <v>93202</v>
      </c>
      <c r="E162" s="39">
        <v>200025888504</v>
      </c>
      <c r="F162" s="39" t="s">
        <v>27</v>
      </c>
      <c r="G162" s="39">
        <v>40</v>
      </c>
      <c r="H162" s="40">
        <v>45798.931296296294</v>
      </c>
      <c r="I162" s="38">
        <v>15</v>
      </c>
      <c r="J162" s="38">
        <v>15</v>
      </c>
      <c r="K162" s="38">
        <v>1</v>
      </c>
      <c r="L162" s="41">
        <v>5</v>
      </c>
      <c r="M162" s="41">
        <v>0</v>
      </c>
    </row>
    <row r="163" spans="1:13" x14ac:dyDescent="0.35">
      <c r="A163" s="38">
        <v>141</v>
      </c>
      <c r="B163" s="38" t="s">
        <v>5</v>
      </c>
      <c r="C163" s="38" t="s">
        <v>10</v>
      </c>
      <c r="D163" s="38">
        <v>91001</v>
      </c>
      <c r="E163" s="39">
        <v>200025888216</v>
      </c>
      <c r="F163" s="39" t="s">
        <v>21</v>
      </c>
      <c r="G163" s="39">
        <v>33</v>
      </c>
      <c r="H163" s="40">
        <v>45799.040590277778</v>
      </c>
      <c r="I163" s="38">
        <v>16</v>
      </c>
      <c r="J163" s="38">
        <v>16</v>
      </c>
      <c r="K163" s="38">
        <v>1</v>
      </c>
      <c r="L163" s="38">
        <v>109</v>
      </c>
      <c r="M163" s="38">
        <v>0</v>
      </c>
    </row>
    <row r="164" spans="1:13" x14ac:dyDescent="0.35">
      <c r="A164" s="38">
        <v>176</v>
      </c>
      <c r="B164" s="38" t="s">
        <v>5</v>
      </c>
      <c r="C164" s="38" t="s">
        <v>10</v>
      </c>
      <c r="D164" s="38">
        <v>91001</v>
      </c>
      <c r="E164" s="39">
        <v>200025888216</v>
      </c>
      <c r="F164" s="39" t="s">
        <v>21</v>
      </c>
      <c r="G164" s="39">
        <v>33</v>
      </c>
      <c r="H164" s="40">
        <v>45799.420543981483</v>
      </c>
      <c r="I164" s="38">
        <v>16</v>
      </c>
      <c r="J164" s="38">
        <v>16</v>
      </c>
      <c r="K164" s="38">
        <v>2</v>
      </c>
      <c r="L164" s="38">
        <v>144</v>
      </c>
      <c r="M164" s="38">
        <v>0</v>
      </c>
    </row>
    <row r="165" spans="1:13" x14ac:dyDescent="0.35">
      <c r="A165" s="41">
        <v>197</v>
      </c>
      <c r="B165" s="41" t="s">
        <v>5</v>
      </c>
      <c r="C165" s="41" t="s">
        <v>10</v>
      </c>
      <c r="D165" s="41">
        <v>91001</v>
      </c>
      <c r="E165" s="39">
        <v>200025888216</v>
      </c>
      <c r="F165" s="39" t="s">
        <v>21</v>
      </c>
      <c r="G165" s="39">
        <v>33</v>
      </c>
      <c r="H165" s="40">
        <v>45799.70648148148</v>
      </c>
      <c r="I165" s="38">
        <v>16</v>
      </c>
      <c r="J165" s="38">
        <v>16</v>
      </c>
      <c r="K165" s="38">
        <v>3</v>
      </c>
      <c r="L165" s="38">
        <v>165</v>
      </c>
      <c r="M165" s="41">
        <v>0</v>
      </c>
    </row>
    <row r="166" spans="1:13" x14ac:dyDescent="0.35">
      <c r="A166" s="41">
        <v>205</v>
      </c>
      <c r="B166" s="41" t="s">
        <v>5</v>
      </c>
      <c r="C166" s="41" t="s">
        <v>10</v>
      </c>
      <c r="D166" s="41">
        <v>91001</v>
      </c>
      <c r="E166" s="39">
        <v>200025888216</v>
      </c>
      <c r="F166" s="39" t="s">
        <v>21</v>
      </c>
      <c r="G166" s="39">
        <v>33</v>
      </c>
      <c r="H166" s="40">
        <v>45799.801666666666</v>
      </c>
      <c r="I166" s="38">
        <v>16</v>
      </c>
      <c r="J166" s="38">
        <v>16</v>
      </c>
      <c r="K166" s="38">
        <v>4</v>
      </c>
      <c r="L166" s="38">
        <v>173</v>
      </c>
      <c r="M166" s="41">
        <v>1</v>
      </c>
    </row>
    <row r="167" spans="1:13" x14ac:dyDescent="0.35">
      <c r="A167" s="38">
        <v>142</v>
      </c>
      <c r="B167" s="38" t="s">
        <v>5</v>
      </c>
      <c r="C167" s="38" t="s">
        <v>10</v>
      </c>
      <c r="D167" s="38">
        <v>91001</v>
      </c>
      <c r="E167" s="39">
        <v>200025888812</v>
      </c>
      <c r="F167" s="39" t="s">
        <v>37</v>
      </c>
      <c r="G167" s="39">
        <v>49</v>
      </c>
      <c r="H167" s="40">
        <v>45799.046331018515</v>
      </c>
      <c r="I167" s="38">
        <v>17</v>
      </c>
      <c r="J167" s="38">
        <v>17</v>
      </c>
      <c r="K167" s="38">
        <v>1</v>
      </c>
      <c r="L167" s="38">
        <v>110</v>
      </c>
      <c r="M167" s="38">
        <v>0</v>
      </c>
    </row>
    <row r="168" spans="1:13" x14ac:dyDescent="0.35">
      <c r="A168" s="38">
        <v>143</v>
      </c>
      <c r="B168" s="38" t="s">
        <v>5</v>
      </c>
      <c r="C168" s="38" t="s">
        <v>10</v>
      </c>
      <c r="D168" s="38">
        <v>91001</v>
      </c>
      <c r="E168" s="39">
        <v>200025888812</v>
      </c>
      <c r="F168" s="39" t="s">
        <v>37</v>
      </c>
      <c r="G168" s="39">
        <v>49</v>
      </c>
      <c r="H168" s="40">
        <v>45799.046689814815</v>
      </c>
      <c r="I168" s="38">
        <v>17</v>
      </c>
      <c r="J168" s="38">
        <v>17</v>
      </c>
      <c r="K168" s="38">
        <v>2</v>
      </c>
      <c r="L168" s="38">
        <v>111</v>
      </c>
      <c r="M168" s="38">
        <v>0</v>
      </c>
    </row>
    <row r="169" spans="1:13" x14ac:dyDescent="0.35">
      <c r="A169" s="38">
        <v>181</v>
      </c>
      <c r="B169" s="38" t="s">
        <v>5</v>
      </c>
      <c r="C169" s="38" t="s">
        <v>10</v>
      </c>
      <c r="D169" s="38">
        <v>91001</v>
      </c>
      <c r="E169" s="39">
        <v>200025888812</v>
      </c>
      <c r="F169" s="39" t="s">
        <v>37</v>
      </c>
      <c r="G169" s="39">
        <v>49</v>
      </c>
      <c r="H169" s="40">
        <v>45799.499143518522</v>
      </c>
      <c r="I169" s="38">
        <v>17</v>
      </c>
      <c r="J169" s="38">
        <v>17</v>
      </c>
      <c r="K169" s="38">
        <v>3</v>
      </c>
      <c r="L169" s="38">
        <v>149</v>
      </c>
      <c r="M169" s="38">
        <v>1</v>
      </c>
    </row>
    <row r="170" spans="1:13" x14ac:dyDescent="0.35">
      <c r="A170" s="38">
        <v>182</v>
      </c>
      <c r="B170" s="38" t="s">
        <v>5</v>
      </c>
      <c r="C170" s="38" t="s">
        <v>10</v>
      </c>
      <c r="D170" s="38">
        <v>91001</v>
      </c>
      <c r="E170" s="39">
        <v>200025888812</v>
      </c>
      <c r="F170" s="39" t="s">
        <v>37</v>
      </c>
      <c r="G170" s="39">
        <v>49</v>
      </c>
      <c r="H170" s="40">
        <v>45799.499155092592</v>
      </c>
      <c r="I170" s="38">
        <v>17</v>
      </c>
      <c r="J170" s="38">
        <v>17</v>
      </c>
      <c r="K170" s="38">
        <v>4</v>
      </c>
      <c r="L170" s="38">
        <v>150</v>
      </c>
      <c r="M170" s="38">
        <v>0</v>
      </c>
    </row>
    <row r="171" spans="1:13" x14ac:dyDescent="0.35">
      <c r="A171" s="38">
        <v>190</v>
      </c>
      <c r="B171" s="38" t="s">
        <v>5</v>
      </c>
      <c r="C171" s="38" t="s">
        <v>10</v>
      </c>
      <c r="D171" s="38">
        <v>91001</v>
      </c>
      <c r="E171" s="39">
        <v>200025888812</v>
      </c>
      <c r="F171" s="39" t="s">
        <v>37</v>
      </c>
      <c r="G171" s="39">
        <v>49</v>
      </c>
      <c r="H171" s="40">
        <v>45799.5783912037</v>
      </c>
      <c r="I171" s="38">
        <v>17</v>
      </c>
      <c r="J171" s="38">
        <v>17</v>
      </c>
      <c r="K171" s="38">
        <v>5</v>
      </c>
      <c r="L171" s="38">
        <v>158</v>
      </c>
      <c r="M171" s="38">
        <v>1</v>
      </c>
    </row>
    <row r="172" spans="1:13" x14ac:dyDescent="0.35">
      <c r="A172" s="38">
        <v>191</v>
      </c>
      <c r="B172" s="38" t="s">
        <v>5</v>
      </c>
      <c r="C172" s="38" t="s">
        <v>10</v>
      </c>
      <c r="D172" s="38">
        <v>91001</v>
      </c>
      <c r="E172" s="39">
        <v>200025888812</v>
      </c>
      <c r="F172" s="39" t="s">
        <v>37</v>
      </c>
      <c r="G172" s="39">
        <v>49</v>
      </c>
      <c r="H172" s="40">
        <v>45799.578553240739</v>
      </c>
      <c r="I172" s="38">
        <v>17</v>
      </c>
      <c r="J172" s="38">
        <v>17</v>
      </c>
      <c r="K172" s="38">
        <v>6</v>
      </c>
      <c r="L172" s="38">
        <v>159</v>
      </c>
      <c r="M172" s="38">
        <v>0</v>
      </c>
    </row>
    <row r="173" spans="1:13" x14ac:dyDescent="0.35">
      <c r="A173" s="38">
        <v>192</v>
      </c>
      <c r="B173" s="38" t="s">
        <v>5</v>
      </c>
      <c r="C173" s="38" t="s">
        <v>10</v>
      </c>
      <c r="D173" s="38">
        <v>91001</v>
      </c>
      <c r="E173" s="39">
        <v>200025888812</v>
      </c>
      <c r="F173" s="39" t="s">
        <v>37</v>
      </c>
      <c r="G173" s="39">
        <v>49</v>
      </c>
      <c r="H173" s="40">
        <v>45799.578726851854</v>
      </c>
      <c r="I173" s="38">
        <v>17</v>
      </c>
      <c r="J173" s="38">
        <v>17</v>
      </c>
      <c r="K173" s="38">
        <v>7</v>
      </c>
      <c r="L173" s="38">
        <v>160</v>
      </c>
      <c r="M173" s="38">
        <v>0</v>
      </c>
    </row>
    <row r="174" spans="1:13" x14ac:dyDescent="0.35">
      <c r="A174" s="38">
        <v>193</v>
      </c>
      <c r="B174" s="38" t="s">
        <v>5</v>
      </c>
      <c r="C174" s="38" t="s">
        <v>10</v>
      </c>
      <c r="D174" s="38">
        <v>91001</v>
      </c>
      <c r="E174" s="39">
        <v>200025888812</v>
      </c>
      <c r="F174" s="39" t="s">
        <v>37</v>
      </c>
      <c r="G174" s="39">
        <v>49</v>
      </c>
      <c r="H174" s="40">
        <v>45799.578738425924</v>
      </c>
      <c r="I174" s="38">
        <v>17</v>
      </c>
      <c r="J174" s="38">
        <v>17</v>
      </c>
      <c r="K174" s="38">
        <v>8</v>
      </c>
      <c r="L174" s="38">
        <v>161</v>
      </c>
      <c r="M174" s="38">
        <v>0</v>
      </c>
    </row>
    <row r="175" spans="1:13" x14ac:dyDescent="0.35">
      <c r="A175" s="38">
        <v>144</v>
      </c>
      <c r="B175" s="38" t="s">
        <v>5</v>
      </c>
      <c r="C175" s="38" t="s">
        <v>10</v>
      </c>
      <c r="D175" s="38">
        <v>91001</v>
      </c>
      <c r="E175" s="39">
        <v>200025888272</v>
      </c>
      <c r="F175" s="39" t="s">
        <v>23</v>
      </c>
      <c r="G175" s="39">
        <v>11</v>
      </c>
      <c r="H175" s="40">
        <v>45799.076701388891</v>
      </c>
      <c r="I175" s="38">
        <v>18</v>
      </c>
      <c r="J175" s="38">
        <v>18</v>
      </c>
      <c r="K175" s="38">
        <v>1</v>
      </c>
      <c r="L175" s="38">
        <v>112</v>
      </c>
      <c r="M175" s="38">
        <v>0</v>
      </c>
    </row>
    <row r="176" spans="1:13" x14ac:dyDescent="0.35">
      <c r="A176" s="38">
        <v>145</v>
      </c>
      <c r="B176" s="38" t="s">
        <v>5</v>
      </c>
      <c r="C176" s="38" t="s">
        <v>10</v>
      </c>
      <c r="D176" s="38">
        <v>91001</v>
      </c>
      <c r="E176" s="39">
        <v>200025888272</v>
      </c>
      <c r="F176" s="39" t="s">
        <v>23</v>
      </c>
      <c r="G176" s="39">
        <v>11</v>
      </c>
      <c r="H176" s="40">
        <v>45799.076701388891</v>
      </c>
      <c r="I176" s="38">
        <v>18</v>
      </c>
      <c r="J176" s="38">
        <v>18</v>
      </c>
      <c r="K176" s="38">
        <v>2</v>
      </c>
      <c r="L176" s="38">
        <v>113</v>
      </c>
      <c r="M176" s="38">
        <v>1</v>
      </c>
    </row>
    <row r="177" spans="1:13" x14ac:dyDescent="0.35">
      <c r="A177" s="38">
        <v>147</v>
      </c>
      <c r="B177" s="38" t="s">
        <v>5</v>
      </c>
      <c r="C177" s="38" t="s">
        <v>10</v>
      </c>
      <c r="D177" s="38">
        <v>91001</v>
      </c>
      <c r="E177" s="39">
        <v>200025888271</v>
      </c>
      <c r="F177" s="39" t="s">
        <v>25</v>
      </c>
      <c r="G177" s="39">
        <v>17</v>
      </c>
      <c r="H177" s="40">
        <v>45799.101458333331</v>
      </c>
      <c r="I177" s="38">
        <v>19</v>
      </c>
      <c r="J177" s="38">
        <v>19</v>
      </c>
      <c r="K177" s="38">
        <v>1</v>
      </c>
      <c r="L177" s="38">
        <v>115</v>
      </c>
      <c r="M177" s="38">
        <v>1</v>
      </c>
    </row>
    <row r="178" spans="1:13" x14ac:dyDescent="0.35">
      <c r="A178" s="38">
        <v>148</v>
      </c>
      <c r="B178" s="38" t="s">
        <v>5</v>
      </c>
      <c r="C178" s="38" t="s">
        <v>10</v>
      </c>
      <c r="D178" s="38">
        <v>91001</v>
      </c>
      <c r="E178" s="39">
        <v>200025888271</v>
      </c>
      <c r="F178" s="39" t="s">
        <v>25</v>
      </c>
      <c r="G178" s="39">
        <v>17</v>
      </c>
      <c r="H178" s="40">
        <v>45799.101469907408</v>
      </c>
      <c r="I178" s="38">
        <v>19</v>
      </c>
      <c r="J178" s="38">
        <v>19</v>
      </c>
      <c r="K178" s="38">
        <v>2</v>
      </c>
      <c r="L178" s="38">
        <v>116</v>
      </c>
      <c r="M178" s="38">
        <v>1</v>
      </c>
    </row>
    <row r="179" spans="1:13" x14ac:dyDescent="0.35">
      <c r="A179" s="38">
        <v>164</v>
      </c>
      <c r="B179" s="38" t="s">
        <v>5</v>
      </c>
      <c r="C179" s="38" t="s">
        <v>10</v>
      </c>
      <c r="D179" s="38">
        <v>91001</v>
      </c>
      <c r="E179" s="39">
        <v>200025888271</v>
      </c>
      <c r="F179" s="39" t="s">
        <v>25</v>
      </c>
      <c r="G179" s="39">
        <v>17</v>
      </c>
      <c r="H179" s="40">
        <v>45799.254386574074</v>
      </c>
      <c r="I179" s="38">
        <v>19</v>
      </c>
      <c r="J179" s="38">
        <v>19</v>
      </c>
      <c r="K179" s="38">
        <v>3</v>
      </c>
      <c r="L179" s="38">
        <v>132</v>
      </c>
      <c r="M179" s="38">
        <v>1</v>
      </c>
    </row>
    <row r="180" spans="1:13" x14ac:dyDescent="0.35">
      <c r="A180" s="41">
        <v>201</v>
      </c>
      <c r="B180" s="41" t="s">
        <v>5</v>
      </c>
      <c r="C180" s="41" t="s">
        <v>10</v>
      </c>
      <c r="D180" s="41">
        <v>91001</v>
      </c>
      <c r="E180" s="39">
        <v>200025888271</v>
      </c>
      <c r="F180" s="39" t="s">
        <v>25</v>
      </c>
      <c r="G180" s="39">
        <v>17</v>
      </c>
      <c r="H180" s="40">
        <v>45799.750428240739</v>
      </c>
      <c r="I180" s="38">
        <v>19</v>
      </c>
      <c r="J180" s="38">
        <v>19</v>
      </c>
      <c r="K180" s="38">
        <v>4</v>
      </c>
      <c r="L180" s="38">
        <v>169</v>
      </c>
      <c r="M180" s="41">
        <v>2</v>
      </c>
    </row>
    <row r="181" spans="1:13" x14ac:dyDescent="0.35">
      <c r="A181" s="41">
        <v>202</v>
      </c>
      <c r="B181" s="41" t="s">
        <v>5</v>
      </c>
      <c r="C181" s="41" t="s">
        <v>10</v>
      </c>
      <c r="D181" s="41">
        <v>91001</v>
      </c>
      <c r="E181" s="39">
        <v>200025888271</v>
      </c>
      <c r="F181" s="39" t="s">
        <v>25</v>
      </c>
      <c r="G181" s="39">
        <v>17</v>
      </c>
      <c r="H181" s="40">
        <v>45799.750613425924</v>
      </c>
      <c r="I181" s="38">
        <v>19</v>
      </c>
      <c r="J181" s="38">
        <v>19</v>
      </c>
      <c r="K181" s="38">
        <v>5</v>
      </c>
      <c r="L181" s="38">
        <v>170</v>
      </c>
      <c r="M181" s="41">
        <v>1</v>
      </c>
    </row>
    <row r="182" spans="1:13" x14ac:dyDescent="0.35">
      <c r="A182" s="38">
        <v>149</v>
      </c>
      <c r="B182" s="38" t="s">
        <v>5</v>
      </c>
      <c r="C182" s="38" t="s">
        <v>10</v>
      </c>
      <c r="D182" s="38">
        <v>91001</v>
      </c>
      <c r="E182" s="39">
        <v>200025888608</v>
      </c>
      <c r="F182" s="39" t="s">
        <v>29</v>
      </c>
      <c r="G182" s="39">
        <v>38</v>
      </c>
      <c r="H182" s="40">
        <v>45799.129664351851</v>
      </c>
      <c r="I182" s="38">
        <v>20</v>
      </c>
      <c r="J182" s="38">
        <v>20</v>
      </c>
      <c r="K182" s="38">
        <v>1</v>
      </c>
      <c r="L182" s="38">
        <v>117</v>
      </c>
      <c r="M182" s="38">
        <v>1</v>
      </c>
    </row>
    <row r="183" spans="1:13" x14ac:dyDescent="0.35">
      <c r="A183" s="41">
        <v>210</v>
      </c>
      <c r="B183" s="41" t="s">
        <v>5</v>
      </c>
      <c r="C183" s="41" t="s">
        <v>10</v>
      </c>
      <c r="D183" s="41">
        <v>91001</v>
      </c>
      <c r="E183" s="39">
        <v>200025888608</v>
      </c>
      <c r="F183" s="39" t="s">
        <v>29</v>
      </c>
      <c r="G183" s="39">
        <v>38</v>
      </c>
      <c r="H183" s="40">
        <v>45799.82603009259</v>
      </c>
      <c r="I183" s="38">
        <v>20</v>
      </c>
      <c r="J183" s="38">
        <v>20</v>
      </c>
      <c r="K183" s="38">
        <v>2</v>
      </c>
      <c r="L183" s="38">
        <v>178</v>
      </c>
      <c r="M183" s="41">
        <v>0</v>
      </c>
    </row>
    <row r="184" spans="1:13" x14ac:dyDescent="0.35">
      <c r="A184" s="41">
        <v>211</v>
      </c>
      <c r="B184" s="41" t="s">
        <v>5</v>
      </c>
      <c r="C184" s="41" t="s">
        <v>10</v>
      </c>
      <c r="D184" s="41">
        <v>91001</v>
      </c>
      <c r="E184" s="39">
        <v>200025888608</v>
      </c>
      <c r="F184" s="39" t="s">
        <v>29</v>
      </c>
      <c r="G184" s="39">
        <v>38</v>
      </c>
      <c r="H184" s="40">
        <v>45799.831377314818</v>
      </c>
      <c r="I184" s="38">
        <v>20</v>
      </c>
      <c r="J184" s="38">
        <v>20</v>
      </c>
      <c r="K184" s="38">
        <v>3</v>
      </c>
      <c r="L184" s="38">
        <v>179</v>
      </c>
      <c r="M184" s="41">
        <v>1</v>
      </c>
    </row>
    <row r="185" spans="1:13" x14ac:dyDescent="0.35">
      <c r="A185" s="41">
        <v>212</v>
      </c>
      <c r="B185" s="41" t="s">
        <v>5</v>
      </c>
      <c r="C185" s="41" t="s">
        <v>10</v>
      </c>
      <c r="D185" s="41">
        <v>91001</v>
      </c>
      <c r="E185" s="39">
        <v>200025888608</v>
      </c>
      <c r="F185" s="39" t="s">
        <v>29</v>
      </c>
      <c r="G185" s="39">
        <v>38</v>
      </c>
      <c r="H185" s="40">
        <v>45799.831400462965</v>
      </c>
      <c r="I185" s="38">
        <v>20</v>
      </c>
      <c r="J185" s="38">
        <v>20</v>
      </c>
      <c r="K185" s="38">
        <v>4</v>
      </c>
      <c r="L185" s="38">
        <v>180</v>
      </c>
      <c r="M185" s="41">
        <v>1</v>
      </c>
    </row>
    <row r="186" spans="1:13" x14ac:dyDescent="0.35">
      <c r="A186" s="41">
        <v>213</v>
      </c>
      <c r="B186" s="41" t="s">
        <v>5</v>
      </c>
      <c r="C186" s="41" t="s">
        <v>10</v>
      </c>
      <c r="D186" s="41">
        <v>91001</v>
      </c>
      <c r="E186" s="39">
        <v>200025888608</v>
      </c>
      <c r="F186" s="39" t="s">
        <v>29</v>
      </c>
      <c r="G186" s="39">
        <v>38</v>
      </c>
      <c r="H186" s="40">
        <v>45799.834745370368</v>
      </c>
      <c r="I186" s="38">
        <v>20</v>
      </c>
      <c r="J186" s="38">
        <v>20</v>
      </c>
      <c r="K186" s="38">
        <v>5</v>
      </c>
      <c r="L186" s="38">
        <v>181</v>
      </c>
      <c r="M186" s="41">
        <v>0</v>
      </c>
    </row>
    <row r="187" spans="1:13" x14ac:dyDescent="0.35">
      <c r="A187" s="38">
        <v>172</v>
      </c>
      <c r="B187" s="38" t="s">
        <v>5</v>
      </c>
      <c r="C187" s="38" t="s">
        <v>10</v>
      </c>
      <c r="D187" s="38">
        <v>91001</v>
      </c>
      <c r="E187" s="39">
        <v>200025888235</v>
      </c>
      <c r="F187" s="39" t="s">
        <v>22</v>
      </c>
      <c r="G187" s="39">
        <v>22</v>
      </c>
      <c r="H187" s="40">
        <v>45799.332499999997</v>
      </c>
      <c r="I187" s="38">
        <v>21</v>
      </c>
      <c r="J187" s="38">
        <v>21</v>
      </c>
      <c r="K187" s="38">
        <v>1</v>
      </c>
      <c r="L187" s="38">
        <v>140</v>
      </c>
      <c r="M187" s="38">
        <v>1</v>
      </c>
    </row>
    <row r="188" spans="1:13" x14ac:dyDescent="0.35">
      <c r="A188" s="38">
        <v>177</v>
      </c>
      <c r="B188" s="38" t="s">
        <v>5</v>
      </c>
      <c r="C188" s="38" t="s">
        <v>10</v>
      </c>
      <c r="D188" s="38">
        <v>91001</v>
      </c>
      <c r="E188" s="39">
        <v>200025888235</v>
      </c>
      <c r="F188" s="39" t="s">
        <v>22</v>
      </c>
      <c r="G188" s="39">
        <v>22</v>
      </c>
      <c r="H188" s="40">
        <v>45799.440474537034</v>
      </c>
      <c r="I188" s="38">
        <v>21</v>
      </c>
      <c r="J188" s="38">
        <v>21</v>
      </c>
      <c r="K188" s="38">
        <v>2</v>
      </c>
      <c r="L188" s="38">
        <v>145</v>
      </c>
      <c r="M188" s="38">
        <v>0</v>
      </c>
    </row>
    <row r="189" spans="1:13" x14ac:dyDescent="0.35">
      <c r="A189" s="38">
        <v>178</v>
      </c>
      <c r="B189" s="38" t="s">
        <v>5</v>
      </c>
      <c r="C189" s="38" t="s">
        <v>10</v>
      </c>
      <c r="D189" s="38">
        <v>91001</v>
      </c>
      <c r="E189" s="39">
        <v>200025888235</v>
      </c>
      <c r="F189" s="39" t="s">
        <v>22</v>
      </c>
      <c r="G189" s="39">
        <v>22</v>
      </c>
      <c r="H189" s="40">
        <v>45799.440486111111</v>
      </c>
      <c r="I189" s="38">
        <v>21</v>
      </c>
      <c r="J189" s="38">
        <v>21</v>
      </c>
      <c r="K189" s="38">
        <v>3</v>
      </c>
      <c r="L189" s="38">
        <v>146</v>
      </c>
      <c r="M189" s="38">
        <v>0</v>
      </c>
    </row>
    <row r="190" spans="1:13" x14ac:dyDescent="0.35">
      <c r="A190" s="38">
        <v>179</v>
      </c>
      <c r="B190" s="38" t="s">
        <v>5</v>
      </c>
      <c r="C190" s="38" t="s">
        <v>10</v>
      </c>
      <c r="D190" s="38">
        <v>91001</v>
      </c>
      <c r="E190" s="39">
        <v>200025888235</v>
      </c>
      <c r="F190" s="39" t="s">
        <v>22</v>
      </c>
      <c r="G190" s="39">
        <v>22</v>
      </c>
      <c r="H190" s="40">
        <v>45799.459699074076</v>
      </c>
      <c r="I190" s="38">
        <v>21</v>
      </c>
      <c r="J190" s="38">
        <v>21</v>
      </c>
      <c r="K190" s="38">
        <v>4</v>
      </c>
      <c r="L190" s="38">
        <v>147</v>
      </c>
      <c r="M190" s="38">
        <v>0</v>
      </c>
    </row>
    <row r="191" spans="1:13" x14ac:dyDescent="0.35">
      <c r="A191" s="41">
        <v>35</v>
      </c>
      <c r="B191" s="41" t="s">
        <v>7</v>
      </c>
      <c r="C191" s="41" t="s">
        <v>12</v>
      </c>
      <c r="D191" s="41">
        <v>93202</v>
      </c>
      <c r="E191" s="43">
        <v>200025888244</v>
      </c>
      <c r="F191" s="43" t="s">
        <v>24</v>
      </c>
      <c r="G191" s="43">
        <v>12</v>
      </c>
      <c r="H191" s="40">
        <v>45799.53324074074</v>
      </c>
      <c r="I191" s="38">
        <v>22</v>
      </c>
      <c r="J191" s="38">
        <v>22</v>
      </c>
      <c r="K191" s="38">
        <v>1</v>
      </c>
      <c r="L191" s="41">
        <v>8</v>
      </c>
      <c r="M191" s="41">
        <v>2</v>
      </c>
    </row>
    <row r="192" spans="1:13" x14ac:dyDescent="0.35">
      <c r="A192" s="38">
        <v>195</v>
      </c>
      <c r="B192" s="38" t="s">
        <v>5</v>
      </c>
      <c r="C192" s="38" t="s">
        <v>10</v>
      </c>
      <c r="D192" s="38">
        <v>91001</v>
      </c>
      <c r="E192" s="39">
        <v>200025888509</v>
      </c>
      <c r="F192" s="39" t="s">
        <v>28</v>
      </c>
      <c r="G192" s="39">
        <v>35</v>
      </c>
      <c r="H192" s="40">
        <v>45799.604421296295</v>
      </c>
      <c r="I192" s="38">
        <v>23</v>
      </c>
      <c r="J192" s="38">
        <v>23</v>
      </c>
      <c r="K192" s="38">
        <v>1</v>
      </c>
      <c r="L192" s="38">
        <v>163</v>
      </c>
      <c r="M192" s="38">
        <v>0</v>
      </c>
    </row>
    <row r="193" spans="1:13" x14ac:dyDescent="0.35">
      <c r="A193" s="41">
        <v>196</v>
      </c>
      <c r="B193" s="41" t="s">
        <v>5</v>
      </c>
      <c r="C193" s="41" t="s">
        <v>10</v>
      </c>
      <c r="D193" s="41">
        <v>91001</v>
      </c>
      <c r="E193" s="39">
        <v>200025888663</v>
      </c>
      <c r="F193" s="39" t="s">
        <v>32</v>
      </c>
      <c r="G193" s="39">
        <v>29</v>
      </c>
      <c r="H193" s="40">
        <v>45799.694884259261</v>
      </c>
      <c r="I193" s="38">
        <v>24</v>
      </c>
      <c r="J193" s="38">
        <v>24</v>
      </c>
      <c r="K193" s="38">
        <v>1</v>
      </c>
      <c r="L193" s="38">
        <v>164</v>
      </c>
      <c r="M193" s="41">
        <v>0</v>
      </c>
    </row>
    <row r="194" spans="1:13" x14ac:dyDescent="0.35">
      <c r="A194" s="41">
        <v>198</v>
      </c>
      <c r="B194" s="41" t="s">
        <v>5</v>
      </c>
      <c r="C194" s="41" t="s">
        <v>10</v>
      </c>
      <c r="D194" s="41">
        <v>91001</v>
      </c>
      <c r="E194" s="39">
        <v>200025888663</v>
      </c>
      <c r="F194" s="39" t="s">
        <v>32</v>
      </c>
      <c r="G194" s="39">
        <v>29</v>
      </c>
      <c r="H194" s="40">
        <v>45799.711018518516</v>
      </c>
      <c r="I194" s="38">
        <v>24</v>
      </c>
      <c r="J194" s="38">
        <v>24</v>
      </c>
      <c r="K194" s="38">
        <v>2</v>
      </c>
      <c r="L194" s="38">
        <v>166</v>
      </c>
      <c r="M194" s="41">
        <v>2</v>
      </c>
    </row>
    <row r="195" spans="1:13" x14ac:dyDescent="0.35">
      <c r="A195" s="41">
        <v>199</v>
      </c>
      <c r="B195" s="41" t="s">
        <v>5</v>
      </c>
      <c r="C195" s="41" t="s">
        <v>10</v>
      </c>
      <c r="D195" s="41">
        <v>91001</v>
      </c>
      <c r="E195" s="39">
        <v>200025888663</v>
      </c>
      <c r="F195" s="39" t="s">
        <v>32</v>
      </c>
      <c r="G195" s="39">
        <v>29</v>
      </c>
      <c r="H195" s="40">
        <v>45799.71266203704</v>
      </c>
      <c r="I195" s="38">
        <v>24</v>
      </c>
      <c r="J195" s="38">
        <v>24</v>
      </c>
      <c r="K195" s="38">
        <v>3</v>
      </c>
      <c r="L195" s="38">
        <v>167</v>
      </c>
      <c r="M195" s="41">
        <v>0</v>
      </c>
    </row>
    <row r="196" spans="1:13" x14ac:dyDescent="0.35">
      <c r="A196" s="41">
        <v>200</v>
      </c>
      <c r="B196" s="41" t="s">
        <v>5</v>
      </c>
      <c r="C196" s="41" t="s">
        <v>10</v>
      </c>
      <c r="D196" s="41">
        <v>91001</v>
      </c>
      <c r="E196" s="39">
        <v>200025888663</v>
      </c>
      <c r="F196" s="39" t="s">
        <v>32</v>
      </c>
      <c r="G196" s="39">
        <v>29</v>
      </c>
      <c r="H196" s="40">
        <v>45799.712673611109</v>
      </c>
      <c r="I196" s="38">
        <v>24</v>
      </c>
      <c r="J196" s="38">
        <v>24</v>
      </c>
      <c r="K196" s="38">
        <v>4</v>
      </c>
      <c r="L196" s="38">
        <v>168</v>
      </c>
      <c r="M196" s="41">
        <v>0</v>
      </c>
    </row>
    <row r="197" spans="1:13" x14ac:dyDescent="0.35">
      <c r="A197" s="41">
        <v>206</v>
      </c>
      <c r="B197" s="41" t="s">
        <v>5</v>
      </c>
      <c r="C197" s="41" t="s">
        <v>10</v>
      </c>
      <c r="D197" s="41">
        <v>91001</v>
      </c>
      <c r="E197" s="39">
        <v>200025888663</v>
      </c>
      <c r="F197" s="39" t="s">
        <v>32</v>
      </c>
      <c r="G197" s="39">
        <v>29</v>
      </c>
      <c r="H197" s="40">
        <v>45799.81753472222</v>
      </c>
      <c r="I197" s="38">
        <v>24</v>
      </c>
      <c r="J197" s="38">
        <v>24</v>
      </c>
      <c r="K197" s="38">
        <v>5</v>
      </c>
      <c r="L197" s="38">
        <v>174</v>
      </c>
      <c r="M197" s="41">
        <v>2</v>
      </c>
    </row>
    <row r="198" spans="1:13" x14ac:dyDescent="0.35">
      <c r="A198" s="41">
        <v>207</v>
      </c>
      <c r="B198" s="41" t="s">
        <v>5</v>
      </c>
      <c r="C198" s="41" t="s">
        <v>10</v>
      </c>
      <c r="D198" s="41">
        <v>91001</v>
      </c>
      <c r="E198" s="39">
        <v>200025888663</v>
      </c>
      <c r="F198" s="39" t="s">
        <v>32</v>
      </c>
      <c r="G198" s="39">
        <v>29</v>
      </c>
      <c r="H198" s="40">
        <v>45799.817743055559</v>
      </c>
      <c r="I198" s="38">
        <v>24</v>
      </c>
      <c r="J198" s="38">
        <v>24</v>
      </c>
      <c r="K198" s="38">
        <v>6</v>
      </c>
      <c r="L198" s="38">
        <v>175</v>
      </c>
      <c r="M198" s="41">
        <v>2</v>
      </c>
    </row>
    <row r="199" spans="1:13" x14ac:dyDescent="0.35">
      <c r="A199" s="41">
        <v>208</v>
      </c>
      <c r="B199" s="41" t="s">
        <v>5</v>
      </c>
      <c r="C199" s="41" t="s">
        <v>10</v>
      </c>
      <c r="D199" s="41">
        <v>91001</v>
      </c>
      <c r="E199" s="39">
        <v>200025888663</v>
      </c>
      <c r="F199" s="39" t="s">
        <v>32</v>
      </c>
      <c r="G199" s="39">
        <v>29</v>
      </c>
      <c r="H199" s="40">
        <v>45799.818113425928</v>
      </c>
      <c r="I199" s="38">
        <v>24</v>
      </c>
      <c r="J199" s="38">
        <v>24</v>
      </c>
      <c r="K199" s="38">
        <v>7</v>
      </c>
      <c r="L199" s="38">
        <v>176</v>
      </c>
      <c r="M199" s="41">
        <v>1</v>
      </c>
    </row>
    <row r="200" spans="1:13" x14ac:dyDescent="0.35">
      <c r="A200" s="41">
        <v>209</v>
      </c>
      <c r="B200" s="41" t="s">
        <v>5</v>
      </c>
      <c r="C200" s="41" t="s">
        <v>10</v>
      </c>
      <c r="D200" s="41">
        <v>91001</v>
      </c>
      <c r="E200" s="39">
        <v>200025888663</v>
      </c>
      <c r="F200" s="39" t="s">
        <v>32</v>
      </c>
      <c r="G200" s="39">
        <v>29</v>
      </c>
      <c r="H200" s="40">
        <v>45799.818252314813</v>
      </c>
      <c r="I200" s="38">
        <v>24</v>
      </c>
      <c r="J200" s="38">
        <v>24</v>
      </c>
      <c r="K200" s="38">
        <v>8</v>
      </c>
      <c r="L200" s="38">
        <v>177</v>
      </c>
      <c r="M200" s="41">
        <v>0</v>
      </c>
    </row>
    <row r="201" spans="1:13" x14ac:dyDescent="0.35">
      <c r="A201" s="41">
        <v>216</v>
      </c>
      <c r="B201" s="41" t="s">
        <v>5</v>
      </c>
      <c r="C201" s="41" t="s">
        <v>10</v>
      </c>
      <c r="D201" s="41">
        <v>91001</v>
      </c>
      <c r="E201" s="39">
        <v>200025888834</v>
      </c>
      <c r="F201" s="39" t="s">
        <v>30</v>
      </c>
      <c r="G201" s="39">
        <v>25</v>
      </c>
      <c r="H201" s="40">
        <v>45800.009456018517</v>
      </c>
      <c r="I201" s="38">
        <v>25</v>
      </c>
      <c r="J201" s="38">
        <v>25</v>
      </c>
      <c r="K201" s="38">
        <v>1</v>
      </c>
      <c r="L201" s="38">
        <v>184</v>
      </c>
      <c r="M201" s="41">
        <v>0</v>
      </c>
    </row>
    <row r="202" spans="1:13" x14ac:dyDescent="0.35">
      <c r="A202" s="41">
        <v>217</v>
      </c>
      <c r="B202" s="41" t="s">
        <v>5</v>
      </c>
      <c r="C202" s="41" t="s">
        <v>10</v>
      </c>
      <c r="D202" s="41">
        <v>91001</v>
      </c>
      <c r="E202" s="39">
        <v>200025888834</v>
      </c>
      <c r="F202" s="39" t="s">
        <v>30</v>
      </c>
      <c r="G202" s="39">
        <v>25</v>
      </c>
      <c r="H202" s="40">
        <v>45800.009467592594</v>
      </c>
      <c r="I202" s="38">
        <v>25</v>
      </c>
      <c r="J202" s="38">
        <v>25</v>
      </c>
      <c r="K202" s="38">
        <v>2</v>
      </c>
      <c r="L202" s="38">
        <v>185</v>
      </c>
      <c r="M202" s="41">
        <v>1</v>
      </c>
    </row>
    <row r="203" spans="1:13" x14ac:dyDescent="0.35">
      <c r="A203" s="41">
        <v>218</v>
      </c>
      <c r="B203" s="41" t="s">
        <v>5</v>
      </c>
      <c r="C203" s="41" t="s">
        <v>10</v>
      </c>
      <c r="D203" s="41">
        <v>91001</v>
      </c>
      <c r="E203" s="39">
        <v>200025888834</v>
      </c>
      <c r="F203" s="39" t="s">
        <v>30</v>
      </c>
      <c r="G203" s="39">
        <v>25</v>
      </c>
      <c r="H203" s="40">
        <v>45800.013310185182</v>
      </c>
      <c r="I203" s="38">
        <v>25</v>
      </c>
      <c r="J203" s="38">
        <v>25</v>
      </c>
      <c r="K203" s="38">
        <v>3</v>
      </c>
      <c r="L203" s="38">
        <v>186</v>
      </c>
      <c r="M203" s="41">
        <v>1</v>
      </c>
    </row>
    <row r="204" spans="1:13" x14ac:dyDescent="0.35">
      <c r="A204" s="41">
        <v>219</v>
      </c>
      <c r="B204" s="41" t="s">
        <v>5</v>
      </c>
      <c r="C204" s="41" t="s">
        <v>10</v>
      </c>
      <c r="D204" s="41">
        <v>91001</v>
      </c>
      <c r="E204" s="39">
        <v>200025888834</v>
      </c>
      <c r="F204" s="39" t="s">
        <v>30</v>
      </c>
      <c r="G204" s="39">
        <v>25</v>
      </c>
      <c r="H204" s="40">
        <v>45800.014166666668</v>
      </c>
      <c r="I204" s="38">
        <v>25</v>
      </c>
      <c r="J204" s="38">
        <v>25</v>
      </c>
      <c r="K204" s="38">
        <v>4</v>
      </c>
      <c r="L204" s="38">
        <v>187</v>
      </c>
      <c r="M204" s="41">
        <v>0</v>
      </c>
    </row>
    <row r="205" spans="1:13" x14ac:dyDescent="0.35">
      <c r="A205" s="41">
        <v>220</v>
      </c>
      <c r="B205" s="41" t="s">
        <v>5</v>
      </c>
      <c r="C205" s="41" t="s">
        <v>10</v>
      </c>
      <c r="D205" s="41">
        <v>91001</v>
      </c>
      <c r="E205" s="39">
        <v>200025888834</v>
      </c>
      <c r="F205" s="39" t="s">
        <v>30</v>
      </c>
      <c r="G205" s="39">
        <v>25</v>
      </c>
      <c r="H205" s="40">
        <v>45800.014178240737</v>
      </c>
      <c r="I205" s="38">
        <v>25</v>
      </c>
      <c r="J205" s="38">
        <v>25</v>
      </c>
      <c r="K205" s="38">
        <v>5</v>
      </c>
      <c r="L205" s="38">
        <v>188</v>
      </c>
      <c r="M205" s="41">
        <v>0</v>
      </c>
    </row>
    <row r="206" spans="1:13" x14ac:dyDescent="0.35">
      <c r="A206" s="41">
        <v>221</v>
      </c>
      <c r="B206" s="41" t="s">
        <v>5</v>
      </c>
      <c r="C206" s="41" t="s">
        <v>10</v>
      </c>
      <c r="D206" s="41">
        <v>91001</v>
      </c>
      <c r="E206" s="39">
        <v>200025888834</v>
      </c>
      <c r="F206" s="39" t="s">
        <v>30</v>
      </c>
      <c r="G206" s="39">
        <v>25</v>
      </c>
      <c r="H206" s="40">
        <v>45800.175416666665</v>
      </c>
      <c r="I206" s="38">
        <v>25</v>
      </c>
      <c r="J206" s="38">
        <v>25</v>
      </c>
      <c r="K206" s="38">
        <v>6</v>
      </c>
      <c r="L206" s="38">
        <v>189</v>
      </c>
      <c r="M206" s="41">
        <v>0</v>
      </c>
    </row>
    <row r="207" spans="1:13" x14ac:dyDescent="0.35">
      <c r="A207" s="41">
        <v>222</v>
      </c>
      <c r="B207" s="41" t="s">
        <v>5</v>
      </c>
      <c r="C207" s="41" t="s">
        <v>10</v>
      </c>
      <c r="D207" s="41">
        <v>91001</v>
      </c>
      <c r="E207" s="39">
        <v>200025888834</v>
      </c>
      <c r="F207" s="39" t="s">
        <v>30</v>
      </c>
      <c r="G207" s="39">
        <v>25</v>
      </c>
      <c r="H207" s="40">
        <v>45800.175567129627</v>
      </c>
      <c r="I207" s="38">
        <v>25</v>
      </c>
      <c r="J207" s="38">
        <v>25</v>
      </c>
      <c r="K207" s="38">
        <v>7</v>
      </c>
      <c r="L207" s="38">
        <v>190</v>
      </c>
      <c r="M207" s="41">
        <v>1</v>
      </c>
    </row>
    <row r="208" spans="1:13" x14ac:dyDescent="0.35">
      <c r="A208" s="41">
        <v>223</v>
      </c>
      <c r="B208" s="41" t="s">
        <v>5</v>
      </c>
      <c r="C208" s="41" t="s">
        <v>10</v>
      </c>
      <c r="D208" s="41">
        <v>91001</v>
      </c>
      <c r="E208" s="39">
        <v>200025888834</v>
      </c>
      <c r="F208" s="39" t="s">
        <v>30</v>
      </c>
      <c r="G208" s="39">
        <v>25</v>
      </c>
      <c r="H208" s="40">
        <v>45800.17763888889</v>
      </c>
      <c r="I208" s="38">
        <v>25</v>
      </c>
      <c r="J208" s="38">
        <v>25</v>
      </c>
      <c r="K208" s="38">
        <v>8</v>
      </c>
      <c r="L208" s="38">
        <v>191</v>
      </c>
      <c r="M208" s="41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21"/>
  <sheetViews>
    <sheetView topLeftCell="D1" workbookViewId="0">
      <selection activeCell="N17" sqref="N17"/>
    </sheetView>
  </sheetViews>
  <sheetFormatPr defaultColWidth="10.90625" defaultRowHeight="14.5" x14ac:dyDescent="0.35"/>
  <cols>
    <col min="1" max="1" width="4.90625" style="38" customWidth="1"/>
    <col min="2" max="2" width="18.36328125" style="38" customWidth="1"/>
    <col min="3" max="4" width="9.453125" style="38" customWidth="1"/>
    <col min="5" max="5" width="15.54296875" style="39" customWidth="1"/>
    <col min="6" max="6" width="9.36328125" style="39" customWidth="1"/>
    <col min="7" max="7" width="7.08984375" style="39" customWidth="1"/>
    <col min="8" max="8" width="21.453125" style="40" customWidth="1"/>
    <col min="9" max="9" width="7.90625" style="38" customWidth="1"/>
    <col min="10" max="11" width="19.453125" customWidth="1"/>
    <col min="13" max="13" width="11.453125" style="52"/>
    <col min="14" max="14" width="19.36328125" style="38" customWidth="1"/>
    <col min="15" max="15" width="20" style="38" customWidth="1"/>
    <col min="16" max="16" width="7.6328125" style="38" customWidth="1"/>
    <col min="17" max="17" width="8.36328125" style="47" customWidth="1"/>
    <col min="18" max="18" width="7.90625" style="38" customWidth="1"/>
    <col min="19" max="19" width="8.36328125" style="38" customWidth="1"/>
    <col min="20" max="20" width="7.90625" style="49" customWidth="1"/>
    <col min="21" max="21" width="7.90625" style="38" customWidth="1"/>
    <col min="22" max="23" width="9.453125" style="38" customWidth="1"/>
    <col min="24" max="24" width="10.90625" style="38" customWidth="1"/>
    <col min="25" max="25" width="8.54296875" style="38" customWidth="1"/>
    <col min="26" max="26" width="7.453125" style="38" customWidth="1"/>
  </cols>
  <sheetData>
    <row r="1" spans="1:26" ht="58" x14ac:dyDescent="0.35">
      <c r="A1" s="35" t="s">
        <v>0</v>
      </c>
      <c r="B1" s="35" t="s">
        <v>1</v>
      </c>
      <c r="C1" s="35" t="s">
        <v>9</v>
      </c>
      <c r="D1" s="35" t="s">
        <v>8</v>
      </c>
      <c r="E1" s="36" t="s">
        <v>2</v>
      </c>
      <c r="F1" s="36" t="s">
        <v>39</v>
      </c>
      <c r="G1" s="36" t="s">
        <v>40</v>
      </c>
      <c r="H1" s="37" t="s">
        <v>3</v>
      </c>
      <c r="I1" s="35" t="s">
        <v>42</v>
      </c>
      <c r="J1" s="38" t="s">
        <v>44</v>
      </c>
      <c r="K1" s="38" t="s">
        <v>45</v>
      </c>
      <c r="L1" s="44" t="s">
        <v>46</v>
      </c>
      <c r="M1" s="45" t="s">
        <v>47</v>
      </c>
      <c r="N1" s="38" t="s">
        <v>44</v>
      </c>
      <c r="O1" s="38" t="s">
        <v>45</v>
      </c>
      <c r="P1" s="44" t="s">
        <v>46</v>
      </c>
      <c r="Q1" s="45" t="s">
        <v>47</v>
      </c>
      <c r="R1" s="35" t="s">
        <v>42</v>
      </c>
      <c r="S1" s="35" t="s">
        <v>41</v>
      </c>
      <c r="T1" s="48" t="s">
        <v>49</v>
      </c>
      <c r="U1" s="35" t="s">
        <v>50</v>
      </c>
      <c r="V1" s="35" t="s">
        <v>9</v>
      </c>
      <c r="W1" s="35" t="s">
        <v>8</v>
      </c>
      <c r="X1" s="44" t="s">
        <v>48</v>
      </c>
      <c r="Y1" s="35" t="s">
        <v>13</v>
      </c>
      <c r="Z1" s="35" t="s">
        <v>4</v>
      </c>
    </row>
    <row r="2" spans="1:26" ht="14.4" x14ac:dyDescent="0.3">
      <c r="A2" s="41">
        <v>13</v>
      </c>
      <c r="B2" s="41" t="s">
        <v>6</v>
      </c>
      <c r="C2" s="38" t="s">
        <v>11</v>
      </c>
      <c r="D2" s="41">
        <v>91807</v>
      </c>
      <c r="E2" s="39">
        <v>200025888982</v>
      </c>
      <c r="F2" s="39" t="s">
        <v>18</v>
      </c>
      <c r="G2" s="39">
        <v>6</v>
      </c>
      <c r="H2" s="40">
        <v>45797.813101851854</v>
      </c>
      <c r="I2" s="38">
        <v>1</v>
      </c>
      <c r="J2" s="40"/>
      <c r="K2" s="40"/>
      <c r="L2" s="40"/>
      <c r="M2" s="47"/>
      <c r="R2" s="38">
        <v>1</v>
      </c>
      <c r="S2" s="38">
        <v>1</v>
      </c>
      <c r="V2" s="38" t="s">
        <v>11</v>
      </c>
      <c r="W2" s="41">
        <v>91807</v>
      </c>
      <c r="X2" s="51">
        <f>(H3-H2)*24</f>
        <v>22.501666666532401</v>
      </c>
      <c r="Y2" s="41">
        <v>1</v>
      </c>
      <c r="Z2" s="41">
        <v>31</v>
      </c>
    </row>
    <row r="3" spans="1:26" ht="14.4" x14ac:dyDescent="0.3">
      <c r="A3" s="41">
        <v>94</v>
      </c>
      <c r="B3" s="38" t="s">
        <v>5</v>
      </c>
      <c r="C3" s="38" t="s">
        <v>10</v>
      </c>
      <c r="D3" s="38">
        <v>91001</v>
      </c>
      <c r="E3" s="39">
        <v>200025888982</v>
      </c>
      <c r="F3" s="39" t="s">
        <v>18</v>
      </c>
      <c r="G3" s="39">
        <v>6</v>
      </c>
      <c r="H3" s="40">
        <v>45798.750671296293</v>
      </c>
      <c r="I3" s="38">
        <v>1</v>
      </c>
      <c r="J3" s="40"/>
      <c r="K3" s="40"/>
      <c r="L3" s="40"/>
      <c r="M3" s="47"/>
      <c r="R3" s="38">
        <v>1</v>
      </c>
      <c r="S3" s="38">
        <v>2</v>
      </c>
      <c r="V3" s="38" t="s">
        <v>10</v>
      </c>
      <c r="W3" s="38">
        <v>91001</v>
      </c>
      <c r="X3" s="44"/>
      <c r="Y3" s="38">
        <v>62</v>
      </c>
      <c r="Z3" s="38">
        <v>0</v>
      </c>
    </row>
    <row r="4" spans="1:26" ht="14.4" x14ac:dyDescent="0.3">
      <c r="A4" s="41">
        <v>95</v>
      </c>
      <c r="B4" s="38" t="s">
        <v>5</v>
      </c>
      <c r="C4" s="38" t="s">
        <v>10</v>
      </c>
      <c r="D4" s="38">
        <v>91001</v>
      </c>
      <c r="E4" s="39">
        <v>200025888982</v>
      </c>
      <c r="F4" s="39" t="s">
        <v>18</v>
      </c>
      <c r="G4" s="39">
        <v>6</v>
      </c>
      <c r="H4" s="40">
        <v>45798.75068287037</v>
      </c>
      <c r="I4" s="38">
        <v>1</v>
      </c>
      <c r="J4" s="40"/>
      <c r="K4" s="40"/>
      <c r="L4" s="46"/>
      <c r="M4" s="46"/>
      <c r="R4" s="38">
        <v>1</v>
      </c>
      <c r="S4" s="38">
        <v>3</v>
      </c>
      <c r="V4" s="38" t="s">
        <v>10</v>
      </c>
      <c r="W4" s="38">
        <v>91001</v>
      </c>
      <c r="X4" s="44"/>
      <c r="Y4" s="38">
        <v>63</v>
      </c>
      <c r="Z4" s="38">
        <v>0</v>
      </c>
    </row>
    <row r="5" spans="1:26" ht="14.4" x14ac:dyDescent="0.3">
      <c r="A5" s="41">
        <v>103</v>
      </c>
      <c r="B5" s="38" t="s">
        <v>5</v>
      </c>
      <c r="C5" s="38" t="s">
        <v>10</v>
      </c>
      <c r="D5" s="38">
        <v>91001</v>
      </c>
      <c r="E5" s="39">
        <v>200025888982</v>
      </c>
      <c r="F5" s="39" t="s">
        <v>18</v>
      </c>
      <c r="G5" s="39">
        <v>6</v>
      </c>
      <c r="H5" s="40">
        <v>45798.807500000003</v>
      </c>
      <c r="I5" s="38">
        <v>1</v>
      </c>
      <c r="R5" s="38">
        <v>1</v>
      </c>
      <c r="S5" s="38">
        <v>4</v>
      </c>
      <c r="V5" s="38" t="s">
        <v>10</v>
      </c>
      <c r="W5" s="38">
        <v>91001</v>
      </c>
      <c r="X5" s="44"/>
      <c r="Y5" s="38">
        <v>71</v>
      </c>
      <c r="Z5" s="38">
        <v>2</v>
      </c>
    </row>
    <row r="6" spans="1:26" ht="14.4" x14ac:dyDescent="0.3">
      <c r="A6" s="41">
        <v>104</v>
      </c>
      <c r="B6" s="38" t="s">
        <v>5</v>
      </c>
      <c r="C6" s="38" t="s">
        <v>10</v>
      </c>
      <c r="D6" s="38">
        <v>91001</v>
      </c>
      <c r="E6" s="39">
        <v>200025888982</v>
      </c>
      <c r="F6" s="39" t="s">
        <v>18</v>
      </c>
      <c r="G6" s="39">
        <v>6</v>
      </c>
      <c r="H6" s="40">
        <v>45798.807650462964</v>
      </c>
      <c r="I6" s="38">
        <v>1</v>
      </c>
      <c r="R6" s="38">
        <v>1</v>
      </c>
      <c r="S6" s="38">
        <v>5</v>
      </c>
      <c r="V6" s="38" t="s">
        <v>10</v>
      </c>
      <c r="W6" s="38">
        <v>91001</v>
      </c>
      <c r="X6" s="44"/>
      <c r="Y6" s="38">
        <v>72</v>
      </c>
      <c r="Z6" s="38">
        <v>2</v>
      </c>
    </row>
    <row r="7" spans="1:26" ht="14.4" x14ac:dyDescent="0.3">
      <c r="A7" s="41">
        <v>226</v>
      </c>
      <c r="B7" s="41" t="s">
        <v>5</v>
      </c>
      <c r="C7" s="41" t="s">
        <v>10</v>
      </c>
      <c r="D7" s="41">
        <v>91001</v>
      </c>
      <c r="E7" s="39">
        <v>200025888982</v>
      </c>
      <c r="F7" s="39" t="s">
        <v>18</v>
      </c>
      <c r="G7" s="39">
        <v>6</v>
      </c>
      <c r="H7" s="40">
        <v>45801.237384259257</v>
      </c>
      <c r="I7" s="38">
        <v>1</v>
      </c>
      <c r="R7" s="38">
        <v>1</v>
      </c>
      <c r="S7" s="38">
        <v>6</v>
      </c>
      <c r="V7" s="41" t="s">
        <v>10</v>
      </c>
      <c r="W7" s="41">
        <v>91001</v>
      </c>
      <c r="X7" s="44"/>
      <c r="Y7" s="38">
        <v>194</v>
      </c>
      <c r="Z7" s="41">
        <v>0</v>
      </c>
    </row>
    <row r="8" spans="1:26" ht="14.4" x14ac:dyDescent="0.3">
      <c r="A8" s="41">
        <v>227</v>
      </c>
      <c r="B8" s="41" t="s">
        <v>5</v>
      </c>
      <c r="C8" s="41" t="s">
        <v>10</v>
      </c>
      <c r="D8" s="41">
        <v>91001</v>
      </c>
      <c r="E8" s="39">
        <v>200025888982</v>
      </c>
      <c r="F8" s="39" t="s">
        <v>18</v>
      </c>
      <c r="G8" s="39">
        <v>6</v>
      </c>
      <c r="H8" s="40">
        <v>45801.237523148149</v>
      </c>
      <c r="I8" s="38">
        <v>1</v>
      </c>
      <c r="R8" s="38">
        <v>1</v>
      </c>
      <c r="S8" s="38">
        <v>7</v>
      </c>
      <c r="V8" s="41" t="s">
        <v>10</v>
      </c>
      <c r="W8" s="41">
        <v>91001</v>
      </c>
      <c r="X8" s="44"/>
      <c r="Y8" s="38">
        <v>195</v>
      </c>
      <c r="Z8" s="41">
        <v>1</v>
      </c>
    </row>
    <row r="9" spans="1:26" ht="14.4" x14ac:dyDescent="0.3">
      <c r="A9" s="41">
        <v>228</v>
      </c>
      <c r="B9" s="41" t="s">
        <v>5</v>
      </c>
      <c r="C9" s="41" t="s">
        <v>10</v>
      </c>
      <c r="D9" s="41">
        <v>91001</v>
      </c>
      <c r="E9" s="39">
        <v>200025888982</v>
      </c>
      <c r="F9" s="39" t="s">
        <v>18</v>
      </c>
      <c r="G9" s="39">
        <v>6</v>
      </c>
      <c r="H9" s="40">
        <v>45801.237534722219</v>
      </c>
      <c r="I9" s="38">
        <v>1</v>
      </c>
      <c r="R9" s="38">
        <v>1</v>
      </c>
      <c r="S9" s="38">
        <v>8</v>
      </c>
      <c r="V9" s="41" t="s">
        <v>10</v>
      </c>
      <c r="W9" s="41">
        <v>91001</v>
      </c>
      <c r="X9" s="44"/>
      <c r="Y9" s="38">
        <v>196</v>
      </c>
      <c r="Z9" s="41">
        <v>1</v>
      </c>
    </row>
    <row r="10" spans="1:26" ht="14.4" x14ac:dyDescent="0.3">
      <c r="A10" s="41">
        <v>229</v>
      </c>
      <c r="B10" s="41" t="s">
        <v>5</v>
      </c>
      <c r="C10" s="41" t="s">
        <v>10</v>
      </c>
      <c r="D10" s="41">
        <v>91001</v>
      </c>
      <c r="E10" s="39">
        <v>200025888982</v>
      </c>
      <c r="F10" s="39" t="s">
        <v>18</v>
      </c>
      <c r="G10" s="39">
        <v>6</v>
      </c>
      <c r="H10" s="40">
        <v>45801.239236111112</v>
      </c>
      <c r="I10" s="38">
        <v>1</v>
      </c>
      <c r="R10" s="38">
        <v>1</v>
      </c>
      <c r="S10" s="38">
        <v>9</v>
      </c>
      <c r="V10" s="41" t="s">
        <v>10</v>
      </c>
      <c r="W10" s="41">
        <v>91001</v>
      </c>
      <c r="X10" s="44"/>
      <c r="Y10" s="38">
        <v>197</v>
      </c>
      <c r="Z10" s="41">
        <v>0</v>
      </c>
    </row>
    <row r="11" spans="1:26" ht="14.4" x14ac:dyDescent="0.3">
      <c r="A11" s="41">
        <v>230</v>
      </c>
      <c r="B11" s="41" t="s">
        <v>5</v>
      </c>
      <c r="C11" s="41" t="s">
        <v>10</v>
      </c>
      <c r="D11" s="41">
        <v>91001</v>
      </c>
      <c r="E11" s="39">
        <v>200025888982</v>
      </c>
      <c r="F11" s="39" t="s">
        <v>18</v>
      </c>
      <c r="G11" s="39">
        <v>6</v>
      </c>
      <c r="H11" s="40">
        <v>45801.31391203704</v>
      </c>
      <c r="I11" s="38">
        <v>1</v>
      </c>
      <c r="J11" s="40">
        <v>45797.813101851854</v>
      </c>
      <c r="K11" s="40">
        <v>45801.31391203704</v>
      </c>
      <c r="L11" s="46">
        <f>(K11-J11)*24</f>
        <v>84.019444444449618</v>
      </c>
      <c r="M11" s="52">
        <v>84.019444444449618</v>
      </c>
      <c r="N11" s="40">
        <v>45798.750671296293</v>
      </c>
      <c r="O11" s="40">
        <v>45801.31391203704</v>
      </c>
      <c r="P11" s="46">
        <f>(O11-N11)*24</f>
        <v>61.517777777917217</v>
      </c>
      <c r="Q11" s="47">
        <v>61.517777777917217</v>
      </c>
      <c r="R11" s="38">
        <v>1</v>
      </c>
      <c r="S11" s="38">
        <v>10</v>
      </c>
      <c r="T11" s="49" t="s">
        <v>51</v>
      </c>
      <c r="U11" s="38">
        <v>2</v>
      </c>
      <c r="V11" s="41" t="s">
        <v>10</v>
      </c>
      <c r="W11" s="41">
        <v>91001</v>
      </c>
      <c r="X11" s="44"/>
      <c r="Y11" s="38">
        <v>198</v>
      </c>
      <c r="Z11" s="41">
        <v>1</v>
      </c>
    </row>
    <row r="12" spans="1:26" ht="14.4" x14ac:dyDescent="0.3">
      <c r="A12" s="38">
        <v>28</v>
      </c>
      <c r="B12" s="41" t="s">
        <v>7</v>
      </c>
      <c r="C12" s="38" t="s">
        <v>12</v>
      </c>
      <c r="D12" s="42">
        <v>93202</v>
      </c>
      <c r="E12" s="39">
        <v>200025888137</v>
      </c>
      <c r="F12" s="39" t="s">
        <v>15</v>
      </c>
      <c r="G12" s="39">
        <v>46</v>
      </c>
      <c r="H12" s="40">
        <v>45797.843229166669</v>
      </c>
      <c r="I12" s="38">
        <v>2</v>
      </c>
      <c r="J12" s="38"/>
      <c r="K12" s="38"/>
      <c r="L12" s="38"/>
      <c r="M12" s="47"/>
      <c r="R12" s="38">
        <v>2</v>
      </c>
      <c r="S12" s="38">
        <v>1</v>
      </c>
      <c r="V12" s="38" t="s">
        <v>12</v>
      </c>
      <c r="W12" s="42">
        <v>93202</v>
      </c>
      <c r="X12" s="51">
        <f>(H13-H12)*24</f>
        <v>16.043888888787478</v>
      </c>
      <c r="Y12" s="41">
        <v>1</v>
      </c>
      <c r="Z12" s="41">
        <v>47</v>
      </c>
    </row>
    <row r="13" spans="1:26" ht="14.4" x14ac:dyDescent="0.3">
      <c r="A13" s="38">
        <v>48</v>
      </c>
      <c r="B13" s="38" t="s">
        <v>5</v>
      </c>
      <c r="C13" s="38" t="s">
        <v>10</v>
      </c>
      <c r="D13" s="38">
        <v>91001</v>
      </c>
      <c r="E13" s="39">
        <v>200025888137</v>
      </c>
      <c r="F13" s="39" t="s">
        <v>15</v>
      </c>
      <c r="G13" s="39">
        <v>46</v>
      </c>
      <c r="H13" s="40">
        <v>45798.511724537035</v>
      </c>
      <c r="I13" s="38">
        <v>2</v>
      </c>
      <c r="J13" s="40"/>
      <c r="K13" s="40"/>
      <c r="L13" s="46"/>
      <c r="M13" s="46"/>
      <c r="R13" s="38">
        <v>2</v>
      </c>
      <c r="S13" s="38">
        <v>2</v>
      </c>
      <c r="V13" s="38" t="s">
        <v>10</v>
      </c>
      <c r="W13" s="38">
        <v>91001</v>
      </c>
      <c r="X13" s="44"/>
      <c r="Y13" s="38">
        <v>16</v>
      </c>
      <c r="Z13" s="38">
        <v>2</v>
      </c>
    </row>
    <row r="14" spans="1:26" ht="14.4" x14ac:dyDescent="0.3">
      <c r="A14" s="38">
        <v>49</v>
      </c>
      <c r="B14" s="38" t="s">
        <v>5</v>
      </c>
      <c r="C14" s="38" t="s">
        <v>10</v>
      </c>
      <c r="D14" s="38">
        <v>91001</v>
      </c>
      <c r="E14" s="39">
        <v>200025888137</v>
      </c>
      <c r="F14" s="39" t="s">
        <v>15</v>
      </c>
      <c r="G14" s="39">
        <v>46</v>
      </c>
      <c r="H14" s="40">
        <v>45798.511944444443</v>
      </c>
      <c r="I14" s="38">
        <v>2</v>
      </c>
      <c r="J14" s="38"/>
      <c r="K14" s="38"/>
      <c r="L14" s="38"/>
      <c r="M14" s="47"/>
      <c r="R14" s="38">
        <v>2</v>
      </c>
      <c r="S14" s="38">
        <v>3</v>
      </c>
      <c r="V14" s="38" t="s">
        <v>10</v>
      </c>
      <c r="W14" s="38">
        <v>91001</v>
      </c>
      <c r="X14" s="44"/>
      <c r="Y14" s="38">
        <v>17</v>
      </c>
      <c r="Z14" s="38">
        <v>3</v>
      </c>
    </row>
    <row r="15" spans="1:26" ht="14.4" x14ac:dyDescent="0.3">
      <c r="A15" s="38">
        <v>50</v>
      </c>
      <c r="B15" s="38" t="s">
        <v>5</v>
      </c>
      <c r="C15" s="38" t="s">
        <v>10</v>
      </c>
      <c r="D15" s="38">
        <v>91001</v>
      </c>
      <c r="E15" s="39">
        <v>200025888137</v>
      </c>
      <c r="F15" s="39" t="s">
        <v>15</v>
      </c>
      <c r="G15" s="39">
        <v>46</v>
      </c>
      <c r="H15" s="40">
        <v>45798.553657407407</v>
      </c>
      <c r="I15" s="38">
        <v>2</v>
      </c>
      <c r="J15" s="38"/>
      <c r="K15" s="38"/>
      <c r="L15" s="38"/>
      <c r="M15" s="47"/>
      <c r="R15" s="38">
        <v>2</v>
      </c>
      <c r="S15" s="38">
        <v>4</v>
      </c>
      <c r="V15" s="38" t="s">
        <v>10</v>
      </c>
      <c r="W15" s="38">
        <v>91001</v>
      </c>
      <c r="X15" s="44"/>
      <c r="Y15" s="38">
        <v>18</v>
      </c>
      <c r="Z15" s="38">
        <v>0</v>
      </c>
    </row>
    <row r="16" spans="1:26" ht="14.4" x14ac:dyDescent="0.3">
      <c r="A16" s="38">
        <v>51</v>
      </c>
      <c r="B16" s="38" t="s">
        <v>5</v>
      </c>
      <c r="C16" s="38" t="s">
        <v>10</v>
      </c>
      <c r="D16" s="38">
        <v>91001</v>
      </c>
      <c r="E16" s="39">
        <v>200025888137</v>
      </c>
      <c r="F16" s="39" t="s">
        <v>15</v>
      </c>
      <c r="G16" s="39">
        <v>46</v>
      </c>
      <c r="H16" s="40">
        <v>45798.553668981483</v>
      </c>
      <c r="I16" s="38">
        <v>2</v>
      </c>
      <c r="J16" s="38"/>
      <c r="K16" s="38"/>
      <c r="L16" s="38"/>
      <c r="M16" s="47"/>
      <c r="R16" s="38">
        <v>2</v>
      </c>
      <c r="S16" s="38">
        <v>5</v>
      </c>
      <c r="V16" s="38" t="s">
        <v>10</v>
      </c>
      <c r="W16" s="38">
        <v>91001</v>
      </c>
      <c r="X16" s="47"/>
      <c r="Y16" s="38">
        <v>19</v>
      </c>
      <c r="Z16" s="38">
        <v>0</v>
      </c>
    </row>
    <row r="17" spans="1:26" ht="14.4" x14ac:dyDescent="0.3">
      <c r="A17" s="38">
        <v>52</v>
      </c>
      <c r="B17" s="38" t="s">
        <v>5</v>
      </c>
      <c r="C17" s="38" t="s">
        <v>10</v>
      </c>
      <c r="D17" s="38">
        <v>91001</v>
      </c>
      <c r="E17" s="39">
        <v>200025888137</v>
      </c>
      <c r="F17" s="39" t="s">
        <v>15</v>
      </c>
      <c r="G17" s="39">
        <v>46</v>
      </c>
      <c r="H17" s="40">
        <v>45798.55369212963</v>
      </c>
      <c r="I17" s="38">
        <v>2</v>
      </c>
      <c r="J17" s="38"/>
      <c r="K17" s="38"/>
      <c r="L17" s="38"/>
      <c r="M17" s="47"/>
      <c r="R17" s="38">
        <v>2</v>
      </c>
      <c r="S17" s="38">
        <v>6</v>
      </c>
      <c r="V17" s="38" t="s">
        <v>10</v>
      </c>
      <c r="W17" s="38">
        <v>91001</v>
      </c>
      <c r="X17" s="47"/>
      <c r="Y17" s="38">
        <v>20</v>
      </c>
      <c r="Z17" s="38">
        <v>0</v>
      </c>
    </row>
    <row r="18" spans="1:26" ht="14.4" x14ac:dyDescent="0.3">
      <c r="A18" s="38">
        <v>53</v>
      </c>
      <c r="B18" s="38" t="s">
        <v>5</v>
      </c>
      <c r="C18" s="38" t="s">
        <v>10</v>
      </c>
      <c r="D18" s="38">
        <v>91001</v>
      </c>
      <c r="E18" s="39">
        <v>200025888137</v>
      </c>
      <c r="F18" s="39" t="s">
        <v>15</v>
      </c>
      <c r="G18" s="39">
        <v>46</v>
      </c>
      <c r="H18" s="40">
        <v>45798.589317129627</v>
      </c>
      <c r="I18" s="38">
        <v>2</v>
      </c>
      <c r="J18" s="38"/>
      <c r="K18" s="38"/>
      <c r="L18" s="38"/>
      <c r="M18" s="47"/>
      <c r="N18" s="50"/>
      <c r="O18" s="50"/>
      <c r="P18" s="46"/>
      <c r="Q18" s="46"/>
      <c r="R18" s="38">
        <v>2</v>
      </c>
      <c r="S18" s="38">
        <v>7</v>
      </c>
      <c r="V18" s="38" t="s">
        <v>10</v>
      </c>
      <c r="W18" s="38">
        <v>91001</v>
      </c>
      <c r="X18" s="47"/>
      <c r="Y18" s="38">
        <v>21</v>
      </c>
      <c r="Z18" s="38">
        <v>1</v>
      </c>
    </row>
    <row r="19" spans="1:26" ht="14.4" x14ac:dyDescent="0.3">
      <c r="A19" s="38">
        <v>54</v>
      </c>
      <c r="B19" s="38" t="s">
        <v>5</v>
      </c>
      <c r="C19" s="38" t="s">
        <v>10</v>
      </c>
      <c r="D19" s="38">
        <v>91001</v>
      </c>
      <c r="E19" s="39">
        <v>200025888137</v>
      </c>
      <c r="F19" s="39" t="s">
        <v>15</v>
      </c>
      <c r="G19" s="39">
        <v>46</v>
      </c>
      <c r="H19" s="40">
        <v>45798.589328703703</v>
      </c>
      <c r="I19" s="38">
        <v>2</v>
      </c>
      <c r="J19" s="38"/>
      <c r="K19" s="38"/>
      <c r="L19" s="38"/>
      <c r="M19" s="47"/>
      <c r="N19" s="50"/>
      <c r="O19" s="50"/>
      <c r="P19" s="46"/>
      <c r="Q19" s="46"/>
      <c r="R19" s="38">
        <v>2</v>
      </c>
      <c r="S19" s="38">
        <v>8</v>
      </c>
      <c r="V19" s="38" t="s">
        <v>10</v>
      </c>
      <c r="W19" s="38">
        <v>91001</v>
      </c>
      <c r="X19" s="47"/>
      <c r="Y19" s="38">
        <v>22</v>
      </c>
      <c r="Z19" s="38">
        <v>1</v>
      </c>
    </row>
    <row r="20" spans="1:26" x14ac:dyDescent="0.35">
      <c r="A20" s="38">
        <v>55</v>
      </c>
      <c r="B20" s="38" t="s">
        <v>5</v>
      </c>
      <c r="C20" s="38" t="s">
        <v>10</v>
      </c>
      <c r="D20" s="38">
        <v>91001</v>
      </c>
      <c r="E20" s="39">
        <v>200025888137</v>
      </c>
      <c r="F20" s="39" t="s">
        <v>15</v>
      </c>
      <c r="G20" s="39">
        <v>46</v>
      </c>
      <c r="H20" s="40">
        <v>45798.60359953704</v>
      </c>
      <c r="I20" s="38">
        <v>2</v>
      </c>
      <c r="J20" s="38"/>
      <c r="K20" s="38"/>
      <c r="L20" s="38"/>
      <c r="M20" s="47"/>
      <c r="R20" s="38">
        <v>2</v>
      </c>
      <c r="S20" s="38">
        <v>9</v>
      </c>
      <c r="V20" s="38" t="s">
        <v>10</v>
      </c>
      <c r="W20" s="38">
        <v>91001</v>
      </c>
      <c r="X20" s="47"/>
      <c r="Y20" s="38">
        <v>23</v>
      </c>
      <c r="Z20" s="38">
        <v>1</v>
      </c>
    </row>
    <row r="21" spans="1:26" x14ac:dyDescent="0.35">
      <c r="A21" s="38">
        <v>56</v>
      </c>
      <c r="B21" s="38" t="s">
        <v>5</v>
      </c>
      <c r="C21" s="38" t="s">
        <v>10</v>
      </c>
      <c r="D21" s="38">
        <v>91001</v>
      </c>
      <c r="E21" s="39">
        <v>200025888137</v>
      </c>
      <c r="F21" s="39" t="s">
        <v>15</v>
      </c>
      <c r="G21" s="39">
        <v>46</v>
      </c>
      <c r="H21" s="40">
        <v>45798.60361111111</v>
      </c>
      <c r="I21" s="38">
        <v>2</v>
      </c>
      <c r="J21" s="38"/>
      <c r="K21" s="38"/>
      <c r="L21" s="38"/>
      <c r="M21" s="47"/>
      <c r="R21" s="38">
        <v>2</v>
      </c>
      <c r="S21" s="38">
        <v>10</v>
      </c>
      <c r="V21" s="38" t="s">
        <v>10</v>
      </c>
      <c r="W21" s="38">
        <v>91001</v>
      </c>
      <c r="X21" s="47"/>
      <c r="Y21" s="38">
        <v>24</v>
      </c>
      <c r="Z21" s="38">
        <v>1</v>
      </c>
    </row>
    <row r="22" spans="1:26" x14ac:dyDescent="0.35">
      <c r="A22" s="38">
        <v>57</v>
      </c>
      <c r="B22" s="38" t="s">
        <v>5</v>
      </c>
      <c r="C22" s="38" t="s">
        <v>10</v>
      </c>
      <c r="D22" s="38">
        <v>91001</v>
      </c>
      <c r="E22" s="39">
        <v>200025888137</v>
      </c>
      <c r="F22" s="39" t="s">
        <v>15</v>
      </c>
      <c r="G22" s="39">
        <v>46</v>
      </c>
      <c r="H22" s="40">
        <v>45798.603773148148</v>
      </c>
      <c r="I22" s="38">
        <v>2</v>
      </c>
      <c r="J22" s="38"/>
      <c r="K22" s="38"/>
      <c r="L22" s="38"/>
      <c r="M22" s="47"/>
      <c r="R22" s="38">
        <v>2</v>
      </c>
      <c r="S22" s="38">
        <v>11</v>
      </c>
      <c r="V22" s="38" t="s">
        <v>10</v>
      </c>
      <c r="W22" s="38">
        <v>91001</v>
      </c>
      <c r="X22" s="40"/>
      <c r="Y22" s="38">
        <v>25</v>
      </c>
      <c r="Z22" s="38">
        <v>1</v>
      </c>
    </row>
    <row r="23" spans="1:26" x14ac:dyDescent="0.35">
      <c r="A23" s="38">
        <v>58</v>
      </c>
      <c r="B23" s="38" t="s">
        <v>5</v>
      </c>
      <c r="C23" s="38" t="s">
        <v>10</v>
      </c>
      <c r="D23" s="38">
        <v>91001</v>
      </c>
      <c r="E23" s="39">
        <v>200025888137</v>
      </c>
      <c r="F23" s="39" t="s">
        <v>15</v>
      </c>
      <c r="G23" s="39">
        <v>46</v>
      </c>
      <c r="H23" s="40">
        <v>45798.604270833333</v>
      </c>
      <c r="I23" s="38">
        <v>2</v>
      </c>
      <c r="J23" s="38"/>
      <c r="K23" s="38"/>
      <c r="L23" s="38"/>
      <c r="M23" s="47"/>
      <c r="R23" s="38">
        <v>2</v>
      </c>
      <c r="S23" s="38">
        <v>12</v>
      </c>
      <c r="V23" s="38" t="s">
        <v>10</v>
      </c>
      <c r="W23" s="38">
        <v>91001</v>
      </c>
      <c r="X23" s="47"/>
      <c r="Y23" s="38">
        <v>26</v>
      </c>
      <c r="Z23" s="38">
        <v>0</v>
      </c>
    </row>
    <row r="24" spans="1:26" x14ac:dyDescent="0.35">
      <c r="A24" s="38">
        <v>59</v>
      </c>
      <c r="B24" s="38" t="s">
        <v>5</v>
      </c>
      <c r="C24" s="38" t="s">
        <v>10</v>
      </c>
      <c r="D24" s="38">
        <v>91001</v>
      </c>
      <c r="E24" s="39">
        <v>200025888137</v>
      </c>
      <c r="F24" s="39" t="s">
        <v>15</v>
      </c>
      <c r="G24" s="39">
        <v>46</v>
      </c>
      <c r="H24" s="40">
        <v>45798.604409722226</v>
      </c>
      <c r="I24" s="38">
        <v>2</v>
      </c>
      <c r="J24" s="38"/>
      <c r="K24" s="38"/>
      <c r="L24" s="38"/>
      <c r="M24" s="47"/>
      <c r="R24" s="38">
        <v>2</v>
      </c>
      <c r="S24" s="38">
        <v>13</v>
      </c>
      <c r="V24" s="38" t="s">
        <v>10</v>
      </c>
      <c r="W24" s="38">
        <v>91001</v>
      </c>
      <c r="X24" s="47"/>
      <c r="Y24" s="38">
        <v>27</v>
      </c>
      <c r="Z24" s="38">
        <v>0</v>
      </c>
    </row>
    <row r="25" spans="1:26" x14ac:dyDescent="0.35">
      <c r="A25" s="38">
        <v>60</v>
      </c>
      <c r="B25" s="38" t="s">
        <v>5</v>
      </c>
      <c r="C25" s="38" t="s">
        <v>10</v>
      </c>
      <c r="D25" s="38">
        <v>91001</v>
      </c>
      <c r="E25" s="39">
        <v>200025888137</v>
      </c>
      <c r="F25" s="39" t="s">
        <v>15</v>
      </c>
      <c r="G25" s="39">
        <v>46</v>
      </c>
      <c r="H25" s="40">
        <v>45798.604421296295</v>
      </c>
      <c r="I25" s="38">
        <v>2</v>
      </c>
      <c r="J25" s="38"/>
      <c r="K25" s="38"/>
      <c r="L25" s="38"/>
      <c r="M25" s="47"/>
      <c r="R25" s="38">
        <v>2</v>
      </c>
      <c r="S25" s="38">
        <v>14</v>
      </c>
      <c r="V25" s="38" t="s">
        <v>10</v>
      </c>
      <c r="W25" s="38">
        <v>91001</v>
      </c>
      <c r="X25" s="47"/>
      <c r="Y25" s="38">
        <v>28</v>
      </c>
      <c r="Z25" s="38">
        <v>1</v>
      </c>
    </row>
    <row r="26" spans="1:26" x14ac:dyDescent="0.35">
      <c r="A26" s="38">
        <v>61</v>
      </c>
      <c r="B26" s="38" t="s">
        <v>5</v>
      </c>
      <c r="C26" s="38" t="s">
        <v>10</v>
      </c>
      <c r="D26" s="38">
        <v>91001</v>
      </c>
      <c r="E26" s="39">
        <v>200025888137</v>
      </c>
      <c r="F26" s="39" t="s">
        <v>15</v>
      </c>
      <c r="G26" s="39">
        <v>46</v>
      </c>
      <c r="H26" s="40">
        <v>45798.605509259258</v>
      </c>
      <c r="I26" s="38">
        <v>2</v>
      </c>
      <c r="J26" s="38"/>
      <c r="K26" s="38"/>
      <c r="L26" s="38"/>
      <c r="M26" s="47"/>
      <c r="N26" s="50"/>
      <c r="O26" s="50"/>
      <c r="P26" s="46"/>
      <c r="Q26" s="46"/>
      <c r="R26" s="38">
        <v>2</v>
      </c>
      <c r="S26" s="38">
        <v>15</v>
      </c>
      <c r="V26" s="38" t="s">
        <v>10</v>
      </c>
      <c r="W26" s="38">
        <v>91001</v>
      </c>
      <c r="X26" s="47"/>
      <c r="Y26" s="38">
        <v>29</v>
      </c>
      <c r="Z26" s="38">
        <v>1</v>
      </c>
    </row>
    <row r="27" spans="1:26" x14ac:dyDescent="0.35">
      <c r="A27" s="38">
        <v>62</v>
      </c>
      <c r="B27" s="38" t="s">
        <v>5</v>
      </c>
      <c r="C27" s="38" t="s">
        <v>10</v>
      </c>
      <c r="D27" s="38">
        <v>91001</v>
      </c>
      <c r="E27" s="39">
        <v>200025888137</v>
      </c>
      <c r="F27" s="39" t="s">
        <v>15</v>
      </c>
      <c r="G27" s="39">
        <v>46</v>
      </c>
      <c r="H27" s="40">
        <v>45798.605636574073</v>
      </c>
      <c r="I27" s="38">
        <v>2</v>
      </c>
      <c r="J27" s="38"/>
      <c r="K27" s="38"/>
      <c r="L27" s="38"/>
      <c r="M27" s="47"/>
      <c r="R27" s="38">
        <v>2</v>
      </c>
      <c r="S27" s="38">
        <v>16</v>
      </c>
      <c r="V27" s="38" t="s">
        <v>10</v>
      </c>
      <c r="W27" s="38">
        <v>91001</v>
      </c>
      <c r="X27" s="47"/>
      <c r="Y27" s="38">
        <v>30</v>
      </c>
      <c r="Z27" s="38">
        <v>0</v>
      </c>
    </row>
    <row r="28" spans="1:26" x14ac:dyDescent="0.35">
      <c r="A28" s="38">
        <v>63</v>
      </c>
      <c r="B28" s="38" t="s">
        <v>5</v>
      </c>
      <c r="C28" s="38" t="s">
        <v>10</v>
      </c>
      <c r="D28" s="38">
        <v>91001</v>
      </c>
      <c r="E28" s="39">
        <v>200025888137</v>
      </c>
      <c r="F28" s="39" t="s">
        <v>15</v>
      </c>
      <c r="G28" s="39">
        <v>46</v>
      </c>
      <c r="H28" s="40">
        <v>45798.60564814815</v>
      </c>
      <c r="I28" s="38">
        <v>2</v>
      </c>
      <c r="J28" s="38"/>
      <c r="K28" s="38"/>
      <c r="L28" s="38"/>
      <c r="M28" s="47"/>
      <c r="R28" s="38">
        <v>2</v>
      </c>
      <c r="S28" s="38">
        <v>17</v>
      </c>
      <c r="V28" s="38" t="s">
        <v>10</v>
      </c>
      <c r="W28" s="38">
        <v>91001</v>
      </c>
      <c r="X28" s="47"/>
      <c r="Y28" s="38">
        <v>31</v>
      </c>
      <c r="Z28" s="38">
        <v>12</v>
      </c>
    </row>
    <row r="29" spans="1:26" x14ac:dyDescent="0.35">
      <c r="A29" s="38">
        <v>64</v>
      </c>
      <c r="B29" s="38" t="s">
        <v>5</v>
      </c>
      <c r="C29" s="38" t="s">
        <v>10</v>
      </c>
      <c r="D29" s="38">
        <v>91001</v>
      </c>
      <c r="E29" s="39">
        <v>200025888137</v>
      </c>
      <c r="F29" s="39" t="s">
        <v>15</v>
      </c>
      <c r="G29" s="39">
        <v>46</v>
      </c>
      <c r="H29" s="40">
        <v>45798.606053240743</v>
      </c>
      <c r="I29" s="38">
        <v>2</v>
      </c>
      <c r="J29" s="38"/>
      <c r="K29" s="38"/>
      <c r="L29" s="38"/>
      <c r="M29" s="47"/>
      <c r="R29" s="38">
        <v>2</v>
      </c>
      <c r="S29" s="38">
        <v>18</v>
      </c>
      <c r="V29" s="38" t="s">
        <v>10</v>
      </c>
      <c r="W29" s="38">
        <v>91001</v>
      </c>
      <c r="X29" s="47"/>
      <c r="Y29" s="38">
        <v>32</v>
      </c>
      <c r="Z29" s="38">
        <v>1</v>
      </c>
    </row>
    <row r="30" spans="1:26" x14ac:dyDescent="0.35">
      <c r="A30" s="38">
        <v>74</v>
      </c>
      <c r="B30" s="38" t="s">
        <v>5</v>
      </c>
      <c r="C30" s="38" t="s">
        <v>10</v>
      </c>
      <c r="D30" s="38">
        <v>91001</v>
      </c>
      <c r="E30" s="39">
        <v>200025888137</v>
      </c>
      <c r="F30" s="39" t="s">
        <v>15</v>
      </c>
      <c r="G30" s="39">
        <v>46</v>
      </c>
      <c r="H30" s="40">
        <v>45798.675671296296</v>
      </c>
      <c r="I30" s="38">
        <v>2</v>
      </c>
      <c r="J30" s="38"/>
      <c r="K30" s="38"/>
      <c r="L30" s="38"/>
      <c r="M30" s="47"/>
      <c r="R30" s="38">
        <v>2</v>
      </c>
      <c r="S30" s="38">
        <v>19</v>
      </c>
      <c r="V30" s="38" t="s">
        <v>10</v>
      </c>
      <c r="W30" s="38">
        <v>91001</v>
      </c>
      <c r="X30" s="47"/>
      <c r="Y30" s="38">
        <v>42</v>
      </c>
      <c r="Z30" s="38">
        <v>1</v>
      </c>
    </row>
    <row r="31" spans="1:26" x14ac:dyDescent="0.35">
      <c r="A31" s="38">
        <v>75</v>
      </c>
      <c r="B31" s="38" t="s">
        <v>5</v>
      </c>
      <c r="C31" s="38" t="s">
        <v>10</v>
      </c>
      <c r="D31" s="38">
        <v>91001</v>
      </c>
      <c r="E31" s="39">
        <v>200025888137</v>
      </c>
      <c r="F31" s="39" t="s">
        <v>15</v>
      </c>
      <c r="G31" s="39">
        <v>46</v>
      </c>
      <c r="H31" s="40">
        <v>45798.675682870373</v>
      </c>
      <c r="I31" s="38">
        <v>2</v>
      </c>
      <c r="J31" s="38"/>
      <c r="K31" s="38"/>
      <c r="L31" s="38"/>
      <c r="M31" s="47"/>
      <c r="R31" s="38">
        <v>2</v>
      </c>
      <c r="S31" s="38">
        <v>20</v>
      </c>
      <c r="V31" s="38" t="s">
        <v>10</v>
      </c>
      <c r="W31" s="38">
        <v>91001</v>
      </c>
      <c r="X31" s="47"/>
      <c r="Y31" s="38">
        <v>43</v>
      </c>
      <c r="Z31" s="38">
        <v>0</v>
      </c>
    </row>
    <row r="32" spans="1:26" x14ac:dyDescent="0.35">
      <c r="A32" s="38">
        <v>76</v>
      </c>
      <c r="B32" s="38" t="s">
        <v>5</v>
      </c>
      <c r="C32" s="38" t="s">
        <v>10</v>
      </c>
      <c r="D32" s="38">
        <v>91001</v>
      </c>
      <c r="E32" s="39">
        <v>200025888137</v>
      </c>
      <c r="F32" s="39" t="s">
        <v>15</v>
      </c>
      <c r="G32" s="39">
        <v>46</v>
      </c>
      <c r="H32" s="40">
        <v>45798.675682870373</v>
      </c>
      <c r="I32" s="38">
        <v>2</v>
      </c>
      <c r="J32" s="38"/>
      <c r="K32" s="38"/>
      <c r="L32" s="38"/>
      <c r="M32" s="47"/>
      <c r="R32" s="38">
        <v>2</v>
      </c>
      <c r="S32" s="38">
        <v>21</v>
      </c>
      <c r="V32" s="38" t="s">
        <v>10</v>
      </c>
      <c r="W32" s="38">
        <v>91001</v>
      </c>
      <c r="X32" s="47"/>
      <c r="Y32" s="38">
        <v>44</v>
      </c>
      <c r="Z32" s="38">
        <v>1</v>
      </c>
    </row>
    <row r="33" spans="1:26" x14ac:dyDescent="0.35">
      <c r="A33" s="38">
        <v>77</v>
      </c>
      <c r="B33" s="38" t="s">
        <v>5</v>
      </c>
      <c r="C33" s="38" t="s">
        <v>10</v>
      </c>
      <c r="D33" s="38">
        <v>91001</v>
      </c>
      <c r="E33" s="39">
        <v>200025888137</v>
      </c>
      <c r="F33" s="39" t="s">
        <v>15</v>
      </c>
      <c r="G33" s="39">
        <v>46</v>
      </c>
      <c r="H33" s="40">
        <v>45798.676307870373</v>
      </c>
      <c r="I33" s="38">
        <v>2</v>
      </c>
      <c r="J33" s="38"/>
      <c r="K33" s="38"/>
      <c r="L33" s="38"/>
      <c r="M33" s="47"/>
      <c r="R33" s="38">
        <v>2</v>
      </c>
      <c r="S33" s="38">
        <v>22</v>
      </c>
      <c r="V33" s="38" t="s">
        <v>10</v>
      </c>
      <c r="W33" s="38">
        <v>91001</v>
      </c>
      <c r="X33" s="47"/>
      <c r="Y33" s="38">
        <v>45</v>
      </c>
      <c r="Z33" s="38">
        <v>13</v>
      </c>
    </row>
    <row r="34" spans="1:26" x14ac:dyDescent="0.35">
      <c r="A34" s="38">
        <v>78</v>
      </c>
      <c r="B34" s="38" t="s">
        <v>5</v>
      </c>
      <c r="C34" s="38" t="s">
        <v>10</v>
      </c>
      <c r="D34" s="38">
        <v>91001</v>
      </c>
      <c r="E34" s="39">
        <v>200025888137</v>
      </c>
      <c r="F34" s="39" t="s">
        <v>15</v>
      </c>
      <c r="G34" s="39">
        <v>46</v>
      </c>
      <c r="H34" s="40">
        <v>45798.676979166667</v>
      </c>
      <c r="I34" s="38">
        <v>2</v>
      </c>
      <c r="J34" s="38"/>
      <c r="K34" s="38"/>
      <c r="L34" s="38"/>
      <c r="M34" s="47"/>
      <c r="R34" s="38">
        <v>2</v>
      </c>
      <c r="S34" s="38">
        <v>23</v>
      </c>
      <c r="V34" s="38" t="s">
        <v>10</v>
      </c>
      <c r="W34" s="38">
        <v>91001</v>
      </c>
      <c r="X34" s="47"/>
      <c r="Y34" s="38">
        <v>46</v>
      </c>
      <c r="Z34" s="38">
        <v>0</v>
      </c>
    </row>
    <row r="35" spans="1:26" x14ac:dyDescent="0.35">
      <c r="A35" s="38">
        <v>79</v>
      </c>
      <c r="B35" s="38" t="s">
        <v>5</v>
      </c>
      <c r="C35" s="38" t="s">
        <v>10</v>
      </c>
      <c r="D35" s="38">
        <v>91001</v>
      </c>
      <c r="E35" s="39">
        <v>200025888137</v>
      </c>
      <c r="F35" s="39" t="s">
        <v>15</v>
      </c>
      <c r="G35" s="39">
        <v>46</v>
      </c>
      <c r="H35" s="40">
        <v>45798.676990740743</v>
      </c>
      <c r="I35" s="38">
        <v>2</v>
      </c>
      <c r="J35" s="38"/>
      <c r="K35" s="38"/>
      <c r="L35" s="38"/>
      <c r="M35" s="47"/>
      <c r="R35" s="38">
        <v>2</v>
      </c>
      <c r="S35" s="38">
        <v>24</v>
      </c>
      <c r="V35" s="38" t="s">
        <v>10</v>
      </c>
      <c r="W35" s="38">
        <v>91001</v>
      </c>
      <c r="X35" s="47"/>
      <c r="Y35" s="38">
        <v>47</v>
      </c>
      <c r="Z35" s="38">
        <v>0</v>
      </c>
    </row>
    <row r="36" spans="1:26" x14ac:dyDescent="0.35">
      <c r="A36" s="38">
        <v>80</v>
      </c>
      <c r="B36" s="38" t="s">
        <v>5</v>
      </c>
      <c r="C36" s="38" t="s">
        <v>10</v>
      </c>
      <c r="D36" s="38">
        <v>91001</v>
      </c>
      <c r="E36" s="39">
        <v>200025888137</v>
      </c>
      <c r="F36" s="39" t="s">
        <v>15</v>
      </c>
      <c r="G36" s="39">
        <v>46</v>
      </c>
      <c r="H36" s="40">
        <v>45798.67759259259</v>
      </c>
      <c r="I36" s="38">
        <v>2</v>
      </c>
      <c r="J36" s="38"/>
      <c r="K36" s="38"/>
      <c r="L36" s="38"/>
      <c r="M36" s="47"/>
      <c r="R36" s="38">
        <v>2</v>
      </c>
      <c r="S36" s="38">
        <v>25</v>
      </c>
      <c r="V36" s="38" t="s">
        <v>10</v>
      </c>
      <c r="W36" s="38">
        <v>91001</v>
      </c>
      <c r="X36" s="47"/>
      <c r="Y36" s="38">
        <v>48</v>
      </c>
      <c r="Z36" s="38">
        <v>1</v>
      </c>
    </row>
    <row r="37" spans="1:26" x14ac:dyDescent="0.35">
      <c r="A37" s="38">
        <v>81</v>
      </c>
      <c r="B37" s="38" t="s">
        <v>5</v>
      </c>
      <c r="C37" s="38" t="s">
        <v>10</v>
      </c>
      <c r="D37" s="38">
        <v>91001</v>
      </c>
      <c r="E37" s="39">
        <v>200025888137</v>
      </c>
      <c r="F37" s="39" t="s">
        <v>15</v>
      </c>
      <c r="G37" s="39">
        <v>46</v>
      </c>
      <c r="H37" s="40">
        <v>45798.677743055552</v>
      </c>
      <c r="I37" s="38">
        <v>2</v>
      </c>
      <c r="J37" s="40">
        <v>45797.843229166669</v>
      </c>
      <c r="K37" s="40">
        <v>45798.677743055552</v>
      </c>
      <c r="L37" s="46">
        <f>(K37-J37)*24</f>
        <v>20.0283333332045</v>
      </c>
      <c r="M37" s="47">
        <v>20.0283333332045</v>
      </c>
      <c r="N37" s="40">
        <v>45798.511724537035</v>
      </c>
      <c r="O37" s="40">
        <v>45798.677743055552</v>
      </c>
      <c r="P37" s="46">
        <f>(O37-N37)*24</f>
        <v>3.9844444444170222</v>
      </c>
      <c r="Q37" s="47">
        <v>3.9844444444170222</v>
      </c>
      <c r="R37" s="38">
        <v>2</v>
      </c>
      <c r="S37" s="38">
        <v>26</v>
      </c>
      <c r="T37" s="49" t="s">
        <v>52</v>
      </c>
      <c r="U37" s="38">
        <v>2</v>
      </c>
      <c r="V37" s="38" t="s">
        <v>10</v>
      </c>
      <c r="W37" s="38">
        <v>91001</v>
      </c>
      <c r="X37" s="47"/>
      <c r="Y37" s="38">
        <v>49</v>
      </c>
      <c r="Z37" s="38">
        <v>0</v>
      </c>
    </row>
    <row r="38" spans="1:26" x14ac:dyDescent="0.35">
      <c r="A38" s="38">
        <v>33</v>
      </c>
      <c r="B38" s="38" t="s">
        <v>5</v>
      </c>
      <c r="C38" s="38" t="s">
        <v>10</v>
      </c>
      <c r="D38" s="38">
        <v>91001</v>
      </c>
      <c r="E38" s="39">
        <v>200025888173</v>
      </c>
      <c r="F38" s="39" t="s">
        <v>17</v>
      </c>
      <c r="G38" s="39">
        <v>34</v>
      </c>
      <c r="H38" s="40">
        <v>45798.247002314813</v>
      </c>
      <c r="I38" s="38">
        <v>3</v>
      </c>
      <c r="K38" s="38"/>
      <c r="L38" s="38"/>
      <c r="M38" s="47"/>
      <c r="R38" s="38">
        <v>3</v>
      </c>
      <c r="S38" s="38">
        <v>1</v>
      </c>
      <c r="V38" s="38" t="s">
        <v>10</v>
      </c>
      <c r="W38" s="38">
        <v>91001</v>
      </c>
      <c r="X38" s="47">
        <f>(H39-H38)*24</f>
        <v>2.7777784271165729E-4</v>
      </c>
      <c r="Y38" s="38">
        <v>1</v>
      </c>
      <c r="Z38" s="38">
        <v>0</v>
      </c>
    </row>
    <row r="39" spans="1:26" x14ac:dyDescent="0.35">
      <c r="A39" s="38">
        <v>34</v>
      </c>
      <c r="B39" s="38" t="s">
        <v>5</v>
      </c>
      <c r="C39" s="38" t="s">
        <v>10</v>
      </c>
      <c r="D39" s="38">
        <v>91001</v>
      </c>
      <c r="E39" s="39">
        <v>200025888173</v>
      </c>
      <c r="F39" s="39" t="s">
        <v>17</v>
      </c>
      <c r="G39" s="39">
        <v>34</v>
      </c>
      <c r="H39" s="40">
        <v>45798.247013888889</v>
      </c>
      <c r="I39" s="38">
        <v>3</v>
      </c>
      <c r="J39" s="38"/>
      <c r="K39" s="38"/>
      <c r="L39" s="38"/>
      <c r="M39" s="47"/>
      <c r="R39" s="38">
        <v>3</v>
      </c>
      <c r="S39" s="38">
        <v>2</v>
      </c>
      <c r="V39" s="38" t="s">
        <v>10</v>
      </c>
      <c r="W39" s="38">
        <v>91001</v>
      </c>
      <c r="X39" s="47"/>
      <c r="Y39" s="38">
        <v>2</v>
      </c>
      <c r="Z39" s="38">
        <v>0</v>
      </c>
    </row>
    <row r="40" spans="1:26" x14ac:dyDescent="0.35">
      <c r="A40" s="38">
        <v>35</v>
      </c>
      <c r="B40" s="38" t="s">
        <v>5</v>
      </c>
      <c r="C40" s="38" t="s">
        <v>10</v>
      </c>
      <c r="D40" s="38">
        <v>91001</v>
      </c>
      <c r="E40" s="39">
        <v>200025888173</v>
      </c>
      <c r="F40" s="39" t="s">
        <v>17</v>
      </c>
      <c r="G40" s="39">
        <v>34</v>
      </c>
      <c r="H40" s="40">
        <v>45798.27275462963</v>
      </c>
      <c r="I40" s="38">
        <v>3</v>
      </c>
      <c r="J40" s="38"/>
      <c r="K40" s="38"/>
      <c r="L40" s="38"/>
      <c r="M40" s="47"/>
      <c r="R40" s="38">
        <v>3</v>
      </c>
      <c r="S40" s="38">
        <v>3</v>
      </c>
      <c r="V40" s="38" t="s">
        <v>10</v>
      </c>
      <c r="W40" s="38">
        <v>91001</v>
      </c>
      <c r="X40" s="47"/>
      <c r="Y40" s="38">
        <v>3</v>
      </c>
      <c r="Z40" s="38">
        <v>0</v>
      </c>
    </row>
    <row r="41" spans="1:26" x14ac:dyDescent="0.35">
      <c r="A41" s="38">
        <v>36</v>
      </c>
      <c r="B41" s="38" t="s">
        <v>5</v>
      </c>
      <c r="C41" s="38" t="s">
        <v>10</v>
      </c>
      <c r="D41" s="38">
        <v>91001</v>
      </c>
      <c r="E41" s="39">
        <v>200025888173</v>
      </c>
      <c r="F41" s="39" t="s">
        <v>17</v>
      </c>
      <c r="G41" s="39">
        <v>34</v>
      </c>
      <c r="H41" s="40">
        <v>45798.302256944444</v>
      </c>
      <c r="I41" s="38">
        <v>3</v>
      </c>
      <c r="J41" s="38"/>
      <c r="K41" s="38"/>
      <c r="L41" s="38"/>
      <c r="M41" s="47"/>
      <c r="R41" s="38">
        <v>3</v>
      </c>
      <c r="S41" s="38">
        <v>4</v>
      </c>
      <c r="V41" s="38" t="s">
        <v>10</v>
      </c>
      <c r="W41" s="38">
        <v>91001</v>
      </c>
      <c r="X41" s="47"/>
      <c r="Y41" s="38">
        <v>4</v>
      </c>
      <c r="Z41" s="38">
        <v>0</v>
      </c>
    </row>
    <row r="42" spans="1:26" x14ac:dyDescent="0.35">
      <c r="A42" s="38">
        <v>37</v>
      </c>
      <c r="B42" s="38" t="s">
        <v>5</v>
      </c>
      <c r="C42" s="38" t="s">
        <v>10</v>
      </c>
      <c r="D42" s="38">
        <v>91001</v>
      </c>
      <c r="E42" s="39">
        <v>200025888173</v>
      </c>
      <c r="F42" s="39" t="s">
        <v>17</v>
      </c>
      <c r="G42" s="39">
        <v>34</v>
      </c>
      <c r="H42" s="40">
        <v>45798.302268518521</v>
      </c>
      <c r="I42" s="38">
        <v>3</v>
      </c>
      <c r="J42" s="38"/>
      <c r="K42" s="38"/>
      <c r="L42" s="38"/>
      <c r="M42" s="47"/>
      <c r="R42" s="38">
        <v>3</v>
      </c>
      <c r="S42" s="38">
        <v>5</v>
      </c>
      <c r="V42" s="38" t="s">
        <v>10</v>
      </c>
      <c r="W42" s="38">
        <v>91001</v>
      </c>
      <c r="X42" s="47"/>
      <c r="Y42" s="38">
        <v>5</v>
      </c>
      <c r="Z42" s="38">
        <v>0</v>
      </c>
    </row>
    <row r="43" spans="1:26" x14ac:dyDescent="0.35">
      <c r="A43" s="38">
        <v>38</v>
      </c>
      <c r="B43" s="38" t="s">
        <v>5</v>
      </c>
      <c r="C43" s="38" t="s">
        <v>10</v>
      </c>
      <c r="D43" s="38">
        <v>91001</v>
      </c>
      <c r="E43" s="39">
        <v>200025888173</v>
      </c>
      <c r="F43" s="39" t="s">
        <v>17</v>
      </c>
      <c r="G43" s="39">
        <v>34</v>
      </c>
      <c r="H43" s="40">
        <v>45798.30228009259</v>
      </c>
      <c r="I43" s="38">
        <v>3</v>
      </c>
      <c r="J43" s="40"/>
      <c r="K43" s="40"/>
      <c r="L43" s="46"/>
      <c r="M43" s="46"/>
      <c r="R43" s="38">
        <v>3</v>
      </c>
      <c r="S43" s="38">
        <v>6</v>
      </c>
      <c r="V43" s="38" t="s">
        <v>10</v>
      </c>
      <c r="W43" s="38">
        <v>91001</v>
      </c>
      <c r="X43" s="47"/>
      <c r="Y43" s="38">
        <v>6</v>
      </c>
      <c r="Z43" s="38">
        <v>1</v>
      </c>
    </row>
    <row r="44" spans="1:26" x14ac:dyDescent="0.35">
      <c r="A44" s="38">
        <v>39</v>
      </c>
      <c r="B44" s="38" t="s">
        <v>5</v>
      </c>
      <c r="C44" s="38" t="s">
        <v>10</v>
      </c>
      <c r="D44" s="38">
        <v>91001</v>
      </c>
      <c r="E44" s="39">
        <v>200025888173</v>
      </c>
      <c r="F44" s="39" t="s">
        <v>17</v>
      </c>
      <c r="G44" s="39">
        <v>34</v>
      </c>
      <c r="H44" s="40">
        <v>45798.302534722221</v>
      </c>
      <c r="I44" s="38">
        <v>3</v>
      </c>
      <c r="J44" s="38"/>
      <c r="K44" s="38"/>
      <c r="L44" s="38"/>
      <c r="M44" s="47"/>
      <c r="R44" s="38">
        <v>3</v>
      </c>
      <c r="S44" s="38">
        <v>7</v>
      </c>
      <c r="V44" s="38" t="s">
        <v>10</v>
      </c>
      <c r="W44" s="38">
        <v>91001</v>
      </c>
      <c r="X44" s="47"/>
      <c r="Y44" s="38">
        <v>7</v>
      </c>
      <c r="Z44" s="38">
        <v>1</v>
      </c>
    </row>
    <row r="45" spans="1:26" x14ac:dyDescent="0.35">
      <c r="A45" s="38">
        <v>40</v>
      </c>
      <c r="B45" s="38" t="s">
        <v>5</v>
      </c>
      <c r="C45" s="38" t="s">
        <v>10</v>
      </c>
      <c r="D45" s="38">
        <v>91001</v>
      </c>
      <c r="E45" s="39">
        <v>200025888173</v>
      </c>
      <c r="F45" s="39" t="s">
        <v>17</v>
      </c>
      <c r="G45" s="39">
        <v>34</v>
      </c>
      <c r="H45" s="40">
        <v>45798.302546296298</v>
      </c>
      <c r="I45" s="38">
        <v>3</v>
      </c>
      <c r="J45" s="38"/>
      <c r="K45" s="38"/>
      <c r="L45" s="38"/>
      <c r="M45" s="47"/>
      <c r="R45" s="38">
        <v>3</v>
      </c>
      <c r="S45" s="38">
        <v>8</v>
      </c>
      <c r="V45" s="38" t="s">
        <v>10</v>
      </c>
      <c r="W45" s="38">
        <v>91001</v>
      </c>
      <c r="X45" s="47"/>
      <c r="Y45" s="38">
        <v>8</v>
      </c>
      <c r="Z45" s="38">
        <v>0</v>
      </c>
    </row>
    <row r="46" spans="1:26" x14ac:dyDescent="0.35">
      <c r="A46" s="38">
        <v>41</v>
      </c>
      <c r="B46" s="38" t="s">
        <v>5</v>
      </c>
      <c r="C46" s="38" t="s">
        <v>10</v>
      </c>
      <c r="D46" s="38">
        <v>91001</v>
      </c>
      <c r="E46" s="39">
        <v>200025888173</v>
      </c>
      <c r="F46" s="39" t="s">
        <v>17</v>
      </c>
      <c r="G46" s="39">
        <v>34</v>
      </c>
      <c r="H46" s="40">
        <v>45798.32234953704</v>
      </c>
      <c r="I46" s="38">
        <v>3</v>
      </c>
      <c r="J46" s="38"/>
      <c r="K46" s="38"/>
      <c r="L46" s="38"/>
      <c r="M46" s="47"/>
      <c r="R46" s="38">
        <v>3</v>
      </c>
      <c r="S46" s="38">
        <v>9</v>
      </c>
      <c r="V46" s="38" t="s">
        <v>10</v>
      </c>
      <c r="W46" s="38">
        <v>91001</v>
      </c>
      <c r="X46" s="47"/>
      <c r="Y46" s="38">
        <v>9</v>
      </c>
      <c r="Z46" s="38">
        <v>0</v>
      </c>
    </row>
    <row r="47" spans="1:26" x14ac:dyDescent="0.35">
      <c r="A47" s="38">
        <v>42</v>
      </c>
      <c r="B47" s="38" t="s">
        <v>5</v>
      </c>
      <c r="C47" s="38" t="s">
        <v>10</v>
      </c>
      <c r="D47" s="38">
        <v>91001</v>
      </c>
      <c r="E47" s="39">
        <v>200025888173</v>
      </c>
      <c r="F47" s="39" t="s">
        <v>17</v>
      </c>
      <c r="G47" s="39">
        <v>34</v>
      </c>
      <c r="H47" s="40">
        <v>45798.367731481485</v>
      </c>
      <c r="I47" s="38">
        <v>3</v>
      </c>
      <c r="J47" s="38"/>
      <c r="K47" s="38"/>
      <c r="L47" s="38"/>
      <c r="M47" s="47"/>
      <c r="R47" s="38">
        <v>3</v>
      </c>
      <c r="S47" s="38">
        <v>10</v>
      </c>
      <c r="V47" s="38" t="s">
        <v>10</v>
      </c>
      <c r="W47" s="38">
        <v>91001</v>
      </c>
      <c r="X47" s="47"/>
      <c r="Y47" s="38">
        <v>10</v>
      </c>
      <c r="Z47" s="38">
        <v>0</v>
      </c>
    </row>
    <row r="48" spans="1:26" x14ac:dyDescent="0.35">
      <c r="A48" s="41">
        <v>203</v>
      </c>
      <c r="B48" s="41" t="s">
        <v>5</v>
      </c>
      <c r="C48" s="41" t="s">
        <v>10</v>
      </c>
      <c r="D48" s="41">
        <v>91001</v>
      </c>
      <c r="E48" s="39">
        <v>200025888200</v>
      </c>
      <c r="F48" s="39" t="s">
        <v>17</v>
      </c>
      <c r="G48" s="39">
        <v>34</v>
      </c>
      <c r="H48" s="40">
        <v>45799.753240740742</v>
      </c>
      <c r="I48" s="38">
        <v>3</v>
      </c>
      <c r="J48" s="38"/>
      <c r="K48" s="38"/>
      <c r="L48" s="38"/>
      <c r="M48" s="47"/>
      <c r="R48" s="38">
        <v>3</v>
      </c>
      <c r="S48" s="38">
        <v>11</v>
      </c>
      <c r="V48" s="41" t="s">
        <v>10</v>
      </c>
      <c r="W48" s="41">
        <v>91001</v>
      </c>
      <c r="X48" s="47"/>
      <c r="Y48" s="38">
        <v>171</v>
      </c>
      <c r="Z48" s="41">
        <v>0</v>
      </c>
    </row>
    <row r="49" spans="1:26" x14ac:dyDescent="0.35">
      <c r="A49" s="41">
        <v>204</v>
      </c>
      <c r="B49" s="41" t="s">
        <v>5</v>
      </c>
      <c r="C49" s="41" t="s">
        <v>10</v>
      </c>
      <c r="D49" s="41">
        <v>91001</v>
      </c>
      <c r="E49" s="39">
        <v>200025888200</v>
      </c>
      <c r="F49" s="39" t="s">
        <v>17</v>
      </c>
      <c r="G49" s="39">
        <v>34</v>
      </c>
      <c r="H49" s="40">
        <v>45799.753252314818</v>
      </c>
      <c r="I49" s="38">
        <v>3</v>
      </c>
      <c r="J49" s="40">
        <v>45798.247002314813</v>
      </c>
      <c r="K49" s="40">
        <v>45799.753252314818</v>
      </c>
      <c r="L49" s="46">
        <f>(K49-J49)*24</f>
        <v>36.150000000139698</v>
      </c>
      <c r="M49" s="47">
        <v>36.150000000139698</v>
      </c>
      <c r="N49" s="40">
        <v>45798.247002314813</v>
      </c>
      <c r="O49" s="40">
        <v>45798.367731481485</v>
      </c>
      <c r="P49" s="46">
        <f>(O49-N49)*24</f>
        <v>2.8975000001373701</v>
      </c>
      <c r="Q49" s="47">
        <v>2.8975000001373701</v>
      </c>
      <c r="R49" s="38">
        <v>3</v>
      </c>
      <c r="S49" s="38">
        <v>12</v>
      </c>
      <c r="T49" s="49" t="s">
        <v>53</v>
      </c>
      <c r="U49" s="38">
        <v>1</v>
      </c>
      <c r="V49" s="41" t="s">
        <v>10</v>
      </c>
      <c r="W49" s="41">
        <v>91001</v>
      </c>
      <c r="X49" s="47"/>
      <c r="Y49" s="38">
        <v>172</v>
      </c>
      <c r="Z49" s="41">
        <v>0</v>
      </c>
    </row>
    <row r="50" spans="1:26" x14ac:dyDescent="0.35">
      <c r="A50" s="38">
        <v>43</v>
      </c>
      <c r="B50" s="38" t="s">
        <v>5</v>
      </c>
      <c r="C50" s="38" t="s">
        <v>10</v>
      </c>
      <c r="D50" s="38">
        <v>91001</v>
      </c>
      <c r="E50" s="39">
        <v>200025888824</v>
      </c>
      <c r="F50" s="39" t="s">
        <v>35</v>
      </c>
      <c r="G50" s="39">
        <v>32</v>
      </c>
      <c r="H50" s="40">
        <v>45798.453252314815</v>
      </c>
      <c r="I50" s="38">
        <v>4</v>
      </c>
      <c r="J50" s="38"/>
      <c r="K50" s="38"/>
      <c r="L50" s="38"/>
      <c r="M50" s="47"/>
      <c r="R50" s="38">
        <v>4</v>
      </c>
      <c r="S50" s="38">
        <v>1</v>
      </c>
      <c r="V50" s="38" t="s">
        <v>10</v>
      </c>
      <c r="W50" s="38">
        <v>91001</v>
      </c>
      <c r="X50" s="47">
        <f>(H51-H50)*24</f>
        <v>2.7777784271165729E-4</v>
      </c>
      <c r="Y50" s="38">
        <v>11</v>
      </c>
      <c r="Z50" s="38">
        <v>0</v>
      </c>
    </row>
    <row r="51" spans="1:26" x14ac:dyDescent="0.35">
      <c r="A51" s="38">
        <v>44</v>
      </c>
      <c r="B51" s="38" t="s">
        <v>5</v>
      </c>
      <c r="C51" s="38" t="s">
        <v>10</v>
      </c>
      <c r="D51" s="38">
        <v>91001</v>
      </c>
      <c r="E51" s="39">
        <v>200025888824</v>
      </c>
      <c r="F51" s="39" t="s">
        <v>35</v>
      </c>
      <c r="G51" s="39">
        <v>32</v>
      </c>
      <c r="H51" s="40">
        <v>45798.453263888892</v>
      </c>
      <c r="I51" s="38">
        <v>4</v>
      </c>
      <c r="J51" s="38"/>
      <c r="K51" s="38"/>
      <c r="L51" s="38"/>
      <c r="M51" s="47"/>
      <c r="R51" s="38">
        <v>4</v>
      </c>
      <c r="S51" s="38">
        <v>2</v>
      </c>
      <c r="V51" s="38" t="s">
        <v>10</v>
      </c>
      <c r="W51" s="38">
        <v>91001</v>
      </c>
      <c r="X51" s="47"/>
      <c r="Y51" s="38">
        <v>12</v>
      </c>
      <c r="Z51" s="38">
        <v>0</v>
      </c>
    </row>
    <row r="52" spans="1:26" x14ac:dyDescent="0.35">
      <c r="A52" s="38">
        <v>45</v>
      </c>
      <c r="B52" s="38" t="s">
        <v>5</v>
      </c>
      <c r="C52" s="38" t="s">
        <v>10</v>
      </c>
      <c r="D52" s="38">
        <v>91001</v>
      </c>
      <c r="E52" s="39">
        <v>200025888824</v>
      </c>
      <c r="F52" s="39" t="s">
        <v>35</v>
      </c>
      <c r="G52" s="39">
        <v>32</v>
      </c>
      <c r="H52" s="40">
        <v>45798.454606481479</v>
      </c>
      <c r="I52" s="38">
        <v>4</v>
      </c>
      <c r="J52" s="38"/>
      <c r="K52" s="38"/>
      <c r="L52" s="38"/>
      <c r="M52" s="47"/>
      <c r="R52" s="38">
        <v>4</v>
      </c>
      <c r="S52" s="38">
        <v>3</v>
      </c>
      <c r="V52" s="38" t="s">
        <v>10</v>
      </c>
      <c r="W52" s="38">
        <v>91001</v>
      </c>
      <c r="X52" s="47"/>
      <c r="Y52" s="38">
        <v>13</v>
      </c>
      <c r="Z52" s="38">
        <v>1</v>
      </c>
    </row>
    <row r="53" spans="1:26" x14ac:dyDescent="0.35">
      <c r="A53" s="38">
        <v>46</v>
      </c>
      <c r="B53" s="38" t="s">
        <v>5</v>
      </c>
      <c r="C53" s="38" t="s">
        <v>10</v>
      </c>
      <c r="D53" s="38">
        <v>91001</v>
      </c>
      <c r="E53" s="39">
        <v>200025888824</v>
      </c>
      <c r="F53" s="39" t="s">
        <v>35</v>
      </c>
      <c r="G53" s="39">
        <v>32</v>
      </c>
      <c r="H53" s="40">
        <v>45798.454618055555</v>
      </c>
      <c r="I53" s="38">
        <v>4</v>
      </c>
      <c r="J53" s="38"/>
      <c r="K53" s="38"/>
      <c r="L53" s="38"/>
      <c r="M53" s="47"/>
      <c r="R53" s="38">
        <v>4</v>
      </c>
      <c r="S53" s="38">
        <v>4</v>
      </c>
      <c r="V53" s="38" t="s">
        <v>10</v>
      </c>
      <c r="W53" s="38">
        <v>91001</v>
      </c>
      <c r="X53" s="47"/>
      <c r="Y53" s="38">
        <v>14</v>
      </c>
      <c r="Z53" s="38">
        <v>0</v>
      </c>
    </row>
    <row r="54" spans="1:26" x14ac:dyDescent="0.35">
      <c r="A54" s="38">
        <v>47</v>
      </c>
      <c r="B54" s="38" t="s">
        <v>5</v>
      </c>
      <c r="C54" s="38" t="s">
        <v>10</v>
      </c>
      <c r="D54" s="38">
        <v>91001</v>
      </c>
      <c r="E54" s="39">
        <v>200025888824</v>
      </c>
      <c r="F54" s="39" t="s">
        <v>35</v>
      </c>
      <c r="G54" s="39">
        <v>32</v>
      </c>
      <c r="H54" s="40">
        <v>45798.503449074073</v>
      </c>
      <c r="I54" s="38">
        <v>4</v>
      </c>
      <c r="J54" s="38"/>
      <c r="K54" s="38"/>
      <c r="L54" s="38"/>
      <c r="M54" s="47"/>
      <c r="R54" s="38">
        <v>4</v>
      </c>
      <c r="S54" s="38">
        <v>5</v>
      </c>
      <c r="V54" s="38" t="s">
        <v>10</v>
      </c>
      <c r="W54" s="38">
        <v>91001</v>
      </c>
      <c r="X54" s="47"/>
      <c r="Y54" s="38">
        <v>15</v>
      </c>
      <c r="Z54" s="38">
        <v>715</v>
      </c>
    </row>
    <row r="55" spans="1:26" x14ac:dyDescent="0.35">
      <c r="A55" s="38">
        <v>105</v>
      </c>
      <c r="B55" s="38" t="s">
        <v>5</v>
      </c>
      <c r="C55" s="38" t="s">
        <v>10</v>
      </c>
      <c r="D55" s="38">
        <v>91001</v>
      </c>
      <c r="E55" s="39">
        <v>200025888824</v>
      </c>
      <c r="F55" s="39" t="s">
        <v>35</v>
      </c>
      <c r="G55" s="39">
        <v>32</v>
      </c>
      <c r="H55" s="40">
        <v>45798.80878472222</v>
      </c>
      <c r="I55" s="38">
        <v>4</v>
      </c>
      <c r="J55" s="38"/>
      <c r="K55" s="38"/>
      <c r="L55" s="38"/>
      <c r="M55" s="47"/>
      <c r="R55" s="38">
        <v>4</v>
      </c>
      <c r="S55" s="38">
        <v>6</v>
      </c>
      <c r="V55" s="38" t="s">
        <v>10</v>
      </c>
      <c r="W55" s="38">
        <v>91001</v>
      </c>
      <c r="X55" s="47"/>
      <c r="Y55" s="38">
        <v>73</v>
      </c>
      <c r="Z55" s="38">
        <v>0</v>
      </c>
    </row>
    <row r="56" spans="1:26" x14ac:dyDescent="0.35">
      <c r="A56" s="38">
        <v>106</v>
      </c>
      <c r="B56" s="38" t="s">
        <v>5</v>
      </c>
      <c r="C56" s="38" t="s">
        <v>10</v>
      </c>
      <c r="D56" s="38">
        <v>91001</v>
      </c>
      <c r="E56" s="39">
        <v>200025888824</v>
      </c>
      <c r="F56" s="39" t="s">
        <v>35</v>
      </c>
      <c r="G56" s="39">
        <v>32</v>
      </c>
      <c r="H56" s="40">
        <v>45798.808796296296</v>
      </c>
      <c r="I56" s="38">
        <v>4</v>
      </c>
      <c r="J56" s="38"/>
      <c r="K56" s="38"/>
      <c r="L56" s="38"/>
      <c r="M56" s="47"/>
      <c r="R56" s="38">
        <v>4</v>
      </c>
      <c r="S56" s="38">
        <v>7</v>
      </c>
      <c r="V56" s="38" t="s">
        <v>10</v>
      </c>
      <c r="W56" s="38">
        <v>91001</v>
      </c>
      <c r="X56" s="47"/>
      <c r="Y56" s="38">
        <v>74</v>
      </c>
      <c r="Z56" s="38">
        <v>0</v>
      </c>
    </row>
    <row r="57" spans="1:26" x14ac:dyDescent="0.35">
      <c r="A57" s="38">
        <v>107</v>
      </c>
      <c r="B57" s="38" t="s">
        <v>5</v>
      </c>
      <c r="C57" s="38" t="s">
        <v>10</v>
      </c>
      <c r="D57" s="38">
        <v>91001</v>
      </c>
      <c r="E57" s="39">
        <v>200025888824</v>
      </c>
      <c r="F57" s="39" t="s">
        <v>35</v>
      </c>
      <c r="G57" s="39">
        <v>32</v>
      </c>
      <c r="H57" s="40">
        <v>45798.809374999997</v>
      </c>
      <c r="I57" s="38">
        <v>4</v>
      </c>
      <c r="J57" s="38"/>
      <c r="K57" s="38"/>
      <c r="L57" s="38"/>
      <c r="M57" s="47"/>
      <c r="R57" s="38">
        <v>4</v>
      </c>
      <c r="S57" s="38">
        <v>8</v>
      </c>
      <c r="V57" s="38" t="s">
        <v>10</v>
      </c>
      <c r="W57" s="38">
        <v>91001</v>
      </c>
      <c r="X57" s="47"/>
      <c r="Y57" s="38">
        <v>75</v>
      </c>
      <c r="Z57" s="38">
        <v>2</v>
      </c>
    </row>
    <row r="58" spans="1:26" x14ac:dyDescent="0.35">
      <c r="A58" s="38">
        <v>111</v>
      </c>
      <c r="B58" s="38" t="s">
        <v>5</v>
      </c>
      <c r="C58" s="38" t="s">
        <v>10</v>
      </c>
      <c r="D58" s="38">
        <v>91001</v>
      </c>
      <c r="E58" s="39">
        <v>200025888824</v>
      </c>
      <c r="F58" s="39" t="s">
        <v>35</v>
      </c>
      <c r="G58" s="39">
        <v>32</v>
      </c>
      <c r="H58" s="40">
        <v>45798.844988425924</v>
      </c>
      <c r="I58" s="38">
        <v>4</v>
      </c>
      <c r="J58" s="38"/>
      <c r="K58" s="38"/>
      <c r="L58" s="38"/>
      <c r="M58" s="47"/>
      <c r="R58" s="38">
        <v>4</v>
      </c>
      <c r="S58" s="38">
        <v>9</v>
      </c>
      <c r="V58" s="38" t="s">
        <v>10</v>
      </c>
      <c r="W58" s="38">
        <v>91001</v>
      </c>
      <c r="X58" s="47"/>
      <c r="Y58" s="38">
        <v>79</v>
      </c>
      <c r="Z58" s="38">
        <v>1</v>
      </c>
    </row>
    <row r="59" spans="1:26" x14ac:dyDescent="0.35">
      <c r="A59" s="38">
        <v>112</v>
      </c>
      <c r="B59" s="38" t="s">
        <v>5</v>
      </c>
      <c r="C59" s="38" t="s">
        <v>10</v>
      </c>
      <c r="D59" s="38">
        <v>91001</v>
      </c>
      <c r="E59" s="39">
        <v>200025888824</v>
      </c>
      <c r="F59" s="39" t="s">
        <v>35</v>
      </c>
      <c r="G59" s="39">
        <v>32</v>
      </c>
      <c r="H59" s="40">
        <v>45798.84511574074</v>
      </c>
      <c r="I59" s="38">
        <v>4</v>
      </c>
      <c r="J59" s="38"/>
      <c r="K59" s="38"/>
      <c r="L59" s="38"/>
      <c r="M59" s="47"/>
      <c r="N59" s="50"/>
      <c r="O59" s="50"/>
      <c r="P59" s="46"/>
      <c r="Q59" s="46"/>
      <c r="R59" s="38">
        <v>4</v>
      </c>
      <c r="S59" s="38">
        <v>10</v>
      </c>
      <c r="V59" s="38" t="s">
        <v>10</v>
      </c>
      <c r="W59" s="38">
        <v>91001</v>
      </c>
      <c r="X59" s="47"/>
      <c r="Y59" s="38">
        <v>80</v>
      </c>
      <c r="Z59" s="38">
        <v>0</v>
      </c>
    </row>
    <row r="60" spans="1:26" x14ac:dyDescent="0.35">
      <c r="A60" s="38">
        <v>113</v>
      </c>
      <c r="B60" s="38" t="s">
        <v>5</v>
      </c>
      <c r="C60" s="38" t="s">
        <v>10</v>
      </c>
      <c r="D60" s="38">
        <v>91001</v>
      </c>
      <c r="E60" s="39">
        <v>200025888824</v>
      </c>
      <c r="F60" s="39" t="s">
        <v>35</v>
      </c>
      <c r="G60" s="39">
        <v>32</v>
      </c>
      <c r="H60" s="40">
        <v>45798.845266203702</v>
      </c>
      <c r="I60" s="38">
        <v>4</v>
      </c>
      <c r="J60" s="38"/>
      <c r="K60" s="38"/>
      <c r="L60" s="38"/>
      <c r="M60" s="47"/>
      <c r="R60" s="38">
        <v>4</v>
      </c>
      <c r="S60" s="38">
        <v>11</v>
      </c>
      <c r="V60" s="38" t="s">
        <v>10</v>
      </c>
      <c r="W60" s="38">
        <v>91001</v>
      </c>
      <c r="X60" s="47"/>
      <c r="Y60" s="38">
        <v>81</v>
      </c>
      <c r="Z60" s="38">
        <v>0</v>
      </c>
    </row>
    <row r="61" spans="1:26" x14ac:dyDescent="0.35">
      <c r="A61" s="38">
        <v>119</v>
      </c>
      <c r="B61" s="38" t="s">
        <v>5</v>
      </c>
      <c r="C61" s="38" t="s">
        <v>10</v>
      </c>
      <c r="D61" s="38">
        <v>91001</v>
      </c>
      <c r="E61" s="39">
        <v>200025888824</v>
      </c>
      <c r="F61" s="39" t="s">
        <v>35</v>
      </c>
      <c r="G61" s="39">
        <v>32</v>
      </c>
      <c r="H61" s="40">
        <v>45798.874618055554</v>
      </c>
      <c r="I61" s="38">
        <v>4</v>
      </c>
      <c r="J61" s="38"/>
      <c r="K61" s="38"/>
      <c r="L61" s="38"/>
      <c r="M61" s="47"/>
      <c r="R61" s="38">
        <v>4</v>
      </c>
      <c r="S61" s="38">
        <v>12</v>
      </c>
      <c r="V61" s="38" t="s">
        <v>10</v>
      </c>
      <c r="W61" s="38">
        <v>91001</v>
      </c>
      <c r="X61" s="47"/>
      <c r="Y61" s="38">
        <v>87</v>
      </c>
      <c r="Z61" s="38">
        <v>0</v>
      </c>
    </row>
    <row r="62" spans="1:26" x14ac:dyDescent="0.35">
      <c r="A62" s="38">
        <v>120</v>
      </c>
      <c r="B62" s="38" t="s">
        <v>5</v>
      </c>
      <c r="C62" s="38" t="s">
        <v>10</v>
      </c>
      <c r="D62" s="38">
        <v>91001</v>
      </c>
      <c r="E62" s="39">
        <v>200025888824</v>
      </c>
      <c r="F62" s="39" t="s">
        <v>35</v>
      </c>
      <c r="G62" s="39">
        <v>32</v>
      </c>
      <c r="H62" s="40">
        <v>45798.874895833331</v>
      </c>
      <c r="I62" s="38">
        <v>4</v>
      </c>
      <c r="J62" s="38"/>
      <c r="K62" s="38"/>
      <c r="L62" s="38"/>
      <c r="M62" s="47"/>
      <c r="R62" s="38">
        <v>4</v>
      </c>
      <c r="S62" s="38">
        <v>13</v>
      </c>
      <c r="V62" s="38" t="s">
        <v>10</v>
      </c>
      <c r="W62" s="38">
        <v>91001</v>
      </c>
      <c r="X62" s="47"/>
      <c r="Y62" s="38">
        <v>88</v>
      </c>
      <c r="Z62" s="38">
        <v>0</v>
      </c>
    </row>
    <row r="63" spans="1:26" x14ac:dyDescent="0.35">
      <c r="A63" s="38">
        <v>121</v>
      </c>
      <c r="B63" s="38" t="s">
        <v>5</v>
      </c>
      <c r="C63" s="38" t="s">
        <v>10</v>
      </c>
      <c r="D63" s="38">
        <v>91001</v>
      </c>
      <c r="E63" s="39">
        <v>200025888824</v>
      </c>
      <c r="F63" s="39" t="s">
        <v>35</v>
      </c>
      <c r="G63" s="39">
        <v>32</v>
      </c>
      <c r="H63" s="40">
        <v>45798.875</v>
      </c>
      <c r="I63" s="38">
        <v>4</v>
      </c>
      <c r="J63" s="38"/>
      <c r="K63" s="38"/>
      <c r="L63" s="38"/>
      <c r="M63" s="47"/>
      <c r="R63" s="38">
        <v>4</v>
      </c>
      <c r="S63" s="38">
        <v>14</v>
      </c>
      <c r="V63" s="38" t="s">
        <v>10</v>
      </c>
      <c r="W63" s="38">
        <v>91001</v>
      </c>
      <c r="X63" s="47"/>
      <c r="Y63" s="38">
        <v>89</v>
      </c>
      <c r="Z63" s="38">
        <v>1</v>
      </c>
    </row>
    <row r="64" spans="1:26" x14ac:dyDescent="0.35">
      <c r="A64" s="38">
        <v>167</v>
      </c>
      <c r="B64" s="38" t="s">
        <v>5</v>
      </c>
      <c r="C64" s="38" t="s">
        <v>10</v>
      </c>
      <c r="D64" s="38">
        <v>91001</v>
      </c>
      <c r="E64" s="39">
        <v>200025888824</v>
      </c>
      <c r="F64" s="39" t="s">
        <v>35</v>
      </c>
      <c r="G64" s="39">
        <v>32</v>
      </c>
      <c r="H64" s="40">
        <v>45799.264305555553</v>
      </c>
      <c r="I64" s="38">
        <v>4</v>
      </c>
      <c r="J64" s="38"/>
      <c r="K64" s="38"/>
      <c r="L64" s="38"/>
      <c r="M64" s="47"/>
      <c r="R64" s="38">
        <v>4</v>
      </c>
      <c r="S64" s="38">
        <v>15</v>
      </c>
      <c r="V64" s="38" t="s">
        <v>10</v>
      </c>
      <c r="W64" s="38">
        <v>91001</v>
      </c>
      <c r="X64" s="47"/>
      <c r="Y64" s="38">
        <v>135</v>
      </c>
      <c r="Z64" s="38">
        <v>0</v>
      </c>
    </row>
    <row r="65" spans="1:26" x14ac:dyDescent="0.35">
      <c r="A65" s="38">
        <v>168</v>
      </c>
      <c r="B65" s="38" t="s">
        <v>5</v>
      </c>
      <c r="C65" s="38" t="s">
        <v>10</v>
      </c>
      <c r="D65" s="38">
        <v>91001</v>
      </c>
      <c r="E65" s="39">
        <v>200025888824</v>
      </c>
      <c r="F65" s="39" t="s">
        <v>35</v>
      </c>
      <c r="G65" s="39">
        <v>32</v>
      </c>
      <c r="H65" s="40">
        <v>45799.265694444446</v>
      </c>
      <c r="I65" s="38">
        <v>4</v>
      </c>
      <c r="J65" s="38"/>
      <c r="K65" s="38"/>
      <c r="L65" s="38"/>
      <c r="M65" s="47"/>
      <c r="R65" s="38">
        <v>4</v>
      </c>
      <c r="S65" s="38">
        <v>16</v>
      </c>
      <c r="V65" s="38" t="s">
        <v>10</v>
      </c>
      <c r="W65" s="38">
        <v>91001</v>
      </c>
      <c r="X65" s="47"/>
      <c r="Y65" s="38">
        <v>136</v>
      </c>
      <c r="Z65" s="38">
        <v>1</v>
      </c>
    </row>
    <row r="66" spans="1:26" x14ac:dyDescent="0.35">
      <c r="A66" s="38">
        <v>169</v>
      </c>
      <c r="B66" s="38" t="s">
        <v>5</v>
      </c>
      <c r="C66" s="38" t="s">
        <v>10</v>
      </c>
      <c r="D66" s="38">
        <v>91001</v>
      </c>
      <c r="E66" s="39">
        <v>200025888824</v>
      </c>
      <c r="F66" s="39" t="s">
        <v>35</v>
      </c>
      <c r="G66" s="39">
        <v>32</v>
      </c>
      <c r="H66" s="40">
        <v>45799.265706018516</v>
      </c>
      <c r="I66" s="38">
        <v>4</v>
      </c>
      <c r="J66" s="38"/>
      <c r="K66" s="38"/>
      <c r="L66" s="38"/>
      <c r="M66" s="47"/>
      <c r="R66" s="38">
        <v>4</v>
      </c>
      <c r="S66" s="38">
        <v>17</v>
      </c>
      <c r="V66" s="38" t="s">
        <v>10</v>
      </c>
      <c r="W66" s="38">
        <v>91001</v>
      </c>
      <c r="X66" s="47"/>
      <c r="Y66" s="38">
        <v>137</v>
      </c>
      <c r="Z66" s="38">
        <v>1</v>
      </c>
    </row>
    <row r="67" spans="1:26" x14ac:dyDescent="0.35">
      <c r="A67" s="38">
        <v>170</v>
      </c>
      <c r="B67" s="38" t="s">
        <v>5</v>
      </c>
      <c r="C67" s="38" t="s">
        <v>10</v>
      </c>
      <c r="D67" s="38">
        <v>91001</v>
      </c>
      <c r="E67" s="39">
        <v>200025888824</v>
      </c>
      <c r="F67" s="39" t="s">
        <v>35</v>
      </c>
      <c r="G67" s="39">
        <v>32</v>
      </c>
      <c r="H67" s="40">
        <v>45799.266342592593</v>
      </c>
      <c r="I67" s="38">
        <v>4</v>
      </c>
      <c r="J67" s="40"/>
      <c r="K67" s="40"/>
      <c r="L67" s="46"/>
      <c r="M67" s="47"/>
      <c r="N67" s="40">
        <v>45798.453252314815</v>
      </c>
      <c r="O67" s="40">
        <v>45799.266342592593</v>
      </c>
      <c r="P67" s="46">
        <f>(O67-N67)*24</f>
        <v>19.514166666660458</v>
      </c>
      <c r="Q67" s="47">
        <v>19.514166666660458</v>
      </c>
      <c r="R67" s="38">
        <v>4</v>
      </c>
      <c r="S67" s="38">
        <v>18</v>
      </c>
      <c r="T67" s="49" t="s">
        <v>53</v>
      </c>
      <c r="U67" s="38">
        <v>1</v>
      </c>
      <c r="V67" s="38" t="s">
        <v>10</v>
      </c>
      <c r="W67" s="38">
        <v>91001</v>
      </c>
      <c r="X67" s="47"/>
      <c r="Y67" s="38">
        <v>138</v>
      </c>
      <c r="Z67" s="38">
        <v>2</v>
      </c>
    </row>
    <row r="68" spans="1:26" x14ac:dyDescent="0.35">
      <c r="A68" s="38">
        <v>29</v>
      </c>
      <c r="B68" s="41" t="s">
        <v>7</v>
      </c>
      <c r="C68" s="38" t="s">
        <v>12</v>
      </c>
      <c r="D68" s="42">
        <v>93202</v>
      </c>
      <c r="E68" s="39">
        <v>200025888201</v>
      </c>
      <c r="F68" s="39" t="s">
        <v>20</v>
      </c>
      <c r="G68" s="39">
        <v>20</v>
      </c>
      <c r="H68" s="40">
        <v>45798.499212962961</v>
      </c>
      <c r="I68" s="38">
        <v>5</v>
      </c>
      <c r="J68" s="38"/>
      <c r="K68" s="38"/>
      <c r="L68" s="38"/>
      <c r="M68" s="47"/>
      <c r="R68" s="38">
        <v>5</v>
      </c>
      <c r="S68" s="38">
        <v>1</v>
      </c>
      <c r="V68" s="38" t="s">
        <v>12</v>
      </c>
      <c r="W68" s="42">
        <v>93202</v>
      </c>
      <c r="X68" s="51">
        <f>(H69-H68)*24</f>
        <v>33.313055555569008</v>
      </c>
      <c r="Y68" s="41">
        <v>2</v>
      </c>
      <c r="Z68" s="41">
        <v>4673</v>
      </c>
    </row>
    <row r="69" spans="1:26" x14ac:dyDescent="0.35">
      <c r="A69" s="41">
        <v>214</v>
      </c>
      <c r="B69" s="41" t="s">
        <v>5</v>
      </c>
      <c r="C69" s="41" t="s">
        <v>10</v>
      </c>
      <c r="D69" s="41">
        <v>91001</v>
      </c>
      <c r="E69" s="39">
        <v>200025888201</v>
      </c>
      <c r="F69" s="39" t="s">
        <v>20</v>
      </c>
      <c r="G69" s="39">
        <v>20</v>
      </c>
      <c r="H69" s="40">
        <v>45799.887256944443</v>
      </c>
      <c r="I69" s="38">
        <v>5</v>
      </c>
      <c r="J69" s="38"/>
      <c r="K69" s="38"/>
      <c r="L69" s="38"/>
      <c r="M69" s="47"/>
      <c r="R69" s="38">
        <v>5</v>
      </c>
      <c r="S69" s="38">
        <v>2</v>
      </c>
      <c r="V69" s="41" t="s">
        <v>10</v>
      </c>
      <c r="W69" s="41">
        <v>91001</v>
      </c>
      <c r="X69" s="47"/>
      <c r="Y69" s="38">
        <v>182</v>
      </c>
      <c r="Z69" s="41">
        <v>0</v>
      </c>
    </row>
    <row r="70" spans="1:26" x14ac:dyDescent="0.35">
      <c r="A70" s="41">
        <v>215</v>
      </c>
      <c r="B70" s="41" t="s">
        <v>5</v>
      </c>
      <c r="C70" s="41" t="s">
        <v>10</v>
      </c>
      <c r="D70" s="41">
        <v>91001</v>
      </c>
      <c r="E70" s="39">
        <v>200025888201</v>
      </c>
      <c r="F70" s="39" t="s">
        <v>20</v>
      </c>
      <c r="G70" s="39">
        <v>20</v>
      </c>
      <c r="H70" s="40">
        <v>45799.887731481482</v>
      </c>
      <c r="I70" s="38">
        <v>5</v>
      </c>
      <c r="J70" s="40">
        <v>45798.499212962961</v>
      </c>
      <c r="K70" s="40">
        <v>45799.887731481482</v>
      </c>
      <c r="L70" s="46">
        <f>(K70-J70)*24</f>
        <v>33.324444444500841</v>
      </c>
      <c r="M70" s="47">
        <v>33.324444444500841</v>
      </c>
      <c r="N70" s="40">
        <v>45799.887256944443</v>
      </c>
      <c r="O70" s="40">
        <v>45799.887731481482</v>
      </c>
      <c r="P70" s="46">
        <f>(O70-N70)*24</f>
        <v>1.1388888931833208E-2</v>
      </c>
      <c r="Q70" s="47">
        <v>1</v>
      </c>
      <c r="R70" s="38">
        <v>5</v>
      </c>
      <c r="S70" s="38">
        <v>3</v>
      </c>
      <c r="T70" s="49" t="s">
        <v>52</v>
      </c>
      <c r="U70" s="38">
        <v>2</v>
      </c>
      <c r="V70" s="41" t="s">
        <v>10</v>
      </c>
      <c r="W70" s="41">
        <v>91001</v>
      </c>
      <c r="X70" s="47"/>
      <c r="Y70" s="38">
        <v>183</v>
      </c>
      <c r="Z70" s="41">
        <v>0</v>
      </c>
    </row>
    <row r="71" spans="1:26" x14ac:dyDescent="0.35">
      <c r="A71" s="38">
        <v>65</v>
      </c>
      <c r="B71" s="38" t="s">
        <v>5</v>
      </c>
      <c r="C71" s="38" t="s">
        <v>10</v>
      </c>
      <c r="D71" s="38">
        <v>91001</v>
      </c>
      <c r="E71" s="39">
        <v>200025888654</v>
      </c>
      <c r="F71" s="39" t="s">
        <v>14</v>
      </c>
      <c r="G71" s="39">
        <v>1</v>
      </c>
      <c r="H71" s="40">
        <v>45798.654340277775</v>
      </c>
      <c r="I71" s="38">
        <v>6</v>
      </c>
      <c r="J71" s="38"/>
      <c r="K71" s="38"/>
      <c r="L71" s="38"/>
      <c r="M71" s="47"/>
      <c r="R71" s="38">
        <v>6</v>
      </c>
      <c r="S71" s="38">
        <v>1</v>
      </c>
      <c r="V71" s="38" t="s">
        <v>10</v>
      </c>
      <c r="W71" s="38">
        <v>91001</v>
      </c>
      <c r="X71" s="47">
        <f>(H72-H71)*24</f>
        <v>2.7777784271165729E-4</v>
      </c>
      <c r="Y71" s="38">
        <v>33</v>
      </c>
      <c r="Z71" s="38">
        <v>0</v>
      </c>
    </row>
    <row r="72" spans="1:26" x14ac:dyDescent="0.35">
      <c r="A72" s="38">
        <v>66</v>
      </c>
      <c r="B72" s="38" t="s">
        <v>5</v>
      </c>
      <c r="C72" s="38" t="s">
        <v>10</v>
      </c>
      <c r="D72" s="38">
        <v>91001</v>
      </c>
      <c r="E72" s="39">
        <v>200025888654</v>
      </c>
      <c r="F72" s="39" t="s">
        <v>14</v>
      </c>
      <c r="G72" s="39">
        <v>1</v>
      </c>
      <c r="H72" s="40">
        <v>45798.654351851852</v>
      </c>
      <c r="I72" s="38">
        <v>6</v>
      </c>
      <c r="J72" s="38"/>
      <c r="K72" s="38"/>
      <c r="L72" s="38"/>
      <c r="M72" s="47"/>
      <c r="R72" s="38">
        <v>6</v>
      </c>
      <c r="S72" s="38">
        <v>2</v>
      </c>
      <c r="V72" s="38" t="s">
        <v>10</v>
      </c>
      <c r="W72" s="38">
        <v>91001</v>
      </c>
      <c r="X72" s="47"/>
      <c r="Y72" s="38">
        <v>34</v>
      </c>
      <c r="Z72" s="38">
        <v>0</v>
      </c>
    </row>
    <row r="73" spans="1:26" x14ac:dyDescent="0.35">
      <c r="A73" s="38">
        <v>67</v>
      </c>
      <c r="B73" s="38" t="s">
        <v>5</v>
      </c>
      <c r="C73" s="38" t="s">
        <v>10</v>
      </c>
      <c r="D73" s="38">
        <v>91001</v>
      </c>
      <c r="E73" s="39">
        <v>200025888654</v>
      </c>
      <c r="F73" s="39" t="s">
        <v>14</v>
      </c>
      <c r="G73" s="39">
        <v>1</v>
      </c>
      <c r="H73" s="40">
        <v>45798.654363425929</v>
      </c>
      <c r="I73" s="38">
        <v>6</v>
      </c>
      <c r="J73" s="38"/>
      <c r="K73" s="38"/>
      <c r="L73" s="38"/>
      <c r="M73" s="47"/>
      <c r="R73" s="38">
        <v>6</v>
      </c>
      <c r="S73" s="38">
        <v>3</v>
      </c>
      <c r="V73" s="38" t="s">
        <v>10</v>
      </c>
      <c r="W73" s="38">
        <v>91001</v>
      </c>
      <c r="X73" s="47"/>
      <c r="Y73" s="38">
        <v>35</v>
      </c>
      <c r="Z73" s="38">
        <v>31</v>
      </c>
    </row>
    <row r="74" spans="1:26" x14ac:dyDescent="0.35">
      <c r="A74" s="38">
        <v>68</v>
      </c>
      <c r="B74" s="38" t="s">
        <v>5</v>
      </c>
      <c r="C74" s="38" t="s">
        <v>10</v>
      </c>
      <c r="D74" s="38">
        <v>91001</v>
      </c>
      <c r="E74" s="39">
        <v>200025888654</v>
      </c>
      <c r="F74" s="39" t="s">
        <v>14</v>
      </c>
      <c r="G74" s="39">
        <v>1</v>
      </c>
      <c r="H74" s="40">
        <v>45798.655798611115</v>
      </c>
      <c r="I74" s="38">
        <v>6</v>
      </c>
      <c r="J74" s="38"/>
      <c r="K74" s="38"/>
      <c r="L74" s="38"/>
      <c r="M74" s="47"/>
      <c r="R74" s="38">
        <v>6</v>
      </c>
      <c r="S74" s="38">
        <v>4</v>
      </c>
      <c r="V74" s="38" t="s">
        <v>10</v>
      </c>
      <c r="W74" s="38">
        <v>91001</v>
      </c>
      <c r="X74" s="47"/>
      <c r="Y74" s="38">
        <v>36</v>
      </c>
      <c r="Z74" s="38">
        <v>1</v>
      </c>
    </row>
    <row r="75" spans="1:26" x14ac:dyDescent="0.35">
      <c r="A75" s="38">
        <v>69</v>
      </c>
      <c r="B75" s="38" t="s">
        <v>5</v>
      </c>
      <c r="C75" s="38" t="s">
        <v>10</v>
      </c>
      <c r="D75" s="38">
        <v>91001</v>
      </c>
      <c r="E75" s="39">
        <v>200025888654</v>
      </c>
      <c r="F75" s="39" t="s">
        <v>14</v>
      </c>
      <c r="G75" s="39">
        <v>1</v>
      </c>
      <c r="H75" s="40">
        <v>45798.655821759261</v>
      </c>
      <c r="I75" s="38">
        <v>6</v>
      </c>
      <c r="J75" s="38"/>
      <c r="K75" s="38"/>
      <c r="L75" s="38"/>
      <c r="M75" s="47"/>
      <c r="R75" s="38">
        <v>6</v>
      </c>
      <c r="S75" s="38">
        <v>5</v>
      </c>
      <c r="V75" s="38" t="s">
        <v>10</v>
      </c>
      <c r="W75" s="38">
        <v>91001</v>
      </c>
      <c r="X75" s="47"/>
      <c r="Y75" s="38">
        <v>37</v>
      </c>
      <c r="Z75" s="38">
        <v>1</v>
      </c>
    </row>
    <row r="76" spans="1:26" x14ac:dyDescent="0.35">
      <c r="A76" s="38">
        <v>70</v>
      </c>
      <c r="B76" s="38" t="s">
        <v>5</v>
      </c>
      <c r="C76" s="38" t="s">
        <v>10</v>
      </c>
      <c r="D76" s="38">
        <v>91001</v>
      </c>
      <c r="E76" s="39">
        <v>200025888654</v>
      </c>
      <c r="F76" s="39" t="s">
        <v>14</v>
      </c>
      <c r="G76" s="39">
        <v>1</v>
      </c>
      <c r="H76" s="40">
        <v>45798.655833333331</v>
      </c>
      <c r="I76" s="38">
        <v>6</v>
      </c>
      <c r="J76" s="38"/>
      <c r="K76" s="38"/>
      <c r="L76" s="38"/>
      <c r="M76" s="47"/>
      <c r="R76" s="38">
        <v>6</v>
      </c>
      <c r="S76" s="38">
        <v>6</v>
      </c>
      <c r="V76" s="38" t="s">
        <v>10</v>
      </c>
      <c r="W76" s="38">
        <v>91001</v>
      </c>
      <c r="X76" s="47"/>
      <c r="Y76" s="38">
        <v>38</v>
      </c>
      <c r="Z76" s="38">
        <v>0</v>
      </c>
    </row>
    <row r="77" spans="1:26" x14ac:dyDescent="0.35">
      <c r="A77" s="38">
        <v>71</v>
      </c>
      <c r="B77" s="38" t="s">
        <v>5</v>
      </c>
      <c r="C77" s="38" t="s">
        <v>10</v>
      </c>
      <c r="D77" s="38">
        <v>91001</v>
      </c>
      <c r="E77" s="39">
        <v>200025888654</v>
      </c>
      <c r="F77" s="39" t="s">
        <v>14</v>
      </c>
      <c r="G77" s="39">
        <v>1</v>
      </c>
      <c r="H77" s="40">
        <v>45798.655844907407</v>
      </c>
      <c r="I77" s="38">
        <v>6</v>
      </c>
      <c r="J77" s="38"/>
      <c r="K77" s="38"/>
      <c r="L77" s="38"/>
      <c r="M77" s="47"/>
      <c r="R77" s="38">
        <v>6</v>
      </c>
      <c r="S77" s="38">
        <v>7</v>
      </c>
      <c r="V77" s="38" t="s">
        <v>10</v>
      </c>
      <c r="W77" s="38">
        <v>91001</v>
      </c>
      <c r="X77" s="47"/>
      <c r="Y77" s="38">
        <v>39</v>
      </c>
      <c r="Z77" s="38">
        <v>0</v>
      </c>
    </row>
    <row r="78" spans="1:26" x14ac:dyDescent="0.35">
      <c r="A78" s="38">
        <v>72</v>
      </c>
      <c r="B78" s="38" t="s">
        <v>5</v>
      </c>
      <c r="C78" s="38" t="s">
        <v>10</v>
      </c>
      <c r="D78" s="38">
        <v>91001</v>
      </c>
      <c r="E78" s="39">
        <v>200025888654</v>
      </c>
      <c r="F78" s="39" t="s">
        <v>14</v>
      </c>
      <c r="G78" s="39">
        <v>1</v>
      </c>
      <c r="H78" s="40">
        <v>45798.655844907407</v>
      </c>
      <c r="I78" s="38">
        <v>6</v>
      </c>
      <c r="J78" s="38"/>
      <c r="K78" s="38"/>
      <c r="L78" s="38"/>
      <c r="M78" s="47"/>
      <c r="R78" s="38">
        <v>6</v>
      </c>
      <c r="S78" s="38">
        <v>8</v>
      </c>
      <c r="V78" s="38" t="s">
        <v>10</v>
      </c>
      <c r="W78" s="38">
        <v>91001</v>
      </c>
      <c r="X78" s="47"/>
      <c r="Y78" s="38">
        <v>40</v>
      </c>
      <c r="Z78" s="38">
        <v>1</v>
      </c>
    </row>
    <row r="79" spans="1:26" x14ac:dyDescent="0.35">
      <c r="A79" s="38">
        <v>73</v>
      </c>
      <c r="B79" s="38" t="s">
        <v>5</v>
      </c>
      <c r="C79" s="38" t="s">
        <v>10</v>
      </c>
      <c r="D79" s="38">
        <v>91001</v>
      </c>
      <c r="E79" s="39">
        <v>200025888654</v>
      </c>
      <c r="F79" s="39" t="s">
        <v>14</v>
      </c>
      <c r="G79" s="39">
        <v>1</v>
      </c>
      <c r="H79" s="40">
        <v>45798.6559375</v>
      </c>
      <c r="I79" s="38">
        <v>6</v>
      </c>
      <c r="J79" s="38"/>
      <c r="K79" s="38"/>
      <c r="L79" s="38"/>
      <c r="M79" s="47"/>
      <c r="R79" s="38">
        <v>6</v>
      </c>
      <c r="S79" s="38">
        <v>9</v>
      </c>
      <c r="V79" s="38" t="s">
        <v>10</v>
      </c>
      <c r="W79" s="38">
        <v>91001</v>
      </c>
      <c r="X79" s="47"/>
      <c r="Y79" s="38">
        <v>41</v>
      </c>
      <c r="Z79" s="38">
        <v>1</v>
      </c>
    </row>
    <row r="80" spans="1:26" x14ac:dyDescent="0.35">
      <c r="A80" s="38">
        <v>98</v>
      </c>
      <c r="B80" s="38" t="s">
        <v>5</v>
      </c>
      <c r="C80" s="38" t="s">
        <v>10</v>
      </c>
      <c r="D80" s="38">
        <v>91001</v>
      </c>
      <c r="E80" s="39">
        <v>200025888654</v>
      </c>
      <c r="F80" s="39" t="s">
        <v>14</v>
      </c>
      <c r="G80" s="39">
        <v>1</v>
      </c>
      <c r="H80" s="40">
        <v>45798.798437500001</v>
      </c>
      <c r="I80" s="38">
        <v>6</v>
      </c>
      <c r="J80" s="38"/>
      <c r="K80" s="38"/>
      <c r="L80" s="38"/>
      <c r="M80" s="47"/>
      <c r="R80" s="38">
        <v>6</v>
      </c>
      <c r="S80" s="38">
        <v>10</v>
      </c>
      <c r="V80" s="38" t="s">
        <v>10</v>
      </c>
      <c r="W80" s="38">
        <v>91001</v>
      </c>
      <c r="X80" s="47"/>
      <c r="Y80" s="38">
        <v>66</v>
      </c>
      <c r="Z80" s="38">
        <v>0</v>
      </c>
    </row>
    <row r="81" spans="1:26" x14ac:dyDescent="0.35">
      <c r="A81" s="38">
        <v>99</v>
      </c>
      <c r="B81" s="38" t="s">
        <v>5</v>
      </c>
      <c r="C81" s="38" t="s">
        <v>10</v>
      </c>
      <c r="D81" s="38">
        <v>91001</v>
      </c>
      <c r="E81" s="39">
        <v>200025888654</v>
      </c>
      <c r="F81" s="39" t="s">
        <v>14</v>
      </c>
      <c r="G81" s="39">
        <v>1</v>
      </c>
      <c r="H81" s="40">
        <v>45798.798564814817</v>
      </c>
      <c r="I81" s="38">
        <v>6</v>
      </c>
      <c r="J81" s="38"/>
      <c r="K81" s="38"/>
      <c r="L81" s="38"/>
      <c r="M81" s="47"/>
      <c r="R81" s="38">
        <v>6</v>
      </c>
      <c r="S81" s="38">
        <v>11</v>
      </c>
      <c r="V81" s="38" t="s">
        <v>10</v>
      </c>
      <c r="W81" s="38">
        <v>91001</v>
      </c>
      <c r="X81" s="47"/>
      <c r="Y81" s="38">
        <v>67</v>
      </c>
      <c r="Z81" s="38">
        <v>1</v>
      </c>
    </row>
    <row r="82" spans="1:26" x14ac:dyDescent="0.35">
      <c r="A82" s="38">
        <v>100</v>
      </c>
      <c r="B82" s="38" t="s">
        <v>5</v>
      </c>
      <c r="C82" s="38" t="s">
        <v>10</v>
      </c>
      <c r="D82" s="38">
        <v>91001</v>
      </c>
      <c r="E82" s="39">
        <v>200025888654</v>
      </c>
      <c r="F82" s="39" t="s">
        <v>14</v>
      </c>
      <c r="G82" s="39">
        <v>1</v>
      </c>
      <c r="H82" s="40">
        <v>45798.800173611111</v>
      </c>
      <c r="I82" s="38">
        <v>6</v>
      </c>
      <c r="J82" s="38"/>
      <c r="K82" s="38"/>
      <c r="L82" s="38"/>
      <c r="M82" s="47"/>
      <c r="R82" s="38">
        <v>6</v>
      </c>
      <c r="S82" s="38">
        <v>12</v>
      </c>
      <c r="V82" s="38" t="s">
        <v>10</v>
      </c>
      <c r="W82" s="38">
        <v>91001</v>
      </c>
      <c r="X82" s="47"/>
      <c r="Y82" s="38">
        <v>68</v>
      </c>
      <c r="Z82" s="38">
        <v>1</v>
      </c>
    </row>
    <row r="83" spans="1:26" x14ac:dyDescent="0.35">
      <c r="A83" s="38">
        <v>101</v>
      </c>
      <c r="B83" s="38" t="s">
        <v>5</v>
      </c>
      <c r="C83" s="38" t="s">
        <v>10</v>
      </c>
      <c r="D83" s="38">
        <v>91001</v>
      </c>
      <c r="E83" s="39">
        <v>200025888654</v>
      </c>
      <c r="F83" s="39" t="s">
        <v>14</v>
      </c>
      <c r="G83" s="39">
        <v>1</v>
      </c>
      <c r="H83" s="40">
        <v>45798.800381944442</v>
      </c>
      <c r="I83" s="38">
        <v>6</v>
      </c>
      <c r="J83" s="38"/>
      <c r="K83" s="38"/>
      <c r="L83" s="38"/>
      <c r="M83" s="47"/>
      <c r="R83" s="38">
        <v>6</v>
      </c>
      <c r="S83" s="38">
        <v>13</v>
      </c>
      <c r="V83" s="38" t="s">
        <v>10</v>
      </c>
      <c r="W83" s="38">
        <v>91001</v>
      </c>
      <c r="X83" s="47"/>
      <c r="Y83" s="38">
        <v>69</v>
      </c>
      <c r="Z83" s="38">
        <v>0</v>
      </c>
    </row>
    <row r="84" spans="1:26" x14ac:dyDescent="0.35">
      <c r="A84" s="38">
        <v>102</v>
      </c>
      <c r="B84" s="38" t="s">
        <v>5</v>
      </c>
      <c r="C84" s="38" t="s">
        <v>10</v>
      </c>
      <c r="D84" s="38">
        <v>91001</v>
      </c>
      <c r="E84" s="39">
        <v>200025888654</v>
      </c>
      <c r="F84" s="39" t="s">
        <v>14</v>
      </c>
      <c r="G84" s="39">
        <v>1</v>
      </c>
      <c r="H84" s="40">
        <v>45798.800381944442</v>
      </c>
      <c r="I84" s="38">
        <v>6</v>
      </c>
      <c r="J84" s="38"/>
      <c r="K84" s="38"/>
      <c r="L84" s="38"/>
      <c r="M84" s="47"/>
      <c r="R84" s="38">
        <v>6</v>
      </c>
      <c r="S84" s="38">
        <v>14</v>
      </c>
      <c r="V84" s="38" t="s">
        <v>10</v>
      </c>
      <c r="W84" s="38">
        <v>91001</v>
      </c>
      <c r="X84" s="47"/>
      <c r="Y84" s="38">
        <v>70</v>
      </c>
      <c r="Z84" s="38">
        <v>1</v>
      </c>
    </row>
    <row r="85" spans="1:26" x14ac:dyDescent="0.35">
      <c r="A85" s="38">
        <v>122</v>
      </c>
      <c r="B85" s="38" t="s">
        <v>5</v>
      </c>
      <c r="C85" s="38" t="s">
        <v>10</v>
      </c>
      <c r="D85" s="38">
        <v>91001</v>
      </c>
      <c r="E85" s="39">
        <v>200025888654</v>
      </c>
      <c r="F85" s="39" t="s">
        <v>14</v>
      </c>
      <c r="G85" s="39">
        <v>1</v>
      </c>
      <c r="H85" s="40">
        <v>45798.876215277778</v>
      </c>
      <c r="I85" s="38">
        <v>6</v>
      </c>
      <c r="J85" s="38"/>
      <c r="K85" s="38"/>
      <c r="L85" s="38"/>
      <c r="M85" s="47"/>
      <c r="R85" s="38">
        <v>6</v>
      </c>
      <c r="S85" s="38">
        <v>15</v>
      </c>
      <c r="V85" s="38" t="s">
        <v>10</v>
      </c>
      <c r="W85" s="38">
        <v>91001</v>
      </c>
      <c r="X85" s="47"/>
      <c r="Y85" s="38">
        <v>90</v>
      </c>
      <c r="Z85" s="38">
        <v>0</v>
      </c>
    </row>
    <row r="86" spans="1:26" x14ac:dyDescent="0.35">
      <c r="A86" s="38">
        <v>123</v>
      </c>
      <c r="B86" s="38" t="s">
        <v>5</v>
      </c>
      <c r="C86" s="38" t="s">
        <v>10</v>
      </c>
      <c r="D86" s="38">
        <v>91001</v>
      </c>
      <c r="E86" s="39">
        <v>200025888654</v>
      </c>
      <c r="F86" s="39" t="s">
        <v>14</v>
      </c>
      <c r="G86" s="39">
        <v>1</v>
      </c>
      <c r="H86" s="40">
        <v>45798.876226851855</v>
      </c>
      <c r="I86" s="38">
        <v>6</v>
      </c>
      <c r="J86" s="38"/>
      <c r="K86" s="38"/>
      <c r="L86" s="38"/>
      <c r="M86" s="47"/>
      <c r="R86" s="38">
        <v>6</v>
      </c>
      <c r="S86" s="38">
        <v>16</v>
      </c>
      <c r="V86" s="38" t="s">
        <v>10</v>
      </c>
      <c r="W86" s="38">
        <v>91001</v>
      </c>
      <c r="X86" s="47"/>
      <c r="Y86" s="38">
        <v>91</v>
      </c>
      <c r="Z86" s="38">
        <v>33</v>
      </c>
    </row>
    <row r="87" spans="1:26" x14ac:dyDescent="0.35">
      <c r="A87" s="38">
        <v>124</v>
      </c>
      <c r="B87" s="38" t="s">
        <v>5</v>
      </c>
      <c r="C87" s="38" t="s">
        <v>10</v>
      </c>
      <c r="D87" s="38">
        <v>91001</v>
      </c>
      <c r="E87" s="39">
        <v>200025888654</v>
      </c>
      <c r="F87" s="39" t="s">
        <v>14</v>
      </c>
      <c r="G87" s="39">
        <v>1</v>
      </c>
      <c r="H87" s="40">
        <v>45798.877326388887</v>
      </c>
      <c r="I87" s="38">
        <v>6</v>
      </c>
      <c r="J87" s="38"/>
      <c r="K87" s="38"/>
      <c r="L87" s="38"/>
      <c r="M87" s="47"/>
      <c r="R87" s="38">
        <v>6</v>
      </c>
      <c r="S87" s="38">
        <v>17</v>
      </c>
      <c r="V87" s="38" t="s">
        <v>10</v>
      </c>
      <c r="W87" s="38">
        <v>91001</v>
      </c>
      <c r="X87" s="47"/>
      <c r="Y87" s="38">
        <v>92</v>
      </c>
      <c r="Z87" s="38">
        <v>0</v>
      </c>
    </row>
    <row r="88" spans="1:26" x14ac:dyDescent="0.35">
      <c r="A88" s="38">
        <v>125</v>
      </c>
      <c r="B88" s="38" t="s">
        <v>5</v>
      </c>
      <c r="C88" s="38" t="s">
        <v>10</v>
      </c>
      <c r="D88" s="38">
        <v>91001</v>
      </c>
      <c r="E88" s="39">
        <v>200025888654</v>
      </c>
      <c r="F88" s="39" t="s">
        <v>14</v>
      </c>
      <c r="G88" s="39">
        <v>1</v>
      </c>
      <c r="H88" s="40">
        <v>45798.87740740741</v>
      </c>
      <c r="I88" s="38">
        <v>6</v>
      </c>
      <c r="J88" s="38"/>
      <c r="K88" s="38"/>
      <c r="L88" s="38"/>
      <c r="M88" s="47"/>
      <c r="R88" s="38">
        <v>6</v>
      </c>
      <c r="S88" s="38">
        <v>18</v>
      </c>
      <c r="V88" s="38" t="s">
        <v>10</v>
      </c>
      <c r="W88" s="38">
        <v>91001</v>
      </c>
      <c r="X88" s="47"/>
      <c r="Y88" s="38">
        <v>93</v>
      </c>
      <c r="Z88" s="38">
        <v>1</v>
      </c>
    </row>
    <row r="89" spans="1:26" x14ac:dyDescent="0.35">
      <c r="A89" s="38">
        <v>31</v>
      </c>
      <c r="B89" s="41" t="s">
        <v>7</v>
      </c>
      <c r="C89" s="38" t="s">
        <v>12</v>
      </c>
      <c r="D89" s="42">
        <v>93202</v>
      </c>
      <c r="E89" s="39">
        <v>200025888654</v>
      </c>
      <c r="F89" s="39" t="s">
        <v>14</v>
      </c>
      <c r="G89" s="39">
        <v>1</v>
      </c>
      <c r="H89" s="40">
        <v>45798.914050925923</v>
      </c>
      <c r="I89" s="38">
        <v>6</v>
      </c>
      <c r="J89" s="38"/>
      <c r="K89" s="38"/>
      <c r="L89" s="38"/>
      <c r="M89" s="47"/>
      <c r="N89" s="40">
        <v>45798.654340277775</v>
      </c>
      <c r="O89" s="40">
        <v>45798.914050925923</v>
      </c>
      <c r="P89" s="46">
        <f>(O89-N89)*24</f>
        <v>6.2330555555527098</v>
      </c>
      <c r="Q89" s="47">
        <v>6.2330555555527098</v>
      </c>
      <c r="R89" s="38">
        <v>6</v>
      </c>
      <c r="S89" s="38">
        <v>19</v>
      </c>
      <c r="T89" s="49" t="s">
        <v>52</v>
      </c>
      <c r="U89" s="38">
        <v>2</v>
      </c>
      <c r="V89" s="38" t="s">
        <v>12</v>
      </c>
      <c r="W89" s="42">
        <v>93202</v>
      </c>
      <c r="X89" s="47"/>
      <c r="Y89" s="41">
        <v>4</v>
      </c>
      <c r="Z89" s="41">
        <v>0</v>
      </c>
    </row>
    <row r="90" spans="1:26" x14ac:dyDescent="0.35">
      <c r="A90" s="38">
        <v>82</v>
      </c>
      <c r="B90" s="38" t="s">
        <v>5</v>
      </c>
      <c r="C90" s="38" t="s">
        <v>10</v>
      </c>
      <c r="D90" s="38">
        <v>91001</v>
      </c>
      <c r="E90" s="39">
        <v>200025888863</v>
      </c>
      <c r="F90" s="39" t="s">
        <v>31</v>
      </c>
      <c r="G90" s="39">
        <v>26</v>
      </c>
      <c r="H90" s="40">
        <v>45798.704502314817</v>
      </c>
      <c r="I90" s="38">
        <v>7</v>
      </c>
      <c r="J90" s="38"/>
      <c r="K90" s="38"/>
      <c r="L90" s="38"/>
      <c r="M90" s="47"/>
      <c r="N90" s="50"/>
      <c r="O90" s="50"/>
      <c r="P90" s="46"/>
      <c r="Q90" s="46"/>
      <c r="R90" s="38">
        <v>7</v>
      </c>
      <c r="S90" s="38">
        <v>1</v>
      </c>
      <c r="V90" s="38" t="s">
        <v>10</v>
      </c>
      <c r="W90" s="38">
        <v>91001</v>
      </c>
      <c r="X90" s="47">
        <f>(H91-H90)*24</f>
        <v>8.8888888712972403E-3</v>
      </c>
      <c r="Y90" s="38">
        <v>50</v>
      </c>
      <c r="Z90" s="38">
        <v>1</v>
      </c>
    </row>
    <row r="91" spans="1:26" x14ac:dyDescent="0.35">
      <c r="A91" s="38">
        <v>83</v>
      </c>
      <c r="B91" s="38" t="s">
        <v>5</v>
      </c>
      <c r="C91" s="38" t="s">
        <v>10</v>
      </c>
      <c r="D91" s="38">
        <v>91001</v>
      </c>
      <c r="E91" s="39">
        <v>200025888863</v>
      </c>
      <c r="F91" s="39" t="s">
        <v>31</v>
      </c>
      <c r="G91" s="39">
        <v>26</v>
      </c>
      <c r="H91" s="40">
        <v>45798.704872685186</v>
      </c>
      <c r="I91" s="38">
        <v>7</v>
      </c>
      <c r="J91" s="38"/>
      <c r="K91" s="38"/>
      <c r="L91" s="38"/>
      <c r="M91" s="47"/>
      <c r="N91" s="40"/>
      <c r="O91" s="40"/>
      <c r="P91" s="46"/>
      <c r="Q91" s="46"/>
      <c r="R91" s="38">
        <v>7</v>
      </c>
      <c r="S91" s="38">
        <v>2</v>
      </c>
      <c r="V91" s="38" t="s">
        <v>10</v>
      </c>
      <c r="W91" s="38">
        <v>91001</v>
      </c>
      <c r="X91" s="47"/>
      <c r="Y91" s="38">
        <v>51</v>
      </c>
      <c r="Z91" s="38">
        <v>0</v>
      </c>
    </row>
    <row r="92" spans="1:26" x14ac:dyDescent="0.35">
      <c r="A92" s="38">
        <v>84</v>
      </c>
      <c r="B92" s="38" t="s">
        <v>5</v>
      </c>
      <c r="C92" s="38" t="s">
        <v>10</v>
      </c>
      <c r="D92" s="38">
        <v>91001</v>
      </c>
      <c r="E92" s="39">
        <v>200025888863</v>
      </c>
      <c r="F92" s="39" t="s">
        <v>31</v>
      </c>
      <c r="G92" s="39">
        <v>26</v>
      </c>
      <c r="H92" s="40">
        <v>45798.704872685186</v>
      </c>
      <c r="I92" s="38">
        <v>7</v>
      </c>
      <c r="J92" s="38"/>
      <c r="K92" s="38"/>
      <c r="L92" s="38"/>
      <c r="M92" s="47"/>
      <c r="R92" s="38">
        <v>7</v>
      </c>
      <c r="S92" s="38">
        <v>3</v>
      </c>
      <c r="V92" s="38" t="s">
        <v>10</v>
      </c>
      <c r="W92" s="38">
        <v>91001</v>
      </c>
      <c r="X92" s="47"/>
      <c r="Y92" s="38">
        <v>52</v>
      </c>
      <c r="Z92" s="38">
        <v>1</v>
      </c>
    </row>
    <row r="93" spans="1:26" x14ac:dyDescent="0.35">
      <c r="A93" s="38">
        <v>85</v>
      </c>
      <c r="B93" s="38" t="s">
        <v>5</v>
      </c>
      <c r="C93" s="38" t="s">
        <v>10</v>
      </c>
      <c r="D93" s="38">
        <v>91001</v>
      </c>
      <c r="E93" s="39">
        <v>200025888863</v>
      </c>
      <c r="F93" s="39" t="s">
        <v>31</v>
      </c>
      <c r="G93" s="39">
        <v>26</v>
      </c>
      <c r="H93" s="40">
        <v>45798.704884259256</v>
      </c>
      <c r="I93" s="38">
        <v>7</v>
      </c>
      <c r="J93" s="38"/>
      <c r="K93" s="38"/>
      <c r="L93" s="38"/>
      <c r="M93" s="47"/>
      <c r="R93" s="38">
        <v>7</v>
      </c>
      <c r="S93" s="38">
        <v>4</v>
      </c>
      <c r="V93" s="38" t="s">
        <v>10</v>
      </c>
      <c r="W93" s="38">
        <v>91001</v>
      </c>
      <c r="X93" s="47"/>
      <c r="Y93" s="38">
        <v>53</v>
      </c>
      <c r="Z93" s="38">
        <v>13</v>
      </c>
    </row>
    <row r="94" spans="1:26" x14ac:dyDescent="0.35">
      <c r="A94" s="38">
        <v>114</v>
      </c>
      <c r="B94" s="38" t="s">
        <v>5</v>
      </c>
      <c r="C94" s="38" t="s">
        <v>10</v>
      </c>
      <c r="D94" s="38">
        <v>91001</v>
      </c>
      <c r="E94" s="39">
        <v>200025888863</v>
      </c>
      <c r="F94" s="39" t="s">
        <v>31</v>
      </c>
      <c r="G94" s="39">
        <v>26</v>
      </c>
      <c r="H94" s="40">
        <v>45798.866608796299</v>
      </c>
      <c r="I94" s="38">
        <v>7</v>
      </c>
      <c r="J94" s="38"/>
      <c r="K94" s="38"/>
      <c r="L94" s="38"/>
      <c r="M94" s="47"/>
      <c r="N94" s="50"/>
      <c r="O94" s="50"/>
      <c r="P94" s="46"/>
      <c r="Q94" s="46"/>
      <c r="R94" s="38">
        <v>7</v>
      </c>
      <c r="S94" s="38">
        <v>5</v>
      </c>
      <c r="V94" s="38" t="s">
        <v>10</v>
      </c>
      <c r="W94" s="38">
        <v>91001</v>
      </c>
      <c r="X94" s="47"/>
      <c r="Y94" s="38">
        <v>82</v>
      </c>
      <c r="Z94" s="38">
        <v>18</v>
      </c>
    </row>
    <row r="95" spans="1:26" x14ac:dyDescent="0.35">
      <c r="A95" s="38">
        <v>115</v>
      </c>
      <c r="B95" s="38" t="s">
        <v>5</v>
      </c>
      <c r="C95" s="38" t="s">
        <v>10</v>
      </c>
      <c r="D95" s="38">
        <v>91001</v>
      </c>
      <c r="E95" s="39">
        <v>200025888863</v>
      </c>
      <c r="F95" s="39" t="s">
        <v>31</v>
      </c>
      <c r="G95" s="39">
        <v>26</v>
      </c>
      <c r="H95" s="40">
        <v>45798.866979166669</v>
      </c>
      <c r="I95" s="38">
        <v>7</v>
      </c>
      <c r="J95" s="38"/>
      <c r="K95" s="38"/>
      <c r="L95" s="38"/>
      <c r="M95" s="47"/>
      <c r="R95" s="38">
        <v>7</v>
      </c>
      <c r="S95" s="38">
        <v>6</v>
      </c>
      <c r="V95" s="38" t="s">
        <v>10</v>
      </c>
      <c r="W95" s="38">
        <v>91001</v>
      </c>
      <c r="X95" s="47"/>
      <c r="Y95" s="38">
        <v>83</v>
      </c>
      <c r="Z95" s="38">
        <v>2</v>
      </c>
    </row>
    <row r="96" spans="1:26" x14ac:dyDescent="0.35">
      <c r="A96" s="38">
        <v>116</v>
      </c>
      <c r="B96" s="38" t="s">
        <v>5</v>
      </c>
      <c r="C96" s="38" t="s">
        <v>10</v>
      </c>
      <c r="D96" s="38">
        <v>91001</v>
      </c>
      <c r="E96" s="39">
        <v>200025888863</v>
      </c>
      <c r="F96" s="39" t="s">
        <v>31</v>
      </c>
      <c r="G96" s="39">
        <v>26</v>
      </c>
      <c r="H96" s="40">
        <v>45798.868611111109</v>
      </c>
      <c r="I96" s="38">
        <v>7</v>
      </c>
      <c r="J96" s="38"/>
      <c r="K96" s="38"/>
      <c r="L96" s="38"/>
      <c r="M96" s="47"/>
      <c r="R96" s="38">
        <v>7</v>
      </c>
      <c r="S96" s="38">
        <v>7</v>
      </c>
      <c r="V96" s="38" t="s">
        <v>10</v>
      </c>
      <c r="W96" s="38">
        <v>91001</v>
      </c>
      <c r="X96" s="47"/>
      <c r="Y96" s="38">
        <v>84</v>
      </c>
      <c r="Z96" s="38">
        <v>1</v>
      </c>
    </row>
    <row r="97" spans="1:26" x14ac:dyDescent="0.35">
      <c r="A97" s="38">
        <v>133</v>
      </c>
      <c r="B97" s="38" t="s">
        <v>5</v>
      </c>
      <c r="C97" s="38" t="s">
        <v>10</v>
      </c>
      <c r="D97" s="38">
        <v>91001</v>
      </c>
      <c r="E97" s="39">
        <v>200025888863</v>
      </c>
      <c r="F97" s="39" t="s">
        <v>31</v>
      </c>
      <c r="G97" s="39">
        <v>26</v>
      </c>
      <c r="H97" s="40">
        <v>45798.967048611114</v>
      </c>
      <c r="I97" s="38">
        <v>7</v>
      </c>
      <c r="J97" s="38"/>
      <c r="K97" s="38"/>
      <c r="L97" s="38"/>
      <c r="M97" s="47"/>
      <c r="R97" s="38">
        <v>7</v>
      </c>
      <c r="S97" s="38">
        <v>8</v>
      </c>
      <c r="V97" s="38" t="s">
        <v>10</v>
      </c>
      <c r="W97" s="38">
        <v>91001</v>
      </c>
      <c r="X97" s="47"/>
      <c r="Y97" s="38">
        <v>101</v>
      </c>
      <c r="Z97" s="38">
        <v>1</v>
      </c>
    </row>
    <row r="98" spans="1:26" x14ac:dyDescent="0.35">
      <c r="A98" s="38">
        <v>134</v>
      </c>
      <c r="B98" s="38" t="s">
        <v>5</v>
      </c>
      <c r="C98" s="38" t="s">
        <v>10</v>
      </c>
      <c r="D98" s="38">
        <v>91001</v>
      </c>
      <c r="E98" s="39">
        <v>200025888863</v>
      </c>
      <c r="F98" s="39" t="s">
        <v>31</v>
      </c>
      <c r="G98" s="39">
        <v>26</v>
      </c>
      <c r="H98" s="40">
        <v>45798.967280092591</v>
      </c>
      <c r="I98" s="38">
        <v>7</v>
      </c>
      <c r="J98" s="38"/>
      <c r="K98" s="38"/>
      <c r="L98" s="38"/>
      <c r="M98" s="47"/>
      <c r="R98" s="38">
        <v>7</v>
      </c>
      <c r="S98" s="38">
        <v>9</v>
      </c>
      <c r="V98" s="38" t="s">
        <v>10</v>
      </c>
      <c r="W98" s="38">
        <v>91001</v>
      </c>
      <c r="X98" s="47"/>
      <c r="Y98" s="38">
        <v>102</v>
      </c>
      <c r="Z98" s="38">
        <v>2</v>
      </c>
    </row>
    <row r="99" spans="1:26" x14ac:dyDescent="0.35">
      <c r="A99" s="38">
        <v>135</v>
      </c>
      <c r="B99" s="38" t="s">
        <v>5</v>
      </c>
      <c r="C99" s="38" t="s">
        <v>10</v>
      </c>
      <c r="D99" s="38">
        <v>91001</v>
      </c>
      <c r="E99" s="39">
        <v>200025888863</v>
      </c>
      <c r="F99" s="39" t="s">
        <v>31</v>
      </c>
      <c r="G99" s="39">
        <v>26</v>
      </c>
      <c r="H99" s="40">
        <v>45798.967557870368</v>
      </c>
      <c r="I99" s="38">
        <v>7</v>
      </c>
      <c r="J99" s="38"/>
      <c r="K99" s="38"/>
      <c r="L99" s="38"/>
      <c r="M99" s="47"/>
      <c r="R99" s="38">
        <v>7</v>
      </c>
      <c r="S99" s="38">
        <v>10</v>
      </c>
      <c r="V99" s="38" t="s">
        <v>10</v>
      </c>
      <c r="W99" s="38">
        <v>91001</v>
      </c>
      <c r="X99" s="47"/>
      <c r="Y99" s="38">
        <v>103</v>
      </c>
      <c r="Z99" s="38">
        <v>0</v>
      </c>
    </row>
    <row r="100" spans="1:26" x14ac:dyDescent="0.35">
      <c r="A100" s="38">
        <v>136</v>
      </c>
      <c r="B100" s="38" t="s">
        <v>5</v>
      </c>
      <c r="C100" s="38" t="s">
        <v>10</v>
      </c>
      <c r="D100" s="38">
        <v>91001</v>
      </c>
      <c r="E100" s="39">
        <v>200025888863</v>
      </c>
      <c r="F100" s="39" t="s">
        <v>31</v>
      </c>
      <c r="G100" s="39">
        <v>26</v>
      </c>
      <c r="H100" s="40">
        <v>45798.967557870368</v>
      </c>
      <c r="I100" s="38">
        <v>7</v>
      </c>
      <c r="J100" s="38"/>
      <c r="K100" s="38"/>
      <c r="L100" s="38"/>
      <c r="M100" s="47"/>
      <c r="R100" s="38">
        <v>7</v>
      </c>
      <c r="S100" s="38">
        <v>11</v>
      </c>
      <c r="V100" s="38" t="s">
        <v>10</v>
      </c>
      <c r="W100" s="38">
        <v>91001</v>
      </c>
      <c r="X100" s="47"/>
      <c r="Y100" s="38">
        <v>104</v>
      </c>
      <c r="Z100" s="38">
        <v>2</v>
      </c>
    </row>
    <row r="101" spans="1:26" x14ac:dyDescent="0.35">
      <c r="A101" s="38">
        <v>137</v>
      </c>
      <c r="B101" s="38" t="s">
        <v>5</v>
      </c>
      <c r="C101" s="38" t="s">
        <v>10</v>
      </c>
      <c r="D101" s="38">
        <v>91001</v>
      </c>
      <c r="E101" s="39">
        <v>200025888863</v>
      </c>
      <c r="F101" s="39" t="s">
        <v>31</v>
      </c>
      <c r="G101" s="39">
        <v>26</v>
      </c>
      <c r="H101" s="40">
        <v>45798.96775462963</v>
      </c>
      <c r="I101" s="38">
        <v>7</v>
      </c>
      <c r="J101" s="38"/>
      <c r="K101" s="38"/>
      <c r="L101" s="38"/>
      <c r="M101" s="47"/>
      <c r="R101" s="38">
        <v>7</v>
      </c>
      <c r="S101" s="38">
        <v>12</v>
      </c>
      <c r="V101" s="38" t="s">
        <v>10</v>
      </c>
      <c r="W101" s="38">
        <v>91001</v>
      </c>
      <c r="X101" s="47"/>
      <c r="Y101" s="38">
        <v>105</v>
      </c>
      <c r="Z101" s="38">
        <v>2</v>
      </c>
    </row>
    <row r="102" spans="1:26" x14ac:dyDescent="0.35">
      <c r="A102" s="38">
        <v>138</v>
      </c>
      <c r="B102" s="38" t="s">
        <v>5</v>
      </c>
      <c r="C102" s="38" t="s">
        <v>10</v>
      </c>
      <c r="D102" s="38">
        <v>91001</v>
      </c>
      <c r="E102" s="39">
        <v>200025888863</v>
      </c>
      <c r="F102" s="39" t="s">
        <v>31</v>
      </c>
      <c r="G102" s="39">
        <v>26</v>
      </c>
      <c r="H102" s="40">
        <v>45798.968043981484</v>
      </c>
      <c r="I102" s="38">
        <v>7</v>
      </c>
      <c r="J102" s="38"/>
      <c r="K102" s="38"/>
      <c r="L102" s="38"/>
      <c r="M102" s="47"/>
      <c r="R102" s="38">
        <v>7</v>
      </c>
      <c r="S102" s="38">
        <v>13</v>
      </c>
      <c r="V102" s="38" t="s">
        <v>10</v>
      </c>
      <c r="W102" s="38">
        <v>91001</v>
      </c>
      <c r="X102" s="47"/>
      <c r="Y102" s="38">
        <v>106</v>
      </c>
      <c r="Z102" s="38">
        <v>0</v>
      </c>
    </row>
    <row r="103" spans="1:26" x14ac:dyDescent="0.35">
      <c r="A103" s="38">
        <v>139</v>
      </c>
      <c r="B103" s="38" t="s">
        <v>5</v>
      </c>
      <c r="C103" s="38" t="s">
        <v>10</v>
      </c>
      <c r="D103" s="38">
        <v>91001</v>
      </c>
      <c r="E103" s="39">
        <v>200025888863</v>
      </c>
      <c r="F103" s="39" t="s">
        <v>31</v>
      </c>
      <c r="G103" s="39">
        <v>26</v>
      </c>
      <c r="H103" s="40">
        <v>45798.968055555553</v>
      </c>
      <c r="I103" s="38">
        <v>7</v>
      </c>
      <c r="J103" s="38"/>
      <c r="K103" s="38"/>
      <c r="L103" s="38"/>
      <c r="M103" s="47"/>
      <c r="R103" s="38">
        <v>7</v>
      </c>
      <c r="S103" s="38">
        <v>14</v>
      </c>
      <c r="V103" s="38" t="s">
        <v>10</v>
      </c>
      <c r="W103" s="38">
        <v>91001</v>
      </c>
      <c r="X103" s="47"/>
      <c r="Y103" s="38">
        <v>107</v>
      </c>
      <c r="Z103" s="38">
        <v>4924</v>
      </c>
    </row>
    <row r="104" spans="1:26" x14ac:dyDescent="0.35">
      <c r="A104" s="38">
        <v>165</v>
      </c>
      <c r="B104" s="38" t="s">
        <v>5</v>
      </c>
      <c r="C104" s="38" t="s">
        <v>10</v>
      </c>
      <c r="D104" s="38">
        <v>91001</v>
      </c>
      <c r="E104" s="39">
        <v>200025888863</v>
      </c>
      <c r="F104" s="39" t="s">
        <v>31</v>
      </c>
      <c r="G104" s="39">
        <v>26</v>
      </c>
      <c r="H104" s="40">
        <v>45799.255231481482</v>
      </c>
      <c r="I104" s="38">
        <v>7</v>
      </c>
      <c r="J104" s="38"/>
      <c r="K104" s="38"/>
      <c r="L104" s="38"/>
      <c r="M104" s="47"/>
      <c r="R104" s="38">
        <v>7</v>
      </c>
      <c r="S104" s="38">
        <v>15</v>
      </c>
      <c r="V104" s="38" t="s">
        <v>10</v>
      </c>
      <c r="W104" s="38">
        <v>91001</v>
      </c>
      <c r="X104" s="47"/>
      <c r="Y104" s="38">
        <v>133</v>
      </c>
      <c r="Z104" s="38">
        <v>2</v>
      </c>
    </row>
    <row r="105" spans="1:26" x14ac:dyDescent="0.35">
      <c r="A105" s="41">
        <v>224</v>
      </c>
      <c r="B105" s="41" t="s">
        <v>5</v>
      </c>
      <c r="C105" s="41" t="s">
        <v>10</v>
      </c>
      <c r="D105" s="41">
        <v>91001</v>
      </c>
      <c r="E105" s="39">
        <v>200025888863</v>
      </c>
      <c r="F105" s="39" t="s">
        <v>31</v>
      </c>
      <c r="G105" s="39">
        <v>26</v>
      </c>
      <c r="H105" s="40">
        <v>45800.380127314813</v>
      </c>
      <c r="I105" s="38">
        <v>7</v>
      </c>
      <c r="J105" s="38"/>
      <c r="K105" s="38"/>
      <c r="L105" s="38"/>
      <c r="M105" s="47"/>
      <c r="R105" s="38">
        <v>7</v>
      </c>
      <c r="S105" s="38">
        <v>16</v>
      </c>
      <c r="V105" s="41" t="s">
        <v>10</v>
      </c>
      <c r="W105" s="41">
        <v>91001</v>
      </c>
      <c r="X105" s="47"/>
      <c r="Y105" s="38">
        <v>192</v>
      </c>
      <c r="Z105" s="41">
        <v>0</v>
      </c>
    </row>
    <row r="106" spans="1:26" x14ac:dyDescent="0.35">
      <c r="A106" s="41">
        <v>225</v>
      </c>
      <c r="B106" s="41" t="s">
        <v>5</v>
      </c>
      <c r="C106" s="41" t="s">
        <v>10</v>
      </c>
      <c r="D106" s="41">
        <v>91001</v>
      </c>
      <c r="E106" s="39">
        <v>200025888863</v>
      </c>
      <c r="F106" s="39" t="s">
        <v>31</v>
      </c>
      <c r="G106" s="39">
        <v>26</v>
      </c>
      <c r="H106" s="40">
        <v>45800.38013888889</v>
      </c>
      <c r="I106" s="38">
        <v>7</v>
      </c>
      <c r="J106" s="40">
        <v>45798.704502314817</v>
      </c>
      <c r="K106" s="40">
        <v>45800.38013888889</v>
      </c>
      <c r="L106" s="46">
        <f>(K106-J106)*24</f>
        <v>40.215277777751908</v>
      </c>
      <c r="M106" s="47">
        <v>40.215277777751908</v>
      </c>
      <c r="N106" s="40">
        <v>45798.704502314817</v>
      </c>
      <c r="O106" s="40">
        <v>45799.255231481482</v>
      </c>
      <c r="P106" s="46">
        <f>(O106-N106)*24</f>
        <v>13.217499999969732</v>
      </c>
      <c r="Q106" s="47">
        <v>13.217499999969732</v>
      </c>
      <c r="R106" s="38">
        <v>7</v>
      </c>
      <c r="S106" s="38">
        <v>17</v>
      </c>
      <c r="T106" s="49" t="s">
        <v>53</v>
      </c>
      <c r="U106" s="38">
        <v>1</v>
      </c>
      <c r="V106" s="41" t="s">
        <v>10</v>
      </c>
      <c r="W106" s="41">
        <v>91001</v>
      </c>
      <c r="X106" s="47"/>
      <c r="Y106" s="38">
        <v>193</v>
      </c>
      <c r="Z106" s="41">
        <v>1</v>
      </c>
    </row>
    <row r="107" spans="1:26" x14ac:dyDescent="0.35">
      <c r="A107" s="38">
        <v>86</v>
      </c>
      <c r="B107" s="38" t="s">
        <v>5</v>
      </c>
      <c r="C107" s="38" t="s">
        <v>10</v>
      </c>
      <c r="D107" s="38">
        <v>91001</v>
      </c>
      <c r="E107" s="39">
        <v>200025888163</v>
      </c>
      <c r="F107" s="39" t="s">
        <v>16</v>
      </c>
      <c r="G107" s="39">
        <v>2</v>
      </c>
      <c r="H107" s="40">
        <v>45798.715636574074</v>
      </c>
      <c r="I107" s="38">
        <v>8</v>
      </c>
      <c r="J107" s="38"/>
      <c r="K107" s="38"/>
      <c r="L107" s="38"/>
      <c r="M107" s="47"/>
      <c r="R107" s="38">
        <v>8</v>
      </c>
      <c r="S107" s="38">
        <v>1</v>
      </c>
      <c r="V107" s="38" t="s">
        <v>10</v>
      </c>
      <c r="W107" s="38">
        <v>91001</v>
      </c>
      <c r="X107" s="47">
        <f>(H108-H107)*24</f>
        <v>0</v>
      </c>
      <c r="Y107" s="38">
        <v>54</v>
      </c>
      <c r="Z107" s="38">
        <v>0</v>
      </c>
    </row>
    <row r="108" spans="1:26" x14ac:dyDescent="0.35">
      <c r="A108" s="38">
        <v>87</v>
      </c>
      <c r="B108" s="38" t="s">
        <v>5</v>
      </c>
      <c r="C108" s="38" t="s">
        <v>10</v>
      </c>
      <c r="D108" s="38">
        <v>91001</v>
      </c>
      <c r="E108" s="39">
        <v>200025888163</v>
      </c>
      <c r="F108" s="39" t="s">
        <v>16</v>
      </c>
      <c r="G108" s="39">
        <v>2</v>
      </c>
      <c r="H108" s="40">
        <v>45798.715636574074</v>
      </c>
      <c r="I108" s="38">
        <v>8</v>
      </c>
      <c r="J108" s="38"/>
      <c r="K108" s="38"/>
      <c r="L108" s="38"/>
      <c r="M108" s="47"/>
      <c r="R108" s="38">
        <v>8</v>
      </c>
      <c r="S108" s="38">
        <v>2</v>
      </c>
      <c r="V108" s="38" t="s">
        <v>10</v>
      </c>
      <c r="W108" s="38">
        <v>91001</v>
      </c>
      <c r="X108" s="47"/>
      <c r="Y108" s="38">
        <v>55</v>
      </c>
      <c r="Z108" s="38">
        <v>2</v>
      </c>
    </row>
    <row r="109" spans="1:26" x14ac:dyDescent="0.35">
      <c r="A109" s="38">
        <v>88</v>
      </c>
      <c r="B109" s="38" t="s">
        <v>5</v>
      </c>
      <c r="C109" s="38" t="s">
        <v>10</v>
      </c>
      <c r="D109" s="38">
        <v>91001</v>
      </c>
      <c r="E109" s="39">
        <v>200025888163</v>
      </c>
      <c r="F109" s="39" t="s">
        <v>16</v>
      </c>
      <c r="G109" s="39">
        <v>2</v>
      </c>
      <c r="H109" s="40">
        <v>45798.716134259259</v>
      </c>
      <c r="I109" s="38">
        <v>8</v>
      </c>
      <c r="J109" s="38"/>
      <c r="K109" s="38"/>
      <c r="L109" s="38"/>
      <c r="M109" s="47"/>
      <c r="R109" s="38">
        <v>8</v>
      </c>
      <c r="S109" s="38">
        <v>3</v>
      </c>
      <c r="V109" s="38" t="s">
        <v>10</v>
      </c>
      <c r="W109" s="38">
        <v>91001</v>
      </c>
      <c r="X109" s="47"/>
      <c r="Y109" s="38">
        <v>56</v>
      </c>
      <c r="Z109" s="38">
        <v>1</v>
      </c>
    </row>
    <row r="110" spans="1:26" x14ac:dyDescent="0.35">
      <c r="A110" s="38">
        <v>89</v>
      </c>
      <c r="B110" s="38" t="s">
        <v>5</v>
      </c>
      <c r="C110" s="38" t="s">
        <v>10</v>
      </c>
      <c r="D110" s="38">
        <v>91001</v>
      </c>
      <c r="E110" s="39">
        <v>200025888163</v>
      </c>
      <c r="F110" s="39" t="s">
        <v>16</v>
      </c>
      <c r="G110" s="39">
        <v>2</v>
      </c>
      <c r="H110" s="40">
        <v>45798.716157407405</v>
      </c>
      <c r="I110" s="38">
        <v>8</v>
      </c>
      <c r="J110" s="38"/>
      <c r="K110" s="38"/>
      <c r="L110" s="38"/>
      <c r="M110" s="47"/>
      <c r="R110" s="38">
        <v>8</v>
      </c>
      <c r="S110" s="38">
        <v>4</v>
      </c>
      <c r="V110" s="38" t="s">
        <v>10</v>
      </c>
      <c r="W110" s="38">
        <v>91001</v>
      </c>
      <c r="X110" s="47"/>
      <c r="Y110" s="38">
        <v>57</v>
      </c>
      <c r="Z110" s="38">
        <v>22</v>
      </c>
    </row>
    <row r="111" spans="1:26" x14ac:dyDescent="0.35">
      <c r="A111" s="38">
        <v>90</v>
      </c>
      <c r="B111" s="38" t="s">
        <v>5</v>
      </c>
      <c r="C111" s="38" t="s">
        <v>10</v>
      </c>
      <c r="D111" s="38">
        <v>91001</v>
      </c>
      <c r="E111" s="39">
        <v>200025888163</v>
      </c>
      <c r="F111" s="39" t="s">
        <v>16</v>
      </c>
      <c r="G111" s="39">
        <v>2</v>
      </c>
      <c r="H111" s="40">
        <v>45798.716412037036</v>
      </c>
      <c r="I111" s="38">
        <v>8</v>
      </c>
      <c r="J111" s="38"/>
      <c r="K111" s="38"/>
      <c r="L111" s="38"/>
      <c r="M111" s="47"/>
      <c r="R111" s="38">
        <v>8</v>
      </c>
      <c r="S111" s="38">
        <v>5</v>
      </c>
      <c r="V111" s="38" t="s">
        <v>10</v>
      </c>
      <c r="W111" s="38">
        <v>91001</v>
      </c>
      <c r="X111" s="47"/>
      <c r="Y111" s="38">
        <v>58</v>
      </c>
      <c r="Z111" s="38">
        <v>0</v>
      </c>
    </row>
    <row r="112" spans="1:26" x14ac:dyDescent="0.35">
      <c r="A112" s="38">
        <v>91</v>
      </c>
      <c r="B112" s="38" t="s">
        <v>5</v>
      </c>
      <c r="C112" s="38" t="s">
        <v>10</v>
      </c>
      <c r="D112" s="38">
        <v>91001</v>
      </c>
      <c r="E112" s="39">
        <v>200025888163</v>
      </c>
      <c r="F112" s="39" t="s">
        <v>16</v>
      </c>
      <c r="G112" s="39">
        <v>2</v>
      </c>
      <c r="H112" s="40">
        <v>45798.716423611113</v>
      </c>
      <c r="I112" s="38">
        <v>8</v>
      </c>
      <c r="J112" s="38"/>
      <c r="K112" s="38"/>
      <c r="L112" s="38"/>
      <c r="M112" s="47"/>
      <c r="R112" s="38">
        <v>8</v>
      </c>
      <c r="S112" s="38">
        <v>6</v>
      </c>
      <c r="V112" s="38" t="s">
        <v>10</v>
      </c>
      <c r="W112" s="38">
        <v>91001</v>
      </c>
      <c r="X112" s="47"/>
      <c r="Y112" s="38">
        <v>59</v>
      </c>
      <c r="Z112" s="38">
        <v>1</v>
      </c>
    </row>
    <row r="113" spans="1:26" x14ac:dyDescent="0.35">
      <c r="A113" s="38">
        <v>93</v>
      </c>
      <c r="B113" s="38" t="s">
        <v>5</v>
      </c>
      <c r="C113" s="38" t="s">
        <v>10</v>
      </c>
      <c r="D113" s="38">
        <v>91001</v>
      </c>
      <c r="E113" s="39">
        <v>200025888163</v>
      </c>
      <c r="F113" s="39" t="s">
        <v>16</v>
      </c>
      <c r="G113" s="39">
        <v>2</v>
      </c>
      <c r="H113" s="40">
        <v>45798.727210648147</v>
      </c>
      <c r="I113" s="38">
        <v>8</v>
      </c>
      <c r="J113" s="38"/>
      <c r="K113" s="38"/>
      <c r="L113" s="38"/>
      <c r="M113" s="47"/>
      <c r="R113" s="38">
        <v>8</v>
      </c>
      <c r="S113" s="38">
        <v>7</v>
      </c>
      <c r="V113" s="38" t="s">
        <v>10</v>
      </c>
      <c r="W113" s="38">
        <v>91001</v>
      </c>
      <c r="X113" s="47"/>
      <c r="Y113" s="38">
        <v>61</v>
      </c>
      <c r="Z113" s="38">
        <v>1</v>
      </c>
    </row>
    <row r="114" spans="1:26" x14ac:dyDescent="0.35">
      <c r="A114" s="38">
        <v>180</v>
      </c>
      <c r="B114" s="38" t="s">
        <v>5</v>
      </c>
      <c r="C114" s="38" t="s">
        <v>10</v>
      </c>
      <c r="D114" s="38">
        <v>91001</v>
      </c>
      <c r="E114" s="39">
        <v>200025888163</v>
      </c>
      <c r="F114" s="39" t="s">
        <v>43</v>
      </c>
      <c r="G114" s="39">
        <v>3</v>
      </c>
      <c r="H114" s="40">
        <v>45799.495081018518</v>
      </c>
      <c r="I114" s="38">
        <v>8</v>
      </c>
      <c r="J114" s="40">
        <v>45798.715636574074</v>
      </c>
      <c r="K114" s="40">
        <v>45799.495081018518</v>
      </c>
      <c r="L114" s="46">
        <f t="shared" ref="L114" si="0">(K114-J114)*24</f>
        <v>18.706666666665114</v>
      </c>
      <c r="M114" s="47">
        <v>18.706666666665114</v>
      </c>
      <c r="N114" s="40">
        <v>45798.715636574074</v>
      </c>
      <c r="O114" s="40">
        <v>45798.727210648147</v>
      </c>
      <c r="P114" s="46">
        <f t="shared" ref="P114:P115" si="1">(O114-N114)*24</f>
        <v>0.27777777775190771</v>
      </c>
      <c r="Q114" s="47">
        <v>1</v>
      </c>
      <c r="R114" s="38">
        <v>8</v>
      </c>
      <c r="S114" s="38">
        <v>8</v>
      </c>
      <c r="T114" s="49" t="s">
        <v>53</v>
      </c>
      <c r="U114" s="38">
        <v>1</v>
      </c>
      <c r="V114" s="38" t="s">
        <v>10</v>
      </c>
      <c r="W114" s="38">
        <v>91001</v>
      </c>
      <c r="X114" s="47"/>
      <c r="Y114" s="38">
        <v>148</v>
      </c>
      <c r="Z114" s="38">
        <v>3</v>
      </c>
    </row>
    <row r="115" spans="1:26" x14ac:dyDescent="0.35">
      <c r="A115" s="38">
        <v>92</v>
      </c>
      <c r="B115" s="38" t="s">
        <v>5</v>
      </c>
      <c r="C115" s="38" t="s">
        <v>10</v>
      </c>
      <c r="D115" s="38">
        <v>91001</v>
      </c>
      <c r="E115" s="39">
        <v>200025888740</v>
      </c>
      <c r="F115" s="39" t="s">
        <v>34</v>
      </c>
      <c r="G115" s="39">
        <v>50</v>
      </c>
      <c r="H115" s="40">
        <v>45798.725243055553</v>
      </c>
      <c r="I115" s="38">
        <v>9</v>
      </c>
      <c r="J115" s="38"/>
      <c r="K115" s="38"/>
      <c r="L115" s="38"/>
      <c r="M115" s="47"/>
      <c r="N115" s="40">
        <v>45798.725243055553</v>
      </c>
      <c r="O115" s="40">
        <v>45798.725243055553</v>
      </c>
      <c r="P115" s="46">
        <f t="shared" si="1"/>
        <v>0</v>
      </c>
      <c r="Q115" s="47">
        <v>1</v>
      </c>
      <c r="R115" s="38">
        <v>9</v>
      </c>
      <c r="S115" s="38">
        <v>1</v>
      </c>
      <c r="T115" s="49" t="s">
        <v>53</v>
      </c>
      <c r="U115" s="38">
        <v>1</v>
      </c>
      <c r="V115" s="38" t="s">
        <v>10</v>
      </c>
      <c r="W115" s="38">
        <v>91001</v>
      </c>
      <c r="X115" s="47">
        <f t="shared" ref="X115:X116" si="2">(H116-H115)*24</f>
        <v>1.186944444430992</v>
      </c>
      <c r="Y115" s="38">
        <v>60</v>
      </c>
      <c r="Z115" s="38">
        <v>0</v>
      </c>
    </row>
    <row r="116" spans="1:26" x14ac:dyDescent="0.35">
      <c r="A116" s="38">
        <v>96</v>
      </c>
      <c r="B116" s="38" t="s">
        <v>5</v>
      </c>
      <c r="C116" s="38" t="s">
        <v>10</v>
      </c>
      <c r="D116" s="38">
        <v>91001</v>
      </c>
      <c r="E116" s="39">
        <v>200025888717</v>
      </c>
      <c r="F116" s="39" t="s">
        <v>33</v>
      </c>
      <c r="G116" s="39">
        <v>48</v>
      </c>
      <c r="H116" s="40">
        <v>45798.774699074071</v>
      </c>
      <c r="I116" s="38">
        <v>10</v>
      </c>
      <c r="J116" s="38"/>
      <c r="K116" s="38"/>
      <c r="L116" s="38"/>
      <c r="M116" s="47"/>
      <c r="R116" s="38">
        <v>10</v>
      </c>
      <c r="S116" s="38">
        <v>1</v>
      </c>
      <c r="V116" s="38" t="s">
        <v>10</v>
      </c>
      <c r="W116" s="38">
        <v>91001</v>
      </c>
      <c r="X116" s="47">
        <f t="shared" si="2"/>
        <v>5.5555568542331457E-4</v>
      </c>
      <c r="Y116" s="38">
        <v>64</v>
      </c>
      <c r="Z116" s="38">
        <v>1</v>
      </c>
    </row>
    <row r="117" spans="1:26" x14ac:dyDescent="0.35">
      <c r="A117" s="38">
        <v>97</v>
      </c>
      <c r="B117" s="38" t="s">
        <v>5</v>
      </c>
      <c r="C117" s="38" t="s">
        <v>10</v>
      </c>
      <c r="D117" s="38">
        <v>91001</v>
      </c>
      <c r="E117" s="39">
        <v>200025888717</v>
      </c>
      <c r="F117" s="39" t="s">
        <v>33</v>
      </c>
      <c r="G117" s="39">
        <v>48</v>
      </c>
      <c r="H117" s="40">
        <v>45798.774722222224</v>
      </c>
      <c r="I117" s="38">
        <v>10</v>
      </c>
      <c r="J117" s="38"/>
      <c r="K117" s="38"/>
      <c r="L117" s="38"/>
      <c r="M117" s="47"/>
      <c r="R117" s="38">
        <v>10</v>
      </c>
      <c r="S117" s="38">
        <v>2</v>
      </c>
      <c r="V117" s="38" t="s">
        <v>10</v>
      </c>
      <c r="W117" s="38">
        <v>91001</v>
      </c>
      <c r="X117" s="47"/>
      <c r="Y117" s="38">
        <v>65</v>
      </c>
      <c r="Z117" s="38">
        <v>0</v>
      </c>
    </row>
    <row r="118" spans="1:26" x14ac:dyDescent="0.35">
      <c r="A118" s="38">
        <v>117</v>
      </c>
      <c r="B118" s="38" t="s">
        <v>5</v>
      </c>
      <c r="C118" s="38" t="s">
        <v>10</v>
      </c>
      <c r="D118" s="38">
        <v>91001</v>
      </c>
      <c r="E118" s="39">
        <v>200025888717</v>
      </c>
      <c r="F118" s="39" t="s">
        <v>33</v>
      </c>
      <c r="G118" s="39">
        <v>48</v>
      </c>
      <c r="H118" s="40">
        <v>45798.870416666665</v>
      </c>
      <c r="I118" s="38">
        <v>10</v>
      </c>
      <c r="J118" s="38"/>
      <c r="K118" s="38"/>
      <c r="L118" s="38"/>
      <c r="M118" s="47"/>
      <c r="R118" s="38">
        <v>10</v>
      </c>
      <c r="S118" s="38">
        <v>3</v>
      </c>
      <c r="V118" s="38" t="s">
        <v>10</v>
      </c>
      <c r="W118" s="38">
        <v>91001</v>
      </c>
      <c r="X118" s="47"/>
      <c r="Y118" s="38">
        <v>85</v>
      </c>
      <c r="Z118" s="38">
        <v>0</v>
      </c>
    </row>
    <row r="119" spans="1:26" x14ac:dyDescent="0.35">
      <c r="A119" s="38">
        <v>118</v>
      </c>
      <c r="B119" s="38" t="s">
        <v>5</v>
      </c>
      <c r="C119" s="38" t="s">
        <v>10</v>
      </c>
      <c r="D119" s="38">
        <v>91001</v>
      </c>
      <c r="E119" s="39">
        <v>200025888717</v>
      </c>
      <c r="F119" s="39" t="s">
        <v>33</v>
      </c>
      <c r="G119" s="39">
        <v>48</v>
      </c>
      <c r="H119" s="40">
        <v>45798.87054398148</v>
      </c>
      <c r="I119" s="38">
        <v>10</v>
      </c>
      <c r="J119" s="38"/>
      <c r="K119" s="38"/>
      <c r="L119" s="38"/>
      <c r="M119" s="47"/>
      <c r="N119" s="50"/>
      <c r="O119" s="50"/>
      <c r="P119" s="46"/>
      <c r="Q119" s="46"/>
      <c r="R119" s="38">
        <v>10</v>
      </c>
      <c r="S119" s="38">
        <v>4</v>
      </c>
      <c r="V119" s="38" t="s">
        <v>10</v>
      </c>
      <c r="W119" s="38">
        <v>91001</v>
      </c>
      <c r="X119" s="47"/>
      <c r="Y119" s="38">
        <v>86</v>
      </c>
      <c r="Z119" s="38">
        <v>0</v>
      </c>
    </row>
    <row r="120" spans="1:26" x14ac:dyDescent="0.35">
      <c r="A120" s="38">
        <v>150</v>
      </c>
      <c r="B120" s="38" t="s">
        <v>5</v>
      </c>
      <c r="C120" s="38" t="s">
        <v>10</v>
      </c>
      <c r="D120" s="38">
        <v>91001</v>
      </c>
      <c r="E120" s="39">
        <v>200025888717</v>
      </c>
      <c r="F120" s="39" t="s">
        <v>33</v>
      </c>
      <c r="G120" s="39">
        <v>48</v>
      </c>
      <c r="H120" s="40">
        <v>45799.182858796295</v>
      </c>
      <c r="I120" s="38">
        <v>10</v>
      </c>
      <c r="J120" s="38"/>
      <c r="K120" s="38"/>
      <c r="L120" s="38"/>
      <c r="M120" s="47"/>
      <c r="R120" s="38">
        <v>10</v>
      </c>
      <c r="S120" s="38">
        <v>5</v>
      </c>
      <c r="V120" s="38" t="s">
        <v>10</v>
      </c>
      <c r="W120" s="38">
        <v>91001</v>
      </c>
      <c r="X120" s="47"/>
      <c r="Y120" s="38">
        <v>118</v>
      </c>
      <c r="Z120" s="38">
        <v>1</v>
      </c>
    </row>
    <row r="121" spans="1:26" x14ac:dyDescent="0.35">
      <c r="A121" s="38">
        <v>151</v>
      </c>
      <c r="B121" s="38" t="s">
        <v>5</v>
      </c>
      <c r="C121" s="38" t="s">
        <v>10</v>
      </c>
      <c r="D121" s="38">
        <v>91001</v>
      </c>
      <c r="E121" s="39">
        <v>200025888717</v>
      </c>
      <c r="F121" s="39" t="s">
        <v>33</v>
      </c>
      <c r="G121" s="39">
        <v>48</v>
      </c>
      <c r="H121" s="40">
        <v>45799.184999999998</v>
      </c>
      <c r="I121" s="38">
        <v>10</v>
      </c>
      <c r="J121" s="38"/>
      <c r="K121" s="38"/>
      <c r="L121" s="38"/>
      <c r="M121" s="47"/>
      <c r="R121" s="38">
        <v>10</v>
      </c>
      <c r="S121" s="38">
        <v>6</v>
      </c>
      <c r="V121" s="38" t="s">
        <v>10</v>
      </c>
      <c r="W121" s="38">
        <v>91001</v>
      </c>
      <c r="X121" s="47"/>
      <c r="Y121" s="38">
        <v>119</v>
      </c>
      <c r="Z121" s="38">
        <v>195</v>
      </c>
    </row>
    <row r="122" spans="1:26" x14ac:dyDescent="0.35">
      <c r="A122" s="38">
        <v>154</v>
      </c>
      <c r="B122" s="38" t="s">
        <v>5</v>
      </c>
      <c r="C122" s="38" t="s">
        <v>10</v>
      </c>
      <c r="D122" s="38">
        <v>91001</v>
      </c>
      <c r="E122" s="39">
        <v>200025888717</v>
      </c>
      <c r="F122" s="39" t="s">
        <v>33</v>
      </c>
      <c r="G122" s="39">
        <v>48</v>
      </c>
      <c r="H122" s="40">
        <v>45799.208078703705</v>
      </c>
      <c r="I122" s="38">
        <v>10</v>
      </c>
      <c r="J122" s="38"/>
      <c r="K122" s="38"/>
      <c r="L122" s="38"/>
      <c r="M122" s="47"/>
      <c r="R122" s="38">
        <v>10</v>
      </c>
      <c r="S122" s="38">
        <v>7</v>
      </c>
      <c r="V122" s="38" t="s">
        <v>10</v>
      </c>
      <c r="W122" s="38">
        <v>91001</v>
      </c>
      <c r="X122" s="47"/>
      <c r="Y122" s="38">
        <v>122</v>
      </c>
      <c r="Z122" s="38">
        <v>107</v>
      </c>
    </row>
    <row r="123" spans="1:26" x14ac:dyDescent="0.35">
      <c r="A123" s="38">
        <v>155</v>
      </c>
      <c r="B123" s="38" t="s">
        <v>5</v>
      </c>
      <c r="C123" s="38" t="s">
        <v>10</v>
      </c>
      <c r="D123" s="38">
        <v>91001</v>
      </c>
      <c r="E123" s="39">
        <v>200025888717</v>
      </c>
      <c r="F123" s="39" t="s">
        <v>33</v>
      </c>
      <c r="G123" s="39">
        <v>48</v>
      </c>
      <c r="H123" s="40">
        <v>45799.210069444445</v>
      </c>
      <c r="I123" s="38">
        <v>10</v>
      </c>
      <c r="J123" s="38"/>
      <c r="K123" s="38"/>
      <c r="L123" s="38"/>
      <c r="M123" s="47"/>
      <c r="R123" s="38">
        <v>10</v>
      </c>
      <c r="S123" s="38">
        <v>8</v>
      </c>
      <c r="V123" s="38" t="s">
        <v>10</v>
      </c>
      <c r="W123" s="38">
        <v>91001</v>
      </c>
      <c r="X123" s="47"/>
      <c r="Y123" s="38">
        <v>123</v>
      </c>
      <c r="Z123" s="38">
        <v>1</v>
      </c>
    </row>
    <row r="124" spans="1:26" x14ac:dyDescent="0.35">
      <c r="A124" s="38">
        <v>156</v>
      </c>
      <c r="B124" s="38" t="s">
        <v>5</v>
      </c>
      <c r="C124" s="38" t="s">
        <v>10</v>
      </c>
      <c r="D124" s="38">
        <v>91001</v>
      </c>
      <c r="E124" s="39">
        <v>200025888717</v>
      </c>
      <c r="F124" s="39" t="s">
        <v>33</v>
      </c>
      <c r="G124" s="39">
        <v>48</v>
      </c>
      <c r="H124" s="40">
        <v>45799.210081018522</v>
      </c>
      <c r="I124" s="38">
        <v>10</v>
      </c>
      <c r="J124" s="38"/>
      <c r="K124" s="38"/>
      <c r="L124" s="38"/>
      <c r="M124" s="47"/>
      <c r="N124" s="40"/>
      <c r="O124" s="40"/>
      <c r="P124" s="46"/>
      <c r="Q124" s="46"/>
      <c r="R124" s="38">
        <v>10</v>
      </c>
      <c r="S124" s="38">
        <v>9</v>
      </c>
      <c r="V124" s="38" t="s">
        <v>10</v>
      </c>
      <c r="W124" s="38">
        <v>91001</v>
      </c>
      <c r="X124" s="47"/>
      <c r="Y124" s="38">
        <v>124</v>
      </c>
      <c r="Z124" s="38">
        <v>1</v>
      </c>
    </row>
    <row r="125" spans="1:26" x14ac:dyDescent="0.35">
      <c r="A125" s="38">
        <v>157</v>
      </c>
      <c r="B125" s="38" t="s">
        <v>5</v>
      </c>
      <c r="C125" s="38" t="s">
        <v>10</v>
      </c>
      <c r="D125" s="38">
        <v>91001</v>
      </c>
      <c r="E125" s="39">
        <v>200025888717</v>
      </c>
      <c r="F125" s="39" t="s">
        <v>33</v>
      </c>
      <c r="G125" s="39">
        <v>48</v>
      </c>
      <c r="H125" s="40">
        <v>45799.214212962965</v>
      </c>
      <c r="I125" s="38">
        <v>10</v>
      </c>
      <c r="J125" s="40"/>
      <c r="K125" s="40"/>
      <c r="L125" s="46"/>
      <c r="M125" s="46"/>
      <c r="R125" s="38">
        <v>10</v>
      </c>
      <c r="S125" s="38">
        <v>10</v>
      </c>
      <c r="V125" s="38" t="s">
        <v>10</v>
      </c>
      <c r="W125" s="38">
        <v>91001</v>
      </c>
      <c r="X125" s="47"/>
      <c r="Y125" s="38">
        <v>125</v>
      </c>
      <c r="Z125" s="38">
        <v>1</v>
      </c>
    </row>
    <row r="126" spans="1:26" x14ac:dyDescent="0.35">
      <c r="A126" s="38">
        <v>158</v>
      </c>
      <c r="B126" s="38" t="s">
        <v>5</v>
      </c>
      <c r="C126" s="38" t="s">
        <v>10</v>
      </c>
      <c r="D126" s="38">
        <v>91001</v>
      </c>
      <c r="E126" s="39">
        <v>200025888717</v>
      </c>
      <c r="F126" s="39" t="s">
        <v>33</v>
      </c>
      <c r="G126" s="39">
        <v>48</v>
      </c>
      <c r="H126" s="40">
        <v>45799.215462962966</v>
      </c>
      <c r="I126" s="38">
        <v>10</v>
      </c>
      <c r="J126" s="38"/>
      <c r="K126" s="38"/>
      <c r="L126" s="38"/>
      <c r="M126" s="47"/>
      <c r="R126" s="38">
        <v>10</v>
      </c>
      <c r="S126" s="38">
        <v>11</v>
      </c>
      <c r="V126" s="38" t="s">
        <v>10</v>
      </c>
      <c r="W126" s="38">
        <v>91001</v>
      </c>
      <c r="X126" s="47"/>
      <c r="Y126" s="38">
        <v>126</v>
      </c>
      <c r="Z126" s="38">
        <v>2</v>
      </c>
    </row>
    <row r="127" spans="1:26" x14ac:dyDescent="0.35">
      <c r="A127" s="38">
        <v>159</v>
      </c>
      <c r="B127" s="38" t="s">
        <v>5</v>
      </c>
      <c r="C127" s="38" t="s">
        <v>10</v>
      </c>
      <c r="D127" s="38">
        <v>91001</v>
      </c>
      <c r="E127" s="39">
        <v>200025888717</v>
      </c>
      <c r="F127" s="39" t="s">
        <v>33</v>
      </c>
      <c r="G127" s="39">
        <v>48</v>
      </c>
      <c r="H127" s="40">
        <v>45799.215601851851</v>
      </c>
      <c r="I127" s="38">
        <v>10</v>
      </c>
      <c r="J127" s="38"/>
      <c r="K127" s="38"/>
      <c r="L127" s="38"/>
      <c r="M127" s="47"/>
      <c r="R127" s="38">
        <v>10</v>
      </c>
      <c r="S127" s="38">
        <v>12</v>
      </c>
      <c r="V127" s="38" t="s">
        <v>10</v>
      </c>
      <c r="W127" s="38">
        <v>91001</v>
      </c>
      <c r="X127" s="47"/>
      <c r="Y127" s="38">
        <v>127</v>
      </c>
      <c r="Z127" s="38">
        <v>1</v>
      </c>
    </row>
    <row r="128" spans="1:26" x14ac:dyDescent="0.35">
      <c r="A128" s="38">
        <v>160</v>
      </c>
      <c r="B128" s="38" t="s">
        <v>5</v>
      </c>
      <c r="C128" s="38" t="s">
        <v>10</v>
      </c>
      <c r="D128" s="38">
        <v>91001</v>
      </c>
      <c r="E128" s="39">
        <v>200025888717</v>
      </c>
      <c r="F128" s="39" t="s">
        <v>33</v>
      </c>
      <c r="G128" s="39">
        <v>48</v>
      </c>
      <c r="H128" s="40">
        <v>45799.215624999997</v>
      </c>
      <c r="I128" s="38">
        <v>10</v>
      </c>
      <c r="J128" s="38"/>
      <c r="K128" s="38"/>
      <c r="L128" s="38"/>
      <c r="M128" s="47"/>
      <c r="R128" s="38">
        <v>10</v>
      </c>
      <c r="S128" s="38">
        <v>13</v>
      </c>
      <c r="V128" s="38" t="s">
        <v>10</v>
      </c>
      <c r="W128" s="38">
        <v>91001</v>
      </c>
      <c r="X128" s="47"/>
      <c r="Y128" s="38">
        <v>128</v>
      </c>
      <c r="Z128" s="38">
        <v>1</v>
      </c>
    </row>
    <row r="129" spans="1:26" x14ac:dyDescent="0.35">
      <c r="A129" s="38">
        <v>161</v>
      </c>
      <c r="B129" s="38" t="s">
        <v>5</v>
      </c>
      <c r="C129" s="38" t="s">
        <v>10</v>
      </c>
      <c r="D129" s="38">
        <v>91001</v>
      </c>
      <c r="E129" s="39">
        <v>200025888717</v>
      </c>
      <c r="F129" s="39" t="s">
        <v>33</v>
      </c>
      <c r="G129" s="39">
        <v>48</v>
      </c>
      <c r="H129" s="40">
        <v>45799.215775462966</v>
      </c>
      <c r="I129" s="38">
        <v>10</v>
      </c>
      <c r="J129" s="38"/>
      <c r="K129" s="38"/>
      <c r="L129" s="38"/>
      <c r="M129" s="47"/>
      <c r="R129" s="38">
        <v>10</v>
      </c>
      <c r="S129" s="38">
        <v>14</v>
      </c>
      <c r="V129" s="38" t="s">
        <v>10</v>
      </c>
      <c r="W129" s="38">
        <v>91001</v>
      </c>
      <c r="X129" s="47"/>
      <c r="Y129" s="38">
        <v>129</v>
      </c>
      <c r="Z129" s="38">
        <v>291</v>
      </c>
    </row>
    <row r="130" spans="1:26" x14ac:dyDescent="0.35">
      <c r="A130" s="38">
        <v>162</v>
      </c>
      <c r="B130" s="38" t="s">
        <v>5</v>
      </c>
      <c r="C130" s="38" t="s">
        <v>10</v>
      </c>
      <c r="D130" s="38">
        <v>91001</v>
      </c>
      <c r="E130" s="39">
        <v>200025888717</v>
      </c>
      <c r="F130" s="39" t="s">
        <v>33</v>
      </c>
      <c r="G130" s="39">
        <v>48</v>
      </c>
      <c r="H130" s="40">
        <v>45799.219328703701</v>
      </c>
      <c r="I130" s="38">
        <v>10</v>
      </c>
      <c r="J130" s="38"/>
      <c r="K130" s="38"/>
      <c r="L130" s="38"/>
      <c r="M130" s="47"/>
      <c r="N130" s="40">
        <v>45798.774699074071</v>
      </c>
      <c r="O130" s="40">
        <v>45799.219328703701</v>
      </c>
      <c r="P130" s="46">
        <f t="shared" ref="P130" si="3">(O130-N130)*24</f>
        <v>10.671111111121718</v>
      </c>
      <c r="Q130" s="47">
        <v>10.671111111121718</v>
      </c>
      <c r="R130" s="38">
        <v>10</v>
      </c>
      <c r="S130" s="38">
        <v>15</v>
      </c>
      <c r="T130" s="49" t="s">
        <v>53</v>
      </c>
      <c r="U130" s="38">
        <v>1</v>
      </c>
      <c r="V130" s="38" t="s">
        <v>10</v>
      </c>
      <c r="W130" s="38">
        <v>91001</v>
      </c>
      <c r="X130" s="47"/>
      <c r="Y130" s="38">
        <v>130</v>
      </c>
      <c r="Z130" s="38">
        <v>0</v>
      </c>
    </row>
    <row r="131" spans="1:26" x14ac:dyDescent="0.35">
      <c r="A131" s="38">
        <v>108</v>
      </c>
      <c r="B131" s="38" t="s">
        <v>5</v>
      </c>
      <c r="C131" s="38" t="s">
        <v>10</v>
      </c>
      <c r="D131" s="38">
        <v>91001</v>
      </c>
      <c r="E131" s="39">
        <v>200025888839</v>
      </c>
      <c r="F131" s="39" t="s">
        <v>26</v>
      </c>
      <c r="G131" s="39">
        <v>16</v>
      </c>
      <c r="H131" s="40">
        <v>45798.810324074075</v>
      </c>
      <c r="I131" s="38">
        <v>11</v>
      </c>
      <c r="J131" s="38"/>
      <c r="K131" s="38"/>
      <c r="L131" s="38"/>
      <c r="M131" s="47"/>
      <c r="R131" s="38">
        <v>11</v>
      </c>
      <c r="S131" s="38">
        <v>1</v>
      </c>
      <c r="V131" s="38" t="s">
        <v>10</v>
      </c>
      <c r="W131" s="38">
        <v>91001</v>
      </c>
      <c r="X131" s="47">
        <f>(H132-H131)*24</f>
        <v>0</v>
      </c>
      <c r="Y131" s="38">
        <v>76</v>
      </c>
      <c r="Z131" s="38">
        <v>0</v>
      </c>
    </row>
    <row r="132" spans="1:26" x14ac:dyDescent="0.35">
      <c r="A132" s="38">
        <v>109</v>
      </c>
      <c r="B132" s="38" t="s">
        <v>5</v>
      </c>
      <c r="C132" s="38" t="s">
        <v>10</v>
      </c>
      <c r="D132" s="38">
        <v>91001</v>
      </c>
      <c r="E132" s="39">
        <v>200025888839</v>
      </c>
      <c r="F132" s="39" t="s">
        <v>26</v>
      </c>
      <c r="G132" s="39">
        <v>16</v>
      </c>
      <c r="H132" s="40">
        <v>45798.810324074075</v>
      </c>
      <c r="I132" s="38">
        <v>11</v>
      </c>
      <c r="J132" s="38"/>
      <c r="K132" s="38"/>
      <c r="L132" s="38"/>
      <c r="M132" s="47"/>
      <c r="R132" s="38">
        <v>11</v>
      </c>
      <c r="S132" s="38">
        <v>2</v>
      </c>
      <c r="V132" s="38" t="s">
        <v>10</v>
      </c>
      <c r="W132" s="38">
        <v>91001</v>
      </c>
      <c r="X132" s="47"/>
      <c r="Y132" s="38">
        <v>77</v>
      </c>
      <c r="Z132" s="38">
        <v>0</v>
      </c>
    </row>
    <row r="133" spans="1:26" x14ac:dyDescent="0.35">
      <c r="A133" s="38">
        <v>110</v>
      </c>
      <c r="B133" s="38" t="s">
        <v>5</v>
      </c>
      <c r="C133" s="38" t="s">
        <v>10</v>
      </c>
      <c r="D133" s="38">
        <v>91001</v>
      </c>
      <c r="E133" s="39">
        <v>200025888839</v>
      </c>
      <c r="F133" s="39" t="s">
        <v>26</v>
      </c>
      <c r="G133" s="39">
        <v>16</v>
      </c>
      <c r="H133" s="40">
        <v>45798.810335648152</v>
      </c>
      <c r="I133" s="38">
        <v>11</v>
      </c>
      <c r="J133" s="38"/>
      <c r="K133" s="38"/>
      <c r="L133" s="38"/>
      <c r="M133" s="47"/>
      <c r="N133" s="40">
        <v>45798.810324074075</v>
      </c>
      <c r="O133" s="40">
        <v>45798.810335648152</v>
      </c>
      <c r="P133" s="46">
        <f t="shared" ref="P133" si="4">(O133-N133)*24</f>
        <v>2.7777784271165729E-4</v>
      </c>
      <c r="Q133" s="47">
        <v>1</v>
      </c>
      <c r="R133" s="38">
        <v>11</v>
      </c>
      <c r="S133" s="38">
        <v>3</v>
      </c>
      <c r="V133" s="38" t="s">
        <v>10</v>
      </c>
      <c r="W133" s="38">
        <v>91001</v>
      </c>
      <c r="X133" s="47"/>
      <c r="Y133" s="38">
        <v>78</v>
      </c>
      <c r="Z133" s="38">
        <v>0</v>
      </c>
    </row>
    <row r="134" spans="1:26" x14ac:dyDescent="0.35">
      <c r="A134" s="38">
        <v>126</v>
      </c>
      <c r="B134" s="38" t="s">
        <v>5</v>
      </c>
      <c r="C134" s="38" t="s">
        <v>10</v>
      </c>
      <c r="D134" s="38">
        <v>91001</v>
      </c>
      <c r="E134" s="39">
        <v>200025888808</v>
      </c>
      <c r="F134" s="39" t="s">
        <v>36</v>
      </c>
      <c r="G134" s="39">
        <v>43</v>
      </c>
      <c r="H134" s="40">
        <v>45798.901967592596</v>
      </c>
      <c r="I134" s="38">
        <v>12</v>
      </c>
      <c r="J134" s="38"/>
      <c r="K134" s="38"/>
      <c r="L134" s="38"/>
      <c r="M134" s="47"/>
      <c r="R134" s="38">
        <v>12</v>
      </c>
      <c r="S134" s="38">
        <v>1</v>
      </c>
      <c r="V134" s="38" t="s">
        <v>10</v>
      </c>
      <c r="W134" s="38">
        <v>91001</v>
      </c>
      <c r="X134" s="47">
        <f>(H135-H134)*24</f>
        <v>6.8969444443937391</v>
      </c>
      <c r="Y134" s="38">
        <v>94</v>
      </c>
      <c r="Z134" s="38">
        <v>1</v>
      </c>
    </row>
    <row r="135" spans="1:26" x14ac:dyDescent="0.35">
      <c r="A135" s="38">
        <v>152</v>
      </c>
      <c r="B135" s="38" t="s">
        <v>5</v>
      </c>
      <c r="C135" s="38" t="s">
        <v>10</v>
      </c>
      <c r="D135" s="38">
        <v>91001</v>
      </c>
      <c r="E135" s="39">
        <v>200025888808</v>
      </c>
      <c r="F135" s="39" t="s">
        <v>36</v>
      </c>
      <c r="G135" s="39">
        <v>43</v>
      </c>
      <c r="H135" s="40">
        <v>45799.189340277779</v>
      </c>
      <c r="I135" s="38">
        <v>12</v>
      </c>
      <c r="J135" s="38"/>
      <c r="K135" s="38"/>
      <c r="L135" s="38"/>
      <c r="M135" s="47"/>
      <c r="R135" s="38">
        <v>12</v>
      </c>
      <c r="S135" s="38">
        <v>2</v>
      </c>
      <c r="V135" s="38" t="s">
        <v>10</v>
      </c>
      <c r="W135" s="38">
        <v>91001</v>
      </c>
      <c r="X135" s="47"/>
      <c r="Y135" s="38">
        <v>120</v>
      </c>
      <c r="Z135" s="38">
        <v>1</v>
      </c>
    </row>
    <row r="136" spans="1:26" x14ac:dyDescent="0.35">
      <c r="A136" s="38">
        <v>153</v>
      </c>
      <c r="B136" s="38" t="s">
        <v>5</v>
      </c>
      <c r="C136" s="38" t="s">
        <v>10</v>
      </c>
      <c r="D136" s="38">
        <v>91001</v>
      </c>
      <c r="E136" s="39">
        <v>200025888808</v>
      </c>
      <c r="F136" s="39" t="s">
        <v>36</v>
      </c>
      <c r="G136" s="39">
        <v>43</v>
      </c>
      <c r="H136" s="40">
        <v>45799.18953703704</v>
      </c>
      <c r="I136" s="38">
        <v>12</v>
      </c>
      <c r="J136" s="38"/>
      <c r="K136" s="38"/>
      <c r="L136" s="38"/>
      <c r="M136" s="47"/>
      <c r="R136" s="38">
        <v>12</v>
      </c>
      <c r="S136" s="38">
        <v>3</v>
      </c>
      <c r="V136" s="38" t="s">
        <v>10</v>
      </c>
      <c r="W136" s="38">
        <v>91001</v>
      </c>
      <c r="X136" s="47"/>
      <c r="Y136" s="38">
        <v>121</v>
      </c>
      <c r="Z136" s="38">
        <v>1</v>
      </c>
    </row>
    <row r="137" spans="1:26" x14ac:dyDescent="0.35">
      <c r="A137" s="38">
        <v>163</v>
      </c>
      <c r="B137" s="38" t="s">
        <v>5</v>
      </c>
      <c r="C137" s="38" t="s">
        <v>10</v>
      </c>
      <c r="D137" s="38">
        <v>91001</v>
      </c>
      <c r="E137" s="39">
        <v>200025888808</v>
      </c>
      <c r="F137" s="39" t="s">
        <v>36</v>
      </c>
      <c r="G137" s="39">
        <v>43</v>
      </c>
      <c r="H137" s="40">
        <v>45799.232152777775</v>
      </c>
      <c r="I137" s="38">
        <v>12</v>
      </c>
      <c r="J137" s="38"/>
      <c r="K137" s="38"/>
      <c r="L137" s="38"/>
      <c r="M137" s="47"/>
      <c r="R137" s="38">
        <v>12</v>
      </c>
      <c r="S137" s="38">
        <v>4</v>
      </c>
      <c r="V137" s="38" t="s">
        <v>10</v>
      </c>
      <c r="W137" s="38">
        <v>91001</v>
      </c>
      <c r="X137" s="47"/>
      <c r="Y137" s="38">
        <v>131</v>
      </c>
      <c r="Z137" s="38">
        <v>345</v>
      </c>
    </row>
    <row r="138" spans="1:26" x14ac:dyDescent="0.35">
      <c r="A138" s="38">
        <v>171</v>
      </c>
      <c r="B138" s="38" t="s">
        <v>5</v>
      </c>
      <c r="C138" s="38" t="s">
        <v>10</v>
      </c>
      <c r="D138" s="38">
        <v>91001</v>
      </c>
      <c r="E138" s="39">
        <v>200025888808</v>
      </c>
      <c r="F138" s="39" t="s">
        <v>36</v>
      </c>
      <c r="G138" s="39">
        <v>43</v>
      </c>
      <c r="H138" s="40">
        <v>45799.269074074073</v>
      </c>
      <c r="I138" s="38">
        <v>12</v>
      </c>
      <c r="J138" s="38"/>
      <c r="K138" s="38"/>
      <c r="L138" s="38"/>
      <c r="M138" s="47"/>
      <c r="R138" s="38">
        <v>12</v>
      </c>
      <c r="S138" s="38">
        <v>5</v>
      </c>
      <c r="V138" s="38" t="s">
        <v>10</v>
      </c>
      <c r="W138" s="38">
        <v>91001</v>
      </c>
      <c r="X138" s="47"/>
      <c r="Y138" s="38">
        <v>139</v>
      </c>
      <c r="Z138" s="38">
        <v>1</v>
      </c>
    </row>
    <row r="139" spans="1:26" x14ac:dyDescent="0.35">
      <c r="A139" s="38">
        <v>183</v>
      </c>
      <c r="B139" s="38" t="s">
        <v>5</v>
      </c>
      <c r="C139" s="38" t="s">
        <v>10</v>
      </c>
      <c r="D139" s="38">
        <v>91001</v>
      </c>
      <c r="E139" s="39">
        <v>200025888808</v>
      </c>
      <c r="F139" s="39" t="s">
        <v>36</v>
      </c>
      <c r="G139" s="39">
        <v>43</v>
      </c>
      <c r="H139" s="40">
        <v>45799.558888888889</v>
      </c>
      <c r="I139" s="38">
        <v>12</v>
      </c>
      <c r="J139" s="38"/>
      <c r="K139" s="38"/>
      <c r="L139" s="38"/>
      <c r="M139" s="47"/>
      <c r="R139" s="38">
        <v>12</v>
      </c>
      <c r="S139" s="38">
        <v>6</v>
      </c>
      <c r="V139" s="38" t="s">
        <v>10</v>
      </c>
      <c r="W139" s="38">
        <v>91001</v>
      </c>
      <c r="X139" s="47"/>
      <c r="Y139" s="38">
        <v>151</v>
      </c>
      <c r="Z139" s="38">
        <v>2</v>
      </c>
    </row>
    <row r="140" spans="1:26" x14ac:dyDescent="0.35">
      <c r="A140" s="38">
        <v>184</v>
      </c>
      <c r="B140" s="38" t="s">
        <v>5</v>
      </c>
      <c r="C140" s="38" t="s">
        <v>10</v>
      </c>
      <c r="D140" s="38">
        <v>91001</v>
      </c>
      <c r="E140" s="39">
        <v>200025888808</v>
      </c>
      <c r="F140" s="39" t="s">
        <v>36</v>
      </c>
      <c r="G140" s="39">
        <v>43</v>
      </c>
      <c r="H140" s="40">
        <v>45799.560601851852</v>
      </c>
      <c r="I140" s="38">
        <v>12</v>
      </c>
      <c r="J140" s="38"/>
      <c r="K140" s="38"/>
      <c r="L140" s="38"/>
      <c r="M140" s="47"/>
      <c r="R140" s="38">
        <v>12</v>
      </c>
      <c r="S140" s="38">
        <v>7</v>
      </c>
      <c r="V140" s="38" t="s">
        <v>10</v>
      </c>
      <c r="W140" s="38">
        <v>91001</v>
      </c>
      <c r="X140" s="47"/>
      <c r="Y140" s="38">
        <v>152</v>
      </c>
      <c r="Z140" s="38">
        <v>1</v>
      </c>
    </row>
    <row r="141" spans="1:26" x14ac:dyDescent="0.35">
      <c r="A141" s="38">
        <v>185</v>
      </c>
      <c r="B141" s="38" t="s">
        <v>5</v>
      </c>
      <c r="C141" s="38" t="s">
        <v>10</v>
      </c>
      <c r="D141" s="38">
        <v>91001</v>
      </c>
      <c r="E141" s="39">
        <v>200025888808</v>
      </c>
      <c r="F141" s="39" t="s">
        <v>36</v>
      </c>
      <c r="G141" s="39">
        <v>43</v>
      </c>
      <c r="H141" s="40">
        <v>45799.560891203706</v>
      </c>
      <c r="I141" s="38">
        <v>12</v>
      </c>
      <c r="J141" s="38"/>
      <c r="K141" s="38"/>
      <c r="L141" s="38"/>
      <c r="M141" s="47"/>
      <c r="R141" s="38">
        <v>12</v>
      </c>
      <c r="S141" s="38">
        <v>8</v>
      </c>
      <c r="V141" s="38" t="s">
        <v>10</v>
      </c>
      <c r="W141" s="38">
        <v>91001</v>
      </c>
      <c r="X141" s="47"/>
      <c r="Y141" s="38">
        <v>153</v>
      </c>
      <c r="Z141" s="38">
        <v>0</v>
      </c>
    </row>
    <row r="142" spans="1:26" x14ac:dyDescent="0.35">
      <c r="A142" s="38">
        <v>186</v>
      </c>
      <c r="B142" s="38" t="s">
        <v>5</v>
      </c>
      <c r="C142" s="38" t="s">
        <v>10</v>
      </c>
      <c r="D142" s="38">
        <v>91001</v>
      </c>
      <c r="E142" s="39">
        <v>200025888808</v>
      </c>
      <c r="F142" s="39" t="s">
        <v>36</v>
      </c>
      <c r="G142" s="39">
        <v>43</v>
      </c>
      <c r="H142" s="40">
        <v>45799.560902777775</v>
      </c>
      <c r="I142" s="38">
        <v>12</v>
      </c>
      <c r="J142" s="38"/>
      <c r="K142" s="38"/>
      <c r="L142" s="38"/>
      <c r="M142" s="47"/>
      <c r="N142" s="40"/>
      <c r="O142" s="40"/>
      <c r="P142" s="46"/>
      <c r="Q142" s="46"/>
      <c r="R142" s="38">
        <v>12</v>
      </c>
      <c r="S142" s="38">
        <v>9</v>
      </c>
      <c r="V142" s="38" t="s">
        <v>10</v>
      </c>
      <c r="W142" s="38">
        <v>91001</v>
      </c>
      <c r="X142" s="47"/>
      <c r="Y142" s="38">
        <v>154</v>
      </c>
      <c r="Z142" s="38">
        <v>23</v>
      </c>
    </row>
    <row r="143" spans="1:26" x14ac:dyDescent="0.35">
      <c r="A143" s="38">
        <v>187</v>
      </c>
      <c r="B143" s="38" t="s">
        <v>5</v>
      </c>
      <c r="C143" s="38" t="s">
        <v>10</v>
      </c>
      <c r="D143" s="38">
        <v>91001</v>
      </c>
      <c r="E143" s="39">
        <v>200025888808</v>
      </c>
      <c r="F143" s="39" t="s">
        <v>36</v>
      </c>
      <c r="G143" s="39">
        <v>43</v>
      </c>
      <c r="H143" s="40">
        <v>45799.561180555553</v>
      </c>
      <c r="I143" s="38">
        <v>12</v>
      </c>
      <c r="J143" s="38"/>
      <c r="K143" s="38"/>
      <c r="L143" s="38"/>
      <c r="M143" s="47"/>
      <c r="R143" s="38">
        <v>12</v>
      </c>
      <c r="S143" s="38">
        <v>10</v>
      </c>
      <c r="V143" s="38" t="s">
        <v>10</v>
      </c>
      <c r="W143" s="38">
        <v>91001</v>
      </c>
      <c r="X143" s="47"/>
      <c r="Y143" s="38">
        <v>155</v>
      </c>
      <c r="Z143" s="38">
        <v>0</v>
      </c>
    </row>
    <row r="144" spans="1:26" x14ac:dyDescent="0.35">
      <c r="A144" s="38">
        <v>188</v>
      </c>
      <c r="B144" s="38" t="s">
        <v>5</v>
      </c>
      <c r="C144" s="38" t="s">
        <v>10</v>
      </c>
      <c r="D144" s="38">
        <v>91001</v>
      </c>
      <c r="E144" s="39">
        <v>200025888808</v>
      </c>
      <c r="F144" s="39" t="s">
        <v>36</v>
      </c>
      <c r="G144" s="39">
        <v>43</v>
      </c>
      <c r="H144" s="40">
        <v>45799.563923611109</v>
      </c>
      <c r="I144" s="38">
        <v>12</v>
      </c>
      <c r="J144" s="38"/>
      <c r="K144" s="38"/>
      <c r="L144" s="38"/>
      <c r="M144" s="47"/>
      <c r="R144" s="38">
        <v>12</v>
      </c>
      <c r="S144" s="38">
        <v>11</v>
      </c>
      <c r="V144" s="38" t="s">
        <v>10</v>
      </c>
      <c r="W144" s="38">
        <v>91001</v>
      </c>
      <c r="X144" s="47"/>
      <c r="Y144" s="38">
        <v>156</v>
      </c>
      <c r="Z144" s="38">
        <v>0</v>
      </c>
    </row>
    <row r="145" spans="1:26" x14ac:dyDescent="0.35">
      <c r="A145" s="38">
        <v>189</v>
      </c>
      <c r="B145" s="38" t="s">
        <v>5</v>
      </c>
      <c r="C145" s="38" t="s">
        <v>10</v>
      </c>
      <c r="D145" s="38">
        <v>91001</v>
      </c>
      <c r="E145" s="39">
        <v>200025888808</v>
      </c>
      <c r="F145" s="39" t="s">
        <v>36</v>
      </c>
      <c r="G145" s="39">
        <v>43</v>
      </c>
      <c r="H145" s="40">
        <v>45799.570648148147</v>
      </c>
      <c r="I145" s="38">
        <v>12</v>
      </c>
      <c r="J145" s="38"/>
      <c r="K145" s="38"/>
      <c r="L145" s="38"/>
      <c r="M145" s="47"/>
      <c r="R145" s="38">
        <v>12</v>
      </c>
      <c r="S145" s="38">
        <v>12</v>
      </c>
      <c r="V145" s="38" t="s">
        <v>10</v>
      </c>
      <c r="W145" s="38">
        <v>91001</v>
      </c>
      <c r="X145" s="47"/>
      <c r="Y145" s="38">
        <v>157</v>
      </c>
      <c r="Z145" s="38">
        <v>1</v>
      </c>
    </row>
    <row r="146" spans="1:26" x14ac:dyDescent="0.35">
      <c r="A146" s="38">
        <v>194</v>
      </c>
      <c r="B146" s="38" t="s">
        <v>5</v>
      </c>
      <c r="C146" s="38" t="s">
        <v>10</v>
      </c>
      <c r="D146" s="38">
        <v>91001</v>
      </c>
      <c r="E146" s="39">
        <v>200025888808</v>
      </c>
      <c r="F146" s="39" t="s">
        <v>36</v>
      </c>
      <c r="G146" s="39">
        <v>43</v>
      </c>
      <c r="H146" s="40">
        <v>45799.583252314813</v>
      </c>
      <c r="I146" s="38">
        <v>12</v>
      </c>
      <c r="J146" s="38"/>
      <c r="K146" s="38"/>
      <c r="L146" s="38"/>
      <c r="M146" s="47"/>
      <c r="N146" s="40">
        <v>45798.901967592596</v>
      </c>
      <c r="O146" s="40">
        <v>45799.583252314813</v>
      </c>
      <c r="P146" s="46">
        <f t="shared" ref="P146" si="5">(O146-N146)*24</f>
        <v>16.350833333213814</v>
      </c>
      <c r="Q146" s="46">
        <v>16.350833333213814</v>
      </c>
      <c r="R146" s="38">
        <v>12</v>
      </c>
      <c r="S146" s="38">
        <v>13</v>
      </c>
      <c r="T146" s="49" t="s">
        <v>53</v>
      </c>
      <c r="U146" s="38">
        <v>1</v>
      </c>
      <c r="V146" s="38" t="s">
        <v>10</v>
      </c>
      <c r="W146" s="38">
        <v>91001</v>
      </c>
      <c r="X146" s="47"/>
      <c r="Y146" s="38">
        <v>162</v>
      </c>
      <c r="Z146" s="38">
        <v>1</v>
      </c>
    </row>
    <row r="147" spans="1:26" x14ac:dyDescent="0.35">
      <c r="A147" s="38">
        <v>127</v>
      </c>
      <c r="B147" s="38" t="s">
        <v>5</v>
      </c>
      <c r="C147" s="38" t="s">
        <v>10</v>
      </c>
      <c r="D147" s="38">
        <v>91001</v>
      </c>
      <c r="E147" s="39">
        <v>200025888791</v>
      </c>
      <c r="F147" s="39" t="s">
        <v>19</v>
      </c>
      <c r="G147" s="39">
        <v>7</v>
      </c>
      <c r="H147" s="40">
        <v>45798.904317129629</v>
      </c>
      <c r="I147" s="38">
        <v>13</v>
      </c>
      <c r="J147" s="38"/>
      <c r="K147" s="38"/>
      <c r="L147" s="38"/>
      <c r="M147" s="47"/>
      <c r="R147" s="38">
        <v>13</v>
      </c>
      <c r="S147" s="38">
        <v>1</v>
      </c>
      <c r="V147" s="38" t="s">
        <v>10</v>
      </c>
      <c r="W147" s="38">
        <v>91001</v>
      </c>
      <c r="X147" s="47">
        <f>(H148-H147)*24</f>
        <v>2.7777784271165729E-4</v>
      </c>
      <c r="Y147" s="38">
        <v>95</v>
      </c>
      <c r="Z147" s="38">
        <v>0</v>
      </c>
    </row>
    <row r="148" spans="1:26" x14ac:dyDescent="0.35">
      <c r="A148" s="38">
        <v>128</v>
      </c>
      <c r="B148" s="38" t="s">
        <v>5</v>
      </c>
      <c r="C148" s="38" t="s">
        <v>10</v>
      </c>
      <c r="D148" s="38">
        <v>91001</v>
      </c>
      <c r="E148" s="39">
        <v>200025888791</v>
      </c>
      <c r="F148" s="39" t="s">
        <v>19</v>
      </c>
      <c r="G148" s="39">
        <v>7</v>
      </c>
      <c r="H148" s="40">
        <v>45798.904328703706</v>
      </c>
      <c r="I148" s="38">
        <v>13</v>
      </c>
      <c r="J148" s="38"/>
      <c r="K148" s="38"/>
      <c r="L148" s="38"/>
      <c r="M148" s="47"/>
      <c r="R148" s="38">
        <v>13</v>
      </c>
      <c r="S148" s="38">
        <v>2</v>
      </c>
      <c r="V148" s="38" t="s">
        <v>10</v>
      </c>
      <c r="W148" s="38">
        <v>91001</v>
      </c>
      <c r="X148" s="47"/>
      <c r="Y148" s="38">
        <v>96</v>
      </c>
      <c r="Z148" s="38">
        <v>15</v>
      </c>
    </row>
    <row r="149" spans="1:26" x14ac:dyDescent="0.35">
      <c r="A149" s="38">
        <v>129</v>
      </c>
      <c r="B149" s="38" t="s">
        <v>5</v>
      </c>
      <c r="C149" s="38" t="s">
        <v>10</v>
      </c>
      <c r="D149" s="38">
        <v>91001</v>
      </c>
      <c r="E149" s="39">
        <v>200025888791</v>
      </c>
      <c r="F149" s="39" t="s">
        <v>19</v>
      </c>
      <c r="G149" s="39">
        <v>7</v>
      </c>
      <c r="H149" s="40">
        <v>45798.904513888891</v>
      </c>
      <c r="I149" s="38">
        <v>13</v>
      </c>
      <c r="J149" s="38"/>
      <c r="K149" s="38"/>
      <c r="L149" s="38"/>
      <c r="M149" s="47"/>
      <c r="R149" s="38">
        <v>13</v>
      </c>
      <c r="S149" s="38">
        <v>3</v>
      </c>
      <c r="V149" s="38" t="s">
        <v>10</v>
      </c>
      <c r="W149" s="38">
        <v>91001</v>
      </c>
      <c r="X149" s="47"/>
      <c r="Y149" s="38">
        <v>97</v>
      </c>
      <c r="Z149" s="38">
        <v>0</v>
      </c>
    </row>
    <row r="150" spans="1:26" x14ac:dyDescent="0.35">
      <c r="A150" s="38">
        <v>130</v>
      </c>
      <c r="B150" s="38" t="s">
        <v>5</v>
      </c>
      <c r="C150" s="38" t="s">
        <v>10</v>
      </c>
      <c r="D150" s="38">
        <v>91001</v>
      </c>
      <c r="E150" s="39">
        <v>200025888791</v>
      </c>
      <c r="F150" s="39" t="s">
        <v>19</v>
      </c>
      <c r="G150" s="39">
        <v>7</v>
      </c>
      <c r="H150" s="40">
        <v>45798.90452546296</v>
      </c>
      <c r="I150" s="38">
        <v>13</v>
      </c>
      <c r="J150" s="38"/>
      <c r="K150" s="38"/>
      <c r="L150" s="38"/>
      <c r="M150" s="47"/>
      <c r="R150" s="38">
        <v>13</v>
      </c>
      <c r="S150" s="38">
        <v>4</v>
      </c>
      <c r="V150" s="38" t="s">
        <v>10</v>
      </c>
      <c r="W150" s="38">
        <v>91001</v>
      </c>
      <c r="X150" s="47"/>
      <c r="Y150" s="38">
        <v>98</v>
      </c>
      <c r="Z150" s="38">
        <v>24</v>
      </c>
    </row>
    <row r="151" spans="1:26" x14ac:dyDescent="0.35">
      <c r="A151" s="38">
        <v>131</v>
      </c>
      <c r="B151" s="38" t="s">
        <v>5</v>
      </c>
      <c r="C151" s="38" t="s">
        <v>10</v>
      </c>
      <c r="D151" s="38">
        <v>91001</v>
      </c>
      <c r="E151" s="39">
        <v>200025888791</v>
      </c>
      <c r="F151" s="39" t="s">
        <v>19</v>
      </c>
      <c r="G151" s="39">
        <v>7</v>
      </c>
      <c r="H151" s="40">
        <v>45798.904814814814</v>
      </c>
      <c r="I151" s="38">
        <v>13</v>
      </c>
      <c r="J151" s="38"/>
      <c r="K151" s="38"/>
      <c r="L151" s="38"/>
      <c r="M151" s="47"/>
      <c r="R151" s="38">
        <v>13</v>
      </c>
      <c r="S151" s="38">
        <v>5</v>
      </c>
      <c r="V151" s="38" t="s">
        <v>10</v>
      </c>
      <c r="W151" s="38">
        <v>91001</v>
      </c>
      <c r="X151" s="47"/>
      <c r="Y151" s="38">
        <v>99</v>
      </c>
      <c r="Z151" s="38">
        <v>2</v>
      </c>
    </row>
    <row r="152" spans="1:26" x14ac:dyDescent="0.35">
      <c r="A152" s="38">
        <v>132</v>
      </c>
      <c r="B152" s="38" t="s">
        <v>5</v>
      </c>
      <c r="C152" s="38" t="s">
        <v>10</v>
      </c>
      <c r="D152" s="38">
        <v>91001</v>
      </c>
      <c r="E152" s="39">
        <v>200025888791</v>
      </c>
      <c r="F152" s="39" t="s">
        <v>19</v>
      </c>
      <c r="G152" s="39">
        <v>7</v>
      </c>
      <c r="H152" s="40">
        <v>45798.905335648145</v>
      </c>
      <c r="I152" s="38">
        <v>13</v>
      </c>
      <c r="J152" s="38"/>
      <c r="K152" s="38"/>
      <c r="L152" s="38"/>
      <c r="M152" s="47"/>
      <c r="R152" s="38">
        <v>13</v>
      </c>
      <c r="S152" s="38">
        <v>6</v>
      </c>
      <c r="V152" s="38" t="s">
        <v>10</v>
      </c>
      <c r="W152" s="38">
        <v>91001</v>
      </c>
      <c r="X152" s="47"/>
      <c r="Y152" s="38">
        <v>100</v>
      </c>
      <c r="Z152" s="38">
        <v>158</v>
      </c>
    </row>
    <row r="153" spans="1:26" x14ac:dyDescent="0.35">
      <c r="A153" s="38">
        <v>140</v>
      </c>
      <c r="B153" s="38" t="s">
        <v>5</v>
      </c>
      <c r="C153" s="38" t="s">
        <v>10</v>
      </c>
      <c r="D153" s="38">
        <v>91001</v>
      </c>
      <c r="E153" s="39">
        <v>200025888791</v>
      </c>
      <c r="F153" s="39" t="s">
        <v>19</v>
      </c>
      <c r="G153" s="39">
        <v>7</v>
      </c>
      <c r="H153" s="40">
        <v>45799.027395833335</v>
      </c>
      <c r="I153" s="38">
        <v>13</v>
      </c>
      <c r="J153" s="38"/>
      <c r="K153" s="38"/>
      <c r="L153" s="38"/>
      <c r="M153" s="47"/>
      <c r="R153" s="38">
        <v>13</v>
      </c>
      <c r="S153" s="38">
        <v>7</v>
      </c>
      <c r="V153" s="38" t="s">
        <v>10</v>
      </c>
      <c r="W153" s="38">
        <v>91001</v>
      </c>
      <c r="X153" s="47"/>
      <c r="Y153" s="38">
        <v>108</v>
      </c>
      <c r="Z153" s="38">
        <v>1</v>
      </c>
    </row>
    <row r="154" spans="1:26" x14ac:dyDescent="0.35">
      <c r="A154" s="38">
        <v>146</v>
      </c>
      <c r="B154" s="38" t="s">
        <v>5</v>
      </c>
      <c r="C154" s="38" t="s">
        <v>10</v>
      </c>
      <c r="D154" s="38">
        <v>91001</v>
      </c>
      <c r="E154" s="39">
        <v>200025888791</v>
      </c>
      <c r="F154" s="39" t="s">
        <v>19</v>
      </c>
      <c r="G154" s="39">
        <v>7</v>
      </c>
      <c r="H154" s="40">
        <v>45799.084467592591</v>
      </c>
      <c r="I154" s="38">
        <v>13</v>
      </c>
      <c r="J154" s="38"/>
      <c r="K154" s="38"/>
      <c r="L154" s="38"/>
      <c r="M154" s="47"/>
      <c r="R154" s="38">
        <v>13</v>
      </c>
      <c r="S154" s="38">
        <v>8</v>
      </c>
      <c r="V154" s="38" t="s">
        <v>10</v>
      </c>
      <c r="W154" s="38">
        <v>91001</v>
      </c>
      <c r="X154" s="47"/>
      <c r="Y154" s="38">
        <v>114</v>
      </c>
      <c r="Z154" s="38">
        <v>0</v>
      </c>
    </row>
    <row r="155" spans="1:26" x14ac:dyDescent="0.35">
      <c r="A155" s="38">
        <v>173</v>
      </c>
      <c r="B155" s="38" t="s">
        <v>5</v>
      </c>
      <c r="C155" s="38" t="s">
        <v>10</v>
      </c>
      <c r="D155" s="38">
        <v>91001</v>
      </c>
      <c r="E155" s="39">
        <v>200025888791</v>
      </c>
      <c r="F155" s="39" t="s">
        <v>19</v>
      </c>
      <c r="G155" s="39">
        <v>7</v>
      </c>
      <c r="H155" s="40">
        <v>45799.405405092592</v>
      </c>
      <c r="I155" s="38">
        <v>13</v>
      </c>
      <c r="J155" s="38"/>
      <c r="K155" s="38"/>
      <c r="L155" s="38"/>
      <c r="M155" s="47"/>
      <c r="R155" s="38">
        <v>13</v>
      </c>
      <c r="S155" s="38">
        <v>9</v>
      </c>
      <c r="V155" s="38" t="s">
        <v>10</v>
      </c>
      <c r="W155" s="38">
        <v>91001</v>
      </c>
      <c r="X155" s="47"/>
      <c r="Y155" s="38">
        <v>141</v>
      </c>
      <c r="Z155" s="38">
        <v>0</v>
      </c>
    </row>
    <row r="156" spans="1:26" x14ac:dyDescent="0.35">
      <c r="A156" s="38">
        <v>174</v>
      </c>
      <c r="B156" s="38" t="s">
        <v>5</v>
      </c>
      <c r="C156" s="38" t="s">
        <v>10</v>
      </c>
      <c r="D156" s="38">
        <v>91001</v>
      </c>
      <c r="E156" s="39">
        <v>200025888791</v>
      </c>
      <c r="F156" s="39" t="s">
        <v>19</v>
      </c>
      <c r="G156" s="39">
        <v>7</v>
      </c>
      <c r="H156" s="40">
        <v>45799.405405092592</v>
      </c>
      <c r="I156" s="38">
        <v>13</v>
      </c>
      <c r="J156" s="38"/>
      <c r="K156" s="38"/>
      <c r="L156" s="38"/>
      <c r="M156" s="47"/>
      <c r="N156" s="40"/>
      <c r="O156" s="40"/>
      <c r="P156" s="46"/>
      <c r="Q156" s="46"/>
      <c r="R156" s="38">
        <v>13</v>
      </c>
      <c r="S156" s="38">
        <v>10</v>
      </c>
      <c r="V156" s="38" t="s">
        <v>10</v>
      </c>
      <c r="W156" s="38">
        <v>91001</v>
      </c>
      <c r="X156" s="47"/>
      <c r="Y156" s="38">
        <v>142</v>
      </c>
      <c r="Z156" s="38">
        <v>1</v>
      </c>
    </row>
    <row r="157" spans="1:26" x14ac:dyDescent="0.35">
      <c r="A157" s="38">
        <v>175</v>
      </c>
      <c r="B157" s="38" t="s">
        <v>5</v>
      </c>
      <c r="C157" s="38" t="s">
        <v>10</v>
      </c>
      <c r="D157" s="38">
        <v>91001</v>
      </c>
      <c r="E157" s="39">
        <v>200025888791</v>
      </c>
      <c r="F157" s="39" t="s">
        <v>19</v>
      </c>
      <c r="G157" s="39">
        <v>7</v>
      </c>
      <c r="H157" s="40">
        <v>45799.405416666668</v>
      </c>
      <c r="I157" s="38">
        <v>13</v>
      </c>
      <c r="J157" s="38"/>
      <c r="K157" s="38"/>
      <c r="L157" s="38"/>
      <c r="M157" s="47"/>
      <c r="N157" s="40">
        <v>45798.904317129629</v>
      </c>
      <c r="O157" s="40">
        <v>45799.405416666668</v>
      </c>
      <c r="P157" s="46">
        <f t="shared" ref="P157" si="6">(O157-N157)*24</f>
        <v>12.026388888945803</v>
      </c>
      <c r="Q157" s="47">
        <v>12.026388888945803</v>
      </c>
      <c r="R157" s="38">
        <v>13</v>
      </c>
      <c r="S157" s="38">
        <v>11</v>
      </c>
      <c r="T157" s="49" t="s">
        <v>53</v>
      </c>
      <c r="U157" s="38">
        <v>1</v>
      </c>
      <c r="V157" s="38" t="s">
        <v>10</v>
      </c>
      <c r="W157" s="38">
        <v>91001</v>
      </c>
      <c r="X157" s="47"/>
      <c r="Y157" s="38">
        <v>143</v>
      </c>
      <c r="Z157" s="38">
        <v>1306</v>
      </c>
    </row>
    <row r="158" spans="1:26" x14ac:dyDescent="0.35">
      <c r="A158" s="38">
        <v>30</v>
      </c>
      <c r="B158" s="41" t="s">
        <v>7</v>
      </c>
      <c r="C158" s="38" t="s">
        <v>12</v>
      </c>
      <c r="D158" s="42">
        <v>93202</v>
      </c>
      <c r="E158" s="39">
        <v>200025888868</v>
      </c>
      <c r="F158" s="39" t="s">
        <v>38</v>
      </c>
      <c r="G158" s="39">
        <v>44</v>
      </c>
      <c r="H158" s="40">
        <v>45798.908206018517</v>
      </c>
      <c r="I158" s="38">
        <v>14</v>
      </c>
      <c r="J158" s="38"/>
      <c r="K158" s="38"/>
      <c r="L158" s="38"/>
      <c r="M158" s="47"/>
      <c r="R158" s="38">
        <v>14</v>
      </c>
      <c r="S158" s="38">
        <v>1</v>
      </c>
      <c r="V158" s="38" t="s">
        <v>12</v>
      </c>
      <c r="W158" s="42">
        <v>93202</v>
      </c>
      <c r="X158" s="47">
        <f>(H159-H158)*24</f>
        <v>0.88499999995110556</v>
      </c>
      <c r="Y158" s="41">
        <v>3</v>
      </c>
      <c r="Z158" s="41">
        <v>0</v>
      </c>
    </row>
    <row r="159" spans="1:26" x14ac:dyDescent="0.35">
      <c r="A159" s="41">
        <v>33</v>
      </c>
      <c r="B159" s="41" t="s">
        <v>7</v>
      </c>
      <c r="C159" s="38" t="s">
        <v>12</v>
      </c>
      <c r="D159" s="42">
        <v>93202</v>
      </c>
      <c r="E159" s="39">
        <v>200025888868</v>
      </c>
      <c r="F159" s="39" t="s">
        <v>38</v>
      </c>
      <c r="G159" s="39">
        <v>44</v>
      </c>
      <c r="H159" s="40">
        <v>45798.945081018515</v>
      </c>
      <c r="I159" s="38">
        <v>14</v>
      </c>
      <c r="J159" s="38"/>
      <c r="K159" s="38"/>
      <c r="L159" s="38"/>
      <c r="M159" s="47"/>
      <c r="R159" s="38">
        <v>14</v>
      </c>
      <c r="S159" s="38">
        <v>2</v>
      </c>
      <c r="V159" s="38" t="s">
        <v>12</v>
      </c>
      <c r="W159" s="42">
        <v>93202</v>
      </c>
      <c r="X159" s="47"/>
      <c r="Y159" s="41">
        <v>6</v>
      </c>
      <c r="Z159" s="41">
        <v>0</v>
      </c>
    </row>
    <row r="160" spans="1:26" x14ac:dyDescent="0.35">
      <c r="A160" s="41">
        <v>34</v>
      </c>
      <c r="B160" s="41" t="s">
        <v>7</v>
      </c>
      <c r="C160" s="38" t="s">
        <v>12</v>
      </c>
      <c r="D160" s="42">
        <v>93202</v>
      </c>
      <c r="E160" s="39">
        <v>200025888868</v>
      </c>
      <c r="F160" s="39" t="s">
        <v>38</v>
      </c>
      <c r="G160" s="39">
        <v>44</v>
      </c>
      <c r="H160" s="40">
        <v>45799.227569444447</v>
      </c>
      <c r="I160" s="38">
        <v>14</v>
      </c>
      <c r="J160" s="38"/>
      <c r="K160" s="38"/>
      <c r="L160" s="38"/>
      <c r="M160" s="47"/>
      <c r="R160" s="38">
        <v>14</v>
      </c>
      <c r="S160" s="38">
        <v>3</v>
      </c>
      <c r="V160" s="38" t="s">
        <v>12</v>
      </c>
      <c r="W160" s="42">
        <v>93202</v>
      </c>
      <c r="X160" s="47"/>
      <c r="Y160" s="41">
        <v>7</v>
      </c>
      <c r="Z160" s="41">
        <v>0</v>
      </c>
    </row>
    <row r="161" spans="1:26" x14ac:dyDescent="0.35">
      <c r="A161" s="41">
        <v>166</v>
      </c>
      <c r="B161" s="38" t="s">
        <v>5</v>
      </c>
      <c r="C161" s="38" t="s">
        <v>10</v>
      </c>
      <c r="D161" s="38">
        <v>91001</v>
      </c>
      <c r="E161" s="39">
        <v>200025888868</v>
      </c>
      <c r="F161" s="39" t="s">
        <v>38</v>
      </c>
      <c r="G161" s="39">
        <v>44</v>
      </c>
      <c r="H161" s="40">
        <v>45799.257881944446</v>
      </c>
      <c r="I161" s="38">
        <v>14</v>
      </c>
      <c r="J161" s="38"/>
      <c r="K161" s="38"/>
      <c r="L161" s="38"/>
      <c r="M161" s="47"/>
      <c r="N161" s="40">
        <v>45798.908206018517</v>
      </c>
      <c r="O161" s="40">
        <v>45799.257881944446</v>
      </c>
      <c r="P161" s="46">
        <f t="shared" ref="P161:P162" si="7">(O161-N161)*24</f>
        <v>8.3922222222900018</v>
      </c>
      <c r="Q161" s="47">
        <v>8.3922222222900018</v>
      </c>
      <c r="R161" s="38">
        <v>14</v>
      </c>
      <c r="S161" s="38">
        <v>4</v>
      </c>
      <c r="T161" s="49" t="s">
        <v>52</v>
      </c>
      <c r="U161" s="38">
        <v>2</v>
      </c>
      <c r="V161" s="38" t="s">
        <v>10</v>
      </c>
      <c r="W161" s="38">
        <v>91001</v>
      </c>
      <c r="X161" s="47"/>
      <c r="Y161" s="38">
        <v>134</v>
      </c>
      <c r="Z161" s="38">
        <v>1</v>
      </c>
    </row>
    <row r="162" spans="1:26" x14ac:dyDescent="0.35">
      <c r="A162" s="38">
        <v>32</v>
      </c>
      <c r="B162" s="41" t="s">
        <v>7</v>
      </c>
      <c r="C162" s="38" t="s">
        <v>12</v>
      </c>
      <c r="D162" s="42">
        <v>93202</v>
      </c>
      <c r="E162" s="39">
        <v>200025888504</v>
      </c>
      <c r="F162" s="39" t="s">
        <v>27</v>
      </c>
      <c r="G162" s="39">
        <v>40</v>
      </c>
      <c r="H162" s="40">
        <v>45798.931296296294</v>
      </c>
      <c r="I162" s="38">
        <v>15</v>
      </c>
      <c r="J162" s="38"/>
      <c r="K162" s="38"/>
      <c r="L162" s="38"/>
      <c r="M162" s="47"/>
      <c r="N162" s="40">
        <v>45798.931296296294</v>
      </c>
      <c r="O162" s="40">
        <v>45798.931296296294</v>
      </c>
      <c r="P162" s="46">
        <f t="shared" si="7"/>
        <v>0</v>
      </c>
      <c r="Q162" s="47">
        <v>1</v>
      </c>
      <c r="R162" s="38">
        <v>15</v>
      </c>
      <c r="S162" s="38">
        <v>1</v>
      </c>
      <c r="V162" s="38" t="s">
        <v>12</v>
      </c>
      <c r="W162" s="42">
        <v>93202</v>
      </c>
      <c r="X162" s="47">
        <f t="shared" ref="X162:X163" si="8">(H163-H162)*24</f>
        <v>2.6230555556248873</v>
      </c>
      <c r="Y162" s="41">
        <v>5</v>
      </c>
      <c r="Z162" s="41">
        <v>0</v>
      </c>
    </row>
    <row r="163" spans="1:26" x14ac:dyDescent="0.35">
      <c r="A163" s="38">
        <v>141</v>
      </c>
      <c r="B163" s="38" t="s">
        <v>5</v>
      </c>
      <c r="C163" s="38" t="s">
        <v>10</v>
      </c>
      <c r="D163" s="38">
        <v>91001</v>
      </c>
      <c r="E163" s="39">
        <v>200025888216</v>
      </c>
      <c r="F163" s="39" t="s">
        <v>21</v>
      </c>
      <c r="G163" s="39">
        <v>33</v>
      </c>
      <c r="H163" s="40">
        <v>45799.040590277778</v>
      </c>
      <c r="I163" s="38">
        <v>16</v>
      </c>
      <c r="J163" s="38"/>
      <c r="K163" s="38"/>
      <c r="L163" s="38"/>
      <c r="M163" s="47"/>
      <c r="R163" s="38">
        <v>16</v>
      </c>
      <c r="S163" s="38">
        <v>1</v>
      </c>
      <c r="V163" s="38" t="s">
        <v>10</v>
      </c>
      <c r="W163" s="38">
        <v>91001</v>
      </c>
      <c r="X163" s="47">
        <f t="shared" si="8"/>
        <v>9.1188888889155351</v>
      </c>
      <c r="Y163" s="38">
        <v>109</v>
      </c>
      <c r="Z163" s="38">
        <v>0</v>
      </c>
    </row>
    <row r="164" spans="1:26" x14ac:dyDescent="0.35">
      <c r="A164" s="38">
        <v>176</v>
      </c>
      <c r="B164" s="38" t="s">
        <v>5</v>
      </c>
      <c r="C164" s="38" t="s">
        <v>10</v>
      </c>
      <c r="D164" s="38">
        <v>91001</v>
      </c>
      <c r="E164" s="39">
        <v>200025888216</v>
      </c>
      <c r="F164" s="39" t="s">
        <v>21</v>
      </c>
      <c r="G164" s="39">
        <v>33</v>
      </c>
      <c r="H164" s="40">
        <v>45799.420543981483</v>
      </c>
      <c r="I164" s="38">
        <v>16</v>
      </c>
      <c r="J164" s="38"/>
      <c r="K164" s="38"/>
      <c r="L164" s="38"/>
      <c r="M164" s="47"/>
      <c r="R164" s="38">
        <v>16</v>
      </c>
      <c r="S164" s="38">
        <v>2</v>
      </c>
      <c r="V164" s="38" t="s">
        <v>10</v>
      </c>
      <c r="W164" s="38">
        <v>91001</v>
      </c>
      <c r="X164" s="47"/>
      <c r="Y164" s="38">
        <v>144</v>
      </c>
      <c r="Z164" s="38">
        <v>0</v>
      </c>
    </row>
    <row r="165" spans="1:26" x14ac:dyDescent="0.35">
      <c r="A165" s="41">
        <v>197</v>
      </c>
      <c r="B165" s="41" t="s">
        <v>5</v>
      </c>
      <c r="C165" s="41" t="s">
        <v>10</v>
      </c>
      <c r="D165" s="41">
        <v>91001</v>
      </c>
      <c r="E165" s="39">
        <v>200025888216</v>
      </c>
      <c r="F165" s="39" t="s">
        <v>21</v>
      </c>
      <c r="G165" s="39">
        <v>33</v>
      </c>
      <c r="H165" s="40">
        <v>45799.70648148148</v>
      </c>
      <c r="I165" s="38">
        <v>16</v>
      </c>
      <c r="J165" s="38"/>
      <c r="K165" s="38"/>
      <c r="L165" s="38"/>
      <c r="M165" s="47"/>
      <c r="R165" s="38">
        <v>16</v>
      </c>
      <c r="S165" s="38">
        <v>3</v>
      </c>
      <c r="V165" s="41" t="s">
        <v>10</v>
      </c>
      <c r="W165" s="41">
        <v>91001</v>
      </c>
      <c r="X165" s="47"/>
      <c r="Y165" s="38">
        <v>165</v>
      </c>
      <c r="Z165" s="41">
        <v>0</v>
      </c>
    </row>
    <row r="166" spans="1:26" x14ac:dyDescent="0.35">
      <c r="A166" s="41">
        <v>205</v>
      </c>
      <c r="B166" s="41" t="s">
        <v>5</v>
      </c>
      <c r="C166" s="41" t="s">
        <v>10</v>
      </c>
      <c r="D166" s="41">
        <v>91001</v>
      </c>
      <c r="E166" s="39">
        <v>200025888216</v>
      </c>
      <c r="F166" s="39" t="s">
        <v>21</v>
      </c>
      <c r="G166" s="39">
        <v>33</v>
      </c>
      <c r="H166" s="40">
        <v>45799.801666666666</v>
      </c>
      <c r="I166" s="38">
        <v>16</v>
      </c>
      <c r="J166" s="38"/>
      <c r="K166" s="38"/>
      <c r="L166" s="38"/>
      <c r="M166" s="47"/>
      <c r="N166" s="40">
        <v>45799.040590277778</v>
      </c>
      <c r="O166" s="40">
        <v>45799.801666666666</v>
      </c>
      <c r="P166" s="46">
        <f t="shared" ref="P166" si="9">(O166-N166)*24</f>
        <v>18.265833333309274</v>
      </c>
      <c r="Q166" s="47">
        <v>18.265833333309274</v>
      </c>
      <c r="R166" s="38">
        <v>16</v>
      </c>
      <c r="S166" s="38">
        <v>4</v>
      </c>
      <c r="T166" s="49" t="s">
        <v>52</v>
      </c>
      <c r="U166" s="38">
        <v>2</v>
      </c>
      <c r="V166" s="41" t="s">
        <v>10</v>
      </c>
      <c r="W166" s="41">
        <v>91001</v>
      </c>
      <c r="X166" s="47"/>
      <c r="Y166" s="38">
        <v>173</v>
      </c>
      <c r="Z166" s="41">
        <v>1</v>
      </c>
    </row>
    <row r="167" spans="1:26" x14ac:dyDescent="0.35">
      <c r="A167" s="38">
        <v>142</v>
      </c>
      <c r="B167" s="38" t="s">
        <v>5</v>
      </c>
      <c r="C167" s="38" t="s">
        <v>10</v>
      </c>
      <c r="D167" s="38">
        <v>91001</v>
      </c>
      <c r="E167" s="39">
        <v>200025888812</v>
      </c>
      <c r="F167" s="39" t="s">
        <v>37</v>
      </c>
      <c r="G167" s="39">
        <v>49</v>
      </c>
      <c r="H167" s="40">
        <v>45799.046331018515</v>
      </c>
      <c r="I167" s="38">
        <v>17</v>
      </c>
      <c r="J167" s="38"/>
      <c r="K167" s="38"/>
      <c r="L167" s="38"/>
      <c r="M167" s="47"/>
      <c r="R167" s="38">
        <v>17</v>
      </c>
      <c r="S167" s="38">
        <v>1</v>
      </c>
      <c r="V167" s="38" t="s">
        <v>10</v>
      </c>
      <c r="W167" s="38">
        <v>91001</v>
      </c>
      <c r="X167" s="47">
        <f>(H168-H167)*24</f>
        <v>8.6111112032085657E-3</v>
      </c>
      <c r="Y167" s="38">
        <v>110</v>
      </c>
      <c r="Z167" s="38">
        <v>0</v>
      </c>
    </row>
    <row r="168" spans="1:26" x14ac:dyDescent="0.35">
      <c r="A168" s="38">
        <v>143</v>
      </c>
      <c r="B168" s="38" t="s">
        <v>5</v>
      </c>
      <c r="C168" s="38" t="s">
        <v>10</v>
      </c>
      <c r="D168" s="38">
        <v>91001</v>
      </c>
      <c r="E168" s="39">
        <v>200025888812</v>
      </c>
      <c r="F168" s="39" t="s">
        <v>37</v>
      </c>
      <c r="G168" s="39">
        <v>49</v>
      </c>
      <c r="H168" s="40">
        <v>45799.046689814815</v>
      </c>
      <c r="I168" s="38">
        <v>17</v>
      </c>
      <c r="J168" s="38"/>
      <c r="K168" s="38"/>
      <c r="L168" s="38"/>
      <c r="M168" s="47"/>
      <c r="R168" s="38">
        <v>17</v>
      </c>
      <c r="S168" s="38">
        <v>2</v>
      </c>
      <c r="V168" s="38" t="s">
        <v>10</v>
      </c>
      <c r="W168" s="38">
        <v>91001</v>
      </c>
      <c r="X168" s="47"/>
      <c r="Y168" s="38">
        <v>111</v>
      </c>
      <c r="Z168" s="38">
        <v>0</v>
      </c>
    </row>
    <row r="169" spans="1:26" x14ac:dyDescent="0.35">
      <c r="A169" s="38">
        <v>181</v>
      </c>
      <c r="B169" s="38" t="s">
        <v>5</v>
      </c>
      <c r="C169" s="38" t="s">
        <v>10</v>
      </c>
      <c r="D169" s="38">
        <v>91001</v>
      </c>
      <c r="E169" s="39">
        <v>200025888812</v>
      </c>
      <c r="F169" s="39" t="s">
        <v>37</v>
      </c>
      <c r="G169" s="39">
        <v>49</v>
      </c>
      <c r="H169" s="40">
        <v>45799.499143518522</v>
      </c>
      <c r="I169" s="38">
        <v>17</v>
      </c>
      <c r="J169" s="38"/>
      <c r="K169" s="38"/>
      <c r="L169" s="38"/>
      <c r="M169" s="47"/>
      <c r="R169" s="38">
        <v>17</v>
      </c>
      <c r="S169" s="38">
        <v>3</v>
      </c>
      <c r="V169" s="38" t="s">
        <v>10</v>
      </c>
      <c r="W169" s="38">
        <v>91001</v>
      </c>
      <c r="X169" s="47"/>
      <c r="Y169" s="38">
        <v>149</v>
      </c>
      <c r="Z169" s="38">
        <v>1</v>
      </c>
    </row>
    <row r="170" spans="1:26" x14ac:dyDescent="0.35">
      <c r="A170" s="38">
        <v>182</v>
      </c>
      <c r="B170" s="38" t="s">
        <v>5</v>
      </c>
      <c r="C170" s="38" t="s">
        <v>10</v>
      </c>
      <c r="D170" s="38">
        <v>91001</v>
      </c>
      <c r="E170" s="39">
        <v>200025888812</v>
      </c>
      <c r="F170" s="39" t="s">
        <v>37</v>
      </c>
      <c r="G170" s="39">
        <v>49</v>
      </c>
      <c r="H170" s="40">
        <v>45799.499155092592</v>
      </c>
      <c r="I170" s="38">
        <v>17</v>
      </c>
      <c r="J170" s="38"/>
      <c r="K170" s="38"/>
      <c r="L170" s="38"/>
      <c r="M170" s="47"/>
      <c r="N170" s="40"/>
      <c r="O170" s="40"/>
      <c r="P170" s="46"/>
      <c r="Q170" s="46"/>
      <c r="R170" s="38">
        <v>17</v>
      </c>
      <c r="S170" s="38">
        <v>4</v>
      </c>
      <c r="V170" s="38" t="s">
        <v>10</v>
      </c>
      <c r="W170" s="38">
        <v>91001</v>
      </c>
      <c r="X170" s="47"/>
      <c r="Y170" s="38">
        <v>150</v>
      </c>
      <c r="Z170" s="38">
        <v>0</v>
      </c>
    </row>
    <row r="171" spans="1:26" x14ac:dyDescent="0.35">
      <c r="A171" s="38">
        <v>190</v>
      </c>
      <c r="B171" s="38" t="s">
        <v>5</v>
      </c>
      <c r="C171" s="38" t="s">
        <v>10</v>
      </c>
      <c r="D171" s="38">
        <v>91001</v>
      </c>
      <c r="E171" s="39">
        <v>200025888812</v>
      </c>
      <c r="F171" s="39" t="s">
        <v>37</v>
      </c>
      <c r="G171" s="39">
        <v>49</v>
      </c>
      <c r="H171" s="40">
        <v>45799.5783912037</v>
      </c>
      <c r="I171" s="38">
        <v>17</v>
      </c>
      <c r="J171" s="38"/>
      <c r="K171" s="38"/>
      <c r="L171" s="38"/>
      <c r="M171" s="47"/>
      <c r="R171" s="38">
        <v>17</v>
      </c>
      <c r="S171" s="38">
        <v>5</v>
      </c>
      <c r="V171" s="38" t="s">
        <v>10</v>
      </c>
      <c r="W171" s="38">
        <v>91001</v>
      </c>
      <c r="X171" s="47"/>
      <c r="Y171" s="38">
        <v>158</v>
      </c>
      <c r="Z171" s="38">
        <v>1</v>
      </c>
    </row>
    <row r="172" spans="1:26" x14ac:dyDescent="0.35">
      <c r="A172" s="38">
        <v>191</v>
      </c>
      <c r="B172" s="38" t="s">
        <v>5</v>
      </c>
      <c r="C172" s="38" t="s">
        <v>10</v>
      </c>
      <c r="D172" s="38">
        <v>91001</v>
      </c>
      <c r="E172" s="39">
        <v>200025888812</v>
      </c>
      <c r="F172" s="39" t="s">
        <v>37</v>
      </c>
      <c r="G172" s="39">
        <v>49</v>
      </c>
      <c r="H172" s="40">
        <v>45799.578553240739</v>
      </c>
      <c r="I172" s="38">
        <v>17</v>
      </c>
      <c r="J172" s="38"/>
      <c r="K172" s="38"/>
      <c r="L172" s="38"/>
      <c r="M172" s="47"/>
      <c r="R172" s="38">
        <v>17</v>
      </c>
      <c r="S172" s="38">
        <v>6</v>
      </c>
      <c r="V172" s="38" t="s">
        <v>10</v>
      </c>
      <c r="W172" s="38">
        <v>91001</v>
      </c>
      <c r="X172" s="47"/>
      <c r="Y172" s="38">
        <v>159</v>
      </c>
      <c r="Z172" s="38">
        <v>0</v>
      </c>
    </row>
    <row r="173" spans="1:26" x14ac:dyDescent="0.35">
      <c r="A173" s="38">
        <v>192</v>
      </c>
      <c r="B173" s="38" t="s">
        <v>5</v>
      </c>
      <c r="C173" s="38" t="s">
        <v>10</v>
      </c>
      <c r="D173" s="38">
        <v>91001</v>
      </c>
      <c r="E173" s="39">
        <v>200025888812</v>
      </c>
      <c r="F173" s="39" t="s">
        <v>37</v>
      </c>
      <c r="G173" s="39">
        <v>49</v>
      </c>
      <c r="H173" s="40">
        <v>45799.578726851854</v>
      </c>
      <c r="I173" s="38">
        <v>17</v>
      </c>
      <c r="J173" s="38"/>
      <c r="K173" s="38"/>
      <c r="L173" s="38"/>
      <c r="M173" s="47"/>
      <c r="R173" s="38">
        <v>17</v>
      </c>
      <c r="S173" s="38">
        <v>7</v>
      </c>
      <c r="V173" s="38" t="s">
        <v>10</v>
      </c>
      <c r="W173" s="38">
        <v>91001</v>
      </c>
      <c r="X173" s="47"/>
      <c r="Y173" s="38">
        <v>160</v>
      </c>
      <c r="Z173" s="38">
        <v>0</v>
      </c>
    </row>
    <row r="174" spans="1:26" x14ac:dyDescent="0.35">
      <c r="A174" s="38">
        <v>193</v>
      </c>
      <c r="B174" s="38" t="s">
        <v>5</v>
      </c>
      <c r="C174" s="38" t="s">
        <v>10</v>
      </c>
      <c r="D174" s="38">
        <v>91001</v>
      </c>
      <c r="E174" s="39">
        <v>200025888812</v>
      </c>
      <c r="F174" s="39" t="s">
        <v>37</v>
      </c>
      <c r="G174" s="39">
        <v>49</v>
      </c>
      <c r="H174" s="40">
        <v>45799.578738425924</v>
      </c>
      <c r="I174" s="38">
        <v>17</v>
      </c>
      <c r="J174" s="38"/>
      <c r="K174" s="38"/>
      <c r="L174" s="38"/>
      <c r="M174" s="47"/>
      <c r="N174" s="40">
        <v>45799.046331018515</v>
      </c>
      <c r="O174" s="40">
        <v>45799.578738425924</v>
      </c>
      <c r="P174" s="46">
        <f t="shared" ref="P174:P176" si="10">(O174-N174)*24</f>
        <v>12.777777777810115</v>
      </c>
      <c r="Q174" s="47">
        <v>12.777777777810115</v>
      </c>
      <c r="R174" s="38">
        <v>17</v>
      </c>
      <c r="S174" s="38">
        <v>8</v>
      </c>
      <c r="T174" s="49" t="s">
        <v>53</v>
      </c>
      <c r="U174" s="38">
        <v>1</v>
      </c>
      <c r="V174" s="38" t="s">
        <v>10</v>
      </c>
      <c r="W174" s="38">
        <v>91001</v>
      </c>
      <c r="X174" s="47"/>
      <c r="Y174" s="38">
        <v>161</v>
      </c>
      <c r="Z174" s="38">
        <v>0</v>
      </c>
    </row>
    <row r="175" spans="1:26" x14ac:dyDescent="0.35">
      <c r="A175" s="38">
        <v>144</v>
      </c>
      <c r="B175" s="38" t="s">
        <v>5</v>
      </c>
      <c r="C175" s="38" t="s">
        <v>10</v>
      </c>
      <c r="D175" s="38">
        <v>91001</v>
      </c>
      <c r="E175" s="39">
        <v>200025888272</v>
      </c>
      <c r="F175" s="39" t="s">
        <v>23</v>
      </c>
      <c r="G175" s="39">
        <v>11</v>
      </c>
      <c r="H175" s="40">
        <v>45799.076701388891</v>
      </c>
      <c r="I175" s="38">
        <v>18</v>
      </c>
      <c r="J175" s="38"/>
      <c r="K175" s="38"/>
      <c r="L175" s="38"/>
      <c r="M175" s="47"/>
      <c r="R175" s="38">
        <v>18</v>
      </c>
      <c r="S175" s="38">
        <v>1</v>
      </c>
      <c r="V175" s="38" t="s">
        <v>10</v>
      </c>
      <c r="W175" s="38">
        <v>91001</v>
      </c>
      <c r="X175" s="47">
        <f>(H176-H175)*24</f>
        <v>0</v>
      </c>
      <c r="Y175" s="38">
        <v>112</v>
      </c>
      <c r="Z175" s="38">
        <v>0</v>
      </c>
    </row>
    <row r="176" spans="1:26" x14ac:dyDescent="0.35">
      <c r="A176" s="38">
        <v>145</v>
      </c>
      <c r="B176" s="38" t="s">
        <v>5</v>
      </c>
      <c r="C176" s="38" t="s">
        <v>10</v>
      </c>
      <c r="D176" s="38">
        <v>91001</v>
      </c>
      <c r="E176" s="39">
        <v>200025888272</v>
      </c>
      <c r="F176" s="39" t="s">
        <v>23</v>
      </c>
      <c r="G176" s="39">
        <v>11</v>
      </c>
      <c r="H176" s="40">
        <v>45799.076701388891</v>
      </c>
      <c r="I176" s="38">
        <v>18</v>
      </c>
      <c r="J176" s="38"/>
      <c r="K176" s="38"/>
      <c r="L176" s="38"/>
      <c r="M176" s="47"/>
      <c r="N176" s="40">
        <v>45799.076701388891</v>
      </c>
      <c r="O176" s="40">
        <v>45799.076701388891</v>
      </c>
      <c r="P176" s="46">
        <f t="shared" si="10"/>
        <v>0</v>
      </c>
      <c r="Q176" s="47">
        <v>1</v>
      </c>
      <c r="R176" s="38">
        <v>18</v>
      </c>
      <c r="S176" s="38">
        <v>2</v>
      </c>
      <c r="T176" s="49" t="s">
        <v>53</v>
      </c>
      <c r="U176" s="38">
        <v>1</v>
      </c>
      <c r="V176" s="38" t="s">
        <v>10</v>
      </c>
      <c r="W176" s="38">
        <v>91001</v>
      </c>
      <c r="X176" s="47"/>
      <c r="Y176" s="38">
        <v>113</v>
      </c>
      <c r="Z176" s="38">
        <v>1</v>
      </c>
    </row>
    <row r="177" spans="1:26" x14ac:dyDescent="0.35">
      <c r="A177" s="38">
        <v>147</v>
      </c>
      <c r="B177" s="38" t="s">
        <v>5</v>
      </c>
      <c r="C177" s="38" t="s">
        <v>10</v>
      </c>
      <c r="D177" s="38">
        <v>91001</v>
      </c>
      <c r="E177" s="39">
        <v>200025888271</v>
      </c>
      <c r="F177" s="39" t="s">
        <v>25</v>
      </c>
      <c r="G177" s="39">
        <v>17</v>
      </c>
      <c r="H177" s="40">
        <v>45799.101458333331</v>
      </c>
      <c r="I177" s="38">
        <v>19</v>
      </c>
      <c r="J177" s="38"/>
      <c r="K177" s="38"/>
      <c r="L177" s="38"/>
      <c r="M177" s="47"/>
      <c r="R177" s="38">
        <v>19</v>
      </c>
      <c r="S177" s="38">
        <v>1</v>
      </c>
      <c r="V177" s="38" t="s">
        <v>10</v>
      </c>
      <c r="W177" s="38">
        <v>91001</v>
      </c>
      <c r="X177" s="47">
        <f>(H178-H177)*24</f>
        <v>2.7777784271165729E-4</v>
      </c>
      <c r="Y177" s="38">
        <v>115</v>
      </c>
      <c r="Z177" s="38">
        <v>1</v>
      </c>
    </row>
    <row r="178" spans="1:26" x14ac:dyDescent="0.35">
      <c r="A178" s="38">
        <v>148</v>
      </c>
      <c r="B178" s="38" t="s">
        <v>5</v>
      </c>
      <c r="C178" s="38" t="s">
        <v>10</v>
      </c>
      <c r="D178" s="38">
        <v>91001</v>
      </c>
      <c r="E178" s="39">
        <v>200025888271</v>
      </c>
      <c r="F178" s="39" t="s">
        <v>25</v>
      </c>
      <c r="G178" s="39">
        <v>17</v>
      </c>
      <c r="H178" s="40">
        <v>45799.101469907408</v>
      </c>
      <c r="I178" s="38">
        <v>19</v>
      </c>
      <c r="J178" s="38"/>
      <c r="K178" s="38"/>
      <c r="L178" s="38"/>
      <c r="M178" s="47"/>
      <c r="R178" s="38">
        <v>19</v>
      </c>
      <c r="S178" s="38">
        <v>2</v>
      </c>
      <c r="V178" s="38" t="s">
        <v>10</v>
      </c>
      <c r="W178" s="38">
        <v>91001</v>
      </c>
      <c r="X178" s="47"/>
      <c r="Y178" s="38">
        <v>116</v>
      </c>
      <c r="Z178" s="38">
        <v>1</v>
      </c>
    </row>
    <row r="179" spans="1:26" x14ac:dyDescent="0.35">
      <c r="A179" s="38">
        <v>164</v>
      </c>
      <c r="B179" s="38" t="s">
        <v>5</v>
      </c>
      <c r="C179" s="38" t="s">
        <v>10</v>
      </c>
      <c r="D179" s="38">
        <v>91001</v>
      </c>
      <c r="E179" s="39">
        <v>200025888271</v>
      </c>
      <c r="F179" s="39" t="s">
        <v>25</v>
      </c>
      <c r="G179" s="39">
        <v>17</v>
      </c>
      <c r="H179" s="40">
        <v>45799.254386574074</v>
      </c>
      <c r="I179" s="38">
        <v>19</v>
      </c>
      <c r="J179" s="38"/>
      <c r="K179" s="38"/>
      <c r="L179" s="38"/>
      <c r="M179" s="47"/>
      <c r="R179" s="38">
        <v>19</v>
      </c>
      <c r="S179" s="38">
        <v>3</v>
      </c>
      <c r="V179" s="38" t="s">
        <v>10</v>
      </c>
      <c r="W179" s="38">
        <v>91001</v>
      </c>
      <c r="X179" s="47"/>
      <c r="Y179" s="38">
        <v>132</v>
      </c>
      <c r="Z179" s="38">
        <v>1</v>
      </c>
    </row>
    <row r="180" spans="1:26" x14ac:dyDescent="0.35">
      <c r="A180" s="41">
        <v>201</v>
      </c>
      <c r="B180" s="41" t="s">
        <v>5</v>
      </c>
      <c r="C180" s="41" t="s">
        <v>10</v>
      </c>
      <c r="D180" s="41">
        <v>91001</v>
      </c>
      <c r="E180" s="39">
        <v>200025888271</v>
      </c>
      <c r="F180" s="39" t="s">
        <v>25</v>
      </c>
      <c r="G180" s="39">
        <v>17</v>
      </c>
      <c r="H180" s="40">
        <v>45799.750428240739</v>
      </c>
      <c r="I180" s="38">
        <v>19</v>
      </c>
      <c r="J180" s="38"/>
      <c r="K180" s="38"/>
      <c r="L180" s="38"/>
      <c r="M180" s="47"/>
      <c r="R180" s="38">
        <v>19</v>
      </c>
      <c r="S180" s="38">
        <v>4</v>
      </c>
      <c r="V180" s="41" t="s">
        <v>10</v>
      </c>
      <c r="W180" s="41">
        <v>91001</v>
      </c>
      <c r="X180" s="47"/>
      <c r="Y180" s="38">
        <v>169</v>
      </c>
      <c r="Z180" s="41">
        <v>2</v>
      </c>
    </row>
    <row r="181" spans="1:26" x14ac:dyDescent="0.35">
      <c r="A181" s="41">
        <v>202</v>
      </c>
      <c r="B181" s="41" t="s">
        <v>5</v>
      </c>
      <c r="C181" s="41" t="s">
        <v>10</v>
      </c>
      <c r="D181" s="41">
        <v>91001</v>
      </c>
      <c r="E181" s="39">
        <v>200025888271</v>
      </c>
      <c r="F181" s="39" t="s">
        <v>25</v>
      </c>
      <c r="G181" s="39">
        <v>17</v>
      </c>
      <c r="H181" s="40">
        <v>45799.750613425924</v>
      </c>
      <c r="I181" s="38">
        <v>19</v>
      </c>
      <c r="J181" s="38"/>
      <c r="K181" s="38"/>
      <c r="L181" s="38"/>
      <c r="M181" s="47"/>
      <c r="N181" s="40">
        <v>45799.101458333331</v>
      </c>
      <c r="O181" s="40">
        <v>45799.750613425924</v>
      </c>
      <c r="P181" s="46">
        <f t="shared" ref="P181" si="11">(O181-N181)*24</f>
        <v>15.579722222231794</v>
      </c>
      <c r="Q181" s="47">
        <v>15.579722222231794</v>
      </c>
      <c r="R181" s="38">
        <v>19</v>
      </c>
      <c r="S181" s="38">
        <v>5</v>
      </c>
      <c r="T181" s="49" t="s">
        <v>53</v>
      </c>
      <c r="U181" s="38">
        <v>1</v>
      </c>
      <c r="V181" s="41" t="s">
        <v>10</v>
      </c>
      <c r="W181" s="41">
        <v>91001</v>
      </c>
      <c r="X181" s="47"/>
      <c r="Y181" s="38">
        <v>170</v>
      </c>
      <c r="Z181" s="41">
        <v>1</v>
      </c>
    </row>
    <row r="182" spans="1:26" x14ac:dyDescent="0.35">
      <c r="A182" s="38">
        <v>149</v>
      </c>
      <c r="B182" s="38" t="s">
        <v>5</v>
      </c>
      <c r="C182" s="38" t="s">
        <v>10</v>
      </c>
      <c r="D182" s="38">
        <v>91001</v>
      </c>
      <c r="E182" s="39">
        <v>200025888608</v>
      </c>
      <c r="F182" s="39" t="s">
        <v>29</v>
      </c>
      <c r="G182" s="39">
        <v>38</v>
      </c>
      <c r="H182" s="40">
        <v>45799.129664351851</v>
      </c>
      <c r="I182" s="38">
        <v>20</v>
      </c>
      <c r="J182" s="38"/>
      <c r="K182" s="38"/>
      <c r="L182" s="38"/>
      <c r="M182" s="47"/>
      <c r="R182" s="38">
        <v>20</v>
      </c>
      <c r="S182" s="38">
        <v>1</v>
      </c>
      <c r="V182" s="38" t="s">
        <v>10</v>
      </c>
      <c r="W182" s="38">
        <v>91001</v>
      </c>
      <c r="X182" s="51">
        <f>(H183-H182)*24</f>
        <v>16.712777777749579</v>
      </c>
      <c r="Y182" s="38">
        <v>117</v>
      </c>
      <c r="Z182" s="38">
        <v>1</v>
      </c>
    </row>
    <row r="183" spans="1:26" x14ac:dyDescent="0.35">
      <c r="A183" s="41">
        <v>210</v>
      </c>
      <c r="B183" s="41" t="s">
        <v>5</v>
      </c>
      <c r="C183" s="41" t="s">
        <v>10</v>
      </c>
      <c r="D183" s="41">
        <v>91001</v>
      </c>
      <c r="E183" s="39">
        <v>200025888608</v>
      </c>
      <c r="F183" s="39" t="s">
        <v>29</v>
      </c>
      <c r="G183" s="39">
        <v>38</v>
      </c>
      <c r="H183" s="40">
        <v>45799.82603009259</v>
      </c>
      <c r="I183" s="38">
        <v>20</v>
      </c>
      <c r="J183" s="38"/>
      <c r="K183" s="38"/>
      <c r="L183" s="38"/>
      <c r="M183" s="47"/>
      <c r="R183" s="38">
        <v>20</v>
      </c>
      <c r="S183" s="38">
        <v>2</v>
      </c>
      <c r="V183" s="41" t="s">
        <v>10</v>
      </c>
      <c r="W183" s="41">
        <v>91001</v>
      </c>
      <c r="X183" s="47"/>
      <c r="Y183" s="38">
        <v>178</v>
      </c>
      <c r="Z183" s="41">
        <v>0</v>
      </c>
    </row>
    <row r="184" spans="1:26" x14ac:dyDescent="0.35">
      <c r="A184" s="41">
        <v>211</v>
      </c>
      <c r="B184" s="41" t="s">
        <v>5</v>
      </c>
      <c r="C184" s="41" t="s">
        <v>10</v>
      </c>
      <c r="D184" s="41">
        <v>91001</v>
      </c>
      <c r="E184" s="39">
        <v>200025888608</v>
      </c>
      <c r="F184" s="39" t="s">
        <v>29</v>
      </c>
      <c r="G184" s="39">
        <v>38</v>
      </c>
      <c r="H184" s="40">
        <v>45799.831377314818</v>
      </c>
      <c r="I184" s="38">
        <v>20</v>
      </c>
      <c r="J184" s="38"/>
      <c r="K184" s="38"/>
      <c r="L184" s="38"/>
      <c r="M184" s="47"/>
      <c r="R184" s="38">
        <v>20</v>
      </c>
      <c r="S184" s="38">
        <v>3</v>
      </c>
      <c r="V184" s="41" t="s">
        <v>10</v>
      </c>
      <c r="W184" s="41">
        <v>91001</v>
      </c>
      <c r="X184" s="47"/>
      <c r="Y184" s="38">
        <v>179</v>
      </c>
      <c r="Z184" s="41">
        <v>1</v>
      </c>
    </row>
    <row r="185" spans="1:26" x14ac:dyDescent="0.35">
      <c r="A185" s="41">
        <v>212</v>
      </c>
      <c r="B185" s="41" t="s">
        <v>5</v>
      </c>
      <c r="C185" s="41" t="s">
        <v>10</v>
      </c>
      <c r="D185" s="41">
        <v>91001</v>
      </c>
      <c r="E185" s="39">
        <v>200025888608</v>
      </c>
      <c r="F185" s="39" t="s">
        <v>29</v>
      </c>
      <c r="G185" s="39">
        <v>38</v>
      </c>
      <c r="H185" s="40">
        <v>45799.831400462965</v>
      </c>
      <c r="I185" s="38">
        <v>20</v>
      </c>
      <c r="J185" s="38"/>
      <c r="K185" s="38"/>
      <c r="L185" s="38"/>
      <c r="M185" s="47"/>
      <c r="R185" s="38">
        <v>20</v>
      </c>
      <c r="S185" s="38">
        <v>4</v>
      </c>
      <c r="V185" s="41" t="s">
        <v>10</v>
      </c>
      <c r="W185" s="41">
        <v>91001</v>
      </c>
      <c r="X185" s="47"/>
      <c r="Y185" s="38">
        <v>180</v>
      </c>
      <c r="Z185" s="41">
        <v>1</v>
      </c>
    </row>
    <row r="186" spans="1:26" x14ac:dyDescent="0.35">
      <c r="A186" s="41">
        <v>213</v>
      </c>
      <c r="B186" s="41" t="s">
        <v>5</v>
      </c>
      <c r="C186" s="41" t="s">
        <v>10</v>
      </c>
      <c r="D186" s="41">
        <v>91001</v>
      </c>
      <c r="E186" s="39">
        <v>200025888608</v>
      </c>
      <c r="F186" s="39" t="s">
        <v>29</v>
      </c>
      <c r="G186" s="39">
        <v>38</v>
      </c>
      <c r="H186" s="40">
        <v>45799.834745370368</v>
      </c>
      <c r="I186" s="38">
        <v>20</v>
      </c>
      <c r="J186" s="40">
        <v>45799.129664351851</v>
      </c>
      <c r="K186" s="40">
        <v>45799.834745370368</v>
      </c>
      <c r="L186" s="46">
        <f t="shared" ref="L186" si="12">(K186-J186)*24</f>
        <v>16.921944444417022</v>
      </c>
      <c r="M186" s="47">
        <v>16.921944444417022</v>
      </c>
      <c r="N186" s="40">
        <v>45799.82603009259</v>
      </c>
      <c r="O186" s="40">
        <v>45799.834745370368</v>
      </c>
      <c r="P186" s="46">
        <f t="shared" ref="P186" si="13">(O186-N186)*24</f>
        <v>0.20916666666744277</v>
      </c>
      <c r="Q186" s="47">
        <v>1</v>
      </c>
      <c r="R186" s="38">
        <v>20</v>
      </c>
      <c r="S186" s="38">
        <v>5</v>
      </c>
      <c r="T186" s="49" t="s">
        <v>53</v>
      </c>
      <c r="U186" s="38">
        <v>1</v>
      </c>
      <c r="V186" s="41" t="s">
        <v>10</v>
      </c>
      <c r="W186" s="41">
        <v>91001</v>
      </c>
      <c r="X186" s="47"/>
      <c r="Y186" s="38">
        <v>181</v>
      </c>
      <c r="Z186" s="41">
        <v>0</v>
      </c>
    </row>
    <row r="187" spans="1:26" x14ac:dyDescent="0.35">
      <c r="A187" s="38">
        <v>172</v>
      </c>
      <c r="B187" s="38" t="s">
        <v>5</v>
      </c>
      <c r="C187" s="38" t="s">
        <v>10</v>
      </c>
      <c r="D187" s="38">
        <v>91001</v>
      </c>
      <c r="E187" s="39">
        <v>200025888235</v>
      </c>
      <c r="F187" s="39" t="s">
        <v>22</v>
      </c>
      <c r="G187" s="39">
        <v>22</v>
      </c>
      <c r="H187" s="40">
        <v>45799.332499999997</v>
      </c>
      <c r="I187" s="38">
        <v>21</v>
      </c>
      <c r="J187" s="38"/>
      <c r="K187" s="38"/>
      <c r="L187" s="38"/>
      <c r="M187" s="47"/>
      <c r="R187" s="38">
        <v>21</v>
      </c>
      <c r="S187" s="38">
        <v>1</v>
      </c>
      <c r="V187" s="38" t="s">
        <v>10</v>
      </c>
      <c r="W187" s="38">
        <v>91001</v>
      </c>
      <c r="X187" s="47">
        <f>(H188-H187)*24</f>
        <v>2.5913888888899237</v>
      </c>
      <c r="Y187" s="38">
        <v>140</v>
      </c>
      <c r="Z187" s="38">
        <v>1</v>
      </c>
    </row>
    <row r="188" spans="1:26" x14ac:dyDescent="0.35">
      <c r="A188" s="38">
        <v>177</v>
      </c>
      <c r="B188" s="38" t="s">
        <v>5</v>
      </c>
      <c r="C188" s="38" t="s">
        <v>10</v>
      </c>
      <c r="D188" s="38">
        <v>91001</v>
      </c>
      <c r="E188" s="39">
        <v>200025888235</v>
      </c>
      <c r="F188" s="39" t="s">
        <v>22</v>
      </c>
      <c r="G188" s="39">
        <v>22</v>
      </c>
      <c r="H188" s="40">
        <v>45799.440474537034</v>
      </c>
      <c r="I188" s="38">
        <v>21</v>
      </c>
      <c r="J188" s="38"/>
      <c r="K188" s="38"/>
      <c r="L188" s="38"/>
      <c r="M188" s="47"/>
      <c r="R188" s="38">
        <v>21</v>
      </c>
      <c r="S188" s="38">
        <v>2</v>
      </c>
      <c r="V188" s="38" t="s">
        <v>10</v>
      </c>
      <c r="W188" s="38">
        <v>91001</v>
      </c>
      <c r="X188" s="47"/>
      <c r="Y188" s="38">
        <v>145</v>
      </c>
      <c r="Z188" s="38">
        <v>0</v>
      </c>
    </row>
    <row r="189" spans="1:26" x14ac:dyDescent="0.35">
      <c r="A189" s="38">
        <v>178</v>
      </c>
      <c r="B189" s="38" t="s">
        <v>5</v>
      </c>
      <c r="C189" s="38" t="s">
        <v>10</v>
      </c>
      <c r="D189" s="38">
        <v>91001</v>
      </c>
      <c r="E189" s="39">
        <v>200025888235</v>
      </c>
      <c r="F189" s="39" t="s">
        <v>22</v>
      </c>
      <c r="G189" s="39">
        <v>22</v>
      </c>
      <c r="H189" s="40">
        <v>45799.440486111111</v>
      </c>
      <c r="I189" s="38">
        <v>21</v>
      </c>
      <c r="J189" s="38"/>
      <c r="K189" s="38"/>
      <c r="L189" s="38"/>
      <c r="M189" s="47"/>
      <c r="N189" s="40"/>
      <c r="O189" s="40"/>
      <c r="P189" s="46"/>
      <c r="Q189" s="46"/>
      <c r="R189" s="38">
        <v>21</v>
      </c>
      <c r="S189" s="38">
        <v>3</v>
      </c>
      <c r="V189" s="38" t="s">
        <v>10</v>
      </c>
      <c r="W189" s="38">
        <v>91001</v>
      </c>
      <c r="X189" s="47"/>
      <c r="Y189" s="38">
        <v>146</v>
      </c>
      <c r="Z189" s="38">
        <v>0</v>
      </c>
    </row>
    <row r="190" spans="1:26" x14ac:dyDescent="0.35">
      <c r="A190" s="38">
        <v>179</v>
      </c>
      <c r="B190" s="38" t="s">
        <v>5</v>
      </c>
      <c r="C190" s="38" t="s">
        <v>10</v>
      </c>
      <c r="D190" s="38">
        <v>91001</v>
      </c>
      <c r="E190" s="39">
        <v>200025888235</v>
      </c>
      <c r="F190" s="39" t="s">
        <v>22</v>
      </c>
      <c r="G190" s="39">
        <v>22</v>
      </c>
      <c r="H190" s="40">
        <v>45799.459699074076</v>
      </c>
      <c r="I190" s="38">
        <v>21</v>
      </c>
      <c r="J190" s="38"/>
      <c r="K190" s="38"/>
      <c r="L190" s="38"/>
      <c r="M190" s="47"/>
      <c r="N190" s="40">
        <v>45799.332499999997</v>
      </c>
      <c r="O190" s="40">
        <v>45799.459699074076</v>
      </c>
      <c r="P190" s="46">
        <f t="shared" ref="P190:P192" si="14">(O190-N190)*24</f>
        <v>3.0527777778916061</v>
      </c>
      <c r="Q190" s="47">
        <v>3.0527777778916061</v>
      </c>
      <c r="R190" s="38">
        <v>21</v>
      </c>
      <c r="S190" s="38">
        <v>4</v>
      </c>
      <c r="T190" s="49" t="s">
        <v>53</v>
      </c>
      <c r="U190" s="38">
        <v>1</v>
      </c>
      <c r="V190" s="38" t="s">
        <v>10</v>
      </c>
      <c r="W190" s="38">
        <v>91001</v>
      </c>
      <c r="X190" s="47"/>
      <c r="Y190" s="38">
        <v>147</v>
      </c>
      <c r="Z190" s="38">
        <v>0</v>
      </c>
    </row>
    <row r="191" spans="1:26" x14ac:dyDescent="0.35">
      <c r="A191" s="41">
        <v>35</v>
      </c>
      <c r="B191" s="41" t="s">
        <v>7</v>
      </c>
      <c r="C191" s="41" t="s">
        <v>12</v>
      </c>
      <c r="D191" s="41">
        <v>93202</v>
      </c>
      <c r="E191" s="43">
        <v>200025888244</v>
      </c>
      <c r="F191" s="43" t="s">
        <v>24</v>
      </c>
      <c r="G191" s="43">
        <v>12</v>
      </c>
      <c r="H191" s="40">
        <v>45799.53324074074</v>
      </c>
      <c r="I191" s="38">
        <v>22</v>
      </c>
      <c r="J191" s="38"/>
      <c r="K191" s="38"/>
      <c r="L191" s="38"/>
      <c r="M191" s="47"/>
      <c r="N191" s="40">
        <v>45799.53324074074</v>
      </c>
      <c r="O191" s="40">
        <v>45799.53324074074</v>
      </c>
      <c r="P191" s="46">
        <f t="shared" si="14"/>
        <v>0</v>
      </c>
      <c r="Q191" s="47">
        <v>1</v>
      </c>
      <c r="R191" s="38">
        <v>22</v>
      </c>
      <c r="S191" s="38">
        <v>1</v>
      </c>
      <c r="T191" s="49" t="s">
        <v>54</v>
      </c>
      <c r="U191" s="38">
        <v>1</v>
      </c>
      <c r="V191" s="41" t="s">
        <v>12</v>
      </c>
      <c r="W191" s="41">
        <v>93202</v>
      </c>
      <c r="X191" s="47">
        <f t="shared" ref="X191:X193" si="15">(H192-H191)*24</f>
        <v>1.7083333333139308</v>
      </c>
      <c r="Y191" s="41">
        <v>8</v>
      </c>
      <c r="Z191" s="41">
        <v>2</v>
      </c>
    </row>
    <row r="192" spans="1:26" x14ac:dyDescent="0.35">
      <c r="A192" s="38">
        <v>195</v>
      </c>
      <c r="B192" s="38" t="s">
        <v>5</v>
      </c>
      <c r="C192" s="38" t="s">
        <v>10</v>
      </c>
      <c r="D192" s="38">
        <v>91001</v>
      </c>
      <c r="E192" s="39">
        <v>200025888509</v>
      </c>
      <c r="F192" s="39" t="s">
        <v>28</v>
      </c>
      <c r="G192" s="39">
        <v>35</v>
      </c>
      <c r="H192" s="40">
        <v>45799.604421296295</v>
      </c>
      <c r="I192" s="38">
        <v>23</v>
      </c>
      <c r="J192" s="38"/>
      <c r="K192" s="38"/>
      <c r="L192" s="38"/>
      <c r="M192" s="47"/>
      <c r="N192" s="40">
        <v>45799.604421296295</v>
      </c>
      <c r="O192" s="40">
        <v>45799.604421296295</v>
      </c>
      <c r="P192" s="46">
        <f t="shared" si="14"/>
        <v>0</v>
      </c>
      <c r="Q192" s="47">
        <v>1</v>
      </c>
      <c r="R192" s="38">
        <v>23</v>
      </c>
      <c r="S192" s="38">
        <v>1</v>
      </c>
      <c r="T192" s="49" t="s">
        <v>53</v>
      </c>
      <c r="U192" s="38">
        <v>1</v>
      </c>
      <c r="V192" s="38" t="s">
        <v>10</v>
      </c>
      <c r="W192" s="38">
        <v>91001</v>
      </c>
      <c r="X192" s="47">
        <f t="shared" si="15"/>
        <v>2.1711111111799255</v>
      </c>
      <c r="Y192" s="38">
        <v>163</v>
      </c>
      <c r="Z192" s="38">
        <v>0</v>
      </c>
    </row>
    <row r="193" spans="1:26" x14ac:dyDescent="0.35">
      <c r="A193" s="41">
        <v>196</v>
      </c>
      <c r="B193" s="41" t="s">
        <v>5</v>
      </c>
      <c r="C193" s="41" t="s">
        <v>10</v>
      </c>
      <c r="D193" s="41">
        <v>91001</v>
      </c>
      <c r="E193" s="39">
        <v>200025888663</v>
      </c>
      <c r="F193" s="39" t="s">
        <v>32</v>
      </c>
      <c r="G193" s="39">
        <v>29</v>
      </c>
      <c r="H193" s="40">
        <v>45799.694884259261</v>
      </c>
      <c r="I193" s="38">
        <v>24</v>
      </c>
      <c r="J193" s="38"/>
      <c r="K193" s="38"/>
      <c r="L193" s="38"/>
      <c r="M193" s="47"/>
      <c r="R193" s="38">
        <v>24</v>
      </c>
      <c r="S193" s="38">
        <v>1</v>
      </c>
      <c r="V193" s="41" t="s">
        <v>10</v>
      </c>
      <c r="W193" s="41">
        <v>91001</v>
      </c>
      <c r="X193" s="47">
        <f t="shared" si="15"/>
        <v>0.38722222211072221</v>
      </c>
      <c r="Y193" s="38">
        <v>164</v>
      </c>
      <c r="Z193" s="41">
        <v>0</v>
      </c>
    </row>
    <row r="194" spans="1:26" x14ac:dyDescent="0.35">
      <c r="A194" s="41">
        <v>198</v>
      </c>
      <c r="B194" s="41" t="s">
        <v>5</v>
      </c>
      <c r="C194" s="41" t="s">
        <v>10</v>
      </c>
      <c r="D194" s="41">
        <v>91001</v>
      </c>
      <c r="E194" s="39">
        <v>200025888663</v>
      </c>
      <c r="F194" s="39" t="s">
        <v>32</v>
      </c>
      <c r="G194" s="39">
        <v>29</v>
      </c>
      <c r="H194" s="40">
        <v>45799.711018518516</v>
      </c>
      <c r="I194" s="38">
        <v>24</v>
      </c>
      <c r="J194" s="38"/>
      <c r="K194" s="38"/>
      <c r="L194" s="38"/>
      <c r="M194" s="47"/>
      <c r="R194" s="38">
        <v>24</v>
      </c>
      <c r="S194" s="38">
        <v>2</v>
      </c>
      <c r="V194" s="41" t="s">
        <v>10</v>
      </c>
      <c r="W194" s="41">
        <v>91001</v>
      </c>
      <c r="X194" s="47"/>
      <c r="Y194" s="38">
        <v>166</v>
      </c>
      <c r="Z194" s="41">
        <v>2</v>
      </c>
    </row>
    <row r="195" spans="1:26" x14ac:dyDescent="0.35">
      <c r="A195" s="41">
        <v>199</v>
      </c>
      <c r="B195" s="41" t="s">
        <v>5</v>
      </c>
      <c r="C195" s="41" t="s">
        <v>10</v>
      </c>
      <c r="D195" s="41">
        <v>91001</v>
      </c>
      <c r="E195" s="39">
        <v>200025888663</v>
      </c>
      <c r="F195" s="39" t="s">
        <v>32</v>
      </c>
      <c r="G195" s="39">
        <v>29</v>
      </c>
      <c r="H195" s="40">
        <v>45799.71266203704</v>
      </c>
      <c r="I195" s="38">
        <v>24</v>
      </c>
      <c r="J195" s="38"/>
      <c r="K195" s="38"/>
      <c r="L195" s="38"/>
      <c r="M195" s="47"/>
      <c r="R195" s="38">
        <v>24</v>
      </c>
      <c r="S195" s="38">
        <v>3</v>
      </c>
      <c r="V195" s="41" t="s">
        <v>10</v>
      </c>
      <c r="W195" s="41">
        <v>91001</v>
      </c>
      <c r="X195" s="47"/>
      <c r="Y195" s="38">
        <v>167</v>
      </c>
      <c r="Z195" s="41">
        <v>0</v>
      </c>
    </row>
    <row r="196" spans="1:26" x14ac:dyDescent="0.35">
      <c r="A196" s="41">
        <v>200</v>
      </c>
      <c r="B196" s="41" t="s">
        <v>5</v>
      </c>
      <c r="C196" s="41" t="s">
        <v>10</v>
      </c>
      <c r="D196" s="41">
        <v>91001</v>
      </c>
      <c r="E196" s="39">
        <v>200025888663</v>
      </c>
      <c r="F196" s="39" t="s">
        <v>32</v>
      </c>
      <c r="G196" s="39">
        <v>29</v>
      </c>
      <c r="H196" s="40">
        <v>45799.712673611109</v>
      </c>
      <c r="I196" s="38">
        <v>24</v>
      </c>
      <c r="J196" s="38"/>
      <c r="K196" s="38"/>
      <c r="L196" s="38"/>
      <c r="M196" s="47"/>
      <c r="R196" s="38">
        <v>24</v>
      </c>
      <c r="S196" s="38">
        <v>4</v>
      </c>
      <c r="V196" s="41" t="s">
        <v>10</v>
      </c>
      <c r="W196" s="41">
        <v>91001</v>
      </c>
      <c r="X196" s="47"/>
      <c r="Y196" s="38">
        <v>168</v>
      </c>
      <c r="Z196" s="41">
        <v>0</v>
      </c>
    </row>
    <row r="197" spans="1:26" x14ac:dyDescent="0.35">
      <c r="A197" s="41">
        <v>206</v>
      </c>
      <c r="B197" s="41" t="s">
        <v>5</v>
      </c>
      <c r="C197" s="41" t="s">
        <v>10</v>
      </c>
      <c r="D197" s="41">
        <v>91001</v>
      </c>
      <c r="E197" s="39">
        <v>200025888663</v>
      </c>
      <c r="F197" s="39" t="s">
        <v>32</v>
      </c>
      <c r="G197" s="39">
        <v>29</v>
      </c>
      <c r="H197" s="40">
        <v>45799.81753472222</v>
      </c>
      <c r="I197" s="38">
        <v>24</v>
      </c>
      <c r="J197" s="38"/>
      <c r="K197" s="38"/>
      <c r="L197" s="38"/>
      <c r="M197" s="47"/>
      <c r="R197" s="38">
        <v>24</v>
      </c>
      <c r="S197" s="38">
        <v>5</v>
      </c>
      <c r="V197" s="41" t="s">
        <v>10</v>
      </c>
      <c r="W197" s="41">
        <v>91001</v>
      </c>
      <c r="X197" s="47"/>
      <c r="Y197" s="38">
        <v>174</v>
      </c>
      <c r="Z197" s="41">
        <v>2</v>
      </c>
    </row>
    <row r="198" spans="1:26" x14ac:dyDescent="0.35">
      <c r="A198" s="41">
        <v>207</v>
      </c>
      <c r="B198" s="41" t="s">
        <v>5</v>
      </c>
      <c r="C198" s="41" t="s">
        <v>10</v>
      </c>
      <c r="D198" s="41">
        <v>91001</v>
      </c>
      <c r="E198" s="39">
        <v>200025888663</v>
      </c>
      <c r="F198" s="39" t="s">
        <v>32</v>
      </c>
      <c r="G198" s="39">
        <v>29</v>
      </c>
      <c r="H198" s="40">
        <v>45799.817743055559</v>
      </c>
      <c r="I198" s="38">
        <v>24</v>
      </c>
      <c r="J198" s="38"/>
      <c r="K198" s="38"/>
      <c r="L198" s="38"/>
      <c r="M198" s="47"/>
      <c r="R198" s="38">
        <v>24</v>
      </c>
      <c r="S198" s="38">
        <v>6</v>
      </c>
      <c r="V198" s="41" t="s">
        <v>10</v>
      </c>
      <c r="W198" s="41">
        <v>91001</v>
      </c>
      <c r="X198" s="47"/>
      <c r="Y198" s="38">
        <v>175</v>
      </c>
      <c r="Z198" s="41">
        <v>2</v>
      </c>
    </row>
    <row r="199" spans="1:26" x14ac:dyDescent="0.35">
      <c r="A199" s="41">
        <v>208</v>
      </c>
      <c r="B199" s="41" t="s">
        <v>5</v>
      </c>
      <c r="C199" s="41" t="s">
        <v>10</v>
      </c>
      <c r="D199" s="41">
        <v>91001</v>
      </c>
      <c r="E199" s="39">
        <v>200025888663</v>
      </c>
      <c r="F199" s="39" t="s">
        <v>32</v>
      </c>
      <c r="G199" s="39">
        <v>29</v>
      </c>
      <c r="H199" s="40">
        <v>45799.818113425928</v>
      </c>
      <c r="I199" s="38">
        <v>24</v>
      </c>
      <c r="J199" s="38"/>
      <c r="K199" s="38"/>
      <c r="L199" s="38"/>
      <c r="M199" s="47"/>
      <c r="R199" s="38">
        <v>24</v>
      </c>
      <c r="S199" s="38">
        <v>7</v>
      </c>
      <c r="V199" s="41" t="s">
        <v>10</v>
      </c>
      <c r="W199" s="41">
        <v>91001</v>
      </c>
      <c r="X199" s="47"/>
      <c r="Y199" s="38">
        <v>176</v>
      </c>
      <c r="Z199" s="41">
        <v>1</v>
      </c>
    </row>
    <row r="200" spans="1:26" x14ac:dyDescent="0.35">
      <c r="A200" s="41">
        <v>209</v>
      </c>
      <c r="B200" s="41" t="s">
        <v>5</v>
      </c>
      <c r="C200" s="41" t="s">
        <v>10</v>
      </c>
      <c r="D200" s="41">
        <v>91001</v>
      </c>
      <c r="E200" s="39">
        <v>200025888663</v>
      </c>
      <c r="F200" s="39" t="s">
        <v>32</v>
      </c>
      <c r="G200" s="39">
        <v>29</v>
      </c>
      <c r="H200" s="40">
        <v>45799.818252314813</v>
      </c>
      <c r="I200" s="38">
        <v>24</v>
      </c>
      <c r="J200" s="38"/>
      <c r="K200" s="38"/>
      <c r="L200" s="38"/>
      <c r="M200" s="47"/>
      <c r="N200" s="40">
        <v>45799.694884259261</v>
      </c>
      <c r="O200" s="40">
        <v>45799.818252314813</v>
      </c>
      <c r="P200" s="46">
        <f>(O200-N200)*24</f>
        <v>2.9608333332580514</v>
      </c>
      <c r="Q200" s="47">
        <v>2.9608333332580514</v>
      </c>
      <c r="R200" s="38">
        <v>24</v>
      </c>
      <c r="S200" s="38">
        <v>8</v>
      </c>
      <c r="T200" s="49" t="s">
        <v>53</v>
      </c>
      <c r="U200" s="38">
        <v>1</v>
      </c>
      <c r="V200" s="41" t="s">
        <v>10</v>
      </c>
      <c r="W200" s="41">
        <v>91001</v>
      </c>
      <c r="X200" s="47"/>
      <c r="Y200" s="38">
        <v>177</v>
      </c>
      <c r="Z200" s="41">
        <v>0</v>
      </c>
    </row>
    <row r="201" spans="1:26" x14ac:dyDescent="0.35">
      <c r="A201" s="41">
        <v>216</v>
      </c>
      <c r="B201" s="41" t="s">
        <v>5</v>
      </c>
      <c r="C201" s="41" t="s">
        <v>10</v>
      </c>
      <c r="D201" s="41">
        <v>91001</v>
      </c>
      <c r="E201" s="39">
        <v>200025888834</v>
      </c>
      <c r="F201" s="39" t="s">
        <v>30</v>
      </c>
      <c r="G201" s="39">
        <v>25</v>
      </c>
      <c r="H201" s="40">
        <v>45800.009456018517</v>
      </c>
      <c r="I201" s="38">
        <v>25</v>
      </c>
      <c r="J201" s="38"/>
      <c r="K201" s="38"/>
      <c r="L201" s="38"/>
      <c r="M201" s="47"/>
      <c r="R201" s="38">
        <v>25</v>
      </c>
      <c r="S201" s="38">
        <v>1</v>
      </c>
      <c r="V201" s="41" t="s">
        <v>10</v>
      </c>
      <c r="W201" s="41">
        <v>91001</v>
      </c>
      <c r="X201" s="47">
        <f>(H202-H201)*24</f>
        <v>2.7777784271165729E-4</v>
      </c>
      <c r="Y201" s="38">
        <v>184</v>
      </c>
      <c r="Z201" s="41">
        <v>0</v>
      </c>
    </row>
    <row r="202" spans="1:26" x14ac:dyDescent="0.35">
      <c r="A202" s="41">
        <v>217</v>
      </c>
      <c r="B202" s="41" t="s">
        <v>5</v>
      </c>
      <c r="C202" s="41" t="s">
        <v>10</v>
      </c>
      <c r="D202" s="41">
        <v>91001</v>
      </c>
      <c r="E202" s="39">
        <v>200025888834</v>
      </c>
      <c r="F202" s="39" t="s">
        <v>30</v>
      </c>
      <c r="G202" s="39">
        <v>25</v>
      </c>
      <c r="H202" s="40">
        <v>45800.009467592594</v>
      </c>
      <c r="I202" s="38">
        <v>25</v>
      </c>
      <c r="J202" s="38"/>
      <c r="K202" s="38"/>
      <c r="L202" s="38"/>
      <c r="M202" s="47"/>
      <c r="R202" s="38">
        <v>25</v>
      </c>
      <c r="S202" s="38">
        <v>2</v>
      </c>
      <c r="V202" s="41" t="s">
        <v>10</v>
      </c>
      <c r="W202" s="41">
        <v>91001</v>
      </c>
      <c r="X202" s="47"/>
      <c r="Y202" s="38">
        <v>185</v>
      </c>
      <c r="Z202" s="41">
        <v>1</v>
      </c>
    </row>
    <row r="203" spans="1:26" x14ac:dyDescent="0.35">
      <c r="A203" s="41">
        <v>218</v>
      </c>
      <c r="B203" s="41" t="s">
        <v>5</v>
      </c>
      <c r="C203" s="41" t="s">
        <v>10</v>
      </c>
      <c r="D203" s="41">
        <v>91001</v>
      </c>
      <c r="E203" s="39">
        <v>200025888834</v>
      </c>
      <c r="F203" s="39" t="s">
        <v>30</v>
      </c>
      <c r="G203" s="39">
        <v>25</v>
      </c>
      <c r="H203" s="40">
        <v>45800.013310185182</v>
      </c>
      <c r="I203" s="38">
        <v>25</v>
      </c>
      <c r="J203" s="38"/>
      <c r="K203" s="38"/>
      <c r="L203" s="38"/>
      <c r="M203" s="47"/>
      <c r="R203" s="38">
        <v>25</v>
      </c>
      <c r="S203" s="38">
        <v>3</v>
      </c>
      <c r="V203" s="41" t="s">
        <v>10</v>
      </c>
      <c r="W203" s="41">
        <v>91001</v>
      </c>
      <c r="X203" s="47"/>
      <c r="Y203" s="38">
        <v>186</v>
      </c>
      <c r="Z203" s="41">
        <v>1</v>
      </c>
    </row>
    <row r="204" spans="1:26" x14ac:dyDescent="0.35">
      <c r="A204" s="41">
        <v>219</v>
      </c>
      <c r="B204" s="41" t="s">
        <v>5</v>
      </c>
      <c r="C204" s="41" t="s">
        <v>10</v>
      </c>
      <c r="D204" s="41">
        <v>91001</v>
      </c>
      <c r="E204" s="39">
        <v>200025888834</v>
      </c>
      <c r="F204" s="39" t="s">
        <v>30</v>
      </c>
      <c r="G204" s="39">
        <v>25</v>
      </c>
      <c r="H204" s="40">
        <v>45800.014166666668</v>
      </c>
      <c r="I204" s="38">
        <v>25</v>
      </c>
      <c r="J204" s="38"/>
      <c r="K204" s="38"/>
      <c r="L204" s="38"/>
      <c r="M204" s="47"/>
      <c r="R204" s="38">
        <v>25</v>
      </c>
      <c r="S204" s="38">
        <v>4</v>
      </c>
      <c r="V204" s="41" t="s">
        <v>10</v>
      </c>
      <c r="W204" s="41">
        <v>91001</v>
      </c>
      <c r="X204" s="47"/>
      <c r="Y204" s="38">
        <v>187</v>
      </c>
      <c r="Z204" s="41">
        <v>0</v>
      </c>
    </row>
    <row r="205" spans="1:26" x14ac:dyDescent="0.35">
      <c r="A205" s="41">
        <v>220</v>
      </c>
      <c r="B205" s="41" t="s">
        <v>5</v>
      </c>
      <c r="C205" s="41" t="s">
        <v>10</v>
      </c>
      <c r="D205" s="41">
        <v>91001</v>
      </c>
      <c r="E205" s="39">
        <v>200025888834</v>
      </c>
      <c r="F205" s="39" t="s">
        <v>30</v>
      </c>
      <c r="G205" s="39">
        <v>25</v>
      </c>
      <c r="H205" s="40">
        <v>45800.014178240737</v>
      </c>
      <c r="I205" s="38">
        <v>25</v>
      </c>
      <c r="J205" s="38"/>
      <c r="K205" s="38"/>
      <c r="L205" s="38"/>
      <c r="M205" s="47"/>
      <c r="R205" s="38">
        <v>25</v>
      </c>
      <c r="S205" s="38">
        <v>5</v>
      </c>
      <c r="V205" s="41" t="s">
        <v>10</v>
      </c>
      <c r="W205" s="41">
        <v>91001</v>
      </c>
      <c r="X205" s="47"/>
      <c r="Y205" s="38">
        <v>188</v>
      </c>
      <c r="Z205" s="41">
        <v>0</v>
      </c>
    </row>
    <row r="206" spans="1:26" x14ac:dyDescent="0.35">
      <c r="A206" s="41">
        <v>221</v>
      </c>
      <c r="B206" s="41" t="s">
        <v>5</v>
      </c>
      <c r="C206" s="41" t="s">
        <v>10</v>
      </c>
      <c r="D206" s="41">
        <v>91001</v>
      </c>
      <c r="E206" s="39">
        <v>200025888834</v>
      </c>
      <c r="F206" s="39" t="s">
        <v>30</v>
      </c>
      <c r="G206" s="39">
        <v>25</v>
      </c>
      <c r="H206" s="40">
        <v>45800.175416666665</v>
      </c>
      <c r="I206" s="38">
        <v>25</v>
      </c>
      <c r="J206" s="40"/>
      <c r="K206" s="40"/>
      <c r="L206" s="46"/>
      <c r="M206" s="46"/>
      <c r="R206" s="38">
        <v>25</v>
      </c>
      <c r="S206" s="38">
        <v>6</v>
      </c>
      <c r="V206" s="41" t="s">
        <v>10</v>
      </c>
      <c r="W206" s="41">
        <v>91001</v>
      </c>
      <c r="X206" s="47"/>
      <c r="Y206" s="38">
        <v>189</v>
      </c>
      <c r="Z206" s="41">
        <v>0</v>
      </c>
    </row>
    <row r="207" spans="1:26" x14ac:dyDescent="0.35">
      <c r="A207" s="41">
        <v>222</v>
      </c>
      <c r="B207" s="41" t="s">
        <v>5</v>
      </c>
      <c r="C207" s="41" t="s">
        <v>10</v>
      </c>
      <c r="D207" s="41">
        <v>91001</v>
      </c>
      <c r="E207" s="39">
        <v>200025888834</v>
      </c>
      <c r="F207" s="39" t="s">
        <v>30</v>
      </c>
      <c r="G207" s="39">
        <v>25</v>
      </c>
      <c r="H207" s="40">
        <v>45800.175567129627</v>
      </c>
      <c r="I207" s="38">
        <v>25</v>
      </c>
      <c r="J207" s="38"/>
      <c r="K207" s="38"/>
      <c r="L207" s="38"/>
      <c r="M207" s="47"/>
      <c r="R207" s="38">
        <v>25</v>
      </c>
      <c r="S207" s="38">
        <v>7</v>
      </c>
      <c r="V207" s="41" t="s">
        <v>10</v>
      </c>
      <c r="W207" s="41">
        <v>91001</v>
      </c>
      <c r="X207" s="47"/>
      <c r="Y207" s="38">
        <v>190</v>
      </c>
      <c r="Z207" s="41">
        <v>1</v>
      </c>
    </row>
    <row r="208" spans="1:26" x14ac:dyDescent="0.35">
      <c r="A208" s="41">
        <v>223</v>
      </c>
      <c r="B208" s="41" t="s">
        <v>5</v>
      </c>
      <c r="C208" s="41" t="s">
        <v>10</v>
      </c>
      <c r="D208" s="41">
        <v>91001</v>
      </c>
      <c r="E208" s="39">
        <v>200025888834</v>
      </c>
      <c r="F208" s="39" t="s">
        <v>30</v>
      </c>
      <c r="G208" s="39">
        <v>25</v>
      </c>
      <c r="H208" s="40">
        <v>45800.17763888889</v>
      </c>
      <c r="I208" s="38">
        <v>25</v>
      </c>
      <c r="J208" s="38"/>
      <c r="K208" s="38"/>
      <c r="L208" s="38"/>
      <c r="M208" s="47"/>
      <c r="N208" s="40">
        <v>45800.009456018517</v>
      </c>
      <c r="O208" s="40">
        <v>45800.17763888889</v>
      </c>
      <c r="P208" s="46">
        <f>(O208-N208)*24</f>
        <v>4.0363888889551163</v>
      </c>
      <c r="Q208" s="47">
        <v>4.0363888889551163</v>
      </c>
      <c r="R208" s="38">
        <v>25</v>
      </c>
      <c r="S208" s="38">
        <v>8</v>
      </c>
      <c r="T208" s="49" t="s">
        <v>53</v>
      </c>
      <c r="U208" s="38">
        <v>1</v>
      </c>
      <c r="V208" s="41" t="s">
        <v>10</v>
      </c>
      <c r="W208" s="41">
        <v>91001</v>
      </c>
      <c r="X208" s="47"/>
      <c r="Y208" s="38">
        <v>191</v>
      </c>
      <c r="Z208" s="41">
        <v>0</v>
      </c>
    </row>
    <row r="209" spans="10:24" x14ac:dyDescent="0.35">
      <c r="J209" s="38"/>
      <c r="K209" s="38"/>
      <c r="L209" s="38"/>
      <c r="M209" s="47"/>
      <c r="X209" s="47"/>
    </row>
    <row r="210" spans="10:24" x14ac:dyDescent="0.35">
      <c r="J210" s="38"/>
      <c r="K210" s="38"/>
      <c r="L210" s="38"/>
      <c r="M210" s="47"/>
      <c r="X210" s="47"/>
    </row>
    <row r="211" spans="10:24" x14ac:dyDescent="0.35">
      <c r="J211" s="38"/>
      <c r="K211" s="38"/>
      <c r="L211" s="38"/>
      <c r="M211" s="47"/>
      <c r="X211" s="47"/>
    </row>
    <row r="212" spans="10:24" x14ac:dyDescent="0.35">
      <c r="J212" s="38"/>
      <c r="K212" s="38"/>
      <c r="L212" s="38"/>
      <c r="M212" s="47"/>
      <c r="N212" s="40"/>
      <c r="O212" s="40"/>
      <c r="P212" s="46"/>
      <c r="Q212" s="46"/>
      <c r="X212" s="47"/>
    </row>
    <row r="213" spans="10:24" x14ac:dyDescent="0.35">
      <c r="J213" s="38"/>
      <c r="K213" s="38"/>
      <c r="L213" s="38"/>
      <c r="M213" s="47"/>
      <c r="X213" s="47"/>
    </row>
    <row r="214" spans="10:24" x14ac:dyDescent="0.35">
      <c r="J214" s="38"/>
      <c r="K214" s="38"/>
      <c r="L214" s="38"/>
      <c r="M214" s="47"/>
      <c r="N214" s="40"/>
      <c r="O214" s="40"/>
      <c r="P214" s="46"/>
      <c r="Q214" s="46"/>
      <c r="X214" s="47"/>
    </row>
    <row r="215" spans="10:24" x14ac:dyDescent="0.35">
      <c r="J215" s="38"/>
      <c r="K215" s="38"/>
      <c r="L215" s="38"/>
      <c r="M215" s="47"/>
      <c r="X215" s="47"/>
    </row>
    <row r="216" spans="10:24" x14ac:dyDescent="0.35">
      <c r="J216" s="38"/>
      <c r="K216" s="38"/>
      <c r="L216" s="38"/>
      <c r="M216" s="47"/>
      <c r="X216" s="47"/>
    </row>
    <row r="217" spans="10:24" x14ac:dyDescent="0.35">
      <c r="J217" s="38"/>
      <c r="K217" s="38"/>
      <c r="L217" s="38"/>
      <c r="M217" s="47"/>
      <c r="X217" s="47"/>
    </row>
    <row r="218" spans="10:24" x14ac:dyDescent="0.35">
      <c r="J218" s="38"/>
      <c r="K218" s="38"/>
      <c r="L218" s="38"/>
      <c r="M218" s="47"/>
      <c r="X218" s="47"/>
    </row>
    <row r="219" spans="10:24" x14ac:dyDescent="0.35">
      <c r="J219" s="38"/>
      <c r="K219" s="38"/>
      <c r="L219" s="38"/>
      <c r="M219" s="47"/>
      <c r="N219" s="40"/>
      <c r="O219" s="40"/>
      <c r="P219" s="46"/>
      <c r="Q219" s="46"/>
      <c r="X219" s="47"/>
    </row>
    <row r="220" spans="10:24" x14ac:dyDescent="0.35">
      <c r="J220" s="38"/>
      <c r="K220" s="38"/>
      <c r="L220" s="38"/>
      <c r="M220" s="47"/>
      <c r="N220" s="40"/>
      <c r="O220" s="40"/>
      <c r="P220" s="46"/>
      <c r="Q220" s="46"/>
      <c r="X220" s="47"/>
    </row>
    <row r="221" spans="10:24" x14ac:dyDescent="0.35">
      <c r="J221" s="38"/>
      <c r="K221" s="38"/>
      <c r="L221" s="38"/>
      <c r="M221" s="47"/>
      <c r="N221" s="40"/>
      <c r="O221" s="40"/>
      <c r="P221" s="46"/>
      <c r="Q221" s="46"/>
      <c r="X221" s="47"/>
    </row>
    <row r="222" spans="10:24" x14ac:dyDescent="0.35">
      <c r="J222" s="38"/>
      <c r="K222" s="38"/>
      <c r="L222" s="38"/>
      <c r="M222" s="47"/>
      <c r="X222" s="47"/>
    </row>
    <row r="223" spans="10:24" x14ac:dyDescent="0.35">
      <c r="J223" s="38"/>
      <c r="K223" s="38"/>
      <c r="L223" s="38"/>
      <c r="M223" s="47"/>
      <c r="N223" s="40"/>
      <c r="O223" s="40"/>
      <c r="P223" s="46"/>
      <c r="Q223" s="46"/>
      <c r="X223" s="47"/>
    </row>
    <row r="224" spans="10:24" x14ac:dyDescent="0.35">
      <c r="J224" s="38"/>
      <c r="K224" s="38"/>
      <c r="L224" s="38"/>
      <c r="M224" s="47"/>
      <c r="X224" s="47"/>
    </row>
    <row r="225" spans="10:24" x14ac:dyDescent="0.35">
      <c r="J225" s="38"/>
      <c r="K225" s="38"/>
      <c r="L225" s="38"/>
      <c r="M225" s="47"/>
      <c r="X225" s="47"/>
    </row>
    <row r="226" spans="10:24" x14ac:dyDescent="0.35">
      <c r="J226" s="38"/>
      <c r="K226" s="38"/>
      <c r="L226" s="38"/>
      <c r="M226" s="47"/>
      <c r="N226" s="40"/>
      <c r="O226" s="40"/>
      <c r="P226" s="46"/>
      <c r="Q226" s="46"/>
      <c r="X226" s="47"/>
    </row>
    <row r="227" spans="10:24" x14ac:dyDescent="0.35">
      <c r="J227" s="38"/>
      <c r="K227" s="38"/>
      <c r="L227" s="38"/>
      <c r="M227" s="47"/>
      <c r="N227" s="40"/>
      <c r="O227" s="40"/>
      <c r="P227" s="46"/>
      <c r="Q227" s="46"/>
      <c r="X227" s="47"/>
    </row>
    <row r="228" spans="10:24" x14ac:dyDescent="0.35">
      <c r="J228" s="38"/>
      <c r="K228" s="38"/>
      <c r="L228" s="38"/>
      <c r="M228" s="47"/>
      <c r="X228" s="47"/>
    </row>
    <row r="229" spans="10:24" x14ac:dyDescent="0.35">
      <c r="J229" s="38"/>
      <c r="K229" s="38"/>
      <c r="L229" s="38"/>
      <c r="M229" s="47"/>
      <c r="X229" s="47"/>
    </row>
    <row r="230" spans="10:24" x14ac:dyDescent="0.35">
      <c r="J230" s="38"/>
      <c r="K230" s="38"/>
      <c r="L230" s="38"/>
      <c r="M230" s="47"/>
      <c r="X230" s="47"/>
    </row>
    <row r="231" spans="10:24" x14ac:dyDescent="0.35">
      <c r="J231" s="38"/>
      <c r="K231" s="38"/>
      <c r="L231" s="38"/>
      <c r="M231" s="47"/>
      <c r="X231" s="47"/>
    </row>
    <row r="232" spans="10:24" x14ac:dyDescent="0.35">
      <c r="J232" s="38"/>
      <c r="K232" s="38"/>
      <c r="L232" s="38"/>
      <c r="M232" s="47"/>
      <c r="X232" s="47"/>
    </row>
    <row r="233" spans="10:24" x14ac:dyDescent="0.35">
      <c r="J233" s="38"/>
      <c r="K233" s="38"/>
      <c r="L233" s="38"/>
      <c r="M233" s="47"/>
      <c r="X233" s="47"/>
    </row>
    <row r="234" spans="10:24" x14ac:dyDescent="0.35">
      <c r="J234" s="38"/>
      <c r="K234" s="38"/>
      <c r="L234" s="38"/>
      <c r="M234" s="47"/>
      <c r="N234" s="40"/>
      <c r="O234" s="40"/>
      <c r="P234" s="46"/>
      <c r="Q234" s="46"/>
      <c r="X234" s="47"/>
    </row>
    <row r="235" spans="10:24" x14ac:dyDescent="0.35">
      <c r="J235" s="38"/>
      <c r="K235" s="38"/>
      <c r="L235" s="38"/>
      <c r="M235" s="47"/>
      <c r="X235" s="47"/>
    </row>
    <row r="236" spans="10:24" x14ac:dyDescent="0.35">
      <c r="J236" s="38"/>
      <c r="K236" s="38"/>
      <c r="L236" s="38"/>
      <c r="M236" s="47"/>
      <c r="X236" s="47"/>
    </row>
    <row r="237" spans="10:24" x14ac:dyDescent="0.35">
      <c r="J237" s="38"/>
      <c r="K237" s="38"/>
      <c r="L237" s="38"/>
      <c r="M237" s="47"/>
      <c r="X237" s="47"/>
    </row>
    <row r="238" spans="10:24" x14ac:dyDescent="0.35">
      <c r="J238" s="38"/>
      <c r="K238" s="38"/>
      <c r="L238" s="38"/>
      <c r="M238" s="47"/>
      <c r="X238" s="47"/>
    </row>
    <row r="239" spans="10:24" x14ac:dyDescent="0.35">
      <c r="J239" s="38"/>
      <c r="K239" s="38"/>
      <c r="L239" s="38"/>
      <c r="M239" s="47"/>
      <c r="X239" s="47"/>
    </row>
    <row r="240" spans="10:24" x14ac:dyDescent="0.35">
      <c r="J240" s="38"/>
      <c r="K240" s="38"/>
      <c r="L240" s="38"/>
      <c r="M240" s="47"/>
      <c r="X240" s="47"/>
    </row>
    <row r="241" spans="10:24" x14ac:dyDescent="0.35">
      <c r="J241" s="38"/>
      <c r="K241" s="38"/>
      <c r="L241" s="38"/>
      <c r="M241" s="47"/>
      <c r="X241" s="47"/>
    </row>
    <row r="242" spans="10:24" x14ac:dyDescent="0.35">
      <c r="J242" s="38"/>
      <c r="K242" s="38"/>
      <c r="L242" s="38"/>
      <c r="M242" s="47"/>
      <c r="X242" s="47"/>
    </row>
    <row r="243" spans="10:24" x14ac:dyDescent="0.35">
      <c r="J243" s="38"/>
      <c r="K243" s="38"/>
      <c r="L243" s="38"/>
      <c r="M243" s="47"/>
      <c r="X243" s="47"/>
    </row>
    <row r="244" spans="10:24" x14ac:dyDescent="0.35">
      <c r="J244" s="38"/>
      <c r="K244" s="38"/>
      <c r="L244" s="38"/>
      <c r="M244" s="47"/>
      <c r="X244" s="47"/>
    </row>
    <row r="245" spans="10:24" x14ac:dyDescent="0.35">
      <c r="J245" s="38"/>
      <c r="K245" s="38"/>
      <c r="L245" s="38"/>
      <c r="M245" s="47"/>
      <c r="X245" s="47"/>
    </row>
    <row r="246" spans="10:24" x14ac:dyDescent="0.35">
      <c r="J246" s="38"/>
      <c r="K246" s="38"/>
      <c r="L246" s="38"/>
      <c r="M246" s="47"/>
      <c r="X246" s="47"/>
    </row>
    <row r="247" spans="10:24" x14ac:dyDescent="0.35">
      <c r="J247" s="38"/>
      <c r="K247" s="38"/>
      <c r="L247" s="38"/>
      <c r="M247" s="47"/>
      <c r="N247" s="40"/>
      <c r="O247" s="40"/>
      <c r="P247" s="46"/>
      <c r="Q247" s="46"/>
      <c r="X247" s="47"/>
    </row>
    <row r="248" spans="10:24" x14ac:dyDescent="0.35">
      <c r="J248" s="38"/>
      <c r="K248" s="38"/>
      <c r="L248" s="38"/>
      <c r="M248" s="47"/>
      <c r="X248" s="47"/>
    </row>
    <row r="249" spans="10:24" x14ac:dyDescent="0.35">
      <c r="J249" s="38"/>
      <c r="K249" s="38"/>
      <c r="L249" s="38"/>
      <c r="M249" s="47"/>
      <c r="X249" s="47"/>
    </row>
    <row r="250" spans="10:24" x14ac:dyDescent="0.35">
      <c r="J250" s="38"/>
      <c r="K250" s="38"/>
      <c r="L250" s="38"/>
      <c r="M250" s="47"/>
      <c r="X250" s="47"/>
    </row>
    <row r="251" spans="10:24" x14ac:dyDescent="0.35">
      <c r="J251" s="38"/>
      <c r="K251" s="38"/>
      <c r="L251" s="38"/>
      <c r="M251" s="47"/>
      <c r="X251" s="47"/>
    </row>
    <row r="252" spans="10:24" x14ac:dyDescent="0.35">
      <c r="J252" s="38"/>
      <c r="K252" s="38"/>
      <c r="L252" s="38"/>
      <c r="M252" s="47"/>
      <c r="X252" s="47"/>
    </row>
    <row r="253" spans="10:24" x14ac:dyDescent="0.35">
      <c r="J253" s="38"/>
      <c r="K253" s="38"/>
      <c r="L253" s="38"/>
      <c r="M253" s="47"/>
      <c r="X253" s="47"/>
    </row>
    <row r="254" spans="10:24" x14ac:dyDescent="0.35">
      <c r="J254" s="38"/>
      <c r="K254" s="38"/>
      <c r="L254" s="38"/>
      <c r="M254" s="47"/>
      <c r="X254" s="47"/>
    </row>
    <row r="255" spans="10:24" x14ac:dyDescent="0.35">
      <c r="J255" s="38"/>
      <c r="K255" s="38"/>
      <c r="L255" s="38"/>
      <c r="M255" s="47"/>
      <c r="X255" s="47"/>
    </row>
    <row r="256" spans="10:24" x14ac:dyDescent="0.35">
      <c r="J256" s="38"/>
      <c r="K256" s="38"/>
      <c r="L256" s="38"/>
      <c r="M256" s="47"/>
      <c r="X256" s="47"/>
    </row>
    <row r="257" spans="10:24" x14ac:dyDescent="0.35">
      <c r="J257" s="38"/>
      <c r="K257" s="38"/>
      <c r="L257" s="38"/>
      <c r="M257" s="47"/>
      <c r="X257" s="47"/>
    </row>
    <row r="258" spans="10:24" x14ac:dyDescent="0.35">
      <c r="J258" s="38"/>
      <c r="K258" s="38"/>
      <c r="L258" s="38"/>
      <c r="M258" s="47"/>
      <c r="X258" s="47"/>
    </row>
    <row r="259" spans="10:24" x14ac:dyDescent="0.35">
      <c r="J259" s="38"/>
      <c r="K259" s="38"/>
      <c r="L259" s="38"/>
      <c r="M259" s="47"/>
      <c r="X259" s="47"/>
    </row>
    <row r="260" spans="10:24" x14ac:dyDescent="0.35">
      <c r="J260" s="38"/>
      <c r="K260" s="38"/>
      <c r="L260" s="38"/>
      <c r="M260" s="47"/>
      <c r="X260" s="47"/>
    </row>
    <row r="261" spans="10:24" x14ac:dyDescent="0.35">
      <c r="J261" s="38"/>
      <c r="K261" s="38"/>
      <c r="L261" s="38"/>
      <c r="M261" s="47"/>
      <c r="X261" s="47"/>
    </row>
    <row r="262" spans="10:24" x14ac:dyDescent="0.35">
      <c r="J262" s="38"/>
      <c r="K262" s="38"/>
      <c r="L262" s="38"/>
      <c r="M262" s="47"/>
      <c r="X262" s="47"/>
    </row>
    <row r="263" spans="10:24" x14ac:dyDescent="0.35">
      <c r="J263" s="38"/>
      <c r="K263" s="38"/>
      <c r="L263" s="38"/>
      <c r="M263" s="47"/>
      <c r="X263" s="47"/>
    </row>
    <row r="264" spans="10:24" x14ac:dyDescent="0.35">
      <c r="J264" s="38"/>
      <c r="K264" s="38"/>
      <c r="L264" s="38"/>
      <c r="M264" s="47"/>
      <c r="N264" s="40"/>
      <c r="O264" s="40"/>
      <c r="P264" s="46"/>
      <c r="Q264" s="46"/>
      <c r="X264" s="47"/>
    </row>
    <row r="265" spans="10:24" x14ac:dyDescent="0.35">
      <c r="J265" s="38"/>
      <c r="K265" s="38"/>
      <c r="L265" s="38"/>
      <c r="M265" s="47"/>
      <c r="X265" s="47"/>
    </row>
    <row r="266" spans="10:24" x14ac:dyDescent="0.35">
      <c r="J266" s="38"/>
      <c r="K266" s="38"/>
      <c r="L266" s="38"/>
      <c r="M266" s="47"/>
      <c r="X266" s="47"/>
    </row>
    <row r="267" spans="10:24" x14ac:dyDescent="0.35">
      <c r="J267" s="38"/>
      <c r="K267" s="38"/>
      <c r="L267" s="38"/>
      <c r="M267" s="47"/>
      <c r="X267" s="47"/>
    </row>
    <row r="268" spans="10:24" x14ac:dyDescent="0.35">
      <c r="J268" s="38"/>
      <c r="K268" s="38"/>
      <c r="L268" s="38"/>
      <c r="M268" s="47"/>
      <c r="X268" s="47"/>
    </row>
    <row r="269" spans="10:24" x14ac:dyDescent="0.35">
      <c r="J269" s="38"/>
      <c r="K269" s="38"/>
      <c r="L269" s="38"/>
      <c r="M269" s="47"/>
      <c r="X269" s="47"/>
    </row>
    <row r="270" spans="10:24" x14ac:dyDescent="0.35">
      <c r="J270" s="38"/>
      <c r="K270" s="38"/>
      <c r="L270" s="38"/>
      <c r="M270" s="47"/>
      <c r="N270" s="40"/>
      <c r="O270" s="40"/>
      <c r="P270" s="46"/>
      <c r="Q270" s="46"/>
      <c r="X270" s="47"/>
    </row>
    <row r="271" spans="10:24" x14ac:dyDescent="0.35">
      <c r="J271" s="38"/>
      <c r="K271" s="38"/>
      <c r="L271" s="38"/>
      <c r="M271" s="47"/>
      <c r="X271" s="47"/>
    </row>
    <row r="272" spans="10:24" x14ac:dyDescent="0.35">
      <c r="J272" s="38"/>
      <c r="K272" s="38"/>
      <c r="L272" s="38"/>
      <c r="M272" s="47"/>
      <c r="N272" s="40"/>
      <c r="O272" s="40"/>
      <c r="P272" s="46"/>
      <c r="Q272" s="46"/>
      <c r="X272" s="47"/>
    </row>
    <row r="273" spans="10:24" x14ac:dyDescent="0.35">
      <c r="J273" s="40"/>
      <c r="K273" s="40"/>
      <c r="L273" s="46"/>
      <c r="M273" s="46"/>
      <c r="X273" s="47"/>
    </row>
    <row r="274" spans="10:24" x14ac:dyDescent="0.35">
      <c r="J274" s="38"/>
      <c r="K274" s="38"/>
      <c r="L274" s="38"/>
      <c r="M274" s="47"/>
      <c r="X274" s="47"/>
    </row>
    <row r="275" spans="10:24" x14ac:dyDescent="0.35">
      <c r="J275" s="38"/>
      <c r="K275" s="38"/>
      <c r="L275" s="38"/>
      <c r="M275" s="47"/>
      <c r="X275" s="47"/>
    </row>
    <row r="276" spans="10:24" x14ac:dyDescent="0.35">
      <c r="J276" s="38"/>
      <c r="K276" s="38"/>
      <c r="L276" s="38"/>
      <c r="M276" s="47"/>
      <c r="X276" s="47"/>
    </row>
    <row r="277" spans="10:24" x14ac:dyDescent="0.35">
      <c r="J277" s="38"/>
      <c r="K277" s="38"/>
      <c r="L277" s="38"/>
      <c r="M277" s="47"/>
      <c r="X277" s="47"/>
    </row>
    <row r="278" spans="10:24" x14ac:dyDescent="0.35">
      <c r="J278" s="38"/>
      <c r="K278" s="38"/>
      <c r="L278" s="38"/>
      <c r="M278" s="47"/>
      <c r="X278" s="47"/>
    </row>
    <row r="279" spans="10:24" x14ac:dyDescent="0.35">
      <c r="J279" s="38"/>
      <c r="K279" s="38"/>
      <c r="L279" s="38"/>
      <c r="M279" s="47"/>
      <c r="X279" s="47"/>
    </row>
    <row r="280" spans="10:24" x14ac:dyDescent="0.35">
      <c r="J280" s="38"/>
      <c r="K280" s="38"/>
      <c r="L280" s="38"/>
      <c r="M280" s="47"/>
      <c r="X280" s="47"/>
    </row>
    <row r="281" spans="10:24" x14ac:dyDescent="0.35">
      <c r="J281" s="38"/>
      <c r="K281" s="38"/>
      <c r="L281" s="38"/>
      <c r="M281" s="47"/>
      <c r="X281" s="47"/>
    </row>
    <row r="282" spans="10:24" x14ac:dyDescent="0.35">
      <c r="J282" s="38"/>
      <c r="K282" s="38"/>
      <c r="L282" s="38"/>
      <c r="M282" s="47"/>
      <c r="X282" s="47"/>
    </row>
    <row r="283" spans="10:24" x14ac:dyDescent="0.35">
      <c r="J283" s="38"/>
      <c r="K283" s="38"/>
      <c r="L283" s="38"/>
      <c r="M283" s="47"/>
      <c r="X283" s="47"/>
    </row>
    <row r="284" spans="10:24" x14ac:dyDescent="0.35">
      <c r="J284" s="38"/>
      <c r="K284" s="38"/>
      <c r="L284" s="38"/>
      <c r="M284" s="47"/>
      <c r="X284" s="47"/>
    </row>
    <row r="285" spans="10:24" x14ac:dyDescent="0.35">
      <c r="J285" s="38"/>
      <c r="K285" s="38"/>
      <c r="L285" s="38"/>
      <c r="M285" s="47"/>
      <c r="N285" s="40"/>
      <c r="O285" s="40"/>
      <c r="P285" s="46"/>
      <c r="Q285" s="46"/>
      <c r="X285" s="47"/>
    </row>
    <row r="286" spans="10:24" x14ac:dyDescent="0.35">
      <c r="J286" s="38"/>
      <c r="K286" s="38"/>
      <c r="L286" s="38"/>
      <c r="M286" s="47"/>
      <c r="N286" s="40"/>
      <c r="O286" s="40"/>
      <c r="P286" s="46"/>
      <c r="Q286" s="46"/>
      <c r="X286" s="47"/>
    </row>
    <row r="287" spans="10:24" x14ac:dyDescent="0.35">
      <c r="J287" s="38"/>
      <c r="K287" s="38"/>
      <c r="L287" s="38"/>
      <c r="M287" s="47"/>
      <c r="X287" s="47"/>
    </row>
    <row r="288" spans="10:24" x14ac:dyDescent="0.35">
      <c r="J288" s="38"/>
      <c r="K288" s="38"/>
      <c r="L288" s="38"/>
      <c r="M288" s="47"/>
      <c r="X288" s="47"/>
    </row>
    <row r="289" spans="10:24" x14ac:dyDescent="0.35">
      <c r="J289" s="38"/>
      <c r="K289" s="38"/>
      <c r="L289" s="38"/>
      <c r="M289" s="47"/>
      <c r="X289" s="47"/>
    </row>
    <row r="290" spans="10:24" x14ac:dyDescent="0.35">
      <c r="J290" s="38"/>
      <c r="K290" s="38"/>
      <c r="L290" s="38"/>
      <c r="M290" s="47"/>
      <c r="X290" s="47"/>
    </row>
    <row r="291" spans="10:24" x14ac:dyDescent="0.35">
      <c r="J291" s="38"/>
      <c r="K291" s="38"/>
      <c r="L291" s="38"/>
      <c r="M291" s="47"/>
      <c r="X291" s="47"/>
    </row>
    <row r="292" spans="10:24" x14ac:dyDescent="0.35">
      <c r="J292" s="38"/>
      <c r="K292" s="38"/>
      <c r="L292" s="38"/>
      <c r="M292" s="47"/>
      <c r="X292" s="47"/>
    </row>
    <row r="293" spans="10:24" x14ac:dyDescent="0.35">
      <c r="J293" s="38"/>
      <c r="K293" s="38"/>
      <c r="L293" s="38"/>
      <c r="M293" s="47"/>
      <c r="X293" s="47"/>
    </row>
    <row r="294" spans="10:24" x14ac:dyDescent="0.35">
      <c r="J294" s="38"/>
      <c r="K294" s="38"/>
      <c r="L294" s="38"/>
      <c r="M294" s="47"/>
      <c r="X294" s="47"/>
    </row>
    <row r="295" spans="10:24" x14ac:dyDescent="0.35">
      <c r="J295" s="38"/>
      <c r="K295" s="38"/>
      <c r="L295" s="38"/>
      <c r="M295" s="47"/>
      <c r="X295" s="47"/>
    </row>
    <row r="296" spans="10:24" x14ac:dyDescent="0.35">
      <c r="J296" s="38"/>
      <c r="K296" s="38"/>
      <c r="L296" s="38"/>
      <c r="M296" s="47"/>
      <c r="X296" s="47"/>
    </row>
    <row r="297" spans="10:24" x14ac:dyDescent="0.35">
      <c r="J297" s="40"/>
      <c r="K297" s="40"/>
      <c r="L297" s="46"/>
      <c r="M297" s="46"/>
      <c r="X297" s="47"/>
    </row>
    <row r="298" spans="10:24" x14ac:dyDescent="0.35">
      <c r="J298" s="38"/>
      <c r="K298" s="38"/>
      <c r="L298" s="38"/>
      <c r="M298" s="47"/>
      <c r="X298" s="47"/>
    </row>
    <row r="299" spans="10:24" x14ac:dyDescent="0.35">
      <c r="J299" s="38"/>
      <c r="K299" s="38"/>
      <c r="L299" s="38"/>
      <c r="M299" s="47"/>
      <c r="X299" s="47"/>
    </row>
    <row r="300" spans="10:24" x14ac:dyDescent="0.35">
      <c r="J300" s="38"/>
      <c r="K300" s="38"/>
      <c r="L300" s="38"/>
      <c r="M300" s="47"/>
      <c r="X300" s="47"/>
    </row>
    <row r="301" spans="10:24" x14ac:dyDescent="0.35">
      <c r="J301" s="38"/>
      <c r="K301" s="38"/>
      <c r="L301" s="38"/>
      <c r="M301" s="47"/>
      <c r="X301" s="47"/>
    </row>
    <row r="302" spans="10:24" x14ac:dyDescent="0.35">
      <c r="J302" s="38"/>
      <c r="K302" s="38"/>
      <c r="L302" s="38"/>
      <c r="M302" s="47"/>
      <c r="N302" s="40"/>
      <c r="O302" s="40"/>
      <c r="P302" s="46"/>
      <c r="Q302" s="46"/>
      <c r="X302" s="47"/>
    </row>
    <row r="303" spans="10:24" x14ac:dyDescent="0.35">
      <c r="J303" s="38"/>
      <c r="K303" s="38"/>
      <c r="L303" s="38"/>
      <c r="M303" s="47"/>
      <c r="N303" s="40"/>
      <c r="O303" s="40"/>
      <c r="P303" s="46"/>
      <c r="Q303" s="46"/>
      <c r="X303" s="47"/>
    </row>
    <row r="304" spans="10:24" x14ac:dyDescent="0.35">
      <c r="J304" s="38"/>
      <c r="K304" s="38"/>
      <c r="L304" s="38"/>
      <c r="M304" s="47"/>
      <c r="X304" s="47"/>
    </row>
    <row r="305" spans="10:24" x14ac:dyDescent="0.35">
      <c r="J305" s="38"/>
      <c r="K305" s="38"/>
      <c r="L305" s="38"/>
      <c r="M305" s="47"/>
      <c r="X305" s="47"/>
    </row>
    <row r="306" spans="10:24" x14ac:dyDescent="0.35">
      <c r="J306" s="38"/>
      <c r="K306" s="38"/>
      <c r="L306" s="38"/>
      <c r="M306" s="47"/>
      <c r="X306" s="47"/>
    </row>
    <row r="307" spans="10:24" x14ac:dyDescent="0.35">
      <c r="J307" s="38"/>
      <c r="K307" s="38"/>
      <c r="L307" s="38"/>
      <c r="M307" s="47"/>
      <c r="X307" s="47"/>
    </row>
    <row r="308" spans="10:24" x14ac:dyDescent="0.35">
      <c r="J308" s="38"/>
      <c r="K308" s="38"/>
      <c r="L308" s="38"/>
      <c r="M308" s="47"/>
      <c r="X308" s="47"/>
    </row>
    <row r="309" spans="10:24" x14ac:dyDescent="0.35">
      <c r="J309" s="38"/>
      <c r="K309" s="38"/>
      <c r="L309" s="38"/>
      <c r="M309" s="47"/>
      <c r="X309" s="47"/>
    </row>
    <row r="310" spans="10:24" x14ac:dyDescent="0.35">
      <c r="J310" s="40"/>
      <c r="K310" s="40"/>
      <c r="L310" s="46"/>
      <c r="M310" s="46"/>
      <c r="X310" s="47"/>
    </row>
    <row r="311" spans="10:24" x14ac:dyDescent="0.35">
      <c r="J311" s="38"/>
      <c r="K311" s="38"/>
      <c r="L311" s="38"/>
      <c r="M311" s="47"/>
      <c r="X311" s="47"/>
    </row>
    <row r="312" spans="10:24" x14ac:dyDescent="0.35">
      <c r="J312" s="38"/>
      <c r="K312" s="38"/>
      <c r="L312" s="38"/>
      <c r="M312" s="47"/>
      <c r="X312" s="47"/>
    </row>
    <row r="313" spans="10:24" x14ac:dyDescent="0.35">
      <c r="J313" s="38"/>
      <c r="K313" s="38"/>
      <c r="L313" s="38"/>
      <c r="M313" s="47"/>
      <c r="N313" s="40"/>
      <c r="O313" s="40"/>
      <c r="P313" s="46"/>
      <c r="Q313" s="46"/>
      <c r="X313" s="47"/>
    </row>
    <row r="314" spans="10:24" x14ac:dyDescent="0.35">
      <c r="J314" s="38"/>
      <c r="K314" s="38"/>
      <c r="L314" s="38"/>
      <c r="M314" s="47"/>
      <c r="X314" s="47"/>
    </row>
    <row r="315" spans="10:24" x14ac:dyDescent="0.35">
      <c r="J315" s="38"/>
      <c r="K315" s="38"/>
      <c r="L315" s="38"/>
      <c r="M315" s="47"/>
      <c r="X315" s="47"/>
    </row>
    <row r="316" spans="10:24" x14ac:dyDescent="0.35">
      <c r="J316" s="38"/>
      <c r="K316" s="38"/>
      <c r="L316" s="38"/>
      <c r="M316" s="47"/>
      <c r="X316" s="47"/>
    </row>
    <row r="317" spans="10:24" x14ac:dyDescent="0.35">
      <c r="J317" s="38"/>
      <c r="K317" s="38"/>
      <c r="L317" s="38"/>
      <c r="M317" s="47"/>
      <c r="X317" s="47"/>
    </row>
    <row r="318" spans="10:24" x14ac:dyDescent="0.35">
      <c r="J318" s="38"/>
      <c r="K318" s="38"/>
      <c r="L318" s="38"/>
      <c r="M318" s="47"/>
      <c r="X318" s="47"/>
    </row>
    <row r="319" spans="10:24" x14ac:dyDescent="0.35">
      <c r="J319" s="38"/>
      <c r="K319" s="38"/>
      <c r="L319" s="38"/>
      <c r="M319" s="47"/>
      <c r="X319" s="47"/>
    </row>
    <row r="320" spans="10:24" x14ac:dyDescent="0.35">
      <c r="J320" s="38"/>
      <c r="K320" s="38"/>
      <c r="L320" s="38"/>
      <c r="M320" s="47"/>
      <c r="X320" s="47"/>
    </row>
    <row r="321" spans="10:24" x14ac:dyDescent="0.35">
      <c r="J321" s="38"/>
      <c r="K321" s="38"/>
      <c r="L321" s="38"/>
      <c r="M321" s="47"/>
      <c r="X321" s="47"/>
    </row>
    <row r="322" spans="10:24" x14ac:dyDescent="0.35">
      <c r="J322" s="40"/>
      <c r="K322" s="40"/>
      <c r="L322" s="46"/>
      <c r="M322" s="46"/>
      <c r="X322" s="47"/>
    </row>
    <row r="323" spans="10:24" x14ac:dyDescent="0.35">
      <c r="J323" s="38"/>
      <c r="K323" s="38"/>
      <c r="L323" s="38"/>
      <c r="M323" s="47"/>
      <c r="X323" s="47"/>
    </row>
    <row r="324" spans="10:24" x14ac:dyDescent="0.35">
      <c r="J324" s="38"/>
      <c r="K324" s="38"/>
      <c r="L324" s="38"/>
      <c r="M324" s="47"/>
      <c r="X324" s="47"/>
    </row>
    <row r="325" spans="10:24" x14ac:dyDescent="0.35">
      <c r="J325" s="38"/>
      <c r="K325" s="38"/>
      <c r="L325" s="38"/>
      <c r="M325" s="47"/>
      <c r="X325" s="47"/>
    </row>
    <row r="326" spans="10:24" x14ac:dyDescent="0.35">
      <c r="J326" s="38"/>
      <c r="K326" s="38"/>
      <c r="L326" s="38"/>
      <c r="M326" s="47"/>
      <c r="X326" s="47"/>
    </row>
    <row r="327" spans="10:24" x14ac:dyDescent="0.35">
      <c r="J327" s="38"/>
      <c r="K327" s="38"/>
      <c r="L327" s="38"/>
      <c r="M327" s="47"/>
      <c r="X327" s="47"/>
    </row>
    <row r="328" spans="10:24" x14ac:dyDescent="0.35">
      <c r="J328" s="38"/>
      <c r="K328" s="38"/>
      <c r="L328" s="38"/>
      <c r="M328" s="47"/>
      <c r="X328" s="47"/>
    </row>
    <row r="329" spans="10:24" x14ac:dyDescent="0.35">
      <c r="J329" s="38"/>
      <c r="K329" s="38"/>
      <c r="L329" s="38"/>
      <c r="M329" s="47"/>
      <c r="X329" s="47"/>
    </row>
    <row r="330" spans="10:24" x14ac:dyDescent="0.35">
      <c r="J330" s="38"/>
      <c r="K330" s="38"/>
      <c r="L330" s="38"/>
      <c r="M330" s="47"/>
      <c r="X330" s="47"/>
    </row>
    <row r="331" spans="10:24" x14ac:dyDescent="0.35">
      <c r="J331" s="38"/>
      <c r="K331" s="38"/>
      <c r="L331" s="38"/>
      <c r="M331" s="47"/>
      <c r="X331" s="47"/>
    </row>
    <row r="332" spans="10:24" x14ac:dyDescent="0.35">
      <c r="J332" s="38"/>
      <c r="K332" s="38"/>
      <c r="L332" s="38"/>
      <c r="M332" s="47"/>
      <c r="X332" s="47"/>
    </row>
    <row r="333" spans="10:24" x14ac:dyDescent="0.35">
      <c r="J333" s="38"/>
      <c r="K333" s="38"/>
      <c r="L333" s="38"/>
      <c r="M333" s="47"/>
      <c r="X333" s="47"/>
    </row>
    <row r="334" spans="10:24" x14ac:dyDescent="0.35">
      <c r="J334" s="38"/>
      <c r="K334" s="38"/>
      <c r="L334" s="38"/>
      <c r="M334" s="47"/>
      <c r="X334" s="47"/>
    </row>
    <row r="335" spans="10:24" x14ac:dyDescent="0.35">
      <c r="J335" s="38"/>
      <c r="K335" s="38"/>
      <c r="L335" s="38"/>
      <c r="M335" s="47"/>
      <c r="X335" s="47"/>
    </row>
    <row r="336" spans="10:24" x14ac:dyDescent="0.35">
      <c r="J336" s="38"/>
      <c r="K336" s="38"/>
      <c r="L336" s="38"/>
      <c r="M336" s="47"/>
      <c r="X336" s="47"/>
    </row>
    <row r="337" spans="10:24" x14ac:dyDescent="0.35">
      <c r="J337" s="38"/>
      <c r="K337" s="38"/>
      <c r="L337" s="38"/>
      <c r="M337" s="47"/>
      <c r="X337" s="47"/>
    </row>
    <row r="338" spans="10:24" x14ac:dyDescent="0.35">
      <c r="J338" s="38"/>
      <c r="K338" s="38"/>
      <c r="L338" s="38"/>
      <c r="M338" s="47"/>
      <c r="X338" s="47"/>
    </row>
    <row r="339" spans="10:24" x14ac:dyDescent="0.35">
      <c r="J339" s="38"/>
      <c r="K339" s="38"/>
      <c r="L339" s="38"/>
      <c r="M339" s="47"/>
      <c r="X339" s="47"/>
    </row>
    <row r="340" spans="10:24" x14ac:dyDescent="0.35">
      <c r="J340" s="38"/>
      <c r="K340" s="38"/>
      <c r="L340" s="38"/>
      <c r="M340" s="47"/>
      <c r="X340" s="47"/>
    </row>
    <row r="341" spans="10:24" x14ac:dyDescent="0.35">
      <c r="J341" s="38"/>
      <c r="K341" s="38"/>
      <c r="L341" s="38"/>
      <c r="M341" s="47"/>
      <c r="X341" s="47"/>
    </row>
    <row r="342" spans="10:24" x14ac:dyDescent="0.35">
      <c r="J342" s="38"/>
      <c r="K342" s="38"/>
      <c r="L342" s="38"/>
      <c r="M342" s="47"/>
      <c r="X342" s="47"/>
    </row>
    <row r="343" spans="10:24" x14ac:dyDescent="0.35">
      <c r="J343" s="38"/>
      <c r="K343" s="38"/>
      <c r="L343" s="38"/>
      <c r="M343" s="47"/>
      <c r="X343" s="47"/>
    </row>
    <row r="344" spans="10:24" x14ac:dyDescent="0.35">
      <c r="J344" s="38"/>
      <c r="K344" s="38"/>
      <c r="L344" s="38"/>
      <c r="M344" s="47"/>
      <c r="X344" s="47"/>
    </row>
    <row r="345" spans="10:24" x14ac:dyDescent="0.35">
      <c r="J345" s="38"/>
      <c r="K345" s="38"/>
      <c r="L345" s="38"/>
      <c r="M345" s="47"/>
      <c r="X345" s="47"/>
    </row>
    <row r="346" spans="10:24" x14ac:dyDescent="0.35">
      <c r="J346" s="38"/>
      <c r="K346" s="38"/>
      <c r="L346" s="38"/>
      <c r="M346" s="47"/>
      <c r="X346" s="47"/>
    </row>
    <row r="347" spans="10:24" x14ac:dyDescent="0.35">
      <c r="J347" s="38"/>
      <c r="K347" s="38"/>
      <c r="L347" s="38"/>
      <c r="M347" s="47"/>
      <c r="X347" s="47"/>
    </row>
    <row r="348" spans="10:24" x14ac:dyDescent="0.35">
      <c r="J348" s="38"/>
      <c r="K348" s="38"/>
      <c r="L348" s="38"/>
      <c r="M348" s="47"/>
      <c r="X348" s="47"/>
    </row>
    <row r="349" spans="10:24" x14ac:dyDescent="0.35">
      <c r="J349" s="38"/>
      <c r="K349" s="38"/>
      <c r="L349" s="38"/>
      <c r="M349" s="47"/>
      <c r="X349" s="47"/>
    </row>
    <row r="350" spans="10:24" x14ac:dyDescent="0.35">
      <c r="J350" s="38"/>
      <c r="K350" s="38"/>
      <c r="L350" s="38"/>
      <c r="M350" s="47"/>
      <c r="X350" s="47"/>
    </row>
    <row r="351" spans="10:24" x14ac:dyDescent="0.35">
      <c r="J351" s="38"/>
      <c r="K351" s="38"/>
      <c r="L351" s="38"/>
      <c r="M351" s="47"/>
      <c r="X351" s="47"/>
    </row>
    <row r="352" spans="10:24" x14ac:dyDescent="0.35">
      <c r="J352" s="38"/>
      <c r="K352" s="38"/>
      <c r="L352" s="38"/>
      <c r="M352" s="47"/>
      <c r="X352" s="47"/>
    </row>
    <row r="353" spans="10:24" x14ac:dyDescent="0.35">
      <c r="J353" s="38"/>
      <c r="K353" s="38"/>
      <c r="L353" s="38"/>
      <c r="M353" s="47"/>
      <c r="X353" s="47"/>
    </row>
    <row r="354" spans="10:24" x14ac:dyDescent="0.35">
      <c r="J354" s="38"/>
      <c r="K354" s="38"/>
      <c r="L354" s="38"/>
      <c r="M354" s="47"/>
      <c r="X354" s="47"/>
    </row>
    <row r="355" spans="10:24" x14ac:dyDescent="0.35">
      <c r="J355" s="38"/>
      <c r="K355" s="38"/>
      <c r="L355" s="38"/>
      <c r="M355" s="47"/>
      <c r="X355" s="47"/>
    </row>
    <row r="356" spans="10:24" x14ac:dyDescent="0.35">
      <c r="J356" s="38"/>
      <c r="K356" s="38"/>
      <c r="L356" s="38"/>
      <c r="M356" s="47"/>
      <c r="X356" s="47"/>
    </row>
    <row r="357" spans="10:24" x14ac:dyDescent="0.35">
      <c r="J357" s="38"/>
      <c r="K357" s="38"/>
      <c r="L357" s="38"/>
      <c r="M357" s="47"/>
      <c r="X357" s="47"/>
    </row>
    <row r="358" spans="10:24" x14ac:dyDescent="0.35">
      <c r="J358" s="38"/>
      <c r="K358" s="38"/>
      <c r="L358" s="38"/>
      <c r="M358" s="47"/>
      <c r="X358" s="47"/>
    </row>
    <row r="359" spans="10:24" x14ac:dyDescent="0.35">
      <c r="J359" s="38"/>
      <c r="K359" s="38"/>
      <c r="L359" s="38"/>
      <c r="M359" s="47"/>
      <c r="X359" s="47"/>
    </row>
    <row r="360" spans="10:24" x14ac:dyDescent="0.35">
      <c r="J360" s="38"/>
      <c r="K360" s="38"/>
      <c r="L360" s="38"/>
      <c r="M360" s="47"/>
      <c r="X360" s="47"/>
    </row>
    <row r="361" spans="10:24" x14ac:dyDescent="0.35">
      <c r="J361" s="38"/>
      <c r="K361" s="38"/>
      <c r="L361" s="38"/>
      <c r="M361" s="47"/>
      <c r="X361" s="47"/>
    </row>
    <row r="362" spans="10:24" x14ac:dyDescent="0.35">
      <c r="J362" s="38"/>
      <c r="K362" s="38"/>
      <c r="L362" s="38"/>
      <c r="M362" s="47"/>
      <c r="X362" s="47"/>
    </row>
    <row r="363" spans="10:24" x14ac:dyDescent="0.35">
      <c r="J363" s="38"/>
      <c r="K363" s="38"/>
      <c r="L363" s="38"/>
      <c r="M363" s="47"/>
      <c r="X363" s="47"/>
    </row>
    <row r="364" spans="10:24" x14ac:dyDescent="0.35">
      <c r="J364" s="38"/>
      <c r="K364" s="38"/>
      <c r="L364" s="38"/>
      <c r="M364" s="47"/>
      <c r="X364" s="47"/>
    </row>
    <row r="365" spans="10:24" x14ac:dyDescent="0.35">
      <c r="J365" s="38"/>
      <c r="K365" s="38"/>
      <c r="L365" s="38"/>
      <c r="M365" s="47"/>
      <c r="X365" s="47"/>
    </row>
    <row r="366" spans="10:24" x14ac:dyDescent="0.35">
      <c r="J366" s="38"/>
      <c r="K366" s="38"/>
      <c r="L366" s="38"/>
      <c r="M366" s="47"/>
      <c r="X366" s="47"/>
    </row>
    <row r="367" spans="10:24" x14ac:dyDescent="0.35">
      <c r="J367" s="38"/>
      <c r="K367" s="38"/>
      <c r="L367" s="38"/>
      <c r="M367" s="47"/>
      <c r="X367" s="47"/>
    </row>
    <row r="368" spans="10:24" x14ac:dyDescent="0.35">
      <c r="J368" s="38"/>
      <c r="K368" s="38"/>
      <c r="L368" s="38"/>
      <c r="M368" s="47"/>
      <c r="X368" s="47"/>
    </row>
    <row r="369" spans="10:24" x14ac:dyDescent="0.35">
      <c r="J369" s="38"/>
      <c r="K369" s="38"/>
      <c r="L369" s="38"/>
      <c r="M369" s="47"/>
      <c r="X369" s="47"/>
    </row>
    <row r="370" spans="10:24" x14ac:dyDescent="0.35">
      <c r="J370" s="38"/>
      <c r="K370" s="38"/>
      <c r="L370" s="38"/>
      <c r="M370" s="47"/>
      <c r="X370" s="47"/>
    </row>
    <row r="371" spans="10:24" x14ac:dyDescent="0.35">
      <c r="J371" s="38"/>
      <c r="K371" s="38"/>
      <c r="L371" s="38"/>
      <c r="M371" s="47"/>
      <c r="X371" s="47"/>
    </row>
    <row r="372" spans="10:24" x14ac:dyDescent="0.35">
      <c r="J372" s="38"/>
      <c r="K372" s="38"/>
      <c r="L372" s="38"/>
      <c r="M372" s="47"/>
      <c r="X372" s="47"/>
    </row>
    <row r="373" spans="10:24" x14ac:dyDescent="0.35">
      <c r="J373" s="40"/>
      <c r="K373" s="40"/>
      <c r="L373" s="46"/>
      <c r="M373" s="46"/>
      <c r="X373" s="47"/>
    </row>
    <row r="374" spans="10:24" x14ac:dyDescent="0.35">
      <c r="J374" s="38"/>
      <c r="K374" s="38"/>
      <c r="L374" s="38"/>
      <c r="M374" s="47"/>
      <c r="X374" s="47"/>
    </row>
    <row r="375" spans="10:24" x14ac:dyDescent="0.35">
      <c r="J375" s="38"/>
      <c r="K375" s="38"/>
      <c r="L375" s="38"/>
      <c r="M375" s="47"/>
      <c r="X375" s="47"/>
    </row>
    <row r="376" spans="10:24" x14ac:dyDescent="0.35">
      <c r="J376" s="38"/>
      <c r="K376" s="38"/>
      <c r="L376" s="38"/>
      <c r="M376" s="47"/>
      <c r="X376" s="47"/>
    </row>
    <row r="377" spans="10:24" x14ac:dyDescent="0.35">
      <c r="J377" s="38"/>
      <c r="K377" s="38"/>
      <c r="L377" s="38"/>
      <c r="M377" s="47"/>
      <c r="X377" s="47"/>
    </row>
    <row r="378" spans="10:24" x14ac:dyDescent="0.35">
      <c r="J378" s="38"/>
      <c r="K378" s="38"/>
      <c r="L378" s="38"/>
      <c r="M378" s="47"/>
      <c r="X378" s="47"/>
    </row>
    <row r="379" spans="10:24" x14ac:dyDescent="0.35">
      <c r="J379" s="40"/>
      <c r="K379" s="38"/>
      <c r="L379" s="46"/>
      <c r="M379" s="46"/>
      <c r="X379" s="47"/>
    </row>
    <row r="380" spans="10:24" x14ac:dyDescent="0.35">
      <c r="J380" s="40"/>
      <c r="K380" s="40"/>
      <c r="L380" s="46"/>
      <c r="M380" s="46"/>
      <c r="X380" s="47"/>
    </row>
    <row r="381" spans="10:24" x14ac:dyDescent="0.35">
      <c r="J381" s="38"/>
      <c r="K381" s="38"/>
      <c r="L381" s="38"/>
      <c r="M381" s="47"/>
      <c r="X381" s="47"/>
    </row>
    <row r="382" spans="10:24" x14ac:dyDescent="0.35">
      <c r="J382" s="38"/>
      <c r="K382" s="38"/>
      <c r="L382" s="38"/>
      <c r="M382" s="47"/>
      <c r="X382" s="47"/>
    </row>
    <row r="383" spans="10:24" x14ac:dyDescent="0.35">
      <c r="J383" s="38"/>
      <c r="K383" s="38"/>
      <c r="L383" s="38"/>
      <c r="M383" s="47"/>
      <c r="X383" s="47"/>
    </row>
    <row r="384" spans="10:24" x14ac:dyDescent="0.35">
      <c r="J384" s="38"/>
      <c r="K384" s="38"/>
      <c r="L384" s="38"/>
      <c r="M384" s="47"/>
      <c r="X384" s="47"/>
    </row>
    <row r="385" spans="10:24" x14ac:dyDescent="0.35">
      <c r="J385" s="38"/>
      <c r="K385" s="38"/>
      <c r="L385" s="38"/>
      <c r="M385" s="47"/>
      <c r="X385" s="47"/>
    </row>
    <row r="386" spans="10:24" x14ac:dyDescent="0.35">
      <c r="J386" s="38"/>
      <c r="K386" s="38"/>
      <c r="L386" s="38"/>
      <c r="M386" s="47"/>
      <c r="X386" s="47"/>
    </row>
    <row r="387" spans="10:24" x14ac:dyDescent="0.35">
      <c r="J387" s="38"/>
      <c r="K387" s="38"/>
      <c r="L387" s="38"/>
      <c r="M387" s="47"/>
      <c r="X387" s="47"/>
    </row>
    <row r="388" spans="10:24" x14ac:dyDescent="0.35">
      <c r="J388" s="40"/>
      <c r="K388" s="40"/>
      <c r="L388" s="46"/>
      <c r="M388" s="46"/>
      <c r="X388" s="47"/>
    </row>
    <row r="389" spans="10:24" x14ac:dyDescent="0.35">
      <c r="J389" s="38"/>
      <c r="K389" s="38"/>
      <c r="L389" s="38"/>
      <c r="M389" s="47"/>
      <c r="X389" s="47"/>
    </row>
    <row r="390" spans="10:24" x14ac:dyDescent="0.35">
      <c r="J390" s="38"/>
      <c r="K390" s="38"/>
      <c r="L390" s="38"/>
      <c r="M390" s="47"/>
      <c r="X390" s="47"/>
    </row>
    <row r="391" spans="10:24" x14ac:dyDescent="0.35">
      <c r="J391" s="38"/>
      <c r="K391" s="38"/>
      <c r="L391" s="38"/>
      <c r="M391" s="47"/>
      <c r="X391" s="47"/>
    </row>
    <row r="392" spans="10:24" x14ac:dyDescent="0.35">
      <c r="J392" s="38"/>
      <c r="K392" s="38"/>
      <c r="L392" s="38"/>
      <c r="M392" s="47"/>
      <c r="X392" s="47"/>
    </row>
    <row r="393" spans="10:24" x14ac:dyDescent="0.35">
      <c r="J393" s="38"/>
      <c r="K393" s="38"/>
      <c r="L393" s="38"/>
      <c r="M393" s="47"/>
      <c r="X393" s="47"/>
    </row>
    <row r="394" spans="10:24" x14ac:dyDescent="0.35">
      <c r="J394" s="38"/>
      <c r="K394" s="38"/>
      <c r="L394" s="38"/>
      <c r="M394" s="47"/>
      <c r="X394" s="47"/>
    </row>
    <row r="395" spans="10:24" x14ac:dyDescent="0.35">
      <c r="J395" s="38"/>
      <c r="K395" s="38"/>
      <c r="L395" s="38"/>
      <c r="M395" s="47"/>
      <c r="X395" s="47"/>
    </row>
    <row r="396" spans="10:24" x14ac:dyDescent="0.35">
      <c r="J396" s="38"/>
      <c r="K396" s="38"/>
      <c r="L396" s="38"/>
      <c r="M396" s="47"/>
      <c r="X396" s="47"/>
    </row>
    <row r="397" spans="10:24" x14ac:dyDescent="0.35">
      <c r="J397" s="38"/>
      <c r="K397" s="38"/>
      <c r="L397" s="38"/>
      <c r="M397" s="47"/>
      <c r="X397" s="47"/>
    </row>
    <row r="398" spans="10:24" x14ac:dyDescent="0.35">
      <c r="J398" s="38"/>
      <c r="K398" s="38"/>
      <c r="L398" s="38"/>
      <c r="M398" s="47"/>
      <c r="X398" s="47"/>
    </row>
    <row r="399" spans="10:24" x14ac:dyDescent="0.35">
      <c r="J399" s="38"/>
      <c r="K399" s="38"/>
      <c r="L399" s="38"/>
      <c r="M399" s="47"/>
      <c r="X399" s="47"/>
    </row>
    <row r="400" spans="10:24" x14ac:dyDescent="0.35">
      <c r="J400" s="38"/>
      <c r="K400" s="38"/>
      <c r="L400" s="38"/>
      <c r="M400" s="47"/>
      <c r="X400" s="47"/>
    </row>
    <row r="401" spans="10:24" x14ac:dyDescent="0.35">
      <c r="J401" s="38"/>
      <c r="K401" s="38"/>
      <c r="L401" s="38"/>
      <c r="M401" s="47"/>
      <c r="X401" s="47"/>
    </row>
    <row r="402" spans="10:24" x14ac:dyDescent="0.35">
      <c r="J402" s="38"/>
      <c r="K402" s="38"/>
      <c r="L402" s="38"/>
      <c r="M402" s="47"/>
      <c r="X402" s="47"/>
    </row>
    <row r="403" spans="10:24" x14ac:dyDescent="0.35">
      <c r="J403" s="38"/>
      <c r="K403" s="38"/>
      <c r="L403" s="38"/>
      <c r="M403" s="47"/>
      <c r="X403" s="47"/>
    </row>
    <row r="404" spans="10:24" x14ac:dyDescent="0.35">
      <c r="J404" s="38"/>
      <c r="K404" s="38"/>
      <c r="L404" s="38"/>
      <c r="M404" s="47"/>
      <c r="X404" s="47"/>
    </row>
    <row r="405" spans="10:24" x14ac:dyDescent="0.35">
      <c r="J405" s="38"/>
      <c r="K405" s="38"/>
      <c r="L405" s="38"/>
      <c r="M405" s="47"/>
      <c r="X405" s="47"/>
    </row>
    <row r="406" spans="10:24" x14ac:dyDescent="0.35">
      <c r="J406" s="38"/>
      <c r="K406" s="38"/>
      <c r="L406" s="38"/>
      <c r="M406" s="47"/>
      <c r="X406" s="47"/>
    </row>
    <row r="407" spans="10:24" x14ac:dyDescent="0.35">
      <c r="J407" s="38"/>
      <c r="K407" s="38"/>
      <c r="L407" s="38"/>
      <c r="M407" s="47"/>
      <c r="X407" s="47"/>
    </row>
    <row r="408" spans="10:24" x14ac:dyDescent="0.35">
      <c r="J408" s="38"/>
      <c r="K408" s="38"/>
      <c r="L408" s="38"/>
      <c r="M408" s="47"/>
      <c r="X408" s="47"/>
    </row>
    <row r="409" spans="10:24" x14ac:dyDescent="0.35">
      <c r="J409" s="38"/>
      <c r="K409" s="38"/>
      <c r="L409" s="38"/>
      <c r="M409" s="47"/>
      <c r="X409" s="47"/>
    </row>
    <row r="410" spans="10:24" x14ac:dyDescent="0.35">
      <c r="J410" s="38"/>
      <c r="K410" s="38"/>
      <c r="L410" s="38"/>
      <c r="M410" s="47"/>
      <c r="X410" s="47"/>
    </row>
    <row r="411" spans="10:24" x14ac:dyDescent="0.35">
      <c r="J411" s="38"/>
      <c r="K411" s="38"/>
      <c r="L411" s="38"/>
      <c r="M411" s="47"/>
      <c r="X411" s="47"/>
    </row>
    <row r="412" spans="10:24" x14ac:dyDescent="0.35">
      <c r="J412" s="38"/>
      <c r="K412" s="38"/>
      <c r="L412" s="38"/>
      <c r="M412" s="47"/>
      <c r="X412" s="47"/>
    </row>
    <row r="413" spans="10:24" x14ac:dyDescent="0.35">
      <c r="J413" s="38"/>
      <c r="K413" s="38"/>
      <c r="L413" s="38"/>
      <c r="M413" s="47"/>
      <c r="X413" s="47"/>
    </row>
    <row r="414" spans="10:24" x14ac:dyDescent="0.35">
      <c r="J414" s="38"/>
      <c r="K414" s="38"/>
      <c r="L414" s="38"/>
      <c r="M414" s="47"/>
      <c r="X414" s="47"/>
    </row>
    <row r="415" spans="10:24" x14ac:dyDescent="0.35">
      <c r="J415" s="38"/>
      <c r="K415" s="38"/>
      <c r="L415" s="38"/>
      <c r="M415" s="47"/>
      <c r="X415" s="47"/>
    </row>
    <row r="416" spans="10:24" x14ac:dyDescent="0.35">
      <c r="J416" s="38"/>
      <c r="K416" s="38"/>
      <c r="L416" s="38"/>
      <c r="M416" s="47"/>
      <c r="X416" s="47"/>
    </row>
    <row r="417" spans="10:24" x14ac:dyDescent="0.35">
      <c r="J417" s="38"/>
      <c r="K417" s="38"/>
      <c r="L417" s="38"/>
      <c r="M417" s="47"/>
      <c r="X417" s="47"/>
    </row>
    <row r="418" spans="10:24" x14ac:dyDescent="0.35">
      <c r="J418" s="38"/>
      <c r="K418" s="38"/>
      <c r="L418" s="38"/>
      <c r="M418" s="47"/>
      <c r="X418" s="47"/>
    </row>
    <row r="419" spans="10:24" x14ac:dyDescent="0.35">
      <c r="J419" s="38"/>
      <c r="K419" s="38"/>
      <c r="L419" s="38"/>
      <c r="M419" s="47"/>
      <c r="X419" s="47"/>
    </row>
    <row r="420" spans="10:24" x14ac:dyDescent="0.35">
      <c r="J420" s="38"/>
      <c r="K420" s="38"/>
      <c r="L420" s="38"/>
      <c r="M420" s="47"/>
      <c r="X420" s="47"/>
    </row>
    <row r="421" spans="10:24" x14ac:dyDescent="0.35">
      <c r="J421" s="38"/>
      <c r="K421" s="38"/>
      <c r="L421" s="38"/>
      <c r="M421" s="47"/>
      <c r="X421" s="47"/>
    </row>
    <row r="422" spans="10:24" x14ac:dyDescent="0.35">
      <c r="J422" s="38"/>
      <c r="K422" s="38"/>
      <c r="L422" s="38"/>
      <c r="M422" s="47"/>
      <c r="X422" s="47"/>
    </row>
    <row r="423" spans="10:24" x14ac:dyDescent="0.35">
      <c r="J423" s="38"/>
      <c r="K423" s="38"/>
      <c r="L423" s="38"/>
      <c r="M423" s="47"/>
      <c r="X423" s="47"/>
    </row>
    <row r="424" spans="10:24" x14ac:dyDescent="0.35">
      <c r="J424" s="38"/>
      <c r="K424" s="38"/>
      <c r="L424" s="38"/>
      <c r="M424" s="47"/>
      <c r="X424" s="47"/>
    </row>
    <row r="425" spans="10:24" x14ac:dyDescent="0.35">
      <c r="J425" s="38"/>
      <c r="K425" s="38"/>
      <c r="L425" s="38"/>
      <c r="M425" s="47"/>
      <c r="X425" s="47"/>
    </row>
    <row r="426" spans="10:24" x14ac:dyDescent="0.35">
      <c r="J426" s="38"/>
      <c r="K426" s="38"/>
      <c r="L426" s="38"/>
      <c r="M426" s="47"/>
      <c r="X426" s="47"/>
    </row>
    <row r="427" spans="10:24" x14ac:dyDescent="0.35">
      <c r="J427" s="38"/>
      <c r="K427" s="38"/>
      <c r="L427" s="38"/>
      <c r="M427" s="47"/>
      <c r="X427" s="47"/>
    </row>
    <row r="428" spans="10:24" x14ac:dyDescent="0.35">
      <c r="J428" s="38"/>
      <c r="K428" s="38"/>
      <c r="L428" s="38"/>
      <c r="M428" s="47"/>
      <c r="X428" s="47"/>
    </row>
    <row r="429" spans="10:24" x14ac:dyDescent="0.35">
      <c r="J429" s="38"/>
      <c r="K429" s="38"/>
      <c r="L429" s="38"/>
      <c r="M429" s="47"/>
      <c r="X429" s="47"/>
    </row>
    <row r="430" spans="10:24" x14ac:dyDescent="0.35">
      <c r="J430" s="38"/>
      <c r="K430" s="38"/>
      <c r="L430" s="38"/>
      <c r="M430" s="47"/>
      <c r="X430" s="47"/>
    </row>
    <row r="431" spans="10:24" x14ac:dyDescent="0.35">
      <c r="J431" s="38"/>
      <c r="K431" s="38"/>
      <c r="L431" s="38"/>
      <c r="M431" s="47"/>
      <c r="X431" s="47"/>
    </row>
    <row r="432" spans="10:24" x14ac:dyDescent="0.35">
      <c r="J432" s="38"/>
      <c r="K432" s="38"/>
      <c r="L432" s="38"/>
      <c r="M432" s="47"/>
      <c r="X432" s="47"/>
    </row>
    <row r="433" spans="10:24" x14ac:dyDescent="0.35">
      <c r="J433" s="38"/>
      <c r="K433" s="38"/>
      <c r="L433" s="38"/>
      <c r="M433" s="47"/>
      <c r="X433" s="47"/>
    </row>
    <row r="434" spans="10:24" x14ac:dyDescent="0.35">
      <c r="J434" s="38"/>
      <c r="K434" s="38"/>
      <c r="L434" s="38"/>
      <c r="M434" s="47"/>
      <c r="X434" s="47"/>
    </row>
    <row r="435" spans="10:24" x14ac:dyDescent="0.35">
      <c r="J435" s="38"/>
      <c r="K435" s="38"/>
      <c r="L435" s="38"/>
      <c r="M435" s="47"/>
      <c r="X435" s="47"/>
    </row>
    <row r="436" spans="10:24" x14ac:dyDescent="0.35">
      <c r="J436" s="38"/>
      <c r="K436" s="38"/>
      <c r="L436" s="38"/>
      <c r="M436" s="47"/>
      <c r="X436" s="47"/>
    </row>
    <row r="437" spans="10:24" x14ac:dyDescent="0.35">
      <c r="J437" s="38"/>
      <c r="K437" s="38"/>
      <c r="L437" s="38"/>
      <c r="M437" s="47"/>
      <c r="X437" s="47"/>
    </row>
    <row r="438" spans="10:24" x14ac:dyDescent="0.35">
      <c r="J438" s="38"/>
      <c r="K438" s="38"/>
      <c r="L438" s="38"/>
      <c r="M438" s="47"/>
      <c r="X438" s="47"/>
    </row>
    <row r="439" spans="10:24" x14ac:dyDescent="0.35">
      <c r="J439" s="38"/>
      <c r="K439" s="38"/>
      <c r="L439" s="38"/>
      <c r="M439" s="47"/>
      <c r="X439" s="47"/>
    </row>
    <row r="440" spans="10:24" x14ac:dyDescent="0.35">
      <c r="J440" s="38"/>
      <c r="K440" s="38"/>
      <c r="L440" s="38"/>
      <c r="M440" s="47"/>
      <c r="X440" s="47"/>
    </row>
    <row r="441" spans="10:24" x14ac:dyDescent="0.35">
      <c r="J441" s="38"/>
      <c r="K441" s="38"/>
      <c r="L441" s="38"/>
      <c r="M441" s="47"/>
      <c r="X441" s="47"/>
    </row>
    <row r="442" spans="10:24" x14ac:dyDescent="0.35">
      <c r="J442" s="38"/>
      <c r="K442" s="38"/>
      <c r="L442" s="38"/>
      <c r="M442" s="47"/>
      <c r="X442" s="47"/>
    </row>
    <row r="443" spans="10:24" x14ac:dyDescent="0.35">
      <c r="J443" s="38"/>
      <c r="K443" s="38"/>
      <c r="L443" s="38"/>
      <c r="M443" s="47"/>
      <c r="X443" s="47"/>
    </row>
    <row r="444" spans="10:24" x14ac:dyDescent="0.35">
      <c r="J444" s="38"/>
      <c r="K444" s="38"/>
      <c r="L444" s="38"/>
      <c r="M444" s="47"/>
      <c r="X444" s="47"/>
    </row>
    <row r="445" spans="10:24" x14ac:dyDescent="0.35">
      <c r="J445" s="38"/>
      <c r="K445" s="38"/>
      <c r="L445" s="38"/>
      <c r="M445" s="47"/>
      <c r="X445" s="47"/>
    </row>
    <row r="446" spans="10:24" x14ac:dyDescent="0.35">
      <c r="J446" s="38"/>
      <c r="K446" s="38"/>
      <c r="L446" s="38"/>
      <c r="M446" s="47"/>
      <c r="X446" s="47"/>
    </row>
    <row r="447" spans="10:24" x14ac:dyDescent="0.35">
      <c r="J447" s="38"/>
      <c r="K447" s="38"/>
      <c r="L447" s="38"/>
      <c r="M447" s="47"/>
      <c r="X447" s="47"/>
    </row>
    <row r="448" spans="10:24" x14ac:dyDescent="0.35">
      <c r="J448" s="40"/>
      <c r="K448" s="40"/>
      <c r="L448" s="46"/>
      <c r="M448" s="46"/>
      <c r="X448" s="47"/>
    </row>
    <row r="449" spans="10:24" x14ac:dyDescent="0.35">
      <c r="J449" s="38"/>
      <c r="K449" s="38"/>
      <c r="L449" s="38"/>
      <c r="M449" s="47"/>
      <c r="X449" s="47"/>
    </row>
    <row r="450" spans="10:24" x14ac:dyDescent="0.35">
      <c r="J450" s="38"/>
      <c r="K450" s="38"/>
      <c r="L450" s="38"/>
      <c r="M450" s="47"/>
      <c r="X450" s="47"/>
    </row>
    <row r="451" spans="10:24" x14ac:dyDescent="0.35">
      <c r="J451" s="38"/>
      <c r="K451" s="38"/>
      <c r="L451" s="38"/>
      <c r="M451" s="47"/>
      <c r="X451" s="47"/>
    </row>
    <row r="452" spans="10:24" x14ac:dyDescent="0.35">
      <c r="J452" s="38"/>
      <c r="K452" s="38"/>
      <c r="L452" s="38"/>
      <c r="M452" s="47"/>
      <c r="X452" s="47"/>
    </row>
    <row r="453" spans="10:24" x14ac:dyDescent="0.35">
      <c r="J453" s="38"/>
      <c r="K453" s="38"/>
      <c r="L453" s="38"/>
      <c r="M453" s="47"/>
      <c r="X453" s="47"/>
    </row>
    <row r="454" spans="10:24" x14ac:dyDescent="0.35">
      <c r="J454" s="40"/>
      <c r="K454" s="40"/>
      <c r="L454" s="46"/>
      <c r="M454" s="46"/>
      <c r="X454" s="47"/>
    </row>
    <row r="455" spans="10:24" x14ac:dyDescent="0.35">
      <c r="J455" s="38"/>
      <c r="K455" s="38"/>
      <c r="L455" s="38"/>
      <c r="M455" s="47"/>
      <c r="X455" s="47"/>
    </row>
    <row r="456" spans="10:24" x14ac:dyDescent="0.35">
      <c r="J456" s="38"/>
      <c r="K456" s="38"/>
      <c r="L456" s="38"/>
      <c r="M456" s="47"/>
      <c r="X456" s="47"/>
    </row>
    <row r="457" spans="10:24" x14ac:dyDescent="0.35">
      <c r="J457" s="38"/>
      <c r="K457" s="38"/>
      <c r="L457" s="38"/>
      <c r="M457" s="47"/>
      <c r="X457" s="47"/>
    </row>
    <row r="458" spans="10:24" x14ac:dyDescent="0.35">
      <c r="J458" s="38"/>
      <c r="K458" s="38"/>
      <c r="L458" s="38"/>
      <c r="M458" s="47"/>
      <c r="X458" s="47"/>
    </row>
    <row r="459" spans="10:24" x14ac:dyDescent="0.35">
      <c r="J459" s="38"/>
      <c r="K459" s="38"/>
      <c r="L459" s="38"/>
      <c r="M459" s="47"/>
      <c r="X459" s="47"/>
    </row>
    <row r="460" spans="10:24" x14ac:dyDescent="0.35">
      <c r="J460" s="38"/>
      <c r="K460" s="38"/>
      <c r="L460" s="38"/>
      <c r="M460" s="47"/>
      <c r="X460" s="47"/>
    </row>
    <row r="461" spans="10:24" x14ac:dyDescent="0.35">
      <c r="J461" s="38"/>
      <c r="K461" s="38"/>
      <c r="L461" s="38"/>
      <c r="M461" s="47"/>
      <c r="X461" s="47"/>
    </row>
    <row r="462" spans="10:24" x14ac:dyDescent="0.35">
      <c r="J462" s="38"/>
      <c r="K462" s="38"/>
      <c r="L462" s="38"/>
      <c r="M462" s="47"/>
      <c r="X462" s="47"/>
    </row>
    <row r="463" spans="10:24" x14ac:dyDescent="0.35">
      <c r="J463" s="38"/>
      <c r="K463" s="38"/>
      <c r="L463" s="38"/>
      <c r="M463" s="47"/>
      <c r="X463" s="47"/>
    </row>
    <row r="464" spans="10:24" x14ac:dyDescent="0.35">
      <c r="J464" s="38"/>
      <c r="K464" s="38"/>
      <c r="L464" s="38"/>
      <c r="M464" s="47"/>
      <c r="X464" s="47"/>
    </row>
    <row r="465" spans="10:24" x14ac:dyDescent="0.35">
      <c r="J465" s="38"/>
      <c r="K465" s="38"/>
      <c r="L465" s="38"/>
      <c r="M465" s="47"/>
      <c r="X465" s="47"/>
    </row>
    <row r="466" spans="10:24" x14ac:dyDescent="0.35">
      <c r="J466" s="38"/>
      <c r="K466" s="38"/>
      <c r="L466" s="38"/>
      <c r="M466" s="47"/>
      <c r="X466" s="47"/>
    </row>
    <row r="467" spans="10:24" x14ac:dyDescent="0.35">
      <c r="J467" s="38"/>
      <c r="K467" s="38"/>
      <c r="L467" s="38"/>
      <c r="M467" s="47"/>
      <c r="X467" s="47"/>
    </row>
    <row r="468" spans="10:24" x14ac:dyDescent="0.35">
      <c r="J468" s="38"/>
      <c r="K468" s="38"/>
      <c r="L468" s="38"/>
      <c r="M468" s="47"/>
      <c r="X468" s="47"/>
    </row>
    <row r="469" spans="10:24" x14ac:dyDescent="0.35">
      <c r="J469" s="38"/>
      <c r="K469" s="38"/>
      <c r="L469" s="38"/>
      <c r="M469" s="47"/>
      <c r="X469" s="47"/>
    </row>
    <row r="470" spans="10:24" x14ac:dyDescent="0.35">
      <c r="J470" s="38"/>
      <c r="K470" s="38"/>
      <c r="L470" s="38"/>
      <c r="M470" s="47"/>
      <c r="X470" s="47"/>
    </row>
    <row r="471" spans="10:24" x14ac:dyDescent="0.35">
      <c r="J471" s="38"/>
      <c r="K471" s="38"/>
      <c r="L471" s="38"/>
      <c r="M471" s="47"/>
      <c r="X471" s="47"/>
    </row>
    <row r="472" spans="10:24" x14ac:dyDescent="0.35">
      <c r="J472" s="38"/>
      <c r="K472" s="38"/>
      <c r="L472" s="38"/>
      <c r="M472" s="47"/>
      <c r="X472" s="47"/>
    </row>
    <row r="473" spans="10:24" x14ac:dyDescent="0.35">
      <c r="J473" s="38"/>
      <c r="K473" s="38"/>
      <c r="L473" s="38"/>
      <c r="M473" s="47"/>
      <c r="X473" s="47"/>
    </row>
    <row r="474" spans="10:24" x14ac:dyDescent="0.35">
      <c r="J474" s="38"/>
      <c r="K474" s="38"/>
      <c r="L474" s="38"/>
      <c r="M474" s="47"/>
      <c r="X474" s="47"/>
    </row>
    <row r="475" spans="10:24" x14ac:dyDescent="0.35">
      <c r="J475" s="38"/>
      <c r="K475" s="38"/>
      <c r="L475" s="38"/>
      <c r="M475" s="47"/>
      <c r="X475" s="47"/>
    </row>
    <row r="476" spans="10:24" x14ac:dyDescent="0.35">
      <c r="J476" s="38"/>
      <c r="K476" s="38"/>
      <c r="L476" s="38"/>
      <c r="M476" s="47"/>
      <c r="X476" s="47"/>
    </row>
    <row r="477" spans="10:24" x14ac:dyDescent="0.35">
      <c r="J477" s="38"/>
      <c r="K477" s="38"/>
      <c r="L477" s="38"/>
      <c r="M477" s="47"/>
      <c r="X477" s="47"/>
    </row>
    <row r="478" spans="10:24" x14ac:dyDescent="0.35">
      <c r="J478" s="38"/>
      <c r="K478" s="38"/>
      <c r="L478" s="38"/>
      <c r="M478" s="47"/>
      <c r="X478" s="47"/>
    </row>
    <row r="479" spans="10:24" x14ac:dyDescent="0.35">
      <c r="J479" s="38"/>
      <c r="K479" s="38"/>
      <c r="L479" s="38"/>
      <c r="M479" s="47"/>
      <c r="X479" s="47"/>
    </row>
    <row r="480" spans="10:24" x14ac:dyDescent="0.35">
      <c r="J480" s="38"/>
      <c r="K480" s="38"/>
      <c r="L480" s="38"/>
      <c r="M480" s="47"/>
      <c r="X480" s="47"/>
    </row>
    <row r="481" spans="10:24" x14ac:dyDescent="0.35">
      <c r="J481" s="38"/>
      <c r="K481" s="38"/>
      <c r="L481" s="38"/>
      <c r="M481" s="47"/>
      <c r="X481" s="47"/>
    </row>
    <row r="482" spans="10:24" x14ac:dyDescent="0.35">
      <c r="J482" s="38"/>
      <c r="K482" s="38"/>
      <c r="L482" s="38"/>
      <c r="M482" s="47"/>
      <c r="X482" s="47"/>
    </row>
    <row r="483" spans="10:24" x14ac:dyDescent="0.35">
      <c r="J483" s="40"/>
      <c r="K483" s="40"/>
      <c r="L483" s="46"/>
      <c r="M483" s="46"/>
      <c r="X483" s="47"/>
    </row>
    <row r="484" spans="10:24" x14ac:dyDescent="0.35">
      <c r="J484" s="38"/>
      <c r="K484" s="38"/>
      <c r="L484" s="38"/>
      <c r="M484" s="47"/>
      <c r="X484" s="47"/>
    </row>
    <row r="485" spans="10:24" x14ac:dyDescent="0.35">
      <c r="J485" s="38"/>
      <c r="K485" s="38"/>
      <c r="L485" s="38"/>
      <c r="M485" s="47"/>
      <c r="X485" s="47"/>
    </row>
    <row r="486" spans="10:24" x14ac:dyDescent="0.35">
      <c r="J486" s="38"/>
      <c r="K486" s="38"/>
      <c r="L486" s="38"/>
      <c r="M486" s="47"/>
      <c r="X486" s="47"/>
    </row>
    <row r="487" spans="10:24" x14ac:dyDescent="0.35">
      <c r="J487" s="38"/>
      <c r="K487" s="38"/>
      <c r="L487" s="38"/>
      <c r="M487" s="47"/>
      <c r="X487" s="47"/>
    </row>
    <row r="488" spans="10:24" x14ac:dyDescent="0.35">
      <c r="J488" s="38"/>
      <c r="K488" s="38"/>
      <c r="L488" s="38"/>
      <c r="M488" s="47"/>
      <c r="X488" s="47"/>
    </row>
    <row r="489" spans="10:24" x14ac:dyDescent="0.35">
      <c r="J489" s="38"/>
      <c r="K489" s="38"/>
      <c r="L489" s="38"/>
      <c r="M489" s="47"/>
      <c r="X489" s="47"/>
    </row>
    <row r="490" spans="10:24" x14ac:dyDescent="0.35">
      <c r="J490" s="38"/>
      <c r="K490" s="38"/>
      <c r="L490" s="38"/>
      <c r="M490" s="47"/>
      <c r="X490" s="47"/>
    </row>
    <row r="491" spans="10:24" x14ac:dyDescent="0.35">
      <c r="J491" s="40"/>
      <c r="K491" s="40"/>
      <c r="L491" s="46"/>
      <c r="M491" s="46"/>
      <c r="X491" s="47"/>
    </row>
    <row r="492" spans="10:24" x14ac:dyDescent="0.35">
      <c r="J492" s="38"/>
      <c r="K492" s="38"/>
      <c r="L492" s="38"/>
      <c r="M492" s="47"/>
      <c r="X492" s="47"/>
    </row>
    <row r="493" spans="10:24" x14ac:dyDescent="0.35">
      <c r="J493" s="38"/>
      <c r="K493" s="38"/>
      <c r="L493" s="38"/>
      <c r="M493" s="47"/>
      <c r="X493" s="47"/>
    </row>
    <row r="494" spans="10:24" x14ac:dyDescent="0.35">
      <c r="J494" s="38"/>
      <c r="K494" s="38"/>
      <c r="L494" s="38"/>
      <c r="M494" s="47"/>
      <c r="X494" s="47"/>
    </row>
    <row r="495" spans="10:24" x14ac:dyDescent="0.35">
      <c r="J495" s="38"/>
      <c r="K495" s="38"/>
      <c r="L495" s="38"/>
      <c r="M495" s="47"/>
      <c r="X495" s="47"/>
    </row>
    <row r="496" spans="10:24" x14ac:dyDescent="0.35">
      <c r="J496" s="38"/>
      <c r="K496" s="38"/>
      <c r="L496" s="38"/>
      <c r="M496" s="47"/>
      <c r="X496" s="47"/>
    </row>
    <row r="497" spans="10:24" x14ac:dyDescent="0.35">
      <c r="J497" s="38"/>
      <c r="K497" s="38"/>
      <c r="L497" s="38"/>
      <c r="M497" s="47"/>
      <c r="X497" s="47"/>
    </row>
    <row r="498" spans="10:24" x14ac:dyDescent="0.35">
      <c r="J498" s="38"/>
      <c r="K498" s="38"/>
      <c r="L498" s="38"/>
      <c r="M498" s="47"/>
      <c r="X498" s="47"/>
    </row>
    <row r="499" spans="10:24" x14ac:dyDescent="0.35">
      <c r="J499" s="38"/>
      <c r="K499" s="38"/>
      <c r="L499" s="38"/>
      <c r="M499" s="47"/>
      <c r="X499" s="47"/>
    </row>
    <row r="500" spans="10:24" x14ac:dyDescent="0.35">
      <c r="J500" s="38"/>
      <c r="K500" s="38"/>
      <c r="L500" s="38"/>
      <c r="M500" s="47"/>
      <c r="X500" s="47"/>
    </row>
    <row r="501" spans="10:24" x14ac:dyDescent="0.35">
      <c r="J501" s="38"/>
      <c r="K501" s="38"/>
      <c r="L501" s="38"/>
      <c r="M501" s="47"/>
      <c r="X501" s="47"/>
    </row>
    <row r="502" spans="10:24" x14ac:dyDescent="0.35">
      <c r="J502" s="38"/>
      <c r="K502" s="38"/>
      <c r="L502" s="38"/>
      <c r="M502" s="47"/>
      <c r="X502" s="47"/>
    </row>
    <row r="503" spans="10:24" x14ac:dyDescent="0.35">
      <c r="J503" s="38"/>
      <c r="K503" s="38"/>
      <c r="L503" s="38"/>
      <c r="M503" s="47"/>
      <c r="X503" s="47"/>
    </row>
    <row r="504" spans="10:24" x14ac:dyDescent="0.35">
      <c r="J504" s="38"/>
      <c r="K504" s="38"/>
      <c r="L504" s="38"/>
      <c r="M504" s="47"/>
      <c r="X504" s="47"/>
    </row>
    <row r="505" spans="10:24" x14ac:dyDescent="0.35">
      <c r="J505" s="38"/>
      <c r="K505" s="38"/>
      <c r="L505" s="38"/>
      <c r="M505" s="47"/>
      <c r="X505" s="47"/>
    </row>
    <row r="506" spans="10:24" x14ac:dyDescent="0.35">
      <c r="J506" s="38"/>
      <c r="K506" s="38"/>
      <c r="L506" s="38"/>
      <c r="M506" s="47"/>
      <c r="X506" s="47"/>
    </row>
    <row r="507" spans="10:24" x14ac:dyDescent="0.35">
      <c r="J507" s="38"/>
      <c r="K507" s="38"/>
      <c r="L507" s="38"/>
      <c r="M507" s="47"/>
      <c r="X507" s="47"/>
    </row>
    <row r="508" spans="10:24" x14ac:dyDescent="0.35">
      <c r="J508" s="38"/>
      <c r="K508" s="38"/>
      <c r="L508" s="38"/>
      <c r="M508" s="47"/>
      <c r="X508" s="47"/>
    </row>
    <row r="509" spans="10:24" x14ac:dyDescent="0.35">
      <c r="J509" s="38"/>
      <c r="K509" s="38"/>
      <c r="L509" s="38"/>
      <c r="M509" s="47"/>
      <c r="X509" s="47"/>
    </row>
    <row r="510" spans="10:24" x14ac:dyDescent="0.35">
      <c r="J510" s="38"/>
      <c r="K510" s="38"/>
      <c r="L510" s="38"/>
      <c r="M510" s="47"/>
      <c r="X510" s="47"/>
    </row>
    <row r="511" spans="10:24" x14ac:dyDescent="0.35">
      <c r="J511" s="38"/>
      <c r="K511" s="38"/>
      <c r="L511" s="38"/>
      <c r="M511" s="47"/>
      <c r="X511" s="47"/>
    </row>
    <row r="512" spans="10:24" x14ac:dyDescent="0.35">
      <c r="J512" s="38"/>
      <c r="K512" s="38"/>
      <c r="L512" s="38"/>
      <c r="M512" s="47"/>
      <c r="X512" s="47"/>
    </row>
    <row r="513" spans="10:24" x14ac:dyDescent="0.35">
      <c r="J513" s="38"/>
      <c r="K513" s="38"/>
      <c r="L513" s="38"/>
      <c r="M513" s="47"/>
      <c r="X513" s="47"/>
    </row>
    <row r="514" spans="10:24" x14ac:dyDescent="0.35">
      <c r="J514" s="38"/>
      <c r="K514" s="38"/>
      <c r="L514" s="38"/>
      <c r="M514" s="47"/>
      <c r="X514" s="47"/>
    </row>
    <row r="515" spans="10:24" x14ac:dyDescent="0.35">
      <c r="J515" s="38"/>
      <c r="K515" s="38"/>
      <c r="L515" s="38"/>
      <c r="M515" s="47"/>
      <c r="X515" s="47"/>
    </row>
    <row r="516" spans="10:24" x14ac:dyDescent="0.35">
      <c r="J516" s="38"/>
      <c r="K516" s="38"/>
      <c r="L516" s="38"/>
      <c r="M516" s="47"/>
      <c r="X516" s="47"/>
    </row>
    <row r="517" spans="10:24" x14ac:dyDescent="0.35">
      <c r="J517" s="38"/>
      <c r="K517" s="38"/>
      <c r="L517" s="38"/>
      <c r="M517" s="47"/>
      <c r="X517" s="47"/>
    </row>
    <row r="518" spans="10:24" x14ac:dyDescent="0.35">
      <c r="J518" s="38"/>
      <c r="K518" s="38"/>
      <c r="L518" s="38"/>
      <c r="M518" s="47"/>
      <c r="X518" s="47"/>
    </row>
    <row r="519" spans="10:24" x14ac:dyDescent="0.35">
      <c r="J519" s="38"/>
      <c r="K519" s="38"/>
      <c r="L519" s="38"/>
      <c r="M519" s="47"/>
      <c r="X519" s="47"/>
    </row>
    <row r="520" spans="10:24" x14ac:dyDescent="0.35">
      <c r="J520" s="38"/>
      <c r="K520" s="38"/>
      <c r="L520" s="38"/>
      <c r="M520" s="47"/>
      <c r="X520" s="47"/>
    </row>
    <row r="521" spans="10:24" x14ac:dyDescent="0.35">
      <c r="J521" s="38"/>
      <c r="K521" s="38"/>
      <c r="L521" s="38"/>
      <c r="M521" s="47"/>
      <c r="X521" s="47"/>
    </row>
    <row r="522" spans="10:24" x14ac:dyDescent="0.35">
      <c r="J522" s="38"/>
      <c r="K522" s="38"/>
      <c r="L522" s="38"/>
      <c r="M522" s="47"/>
      <c r="X522" s="47"/>
    </row>
    <row r="523" spans="10:24" x14ac:dyDescent="0.35">
      <c r="J523" s="38"/>
      <c r="K523" s="38"/>
      <c r="L523" s="38"/>
      <c r="M523" s="47"/>
      <c r="X523" s="47"/>
    </row>
    <row r="524" spans="10:24" x14ac:dyDescent="0.35">
      <c r="J524" s="38"/>
      <c r="K524" s="38"/>
      <c r="L524" s="38"/>
      <c r="M524" s="47"/>
      <c r="X524" s="47"/>
    </row>
    <row r="525" spans="10:24" x14ac:dyDescent="0.35">
      <c r="J525" s="38"/>
      <c r="K525" s="38"/>
      <c r="L525" s="38"/>
      <c r="M525" s="47"/>
      <c r="X525" s="47"/>
    </row>
    <row r="526" spans="10:24" x14ac:dyDescent="0.35">
      <c r="J526" s="38"/>
      <c r="K526" s="38"/>
      <c r="L526" s="38"/>
      <c r="M526" s="47"/>
      <c r="X526" s="47"/>
    </row>
    <row r="527" spans="10:24" x14ac:dyDescent="0.35">
      <c r="J527" s="38"/>
      <c r="K527" s="38"/>
      <c r="L527" s="38"/>
      <c r="M527" s="47"/>
      <c r="X527" s="47"/>
    </row>
    <row r="528" spans="10:24" x14ac:dyDescent="0.35">
      <c r="J528" s="38"/>
      <c r="K528" s="38"/>
      <c r="L528" s="38"/>
      <c r="M528" s="47"/>
      <c r="X528" s="47"/>
    </row>
    <row r="529" spans="10:24" x14ac:dyDescent="0.35">
      <c r="J529" s="40"/>
      <c r="K529" s="40"/>
      <c r="L529" s="46"/>
      <c r="M529" s="46"/>
      <c r="X529" s="47"/>
    </row>
    <row r="530" spans="10:24" x14ac:dyDescent="0.35">
      <c r="J530" s="38"/>
      <c r="K530" s="38"/>
      <c r="L530" s="38"/>
      <c r="M530" s="47"/>
      <c r="X530" s="47"/>
    </row>
    <row r="531" spans="10:24" x14ac:dyDescent="0.35">
      <c r="J531" s="38"/>
      <c r="K531" s="38"/>
      <c r="L531" s="38"/>
      <c r="M531" s="47"/>
      <c r="X531" s="47"/>
    </row>
    <row r="532" spans="10:24" x14ac:dyDescent="0.35">
      <c r="J532" s="38"/>
      <c r="K532" s="38"/>
      <c r="L532" s="38"/>
      <c r="M532" s="47"/>
      <c r="X532" s="47"/>
    </row>
    <row r="533" spans="10:24" x14ac:dyDescent="0.35">
      <c r="J533" s="38"/>
      <c r="K533" s="38"/>
      <c r="L533" s="38"/>
      <c r="M533" s="47"/>
      <c r="X533" s="47"/>
    </row>
    <row r="534" spans="10:24" x14ac:dyDescent="0.35">
      <c r="J534" s="38"/>
      <c r="K534" s="38"/>
      <c r="L534" s="38"/>
      <c r="M534" s="47"/>
      <c r="X534" s="47"/>
    </row>
    <row r="535" spans="10:24" x14ac:dyDescent="0.35">
      <c r="J535" s="38"/>
      <c r="K535" s="38"/>
      <c r="L535" s="38"/>
      <c r="M535" s="47"/>
      <c r="X535" s="47"/>
    </row>
    <row r="536" spans="10:24" x14ac:dyDescent="0.35">
      <c r="J536" s="38"/>
      <c r="K536" s="38"/>
      <c r="L536" s="38"/>
      <c r="M536" s="47"/>
      <c r="X536" s="47"/>
    </row>
    <row r="537" spans="10:24" x14ac:dyDescent="0.35">
      <c r="J537" s="38"/>
      <c r="K537" s="38"/>
      <c r="L537" s="38"/>
      <c r="M537" s="47"/>
      <c r="X537" s="47"/>
    </row>
    <row r="538" spans="10:24" x14ac:dyDescent="0.35">
      <c r="J538" s="38"/>
      <c r="K538" s="38"/>
      <c r="L538" s="38"/>
      <c r="M538" s="47"/>
      <c r="X538" s="47"/>
    </row>
    <row r="539" spans="10:24" x14ac:dyDescent="0.35">
      <c r="J539" s="40"/>
      <c r="K539" s="40"/>
      <c r="L539" s="46"/>
      <c r="M539" s="46"/>
      <c r="X539" s="47"/>
    </row>
    <row r="540" spans="10:24" x14ac:dyDescent="0.35">
      <c r="J540" s="38"/>
      <c r="K540" s="38"/>
      <c r="L540" s="38"/>
      <c r="M540" s="47"/>
      <c r="X540" s="47"/>
    </row>
    <row r="541" spans="10:24" x14ac:dyDescent="0.35">
      <c r="J541" s="38"/>
      <c r="K541" s="38"/>
      <c r="L541" s="38"/>
      <c r="M541" s="47"/>
      <c r="X541" s="47"/>
    </row>
    <row r="542" spans="10:24" x14ac:dyDescent="0.35">
      <c r="J542" s="38"/>
      <c r="K542" s="38"/>
      <c r="L542" s="38"/>
      <c r="M542" s="47"/>
      <c r="X542" s="47"/>
    </row>
    <row r="543" spans="10:24" x14ac:dyDescent="0.35">
      <c r="J543" s="38"/>
      <c r="K543" s="38"/>
      <c r="L543" s="38"/>
      <c r="M543" s="47"/>
      <c r="X543" s="47"/>
    </row>
    <row r="544" spans="10:24" x14ac:dyDescent="0.35">
      <c r="J544" s="38"/>
      <c r="K544" s="38"/>
      <c r="L544" s="38"/>
      <c r="M544" s="47"/>
      <c r="X544" s="47"/>
    </row>
    <row r="545" spans="10:24" x14ac:dyDescent="0.35">
      <c r="J545" s="38"/>
      <c r="K545" s="38"/>
      <c r="L545" s="38"/>
      <c r="M545" s="47"/>
      <c r="X545" s="47"/>
    </row>
    <row r="546" spans="10:24" x14ac:dyDescent="0.35">
      <c r="J546" s="40"/>
      <c r="K546" s="40"/>
      <c r="L546" s="46"/>
      <c r="M546" s="46"/>
      <c r="X546" s="47"/>
    </row>
    <row r="547" spans="10:24" x14ac:dyDescent="0.35">
      <c r="J547" s="38"/>
      <c r="K547" s="38"/>
      <c r="L547" s="38"/>
      <c r="M547" s="47"/>
      <c r="X547" s="47"/>
    </row>
    <row r="548" spans="10:24" x14ac:dyDescent="0.35">
      <c r="J548" s="38"/>
      <c r="K548" s="38"/>
      <c r="L548" s="38"/>
      <c r="M548" s="47"/>
      <c r="X548" s="47"/>
    </row>
    <row r="549" spans="10:24" x14ac:dyDescent="0.35">
      <c r="J549" s="38"/>
      <c r="K549" s="38"/>
      <c r="L549" s="38"/>
      <c r="M549" s="47"/>
      <c r="X549" s="47"/>
    </row>
    <row r="550" spans="10:24" x14ac:dyDescent="0.35">
      <c r="J550" s="38"/>
      <c r="K550" s="38"/>
      <c r="L550" s="38"/>
      <c r="M550" s="47"/>
      <c r="X550" s="47"/>
    </row>
    <row r="551" spans="10:24" x14ac:dyDescent="0.35">
      <c r="J551" s="38"/>
      <c r="K551" s="38"/>
      <c r="L551" s="38"/>
      <c r="M551" s="47"/>
      <c r="X551" s="47"/>
    </row>
    <row r="552" spans="10:24" x14ac:dyDescent="0.35">
      <c r="J552" s="38"/>
      <c r="K552" s="38"/>
      <c r="L552" s="38"/>
      <c r="M552" s="47"/>
      <c r="X552" s="47"/>
    </row>
    <row r="553" spans="10:24" x14ac:dyDescent="0.35">
      <c r="J553" s="38"/>
      <c r="K553" s="38"/>
      <c r="L553" s="38"/>
      <c r="M553" s="47"/>
      <c r="X553" s="47"/>
    </row>
    <row r="554" spans="10:24" x14ac:dyDescent="0.35">
      <c r="J554" s="38"/>
      <c r="K554" s="38"/>
      <c r="L554" s="38"/>
      <c r="M554" s="47"/>
      <c r="X554" s="47"/>
    </row>
    <row r="555" spans="10:24" x14ac:dyDescent="0.35">
      <c r="J555" s="38"/>
      <c r="K555" s="38"/>
      <c r="L555" s="38"/>
      <c r="M555" s="47"/>
      <c r="X555" s="47"/>
    </row>
    <row r="556" spans="10:24" x14ac:dyDescent="0.35">
      <c r="J556" s="38"/>
      <c r="K556" s="38"/>
      <c r="L556" s="38"/>
      <c r="M556" s="47"/>
      <c r="X556" s="47"/>
    </row>
    <row r="557" spans="10:24" x14ac:dyDescent="0.35">
      <c r="J557" s="38"/>
      <c r="K557" s="38"/>
      <c r="L557" s="38"/>
      <c r="M557" s="47"/>
      <c r="X557" s="47"/>
    </row>
    <row r="558" spans="10:24" x14ac:dyDescent="0.35">
      <c r="J558" s="38"/>
      <c r="K558" s="38"/>
      <c r="L558" s="38"/>
      <c r="M558" s="47"/>
      <c r="X558" s="47"/>
    </row>
    <row r="559" spans="10:24" x14ac:dyDescent="0.35">
      <c r="J559" s="38"/>
      <c r="K559" s="38"/>
      <c r="L559" s="38"/>
      <c r="M559" s="47"/>
      <c r="X559" s="47"/>
    </row>
    <row r="560" spans="10:24" x14ac:dyDescent="0.35">
      <c r="J560" s="38"/>
      <c r="K560" s="38"/>
      <c r="L560" s="38"/>
      <c r="M560" s="47"/>
      <c r="X560" s="47"/>
    </row>
    <row r="561" spans="10:24" x14ac:dyDescent="0.35">
      <c r="J561" s="38"/>
      <c r="K561" s="38"/>
      <c r="L561" s="38"/>
      <c r="M561" s="47"/>
      <c r="X561" s="47"/>
    </row>
    <row r="562" spans="10:24" x14ac:dyDescent="0.35">
      <c r="J562" s="38"/>
      <c r="K562" s="38"/>
      <c r="L562" s="38"/>
      <c r="M562" s="47"/>
      <c r="X562" s="47"/>
    </row>
    <row r="563" spans="10:24" x14ac:dyDescent="0.35">
      <c r="J563" s="40"/>
      <c r="K563" s="40"/>
      <c r="L563" s="46"/>
      <c r="M563" s="46"/>
      <c r="X563" s="47"/>
    </row>
    <row r="564" spans="10:24" x14ac:dyDescent="0.35">
      <c r="J564" s="38"/>
      <c r="K564" s="38"/>
      <c r="L564" s="38"/>
      <c r="M564" s="47"/>
      <c r="X564" s="47"/>
    </row>
    <row r="565" spans="10:24" x14ac:dyDescent="0.35">
      <c r="J565" s="38"/>
      <c r="K565" s="38"/>
      <c r="L565" s="38"/>
      <c r="M565" s="47"/>
      <c r="X565" s="47"/>
    </row>
    <row r="566" spans="10:24" x14ac:dyDescent="0.35">
      <c r="J566" s="38"/>
      <c r="K566" s="38"/>
      <c r="L566" s="38"/>
      <c r="M566" s="47"/>
      <c r="X566" s="47"/>
    </row>
    <row r="567" spans="10:24" x14ac:dyDescent="0.35">
      <c r="J567" s="38"/>
      <c r="K567" s="38"/>
      <c r="L567" s="38"/>
      <c r="M567" s="47"/>
      <c r="X567" s="47"/>
    </row>
    <row r="568" spans="10:24" x14ac:dyDescent="0.35">
      <c r="J568" s="38"/>
      <c r="K568" s="38"/>
      <c r="L568" s="38"/>
      <c r="M568" s="47"/>
      <c r="X568" s="47"/>
    </row>
    <row r="569" spans="10:24" x14ac:dyDescent="0.35">
      <c r="J569" s="38"/>
      <c r="K569" s="38"/>
      <c r="L569" s="38"/>
      <c r="M569" s="47"/>
      <c r="X569" s="47"/>
    </row>
    <row r="570" spans="10:24" x14ac:dyDescent="0.35">
      <c r="J570" s="38"/>
      <c r="K570" s="38"/>
      <c r="L570" s="38"/>
      <c r="M570" s="47"/>
      <c r="X570" s="47"/>
    </row>
    <row r="571" spans="10:24" x14ac:dyDescent="0.35">
      <c r="J571" s="40"/>
      <c r="K571" s="40"/>
      <c r="L571" s="46"/>
      <c r="M571" s="46"/>
      <c r="X571" s="47"/>
    </row>
    <row r="572" spans="10:24" x14ac:dyDescent="0.35">
      <c r="J572" s="38"/>
      <c r="K572" s="38"/>
      <c r="L572" s="38"/>
      <c r="M572" s="47"/>
      <c r="X572" s="47"/>
    </row>
    <row r="573" spans="10:24" x14ac:dyDescent="0.35">
      <c r="J573" s="38"/>
      <c r="K573" s="38"/>
      <c r="L573" s="38"/>
      <c r="M573" s="47"/>
      <c r="X573" s="47"/>
    </row>
    <row r="574" spans="10:24" x14ac:dyDescent="0.35">
      <c r="J574" s="38"/>
      <c r="K574" s="38"/>
      <c r="L574" s="38"/>
      <c r="M574" s="47"/>
      <c r="X574" s="47"/>
    </row>
    <row r="575" spans="10:24" x14ac:dyDescent="0.35">
      <c r="J575" s="38"/>
      <c r="K575" s="38"/>
      <c r="L575" s="38"/>
      <c r="M575" s="47"/>
      <c r="X575" s="47"/>
    </row>
    <row r="576" spans="10:24" x14ac:dyDescent="0.35">
      <c r="J576" s="38"/>
      <c r="K576" s="38"/>
      <c r="L576" s="38"/>
      <c r="M576" s="47"/>
      <c r="X576" s="47"/>
    </row>
    <row r="577" spans="10:24" x14ac:dyDescent="0.35">
      <c r="J577" s="38"/>
      <c r="K577" s="38"/>
      <c r="L577" s="38"/>
      <c r="M577" s="47"/>
      <c r="X577" s="47"/>
    </row>
    <row r="578" spans="10:24" x14ac:dyDescent="0.35">
      <c r="J578" s="38"/>
      <c r="K578" s="38"/>
      <c r="L578" s="38"/>
      <c r="M578" s="47"/>
      <c r="X578" s="47"/>
    </row>
    <row r="579" spans="10:24" x14ac:dyDescent="0.35">
      <c r="J579" s="38"/>
      <c r="K579" s="38"/>
      <c r="L579" s="38"/>
      <c r="M579" s="47"/>
      <c r="X579" s="47"/>
    </row>
    <row r="580" spans="10:24" x14ac:dyDescent="0.35">
      <c r="J580" s="38"/>
      <c r="K580" s="38"/>
      <c r="L580" s="38"/>
      <c r="M580" s="47"/>
      <c r="X580" s="47"/>
    </row>
    <row r="581" spans="10:24" x14ac:dyDescent="0.35">
      <c r="J581" s="38"/>
      <c r="K581" s="38"/>
      <c r="L581" s="38"/>
      <c r="M581" s="47"/>
      <c r="X581" s="47"/>
    </row>
    <row r="582" spans="10:24" x14ac:dyDescent="0.35">
      <c r="J582" s="38"/>
      <c r="K582" s="38"/>
      <c r="L582" s="38"/>
      <c r="M582" s="47"/>
      <c r="X582" s="47"/>
    </row>
    <row r="583" spans="10:24" x14ac:dyDescent="0.35">
      <c r="J583" s="38"/>
      <c r="K583" s="38"/>
      <c r="L583" s="38"/>
      <c r="M583" s="47"/>
      <c r="X583" s="47"/>
    </row>
    <row r="584" spans="10:24" x14ac:dyDescent="0.35">
      <c r="J584" s="38"/>
      <c r="K584" s="38"/>
      <c r="L584" s="38"/>
      <c r="M584" s="47"/>
      <c r="X584" s="47"/>
    </row>
    <row r="585" spans="10:24" x14ac:dyDescent="0.35">
      <c r="J585" s="40"/>
      <c r="K585" s="40"/>
      <c r="L585" s="46"/>
      <c r="M585" s="46"/>
      <c r="X585" s="47"/>
    </row>
    <row r="586" spans="10:24" x14ac:dyDescent="0.35">
      <c r="J586" s="38"/>
      <c r="K586" s="38"/>
      <c r="L586" s="38"/>
      <c r="M586" s="47"/>
      <c r="X586" s="47"/>
    </row>
    <row r="587" spans="10:24" x14ac:dyDescent="0.35">
      <c r="J587" s="40"/>
      <c r="K587" s="40"/>
      <c r="L587" s="46"/>
      <c r="M587" s="46"/>
      <c r="X587" s="47"/>
    </row>
    <row r="588" spans="10:24" x14ac:dyDescent="0.35">
      <c r="J588" s="38"/>
      <c r="K588" s="38"/>
      <c r="L588" s="38"/>
      <c r="M588" s="47"/>
      <c r="X588" s="47"/>
    </row>
    <row r="589" spans="10:24" x14ac:dyDescent="0.35">
      <c r="J589" s="38"/>
      <c r="K589" s="38"/>
      <c r="L589" s="38"/>
      <c r="M589" s="47"/>
      <c r="X589" s="47"/>
    </row>
    <row r="590" spans="10:24" x14ac:dyDescent="0.35">
      <c r="J590" s="38"/>
      <c r="K590" s="38"/>
      <c r="L590" s="38"/>
      <c r="M590" s="47"/>
      <c r="X590" s="47"/>
    </row>
    <row r="591" spans="10:24" x14ac:dyDescent="0.35">
      <c r="J591" s="38"/>
      <c r="K591" s="38"/>
      <c r="L591" s="38"/>
      <c r="M591" s="47"/>
      <c r="X591" s="47"/>
    </row>
    <row r="592" spans="10:24" x14ac:dyDescent="0.35">
      <c r="J592" s="38"/>
      <c r="K592" s="38"/>
      <c r="L592" s="38"/>
      <c r="M592" s="47"/>
      <c r="X592" s="47"/>
    </row>
    <row r="593" spans="10:24" x14ac:dyDescent="0.35">
      <c r="J593" s="38"/>
      <c r="K593" s="38"/>
      <c r="L593" s="38"/>
      <c r="M593" s="47"/>
      <c r="X593" s="47"/>
    </row>
    <row r="594" spans="10:24" x14ac:dyDescent="0.35">
      <c r="J594" s="38"/>
      <c r="K594" s="38"/>
      <c r="L594" s="38"/>
      <c r="M594" s="47"/>
      <c r="X594" s="47"/>
    </row>
    <row r="595" spans="10:24" x14ac:dyDescent="0.35">
      <c r="J595" s="38"/>
      <c r="K595" s="38"/>
      <c r="L595" s="38"/>
      <c r="M595" s="47"/>
      <c r="X595" s="47"/>
    </row>
    <row r="596" spans="10:24" x14ac:dyDescent="0.35">
      <c r="J596" s="38"/>
      <c r="K596" s="38"/>
      <c r="L596" s="38"/>
      <c r="M596" s="47"/>
      <c r="X596" s="47"/>
    </row>
    <row r="597" spans="10:24" x14ac:dyDescent="0.35">
      <c r="J597" s="38"/>
      <c r="K597" s="38"/>
      <c r="L597" s="38"/>
      <c r="M597" s="47"/>
      <c r="X597" s="47"/>
    </row>
    <row r="598" spans="10:24" x14ac:dyDescent="0.35">
      <c r="J598" s="38"/>
      <c r="K598" s="38"/>
      <c r="L598" s="38"/>
      <c r="M598" s="47"/>
      <c r="X598" s="47"/>
    </row>
    <row r="599" spans="10:24" x14ac:dyDescent="0.35">
      <c r="J599" s="38"/>
      <c r="K599" s="38"/>
      <c r="L599" s="38"/>
      <c r="M599" s="47"/>
      <c r="X599" s="47"/>
    </row>
    <row r="600" spans="10:24" x14ac:dyDescent="0.35">
      <c r="J600" s="38"/>
      <c r="K600" s="38"/>
      <c r="L600" s="38"/>
      <c r="M600" s="47"/>
      <c r="X600" s="47"/>
    </row>
    <row r="601" spans="10:24" x14ac:dyDescent="0.35">
      <c r="J601" s="38"/>
      <c r="K601" s="38"/>
      <c r="L601" s="38"/>
      <c r="M601" s="47"/>
      <c r="X601" s="47"/>
    </row>
    <row r="602" spans="10:24" x14ac:dyDescent="0.35">
      <c r="J602" s="38"/>
      <c r="K602" s="38"/>
      <c r="L602" s="38"/>
      <c r="M602" s="47"/>
      <c r="X602" s="47"/>
    </row>
    <row r="603" spans="10:24" x14ac:dyDescent="0.35">
      <c r="J603" s="38"/>
      <c r="K603" s="38"/>
      <c r="L603" s="38"/>
      <c r="M603" s="47"/>
      <c r="X603" s="47"/>
    </row>
    <row r="604" spans="10:24" x14ac:dyDescent="0.35">
      <c r="J604" s="38"/>
      <c r="K604" s="38"/>
      <c r="L604" s="38"/>
      <c r="M604" s="47"/>
      <c r="X604" s="47"/>
    </row>
    <row r="605" spans="10:24" x14ac:dyDescent="0.35">
      <c r="J605" s="38"/>
      <c r="K605" s="38"/>
      <c r="L605" s="38"/>
      <c r="M605" s="47"/>
      <c r="X605" s="47"/>
    </row>
    <row r="606" spans="10:24" x14ac:dyDescent="0.35">
      <c r="J606" s="38"/>
      <c r="K606" s="38"/>
      <c r="L606" s="38"/>
      <c r="M606" s="47"/>
      <c r="X606" s="47"/>
    </row>
    <row r="607" spans="10:24" x14ac:dyDescent="0.35">
      <c r="J607" s="38"/>
      <c r="K607" s="38"/>
      <c r="L607" s="38"/>
      <c r="M607" s="47"/>
      <c r="X607" s="47"/>
    </row>
    <row r="608" spans="10:24" x14ac:dyDescent="0.35">
      <c r="J608" s="38"/>
      <c r="K608" s="38"/>
      <c r="L608" s="38"/>
      <c r="M608" s="47"/>
      <c r="X608" s="47"/>
    </row>
    <row r="609" spans="10:24" x14ac:dyDescent="0.35">
      <c r="J609" s="38"/>
      <c r="K609" s="38"/>
      <c r="L609" s="38"/>
      <c r="M609" s="47"/>
      <c r="X609" s="47"/>
    </row>
    <row r="610" spans="10:24" x14ac:dyDescent="0.35">
      <c r="J610" s="38"/>
      <c r="K610" s="38"/>
      <c r="L610" s="38"/>
      <c r="M610" s="47"/>
      <c r="X610" s="47"/>
    </row>
    <row r="611" spans="10:24" x14ac:dyDescent="0.35">
      <c r="J611" s="38"/>
      <c r="K611" s="38"/>
      <c r="L611" s="38"/>
      <c r="M611" s="47"/>
      <c r="X611" s="47"/>
    </row>
    <row r="612" spans="10:24" x14ac:dyDescent="0.35">
      <c r="J612" s="38"/>
      <c r="K612" s="38"/>
      <c r="L612" s="38"/>
      <c r="M612" s="47"/>
      <c r="X612" s="47"/>
    </row>
    <row r="613" spans="10:24" x14ac:dyDescent="0.35">
      <c r="J613" s="38"/>
      <c r="K613" s="38"/>
      <c r="L613" s="38"/>
      <c r="M613" s="47"/>
      <c r="X613" s="47"/>
    </row>
    <row r="614" spans="10:24" x14ac:dyDescent="0.35">
      <c r="J614" s="38"/>
      <c r="K614" s="38"/>
      <c r="L614" s="38"/>
      <c r="M614" s="47"/>
      <c r="X614" s="47"/>
    </row>
    <row r="615" spans="10:24" x14ac:dyDescent="0.35">
      <c r="J615" s="38"/>
      <c r="K615" s="38"/>
      <c r="L615" s="38"/>
      <c r="M615" s="47"/>
      <c r="X615" s="47"/>
    </row>
    <row r="616" spans="10:24" x14ac:dyDescent="0.35">
      <c r="J616" s="38"/>
      <c r="K616" s="38"/>
      <c r="L616" s="38"/>
      <c r="M616" s="47"/>
      <c r="X616" s="47"/>
    </row>
    <row r="617" spans="10:24" x14ac:dyDescent="0.35">
      <c r="J617" s="38"/>
      <c r="K617" s="38"/>
      <c r="L617" s="38"/>
      <c r="M617" s="47"/>
      <c r="X617" s="47"/>
    </row>
    <row r="618" spans="10:24" x14ac:dyDescent="0.35">
      <c r="J618" s="38"/>
      <c r="K618" s="38"/>
      <c r="L618" s="38"/>
      <c r="M618" s="47"/>
      <c r="X618" s="47"/>
    </row>
    <row r="619" spans="10:24" x14ac:dyDescent="0.35">
      <c r="J619" s="38"/>
      <c r="K619" s="38"/>
      <c r="L619" s="38"/>
      <c r="M619" s="47"/>
      <c r="X619" s="47"/>
    </row>
    <row r="620" spans="10:24" x14ac:dyDescent="0.35">
      <c r="J620" s="38"/>
      <c r="K620" s="38"/>
      <c r="L620" s="38"/>
      <c r="M620" s="47"/>
      <c r="X620" s="47"/>
    </row>
    <row r="621" spans="10:24" x14ac:dyDescent="0.35">
      <c r="J621" s="38"/>
      <c r="K621" s="38"/>
      <c r="L621" s="38"/>
      <c r="M621" s="47"/>
      <c r="X621" s="47"/>
    </row>
    <row r="622" spans="10:24" x14ac:dyDescent="0.35">
      <c r="J622" s="40"/>
      <c r="K622" s="40"/>
      <c r="L622" s="46"/>
      <c r="M622" s="46"/>
      <c r="X622" s="47"/>
    </row>
    <row r="623" spans="10:24" x14ac:dyDescent="0.35">
      <c r="J623" s="38"/>
      <c r="K623" s="38"/>
      <c r="L623" s="38"/>
      <c r="M623" s="47"/>
      <c r="X623" s="47"/>
    </row>
    <row r="624" spans="10:24" x14ac:dyDescent="0.35">
      <c r="J624" s="38"/>
      <c r="K624" s="38"/>
      <c r="L624" s="38"/>
      <c r="M624" s="47"/>
      <c r="X624" s="47"/>
    </row>
    <row r="625" spans="10:24" x14ac:dyDescent="0.35">
      <c r="J625" s="38"/>
      <c r="K625" s="38"/>
      <c r="L625" s="38"/>
      <c r="M625" s="47"/>
      <c r="X625" s="47"/>
    </row>
    <row r="626" spans="10:24" x14ac:dyDescent="0.35">
      <c r="J626" s="38"/>
      <c r="K626" s="38"/>
      <c r="L626" s="38"/>
      <c r="M626" s="47"/>
      <c r="X626" s="47"/>
    </row>
    <row r="627" spans="10:24" x14ac:dyDescent="0.35">
      <c r="J627" s="38"/>
      <c r="K627" s="38"/>
      <c r="L627" s="38"/>
      <c r="M627" s="47"/>
      <c r="X627" s="47"/>
    </row>
    <row r="628" spans="10:24" x14ac:dyDescent="0.35">
      <c r="J628" s="38"/>
      <c r="K628" s="38"/>
      <c r="L628" s="38"/>
      <c r="M628" s="47"/>
      <c r="X628" s="47"/>
    </row>
    <row r="629" spans="10:24" x14ac:dyDescent="0.35">
      <c r="J629" s="38"/>
      <c r="K629" s="38"/>
      <c r="L629" s="38"/>
      <c r="M629" s="47"/>
      <c r="X629" s="47"/>
    </row>
    <row r="630" spans="10:24" x14ac:dyDescent="0.35">
      <c r="J630" s="38"/>
      <c r="K630" s="38"/>
      <c r="L630" s="38"/>
      <c r="M630" s="47"/>
      <c r="X630" s="47"/>
    </row>
    <row r="631" spans="10:24" x14ac:dyDescent="0.35">
      <c r="J631" s="38"/>
      <c r="K631" s="38"/>
      <c r="L631" s="38"/>
      <c r="M631" s="47"/>
      <c r="X631" s="47"/>
    </row>
    <row r="632" spans="10:24" x14ac:dyDescent="0.35">
      <c r="J632" s="38"/>
      <c r="K632" s="38"/>
      <c r="L632" s="38"/>
      <c r="M632" s="47"/>
      <c r="X632" s="47"/>
    </row>
    <row r="633" spans="10:24" x14ac:dyDescent="0.35">
      <c r="J633" s="38"/>
      <c r="K633" s="38"/>
      <c r="L633" s="38"/>
      <c r="M633" s="47"/>
      <c r="X633" s="47"/>
    </row>
    <row r="634" spans="10:24" x14ac:dyDescent="0.35">
      <c r="J634" s="38"/>
      <c r="K634" s="38"/>
      <c r="L634" s="38"/>
      <c r="M634" s="47"/>
      <c r="X634" s="47"/>
    </row>
    <row r="635" spans="10:24" x14ac:dyDescent="0.35">
      <c r="J635" s="38"/>
      <c r="K635" s="38"/>
      <c r="L635" s="38"/>
      <c r="M635" s="47"/>
      <c r="X635" s="47"/>
    </row>
    <row r="636" spans="10:24" x14ac:dyDescent="0.35">
      <c r="J636" s="38"/>
      <c r="K636" s="38"/>
      <c r="L636" s="38"/>
      <c r="M636" s="47"/>
      <c r="X636" s="47"/>
    </row>
    <row r="637" spans="10:24" x14ac:dyDescent="0.35">
      <c r="J637" s="38"/>
      <c r="K637" s="38"/>
      <c r="L637" s="38"/>
      <c r="M637" s="47"/>
      <c r="X637" s="47"/>
    </row>
    <row r="638" spans="10:24" x14ac:dyDescent="0.35">
      <c r="J638" s="38"/>
      <c r="K638" s="38"/>
      <c r="L638" s="38"/>
      <c r="M638" s="47"/>
      <c r="X638" s="47"/>
    </row>
    <row r="639" spans="10:24" x14ac:dyDescent="0.35">
      <c r="J639" s="38"/>
      <c r="K639" s="38"/>
      <c r="L639" s="38"/>
      <c r="M639" s="47"/>
      <c r="X639" s="47"/>
    </row>
    <row r="640" spans="10:24" x14ac:dyDescent="0.35">
      <c r="J640" s="38"/>
      <c r="K640" s="38"/>
      <c r="L640" s="38"/>
      <c r="M640" s="47"/>
      <c r="X640" s="47"/>
    </row>
    <row r="641" spans="10:24" x14ac:dyDescent="0.35">
      <c r="J641" s="38"/>
      <c r="K641" s="38"/>
      <c r="L641" s="38"/>
      <c r="M641" s="47"/>
      <c r="X641" s="47"/>
    </row>
    <row r="642" spans="10:24" x14ac:dyDescent="0.35">
      <c r="J642" s="38"/>
      <c r="K642" s="38"/>
      <c r="L642" s="38"/>
      <c r="M642" s="47"/>
      <c r="X642" s="47"/>
    </row>
    <row r="643" spans="10:24" x14ac:dyDescent="0.35">
      <c r="J643" s="38"/>
      <c r="K643" s="38"/>
      <c r="L643" s="38"/>
      <c r="M643" s="47"/>
      <c r="X643" s="47"/>
    </row>
    <row r="644" spans="10:24" x14ac:dyDescent="0.35">
      <c r="J644" s="38"/>
      <c r="K644" s="38"/>
      <c r="L644" s="38"/>
      <c r="M644" s="47"/>
      <c r="X644" s="47"/>
    </row>
    <row r="645" spans="10:24" x14ac:dyDescent="0.35">
      <c r="J645" s="38"/>
      <c r="K645" s="38"/>
      <c r="L645" s="38"/>
      <c r="M645" s="47"/>
      <c r="X645" s="47"/>
    </row>
    <row r="646" spans="10:24" x14ac:dyDescent="0.35">
      <c r="J646" s="38"/>
      <c r="K646" s="38"/>
      <c r="L646" s="38"/>
      <c r="M646" s="47"/>
      <c r="X646" s="47"/>
    </row>
    <row r="647" spans="10:24" x14ac:dyDescent="0.35">
      <c r="J647" s="38"/>
      <c r="K647" s="38"/>
      <c r="L647" s="38"/>
      <c r="M647" s="47"/>
      <c r="X647" s="47"/>
    </row>
    <row r="648" spans="10:24" x14ac:dyDescent="0.35">
      <c r="J648" s="38"/>
      <c r="K648" s="38"/>
      <c r="L648" s="38"/>
      <c r="M648" s="47"/>
      <c r="X648" s="47"/>
    </row>
    <row r="649" spans="10:24" x14ac:dyDescent="0.35">
      <c r="J649" s="38"/>
      <c r="K649" s="38"/>
      <c r="L649" s="38"/>
      <c r="M649" s="47"/>
      <c r="X649" s="47"/>
    </row>
    <row r="650" spans="10:24" x14ac:dyDescent="0.35">
      <c r="J650" s="38"/>
      <c r="K650" s="38"/>
      <c r="L650" s="38"/>
      <c r="M650" s="47"/>
      <c r="X650" s="47"/>
    </row>
    <row r="651" spans="10:24" x14ac:dyDescent="0.35">
      <c r="J651" s="38"/>
      <c r="K651" s="38"/>
      <c r="L651" s="38"/>
      <c r="M651" s="47"/>
      <c r="X651" s="47"/>
    </row>
    <row r="652" spans="10:24" x14ac:dyDescent="0.35">
      <c r="J652" s="38"/>
      <c r="K652" s="38"/>
      <c r="L652" s="38"/>
      <c r="M652" s="47"/>
      <c r="X652" s="47"/>
    </row>
    <row r="653" spans="10:24" x14ac:dyDescent="0.35">
      <c r="J653" s="40"/>
      <c r="K653" s="40"/>
      <c r="L653" s="46"/>
      <c r="M653" s="46"/>
      <c r="X653" s="47"/>
    </row>
    <row r="654" spans="10:24" x14ac:dyDescent="0.35">
      <c r="J654" s="38"/>
      <c r="K654" s="38"/>
      <c r="L654" s="38"/>
      <c r="M654" s="47"/>
      <c r="X654" s="47"/>
    </row>
    <row r="655" spans="10:24" x14ac:dyDescent="0.35">
      <c r="J655" s="38"/>
      <c r="K655" s="38"/>
      <c r="L655" s="38"/>
      <c r="M655" s="47"/>
      <c r="X655" s="47"/>
    </row>
    <row r="656" spans="10:24" x14ac:dyDescent="0.35">
      <c r="J656" s="38"/>
      <c r="K656" s="38"/>
      <c r="L656" s="38"/>
      <c r="M656" s="47"/>
      <c r="X656" s="47"/>
    </row>
    <row r="657" spans="10:24" x14ac:dyDescent="0.35">
      <c r="J657" s="38"/>
      <c r="K657" s="38"/>
      <c r="L657" s="38"/>
      <c r="M657" s="47"/>
      <c r="X657" s="47"/>
    </row>
    <row r="658" spans="10:24" x14ac:dyDescent="0.35">
      <c r="J658" s="38"/>
      <c r="K658" s="38"/>
      <c r="L658" s="38"/>
      <c r="M658" s="47"/>
      <c r="X658" s="47"/>
    </row>
    <row r="659" spans="10:24" x14ac:dyDescent="0.35">
      <c r="J659" s="38"/>
      <c r="K659" s="38"/>
      <c r="L659" s="38"/>
      <c r="M659" s="47"/>
      <c r="X659" s="47"/>
    </row>
    <row r="660" spans="10:24" x14ac:dyDescent="0.35">
      <c r="J660" s="38"/>
      <c r="K660" s="38"/>
      <c r="L660" s="38"/>
      <c r="M660" s="47"/>
      <c r="X660" s="47"/>
    </row>
    <row r="661" spans="10:24" x14ac:dyDescent="0.35">
      <c r="J661" s="38"/>
      <c r="K661" s="38"/>
      <c r="L661" s="38"/>
      <c r="M661" s="47"/>
      <c r="X661" s="47"/>
    </row>
    <row r="662" spans="10:24" x14ac:dyDescent="0.35">
      <c r="J662" s="38"/>
      <c r="K662" s="38"/>
      <c r="L662" s="38"/>
      <c r="M662" s="47"/>
      <c r="X662" s="47"/>
    </row>
    <row r="663" spans="10:24" x14ac:dyDescent="0.35">
      <c r="J663" s="38"/>
      <c r="K663" s="38"/>
      <c r="L663" s="38"/>
      <c r="M663" s="47"/>
      <c r="X663" s="47"/>
    </row>
    <row r="664" spans="10:24" x14ac:dyDescent="0.35">
      <c r="J664" s="38"/>
      <c r="K664" s="38"/>
      <c r="L664" s="38"/>
      <c r="M664" s="47"/>
      <c r="X664" s="47"/>
    </row>
    <row r="665" spans="10:24" x14ac:dyDescent="0.35">
      <c r="J665" s="38"/>
      <c r="K665" s="38"/>
      <c r="L665" s="38"/>
      <c r="M665" s="47"/>
      <c r="X665" s="47"/>
    </row>
    <row r="666" spans="10:24" x14ac:dyDescent="0.35">
      <c r="J666" s="40"/>
      <c r="K666" s="40"/>
      <c r="L666" s="46"/>
      <c r="M666" s="46"/>
      <c r="X666" s="47"/>
    </row>
    <row r="667" spans="10:24" x14ac:dyDescent="0.35">
      <c r="J667" s="38"/>
      <c r="K667" s="38"/>
      <c r="L667" s="38"/>
      <c r="M667" s="47"/>
      <c r="X667" s="47"/>
    </row>
    <row r="668" spans="10:24" x14ac:dyDescent="0.35">
      <c r="J668" s="38"/>
      <c r="K668" s="38"/>
      <c r="L668" s="38"/>
      <c r="M668" s="47"/>
      <c r="X668" s="47"/>
    </row>
    <row r="669" spans="10:24" x14ac:dyDescent="0.35">
      <c r="J669" s="38"/>
      <c r="K669" s="38"/>
      <c r="L669" s="38"/>
      <c r="M669" s="47"/>
      <c r="X669" s="47"/>
    </row>
    <row r="670" spans="10:24" x14ac:dyDescent="0.35">
      <c r="J670" s="38"/>
      <c r="K670" s="38"/>
      <c r="L670" s="38"/>
      <c r="M670" s="47"/>
      <c r="X670" s="47"/>
    </row>
    <row r="671" spans="10:24" x14ac:dyDescent="0.35">
      <c r="J671" s="38"/>
      <c r="K671" s="38"/>
      <c r="L671" s="38"/>
      <c r="M671" s="47"/>
      <c r="X671" s="47"/>
    </row>
    <row r="672" spans="10:24" x14ac:dyDescent="0.35">
      <c r="J672" s="38"/>
      <c r="K672" s="38"/>
      <c r="L672" s="38"/>
      <c r="M672" s="47"/>
      <c r="X672" s="47"/>
    </row>
    <row r="673" spans="10:24" x14ac:dyDescent="0.35">
      <c r="J673" s="38"/>
      <c r="K673" s="38"/>
      <c r="L673" s="38"/>
      <c r="M673" s="47"/>
      <c r="X673" s="47"/>
    </row>
    <row r="674" spans="10:24" x14ac:dyDescent="0.35">
      <c r="J674" s="38"/>
      <c r="K674" s="38"/>
      <c r="L674" s="38"/>
      <c r="M674" s="47"/>
      <c r="X674" s="47"/>
    </row>
    <row r="675" spans="10:24" x14ac:dyDescent="0.35">
      <c r="J675" s="40"/>
      <c r="K675" s="40"/>
      <c r="L675" s="46"/>
      <c r="M675" s="46"/>
      <c r="X675" s="47"/>
    </row>
    <row r="676" spans="10:24" x14ac:dyDescent="0.35">
      <c r="J676" s="38"/>
      <c r="K676" s="38"/>
      <c r="L676" s="38"/>
      <c r="M676" s="47"/>
      <c r="X676" s="47"/>
    </row>
    <row r="677" spans="10:24" x14ac:dyDescent="0.35">
      <c r="J677" s="38"/>
      <c r="K677" s="38"/>
      <c r="L677" s="38"/>
      <c r="M677" s="47"/>
      <c r="X677" s="47"/>
    </row>
    <row r="678" spans="10:24" x14ac:dyDescent="0.35">
      <c r="J678" s="38"/>
      <c r="K678" s="38"/>
      <c r="L678" s="38"/>
      <c r="M678" s="47"/>
      <c r="X678" s="47"/>
    </row>
    <row r="679" spans="10:24" x14ac:dyDescent="0.35">
      <c r="J679" s="38"/>
      <c r="K679" s="38"/>
      <c r="L679" s="38"/>
      <c r="M679" s="47"/>
      <c r="X679" s="47"/>
    </row>
    <row r="680" spans="10:24" x14ac:dyDescent="0.35">
      <c r="J680" s="38"/>
      <c r="K680" s="38"/>
      <c r="L680" s="38"/>
      <c r="M680" s="47"/>
      <c r="X680" s="47"/>
    </row>
    <row r="681" spans="10:24" x14ac:dyDescent="0.35">
      <c r="J681" s="38"/>
      <c r="K681" s="38"/>
      <c r="L681" s="38"/>
      <c r="M681" s="47"/>
      <c r="X681" s="47"/>
    </row>
    <row r="682" spans="10:24" x14ac:dyDescent="0.35">
      <c r="J682" s="38"/>
      <c r="K682" s="38"/>
      <c r="L682" s="38"/>
      <c r="M682" s="47"/>
      <c r="X682" s="47"/>
    </row>
    <row r="683" spans="10:24" x14ac:dyDescent="0.35">
      <c r="J683" s="40"/>
      <c r="K683" s="40"/>
      <c r="L683" s="46"/>
      <c r="M683" s="46"/>
      <c r="X683" s="47"/>
    </row>
    <row r="684" spans="10:24" x14ac:dyDescent="0.35">
      <c r="J684" s="38"/>
      <c r="K684" s="38"/>
      <c r="L684" s="38"/>
      <c r="M684" s="47"/>
      <c r="X684" s="47"/>
    </row>
    <row r="685" spans="10:24" x14ac:dyDescent="0.35">
      <c r="J685" s="38"/>
      <c r="K685" s="38"/>
      <c r="L685" s="38"/>
      <c r="M685" s="47"/>
      <c r="X685" s="47"/>
    </row>
    <row r="686" spans="10:24" x14ac:dyDescent="0.35">
      <c r="J686" s="38"/>
      <c r="K686" s="38"/>
      <c r="L686" s="38"/>
      <c r="M686" s="47"/>
      <c r="X686" s="47"/>
    </row>
    <row r="687" spans="10:24" x14ac:dyDescent="0.35">
      <c r="J687" s="38"/>
      <c r="K687" s="38"/>
      <c r="L687" s="38"/>
      <c r="M687" s="47"/>
      <c r="X687" s="47"/>
    </row>
    <row r="688" spans="10:24" x14ac:dyDescent="0.35">
      <c r="J688" s="38"/>
      <c r="K688" s="38"/>
      <c r="L688" s="38"/>
      <c r="M688" s="47"/>
      <c r="X688" s="47"/>
    </row>
    <row r="689" spans="10:24" x14ac:dyDescent="0.35">
      <c r="J689" s="38"/>
      <c r="K689" s="38"/>
      <c r="L689" s="38"/>
      <c r="M689" s="47"/>
      <c r="X689" s="47"/>
    </row>
    <row r="690" spans="10:24" x14ac:dyDescent="0.35">
      <c r="J690" s="38"/>
      <c r="K690" s="38"/>
      <c r="L690" s="38"/>
      <c r="M690" s="47"/>
      <c r="X690" s="47"/>
    </row>
    <row r="691" spans="10:24" x14ac:dyDescent="0.35">
      <c r="J691" s="38"/>
      <c r="K691" s="38"/>
      <c r="L691" s="38"/>
      <c r="M691" s="47"/>
      <c r="X691" s="47"/>
    </row>
    <row r="692" spans="10:24" x14ac:dyDescent="0.35">
      <c r="J692" s="38"/>
      <c r="K692" s="38"/>
      <c r="L692" s="38"/>
      <c r="M692" s="47"/>
      <c r="X692" s="47"/>
    </row>
    <row r="693" spans="10:24" x14ac:dyDescent="0.35">
      <c r="J693" s="38"/>
      <c r="K693" s="38"/>
      <c r="L693" s="38"/>
      <c r="M693" s="47"/>
      <c r="X693" s="47"/>
    </row>
    <row r="694" spans="10:24" x14ac:dyDescent="0.35">
      <c r="J694" s="38"/>
      <c r="K694" s="38"/>
      <c r="L694" s="38"/>
      <c r="M694" s="47"/>
      <c r="X694" s="47"/>
    </row>
    <row r="695" spans="10:24" x14ac:dyDescent="0.35">
      <c r="J695" s="38"/>
      <c r="K695" s="38"/>
      <c r="L695" s="38"/>
      <c r="M695" s="47"/>
      <c r="X695" s="47"/>
    </row>
    <row r="696" spans="10:24" x14ac:dyDescent="0.35">
      <c r="J696" s="38"/>
      <c r="K696" s="38"/>
      <c r="L696" s="38"/>
      <c r="M696" s="47"/>
      <c r="X696" s="47"/>
    </row>
    <row r="697" spans="10:24" x14ac:dyDescent="0.35">
      <c r="J697" s="38"/>
      <c r="K697" s="38"/>
      <c r="L697" s="38"/>
      <c r="M697" s="47"/>
      <c r="X697" s="47"/>
    </row>
    <row r="698" spans="10:24" x14ac:dyDescent="0.35">
      <c r="J698" s="38"/>
      <c r="K698" s="38"/>
      <c r="L698" s="38"/>
      <c r="M698" s="47"/>
      <c r="X698" s="47"/>
    </row>
    <row r="699" spans="10:24" x14ac:dyDescent="0.35">
      <c r="J699" s="38"/>
      <c r="K699" s="38"/>
      <c r="L699" s="38"/>
      <c r="M699" s="47"/>
      <c r="X699" s="47"/>
    </row>
    <row r="700" spans="10:24" x14ac:dyDescent="0.35">
      <c r="J700" s="38"/>
      <c r="K700" s="38"/>
      <c r="L700" s="38"/>
      <c r="M700" s="47"/>
      <c r="X700" s="47"/>
    </row>
    <row r="701" spans="10:24" x14ac:dyDescent="0.35">
      <c r="J701" s="38"/>
      <c r="K701" s="38"/>
      <c r="L701" s="38"/>
      <c r="M701" s="47"/>
      <c r="X701" s="47"/>
    </row>
    <row r="702" spans="10:24" x14ac:dyDescent="0.35">
      <c r="J702" s="38"/>
      <c r="K702" s="38"/>
      <c r="L702" s="38"/>
      <c r="M702" s="47"/>
      <c r="X702" s="47"/>
    </row>
    <row r="703" spans="10:24" x14ac:dyDescent="0.35">
      <c r="J703" s="38"/>
      <c r="K703" s="38"/>
      <c r="L703" s="38"/>
      <c r="M703" s="47"/>
      <c r="X703" s="47"/>
    </row>
    <row r="704" spans="10:24" x14ac:dyDescent="0.35">
      <c r="J704" s="38"/>
      <c r="K704" s="38"/>
      <c r="L704" s="38"/>
      <c r="M704" s="47"/>
      <c r="X704" s="47"/>
    </row>
    <row r="705" spans="10:24" x14ac:dyDescent="0.35">
      <c r="J705" s="40"/>
      <c r="K705" s="40"/>
      <c r="L705" s="46"/>
      <c r="M705" s="46"/>
      <c r="X705" s="47"/>
    </row>
    <row r="706" spans="10:24" x14ac:dyDescent="0.35">
      <c r="J706" s="38"/>
      <c r="K706" s="38"/>
      <c r="L706" s="38"/>
      <c r="M706" s="47"/>
      <c r="X706" s="47"/>
    </row>
    <row r="707" spans="10:24" x14ac:dyDescent="0.35">
      <c r="J707" s="38"/>
      <c r="K707" s="38"/>
      <c r="L707" s="38"/>
      <c r="M707" s="47"/>
      <c r="X707" s="47"/>
    </row>
    <row r="708" spans="10:24" x14ac:dyDescent="0.35">
      <c r="J708" s="38"/>
      <c r="K708" s="38"/>
      <c r="L708" s="38"/>
      <c r="M708" s="47"/>
      <c r="X708" s="47"/>
    </row>
    <row r="709" spans="10:24" x14ac:dyDescent="0.35">
      <c r="J709" s="38"/>
      <c r="K709" s="38"/>
      <c r="L709" s="38"/>
      <c r="M709" s="47"/>
      <c r="X709" s="47"/>
    </row>
    <row r="710" spans="10:24" x14ac:dyDescent="0.35">
      <c r="J710" s="38"/>
      <c r="K710" s="38"/>
      <c r="L710" s="38"/>
      <c r="M710" s="47"/>
      <c r="X710" s="47"/>
    </row>
    <row r="711" spans="10:24" x14ac:dyDescent="0.35">
      <c r="J711" s="38"/>
      <c r="K711" s="38"/>
      <c r="L711" s="38"/>
      <c r="M711" s="47"/>
      <c r="X711" s="47"/>
    </row>
    <row r="712" spans="10:24" x14ac:dyDescent="0.35">
      <c r="J712" s="38"/>
      <c r="K712" s="38"/>
      <c r="L712" s="38"/>
      <c r="M712" s="47"/>
      <c r="X712" s="47"/>
    </row>
    <row r="713" spans="10:24" x14ac:dyDescent="0.35">
      <c r="J713" s="38"/>
      <c r="K713" s="38"/>
      <c r="L713" s="38"/>
      <c r="M713" s="47"/>
      <c r="X713" s="47"/>
    </row>
    <row r="714" spans="10:24" x14ac:dyDescent="0.35">
      <c r="J714" s="38"/>
      <c r="K714" s="38"/>
      <c r="L714" s="38"/>
      <c r="M714" s="47"/>
      <c r="X714" s="47"/>
    </row>
    <row r="715" spans="10:24" x14ac:dyDescent="0.35">
      <c r="J715" s="40"/>
      <c r="K715" s="40"/>
      <c r="L715" s="46"/>
      <c r="M715" s="46"/>
      <c r="X715" s="47"/>
    </row>
    <row r="716" spans="10:24" x14ac:dyDescent="0.35">
      <c r="J716" s="38"/>
      <c r="K716" s="38"/>
      <c r="L716" s="38"/>
      <c r="M716" s="47"/>
      <c r="X716" s="47"/>
    </row>
    <row r="717" spans="10:24" x14ac:dyDescent="0.35">
      <c r="J717" s="38"/>
      <c r="K717" s="38"/>
      <c r="L717" s="38"/>
      <c r="M717" s="47"/>
      <c r="X717" s="47"/>
    </row>
    <row r="718" spans="10:24" x14ac:dyDescent="0.35">
      <c r="J718" s="38"/>
      <c r="K718" s="38"/>
      <c r="L718" s="38"/>
      <c r="M718" s="47"/>
      <c r="X718" s="47"/>
    </row>
    <row r="719" spans="10:24" x14ac:dyDescent="0.35">
      <c r="J719" s="38"/>
      <c r="K719" s="38"/>
      <c r="L719" s="38"/>
      <c r="M719" s="47"/>
      <c r="X719" s="47"/>
    </row>
    <row r="720" spans="10:24" x14ac:dyDescent="0.35">
      <c r="J720" s="38"/>
      <c r="K720" s="38"/>
      <c r="L720" s="38"/>
      <c r="M720" s="47"/>
      <c r="X720" s="47"/>
    </row>
    <row r="721" spans="10:24" x14ac:dyDescent="0.35">
      <c r="J721" s="38"/>
      <c r="K721" s="38"/>
      <c r="L721" s="38"/>
      <c r="M721" s="47"/>
      <c r="X721" s="47"/>
    </row>
    <row r="722" spans="10:24" x14ac:dyDescent="0.35">
      <c r="J722" s="38"/>
      <c r="K722" s="38"/>
      <c r="L722" s="38"/>
      <c r="M722" s="47"/>
      <c r="X722" s="47"/>
    </row>
    <row r="723" spans="10:24" x14ac:dyDescent="0.35">
      <c r="J723" s="38"/>
      <c r="K723" s="38"/>
      <c r="L723" s="38"/>
      <c r="M723" s="47"/>
      <c r="X723" s="47"/>
    </row>
    <row r="724" spans="10:24" x14ac:dyDescent="0.35">
      <c r="J724" s="38"/>
      <c r="K724" s="38"/>
      <c r="L724" s="38"/>
      <c r="M724" s="47"/>
      <c r="X724" s="47"/>
    </row>
    <row r="725" spans="10:24" x14ac:dyDescent="0.35">
      <c r="J725" s="38"/>
      <c r="K725" s="38"/>
      <c r="L725" s="38"/>
      <c r="M725" s="47"/>
      <c r="X725" s="47"/>
    </row>
    <row r="726" spans="10:24" x14ac:dyDescent="0.35">
      <c r="J726" s="38"/>
      <c r="K726" s="38"/>
      <c r="L726" s="38"/>
      <c r="M726" s="47"/>
      <c r="X726" s="47"/>
    </row>
    <row r="727" spans="10:24" x14ac:dyDescent="0.35">
      <c r="J727" s="38"/>
      <c r="K727" s="38"/>
      <c r="L727" s="38"/>
      <c r="M727" s="47"/>
      <c r="X727" s="47"/>
    </row>
    <row r="728" spans="10:24" x14ac:dyDescent="0.35">
      <c r="J728" s="38"/>
      <c r="K728" s="38"/>
      <c r="L728" s="38"/>
      <c r="M728" s="47"/>
      <c r="X728" s="47"/>
    </row>
    <row r="729" spans="10:24" x14ac:dyDescent="0.35">
      <c r="J729" s="38"/>
      <c r="K729" s="38"/>
      <c r="L729" s="38"/>
      <c r="M729" s="47"/>
      <c r="X729" s="47"/>
    </row>
    <row r="730" spans="10:24" x14ac:dyDescent="0.35">
      <c r="J730" s="38"/>
      <c r="K730" s="38"/>
      <c r="L730" s="38"/>
      <c r="M730" s="47"/>
      <c r="X730" s="47"/>
    </row>
    <row r="731" spans="10:24" x14ac:dyDescent="0.35">
      <c r="J731" s="40"/>
      <c r="K731" s="40"/>
      <c r="L731" s="46"/>
      <c r="M731" s="46"/>
      <c r="X731" s="47"/>
    </row>
    <row r="732" spans="10:24" x14ac:dyDescent="0.35">
      <c r="J732" s="38"/>
      <c r="K732" s="38"/>
      <c r="L732" s="38"/>
      <c r="M732" s="47"/>
      <c r="X732" s="47"/>
    </row>
    <row r="733" spans="10:24" x14ac:dyDescent="0.35">
      <c r="J733" s="38"/>
      <c r="K733" s="38"/>
      <c r="L733" s="38"/>
      <c r="M733" s="47"/>
      <c r="X733" s="47"/>
    </row>
    <row r="734" spans="10:24" x14ac:dyDescent="0.35">
      <c r="J734" s="38"/>
      <c r="K734" s="38"/>
      <c r="L734" s="38"/>
      <c r="M734" s="47"/>
      <c r="X734" s="47"/>
    </row>
    <row r="735" spans="10:24" x14ac:dyDescent="0.35">
      <c r="J735" s="38"/>
      <c r="K735" s="38"/>
      <c r="L735" s="38"/>
      <c r="M735" s="47"/>
      <c r="X735" s="47"/>
    </row>
    <row r="736" spans="10:24" x14ac:dyDescent="0.35">
      <c r="J736" s="38"/>
      <c r="K736" s="38"/>
      <c r="L736" s="38"/>
      <c r="M736" s="47"/>
      <c r="X736" s="47"/>
    </row>
    <row r="737" spans="10:24" x14ac:dyDescent="0.35">
      <c r="J737" s="38"/>
      <c r="K737" s="38"/>
      <c r="L737" s="38"/>
      <c r="M737" s="47"/>
      <c r="X737" s="47"/>
    </row>
    <row r="738" spans="10:24" x14ac:dyDescent="0.35">
      <c r="J738" s="38"/>
      <c r="K738" s="38"/>
      <c r="L738" s="38"/>
      <c r="M738" s="47"/>
      <c r="X738" s="47"/>
    </row>
    <row r="739" spans="10:24" x14ac:dyDescent="0.35">
      <c r="J739" s="38"/>
      <c r="K739" s="38"/>
      <c r="L739" s="38"/>
      <c r="M739" s="47"/>
      <c r="X739" s="47"/>
    </row>
    <row r="740" spans="10:24" x14ac:dyDescent="0.35">
      <c r="J740" s="38"/>
      <c r="K740" s="38"/>
      <c r="L740" s="38"/>
      <c r="M740" s="47"/>
      <c r="X740" s="47"/>
    </row>
    <row r="741" spans="10:24" x14ac:dyDescent="0.35">
      <c r="J741" s="38"/>
      <c r="K741" s="38"/>
      <c r="L741" s="38"/>
      <c r="M741" s="47"/>
      <c r="X741" s="47"/>
    </row>
    <row r="742" spans="10:24" x14ac:dyDescent="0.35">
      <c r="J742" s="38"/>
      <c r="K742" s="38"/>
      <c r="L742" s="38"/>
      <c r="M742" s="47"/>
      <c r="X742" s="47"/>
    </row>
    <row r="743" spans="10:24" x14ac:dyDescent="0.35">
      <c r="J743" s="38"/>
      <c r="K743" s="38"/>
      <c r="L743" s="38"/>
      <c r="M743" s="47"/>
      <c r="X743" s="47"/>
    </row>
    <row r="744" spans="10:24" x14ac:dyDescent="0.35">
      <c r="J744" s="38"/>
      <c r="K744" s="38"/>
      <c r="L744" s="38"/>
      <c r="M744" s="47"/>
      <c r="X744" s="47"/>
    </row>
    <row r="745" spans="10:24" x14ac:dyDescent="0.35">
      <c r="J745" s="38"/>
      <c r="K745" s="38"/>
      <c r="L745" s="38"/>
      <c r="M745" s="47"/>
      <c r="X745" s="47"/>
    </row>
    <row r="746" spans="10:24" x14ac:dyDescent="0.35">
      <c r="J746" s="38"/>
      <c r="K746" s="38"/>
      <c r="L746" s="38"/>
      <c r="M746" s="47"/>
      <c r="X746" s="47"/>
    </row>
    <row r="747" spans="10:24" x14ac:dyDescent="0.35">
      <c r="J747" s="38"/>
      <c r="K747" s="38"/>
      <c r="L747" s="38"/>
      <c r="M747" s="47"/>
      <c r="X747" s="47"/>
    </row>
    <row r="748" spans="10:24" x14ac:dyDescent="0.35">
      <c r="J748" s="38"/>
      <c r="K748" s="38"/>
      <c r="L748" s="38"/>
      <c r="M748" s="47"/>
      <c r="X748" s="47"/>
    </row>
    <row r="749" spans="10:24" x14ac:dyDescent="0.35">
      <c r="J749" s="38"/>
      <c r="K749" s="38"/>
      <c r="L749" s="38"/>
      <c r="M749" s="47"/>
      <c r="X749" s="47"/>
    </row>
    <row r="750" spans="10:24" x14ac:dyDescent="0.35">
      <c r="J750" s="38"/>
      <c r="K750" s="38"/>
      <c r="L750" s="38"/>
      <c r="M750" s="47"/>
      <c r="X750" s="47"/>
    </row>
    <row r="751" spans="10:24" x14ac:dyDescent="0.35">
      <c r="J751" s="40"/>
      <c r="K751" s="40"/>
      <c r="L751" s="46"/>
      <c r="M751" s="46"/>
      <c r="X751" s="47"/>
    </row>
    <row r="752" spans="10:24" x14ac:dyDescent="0.35">
      <c r="J752" s="38"/>
      <c r="K752" s="38"/>
      <c r="L752" s="38"/>
      <c r="M752" s="47"/>
      <c r="X752" s="47"/>
    </row>
    <row r="753" spans="10:24" x14ac:dyDescent="0.35">
      <c r="J753" s="38"/>
      <c r="K753" s="38"/>
      <c r="L753" s="38"/>
      <c r="M753" s="47"/>
      <c r="X753" s="47"/>
    </row>
    <row r="754" spans="10:24" x14ac:dyDescent="0.35">
      <c r="J754" s="38"/>
      <c r="K754" s="38"/>
      <c r="L754" s="38"/>
      <c r="M754" s="47"/>
      <c r="X754" s="47"/>
    </row>
    <row r="755" spans="10:24" x14ac:dyDescent="0.35">
      <c r="J755" s="38"/>
      <c r="K755" s="38"/>
      <c r="L755" s="38"/>
      <c r="M755" s="47"/>
      <c r="X755" s="47"/>
    </row>
    <row r="756" spans="10:24" x14ac:dyDescent="0.35">
      <c r="J756" s="38"/>
      <c r="K756" s="38"/>
      <c r="L756" s="38"/>
      <c r="M756" s="47"/>
      <c r="X756" s="47"/>
    </row>
    <row r="757" spans="10:24" x14ac:dyDescent="0.35">
      <c r="J757" s="38"/>
      <c r="K757" s="38"/>
      <c r="L757" s="38"/>
      <c r="M757" s="47"/>
      <c r="X757" s="47"/>
    </row>
    <row r="758" spans="10:24" x14ac:dyDescent="0.35">
      <c r="J758" s="38"/>
      <c r="K758" s="38"/>
      <c r="L758" s="38"/>
      <c r="M758" s="47"/>
      <c r="X758" s="47"/>
    </row>
    <row r="759" spans="10:24" x14ac:dyDescent="0.35">
      <c r="J759" s="38"/>
      <c r="K759" s="38"/>
      <c r="L759" s="38"/>
      <c r="M759" s="47"/>
      <c r="X759" s="47"/>
    </row>
    <row r="760" spans="10:24" x14ac:dyDescent="0.35">
      <c r="J760" s="38"/>
      <c r="K760" s="38"/>
      <c r="L760" s="38"/>
      <c r="M760" s="47"/>
      <c r="X760" s="47"/>
    </row>
    <row r="761" spans="10:24" x14ac:dyDescent="0.35">
      <c r="J761" s="38"/>
      <c r="K761" s="38"/>
      <c r="L761" s="38"/>
      <c r="M761" s="47"/>
      <c r="X761" s="47"/>
    </row>
    <row r="762" spans="10:24" x14ac:dyDescent="0.35">
      <c r="J762" s="38"/>
      <c r="K762" s="38"/>
      <c r="L762" s="38"/>
      <c r="M762" s="47"/>
      <c r="X762" s="47"/>
    </row>
    <row r="763" spans="10:24" x14ac:dyDescent="0.35">
      <c r="J763" s="38"/>
      <c r="K763" s="38"/>
      <c r="L763" s="38"/>
      <c r="M763" s="47"/>
      <c r="X763" s="47"/>
    </row>
    <row r="764" spans="10:24" x14ac:dyDescent="0.35">
      <c r="J764" s="38"/>
      <c r="K764" s="38"/>
      <c r="L764" s="38"/>
      <c r="M764" s="47"/>
      <c r="X764" s="47"/>
    </row>
    <row r="765" spans="10:24" x14ac:dyDescent="0.35">
      <c r="J765" s="38"/>
      <c r="K765" s="38"/>
      <c r="L765" s="38"/>
      <c r="M765" s="47"/>
      <c r="X765" s="47"/>
    </row>
    <row r="766" spans="10:24" x14ac:dyDescent="0.35">
      <c r="J766" s="38"/>
      <c r="K766" s="38"/>
      <c r="L766" s="38"/>
      <c r="M766" s="47"/>
      <c r="X766" s="47"/>
    </row>
    <row r="767" spans="10:24" x14ac:dyDescent="0.35">
      <c r="J767" s="38"/>
      <c r="K767" s="38"/>
      <c r="L767" s="38"/>
      <c r="M767" s="47"/>
      <c r="X767" s="47"/>
    </row>
    <row r="768" spans="10:24" x14ac:dyDescent="0.35">
      <c r="J768" s="38"/>
      <c r="K768" s="38"/>
      <c r="L768" s="38"/>
      <c r="M768" s="47"/>
      <c r="X768" s="47"/>
    </row>
    <row r="769" spans="10:24" x14ac:dyDescent="0.35">
      <c r="J769" s="38"/>
      <c r="K769" s="38"/>
      <c r="L769" s="38"/>
      <c r="M769" s="47"/>
      <c r="X769" s="47"/>
    </row>
    <row r="770" spans="10:24" x14ac:dyDescent="0.35">
      <c r="J770" s="38"/>
      <c r="K770" s="38"/>
      <c r="L770" s="38"/>
      <c r="M770" s="47"/>
      <c r="X770" s="47"/>
    </row>
    <row r="771" spans="10:24" x14ac:dyDescent="0.35">
      <c r="J771" s="38"/>
      <c r="K771" s="38"/>
      <c r="L771" s="38"/>
      <c r="M771" s="47"/>
      <c r="X771" s="47"/>
    </row>
    <row r="772" spans="10:24" x14ac:dyDescent="0.35">
      <c r="J772" s="38"/>
      <c r="K772" s="38"/>
      <c r="L772" s="38"/>
      <c r="M772" s="47"/>
      <c r="X772" s="47"/>
    </row>
    <row r="773" spans="10:24" x14ac:dyDescent="0.35">
      <c r="J773" s="38"/>
      <c r="K773" s="38"/>
      <c r="L773" s="38"/>
      <c r="M773" s="47"/>
      <c r="X773" s="47"/>
    </row>
    <row r="774" spans="10:24" x14ac:dyDescent="0.35">
      <c r="J774" s="40"/>
      <c r="K774" s="40"/>
      <c r="L774" s="46"/>
      <c r="M774" s="46"/>
      <c r="X774" s="47"/>
    </row>
    <row r="775" spans="10:24" x14ac:dyDescent="0.35">
      <c r="J775" s="38"/>
      <c r="K775" s="38"/>
      <c r="L775" s="38"/>
      <c r="M775" s="47"/>
      <c r="X775" s="47"/>
    </row>
    <row r="776" spans="10:24" x14ac:dyDescent="0.35">
      <c r="J776" s="38"/>
      <c r="K776" s="38"/>
      <c r="L776" s="38"/>
      <c r="M776" s="47"/>
      <c r="X776" s="47"/>
    </row>
    <row r="777" spans="10:24" x14ac:dyDescent="0.35">
      <c r="J777" s="38"/>
      <c r="K777" s="38"/>
      <c r="L777" s="38"/>
      <c r="M777" s="47"/>
      <c r="X777" s="47"/>
    </row>
    <row r="778" spans="10:24" x14ac:dyDescent="0.35">
      <c r="J778" s="38"/>
      <c r="K778" s="38"/>
      <c r="L778" s="38"/>
      <c r="M778" s="47"/>
      <c r="X778" s="47"/>
    </row>
    <row r="779" spans="10:24" x14ac:dyDescent="0.35">
      <c r="J779" s="38"/>
      <c r="K779" s="38"/>
      <c r="L779" s="38"/>
      <c r="M779" s="47"/>
      <c r="X779" s="47"/>
    </row>
    <row r="780" spans="10:24" x14ac:dyDescent="0.35">
      <c r="J780" s="38"/>
      <c r="K780" s="38"/>
      <c r="L780" s="38"/>
      <c r="M780" s="47"/>
      <c r="X780" s="47"/>
    </row>
    <row r="781" spans="10:24" x14ac:dyDescent="0.35">
      <c r="J781" s="38"/>
      <c r="K781" s="38"/>
      <c r="L781" s="38"/>
      <c r="M781" s="47"/>
      <c r="X781" s="47"/>
    </row>
    <row r="782" spans="10:24" x14ac:dyDescent="0.35">
      <c r="J782" s="38"/>
      <c r="K782" s="38"/>
      <c r="L782" s="38"/>
      <c r="M782" s="47"/>
      <c r="X782" s="47"/>
    </row>
    <row r="783" spans="10:24" x14ac:dyDescent="0.35">
      <c r="J783" s="38"/>
      <c r="K783" s="38"/>
      <c r="L783" s="38"/>
      <c r="M783" s="47"/>
      <c r="X783" s="47"/>
    </row>
    <row r="784" spans="10:24" x14ac:dyDescent="0.35">
      <c r="J784" s="38"/>
      <c r="K784" s="38"/>
      <c r="L784" s="38"/>
      <c r="M784" s="47"/>
      <c r="X784" s="47"/>
    </row>
    <row r="785" spans="10:24" x14ac:dyDescent="0.35">
      <c r="J785" s="38"/>
      <c r="K785" s="38"/>
      <c r="L785" s="38"/>
      <c r="M785" s="47"/>
      <c r="X785" s="47"/>
    </row>
    <row r="786" spans="10:24" x14ac:dyDescent="0.35">
      <c r="J786" s="38"/>
      <c r="K786" s="38"/>
      <c r="L786" s="38"/>
      <c r="M786" s="47"/>
      <c r="X786" s="47"/>
    </row>
    <row r="787" spans="10:24" x14ac:dyDescent="0.35">
      <c r="J787" s="38"/>
      <c r="K787" s="38"/>
      <c r="L787" s="38"/>
      <c r="M787" s="47"/>
      <c r="X787" s="47"/>
    </row>
    <row r="788" spans="10:24" x14ac:dyDescent="0.35">
      <c r="J788" s="38"/>
      <c r="K788" s="38"/>
      <c r="L788" s="38"/>
      <c r="M788" s="47"/>
      <c r="X788" s="47"/>
    </row>
    <row r="789" spans="10:24" x14ac:dyDescent="0.35">
      <c r="J789" s="38"/>
      <c r="K789" s="38"/>
      <c r="L789" s="38"/>
      <c r="M789" s="47"/>
      <c r="X789" s="47"/>
    </row>
    <row r="790" spans="10:24" x14ac:dyDescent="0.35">
      <c r="J790" s="38"/>
      <c r="K790" s="38"/>
      <c r="L790" s="38"/>
      <c r="M790" s="47"/>
      <c r="X790" s="47"/>
    </row>
    <row r="791" spans="10:24" x14ac:dyDescent="0.35">
      <c r="J791" s="38"/>
      <c r="K791" s="38"/>
      <c r="L791" s="38"/>
      <c r="M791" s="47"/>
      <c r="X791" s="47"/>
    </row>
    <row r="792" spans="10:24" x14ac:dyDescent="0.35">
      <c r="J792" s="38"/>
      <c r="K792" s="38"/>
      <c r="L792" s="38"/>
      <c r="M792" s="47"/>
      <c r="X792" s="47"/>
    </row>
    <row r="793" spans="10:24" x14ac:dyDescent="0.35">
      <c r="J793" s="40"/>
      <c r="K793" s="40"/>
      <c r="L793" s="46"/>
      <c r="M793" s="46"/>
      <c r="X793" s="47"/>
    </row>
    <row r="794" spans="10:24" x14ac:dyDescent="0.35">
      <c r="J794" s="40"/>
      <c r="K794" s="40"/>
      <c r="L794" s="46"/>
      <c r="M794" s="46"/>
      <c r="X794" s="47"/>
    </row>
    <row r="795" spans="10:24" x14ac:dyDescent="0.35">
      <c r="J795" s="38"/>
      <c r="K795" s="38"/>
      <c r="L795" s="38"/>
      <c r="M795" s="47"/>
      <c r="X795" s="47"/>
    </row>
    <row r="796" spans="10:24" x14ac:dyDescent="0.35">
      <c r="J796" s="38"/>
      <c r="K796" s="38"/>
      <c r="L796" s="38"/>
      <c r="M796" s="47"/>
      <c r="X796" s="47"/>
    </row>
    <row r="797" spans="10:24" x14ac:dyDescent="0.35">
      <c r="J797" s="38"/>
      <c r="K797" s="38"/>
      <c r="L797" s="38"/>
      <c r="M797" s="47"/>
      <c r="X797" s="47"/>
    </row>
    <row r="798" spans="10:24" x14ac:dyDescent="0.35">
      <c r="J798" s="38"/>
      <c r="K798" s="38"/>
      <c r="L798" s="38"/>
      <c r="M798" s="47"/>
      <c r="X798" s="47"/>
    </row>
    <row r="799" spans="10:24" x14ac:dyDescent="0.35">
      <c r="J799" s="38"/>
      <c r="K799" s="38"/>
      <c r="L799" s="38"/>
      <c r="M799" s="47"/>
      <c r="X799" s="47"/>
    </row>
    <row r="800" spans="10:24" x14ac:dyDescent="0.35">
      <c r="J800" s="38"/>
      <c r="K800" s="38"/>
      <c r="L800" s="38"/>
      <c r="M800" s="47"/>
      <c r="X800" s="47"/>
    </row>
    <row r="801" spans="10:24" x14ac:dyDescent="0.35">
      <c r="J801" s="38"/>
      <c r="K801" s="38"/>
      <c r="L801" s="38"/>
      <c r="M801" s="47"/>
      <c r="X801" s="47"/>
    </row>
    <row r="802" spans="10:24" x14ac:dyDescent="0.35">
      <c r="J802" s="40"/>
      <c r="K802" s="40"/>
      <c r="L802" s="46"/>
      <c r="M802" s="46"/>
      <c r="X802" s="47"/>
    </row>
    <row r="803" spans="10:24" x14ac:dyDescent="0.35">
      <c r="J803" s="38"/>
      <c r="K803" s="38"/>
      <c r="L803" s="38"/>
      <c r="M803" s="47"/>
      <c r="X803" s="47"/>
    </row>
    <row r="804" spans="10:24" x14ac:dyDescent="0.35">
      <c r="J804" s="38"/>
      <c r="K804" s="38"/>
      <c r="L804" s="38"/>
      <c r="M804" s="47"/>
      <c r="X804" s="47"/>
    </row>
    <row r="805" spans="10:24" x14ac:dyDescent="0.35">
      <c r="J805" s="38"/>
      <c r="K805" s="38"/>
      <c r="L805" s="38"/>
      <c r="M805" s="47"/>
      <c r="X805" s="47"/>
    </row>
    <row r="806" spans="10:24" x14ac:dyDescent="0.35">
      <c r="J806" s="38"/>
      <c r="K806" s="38"/>
      <c r="L806" s="38"/>
      <c r="M806" s="47"/>
      <c r="X806" s="47"/>
    </row>
    <row r="807" spans="10:24" x14ac:dyDescent="0.35">
      <c r="J807" s="38"/>
      <c r="K807" s="38"/>
      <c r="L807" s="38"/>
      <c r="M807" s="47"/>
      <c r="X807" s="47"/>
    </row>
    <row r="808" spans="10:24" x14ac:dyDescent="0.35">
      <c r="J808" s="38"/>
      <c r="K808" s="38"/>
      <c r="L808" s="38"/>
      <c r="M808" s="47"/>
      <c r="X808" s="47"/>
    </row>
    <row r="809" spans="10:24" x14ac:dyDescent="0.35">
      <c r="J809" s="38"/>
      <c r="K809" s="38"/>
      <c r="L809" s="38"/>
      <c r="M809" s="47"/>
      <c r="X809" s="47"/>
    </row>
    <row r="810" spans="10:24" x14ac:dyDescent="0.35">
      <c r="J810" s="38"/>
      <c r="K810" s="38"/>
      <c r="L810" s="38"/>
      <c r="M810" s="47"/>
      <c r="X810" s="47"/>
    </row>
    <row r="811" spans="10:24" x14ac:dyDescent="0.35">
      <c r="J811" s="38"/>
      <c r="K811" s="38"/>
      <c r="L811" s="38"/>
      <c r="M811" s="47"/>
      <c r="X811" s="47"/>
    </row>
    <row r="812" spans="10:24" x14ac:dyDescent="0.35">
      <c r="J812" s="38"/>
      <c r="K812" s="38"/>
      <c r="L812" s="38"/>
      <c r="M812" s="47"/>
      <c r="X812" s="47"/>
    </row>
    <row r="813" spans="10:24" x14ac:dyDescent="0.35">
      <c r="J813" s="38"/>
      <c r="K813" s="38"/>
      <c r="L813" s="38"/>
      <c r="M813" s="47"/>
      <c r="X813" s="47"/>
    </row>
    <row r="814" spans="10:24" x14ac:dyDescent="0.35">
      <c r="J814" s="38"/>
      <c r="K814" s="38"/>
      <c r="L814" s="38"/>
      <c r="M814" s="47"/>
      <c r="X814" s="47"/>
    </row>
    <row r="815" spans="10:24" x14ac:dyDescent="0.35">
      <c r="J815" s="38"/>
      <c r="K815" s="38"/>
      <c r="L815" s="38"/>
      <c r="M815" s="47"/>
      <c r="X815" s="47"/>
    </row>
    <row r="816" spans="10:24" x14ac:dyDescent="0.35">
      <c r="J816" s="38"/>
      <c r="K816" s="38"/>
      <c r="L816" s="38"/>
      <c r="M816" s="47"/>
      <c r="X816" s="47"/>
    </row>
    <row r="817" spans="10:24" x14ac:dyDescent="0.35">
      <c r="J817" s="38"/>
      <c r="K817" s="38"/>
      <c r="L817" s="38"/>
      <c r="M817" s="47"/>
      <c r="X817" s="47"/>
    </row>
    <row r="818" spans="10:24" x14ac:dyDescent="0.35">
      <c r="J818" s="38"/>
      <c r="K818" s="38"/>
      <c r="L818" s="38"/>
      <c r="M818" s="47"/>
      <c r="X818" s="47"/>
    </row>
    <row r="819" spans="10:24" x14ac:dyDescent="0.35">
      <c r="J819" s="38"/>
      <c r="K819" s="38"/>
      <c r="L819" s="38"/>
      <c r="M819" s="47"/>
      <c r="X819" s="47"/>
    </row>
    <row r="820" spans="10:24" x14ac:dyDescent="0.35">
      <c r="J820" s="38"/>
      <c r="K820" s="38"/>
      <c r="L820" s="38"/>
      <c r="M820" s="47"/>
      <c r="X820" s="47"/>
    </row>
    <row r="821" spans="10:24" x14ac:dyDescent="0.35">
      <c r="J821" s="38"/>
      <c r="K821" s="38"/>
      <c r="L821" s="38"/>
      <c r="M821" s="47"/>
      <c r="X821" s="47"/>
    </row>
    <row r="822" spans="10:24" x14ac:dyDescent="0.35">
      <c r="J822" s="38"/>
      <c r="K822" s="38"/>
      <c r="L822" s="38"/>
      <c r="M822" s="47"/>
      <c r="X822" s="47"/>
    </row>
    <row r="823" spans="10:24" x14ac:dyDescent="0.35">
      <c r="J823" s="40"/>
      <c r="K823" s="40"/>
      <c r="L823" s="46"/>
      <c r="M823" s="46"/>
      <c r="X823" s="47"/>
    </row>
    <row r="824" spans="10:24" x14ac:dyDescent="0.35">
      <c r="J824" s="38"/>
      <c r="K824" s="38"/>
      <c r="L824" s="38"/>
      <c r="M824" s="47"/>
      <c r="X824" s="47"/>
    </row>
    <row r="825" spans="10:24" x14ac:dyDescent="0.35">
      <c r="J825" s="38"/>
      <c r="K825" s="38"/>
      <c r="L825" s="38"/>
      <c r="M825" s="47"/>
      <c r="X825" s="47"/>
    </row>
    <row r="826" spans="10:24" x14ac:dyDescent="0.35">
      <c r="J826" s="38"/>
      <c r="K826" s="38"/>
      <c r="L826" s="38"/>
      <c r="M826" s="47"/>
      <c r="X826" s="47"/>
    </row>
    <row r="827" spans="10:24" x14ac:dyDescent="0.35">
      <c r="J827" s="38"/>
      <c r="K827" s="38"/>
      <c r="L827" s="38"/>
      <c r="M827" s="47"/>
      <c r="X827" s="47"/>
    </row>
    <row r="828" spans="10:24" x14ac:dyDescent="0.35">
      <c r="J828" s="38"/>
      <c r="K828" s="38"/>
      <c r="L828" s="38"/>
      <c r="M828" s="47"/>
      <c r="X828" s="47"/>
    </row>
    <row r="829" spans="10:24" x14ac:dyDescent="0.35">
      <c r="J829" s="38"/>
      <c r="K829" s="38"/>
      <c r="L829" s="38"/>
      <c r="M829" s="47"/>
      <c r="X829" s="47"/>
    </row>
    <row r="830" spans="10:24" x14ac:dyDescent="0.35">
      <c r="J830" s="38"/>
      <c r="K830" s="38"/>
      <c r="L830" s="38"/>
      <c r="M830" s="47"/>
      <c r="X830" s="47"/>
    </row>
    <row r="831" spans="10:24" x14ac:dyDescent="0.35">
      <c r="J831" s="38"/>
      <c r="K831" s="38"/>
      <c r="L831" s="38"/>
      <c r="M831" s="47"/>
      <c r="X831" s="47"/>
    </row>
    <row r="832" spans="10:24" x14ac:dyDescent="0.35">
      <c r="J832" s="40"/>
      <c r="K832" s="40"/>
      <c r="L832" s="46"/>
      <c r="M832" s="46"/>
      <c r="X832" s="47"/>
    </row>
    <row r="833" spans="10:24" x14ac:dyDescent="0.35">
      <c r="J833" s="38"/>
      <c r="K833" s="38"/>
      <c r="L833" s="38"/>
      <c r="M833" s="47"/>
      <c r="X833" s="47"/>
    </row>
    <row r="834" spans="10:24" x14ac:dyDescent="0.35">
      <c r="J834" s="38"/>
      <c r="K834" s="38"/>
      <c r="L834" s="38"/>
      <c r="M834" s="47"/>
      <c r="X834" s="47"/>
    </row>
    <row r="835" spans="10:24" x14ac:dyDescent="0.35">
      <c r="J835" s="38"/>
      <c r="K835" s="38"/>
      <c r="L835" s="38"/>
      <c r="M835" s="47"/>
      <c r="X835" s="47"/>
    </row>
    <row r="836" spans="10:24" x14ac:dyDescent="0.35">
      <c r="J836" s="38"/>
      <c r="K836" s="38"/>
      <c r="L836" s="38"/>
      <c r="M836" s="47"/>
      <c r="X836" s="47"/>
    </row>
    <row r="837" spans="10:24" x14ac:dyDescent="0.35">
      <c r="J837" s="38"/>
      <c r="K837" s="38"/>
      <c r="L837" s="38"/>
      <c r="M837" s="47"/>
      <c r="X837" s="47"/>
    </row>
    <row r="838" spans="10:24" x14ac:dyDescent="0.35">
      <c r="J838" s="40"/>
      <c r="K838" s="40"/>
      <c r="L838" s="46"/>
      <c r="M838" s="46"/>
      <c r="X838" s="47"/>
    </row>
    <row r="839" spans="10:24" x14ac:dyDescent="0.35">
      <c r="J839" s="38"/>
      <c r="K839" s="38"/>
      <c r="L839" s="38"/>
      <c r="M839" s="47"/>
      <c r="X839" s="47"/>
    </row>
    <row r="840" spans="10:24" x14ac:dyDescent="0.35">
      <c r="J840" s="38"/>
      <c r="K840" s="38"/>
      <c r="L840" s="38"/>
      <c r="M840" s="47"/>
      <c r="X840" s="47"/>
    </row>
    <row r="841" spans="10:24" x14ac:dyDescent="0.35">
      <c r="J841" s="38"/>
      <c r="K841" s="38"/>
      <c r="L841" s="38"/>
      <c r="M841" s="47"/>
      <c r="X841" s="47"/>
    </row>
    <row r="842" spans="10:24" x14ac:dyDescent="0.35">
      <c r="J842" s="38"/>
      <c r="K842" s="38"/>
      <c r="L842" s="38"/>
      <c r="M842" s="47"/>
      <c r="X842" s="47"/>
    </row>
    <row r="843" spans="10:24" x14ac:dyDescent="0.35">
      <c r="J843" s="38"/>
      <c r="K843" s="38"/>
      <c r="L843" s="38"/>
      <c r="M843" s="47"/>
      <c r="X843" s="47"/>
    </row>
    <row r="844" spans="10:24" x14ac:dyDescent="0.35">
      <c r="J844" s="38"/>
      <c r="K844" s="38"/>
      <c r="L844" s="38"/>
      <c r="M844" s="47"/>
      <c r="X844" s="47"/>
    </row>
    <row r="845" spans="10:24" x14ac:dyDescent="0.35">
      <c r="J845" s="38"/>
      <c r="K845" s="38"/>
      <c r="L845" s="38"/>
      <c r="M845" s="47"/>
      <c r="X845" s="47"/>
    </row>
    <row r="846" spans="10:24" x14ac:dyDescent="0.35">
      <c r="J846" s="38"/>
      <c r="K846" s="38"/>
      <c r="L846" s="38"/>
      <c r="M846" s="47"/>
      <c r="X846" s="47"/>
    </row>
    <row r="847" spans="10:24" x14ac:dyDescent="0.35">
      <c r="J847" s="38"/>
      <c r="K847" s="38"/>
      <c r="L847" s="38"/>
      <c r="M847" s="47"/>
      <c r="X847" s="47"/>
    </row>
    <row r="848" spans="10:24" x14ac:dyDescent="0.35">
      <c r="J848" s="40"/>
      <c r="K848" s="40"/>
      <c r="L848" s="46"/>
      <c r="M848" s="46"/>
      <c r="X848" s="47"/>
    </row>
    <row r="849" spans="10:24" x14ac:dyDescent="0.35">
      <c r="J849" s="38"/>
      <c r="K849" s="38"/>
      <c r="L849" s="38"/>
      <c r="M849" s="47"/>
      <c r="X849" s="47"/>
    </row>
    <row r="850" spans="10:24" x14ac:dyDescent="0.35">
      <c r="J850" s="38"/>
      <c r="K850" s="38"/>
      <c r="L850" s="38"/>
      <c r="M850" s="47"/>
      <c r="X850" s="47"/>
    </row>
    <row r="851" spans="10:24" x14ac:dyDescent="0.35">
      <c r="J851" s="38"/>
      <c r="K851" s="38"/>
      <c r="L851" s="38"/>
      <c r="M851" s="47"/>
      <c r="X851" s="47"/>
    </row>
    <row r="852" spans="10:24" x14ac:dyDescent="0.35">
      <c r="J852" s="40"/>
      <c r="K852" s="40"/>
      <c r="L852" s="46"/>
      <c r="M852" s="46"/>
      <c r="X852" s="47"/>
    </row>
    <row r="853" spans="10:24" x14ac:dyDescent="0.35">
      <c r="J853" s="40"/>
      <c r="K853" s="40"/>
      <c r="L853" s="46"/>
      <c r="M853" s="46"/>
      <c r="X853" s="47"/>
    </row>
    <row r="854" spans="10:24" x14ac:dyDescent="0.35">
      <c r="J854" s="38"/>
      <c r="K854" s="38"/>
      <c r="L854" s="38"/>
      <c r="M854" s="47"/>
      <c r="X854" s="47"/>
    </row>
    <row r="855" spans="10:24" x14ac:dyDescent="0.35">
      <c r="J855" s="38"/>
      <c r="K855" s="38"/>
      <c r="L855" s="38"/>
      <c r="M855" s="47"/>
      <c r="X855" s="47"/>
    </row>
    <row r="856" spans="10:24" x14ac:dyDescent="0.35">
      <c r="J856" s="38"/>
      <c r="K856" s="38"/>
      <c r="L856" s="38"/>
      <c r="M856" s="47"/>
      <c r="X856" s="47"/>
    </row>
    <row r="857" spans="10:24" x14ac:dyDescent="0.35">
      <c r="J857" s="38"/>
      <c r="K857" s="38"/>
      <c r="L857" s="38"/>
      <c r="M857" s="47"/>
      <c r="X857" s="47"/>
    </row>
    <row r="858" spans="10:24" x14ac:dyDescent="0.35">
      <c r="J858" s="38"/>
      <c r="K858" s="38"/>
      <c r="L858" s="38"/>
      <c r="M858" s="47"/>
      <c r="X858" s="47"/>
    </row>
    <row r="859" spans="10:24" x14ac:dyDescent="0.35">
      <c r="J859" s="38"/>
      <c r="K859" s="38"/>
      <c r="L859" s="38"/>
      <c r="M859" s="47"/>
      <c r="X859" s="47"/>
    </row>
    <row r="860" spans="10:24" x14ac:dyDescent="0.35">
      <c r="J860" s="38"/>
      <c r="K860" s="38"/>
      <c r="L860" s="38"/>
      <c r="M860" s="47"/>
      <c r="X860" s="47"/>
    </row>
    <row r="861" spans="10:24" x14ac:dyDescent="0.35">
      <c r="J861" s="38"/>
      <c r="K861" s="38"/>
      <c r="L861" s="38"/>
      <c r="M861" s="47"/>
      <c r="X861" s="47"/>
    </row>
    <row r="862" spans="10:24" x14ac:dyDescent="0.35">
      <c r="J862" s="38"/>
      <c r="K862" s="38"/>
      <c r="L862" s="38"/>
      <c r="M862" s="47"/>
      <c r="X862" s="47"/>
    </row>
    <row r="863" spans="10:24" x14ac:dyDescent="0.35">
      <c r="J863" s="40"/>
      <c r="K863" s="40"/>
      <c r="L863" s="46"/>
      <c r="M863" s="46"/>
      <c r="X863" s="47"/>
    </row>
    <row r="864" spans="10:24" x14ac:dyDescent="0.35">
      <c r="J864" s="38"/>
      <c r="K864" s="38"/>
      <c r="L864" s="38"/>
      <c r="M864" s="47"/>
      <c r="X864" s="47"/>
    </row>
    <row r="865" spans="10:24" x14ac:dyDescent="0.35">
      <c r="J865" s="38"/>
      <c r="K865" s="38"/>
      <c r="L865" s="38"/>
      <c r="M865" s="47"/>
      <c r="X865" s="47"/>
    </row>
    <row r="866" spans="10:24" x14ac:dyDescent="0.35">
      <c r="J866" s="38"/>
      <c r="K866" s="38"/>
      <c r="L866" s="38"/>
      <c r="M866" s="47"/>
      <c r="X866" s="47"/>
    </row>
    <row r="867" spans="10:24" x14ac:dyDescent="0.35">
      <c r="J867" s="38"/>
      <c r="K867" s="38"/>
      <c r="L867" s="38"/>
      <c r="M867" s="47"/>
      <c r="X867" s="47"/>
    </row>
    <row r="868" spans="10:24" x14ac:dyDescent="0.35">
      <c r="J868" s="38"/>
      <c r="K868" s="38"/>
      <c r="L868" s="38"/>
      <c r="M868" s="47"/>
      <c r="X868" s="47"/>
    </row>
    <row r="869" spans="10:24" x14ac:dyDescent="0.35">
      <c r="J869" s="38"/>
      <c r="K869" s="38"/>
      <c r="L869" s="38"/>
      <c r="M869" s="47"/>
      <c r="X869" s="47"/>
    </row>
    <row r="870" spans="10:24" x14ac:dyDescent="0.35">
      <c r="J870" s="38"/>
      <c r="K870" s="38"/>
      <c r="L870" s="38"/>
      <c r="M870" s="47"/>
      <c r="X870" s="47"/>
    </row>
    <row r="871" spans="10:24" x14ac:dyDescent="0.35">
      <c r="J871" s="38"/>
      <c r="K871" s="38"/>
      <c r="L871" s="38"/>
      <c r="M871" s="47"/>
      <c r="X871" s="47"/>
    </row>
    <row r="872" spans="10:24" x14ac:dyDescent="0.35">
      <c r="J872" s="38"/>
      <c r="K872" s="38"/>
      <c r="L872" s="38"/>
      <c r="M872" s="47"/>
      <c r="X872" s="47"/>
    </row>
    <row r="873" spans="10:24" x14ac:dyDescent="0.35">
      <c r="J873" s="38"/>
      <c r="K873" s="38"/>
      <c r="L873" s="38"/>
      <c r="M873" s="47"/>
      <c r="X873" s="47"/>
    </row>
    <row r="874" spans="10:24" x14ac:dyDescent="0.35">
      <c r="J874" s="38"/>
      <c r="K874" s="38"/>
      <c r="L874" s="38"/>
      <c r="M874" s="47"/>
      <c r="X874" s="47"/>
    </row>
    <row r="875" spans="10:24" x14ac:dyDescent="0.35">
      <c r="J875" s="38"/>
      <c r="K875" s="38"/>
      <c r="L875" s="38"/>
      <c r="M875" s="47"/>
      <c r="X875" s="47"/>
    </row>
    <row r="876" spans="10:24" x14ac:dyDescent="0.35">
      <c r="J876" s="38"/>
      <c r="K876" s="38"/>
      <c r="L876" s="38"/>
      <c r="M876" s="47"/>
      <c r="X876" s="47"/>
    </row>
    <row r="877" spans="10:24" x14ac:dyDescent="0.35">
      <c r="J877" s="38"/>
      <c r="K877" s="38"/>
      <c r="L877" s="38"/>
      <c r="M877" s="47"/>
      <c r="X877" s="47"/>
    </row>
    <row r="878" spans="10:24" x14ac:dyDescent="0.35">
      <c r="J878" s="38"/>
      <c r="K878" s="38"/>
      <c r="L878" s="38"/>
      <c r="M878" s="47"/>
      <c r="X878" s="47"/>
    </row>
    <row r="879" spans="10:24" x14ac:dyDescent="0.35">
      <c r="J879" s="40"/>
      <c r="K879" s="40"/>
      <c r="L879" s="46"/>
      <c r="M879" s="46"/>
      <c r="X879" s="47"/>
    </row>
    <row r="880" spans="10:24" x14ac:dyDescent="0.35">
      <c r="J880" s="38"/>
      <c r="K880" s="38"/>
      <c r="L880" s="38"/>
      <c r="M880" s="47"/>
      <c r="X880" s="47"/>
    </row>
    <row r="881" spans="10:24" x14ac:dyDescent="0.35">
      <c r="J881" s="38"/>
      <c r="K881" s="38"/>
      <c r="L881" s="38"/>
      <c r="M881" s="47"/>
      <c r="X881" s="47"/>
    </row>
    <row r="882" spans="10:24" x14ac:dyDescent="0.35">
      <c r="J882" s="38"/>
      <c r="K882" s="38"/>
      <c r="L882" s="38"/>
      <c r="M882" s="47"/>
      <c r="X882" s="47"/>
    </row>
    <row r="883" spans="10:24" x14ac:dyDescent="0.35">
      <c r="J883" s="38"/>
      <c r="K883" s="38"/>
      <c r="L883" s="38"/>
      <c r="M883" s="47"/>
      <c r="X883" s="47"/>
    </row>
    <row r="884" spans="10:24" x14ac:dyDescent="0.35">
      <c r="J884" s="38"/>
      <c r="K884" s="38"/>
      <c r="L884" s="38"/>
      <c r="M884" s="47"/>
      <c r="X884" s="47"/>
    </row>
    <row r="885" spans="10:24" x14ac:dyDescent="0.35">
      <c r="J885" s="40"/>
      <c r="K885" s="40"/>
      <c r="L885" s="46"/>
      <c r="M885" s="46"/>
      <c r="X885" s="47"/>
    </row>
    <row r="886" spans="10:24" x14ac:dyDescent="0.35">
      <c r="J886" s="38"/>
      <c r="K886" s="38"/>
      <c r="L886" s="38"/>
      <c r="M886" s="47"/>
      <c r="X886" s="47"/>
    </row>
    <row r="887" spans="10:24" x14ac:dyDescent="0.35">
      <c r="J887" s="38"/>
      <c r="K887" s="38"/>
      <c r="L887" s="38"/>
      <c r="M887" s="47"/>
      <c r="X887" s="47"/>
    </row>
    <row r="888" spans="10:24" x14ac:dyDescent="0.35">
      <c r="J888" s="38"/>
      <c r="K888" s="38"/>
      <c r="L888" s="38"/>
      <c r="M888" s="47"/>
      <c r="X888" s="47"/>
    </row>
    <row r="889" spans="10:24" x14ac:dyDescent="0.35">
      <c r="J889" s="38"/>
      <c r="K889" s="38"/>
      <c r="L889" s="38"/>
      <c r="M889" s="47"/>
      <c r="X889" s="47"/>
    </row>
    <row r="890" spans="10:24" x14ac:dyDescent="0.35">
      <c r="J890" s="38"/>
      <c r="K890" s="38"/>
      <c r="L890" s="38"/>
      <c r="M890" s="47"/>
      <c r="X890" s="47"/>
    </row>
    <row r="891" spans="10:24" x14ac:dyDescent="0.35">
      <c r="J891" s="38"/>
      <c r="K891" s="38"/>
      <c r="L891" s="38"/>
      <c r="M891" s="47"/>
      <c r="X891" s="47"/>
    </row>
    <row r="892" spans="10:24" x14ac:dyDescent="0.35">
      <c r="J892" s="38"/>
      <c r="K892" s="38"/>
      <c r="L892" s="38"/>
      <c r="M892" s="47"/>
      <c r="X892" s="47"/>
    </row>
    <row r="893" spans="10:24" x14ac:dyDescent="0.35">
      <c r="J893" s="38"/>
      <c r="K893" s="38"/>
      <c r="L893" s="38"/>
      <c r="M893" s="47"/>
      <c r="X893" s="47"/>
    </row>
    <row r="894" spans="10:24" x14ac:dyDescent="0.35">
      <c r="J894" s="38"/>
      <c r="K894" s="38"/>
      <c r="L894" s="38"/>
      <c r="M894" s="47"/>
      <c r="X894" s="47"/>
    </row>
    <row r="895" spans="10:24" x14ac:dyDescent="0.35">
      <c r="J895" s="38"/>
      <c r="K895" s="38"/>
      <c r="L895" s="38"/>
      <c r="M895" s="47"/>
      <c r="X895" s="47"/>
    </row>
    <row r="896" spans="10:24" x14ac:dyDescent="0.35">
      <c r="J896" s="38"/>
      <c r="K896" s="38"/>
      <c r="L896" s="38"/>
      <c r="M896" s="47"/>
      <c r="X896" s="47"/>
    </row>
    <row r="897" spans="10:24" x14ac:dyDescent="0.35">
      <c r="J897" s="38"/>
      <c r="K897" s="38"/>
      <c r="L897" s="38"/>
      <c r="M897" s="47"/>
      <c r="X897" s="47"/>
    </row>
    <row r="898" spans="10:24" x14ac:dyDescent="0.35">
      <c r="J898" s="38"/>
      <c r="K898" s="38"/>
      <c r="L898" s="38"/>
      <c r="M898" s="47"/>
      <c r="X898" s="47"/>
    </row>
    <row r="899" spans="10:24" x14ac:dyDescent="0.35">
      <c r="J899" s="38"/>
      <c r="K899" s="38"/>
      <c r="L899" s="38"/>
      <c r="M899" s="47"/>
      <c r="X899" s="47"/>
    </row>
    <row r="900" spans="10:24" x14ac:dyDescent="0.35">
      <c r="J900" s="38"/>
      <c r="K900" s="38"/>
      <c r="L900" s="38"/>
      <c r="M900" s="47"/>
      <c r="X900" s="47"/>
    </row>
    <row r="901" spans="10:24" x14ac:dyDescent="0.35">
      <c r="J901" s="38"/>
      <c r="K901" s="38"/>
      <c r="L901" s="38"/>
      <c r="M901" s="47"/>
      <c r="X901" s="47"/>
    </row>
    <row r="902" spans="10:24" x14ac:dyDescent="0.35">
      <c r="J902" s="38"/>
      <c r="K902" s="38"/>
      <c r="L902" s="38"/>
      <c r="M902" s="47"/>
      <c r="X902" s="47"/>
    </row>
    <row r="903" spans="10:24" x14ac:dyDescent="0.35">
      <c r="J903" s="38"/>
      <c r="K903" s="38"/>
      <c r="L903" s="38"/>
      <c r="M903" s="47"/>
      <c r="X903" s="47"/>
    </row>
    <row r="904" spans="10:24" x14ac:dyDescent="0.35">
      <c r="J904" s="38"/>
      <c r="K904" s="38"/>
      <c r="L904" s="38"/>
      <c r="M904" s="47"/>
      <c r="X904" s="47"/>
    </row>
    <row r="905" spans="10:24" x14ac:dyDescent="0.35">
      <c r="J905" s="38"/>
      <c r="K905" s="38"/>
      <c r="L905" s="38"/>
      <c r="M905" s="47"/>
      <c r="X905" s="47"/>
    </row>
    <row r="906" spans="10:24" x14ac:dyDescent="0.35">
      <c r="J906" s="38"/>
      <c r="K906" s="38"/>
      <c r="L906" s="38"/>
      <c r="M906" s="47"/>
      <c r="X906" s="47"/>
    </row>
    <row r="907" spans="10:24" x14ac:dyDescent="0.35">
      <c r="J907" s="38"/>
      <c r="K907" s="38"/>
      <c r="L907" s="38"/>
      <c r="M907" s="47"/>
      <c r="X907" s="47"/>
    </row>
    <row r="908" spans="10:24" x14ac:dyDescent="0.35">
      <c r="J908" s="38"/>
      <c r="K908" s="38"/>
      <c r="L908" s="38"/>
      <c r="M908" s="47"/>
      <c r="X908" s="47"/>
    </row>
    <row r="909" spans="10:24" x14ac:dyDescent="0.35">
      <c r="J909" s="38"/>
      <c r="K909" s="38"/>
      <c r="L909" s="38"/>
      <c r="M909" s="47"/>
      <c r="X909" s="47"/>
    </row>
    <row r="910" spans="10:24" x14ac:dyDescent="0.35">
      <c r="J910" s="38"/>
      <c r="K910" s="38"/>
      <c r="L910" s="38"/>
      <c r="M910" s="47"/>
      <c r="X910" s="47"/>
    </row>
    <row r="911" spans="10:24" x14ac:dyDescent="0.35">
      <c r="J911" s="38"/>
      <c r="K911" s="38"/>
      <c r="L911" s="38"/>
      <c r="M911" s="47"/>
      <c r="X911" s="47"/>
    </row>
    <row r="912" spans="10:24" x14ac:dyDescent="0.35">
      <c r="J912" s="38"/>
      <c r="K912" s="38"/>
      <c r="L912" s="38"/>
      <c r="M912" s="47"/>
      <c r="X912" s="47"/>
    </row>
    <row r="913" spans="10:24" x14ac:dyDescent="0.35">
      <c r="J913" s="38"/>
      <c r="K913" s="38"/>
      <c r="L913" s="38"/>
      <c r="M913" s="47"/>
      <c r="X913" s="47"/>
    </row>
    <row r="914" spans="10:24" x14ac:dyDescent="0.35">
      <c r="J914" s="38"/>
      <c r="K914" s="38"/>
      <c r="L914" s="38"/>
      <c r="M914" s="47"/>
      <c r="X914" s="47"/>
    </row>
    <row r="915" spans="10:24" x14ac:dyDescent="0.35">
      <c r="J915" s="38"/>
      <c r="K915" s="38"/>
      <c r="L915" s="38"/>
      <c r="M915" s="47"/>
      <c r="X915" s="47"/>
    </row>
    <row r="916" spans="10:24" x14ac:dyDescent="0.35">
      <c r="J916" s="38"/>
      <c r="K916" s="38"/>
      <c r="L916" s="38"/>
      <c r="M916" s="47"/>
      <c r="X916" s="47"/>
    </row>
    <row r="917" spans="10:24" x14ac:dyDescent="0.35">
      <c r="J917" s="38"/>
      <c r="K917" s="38"/>
      <c r="L917" s="38"/>
      <c r="M917" s="47"/>
      <c r="X917" s="47"/>
    </row>
    <row r="918" spans="10:24" x14ac:dyDescent="0.35">
      <c r="J918" s="38"/>
      <c r="K918" s="38"/>
      <c r="L918" s="38"/>
      <c r="M918" s="47"/>
      <c r="X918" s="47"/>
    </row>
    <row r="919" spans="10:24" x14ac:dyDescent="0.35">
      <c r="J919" s="38"/>
      <c r="K919" s="38"/>
      <c r="L919" s="38"/>
      <c r="M919" s="47"/>
      <c r="X919" s="47"/>
    </row>
    <row r="920" spans="10:24" x14ac:dyDescent="0.35">
      <c r="J920" s="38"/>
      <c r="K920" s="38"/>
      <c r="L920" s="38"/>
      <c r="M920" s="47"/>
      <c r="X920" s="47"/>
    </row>
    <row r="921" spans="10:24" x14ac:dyDescent="0.35">
      <c r="J921" s="38"/>
      <c r="K921" s="38"/>
      <c r="L921" s="38"/>
      <c r="M921" s="47"/>
      <c r="X921" s="47"/>
    </row>
    <row r="922" spans="10:24" x14ac:dyDescent="0.35">
      <c r="J922" s="38"/>
      <c r="K922" s="38"/>
      <c r="L922" s="38"/>
      <c r="M922" s="47"/>
      <c r="X922" s="47"/>
    </row>
    <row r="923" spans="10:24" x14ac:dyDescent="0.35">
      <c r="J923" s="38"/>
      <c r="K923" s="38"/>
      <c r="L923" s="38"/>
      <c r="M923" s="47"/>
      <c r="X923" s="47"/>
    </row>
    <row r="924" spans="10:24" x14ac:dyDescent="0.35">
      <c r="J924" s="38"/>
      <c r="K924" s="38"/>
      <c r="L924" s="38"/>
      <c r="M924" s="47"/>
      <c r="X924" s="47"/>
    </row>
    <row r="925" spans="10:24" x14ac:dyDescent="0.35">
      <c r="J925" s="38"/>
      <c r="K925" s="38"/>
      <c r="L925" s="38"/>
      <c r="M925" s="47"/>
      <c r="X925" s="47"/>
    </row>
    <row r="926" spans="10:24" x14ac:dyDescent="0.35">
      <c r="J926" s="38"/>
      <c r="K926" s="38"/>
      <c r="L926" s="38"/>
      <c r="M926" s="47"/>
      <c r="X926" s="47"/>
    </row>
    <row r="927" spans="10:24" x14ac:dyDescent="0.35">
      <c r="J927" s="38"/>
      <c r="K927" s="38"/>
      <c r="L927" s="38"/>
      <c r="M927" s="47"/>
      <c r="X927" s="47"/>
    </row>
    <row r="928" spans="10:24" x14ac:dyDescent="0.35">
      <c r="J928" s="38"/>
      <c r="K928" s="38"/>
      <c r="L928" s="38"/>
      <c r="M928" s="47"/>
      <c r="X928" s="47"/>
    </row>
    <row r="929" spans="10:24" x14ac:dyDescent="0.35">
      <c r="J929" s="38"/>
      <c r="K929" s="38"/>
      <c r="L929" s="38"/>
      <c r="M929" s="47"/>
      <c r="X929" s="47"/>
    </row>
    <row r="930" spans="10:24" x14ac:dyDescent="0.35">
      <c r="J930" s="38"/>
      <c r="K930" s="38"/>
      <c r="L930" s="38"/>
      <c r="M930" s="47"/>
      <c r="X930" s="47"/>
    </row>
    <row r="931" spans="10:24" x14ac:dyDescent="0.35">
      <c r="J931" s="38"/>
      <c r="K931" s="38"/>
      <c r="L931" s="38"/>
      <c r="M931" s="47"/>
      <c r="X931" s="47"/>
    </row>
    <row r="932" spans="10:24" x14ac:dyDescent="0.35">
      <c r="J932" s="38"/>
      <c r="K932" s="38"/>
      <c r="L932" s="38"/>
      <c r="M932" s="47"/>
      <c r="X932" s="47"/>
    </row>
    <row r="933" spans="10:24" x14ac:dyDescent="0.35">
      <c r="J933" s="38"/>
      <c r="K933" s="38"/>
      <c r="L933" s="38"/>
      <c r="M933" s="47"/>
      <c r="X933" s="47"/>
    </row>
    <row r="934" spans="10:24" x14ac:dyDescent="0.35">
      <c r="J934" s="38"/>
      <c r="K934" s="38"/>
      <c r="L934" s="38"/>
      <c r="M934" s="47"/>
      <c r="X934" s="47"/>
    </row>
    <row r="935" spans="10:24" x14ac:dyDescent="0.35">
      <c r="J935" s="38"/>
      <c r="K935" s="38"/>
      <c r="L935" s="38"/>
      <c r="M935" s="47"/>
      <c r="X935" s="47"/>
    </row>
    <row r="936" spans="10:24" x14ac:dyDescent="0.35">
      <c r="J936" s="38"/>
      <c r="K936" s="38"/>
      <c r="L936" s="38"/>
      <c r="M936" s="47"/>
      <c r="X936" s="47"/>
    </row>
    <row r="937" spans="10:24" x14ac:dyDescent="0.35">
      <c r="J937" s="38"/>
      <c r="K937" s="38"/>
      <c r="L937" s="38"/>
      <c r="M937" s="47"/>
      <c r="X937" s="47"/>
    </row>
    <row r="938" spans="10:24" x14ac:dyDescent="0.35">
      <c r="J938" s="38"/>
      <c r="K938" s="38"/>
      <c r="L938" s="38"/>
      <c r="M938" s="47"/>
      <c r="X938" s="47"/>
    </row>
    <row r="939" spans="10:24" x14ac:dyDescent="0.35">
      <c r="J939" s="38"/>
      <c r="K939" s="38"/>
      <c r="L939" s="38"/>
      <c r="M939" s="47"/>
      <c r="X939" s="47"/>
    </row>
    <row r="940" spans="10:24" x14ac:dyDescent="0.35">
      <c r="J940" s="38"/>
      <c r="K940" s="38"/>
      <c r="L940" s="38"/>
      <c r="M940" s="47"/>
      <c r="X940" s="47"/>
    </row>
    <row r="941" spans="10:24" x14ac:dyDescent="0.35">
      <c r="J941" s="38"/>
      <c r="K941" s="38"/>
      <c r="L941" s="38"/>
      <c r="M941" s="47"/>
      <c r="X941" s="47"/>
    </row>
    <row r="942" spans="10:24" x14ac:dyDescent="0.35">
      <c r="J942" s="38"/>
      <c r="K942" s="38"/>
      <c r="L942" s="38"/>
      <c r="M942" s="47"/>
      <c r="X942" s="47"/>
    </row>
    <row r="943" spans="10:24" x14ac:dyDescent="0.35">
      <c r="J943" s="38"/>
      <c r="K943" s="38"/>
      <c r="L943" s="38"/>
      <c r="M943" s="47"/>
      <c r="X943" s="47"/>
    </row>
    <row r="944" spans="10:24" x14ac:dyDescent="0.35">
      <c r="J944" s="38"/>
      <c r="K944" s="38"/>
      <c r="L944" s="38"/>
      <c r="M944" s="47"/>
      <c r="X944" s="47"/>
    </row>
    <row r="945" spans="10:24" x14ac:dyDescent="0.35">
      <c r="J945" s="38"/>
      <c r="K945" s="38"/>
      <c r="L945" s="38"/>
      <c r="M945" s="47"/>
      <c r="X945" s="47"/>
    </row>
    <row r="946" spans="10:24" x14ac:dyDescent="0.35">
      <c r="J946" s="38"/>
      <c r="K946" s="38"/>
      <c r="L946" s="38"/>
      <c r="M946" s="47"/>
      <c r="X946" s="47"/>
    </row>
    <row r="947" spans="10:24" x14ac:dyDescent="0.35">
      <c r="J947" s="38"/>
      <c r="K947" s="38"/>
      <c r="L947" s="38"/>
      <c r="M947" s="47"/>
      <c r="X947" s="47"/>
    </row>
    <row r="948" spans="10:24" x14ac:dyDescent="0.35">
      <c r="J948" s="38"/>
      <c r="K948" s="38"/>
      <c r="L948" s="38"/>
      <c r="M948" s="47"/>
      <c r="X948" s="47"/>
    </row>
    <row r="949" spans="10:24" x14ac:dyDescent="0.35">
      <c r="J949" s="38"/>
      <c r="K949" s="38"/>
      <c r="L949" s="38"/>
      <c r="M949" s="47"/>
      <c r="X949" s="47"/>
    </row>
    <row r="950" spans="10:24" x14ac:dyDescent="0.35">
      <c r="J950" s="40"/>
      <c r="K950" s="40"/>
      <c r="L950" s="46"/>
      <c r="M950" s="46"/>
      <c r="X950" s="47"/>
    </row>
    <row r="951" spans="10:24" x14ac:dyDescent="0.35">
      <c r="J951" s="38"/>
      <c r="K951" s="38"/>
      <c r="L951" s="38"/>
      <c r="M951" s="47"/>
      <c r="X951" s="47"/>
    </row>
    <row r="952" spans="10:24" x14ac:dyDescent="0.35">
      <c r="J952" s="38"/>
      <c r="K952" s="38"/>
      <c r="L952" s="38"/>
      <c r="M952" s="47"/>
      <c r="X952" s="47"/>
    </row>
    <row r="953" spans="10:24" x14ac:dyDescent="0.35">
      <c r="J953" s="40"/>
      <c r="K953" s="40"/>
      <c r="L953" s="46"/>
      <c r="M953" s="46"/>
      <c r="X953" s="47"/>
    </row>
    <row r="954" spans="10:24" x14ac:dyDescent="0.35">
      <c r="J954" s="38"/>
      <c r="K954" s="38"/>
      <c r="L954" s="38"/>
      <c r="M954" s="47"/>
      <c r="X954" s="47"/>
    </row>
    <row r="955" spans="10:24" x14ac:dyDescent="0.35">
      <c r="J955" s="38"/>
      <c r="K955" s="38"/>
      <c r="L955" s="38"/>
      <c r="M955" s="47"/>
      <c r="X955" s="47"/>
    </row>
    <row r="956" spans="10:24" x14ac:dyDescent="0.35">
      <c r="J956" s="38"/>
      <c r="K956" s="38"/>
      <c r="L956" s="38"/>
      <c r="M956" s="47"/>
      <c r="X956" s="47"/>
    </row>
    <row r="957" spans="10:24" x14ac:dyDescent="0.35">
      <c r="J957" s="38"/>
      <c r="K957" s="38"/>
      <c r="L957" s="38"/>
      <c r="M957" s="47"/>
      <c r="X957" s="47"/>
    </row>
    <row r="958" spans="10:24" x14ac:dyDescent="0.35">
      <c r="J958" s="38"/>
      <c r="K958" s="38"/>
      <c r="L958" s="38"/>
      <c r="M958" s="47"/>
      <c r="X958" s="47"/>
    </row>
    <row r="959" spans="10:24" x14ac:dyDescent="0.35">
      <c r="J959" s="38"/>
      <c r="K959" s="38"/>
      <c r="L959" s="38"/>
      <c r="M959" s="47"/>
      <c r="X959" s="47"/>
    </row>
    <row r="960" spans="10:24" x14ac:dyDescent="0.35">
      <c r="J960" s="40"/>
      <c r="K960" s="40"/>
      <c r="L960" s="46"/>
      <c r="M960" s="46"/>
      <c r="X960" s="47"/>
    </row>
    <row r="961" spans="10:24" x14ac:dyDescent="0.35">
      <c r="J961" s="38"/>
      <c r="K961" s="38"/>
      <c r="L961" s="38"/>
      <c r="M961" s="47"/>
      <c r="X961" s="47"/>
    </row>
    <row r="962" spans="10:24" x14ac:dyDescent="0.35">
      <c r="J962" s="40"/>
      <c r="K962" s="40"/>
      <c r="L962" s="46"/>
      <c r="M962" s="46"/>
      <c r="X962" s="47"/>
    </row>
    <row r="963" spans="10:24" x14ac:dyDescent="0.35">
      <c r="J963" s="38"/>
      <c r="K963" s="38"/>
      <c r="L963" s="38"/>
      <c r="M963" s="47"/>
      <c r="X963" s="47"/>
    </row>
    <row r="964" spans="10:24" x14ac:dyDescent="0.35">
      <c r="J964" s="38"/>
      <c r="K964" s="38"/>
      <c r="L964" s="38"/>
      <c r="M964" s="47"/>
      <c r="X964" s="47"/>
    </row>
    <row r="965" spans="10:24" x14ac:dyDescent="0.35">
      <c r="J965" s="38"/>
      <c r="K965" s="38"/>
      <c r="L965" s="38"/>
      <c r="M965" s="47"/>
      <c r="X965" s="47"/>
    </row>
    <row r="966" spans="10:24" x14ac:dyDescent="0.35">
      <c r="J966" s="38"/>
      <c r="K966" s="38"/>
      <c r="L966" s="38"/>
      <c r="M966" s="47"/>
      <c r="X966" s="47"/>
    </row>
    <row r="967" spans="10:24" x14ac:dyDescent="0.35">
      <c r="J967" s="38"/>
      <c r="K967" s="38"/>
      <c r="L967" s="38"/>
      <c r="M967" s="47"/>
      <c r="X967" s="47"/>
    </row>
    <row r="968" spans="10:24" x14ac:dyDescent="0.35">
      <c r="J968" s="38"/>
      <c r="K968" s="38"/>
      <c r="L968" s="38"/>
      <c r="M968" s="47"/>
      <c r="X968" s="47"/>
    </row>
    <row r="969" spans="10:24" x14ac:dyDescent="0.35">
      <c r="J969" s="38"/>
      <c r="K969" s="38"/>
      <c r="L969" s="38"/>
      <c r="M969" s="47"/>
      <c r="X969" s="47"/>
    </row>
    <row r="970" spans="10:24" x14ac:dyDescent="0.35">
      <c r="J970" s="38"/>
      <c r="K970" s="38"/>
      <c r="L970" s="38"/>
      <c r="M970" s="47"/>
      <c r="X970" s="47"/>
    </row>
    <row r="971" spans="10:24" x14ac:dyDescent="0.35">
      <c r="J971" s="40"/>
      <c r="K971" s="40"/>
      <c r="L971" s="46"/>
      <c r="M971" s="46"/>
      <c r="X971" s="47"/>
    </row>
    <row r="972" spans="10:24" x14ac:dyDescent="0.35">
      <c r="J972" s="38"/>
      <c r="K972" s="38"/>
      <c r="L972" s="38"/>
      <c r="M972" s="47"/>
      <c r="X972" s="47"/>
    </row>
    <row r="973" spans="10:24" x14ac:dyDescent="0.35">
      <c r="J973" s="38"/>
      <c r="K973" s="38"/>
      <c r="L973" s="38"/>
      <c r="M973" s="47"/>
      <c r="X973" s="47"/>
    </row>
    <row r="974" spans="10:24" x14ac:dyDescent="0.35">
      <c r="J974" s="38"/>
      <c r="K974" s="38"/>
      <c r="L974" s="38"/>
      <c r="M974" s="47"/>
      <c r="X974" s="47"/>
    </row>
    <row r="975" spans="10:24" x14ac:dyDescent="0.35">
      <c r="J975" s="38"/>
      <c r="K975" s="38"/>
      <c r="L975" s="38"/>
      <c r="M975" s="47"/>
      <c r="X975" s="47"/>
    </row>
    <row r="976" spans="10:24" x14ac:dyDescent="0.35">
      <c r="J976" s="38"/>
      <c r="K976" s="38"/>
      <c r="L976" s="38"/>
      <c r="M976" s="47"/>
      <c r="X976" s="47"/>
    </row>
    <row r="977" spans="10:24" x14ac:dyDescent="0.35">
      <c r="J977" s="38"/>
      <c r="K977" s="38"/>
      <c r="L977" s="38"/>
      <c r="M977" s="47"/>
      <c r="X977" s="47"/>
    </row>
    <row r="978" spans="10:24" x14ac:dyDescent="0.35">
      <c r="J978" s="38"/>
      <c r="K978" s="38"/>
      <c r="L978" s="38"/>
      <c r="M978" s="47"/>
      <c r="X978" s="47"/>
    </row>
    <row r="979" spans="10:24" x14ac:dyDescent="0.35">
      <c r="J979" s="38"/>
      <c r="K979" s="38"/>
      <c r="L979" s="38"/>
      <c r="M979" s="47"/>
      <c r="X979" s="47"/>
    </row>
    <row r="980" spans="10:24" x14ac:dyDescent="0.35">
      <c r="J980" s="38"/>
      <c r="K980" s="38"/>
      <c r="L980" s="38"/>
      <c r="M980" s="47"/>
      <c r="X980" s="47"/>
    </row>
    <row r="981" spans="10:24" x14ac:dyDescent="0.35">
      <c r="J981" s="38"/>
      <c r="K981" s="38"/>
      <c r="L981" s="38"/>
      <c r="M981" s="47"/>
      <c r="X981" s="47"/>
    </row>
    <row r="982" spans="10:24" x14ac:dyDescent="0.35">
      <c r="J982" s="38"/>
      <c r="K982" s="38"/>
      <c r="L982" s="38"/>
      <c r="M982" s="47"/>
      <c r="X982" s="47"/>
    </row>
    <row r="983" spans="10:24" x14ac:dyDescent="0.35">
      <c r="J983" s="38"/>
      <c r="K983" s="38"/>
      <c r="L983" s="38"/>
      <c r="M983" s="47"/>
      <c r="X983" s="47"/>
    </row>
    <row r="984" spans="10:24" x14ac:dyDescent="0.35">
      <c r="J984" s="38"/>
      <c r="K984" s="38"/>
      <c r="L984" s="38"/>
      <c r="M984" s="47"/>
      <c r="X984" s="47"/>
    </row>
    <row r="985" spans="10:24" x14ac:dyDescent="0.35">
      <c r="J985" s="38"/>
      <c r="K985" s="38"/>
      <c r="L985" s="38"/>
      <c r="M985" s="47"/>
      <c r="X985" s="47"/>
    </row>
    <row r="986" spans="10:24" x14ac:dyDescent="0.35">
      <c r="J986" s="38"/>
      <c r="K986" s="38"/>
      <c r="L986" s="38"/>
      <c r="M986" s="47"/>
      <c r="X986" s="47"/>
    </row>
    <row r="987" spans="10:24" x14ac:dyDescent="0.35">
      <c r="J987" s="38"/>
      <c r="K987" s="38"/>
      <c r="L987" s="38"/>
      <c r="M987" s="47"/>
      <c r="X987" s="47"/>
    </row>
    <row r="988" spans="10:24" x14ac:dyDescent="0.35">
      <c r="J988" s="38"/>
      <c r="K988" s="38"/>
      <c r="L988" s="38"/>
      <c r="M988" s="47"/>
      <c r="X988" s="47"/>
    </row>
    <row r="989" spans="10:24" x14ac:dyDescent="0.35">
      <c r="J989" s="38"/>
      <c r="K989" s="38"/>
      <c r="L989" s="38"/>
      <c r="M989" s="47"/>
      <c r="X989" s="47"/>
    </row>
    <row r="990" spans="10:24" x14ac:dyDescent="0.35">
      <c r="J990" s="38"/>
      <c r="K990" s="38"/>
      <c r="L990" s="38"/>
      <c r="M990" s="47"/>
      <c r="X990" s="47"/>
    </row>
    <row r="991" spans="10:24" x14ac:dyDescent="0.35">
      <c r="J991" s="38"/>
      <c r="K991" s="38"/>
      <c r="L991" s="38"/>
      <c r="M991" s="47"/>
      <c r="X991" s="47"/>
    </row>
    <row r="992" spans="10:24" x14ac:dyDescent="0.35">
      <c r="J992" s="38"/>
      <c r="K992" s="38"/>
      <c r="L992" s="38"/>
      <c r="M992" s="47"/>
      <c r="X992" s="47"/>
    </row>
    <row r="993" spans="10:24" x14ac:dyDescent="0.35">
      <c r="J993" s="38"/>
      <c r="K993" s="38"/>
      <c r="L993" s="38"/>
      <c r="M993" s="47"/>
      <c r="X993" s="47"/>
    </row>
    <row r="994" spans="10:24" x14ac:dyDescent="0.35">
      <c r="J994" s="38"/>
      <c r="K994" s="38"/>
      <c r="L994" s="38"/>
      <c r="M994" s="47"/>
      <c r="X994" s="47"/>
    </row>
    <row r="995" spans="10:24" x14ac:dyDescent="0.35">
      <c r="J995" s="38"/>
      <c r="K995" s="38"/>
      <c r="L995" s="38"/>
      <c r="M995" s="47"/>
      <c r="X995" s="47"/>
    </row>
    <row r="996" spans="10:24" x14ac:dyDescent="0.35">
      <c r="J996" s="38"/>
      <c r="K996" s="38"/>
      <c r="L996" s="38"/>
      <c r="M996" s="47"/>
      <c r="X996" s="47"/>
    </row>
    <row r="997" spans="10:24" x14ac:dyDescent="0.35">
      <c r="J997" s="38"/>
      <c r="K997" s="38"/>
      <c r="L997" s="38"/>
      <c r="M997" s="47"/>
      <c r="X997" s="47"/>
    </row>
    <row r="998" spans="10:24" x14ac:dyDescent="0.35">
      <c r="J998" s="38"/>
      <c r="K998" s="38"/>
      <c r="L998" s="38"/>
      <c r="M998" s="47"/>
      <c r="X998" s="47"/>
    </row>
    <row r="999" spans="10:24" x14ac:dyDescent="0.35">
      <c r="J999" s="38"/>
      <c r="K999" s="38"/>
      <c r="L999" s="38"/>
      <c r="M999" s="47"/>
      <c r="X999" s="47"/>
    </row>
    <row r="1000" spans="10:24" x14ac:dyDescent="0.35">
      <c r="J1000" s="38"/>
      <c r="K1000" s="38"/>
      <c r="L1000" s="38"/>
      <c r="M1000" s="47"/>
      <c r="X1000" s="47"/>
    </row>
    <row r="1001" spans="10:24" x14ac:dyDescent="0.35">
      <c r="J1001" s="38"/>
      <c r="K1001" s="38"/>
      <c r="L1001" s="38"/>
      <c r="M1001" s="47"/>
      <c r="X1001" s="47"/>
    </row>
    <row r="1002" spans="10:24" x14ac:dyDescent="0.35">
      <c r="J1002" s="38"/>
      <c r="K1002" s="38"/>
      <c r="L1002" s="38"/>
      <c r="M1002" s="47"/>
      <c r="X1002" s="47"/>
    </row>
    <row r="1003" spans="10:24" x14ac:dyDescent="0.35">
      <c r="J1003" s="38"/>
      <c r="K1003" s="38"/>
      <c r="L1003" s="38"/>
      <c r="M1003" s="47"/>
      <c r="X1003" s="47"/>
    </row>
    <row r="1004" spans="10:24" x14ac:dyDescent="0.35">
      <c r="J1004" s="38"/>
      <c r="K1004" s="38"/>
      <c r="L1004" s="38"/>
      <c r="M1004" s="47"/>
      <c r="X1004" s="47"/>
    </row>
    <row r="1005" spans="10:24" x14ac:dyDescent="0.35">
      <c r="J1005" s="38"/>
      <c r="K1005" s="38"/>
      <c r="L1005" s="38"/>
      <c r="M1005" s="47"/>
      <c r="X1005" s="47"/>
    </row>
    <row r="1006" spans="10:24" x14ac:dyDescent="0.35">
      <c r="J1006" s="38"/>
      <c r="K1006" s="38"/>
      <c r="L1006" s="38"/>
      <c r="M1006" s="47"/>
      <c r="X1006" s="47"/>
    </row>
    <row r="1007" spans="10:24" x14ac:dyDescent="0.35">
      <c r="J1007" s="38"/>
      <c r="K1007" s="38"/>
      <c r="L1007" s="38"/>
      <c r="M1007" s="47"/>
      <c r="X1007" s="47"/>
    </row>
    <row r="1008" spans="10:24" x14ac:dyDescent="0.35">
      <c r="J1008" s="38"/>
      <c r="K1008" s="38"/>
      <c r="L1008" s="38"/>
      <c r="M1008" s="47"/>
      <c r="X1008" s="47"/>
    </row>
    <row r="1009" spans="10:24" x14ac:dyDescent="0.35">
      <c r="J1009" s="38"/>
      <c r="K1009" s="38"/>
      <c r="L1009" s="38"/>
      <c r="M1009" s="47"/>
      <c r="X1009" s="47"/>
    </row>
    <row r="1010" spans="10:24" x14ac:dyDescent="0.35">
      <c r="J1010" s="38"/>
      <c r="K1010" s="38"/>
      <c r="L1010" s="38"/>
      <c r="M1010" s="47"/>
      <c r="X1010" s="47"/>
    </row>
    <row r="1011" spans="10:24" x14ac:dyDescent="0.35">
      <c r="J1011" s="38"/>
      <c r="K1011" s="38"/>
      <c r="L1011" s="38"/>
      <c r="M1011" s="47"/>
      <c r="X1011" s="47"/>
    </row>
    <row r="1012" spans="10:24" x14ac:dyDescent="0.35">
      <c r="J1012" s="38"/>
      <c r="K1012" s="38"/>
      <c r="L1012" s="38"/>
      <c r="M1012" s="47"/>
      <c r="X1012" s="47"/>
    </row>
    <row r="1013" spans="10:24" x14ac:dyDescent="0.35">
      <c r="J1013" s="38"/>
      <c r="K1013" s="38"/>
      <c r="L1013" s="38"/>
      <c r="M1013" s="47"/>
      <c r="X1013" s="47"/>
    </row>
    <row r="1014" spans="10:24" x14ac:dyDescent="0.35">
      <c r="J1014" s="38"/>
      <c r="K1014" s="38"/>
      <c r="L1014" s="38"/>
      <c r="M1014" s="47"/>
      <c r="X1014" s="47"/>
    </row>
    <row r="1015" spans="10:24" x14ac:dyDescent="0.35">
      <c r="J1015" s="38"/>
      <c r="K1015" s="38"/>
      <c r="L1015" s="38"/>
      <c r="M1015" s="47"/>
      <c r="X1015" s="47"/>
    </row>
    <row r="1016" spans="10:24" x14ac:dyDescent="0.35">
      <c r="J1016" s="38"/>
      <c r="K1016" s="38"/>
      <c r="L1016" s="38"/>
      <c r="M1016" s="47"/>
      <c r="X1016" s="47"/>
    </row>
    <row r="1017" spans="10:24" x14ac:dyDescent="0.35">
      <c r="J1017" s="38"/>
      <c r="K1017" s="38"/>
      <c r="L1017" s="38"/>
      <c r="M1017" s="47"/>
      <c r="X1017" s="47"/>
    </row>
    <row r="1018" spans="10:24" x14ac:dyDescent="0.35">
      <c r="J1018" s="38"/>
      <c r="K1018" s="38"/>
      <c r="L1018" s="38"/>
      <c r="M1018" s="47"/>
      <c r="X1018" s="47"/>
    </row>
    <row r="1019" spans="10:24" x14ac:dyDescent="0.35">
      <c r="J1019" s="38"/>
      <c r="K1019" s="38"/>
      <c r="L1019" s="38"/>
      <c r="M1019" s="47"/>
      <c r="X1019" s="47"/>
    </row>
    <row r="1020" spans="10:24" x14ac:dyDescent="0.35">
      <c r="J1020" s="38"/>
      <c r="K1020" s="38"/>
      <c r="L1020" s="38"/>
      <c r="M1020" s="47"/>
      <c r="X1020" s="47"/>
    </row>
    <row r="1021" spans="10:24" x14ac:dyDescent="0.35">
      <c r="J1021" s="38"/>
      <c r="K1021" s="38"/>
      <c r="L1021" s="38"/>
      <c r="M1021" s="47"/>
      <c r="X1021" s="47"/>
    </row>
    <row r="1022" spans="10:24" x14ac:dyDescent="0.35">
      <c r="J1022" s="40"/>
      <c r="K1022" s="40"/>
      <c r="L1022" s="46"/>
      <c r="M1022" s="46"/>
      <c r="X1022" s="47"/>
    </row>
    <row r="1023" spans="10:24" x14ac:dyDescent="0.35">
      <c r="J1023" s="38"/>
      <c r="K1023" s="38"/>
      <c r="L1023" s="38"/>
      <c r="M1023" s="47"/>
      <c r="X1023" s="47"/>
    </row>
    <row r="1024" spans="10:24" x14ac:dyDescent="0.35">
      <c r="J1024" s="38"/>
      <c r="K1024" s="38"/>
      <c r="L1024" s="38"/>
      <c r="M1024" s="47"/>
      <c r="X1024" s="47"/>
    </row>
    <row r="1025" spans="10:24" x14ac:dyDescent="0.35">
      <c r="J1025" s="38"/>
      <c r="K1025" s="38"/>
      <c r="L1025" s="38"/>
      <c r="M1025" s="47"/>
      <c r="X1025" s="47"/>
    </row>
    <row r="1026" spans="10:24" x14ac:dyDescent="0.35">
      <c r="J1026" s="38"/>
      <c r="K1026" s="38"/>
      <c r="L1026" s="38"/>
      <c r="M1026" s="47"/>
      <c r="X1026" s="47"/>
    </row>
    <row r="1027" spans="10:24" x14ac:dyDescent="0.35">
      <c r="J1027" s="38"/>
      <c r="K1027" s="38"/>
      <c r="L1027" s="38"/>
      <c r="M1027" s="47"/>
      <c r="X1027" s="47"/>
    </row>
    <row r="1028" spans="10:24" x14ac:dyDescent="0.35">
      <c r="J1028" s="40"/>
      <c r="K1028" s="40"/>
      <c r="L1028" s="46"/>
      <c r="M1028" s="46"/>
      <c r="X1028" s="47"/>
    </row>
    <row r="1029" spans="10:24" x14ac:dyDescent="0.35">
      <c r="J1029" s="38"/>
      <c r="K1029" s="38"/>
      <c r="L1029" s="38"/>
      <c r="M1029" s="47"/>
      <c r="X1029" s="47"/>
    </row>
    <row r="1030" spans="10:24" x14ac:dyDescent="0.35">
      <c r="J1030" s="38"/>
      <c r="K1030" s="38"/>
      <c r="L1030" s="38"/>
      <c r="M1030" s="47"/>
      <c r="X1030" s="47"/>
    </row>
    <row r="1031" spans="10:24" x14ac:dyDescent="0.35">
      <c r="J1031" s="38"/>
      <c r="K1031" s="38"/>
      <c r="L1031" s="38"/>
      <c r="M1031" s="47"/>
      <c r="X1031" s="47"/>
    </row>
    <row r="1032" spans="10:24" x14ac:dyDescent="0.35">
      <c r="J1032" s="38"/>
      <c r="K1032" s="38"/>
      <c r="L1032" s="38"/>
      <c r="M1032" s="47"/>
      <c r="X1032" s="47"/>
    </row>
    <row r="1033" spans="10:24" x14ac:dyDescent="0.35">
      <c r="J1033" s="40"/>
      <c r="K1033" s="40"/>
      <c r="L1033" s="46"/>
      <c r="M1033" s="46"/>
      <c r="X1033" s="47"/>
    </row>
    <row r="1034" spans="10:24" x14ac:dyDescent="0.35">
      <c r="J1034" s="38"/>
      <c r="K1034" s="38"/>
      <c r="L1034" s="38"/>
      <c r="M1034" s="47"/>
      <c r="X1034" s="47"/>
    </row>
    <row r="1035" spans="10:24" x14ac:dyDescent="0.35">
      <c r="J1035" s="38"/>
      <c r="K1035" s="38"/>
      <c r="L1035" s="38"/>
      <c r="M1035" s="47"/>
      <c r="X1035" s="47"/>
    </row>
    <row r="1036" spans="10:24" x14ac:dyDescent="0.35">
      <c r="J1036" s="38"/>
      <c r="K1036" s="38"/>
      <c r="L1036" s="38"/>
      <c r="M1036" s="47"/>
      <c r="X1036" s="47"/>
    </row>
    <row r="1037" spans="10:24" x14ac:dyDescent="0.35">
      <c r="J1037" s="38"/>
      <c r="K1037" s="38"/>
      <c r="L1037" s="38"/>
      <c r="M1037" s="47"/>
      <c r="X1037" s="47"/>
    </row>
    <row r="1038" spans="10:24" x14ac:dyDescent="0.35">
      <c r="J1038" s="38"/>
      <c r="K1038" s="38"/>
      <c r="L1038" s="38"/>
      <c r="M1038" s="47"/>
      <c r="X1038" s="47"/>
    </row>
    <row r="1039" spans="10:24" x14ac:dyDescent="0.35">
      <c r="J1039" s="38"/>
      <c r="K1039" s="38"/>
      <c r="L1039" s="38"/>
      <c r="M1039" s="47"/>
      <c r="X1039" s="47"/>
    </row>
    <row r="1040" spans="10:24" x14ac:dyDescent="0.35">
      <c r="J1040" s="38"/>
      <c r="K1040" s="38"/>
      <c r="L1040" s="38"/>
      <c r="M1040" s="47"/>
      <c r="X1040" s="47"/>
    </row>
    <row r="1041" spans="10:24" x14ac:dyDescent="0.35">
      <c r="J1041" s="38"/>
      <c r="K1041" s="38"/>
      <c r="L1041" s="38"/>
      <c r="M1041" s="47"/>
      <c r="X1041" s="47"/>
    </row>
    <row r="1042" spans="10:24" x14ac:dyDescent="0.35">
      <c r="J1042" s="38"/>
      <c r="K1042" s="38"/>
      <c r="L1042" s="38"/>
      <c r="M1042" s="47"/>
      <c r="X1042" s="47"/>
    </row>
    <row r="1043" spans="10:24" x14ac:dyDescent="0.35">
      <c r="J1043" s="38"/>
      <c r="K1043" s="38"/>
      <c r="L1043" s="38"/>
      <c r="M1043" s="47"/>
      <c r="X1043" s="47"/>
    </row>
    <row r="1044" spans="10:24" x14ac:dyDescent="0.35">
      <c r="J1044" s="38"/>
      <c r="K1044" s="38"/>
      <c r="L1044" s="38"/>
      <c r="M1044" s="47"/>
      <c r="X1044" s="47"/>
    </row>
    <row r="1045" spans="10:24" x14ac:dyDescent="0.35">
      <c r="J1045" s="38"/>
      <c r="K1045" s="38"/>
      <c r="L1045" s="38"/>
      <c r="M1045" s="47"/>
      <c r="X1045" s="47"/>
    </row>
    <row r="1046" spans="10:24" x14ac:dyDescent="0.35">
      <c r="J1046" s="38"/>
      <c r="K1046" s="38"/>
      <c r="L1046" s="38"/>
      <c r="M1046" s="47"/>
    </row>
    <row r="1047" spans="10:24" x14ac:dyDescent="0.35">
      <c r="J1047" s="38"/>
      <c r="K1047" s="38"/>
      <c r="L1047" s="38"/>
      <c r="M1047" s="47"/>
    </row>
    <row r="1048" spans="10:24" x14ac:dyDescent="0.35">
      <c r="J1048" s="38"/>
      <c r="K1048" s="38"/>
      <c r="L1048" s="38"/>
      <c r="M1048" s="47"/>
    </row>
    <row r="1049" spans="10:24" x14ac:dyDescent="0.35">
      <c r="J1049" s="38"/>
      <c r="K1049" s="38"/>
      <c r="L1049" s="38"/>
      <c r="M1049" s="47"/>
    </row>
    <row r="1050" spans="10:24" x14ac:dyDescent="0.35">
      <c r="J1050" s="38"/>
      <c r="K1050" s="38"/>
      <c r="L1050" s="38"/>
      <c r="M1050" s="47"/>
    </row>
    <row r="1051" spans="10:24" x14ac:dyDescent="0.35">
      <c r="J1051" s="38"/>
      <c r="K1051" s="38"/>
      <c r="L1051" s="38"/>
      <c r="M1051" s="47"/>
    </row>
    <row r="1052" spans="10:24" x14ac:dyDescent="0.35">
      <c r="J1052" s="38"/>
      <c r="K1052" s="38"/>
      <c r="L1052" s="38"/>
      <c r="M1052" s="47"/>
    </row>
    <row r="1053" spans="10:24" x14ac:dyDescent="0.35">
      <c r="J1053" s="38"/>
      <c r="K1053" s="38"/>
      <c r="L1053" s="38"/>
      <c r="M1053" s="47"/>
    </row>
    <row r="1054" spans="10:24" x14ac:dyDescent="0.35">
      <c r="J1054" s="38"/>
      <c r="K1054" s="38"/>
      <c r="L1054" s="38"/>
      <c r="M1054" s="47"/>
    </row>
    <row r="1055" spans="10:24" x14ac:dyDescent="0.35">
      <c r="J1055" s="38"/>
      <c r="K1055" s="38"/>
      <c r="L1055" s="38"/>
      <c r="M1055" s="47"/>
    </row>
    <row r="1056" spans="10:24" x14ac:dyDescent="0.35">
      <c r="J1056" s="38"/>
      <c r="K1056" s="38"/>
      <c r="L1056" s="38"/>
      <c r="M1056" s="47"/>
    </row>
    <row r="1057" spans="10:13" x14ac:dyDescent="0.35">
      <c r="J1057" s="38"/>
      <c r="K1057" s="38"/>
      <c r="L1057" s="38"/>
      <c r="M1057" s="47"/>
    </row>
    <row r="1058" spans="10:13" x14ac:dyDescent="0.35">
      <c r="J1058" s="40"/>
      <c r="K1058" s="40"/>
      <c r="L1058" s="46"/>
      <c r="M1058" s="46"/>
    </row>
    <row r="1059" spans="10:13" x14ac:dyDescent="0.35">
      <c r="J1059" s="38"/>
      <c r="K1059" s="38"/>
      <c r="L1059" s="38"/>
      <c r="M1059" s="47"/>
    </row>
    <row r="1060" spans="10:13" x14ac:dyDescent="0.35">
      <c r="J1060" s="40"/>
      <c r="K1060" s="40"/>
      <c r="L1060" s="46"/>
      <c r="M1060" s="46"/>
    </row>
    <row r="1061" spans="10:13" x14ac:dyDescent="0.35">
      <c r="J1061" s="38"/>
      <c r="K1061" s="38"/>
      <c r="L1061" s="38"/>
      <c r="M1061" s="47"/>
    </row>
    <row r="1062" spans="10:13" x14ac:dyDescent="0.35">
      <c r="J1062" s="38"/>
      <c r="K1062" s="38"/>
      <c r="L1062" s="38"/>
      <c r="M1062" s="47"/>
    </row>
    <row r="1063" spans="10:13" x14ac:dyDescent="0.35">
      <c r="J1063" s="38"/>
      <c r="K1063" s="38"/>
      <c r="L1063" s="38"/>
      <c r="M1063" s="47"/>
    </row>
    <row r="1064" spans="10:13" x14ac:dyDescent="0.35">
      <c r="J1064" s="38"/>
      <c r="K1064" s="38"/>
      <c r="L1064" s="38"/>
      <c r="M1064" s="47"/>
    </row>
    <row r="1065" spans="10:13" x14ac:dyDescent="0.35">
      <c r="J1065" s="38"/>
      <c r="K1065" s="38"/>
      <c r="L1065" s="38"/>
      <c r="M1065" s="47"/>
    </row>
    <row r="1066" spans="10:13" x14ac:dyDescent="0.35">
      <c r="J1066" s="38"/>
      <c r="K1066" s="38"/>
      <c r="L1066" s="38"/>
      <c r="M1066" s="47"/>
    </row>
    <row r="1067" spans="10:13" x14ac:dyDescent="0.35">
      <c r="J1067" s="38"/>
      <c r="K1067" s="38"/>
      <c r="L1067" s="38"/>
      <c r="M1067" s="47"/>
    </row>
    <row r="1068" spans="10:13" x14ac:dyDescent="0.35">
      <c r="J1068" s="38"/>
      <c r="K1068" s="38"/>
      <c r="L1068" s="38"/>
      <c r="M1068" s="47"/>
    </row>
    <row r="1069" spans="10:13" x14ac:dyDescent="0.35">
      <c r="J1069" s="38"/>
      <c r="K1069" s="38"/>
      <c r="L1069" s="38"/>
      <c r="M1069" s="47"/>
    </row>
    <row r="1070" spans="10:13" x14ac:dyDescent="0.35">
      <c r="J1070" s="38"/>
      <c r="K1070" s="38"/>
      <c r="L1070" s="38"/>
      <c r="M1070" s="47"/>
    </row>
    <row r="1071" spans="10:13" x14ac:dyDescent="0.35">
      <c r="J1071" s="38"/>
      <c r="K1071" s="38"/>
      <c r="L1071" s="38"/>
      <c r="M1071" s="47"/>
    </row>
    <row r="1072" spans="10:13" x14ac:dyDescent="0.35">
      <c r="J1072" s="38"/>
      <c r="K1072" s="38"/>
      <c r="L1072" s="38"/>
      <c r="M1072" s="47"/>
    </row>
    <row r="1073" spans="10:13" x14ac:dyDescent="0.35">
      <c r="J1073" s="40"/>
      <c r="K1073" s="40"/>
      <c r="L1073" s="46"/>
      <c r="M1073" s="46"/>
    </row>
    <row r="1074" spans="10:13" x14ac:dyDescent="0.35">
      <c r="J1074" s="38"/>
      <c r="K1074" s="38"/>
      <c r="L1074" s="38"/>
      <c r="M1074" s="47"/>
    </row>
    <row r="1075" spans="10:13" x14ac:dyDescent="0.35">
      <c r="J1075" s="40"/>
      <c r="K1075" s="40"/>
      <c r="L1075" s="46"/>
      <c r="M1075" s="46"/>
    </row>
    <row r="1076" spans="10:13" x14ac:dyDescent="0.35">
      <c r="J1076" s="38"/>
      <c r="K1076" s="38"/>
      <c r="L1076" s="38"/>
      <c r="M1076" s="47"/>
    </row>
    <row r="1077" spans="10:13" x14ac:dyDescent="0.35">
      <c r="J1077" s="38"/>
      <c r="K1077" s="38"/>
      <c r="L1077" s="38"/>
      <c r="M1077" s="47"/>
    </row>
    <row r="1078" spans="10:13" x14ac:dyDescent="0.35">
      <c r="J1078" s="38"/>
      <c r="K1078" s="38"/>
      <c r="L1078" s="38"/>
      <c r="M1078" s="47"/>
    </row>
    <row r="1079" spans="10:13" x14ac:dyDescent="0.35">
      <c r="J1079" s="40"/>
      <c r="K1079" s="40"/>
      <c r="L1079" s="46"/>
      <c r="M1079" s="46"/>
    </row>
    <row r="1080" spans="10:13" x14ac:dyDescent="0.35">
      <c r="J1080" s="38"/>
      <c r="K1080" s="38"/>
      <c r="L1080" s="38"/>
      <c r="M1080" s="47"/>
    </row>
    <row r="1081" spans="10:13" x14ac:dyDescent="0.35">
      <c r="J1081" s="38"/>
      <c r="K1081" s="38"/>
      <c r="L1081" s="38"/>
      <c r="M1081" s="47"/>
    </row>
    <row r="1082" spans="10:13" x14ac:dyDescent="0.35">
      <c r="J1082" s="38"/>
      <c r="K1082" s="38"/>
      <c r="L1082" s="38"/>
      <c r="M1082" s="47"/>
    </row>
    <row r="1083" spans="10:13" x14ac:dyDescent="0.35">
      <c r="J1083" s="38"/>
      <c r="K1083" s="38"/>
      <c r="L1083" s="38"/>
      <c r="M1083" s="47"/>
    </row>
    <row r="1084" spans="10:13" x14ac:dyDescent="0.35">
      <c r="J1084" s="38"/>
      <c r="K1084" s="38"/>
      <c r="L1084" s="38"/>
      <c r="M1084" s="47"/>
    </row>
    <row r="1085" spans="10:13" x14ac:dyDescent="0.35">
      <c r="J1085" s="38"/>
      <c r="K1085" s="38"/>
      <c r="L1085" s="38"/>
      <c r="M1085" s="47"/>
    </row>
    <row r="1086" spans="10:13" x14ac:dyDescent="0.35">
      <c r="J1086" s="38"/>
      <c r="K1086" s="38"/>
      <c r="L1086" s="38"/>
      <c r="M1086" s="47"/>
    </row>
    <row r="1087" spans="10:13" x14ac:dyDescent="0.35">
      <c r="J1087" s="38"/>
      <c r="K1087" s="38"/>
      <c r="L1087" s="38"/>
      <c r="M1087" s="47"/>
    </row>
    <row r="1088" spans="10:13" x14ac:dyDescent="0.35">
      <c r="J1088" s="38"/>
      <c r="K1088" s="38"/>
      <c r="L1088" s="38"/>
      <c r="M1088" s="47"/>
    </row>
    <row r="1089" spans="10:13" x14ac:dyDescent="0.35">
      <c r="J1089" s="38"/>
      <c r="K1089" s="38"/>
      <c r="L1089" s="38"/>
      <c r="M1089" s="47"/>
    </row>
    <row r="1090" spans="10:13" x14ac:dyDescent="0.35">
      <c r="J1090" s="38"/>
      <c r="K1090" s="38"/>
      <c r="L1090" s="38"/>
      <c r="M1090" s="47"/>
    </row>
    <row r="1091" spans="10:13" x14ac:dyDescent="0.35">
      <c r="J1091" s="38"/>
      <c r="K1091" s="38"/>
      <c r="L1091" s="38"/>
      <c r="M1091" s="47"/>
    </row>
    <row r="1092" spans="10:13" x14ac:dyDescent="0.35">
      <c r="J1092" s="38"/>
      <c r="K1092" s="38"/>
      <c r="L1092" s="38"/>
      <c r="M1092" s="47"/>
    </row>
    <row r="1093" spans="10:13" x14ac:dyDescent="0.35">
      <c r="J1093" s="38"/>
      <c r="K1093" s="38"/>
      <c r="L1093" s="38"/>
      <c r="M1093" s="47"/>
    </row>
    <row r="1094" spans="10:13" x14ac:dyDescent="0.35">
      <c r="J1094" s="38"/>
      <c r="K1094" s="38"/>
      <c r="L1094" s="38"/>
      <c r="M1094" s="47"/>
    </row>
    <row r="1095" spans="10:13" x14ac:dyDescent="0.35">
      <c r="J1095" s="38"/>
      <c r="K1095" s="38"/>
      <c r="L1095" s="38"/>
      <c r="M1095" s="47"/>
    </row>
    <row r="1096" spans="10:13" x14ac:dyDescent="0.35">
      <c r="J1096" s="38"/>
      <c r="K1096" s="38"/>
      <c r="L1096" s="38"/>
      <c r="M1096" s="47"/>
    </row>
    <row r="1097" spans="10:13" x14ac:dyDescent="0.35">
      <c r="J1097" s="38"/>
      <c r="K1097" s="38"/>
      <c r="L1097" s="38"/>
      <c r="M1097" s="47"/>
    </row>
    <row r="1098" spans="10:13" x14ac:dyDescent="0.35">
      <c r="J1098" s="38"/>
      <c r="K1098" s="38"/>
      <c r="L1098" s="38"/>
      <c r="M1098" s="47"/>
    </row>
    <row r="1099" spans="10:13" x14ac:dyDescent="0.35">
      <c r="J1099" s="38"/>
      <c r="K1099" s="38"/>
      <c r="L1099" s="38"/>
      <c r="M1099" s="47"/>
    </row>
    <row r="1100" spans="10:13" x14ac:dyDescent="0.35">
      <c r="J1100" s="38"/>
      <c r="K1100" s="38"/>
      <c r="L1100" s="38"/>
      <c r="M1100" s="47"/>
    </row>
    <row r="1101" spans="10:13" x14ac:dyDescent="0.35">
      <c r="J1101" s="38"/>
      <c r="K1101" s="38"/>
      <c r="L1101" s="38"/>
      <c r="M1101" s="47"/>
    </row>
    <row r="1102" spans="10:13" x14ac:dyDescent="0.35">
      <c r="J1102" s="38"/>
      <c r="K1102" s="38"/>
      <c r="L1102" s="38"/>
      <c r="M1102" s="47"/>
    </row>
    <row r="1103" spans="10:13" x14ac:dyDescent="0.35">
      <c r="J1103" s="38"/>
      <c r="K1103" s="38"/>
      <c r="L1103" s="38"/>
      <c r="M1103" s="47"/>
    </row>
    <row r="1104" spans="10:13" x14ac:dyDescent="0.35">
      <c r="J1104" s="38"/>
      <c r="K1104" s="38"/>
      <c r="L1104" s="38"/>
      <c r="M1104" s="47"/>
    </row>
    <row r="1105" spans="10:13" x14ac:dyDescent="0.35">
      <c r="J1105" s="38"/>
      <c r="K1105" s="38"/>
      <c r="L1105" s="38"/>
      <c r="M1105" s="47"/>
    </row>
    <row r="1106" spans="10:13" x14ac:dyDescent="0.35">
      <c r="J1106" s="38"/>
      <c r="K1106" s="38"/>
      <c r="L1106" s="38"/>
      <c r="M1106" s="47"/>
    </row>
    <row r="1107" spans="10:13" x14ac:dyDescent="0.35">
      <c r="J1107" s="38"/>
      <c r="K1107" s="38"/>
      <c r="L1107" s="38"/>
      <c r="M1107" s="47"/>
    </row>
    <row r="1108" spans="10:13" x14ac:dyDescent="0.35">
      <c r="J1108" s="38"/>
      <c r="K1108" s="38"/>
      <c r="L1108" s="38"/>
      <c r="M1108" s="47"/>
    </row>
    <row r="1109" spans="10:13" x14ac:dyDescent="0.35">
      <c r="J1109" s="38"/>
      <c r="K1109" s="38"/>
      <c r="L1109" s="38"/>
      <c r="M1109" s="47"/>
    </row>
    <row r="1110" spans="10:13" x14ac:dyDescent="0.35">
      <c r="J1110" s="38"/>
      <c r="K1110" s="38"/>
      <c r="L1110" s="38"/>
      <c r="M1110" s="47"/>
    </row>
    <row r="1111" spans="10:13" x14ac:dyDescent="0.35">
      <c r="J1111" s="38"/>
      <c r="K1111" s="38"/>
      <c r="L1111" s="38"/>
      <c r="M1111" s="47"/>
    </row>
    <row r="1112" spans="10:13" x14ac:dyDescent="0.35">
      <c r="J1112" s="38"/>
      <c r="K1112" s="38"/>
      <c r="L1112" s="38"/>
      <c r="M1112" s="47"/>
    </row>
    <row r="1113" spans="10:13" x14ac:dyDescent="0.35">
      <c r="J1113" s="38"/>
      <c r="K1113" s="38"/>
      <c r="L1113" s="38"/>
      <c r="M1113" s="47"/>
    </row>
    <row r="1114" spans="10:13" x14ac:dyDescent="0.35">
      <c r="J1114" s="38"/>
      <c r="K1114" s="38"/>
      <c r="L1114" s="38"/>
      <c r="M1114" s="47"/>
    </row>
    <row r="1115" spans="10:13" x14ac:dyDescent="0.35">
      <c r="J1115" s="38"/>
      <c r="K1115" s="38"/>
      <c r="L1115" s="38"/>
      <c r="M1115" s="47"/>
    </row>
    <row r="1116" spans="10:13" x14ac:dyDescent="0.35">
      <c r="J1116" s="38"/>
      <c r="K1116" s="38"/>
      <c r="L1116" s="38"/>
      <c r="M1116" s="47"/>
    </row>
    <row r="1117" spans="10:13" x14ac:dyDescent="0.35">
      <c r="J1117" s="38"/>
      <c r="K1117" s="38"/>
      <c r="L1117" s="38"/>
      <c r="M1117" s="47"/>
    </row>
    <row r="1118" spans="10:13" x14ac:dyDescent="0.35">
      <c r="J1118" s="38"/>
      <c r="K1118" s="38"/>
      <c r="L1118" s="38"/>
      <c r="M1118" s="47"/>
    </row>
    <row r="1119" spans="10:13" x14ac:dyDescent="0.35">
      <c r="J1119" s="38"/>
      <c r="K1119" s="38"/>
      <c r="L1119" s="38"/>
      <c r="M1119" s="47"/>
    </row>
    <row r="1120" spans="10:13" x14ac:dyDescent="0.35">
      <c r="J1120" s="38"/>
      <c r="K1120" s="38"/>
      <c r="L1120" s="38"/>
      <c r="M1120" s="47"/>
    </row>
    <row r="1121" spans="10:13" x14ac:dyDescent="0.35">
      <c r="J1121" s="38"/>
      <c r="K1121" s="38"/>
      <c r="L1121" s="38"/>
      <c r="M1121" s="47"/>
    </row>
    <row r="1122" spans="10:13" x14ac:dyDescent="0.35">
      <c r="J1122" s="38"/>
      <c r="K1122" s="38"/>
      <c r="L1122" s="38"/>
      <c r="M1122" s="47"/>
    </row>
    <row r="1123" spans="10:13" x14ac:dyDescent="0.35">
      <c r="J1123" s="38"/>
      <c r="K1123" s="38"/>
      <c r="L1123" s="38"/>
      <c r="M1123" s="47"/>
    </row>
    <row r="1124" spans="10:13" x14ac:dyDescent="0.35">
      <c r="J1124" s="38"/>
      <c r="K1124" s="38"/>
      <c r="L1124" s="38"/>
      <c r="M1124" s="47"/>
    </row>
    <row r="1125" spans="10:13" x14ac:dyDescent="0.35">
      <c r="J1125" s="38"/>
      <c r="K1125" s="38"/>
      <c r="L1125" s="38"/>
      <c r="M1125" s="47"/>
    </row>
    <row r="1126" spans="10:13" x14ac:dyDescent="0.35">
      <c r="J1126" s="38"/>
      <c r="K1126" s="38"/>
      <c r="L1126" s="38"/>
      <c r="M1126" s="47"/>
    </row>
    <row r="1127" spans="10:13" x14ac:dyDescent="0.35">
      <c r="J1127" s="38"/>
      <c r="K1127" s="38"/>
      <c r="L1127" s="38"/>
      <c r="M1127" s="47"/>
    </row>
    <row r="1128" spans="10:13" x14ac:dyDescent="0.35">
      <c r="J1128" s="38"/>
      <c r="K1128" s="38"/>
      <c r="L1128" s="38"/>
      <c r="M1128" s="47"/>
    </row>
    <row r="1129" spans="10:13" x14ac:dyDescent="0.35">
      <c r="J1129" s="38"/>
      <c r="K1129" s="38"/>
      <c r="L1129" s="38"/>
      <c r="M1129" s="47"/>
    </row>
    <row r="1130" spans="10:13" x14ac:dyDescent="0.35">
      <c r="J1130" s="38"/>
      <c r="K1130" s="38"/>
      <c r="L1130" s="38"/>
      <c r="M1130" s="47"/>
    </row>
    <row r="1131" spans="10:13" x14ac:dyDescent="0.35">
      <c r="J1131" s="38"/>
      <c r="K1131" s="38"/>
      <c r="L1131" s="38"/>
      <c r="M1131" s="47"/>
    </row>
    <row r="1132" spans="10:13" x14ac:dyDescent="0.35">
      <c r="J1132" s="38"/>
      <c r="K1132" s="38"/>
      <c r="L1132" s="38"/>
      <c r="M1132" s="47"/>
    </row>
    <row r="1133" spans="10:13" x14ac:dyDescent="0.35">
      <c r="J1133" s="38"/>
      <c r="K1133" s="38"/>
      <c r="L1133" s="38"/>
      <c r="M1133" s="47"/>
    </row>
    <row r="1134" spans="10:13" x14ac:dyDescent="0.35">
      <c r="J1134" s="38"/>
      <c r="K1134" s="38"/>
      <c r="L1134" s="38"/>
      <c r="M1134" s="47"/>
    </row>
    <row r="1135" spans="10:13" x14ac:dyDescent="0.35">
      <c r="J1135" s="38"/>
      <c r="K1135" s="38"/>
      <c r="L1135" s="38"/>
      <c r="M1135" s="47"/>
    </row>
    <row r="1136" spans="10:13" x14ac:dyDescent="0.35">
      <c r="J1136" s="38"/>
      <c r="K1136" s="38"/>
      <c r="L1136" s="38"/>
      <c r="M1136" s="47"/>
    </row>
    <row r="1137" spans="10:13" x14ac:dyDescent="0.35">
      <c r="J1137" s="38"/>
      <c r="K1137" s="38"/>
      <c r="L1137" s="38"/>
      <c r="M1137" s="47"/>
    </row>
    <row r="1138" spans="10:13" x14ac:dyDescent="0.35">
      <c r="J1138" s="38"/>
      <c r="K1138" s="38"/>
      <c r="L1138" s="38"/>
      <c r="M1138" s="47"/>
    </row>
    <row r="1139" spans="10:13" x14ac:dyDescent="0.35">
      <c r="J1139" s="38"/>
      <c r="K1139" s="38"/>
      <c r="L1139" s="38"/>
      <c r="M1139" s="47"/>
    </row>
    <row r="1140" spans="10:13" x14ac:dyDescent="0.35">
      <c r="J1140" s="38"/>
      <c r="K1140" s="38"/>
      <c r="L1140" s="38"/>
      <c r="M1140" s="47"/>
    </row>
    <row r="1141" spans="10:13" x14ac:dyDescent="0.35">
      <c r="J1141" s="38"/>
      <c r="K1141" s="38"/>
      <c r="L1141" s="38"/>
      <c r="M1141" s="47"/>
    </row>
    <row r="1142" spans="10:13" x14ac:dyDescent="0.35">
      <c r="J1142" s="38"/>
      <c r="K1142" s="38"/>
      <c r="L1142" s="38"/>
      <c r="M1142" s="47"/>
    </row>
    <row r="1143" spans="10:13" x14ac:dyDescent="0.35">
      <c r="J1143" s="38"/>
      <c r="K1143" s="38"/>
      <c r="L1143" s="38"/>
      <c r="M1143" s="47"/>
    </row>
    <row r="1144" spans="10:13" x14ac:dyDescent="0.35">
      <c r="J1144" s="38"/>
      <c r="K1144" s="38"/>
      <c r="L1144" s="38"/>
      <c r="M1144" s="47"/>
    </row>
    <row r="1145" spans="10:13" x14ac:dyDescent="0.35">
      <c r="J1145" s="38"/>
      <c r="K1145" s="38"/>
      <c r="L1145" s="38"/>
      <c r="M1145" s="47"/>
    </row>
    <row r="1146" spans="10:13" x14ac:dyDescent="0.35">
      <c r="J1146" s="38"/>
      <c r="K1146" s="38"/>
      <c r="L1146" s="38"/>
      <c r="M1146" s="47"/>
    </row>
    <row r="1147" spans="10:13" x14ac:dyDescent="0.35">
      <c r="J1147" s="38"/>
      <c r="K1147" s="38"/>
      <c r="L1147" s="38"/>
      <c r="M1147" s="47"/>
    </row>
    <row r="1148" spans="10:13" x14ac:dyDescent="0.35">
      <c r="J1148" s="38"/>
      <c r="K1148" s="38"/>
      <c r="L1148" s="38"/>
      <c r="M1148" s="47"/>
    </row>
    <row r="1149" spans="10:13" x14ac:dyDescent="0.35">
      <c r="J1149" s="38"/>
      <c r="K1149" s="38"/>
      <c r="L1149" s="38"/>
      <c r="M1149" s="47"/>
    </row>
    <row r="1150" spans="10:13" x14ac:dyDescent="0.35">
      <c r="J1150" s="38"/>
      <c r="K1150" s="38"/>
      <c r="L1150" s="38"/>
      <c r="M1150" s="47"/>
    </row>
    <row r="1151" spans="10:13" x14ac:dyDescent="0.35">
      <c r="J1151" s="38"/>
      <c r="K1151" s="38"/>
      <c r="L1151" s="38"/>
      <c r="M1151" s="47"/>
    </row>
    <row r="1152" spans="10:13" x14ac:dyDescent="0.35">
      <c r="J1152" s="38"/>
      <c r="K1152" s="38"/>
      <c r="L1152" s="38"/>
      <c r="M1152" s="47"/>
    </row>
    <row r="1153" spans="10:13" x14ac:dyDescent="0.35">
      <c r="J1153" s="38"/>
      <c r="K1153" s="38"/>
      <c r="L1153" s="38"/>
      <c r="M1153" s="47"/>
    </row>
    <row r="1154" spans="10:13" x14ac:dyDescent="0.35">
      <c r="J1154" s="38"/>
      <c r="K1154" s="38"/>
      <c r="L1154" s="38"/>
      <c r="M1154" s="47"/>
    </row>
    <row r="1155" spans="10:13" x14ac:dyDescent="0.35">
      <c r="J1155" s="38"/>
      <c r="K1155" s="38"/>
      <c r="L1155" s="38"/>
      <c r="M1155" s="47"/>
    </row>
    <row r="1156" spans="10:13" x14ac:dyDescent="0.35">
      <c r="J1156" s="38"/>
      <c r="K1156" s="38"/>
      <c r="L1156" s="38"/>
      <c r="M1156" s="47"/>
    </row>
    <row r="1157" spans="10:13" x14ac:dyDescent="0.35">
      <c r="J1157" s="38"/>
      <c r="K1157" s="38"/>
      <c r="L1157" s="38"/>
      <c r="M1157" s="47"/>
    </row>
    <row r="1158" spans="10:13" x14ac:dyDescent="0.35">
      <c r="J1158" s="38"/>
      <c r="K1158" s="38"/>
      <c r="L1158" s="38"/>
      <c r="M1158" s="47"/>
    </row>
    <row r="1159" spans="10:13" x14ac:dyDescent="0.35">
      <c r="J1159" s="38"/>
      <c r="K1159" s="38"/>
      <c r="L1159" s="38"/>
      <c r="M1159" s="47"/>
    </row>
    <row r="1160" spans="10:13" x14ac:dyDescent="0.35">
      <c r="J1160" s="38"/>
      <c r="K1160" s="38"/>
      <c r="L1160" s="38"/>
      <c r="M1160" s="47"/>
    </row>
    <row r="1161" spans="10:13" x14ac:dyDescent="0.35">
      <c r="J1161" s="38"/>
      <c r="K1161" s="38"/>
      <c r="L1161" s="38"/>
      <c r="M1161" s="47"/>
    </row>
    <row r="1162" spans="10:13" x14ac:dyDescent="0.35">
      <c r="J1162" s="38"/>
      <c r="K1162" s="38"/>
      <c r="L1162" s="38"/>
      <c r="M1162" s="47"/>
    </row>
    <row r="1163" spans="10:13" x14ac:dyDescent="0.35">
      <c r="J1163" s="38"/>
      <c r="K1163" s="38"/>
      <c r="L1163" s="38"/>
      <c r="M1163" s="47"/>
    </row>
    <row r="1164" spans="10:13" x14ac:dyDescent="0.35">
      <c r="J1164" s="38"/>
      <c r="K1164" s="38"/>
      <c r="L1164" s="38"/>
      <c r="M1164" s="47"/>
    </row>
    <row r="1165" spans="10:13" x14ac:dyDescent="0.35">
      <c r="J1165" s="38"/>
      <c r="K1165" s="38"/>
      <c r="L1165" s="38"/>
      <c r="M1165" s="47"/>
    </row>
    <row r="1166" spans="10:13" x14ac:dyDescent="0.35">
      <c r="J1166" s="38"/>
      <c r="K1166" s="38"/>
      <c r="L1166" s="38"/>
      <c r="M1166" s="47"/>
    </row>
    <row r="1167" spans="10:13" x14ac:dyDescent="0.35">
      <c r="J1167" s="38"/>
      <c r="K1167" s="38"/>
      <c r="L1167" s="38"/>
      <c r="M1167" s="47"/>
    </row>
    <row r="1168" spans="10:13" x14ac:dyDescent="0.35">
      <c r="J1168" s="38"/>
      <c r="K1168" s="38"/>
      <c r="L1168" s="38"/>
      <c r="M1168" s="47"/>
    </row>
    <row r="1169" spans="10:13" x14ac:dyDescent="0.35">
      <c r="J1169" s="38"/>
      <c r="K1169" s="38"/>
      <c r="L1169" s="38"/>
      <c r="M1169" s="47"/>
    </row>
    <row r="1170" spans="10:13" x14ac:dyDescent="0.35">
      <c r="J1170" s="38"/>
      <c r="K1170" s="38"/>
      <c r="L1170" s="38"/>
      <c r="M1170" s="47"/>
    </row>
    <row r="1171" spans="10:13" x14ac:dyDescent="0.35">
      <c r="J1171" s="38"/>
      <c r="K1171" s="38"/>
      <c r="L1171" s="38"/>
      <c r="M1171" s="47"/>
    </row>
    <row r="1172" spans="10:13" x14ac:dyDescent="0.35">
      <c r="J1172" s="38"/>
      <c r="K1172" s="38"/>
      <c r="L1172" s="38"/>
      <c r="M1172" s="47"/>
    </row>
    <row r="1173" spans="10:13" x14ac:dyDescent="0.35">
      <c r="J1173" s="38"/>
      <c r="K1173" s="38"/>
      <c r="L1173" s="38"/>
      <c r="M1173" s="47"/>
    </row>
    <row r="1174" spans="10:13" x14ac:dyDescent="0.35">
      <c r="J1174" s="38"/>
      <c r="K1174" s="38"/>
      <c r="L1174" s="38"/>
      <c r="M1174" s="47"/>
    </row>
    <row r="1175" spans="10:13" x14ac:dyDescent="0.35">
      <c r="J1175" s="38"/>
      <c r="K1175" s="38"/>
      <c r="L1175" s="38"/>
      <c r="M1175" s="47"/>
    </row>
    <row r="1176" spans="10:13" x14ac:dyDescent="0.35">
      <c r="J1176" s="38"/>
      <c r="K1176" s="38"/>
      <c r="L1176" s="38"/>
      <c r="M1176" s="47"/>
    </row>
    <row r="1177" spans="10:13" x14ac:dyDescent="0.35">
      <c r="J1177" s="38"/>
      <c r="K1177" s="38"/>
      <c r="L1177" s="38"/>
      <c r="M1177" s="47"/>
    </row>
    <row r="1178" spans="10:13" x14ac:dyDescent="0.35">
      <c r="J1178" s="38"/>
      <c r="K1178" s="38"/>
      <c r="L1178" s="38"/>
      <c r="M1178" s="47"/>
    </row>
    <row r="1179" spans="10:13" x14ac:dyDescent="0.35">
      <c r="J1179" s="38"/>
      <c r="K1179" s="38"/>
      <c r="L1179" s="38"/>
      <c r="M1179" s="47"/>
    </row>
    <row r="1180" spans="10:13" x14ac:dyDescent="0.35">
      <c r="J1180" s="38"/>
      <c r="K1180" s="38"/>
      <c r="L1180" s="38"/>
      <c r="M1180" s="47"/>
    </row>
    <row r="1181" spans="10:13" x14ac:dyDescent="0.35">
      <c r="J1181" s="38"/>
      <c r="K1181" s="38"/>
      <c r="L1181" s="38"/>
      <c r="M1181" s="47"/>
    </row>
    <row r="1182" spans="10:13" x14ac:dyDescent="0.35">
      <c r="J1182" s="38"/>
      <c r="K1182" s="38"/>
      <c r="L1182" s="38"/>
      <c r="M1182" s="47"/>
    </row>
    <row r="1183" spans="10:13" x14ac:dyDescent="0.35">
      <c r="J1183" s="38"/>
      <c r="K1183" s="38"/>
      <c r="L1183" s="38"/>
      <c r="M1183" s="47"/>
    </row>
    <row r="1184" spans="10:13" x14ac:dyDescent="0.35">
      <c r="J1184" s="38"/>
      <c r="K1184" s="38"/>
      <c r="L1184" s="38"/>
      <c r="M1184" s="47"/>
    </row>
    <row r="1185" spans="10:13" x14ac:dyDescent="0.35">
      <c r="J1185" s="38"/>
      <c r="K1185" s="38"/>
      <c r="L1185" s="38"/>
      <c r="M1185" s="47"/>
    </row>
    <row r="1186" spans="10:13" x14ac:dyDescent="0.35">
      <c r="J1186" s="38"/>
      <c r="K1186" s="38"/>
      <c r="L1186" s="38"/>
      <c r="M1186" s="47"/>
    </row>
    <row r="1187" spans="10:13" x14ac:dyDescent="0.35">
      <c r="J1187" s="38"/>
      <c r="K1187" s="38"/>
      <c r="L1187" s="38"/>
      <c r="M1187" s="47"/>
    </row>
    <row r="1188" spans="10:13" x14ac:dyDescent="0.35">
      <c r="J1188" s="38"/>
      <c r="K1188" s="38"/>
      <c r="L1188" s="38"/>
      <c r="M1188" s="47"/>
    </row>
    <row r="1189" spans="10:13" x14ac:dyDescent="0.35">
      <c r="J1189" s="38"/>
      <c r="K1189" s="38"/>
      <c r="L1189" s="38"/>
      <c r="M1189" s="47"/>
    </row>
    <row r="1190" spans="10:13" x14ac:dyDescent="0.35">
      <c r="J1190" s="38"/>
      <c r="K1190" s="38"/>
      <c r="L1190" s="38"/>
      <c r="M1190" s="47"/>
    </row>
    <row r="1191" spans="10:13" x14ac:dyDescent="0.35">
      <c r="J1191" s="38"/>
      <c r="K1191" s="38"/>
      <c r="L1191" s="38"/>
      <c r="M1191" s="47"/>
    </row>
    <row r="1192" spans="10:13" x14ac:dyDescent="0.35">
      <c r="J1192" s="38"/>
      <c r="K1192" s="38"/>
      <c r="L1192" s="38"/>
      <c r="M1192" s="47"/>
    </row>
    <row r="1193" spans="10:13" x14ac:dyDescent="0.35">
      <c r="J1193" s="38"/>
      <c r="K1193" s="38"/>
      <c r="L1193" s="38"/>
      <c r="M1193" s="47"/>
    </row>
    <row r="1194" spans="10:13" x14ac:dyDescent="0.35">
      <c r="J1194" s="38"/>
      <c r="K1194" s="38"/>
      <c r="L1194" s="38"/>
      <c r="M1194" s="47"/>
    </row>
    <row r="1195" spans="10:13" x14ac:dyDescent="0.35">
      <c r="J1195" s="38"/>
      <c r="K1195" s="38"/>
      <c r="L1195" s="38"/>
      <c r="M1195" s="47"/>
    </row>
    <row r="1196" spans="10:13" x14ac:dyDescent="0.35">
      <c r="J1196" s="38"/>
      <c r="K1196" s="38"/>
      <c r="L1196" s="38"/>
      <c r="M1196" s="47"/>
    </row>
    <row r="1197" spans="10:13" x14ac:dyDescent="0.35">
      <c r="J1197" s="38"/>
      <c r="K1197" s="38"/>
      <c r="L1197" s="38"/>
      <c r="M1197" s="47"/>
    </row>
    <row r="1198" spans="10:13" x14ac:dyDescent="0.35">
      <c r="J1198" s="38"/>
      <c r="K1198" s="38"/>
      <c r="L1198" s="38"/>
      <c r="M1198" s="47"/>
    </row>
    <row r="1199" spans="10:13" x14ac:dyDescent="0.35">
      <c r="J1199" s="38"/>
      <c r="K1199" s="38"/>
      <c r="L1199" s="38"/>
      <c r="M1199" s="47"/>
    </row>
    <row r="1200" spans="10:13" x14ac:dyDescent="0.35">
      <c r="J1200" s="38"/>
      <c r="K1200" s="38"/>
      <c r="L1200" s="38"/>
      <c r="M1200" s="47"/>
    </row>
    <row r="1201" spans="10:13" x14ac:dyDescent="0.35">
      <c r="J1201" s="38"/>
      <c r="K1201" s="38"/>
      <c r="L1201" s="38"/>
      <c r="M1201" s="47"/>
    </row>
    <row r="1202" spans="10:13" x14ac:dyDescent="0.35">
      <c r="J1202" s="38"/>
      <c r="K1202" s="38"/>
      <c r="L1202" s="38"/>
      <c r="M1202" s="47"/>
    </row>
    <row r="1203" spans="10:13" x14ac:dyDescent="0.35">
      <c r="J1203" s="38"/>
      <c r="K1203" s="38"/>
      <c r="L1203" s="38"/>
      <c r="M1203" s="47"/>
    </row>
    <row r="1204" spans="10:13" x14ac:dyDescent="0.35">
      <c r="J1204" s="38"/>
      <c r="K1204" s="38"/>
      <c r="L1204" s="38"/>
      <c r="M1204" s="47"/>
    </row>
    <row r="1205" spans="10:13" x14ac:dyDescent="0.35">
      <c r="J1205" s="38"/>
      <c r="K1205" s="38"/>
      <c r="L1205" s="38"/>
      <c r="M1205" s="47"/>
    </row>
    <row r="1206" spans="10:13" x14ac:dyDescent="0.35">
      <c r="J1206" s="38"/>
      <c r="K1206" s="38"/>
      <c r="L1206" s="38"/>
      <c r="M1206" s="47"/>
    </row>
    <row r="1207" spans="10:13" x14ac:dyDescent="0.35">
      <c r="J1207" s="38"/>
      <c r="K1207" s="38"/>
      <c r="L1207" s="38"/>
      <c r="M1207" s="47"/>
    </row>
    <row r="1208" spans="10:13" x14ac:dyDescent="0.35">
      <c r="J1208" s="38"/>
      <c r="K1208" s="38"/>
      <c r="L1208" s="38"/>
      <c r="M1208" s="47"/>
    </row>
    <row r="1209" spans="10:13" x14ac:dyDescent="0.35">
      <c r="J1209" s="38"/>
      <c r="K1209" s="38"/>
      <c r="L1209" s="38"/>
      <c r="M1209" s="47"/>
    </row>
    <row r="1210" spans="10:13" x14ac:dyDescent="0.35">
      <c r="J1210" s="38"/>
      <c r="K1210" s="38"/>
      <c r="L1210" s="38"/>
      <c r="M1210" s="47"/>
    </row>
    <row r="1211" spans="10:13" x14ac:dyDescent="0.35">
      <c r="J1211" s="38"/>
      <c r="K1211" s="38"/>
      <c r="L1211" s="38"/>
      <c r="M1211" s="47"/>
    </row>
    <row r="1212" spans="10:13" x14ac:dyDescent="0.35">
      <c r="J1212" s="38"/>
      <c r="K1212" s="38"/>
      <c r="L1212" s="38"/>
      <c r="M1212" s="47"/>
    </row>
    <row r="1213" spans="10:13" x14ac:dyDescent="0.35">
      <c r="J1213" s="38"/>
      <c r="K1213" s="38"/>
      <c r="L1213" s="38"/>
      <c r="M1213" s="47"/>
    </row>
    <row r="1214" spans="10:13" x14ac:dyDescent="0.35">
      <c r="J1214" s="38"/>
      <c r="K1214" s="38"/>
      <c r="L1214" s="38"/>
      <c r="M1214" s="47"/>
    </row>
    <row r="1215" spans="10:13" x14ac:dyDescent="0.35">
      <c r="J1215" s="38"/>
      <c r="K1215" s="38"/>
      <c r="L1215" s="38"/>
      <c r="M1215" s="47"/>
    </row>
    <row r="1216" spans="10:13" x14ac:dyDescent="0.35">
      <c r="J1216" s="38"/>
      <c r="K1216" s="38"/>
      <c r="L1216" s="38"/>
      <c r="M1216" s="47"/>
    </row>
    <row r="1217" spans="10:13" x14ac:dyDescent="0.35">
      <c r="J1217" s="38"/>
      <c r="K1217" s="38"/>
      <c r="L1217" s="38"/>
      <c r="M1217" s="47"/>
    </row>
    <row r="1218" spans="10:13" x14ac:dyDescent="0.35">
      <c r="J1218" s="38"/>
      <c r="K1218" s="38"/>
      <c r="L1218" s="38"/>
      <c r="M1218" s="47"/>
    </row>
    <row r="1219" spans="10:13" x14ac:dyDescent="0.35">
      <c r="J1219" s="38"/>
      <c r="K1219" s="38"/>
      <c r="L1219" s="38"/>
      <c r="M1219" s="47"/>
    </row>
    <row r="1220" spans="10:13" x14ac:dyDescent="0.35">
      <c r="J1220" s="38"/>
      <c r="K1220" s="38"/>
      <c r="L1220" s="38"/>
      <c r="M1220" s="47"/>
    </row>
    <row r="1221" spans="10:13" x14ac:dyDescent="0.35">
      <c r="J1221" s="38"/>
      <c r="K1221" s="38"/>
      <c r="L1221" s="38"/>
      <c r="M1221" s="47"/>
    </row>
    <row r="1222" spans="10:13" x14ac:dyDescent="0.35">
      <c r="J1222" s="38"/>
      <c r="K1222" s="38"/>
      <c r="L1222" s="38"/>
      <c r="M1222" s="47"/>
    </row>
    <row r="1223" spans="10:13" x14ac:dyDescent="0.35">
      <c r="J1223" s="38"/>
      <c r="K1223" s="38"/>
      <c r="L1223" s="38"/>
      <c r="M1223" s="47"/>
    </row>
    <row r="1224" spans="10:13" x14ac:dyDescent="0.35">
      <c r="J1224" s="38"/>
      <c r="K1224" s="38"/>
      <c r="L1224" s="38"/>
      <c r="M1224" s="47"/>
    </row>
    <row r="1225" spans="10:13" x14ac:dyDescent="0.35">
      <c r="J1225" s="38"/>
      <c r="K1225" s="38"/>
      <c r="L1225" s="38"/>
      <c r="M1225" s="47"/>
    </row>
    <row r="1226" spans="10:13" x14ac:dyDescent="0.35">
      <c r="J1226" s="38"/>
      <c r="K1226" s="38"/>
      <c r="L1226" s="38"/>
      <c r="M1226" s="47"/>
    </row>
    <row r="1227" spans="10:13" x14ac:dyDescent="0.35">
      <c r="J1227" s="38"/>
      <c r="K1227" s="38"/>
      <c r="L1227" s="38"/>
      <c r="M1227" s="47"/>
    </row>
    <row r="1228" spans="10:13" x14ac:dyDescent="0.35">
      <c r="J1228" s="38"/>
      <c r="K1228" s="38"/>
      <c r="L1228" s="38"/>
      <c r="M1228" s="47"/>
    </row>
    <row r="1229" spans="10:13" x14ac:dyDescent="0.35">
      <c r="J1229" s="38"/>
      <c r="K1229" s="38"/>
      <c r="L1229" s="38"/>
      <c r="M1229" s="47"/>
    </row>
    <row r="1230" spans="10:13" x14ac:dyDescent="0.35">
      <c r="J1230" s="38"/>
      <c r="K1230" s="38"/>
      <c r="L1230" s="38"/>
      <c r="M1230" s="47"/>
    </row>
    <row r="1231" spans="10:13" x14ac:dyDescent="0.35">
      <c r="J1231" s="38"/>
      <c r="K1231" s="38"/>
      <c r="L1231" s="38"/>
      <c r="M1231" s="47"/>
    </row>
    <row r="1232" spans="10:13" x14ac:dyDescent="0.35">
      <c r="J1232" s="38"/>
      <c r="K1232" s="38"/>
      <c r="L1232" s="38"/>
      <c r="M1232" s="47"/>
    </row>
    <row r="1233" spans="10:13" x14ac:dyDescent="0.35">
      <c r="J1233" s="38"/>
      <c r="K1233" s="38"/>
      <c r="L1233" s="38"/>
      <c r="M1233" s="47"/>
    </row>
    <row r="1234" spans="10:13" x14ac:dyDescent="0.35">
      <c r="J1234" s="38"/>
      <c r="K1234" s="38"/>
      <c r="L1234" s="38"/>
      <c r="M1234" s="47"/>
    </row>
    <row r="1235" spans="10:13" x14ac:dyDescent="0.35">
      <c r="J1235" s="38"/>
      <c r="K1235" s="38"/>
      <c r="L1235" s="38"/>
      <c r="M1235" s="47"/>
    </row>
    <row r="1236" spans="10:13" x14ac:dyDescent="0.35">
      <c r="J1236" s="38"/>
      <c r="K1236" s="38"/>
      <c r="L1236" s="38"/>
      <c r="M1236" s="47"/>
    </row>
    <row r="1237" spans="10:13" x14ac:dyDescent="0.35">
      <c r="J1237" s="38"/>
      <c r="K1237" s="38"/>
      <c r="L1237" s="38"/>
      <c r="M1237" s="47"/>
    </row>
    <row r="1238" spans="10:13" x14ac:dyDescent="0.35">
      <c r="J1238" s="38"/>
      <c r="K1238" s="38"/>
      <c r="L1238" s="38"/>
      <c r="M1238" s="47"/>
    </row>
    <row r="1239" spans="10:13" x14ac:dyDescent="0.35">
      <c r="J1239" s="38"/>
      <c r="K1239" s="38"/>
      <c r="L1239" s="38"/>
      <c r="M1239" s="47"/>
    </row>
    <row r="1240" spans="10:13" x14ac:dyDescent="0.35">
      <c r="J1240" s="38"/>
      <c r="K1240" s="38"/>
      <c r="L1240" s="38"/>
      <c r="M1240" s="47"/>
    </row>
    <row r="1241" spans="10:13" x14ac:dyDescent="0.35">
      <c r="J1241" s="38"/>
      <c r="K1241" s="38"/>
      <c r="L1241" s="38"/>
      <c r="M1241" s="47"/>
    </row>
    <row r="1242" spans="10:13" x14ac:dyDescent="0.35">
      <c r="J1242" s="38"/>
      <c r="K1242" s="38"/>
      <c r="L1242" s="38"/>
      <c r="M1242" s="47"/>
    </row>
    <row r="1243" spans="10:13" x14ac:dyDescent="0.35">
      <c r="J1243" s="38"/>
      <c r="K1243" s="38"/>
      <c r="L1243" s="38"/>
      <c r="M1243" s="47"/>
    </row>
    <row r="1244" spans="10:13" x14ac:dyDescent="0.35">
      <c r="J1244" s="38"/>
      <c r="K1244" s="38"/>
      <c r="L1244" s="38"/>
      <c r="M1244" s="47"/>
    </row>
    <row r="1245" spans="10:13" x14ac:dyDescent="0.35">
      <c r="J1245" s="38"/>
      <c r="K1245" s="38"/>
      <c r="L1245" s="38"/>
      <c r="M1245" s="47"/>
    </row>
    <row r="1246" spans="10:13" x14ac:dyDescent="0.35">
      <c r="J1246" s="38"/>
      <c r="K1246" s="38"/>
      <c r="L1246" s="38"/>
      <c r="M1246" s="47"/>
    </row>
    <row r="1247" spans="10:13" x14ac:dyDescent="0.35">
      <c r="J1247" s="38"/>
      <c r="K1247" s="38"/>
      <c r="L1247" s="38"/>
      <c r="M1247" s="47"/>
    </row>
    <row r="1248" spans="10:13" x14ac:dyDescent="0.35">
      <c r="J1248" s="38"/>
      <c r="K1248" s="38"/>
      <c r="L1248" s="38"/>
      <c r="M1248" s="47"/>
    </row>
    <row r="1249" spans="10:13" x14ac:dyDescent="0.35">
      <c r="J1249" s="38"/>
      <c r="K1249" s="38"/>
      <c r="L1249" s="38"/>
      <c r="M1249" s="47"/>
    </row>
    <row r="1250" spans="10:13" x14ac:dyDescent="0.35">
      <c r="J1250" s="38"/>
      <c r="K1250" s="38"/>
      <c r="L1250" s="38"/>
      <c r="M1250" s="47"/>
    </row>
    <row r="1251" spans="10:13" x14ac:dyDescent="0.35">
      <c r="J1251" s="38"/>
      <c r="K1251" s="38"/>
      <c r="L1251" s="38"/>
      <c r="M1251" s="47"/>
    </row>
    <row r="1252" spans="10:13" x14ac:dyDescent="0.35">
      <c r="J1252" s="38"/>
      <c r="K1252" s="38"/>
      <c r="L1252" s="38"/>
      <c r="M1252" s="47"/>
    </row>
    <row r="1253" spans="10:13" x14ac:dyDescent="0.35">
      <c r="J1253" s="38"/>
      <c r="K1253" s="38"/>
      <c r="L1253" s="38"/>
      <c r="M1253" s="47"/>
    </row>
    <row r="1254" spans="10:13" x14ac:dyDescent="0.35">
      <c r="J1254" s="38"/>
      <c r="K1254" s="38"/>
      <c r="L1254" s="38"/>
      <c r="M1254" s="47"/>
    </row>
    <row r="1255" spans="10:13" x14ac:dyDescent="0.35">
      <c r="J1255" s="38"/>
      <c r="K1255" s="38"/>
      <c r="L1255" s="38"/>
      <c r="M1255" s="47"/>
    </row>
    <row r="1256" spans="10:13" x14ac:dyDescent="0.35">
      <c r="J1256" s="38"/>
      <c r="K1256" s="38"/>
      <c r="L1256" s="38"/>
      <c r="M1256" s="47"/>
    </row>
    <row r="1257" spans="10:13" x14ac:dyDescent="0.35">
      <c r="J1257" s="38"/>
      <c r="K1257" s="38"/>
      <c r="L1257" s="38"/>
      <c r="M1257" s="47"/>
    </row>
    <row r="1258" spans="10:13" x14ac:dyDescent="0.35">
      <c r="J1258" s="38"/>
      <c r="K1258" s="38"/>
      <c r="L1258" s="38"/>
      <c r="M1258" s="47"/>
    </row>
    <row r="1259" spans="10:13" x14ac:dyDescent="0.35">
      <c r="J1259" s="38"/>
      <c r="K1259" s="38"/>
      <c r="L1259" s="38"/>
      <c r="M1259" s="47"/>
    </row>
    <row r="1260" spans="10:13" x14ac:dyDescent="0.35">
      <c r="J1260" s="38"/>
      <c r="K1260" s="38"/>
      <c r="L1260" s="38"/>
      <c r="M1260" s="47"/>
    </row>
    <row r="1261" spans="10:13" x14ac:dyDescent="0.35">
      <c r="J1261" s="38"/>
      <c r="K1261" s="38"/>
      <c r="L1261" s="38"/>
      <c r="M1261" s="47"/>
    </row>
    <row r="1262" spans="10:13" x14ac:dyDescent="0.35">
      <c r="J1262" s="38"/>
      <c r="K1262" s="38"/>
      <c r="L1262" s="38"/>
      <c r="M1262" s="47"/>
    </row>
    <row r="1263" spans="10:13" x14ac:dyDescent="0.35">
      <c r="J1263" s="38"/>
      <c r="K1263" s="38"/>
      <c r="L1263" s="38"/>
      <c r="M1263" s="47"/>
    </row>
    <row r="1264" spans="10:13" x14ac:dyDescent="0.35">
      <c r="J1264" s="38"/>
      <c r="K1264" s="38"/>
      <c r="L1264" s="38"/>
      <c r="M1264" s="47"/>
    </row>
    <row r="1265" spans="10:13" x14ac:dyDescent="0.35">
      <c r="J1265" s="38"/>
      <c r="K1265" s="38"/>
      <c r="L1265" s="38"/>
      <c r="M1265" s="47"/>
    </row>
    <row r="1266" spans="10:13" x14ac:dyDescent="0.35">
      <c r="J1266" s="38"/>
      <c r="K1266" s="38"/>
      <c r="L1266" s="38"/>
      <c r="M1266" s="47"/>
    </row>
    <row r="1267" spans="10:13" x14ac:dyDescent="0.35">
      <c r="J1267" s="38"/>
      <c r="K1267" s="38"/>
      <c r="L1267" s="38"/>
      <c r="M1267" s="47"/>
    </row>
    <row r="1268" spans="10:13" x14ac:dyDescent="0.35">
      <c r="J1268" s="38"/>
      <c r="K1268" s="38"/>
      <c r="L1268" s="38"/>
      <c r="M1268" s="47"/>
    </row>
    <row r="1269" spans="10:13" x14ac:dyDescent="0.35">
      <c r="J1269" s="38"/>
      <c r="K1269" s="38"/>
      <c r="L1269" s="38"/>
      <c r="M1269" s="47"/>
    </row>
    <row r="1270" spans="10:13" x14ac:dyDescent="0.35">
      <c r="J1270" s="38"/>
      <c r="K1270" s="38"/>
      <c r="L1270" s="38"/>
      <c r="M1270" s="47"/>
    </row>
    <row r="1271" spans="10:13" x14ac:dyDescent="0.35">
      <c r="J1271" s="38"/>
      <c r="K1271" s="38"/>
      <c r="L1271" s="38"/>
      <c r="M1271" s="47"/>
    </row>
    <row r="1272" spans="10:13" x14ac:dyDescent="0.35">
      <c r="J1272" s="38"/>
      <c r="K1272" s="38"/>
      <c r="L1272" s="38"/>
      <c r="M1272" s="47"/>
    </row>
    <row r="1273" spans="10:13" x14ac:dyDescent="0.35">
      <c r="J1273" s="38"/>
      <c r="K1273" s="38"/>
      <c r="L1273" s="38"/>
      <c r="M1273" s="47"/>
    </row>
    <row r="1274" spans="10:13" x14ac:dyDescent="0.35">
      <c r="J1274" s="38"/>
      <c r="K1274" s="38"/>
      <c r="L1274" s="38"/>
      <c r="M1274" s="47"/>
    </row>
    <row r="1275" spans="10:13" x14ac:dyDescent="0.35">
      <c r="J1275" s="38"/>
      <c r="K1275" s="38"/>
      <c r="L1275" s="38"/>
      <c r="M1275" s="47"/>
    </row>
    <row r="1276" spans="10:13" x14ac:dyDescent="0.35">
      <c r="J1276" s="38"/>
      <c r="K1276" s="38"/>
      <c r="L1276" s="38"/>
      <c r="M1276" s="47"/>
    </row>
    <row r="1277" spans="10:13" x14ac:dyDescent="0.35">
      <c r="J1277" s="38"/>
      <c r="K1277" s="38"/>
      <c r="L1277" s="38"/>
      <c r="M1277" s="47"/>
    </row>
    <row r="1278" spans="10:13" x14ac:dyDescent="0.35">
      <c r="J1278" s="38"/>
      <c r="K1278" s="38"/>
      <c r="L1278" s="38"/>
      <c r="M1278" s="47"/>
    </row>
    <row r="1279" spans="10:13" x14ac:dyDescent="0.35">
      <c r="J1279" s="38"/>
      <c r="K1279" s="38"/>
      <c r="L1279" s="38"/>
      <c r="M1279" s="47"/>
    </row>
    <row r="1280" spans="10:13" x14ac:dyDescent="0.35">
      <c r="J1280" s="38"/>
      <c r="K1280" s="38"/>
      <c r="L1280" s="38"/>
      <c r="M1280" s="47"/>
    </row>
    <row r="1281" spans="10:13" x14ac:dyDescent="0.35">
      <c r="J1281" s="38"/>
      <c r="K1281" s="38"/>
      <c r="L1281" s="38"/>
      <c r="M1281" s="47"/>
    </row>
    <row r="1282" spans="10:13" x14ac:dyDescent="0.35">
      <c r="J1282" s="38"/>
      <c r="K1282" s="38"/>
      <c r="L1282" s="38"/>
      <c r="M1282" s="47"/>
    </row>
    <row r="1283" spans="10:13" x14ac:dyDescent="0.35">
      <c r="J1283" s="38"/>
      <c r="K1283" s="38"/>
      <c r="L1283" s="38"/>
      <c r="M1283" s="47"/>
    </row>
    <row r="1284" spans="10:13" x14ac:dyDescent="0.35">
      <c r="J1284" s="38"/>
      <c r="K1284" s="38"/>
      <c r="L1284" s="38"/>
      <c r="M1284" s="47"/>
    </row>
    <row r="1285" spans="10:13" x14ac:dyDescent="0.35">
      <c r="J1285" s="38"/>
      <c r="K1285" s="38"/>
      <c r="L1285" s="38"/>
      <c r="M1285" s="47"/>
    </row>
    <row r="1286" spans="10:13" x14ac:dyDescent="0.35">
      <c r="J1286" s="38"/>
      <c r="K1286" s="38"/>
      <c r="L1286" s="38"/>
      <c r="M1286" s="47"/>
    </row>
    <row r="1287" spans="10:13" x14ac:dyDescent="0.35">
      <c r="J1287" s="38"/>
      <c r="K1287" s="38"/>
      <c r="L1287" s="38"/>
      <c r="M1287" s="47"/>
    </row>
    <row r="1288" spans="10:13" x14ac:dyDescent="0.35">
      <c r="J1288" s="38"/>
      <c r="K1288" s="38"/>
      <c r="L1288" s="38"/>
      <c r="M1288" s="47"/>
    </row>
    <row r="1289" spans="10:13" x14ac:dyDescent="0.35">
      <c r="J1289" s="38"/>
      <c r="K1289" s="38"/>
      <c r="L1289" s="38"/>
      <c r="M1289" s="47"/>
    </row>
    <row r="1290" spans="10:13" x14ac:dyDescent="0.35">
      <c r="J1290" s="38"/>
      <c r="K1290" s="38"/>
      <c r="L1290" s="38"/>
      <c r="M1290" s="47"/>
    </row>
    <row r="1291" spans="10:13" x14ac:dyDescent="0.35">
      <c r="J1291" s="38"/>
      <c r="K1291" s="38"/>
      <c r="L1291" s="38"/>
      <c r="M1291" s="47"/>
    </row>
    <row r="1292" spans="10:13" x14ac:dyDescent="0.35">
      <c r="J1292" s="38"/>
      <c r="K1292" s="38"/>
      <c r="L1292" s="38"/>
      <c r="M1292" s="47"/>
    </row>
    <row r="1293" spans="10:13" x14ac:dyDescent="0.35">
      <c r="J1293" s="38"/>
      <c r="K1293" s="38"/>
      <c r="L1293" s="38"/>
      <c r="M1293" s="47"/>
    </row>
    <row r="1294" spans="10:13" x14ac:dyDescent="0.35">
      <c r="J1294" s="38"/>
      <c r="K1294" s="38"/>
      <c r="L1294" s="38"/>
      <c r="M1294" s="47"/>
    </row>
    <row r="1295" spans="10:13" x14ac:dyDescent="0.35">
      <c r="J1295" s="38"/>
      <c r="K1295" s="38"/>
      <c r="L1295" s="38"/>
      <c r="M1295" s="47"/>
    </row>
    <row r="1296" spans="10:13" x14ac:dyDescent="0.35">
      <c r="J1296" s="38"/>
      <c r="K1296" s="38"/>
      <c r="L1296" s="38"/>
      <c r="M1296" s="47"/>
    </row>
    <row r="1297" spans="10:13" x14ac:dyDescent="0.35">
      <c r="J1297" s="38"/>
      <c r="K1297" s="38"/>
      <c r="L1297" s="38"/>
      <c r="M1297" s="47"/>
    </row>
    <row r="1298" spans="10:13" x14ac:dyDescent="0.35">
      <c r="J1298" s="38"/>
      <c r="K1298" s="38"/>
      <c r="L1298" s="38"/>
      <c r="M1298" s="47"/>
    </row>
    <row r="1299" spans="10:13" x14ac:dyDescent="0.35">
      <c r="J1299" s="38"/>
      <c r="K1299" s="38"/>
      <c r="L1299" s="38"/>
      <c r="M1299" s="47"/>
    </row>
    <row r="1300" spans="10:13" x14ac:dyDescent="0.35">
      <c r="J1300" s="38"/>
      <c r="K1300" s="38"/>
      <c r="L1300" s="38"/>
      <c r="M1300" s="47"/>
    </row>
    <row r="1301" spans="10:13" x14ac:dyDescent="0.35">
      <c r="J1301" s="38"/>
      <c r="K1301" s="38"/>
      <c r="L1301" s="38"/>
      <c r="M1301" s="47"/>
    </row>
    <row r="1302" spans="10:13" x14ac:dyDescent="0.35">
      <c r="J1302" s="38"/>
      <c r="K1302" s="38"/>
      <c r="L1302" s="38"/>
      <c r="M1302" s="47"/>
    </row>
    <row r="1303" spans="10:13" x14ac:dyDescent="0.35">
      <c r="J1303" s="38"/>
      <c r="K1303" s="38"/>
      <c r="L1303" s="38"/>
      <c r="M1303" s="47"/>
    </row>
    <row r="1304" spans="10:13" x14ac:dyDescent="0.35">
      <c r="J1304" s="38"/>
      <c r="K1304" s="38"/>
      <c r="L1304" s="38"/>
      <c r="M1304" s="47"/>
    </row>
    <row r="1305" spans="10:13" x14ac:dyDescent="0.35">
      <c r="J1305" s="38"/>
      <c r="K1305" s="38"/>
      <c r="L1305" s="38"/>
      <c r="M1305" s="47"/>
    </row>
    <row r="1306" spans="10:13" x14ac:dyDescent="0.35">
      <c r="J1306" s="38"/>
      <c r="K1306" s="38"/>
      <c r="L1306" s="38"/>
      <c r="M1306" s="47"/>
    </row>
    <row r="1307" spans="10:13" x14ac:dyDescent="0.35">
      <c r="J1307" s="38"/>
      <c r="K1307" s="38"/>
      <c r="L1307" s="38"/>
      <c r="M1307" s="47"/>
    </row>
    <row r="1308" spans="10:13" x14ac:dyDescent="0.35">
      <c r="J1308" s="38"/>
      <c r="K1308" s="38"/>
      <c r="L1308" s="38"/>
      <c r="M1308" s="47"/>
    </row>
    <row r="1309" spans="10:13" x14ac:dyDescent="0.35">
      <c r="J1309" s="38"/>
      <c r="K1309" s="38"/>
      <c r="L1309" s="38"/>
      <c r="M1309" s="47"/>
    </row>
    <row r="1310" spans="10:13" x14ac:dyDescent="0.35">
      <c r="J1310" s="38"/>
      <c r="K1310" s="38"/>
      <c r="L1310" s="38"/>
      <c r="M1310" s="47"/>
    </row>
    <row r="1311" spans="10:13" x14ac:dyDescent="0.35">
      <c r="J1311" s="38"/>
      <c r="K1311" s="38"/>
      <c r="L1311" s="38"/>
      <c r="M1311" s="47"/>
    </row>
    <row r="1312" spans="10:13" x14ac:dyDescent="0.35">
      <c r="J1312" s="38"/>
      <c r="K1312" s="38"/>
      <c r="L1312" s="38"/>
      <c r="M1312" s="47"/>
    </row>
    <row r="1313" spans="10:13" x14ac:dyDescent="0.35">
      <c r="J1313" s="38"/>
      <c r="K1313" s="38"/>
      <c r="L1313" s="38"/>
      <c r="M1313" s="47"/>
    </row>
    <row r="1314" spans="10:13" x14ac:dyDescent="0.35">
      <c r="J1314" s="38"/>
      <c r="K1314" s="38"/>
      <c r="L1314" s="38"/>
      <c r="M1314" s="47"/>
    </row>
    <row r="1315" spans="10:13" x14ac:dyDescent="0.35">
      <c r="J1315" s="38"/>
      <c r="K1315" s="38"/>
      <c r="L1315" s="38"/>
      <c r="M1315" s="47"/>
    </row>
    <row r="1316" spans="10:13" x14ac:dyDescent="0.35">
      <c r="J1316" s="38"/>
      <c r="K1316" s="38"/>
      <c r="L1316" s="38"/>
      <c r="M1316" s="47"/>
    </row>
    <row r="1317" spans="10:13" x14ac:dyDescent="0.35">
      <c r="J1317" s="38"/>
      <c r="K1317" s="38"/>
      <c r="L1317" s="38"/>
      <c r="M1317" s="47"/>
    </row>
    <row r="1318" spans="10:13" x14ac:dyDescent="0.35">
      <c r="J1318" s="38"/>
      <c r="K1318" s="38"/>
      <c r="L1318" s="38"/>
      <c r="M1318" s="47"/>
    </row>
    <row r="1319" spans="10:13" x14ac:dyDescent="0.35">
      <c r="J1319" s="38"/>
      <c r="K1319" s="38"/>
      <c r="L1319" s="38"/>
      <c r="M1319" s="47"/>
    </row>
    <row r="1320" spans="10:13" x14ac:dyDescent="0.35">
      <c r="J1320" s="38"/>
      <c r="K1320" s="38"/>
      <c r="L1320" s="38"/>
      <c r="M1320" s="47"/>
    </row>
    <row r="1321" spans="10:13" x14ac:dyDescent="0.35">
      <c r="J1321" s="38"/>
      <c r="K1321" s="38"/>
      <c r="L1321" s="38"/>
      <c r="M1321" s="47"/>
    </row>
    <row r="1322" spans="10:13" x14ac:dyDescent="0.35">
      <c r="J1322" s="38"/>
      <c r="K1322" s="38"/>
      <c r="L1322" s="38"/>
      <c r="M1322" s="47"/>
    </row>
    <row r="1323" spans="10:13" x14ac:dyDescent="0.35">
      <c r="J1323" s="38"/>
      <c r="K1323" s="38"/>
      <c r="L1323" s="38"/>
      <c r="M1323" s="47"/>
    </row>
    <row r="1324" spans="10:13" x14ac:dyDescent="0.35">
      <c r="J1324" s="38"/>
      <c r="K1324" s="38"/>
      <c r="L1324" s="38"/>
      <c r="M1324" s="47"/>
    </row>
    <row r="1325" spans="10:13" x14ac:dyDescent="0.35">
      <c r="J1325" s="38"/>
      <c r="K1325" s="38"/>
      <c r="L1325" s="38"/>
      <c r="M1325" s="47"/>
    </row>
    <row r="1326" spans="10:13" x14ac:dyDescent="0.35">
      <c r="J1326" s="38"/>
      <c r="K1326" s="38"/>
      <c r="L1326" s="38"/>
      <c r="M1326" s="47"/>
    </row>
    <row r="1327" spans="10:13" x14ac:dyDescent="0.35">
      <c r="J1327" s="38"/>
      <c r="K1327" s="38"/>
      <c r="L1327" s="38"/>
      <c r="M1327" s="47"/>
    </row>
    <row r="1328" spans="10:13" x14ac:dyDescent="0.35">
      <c r="J1328" s="38"/>
      <c r="K1328" s="38"/>
      <c r="L1328" s="38"/>
      <c r="M1328" s="47"/>
    </row>
    <row r="1329" spans="10:13" x14ac:dyDescent="0.35">
      <c r="J1329" s="38"/>
      <c r="K1329" s="38"/>
      <c r="L1329" s="38"/>
      <c r="M1329" s="47"/>
    </row>
    <row r="1330" spans="10:13" x14ac:dyDescent="0.35">
      <c r="J1330" s="38"/>
      <c r="K1330" s="38"/>
      <c r="L1330" s="38"/>
      <c r="M1330" s="47"/>
    </row>
    <row r="1331" spans="10:13" x14ac:dyDescent="0.35">
      <c r="J1331" s="38"/>
      <c r="K1331" s="38"/>
      <c r="L1331" s="38"/>
      <c r="M1331" s="47"/>
    </row>
    <row r="1332" spans="10:13" x14ac:dyDescent="0.35">
      <c r="J1332" s="38"/>
      <c r="K1332" s="38"/>
      <c r="L1332" s="38"/>
      <c r="M1332" s="47"/>
    </row>
    <row r="1333" spans="10:13" x14ac:dyDescent="0.35">
      <c r="J1333" s="38"/>
      <c r="K1333" s="38"/>
      <c r="L1333" s="38"/>
      <c r="M1333" s="47"/>
    </row>
    <row r="1334" spans="10:13" x14ac:dyDescent="0.35">
      <c r="J1334" s="38"/>
      <c r="K1334" s="38"/>
      <c r="L1334" s="38"/>
      <c r="M1334" s="47"/>
    </row>
    <row r="1335" spans="10:13" x14ac:dyDescent="0.35">
      <c r="J1335" s="38"/>
      <c r="K1335" s="38"/>
      <c r="L1335" s="38"/>
      <c r="M1335" s="47"/>
    </row>
    <row r="1336" spans="10:13" x14ac:dyDescent="0.35">
      <c r="J1336" s="38"/>
      <c r="K1336" s="38"/>
      <c r="L1336" s="38"/>
      <c r="M1336" s="47"/>
    </row>
    <row r="1337" spans="10:13" x14ac:dyDescent="0.35">
      <c r="J1337" s="38"/>
      <c r="K1337" s="38"/>
      <c r="L1337" s="38"/>
      <c r="M1337" s="47"/>
    </row>
    <row r="1338" spans="10:13" x14ac:dyDescent="0.35">
      <c r="J1338" s="38"/>
      <c r="K1338" s="38"/>
      <c r="L1338" s="38"/>
      <c r="M1338" s="47"/>
    </row>
    <row r="1339" spans="10:13" x14ac:dyDescent="0.35">
      <c r="J1339" s="38"/>
      <c r="K1339" s="38"/>
      <c r="L1339" s="38"/>
      <c r="M1339" s="47"/>
    </row>
    <row r="1340" spans="10:13" x14ac:dyDescent="0.35">
      <c r="J1340" s="38"/>
      <c r="K1340" s="38"/>
      <c r="L1340" s="38"/>
      <c r="M1340" s="47"/>
    </row>
    <row r="1341" spans="10:13" x14ac:dyDescent="0.35">
      <c r="J1341" s="38"/>
      <c r="K1341" s="38"/>
      <c r="L1341" s="38"/>
      <c r="M1341" s="47"/>
    </row>
    <row r="1342" spans="10:13" x14ac:dyDescent="0.35">
      <c r="J1342" s="38"/>
      <c r="K1342" s="38"/>
      <c r="L1342" s="38"/>
      <c r="M1342" s="47"/>
    </row>
    <row r="1343" spans="10:13" x14ac:dyDescent="0.35">
      <c r="J1343" s="38"/>
      <c r="K1343" s="38"/>
      <c r="L1343" s="38"/>
      <c r="M1343" s="47"/>
    </row>
    <row r="1344" spans="10:13" x14ac:dyDescent="0.35">
      <c r="J1344" s="38"/>
      <c r="K1344" s="38"/>
      <c r="L1344" s="38"/>
      <c r="M1344" s="47"/>
    </row>
    <row r="1345" spans="10:13" x14ac:dyDescent="0.35">
      <c r="J1345" s="38"/>
      <c r="K1345" s="38"/>
      <c r="L1345" s="38"/>
      <c r="M1345" s="47"/>
    </row>
    <row r="1346" spans="10:13" x14ac:dyDescent="0.35">
      <c r="J1346" s="38"/>
      <c r="K1346" s="38"/>
      <c r="L1346" s="38"/>
      <c r="M1346" s="47"/>
    </row>
    <row r="1347" spans="10:13" x14ac:dyDescent="0.35">
      <c r="J1347" s="38"/>
      <c r="K1347" s="38"/>
      <c r="L1347" s="38"/>
      <c r="M1347" s="47"/>
    </row>
    <row r="1348" spans="10:13" x14ac:dyDescent="0.35">
      <c r="J1348" s="38"/>
      <c r="K1348" s="38"/>
      <c r="L1348" s="38"/>
      <c r="M1348" s="47"/>
    </row>
    <row r="1349" spans="10:13" x14ac:dyDescent="0.35">
      <c r="J1349" s="38"/>
      <c r="K1349" s="38"/>
      <c r="L1349" s="38"/>
      <c r="M1349" s="47"/>
    </row>
    <row r="1350" spans="10:13" x14ac:dyDescent="0.35">
      <c r="J1350" s="38"/>
      <c r="K1350" s="38"/>
      <c r="L1350" s="38"/>
      <c r="M1350" s="47"/>
    </row>
    <row r="1351" spans="10:13" x14ac:dyDescent="0.35">
      <c r="J1351" s="38"/>
      <c r="K1351" s="38"/>
      <c r="L1351" s="38"/>
      <c r="M1351" s="47"/>
    </row>
    <row r="1352" spans="10:13" x14ac:dyDescent="0.35">
      <c r="J1352" s="38"/>
      <c r="K1352" s="38"/>
      <c r="L1352" s="38"/>
      <c r="M1352" s="47"/>
    </row>
    <row r="1353" spans="10:13" x14ac:dyDescent="0.35">
      <c r="J1353" s="38"/>
      <c r="K1353" s="38"/>
      <c r="L1353" s="38"/>
      <c r="M1353" s="47"/>
    </row>
    <row r="1354" spans="10:13" x14ac:dyDescent="0.35">
      <c r="J1354" s="38"/>
      <c r="K1354" s="38"/>
      <c r="L1354" s="38"/>
      <c r="M1354" s="47"/>
    </row>
    <row r="1355" spans="10:13" x14ac:dyDescent="0.35">
      <c r="J1355" s="38"/>
      <c r="K1355" s="38"/>
      <c r="L1355" s="38"/>
      <c r="M1355" s="47"/>
    </row>
    <row r="1356" spans="10:13" x14ac:dyDescent="0.35">
      <c r="J1356" s="38"/>
      <c r="K1356" s="38"/>
      <c r="L1356" s="38"/>
      <c r="M1356" s="47"/>
    </row>
    <row r="1357" spans="10:13" x14ac:dyDescent="0.35">
      <c r="J1357" s="38"/>
      <c r="K1357" s="38"/>
      <c r="L1357" s="38"/>
      <c r="M1357" s="47"/>
    </row>
    <row r="1358" spans="10:13" x14ac:dyDescent="0.35">
      <c r="J1358" s="38"/>
      <c r="K1358" s="38"/>
      <c r="L1358" s="38"/>
      <c r="M1358" s="47"/>
    </row>
    <row r="1359" spans="10:13" x14ac:dyDescent="0.35">
      <c r="J1359" s="38"/>
      <c r="K1359" s="38"/>
      <c r="L1359" s="38"/>
      <c r="M1359" s="47"/>
    </row>
    <row r="1360" spans="10:13" x14ac:dyDescent="0.35">
      <c r="J1360" s="38"/>
      <c r="K1360" s="38"/>
      <c r="L1360" s="38"/>
      <c r="M1360" s="47"/>
    </row>
    <row r="1361" spans="10:13" x14ac:dyDescent="0.35">
      <c r="J1361" s="38"/>
      <c r="K1361" s="38"/>
      <c r="L1361" s="38"/>
      <c r="M1361" s="47"/>
    </row>
    <row r="1362" spans="10:13" x14ac:dyDescent="0.35">
      <c r="J1362" s="38"/>
      <c r="K1362" s="38"/>
      <c r="L1362" s="38"/>
      <c r="M1362" s="47"/>
    </row>
    <row r="1363" spans="10:13" x14ac:dyDescent="0.35">
      <c r="J1363" s="38"/>
      <c r="K1363" s="38"/>
      <c r="L1363" s="38"/>
      <c r="M1363" s="47"/>
    </row>
    <row r="1364" spans="10:13" x14ac:dyDescent="0.35">
      <c r="J1364" s="38"/>
      <c r="K1364" s="38"/>
      <c r="L1364" s="38"/>
      <c r="M1364" s="47"/>
    </row>
    <row r="1365" spans="10:13" x14ac:dyDescent="0.35">
      <c r="J1365" s="38"/>
      <c r="K1365" s="38"/>
      <c r="L1365" s="38"/>
      <c r="M1365" s="47"/>
    </row>
    <row r="1366" spans="10:13" x14ac:dyDescent="0.35">
      <c r="J1366" s="38"/>
      <c r="K1366" s="38"/>
      <c r="L1366" s="38"/>
      <c r="M1366" s="47"/>
    </row>
    <row r="1367" spans="10:13" x14ac:dyDescent="0.35">
      <c r="J1367" s="38"/>
      <c r="K1367" s="38"/>
      <c r="L1367" s="38"/>
      <c r="M1367" s="47"/>
    </row>
    <row r="1368" spans="10:13" x14ac:dyDescent="0.35">
      <c r="J1368" s="38"/>
      <c r="K1368" s="38"/>
      <c r="L1368" s="38"/>
      <c r="M1368" s="47"/>
    </row>
    <row r="1369" spans="10:13" x14ac:dyDescent="0.35">
      <c r="J1369" s="38"/>
      <c r="K1369" s="38"/>
      <c r="L1369" s="38"/>
      <c r="M1369" s="47"/>
    </row>
    <row r="1370" spans="10:13" x14ac:dyDescent="0.35">
      <c r="J1370" s="38"/>
      <c r="K1370" s="38"/>
      <c r="L1370" s="38"/>
      <c r="M1370" s="47"/>
    </row>
    <row r="1371" spans="10:13" x14ac:dyDescent="0.35">
      <c r="J1371" s="38"/>
      <c r="K1371" s="38"/>
      <c r="L1371" s="38"/>
      <c r="M1371" s="47"/>
    </row>
    <row r="1372" spans="10:13" x14ac:dyDescent="0.35">
      <c r="J1372" s="38"/>
      <c r="K1372" s="38"/>
      <c r="L1372" s="38"/>
      <c r="M1372" s="47"/>
    </row>
    <row r="1373" spans="10:13" x14ac:dyDescent="0.35">
      <c r="J1373" s="38"/>
      <c r="K1373" s="38"/>
      <c r="L1373" s="38"/>
      <c r="M1373" s="47"/>
    </row>
    <row r="1374" spans="10:13" x14ac:dyDescent="0.35">
      <c r="J1374" s="38"/>
      <c r="K1374" s="38"/>
      <c r="L1374" s="38"/>
      <c r="M1374" s="47"/>
    </row>
    <row r="1375" spans="10:13" x14ac:dyDescent="0.35">
      <c r="J1375" s="38"/>
      <c r="K1375" s="38"/>
      <c r="L1375" s="38"/>
      <c r="M1375" s="47"/>
    </row>
    <row r="1376" spans="10:13" x14ac:dyDescent="0.35">
      <c r="J1376" s="38"/>
      <c r="K1376" s="38"/>
      <c r="L1376" s="38"/>
      <c r="M1376" s="47"/>
    </row>
    <row r="1377" spans="10:13" x14ac:dyDescent="0.35">
      <c r="J1377" s="38"/>
      <c r="K1377" s="38"/>
      <c r="L1377" s="38"/>
      <c r="M1377" s="47"/>
    </row>
    <row r="1378" spans="10:13" x14ac:dyDescent="0.35">
      <c r="J1378" s="38"/>
      <c r="K1378" s="38"/>
      <c r="L1378" s="38"/>
      <c r="M1378" s="47"/>
    </row>
    <row r="1379" spans="10:13" x14ac:dyDescent="0.35">
      <c r="J1379" s="38"/>
      <c r="K1379" s="38"/>
      <c r="L1379" s="38"/>
      <c r="M1379" s="47"/>
    </row>
    <row r="1380" spans="10:13" x14ac:dyDescent="0.35">
      <c r="J1380" s="38"/>
      <c r="K1380" s="38"/>
      <c r="L1380" s="38"/>
      <c r="M1380" s="47"/>
    </row>
    <row r="1381" spans="10:13" x14ac:dyDescent="0.35">
      <c r="J1381" s="38"/>
      <c r="K1381" s="38"/>
      <c r="L1381" s="38"/>
      <c r="M1381" s="47"/>
    </row>
    <row r="1382" spans="10:13" x14ac:dyDescent="0.35">
      <c r="J1382" s="38"/>
      <c r="K1382" s="38"/>
      <c r="L1382" s="38"/>
      <c r="M1382" s="47"/>
    </row>
    <row r="1383" spans="10:13" x14ac:dyDescent="0.35">
      <c r="J1383" s="38"/>
      <c r="K1383" s="38"/>
      <c r="L1383" s="38"/>
      <c r="M1383" s="47"/>
    </row>
    <row r="1384" spans="10:13" x14ac:dyDescent="0.35">
      <c r="J1384" s="38"/>
      <c r="K1384" s="38"/>
      <c r="L1384" s="38"/>
      <c r="M1384" s="47"/>
    </row>
    <row r="1385" spans="10:13" x14ac:dyDescent="0.35">
      <c r="J1385" s="38"/>
      <c r="K1385" s="38"/>
      <c r="L1385" s="38"/>
      <c r="M1385" s="47"/>
    </row>
    <row r="1386" spans="10:13" x14ac:dyDescent="0.35">
      <c r="J1386" s="38"/>
      <c r="K1386" s="38"/>
      <c r="L1386" s="38"/>
      <c r="M1386" s="47"/>
    </row>
    <row r="1387" spans="10:13" x14ac:dyDescent="0.35">
      <c r="J1387" s="38"/>
      <c r="K1387" s="38"/>
      <c r="L1387" s="38"/>
      <c r="M1387" s="47"/>
    </row>
    <row r="1388" spans="10:13" x14ac:dyDescent="0.35">
      <c r="J1388" s="38"/>
      <c r="K1388" s="38"/>
      <c r="L1388" s="38"/>
      <c r="M1388" s="47"/>
    </row>
    <row r="1389" spans="10:13" x14ac:dyDescent="0.35">
      <c r="J1389" s="38"/>
      <c r="K1389" s="38"/>
      <c r="L1389" s="38"/>
      <c r="M1389" s="47"/>
    </row>
    <row r="1390" spans="10:13" x14ac:dyDescent="0.35">
      <c r="J1390" s="38"/>
      <c r="K1390" s="38"/>
      <c r="L1390" s="38"/>
      <c r="M1390" s="47"/>
    </row>
    <row r="1391" spans="10:13" x14ac:dyDescent="0.35">
      <c r="J1391" s="38"/>
      <c r="K1391" s="38"/>
      <c r="L1391" s="38"/>
      <c r="M1391" s="47"/>
    </row>
    <row r="1392" spans="10:13" x14ac:dyDescent="0.35">
      <c r="J1392" s="38"/>
      <c r="K1392" s="38"/>
      <c r="L1392" s="38"/>
      <c r="M1392" s="47"/>
    </row>
    <row r="1393" spans="10:13" x14ac:dyDescent="0.35">
      <c r="J1393" s="38"/>
      <c r="K1393" s="38"/>
      <c r="L1393" s="38"/>
      <c r="M1393" s="47"/>
    </row>
    <row r="1394" spans="10:13" x14ac:dyDescent="0.35">
      <c r="J1394" s="38"/>
      <c r="K1394" s="38"/>
      <c r="L1394" s="38"/>
      <c r="M1394" s="47"/>
    </row>
    <row r="1395" spans="10:13" x14ac:dyDescent="0.35">
      <c r="J1395" s="38"/>
      <c r="K1395" s="38"/>
      <c r="L1395" s="38"/>
      <c r="M1395" s="47"/>
    </row>
    <row r="1396" spans="10:13" x14ac:dyDescent="0.35">
      <c r="J1396" s="38"/>
      <c r="K1396" s="38"/>
      <c r="L1396" s="38"/>
      <c r="M1396" s="47"/>
    </row>
    <row r="1397" spans="10:13" x14ac:dyDescent="0.35">
      <c r="J1397" s="38"/>
      <c r="K1397" s="38"/>
      <c r="L1397" s="38"/>
      <c r="M1397" s="47"/>
    </row>
    <row r="1398" spans="10:13" x14ac:dyDescent="0.35">
      <c r="J1398" s="38"/>
      <c r="K1398" s="38"/>
      <c r="L1398" s="38"/>
      <c r="M1398" s="47"/>
    </row>
    <row r="1399" spans="10:13" x14ac:dyDescent="0.35">
      <c r="J1399" s="38"/>
      <c r="K1399" s="38"/>
      <c r="L1399" s="38"/>
      <c r="M1399" s="47"/>
    </row>
    <row r="1400" spans="10:13" x14ac:dyDescent="0.35">
      <c r="J1400" s="38"/>
      <c r="K1400" s="38"/>
      <c r="L1400" s="38"/>
      <c r="M1400" s="47"/>
    </row>
    <row r="1401" spans="10:13" x14ac:dyDescent="0.35">
      <c r="J1401" s="38"/>
      <c r="K1401" s="38"/>
      <c r="L1401" s="38"/>
      <c r="M1401" s="47"/>
    </row>
    <row r="1402" spans="10:13" x14ac:dyDescent="0.35">
      <c r="J1402" s="38"/>
      <c r="K1402" s="38"/>
      <c r="L1402" s="38"/>
      <c r="M1402" s="47"/>
    </row>
    <row r="1403" spans="10:13" x14ac:dyDescent="0.35">
      <c r="J1403" s="38"/>
      <c r="K1403" s="38"/>
      <c r="L1403" s="38"/>
      <c r="M1403" s="47"/>
    </row>
    <row r="1404" spans="10:13" x14ac:dyDescent="0.35">
      <c r="J1404" s="38"/>
      <c r="K1404" s="38"/>
      <c r="L1404" s="38"/>
      <c r="M1404" s="47"/>
    </row>
    <row r="1405" spans="10:13" x14ac:dyDescent="0.35">
      <c r="J1405" s="38"/>
      <c r="K1405" s="38"/>
      <c r="L1405" s="38"/>
      <c r="M1405" s="47"/>
    </row>
    <row r="1406" spans="10:13" x14ac:dyDescent="0.35">
      <c r="J1406" s="38"/>
      <c r="K1406" s="38"/>
      <c r="L1406" s="38"/>
      <c r="M1406" s="47"/>
    </row>
    <row r="1407" spans="10:13" x14ac:dyDescent="0.35">
      <c r="J1407" s="38"/>
      <c r="K1407" s="38"/>
      <c r="L1407" s="38"/>
      <c r="M1407" s="47"/>
    </row>
    <row r="1408" spans="10:13" x14ac:dyDescent="0.35">
      <c r="J1408" s="38"/>
      <c r="K1408" s="38"/>
      <c r="L1408" s="38"/>
      <c r="M1408" s="47"/>
    </row>
    <row r="1409" spans="10:13" x14ac:dyDescent="0.35">
      <c r="J1409" s="38"/>
      <c r="K1409" s="38"/>
      <c r="L1409" s="38"/>
      <c r="M1409" s="47"/>
    </row>
    <row r="1410" spans="10:13" x14ac:dyDescent="0.35">
      <c r="J1410" s="38"/>
      <c r="K1410" s="38"/>
      <c r="L1410" s="38"/>
      <c r="M1410" s="47"/>
    </row>
    <row r="1411" spans="10:13" x14ac:dyDescent="0.35">
      <c r="J1411" s="38"/>
      <c r="K1411" s="38"/>
      <c r="L1411" s="38"/>
      <c r="M1411" s="47"/>
    </row>
    <row r="1412" spans="10:13" x14ac:dyDescent="0.35">
      <c r="J1412" s="38"/>
      <c r="K1412" s="38"/>
      <c r="L1412" s="38"/>
      <c r="M1412" s="47"/>
    </row>
    <row r="1413" spans="10:13" x14ac:dyDescent="0.35">
      <c r="J1413" s="38"/>
      <c r="K1413" s="38"/>
      <c r="L1413" s="38"/>
      <c r="M1413" s="47"/>
    </row>
    <row r="1414" spans="10:13" x14ac:dyDescent="0.35">
      <c r="J1414" s="38"/>
      <c r="K1414" s="38"/>
      <c r="L1414" s="38"/>
      <c r="M1414" s="47"/>
    </row>
    <row r="1415" spans="10:13" x14ac:dyDescent="0.35">
      <c r="J1415" s="38"/>
      <c r="K1415" s="38"/>
      <c r="L1415" s="38"/>
      <c r="M1415" s="47"/>
    </row>
    <row r="1416" spans="10:13" x14ac:dyDescent="0.35">
      <c r="J1416" s="38"/>
      <c r="K1416" s="38"/>
      <c r="L1416" s="38"/>
      <c r="M1416" s="47"/>
    </row>
    <row r="1417" spans="10:13" x14ac:dyDescent="0.35">
      <c r="J1417" s="38"/>
      <c r="K1417" s="38"/>
      <c r="L1417" s="38"/>
      <c r="M1417" s="47"/>
    </row>
    <row r="1418" spans="10:13" x14ac:dyDescent="0.35">
      <c r="J1418" s="38"/>
      <c r="K1418" s="38"/>
      <c r="L1418" s="38"/>
      <c r="M1418" s="47"/>
    </row>
    <row r="1419" spans="10:13" x14ac:dyDescent="0.35">
      <c r="J1419" s="38"/>
      <c r="K1419" s="38"/>
      <c r="L1419" s="38"/>
      <c r="M1419" s="47"/>
    </row>
    <row r="1420" spans="10:13" x14ac:dyDescent="0.35">
      <c r="J1420" s="38"/>
      <c r="K1420" s="38"/>
      <c r="L1420" s="38"/>
      <c r="M1420" s="47"/>
    </row>
    <row r="1421" spans="10:13" x14ac:dyDescent="0.35">
      <c r="J1421" s="38"/>
      <c r="K1421" s="38"/>
      <c r="L1421" s="38"/>
      <c r="M1421" s="47"/>
    </row>
    <row r="1422" spans="10:13" x14ac:dyDescent="0.35">
      <c r="J1422" s="38"/>
      <c r="K1422" s="38"/>
      <c r="L1422" s="38"/>
      <c r="M1422" s="47"/>
    </row>
    <row r="1423" spans="10:13" x14ac:dyDescent="0.35">
      <c r="J1423" s="38"/>
      <c r="K1423" s="38"/>
      <c r="L1423" s="38"/>
      <c r="M1423" s="47"/>
    </row>
    <row r="1424" spans="10:13" x14ac:dyDescent="0.35">
      <c r="J1424" s="38"/>
      <c r="K1424" s="38"/>
      <c r="L1424" s="38"/>
      <c r="M1424" s="47"/>
    </row>
    <row r="1425" spans="10:13" x14ac:dyDescent="0.35">
      <c r="J1425" s="38"/>
      <c r="K1425" s="38"/>
      <c r="L1425" s="38"/>
      <c r="M1425" s="47"/>
    </row>
    <row r="1426" spans="10:13" x14ac:dyDescent="0.35">
      <c r="J1426" s="38"/>
      <c r="K1426" s="38"/>
      <c r="L1426" s="38"/>
      <c r="M1426" s="47"/>
    </row>
    <row r="1427" spans="10:13" x14ac:dyDescent="0.35">
      <c r="J1427" s="38"/>
      <c r="K1427" s="38"/>
      <c r="L1427" s="38"/>
      <c r="M1427" s="47"/>
    </row>
    <row r="1428" spans="10:13" x14ac:dyDescent="0.35">
      <c r="J1428" s="38"/>
      <c r="K1428" s="38"/>
      <c r="L1428" s="38"/>
      <c r="M1428" s="47"/>
    </row>
    <row r="1429" spans="10:13" x14ac:dyDescent="0.35">
      <c r="J1429" s="38"/>
      <c r="K1429" s="38"/>
      <c r="L1429" s="38"/>
      <c r="M1429" s="47"/>
    </row>
    <row r="1430" spans="10:13" x14ac:dyDescent="0.35">
      <c r="J1430" s="38"/>
      <c r="K1430" s="38"/>
      <c r="L1430" s="38"/>
      <c r="M1430" s="47"/>
    </row>
    <row r="1431" spans="10:13" x14ac:dyDescent="0.35">
      <c r="J1431" s="38"/>
      <c r="K1431" s="38"/>
      <c r="L1431" s="38"/>
      <c r="M1431" s="47"/>
    </row>
    <row r="1432" spans="10:13" x14ac:dyDescent="0.35">
      <c r="J1432" s="38"/>
      <c r="K1432" s="38"/>
      <c r="L1432" s="38"/>
      <c r="M1432" s="47"/>
    </row>
    <row r="1433" spans="10:13" x14ac:dyDescent="0.35">
      <c r="J1433" s="38"/>
      <c r="K1433" s="38"/>
      <c r="L1433" s="38"/>
      <c r="M1433" s="47"/>
    </row>
    <row r="1434" spans="10:13" x14ac:dyDescent="0.35">
      <c r="J1434" s="38"/>
      <c r="K1434" s="38"/>
      <c r="L1434" s="38"/>
      <c r="M1434" s="47"/>
    </row>
    <row r="1435" spans="10:13" x14ac:dyDescent="0.35">
      <c r="J1435" s="38"/>
      <c r="K1435" s="38"/>
      <c r="L1435" s="38"/>
      <c r="M1435" s="47"/>
    </row>
    <row r="1436" spans="10:13" x14ac:dyDescent="0.35">
      <c r="J1436" s="38"/>
      <c r="K1436" s="38"/>
      <c r="L1436" s="38"/>
      <c r="M1436" s="47"/>
    </row>
    <row r="1437" spans="10:13" x14ac:dyDescent="0.35">
      <c r="J1437" s="38"/>
      <c r="K1437" s="38"/>
      <c r="L1437" s="38"/>
      <c r="M1437" s="47"/>
    </row>
    <row r="1438" spans="10:13" x14ac:dyDescent="0.35">
      <c r="J1438" s="38"/>
      <c r="K1438" s="38"/>
      <c r="L1438" s="38"/>
      <c r="M1438" s="47"/>
    </row>
    <row r="1439" spans="10:13" x14ac:dyDescent="0.35">
      <c r="J1439" s="38"/>
      <c r="K1439" s="38"/>
      <c r="L1439" s="38"/>
      <c r="M1439" s="47"/>
    </row>
    <row r="1440" spans="10:13" x14ac:dyDescent="0.35">
      <c r="J1440" s="38"/>
      <c r="K1440" s="38"/>
      <c r="L1440" s="38"/>
      <c r="M1440" s="47"/>
    </row>
    <row r="1441" spans="10:13" x14ac:dyDescent="0.35">
      <c r="J1441" s="38"/>
      <c r="K1441" s="38"/>
      <c r="L1441" s="38"/>
      <c r="M1441" s="47"/>
    </row>
    <row r="1442" spans="10:13" x14ac:dyDescent="0.35">
      <c r="J1442" s="38"/>
      <c r="K1442" s="38"/>
      <c r="L1442" s="38"/>
      <c r="M1442" s="47"/>
    </row>
    <row r="1443" spans="10:13" x14ac:dyDescent="0.35">
      <c r="J1443" s="38"/>
      <c r="K1443" s="38"/>
      <c r="L1443" s="38"/>
      <c r="M1443" s="47"/>
    </row>
    <row r="1444" spans="10:13" x14ac:dyDescent="0.35">
      <c r="J1444" s="38"/>
      <c r="K1444" s="38"/>
      <c r="L1444" s="38"/>
      <c r="M1444" s="47"/>
    </row>
    <row r="1445" spans="10:13" x14ac:dyDescent="0.35">
      <c r="J1445" s="38"/>
      <c r="K1445" s="38"/>
      <c r="L1445" s="38"/>
      <c r="M1445" s="47"/>
    </row>
    <row r="1446" spans="10:13" x14ac:dyDescent="0.35">
      <c r="J1446" s="38"/>
      <c r="K1446" s="38"/>
      <c r="L1446" s="38"/>
      <c r="M1446" s="47"/>
    </row>
    <row r="1447" spans="10:13" x14ac:dyDescent="0.35">
      <c r="J1447" s="38"/>
      <c r="K1447" s="38"/>
      <c r="L1447" s="38"/>
      <c r="M1447" s="47"/>
    </row>
    <row r="1448" spans="10:13" x14ac:dyDescent="0.35">
      <c r="J1448" s="38"/>
      <c r="K1448" s="38"/>
      <c r="L1448" s="38"/>
      <c r="M1448" s="47"/>
    </row>
    <row r="1449" spans="10:13" x14ac:dyDescent="0.35">
      <c r="J1449" s="38"/>
      <c r="K1449" s="38"/>
      <c r="L1449" s="38"/>
      <c r="M1449" s="47"/>
    </row>
    <row r="1450" spans="10:13" x14ac:dyDescent="0.35">
      <c r="J1450" s="38"/>
      <c r="K1450" s="38"/>
      <c r="L1450" s="38"/>
      <c r="M1450" s="47"/>
    </row>
    <row r="1451" spans="10:13" x14ac:dyDescent="0.35">
      <c r="J1451" s="38"/>
      <c r="K1451" s="38"/>
      <c r="L1451" s="38"/>
      <c r="M1451" s="47"/>
    </row>
    <row r="1452" spans="10:13" x14ac:dyDescent="0.35">
      <c r="J1452" s="38"/>
      <c r="K1452" s="38"/>
      <c r="L1452" s="38"/>
      <c r="M1452" s="47"/>
    </row>
    <row r="1453" spans="10:13" x14ac:dyDescent="0.35">
      <c r="J1453" s="38"/>
      <c r="K1453" s="38"/>
      <c r="L1453" s="38"/>
      <c r="M1453" s="47"/>
    </row>
    <row r="1454" spans="10:13" x14ac:dyDescent="0.35">
      <c r="J1454" s="38"/>
      <c r="K1454" s="38"/>
      <c r="L1454" s="38"/>
      <c r="M1454" s="47"/>
    </row>
    <row r="1455" spans="10:13" x14ac:dyDescent="0.35">
      <c r="J1455" s="38"/>
      <c r="K1455" s="38"/>
      <c r="L1455" s="38"/>
      <c r="M1455" s="47"/>
    </row>
    <row r="1456" spans="10:13" x14ac:dyDescent="0.35">
      <c r="J1456" s="38"/>
      <c r="K1456" s="38"/>
      <c r="L1456" s="38"/>
      <c r="M1456" s="47"/>
    </row>
    <row r="1457" spans="10:13" x14ac:dyDescent="0.35">
      <c r="J1457" s="38"/>
      <c r="K1457" s="38"/>
      <c r="L1457" s="38"/>
      <c r="M1457" s="47"/>
    </row>
    <row r="1458" spans="10:13" x14ac:dyDescent="0.35">
      <c r="J1458" s="38"/>
      <c r="K1458" s="38"/>
      <c r="L1458" s="38"/>
      <c r="M1458" s="47"/>
    </row>
    <row r="1459" spans="10:13" x14ac:dyDescent="0.35">
      <c r="J1459" s="38"/>
      <c r="K1459" s="38"/>
      <c r="L1459" s="38"/>
      <c r="M1459" s="47"/>
    </row>
    <row r="1460" spans="10:13" x14ac:dyDescent="0.35">
      <c r="J1460" s="38"/>
      <c r="K1460" s="38"/>
      <c r="L1460" s="38"/>
      <c r="M1460" s="47"/>
    </row>
    <row r="1461" spans="10:13" x14ac:dyDescent="0.35">
      <c r="J1461" s="38"/>
      <c r="K1461" s="38"/>
      <c r="L1461" s="38"/>
      <c r="M1461" s="47"/>
    </row>
    <row r="1462" spans="10:13" x14ac:dyDescent="0.35">
      <c r="J1462" s="38"/>
      <c r="K1462" s="38"/>
      <c r="L1462" s="38"/>
      <c r="M1462" s="47"/>
    </row>
    <row r="1463" spans="10:13" x14ac:dyDescent="0.35">
      <c r="J1463" s="38"/>
      <c r="K1463" s="38"/>
      <c r="L1463" s="38"/>
      <c r="M1463" s="47"/>
    </row>
    <row r="1464" spans="10:13" x14ac:dyDescent="0.35">
      <c r="J1464" s="38"/>
      <c r="K1464" s="38"/>
      <c r="L1464" s="38"/>
      <c r="M1464" s="47"/>
    </row>
    <row r="1465" spans="10:13" x14ac:dyDescent="0.35">
      <c r="J1465" s="38"/>
      <c r="K1465" s="38"/>
      <c r="L1465" s="38"/>
      <c r="M1465" s="47"/>
    </row>
    <row r="1466" spans="10:13" x14ac:dyDescent="0.35">
      <c r="J1466" s="38"/>
      <c r="K1466" s="38"/>
      <c r="L1466" s="38"/>
      <c r="M1466" s="47"/>
    </row>
    <row r="1467" spans="10:13" x14ac:dyDescent="0.35">
      <c r="J1467" s="38"/>
      <c r="K1467" s="38"/>
      <c r="L1467" s="38"/>
      <c r="M1467" s="47"/>
    </row>
    <row r="1468" spans="10:13" x14ac:dyDescent="0.35">
      <c r="J1468" s="38"/>
      <c r="K1468" s="38"/>
      <c r="L1468" s="38"/>
      <c r="M1468" s="47"/>
    </row>
    <row r="1469" spans="10:13" x14ac:dyDescent="0.35">
      <c r="J1469" s="38"/>
      <c r="K1469" s="38"/>
      <c r="L1469" s="38"/>
      <c r="M1469" s="47"/>
    </row>
    <row r="1470" spans="10:13" x14ac:dyDescent="0.35">
      <c r="J1470" s="38"/>
      <c r="K1470" s="38"/>
      <c r="L1470" s="38"/>
      <c r="M1470" s="47"/>
    </row>
    <row r="1471" spans="10:13" x14ac:dyDescent="0.35">
      <c r="J1471" s="38"/>
      <c r="K1471" s="38"/>
      <c r="L1471" s="38"/>
      <c r="M1471" s="47"/>
    </row>
    <row r="1472" spans="10:13" x14ac:dyDescent="0.35">
      <c r="J1472" s="38"/>
      <c r="K1472" s="38"/>
      <c r="L1472" s="38"/>
      <c r="M1472" s="47"/>
    </row>
    <row r="1473" spans="10:13" x14ac:dyDescent="0.35">
      <c r="J1473" s="38"/>
      <c r="K1473" s="38"/>
      <c r="L1473" s="38"/>
      <c r="M1473" s="47"/>
    </row>
    <row r="1474" spans="10:13" x14ac:dyDescent="0.35">
      <c r="J1474" s="38"/>
      <c r="K1474" s="38"/>
      <c r="L1474" s="38"/>
      <c r="M1474" s="47"/>
    </row>
    <row r="1475" spans="10:13" x14ac:dyDescent="0.35">
      <c r="J1475" s="38"/>
      <c r="K1475" s="38"/>
      <c r="L1475" s="38"/>
      <c r="M1475" s="47"/>
    </row>
    <row r="1476" spans="10:13" x14ac:dyDescent="0.35">
      <c r="J1476" s="38"/>
      <c r="K1476" s="38"/>
      <c r="L1476" s="38"/>
      <c r="M1476" s="47"/>
    </row>
    <row r="1477" spans="10:13" x14ac:dyDescent="0.35">
      <c r="J1477" s="38"/>
      <c r="K1477" s="38"/>
      <c r="L1477" s="38"/>
      <c r="M1477" s="47"/>
    </row>
    <row r="1478" spans="10:13" x14ac:dyDescent="0.35">
      <c r="J1478" s="38"/>
      <c r="K1478" s="38"/>
      <c r="L1478" s="38"/>
      <c r="M1478" s="47"/>
    </row>
    <row r="1479" spans="10:13" x14ac:dyDescent="0.35">
      <c r="J1479" s="38"/>
      <c r="K1479" s="38"/>
      <c r="L1479" s="38"/>
      <c r="M1479" s="47"/>
    </row>
    <row r="1480" spans="10:13" x14ac:dyDescent="0.35">
      <c r="J1480" s="38"/>
      <c r="K1480" s="38"/>
      <c r="L1480" s="38"/>
      <c r="M1480" s="47"/>
    </row>
    <row r="1481" spans="10:13" x14ac:dyDescent="0.35">
      <c r="J1481" s="38"/>
      <c r="K1481" s="38"/>
      <c r="L1481" s="38"/>
      <c r="M1481" s="47"/>
    </row>
    <row r="1482" spans="10:13" x14ac:dyDescent="0.35">
      <c r="J1482" s="38"/>
      <c r="K1482" s="38"/>
      <c r="L1482" s="38"/>
      <c r="M1482" s="47"/>
    </row>
    <row r="1483" spans="10:13" x14ac:dyDescent="0.35">
      <c r="J1483" s="38"/>
      <c r="K1483" s="38"/>
      <c r="L1483" s="38"/>
      <c r="M1483" s="47"/>
    </row>
    <row r="1484" spans="10:13" x14ac:dyDescent="0.35">
      <c r="J1484" s="38"/>
      <c r="K1484" s="38"/>
      <c r="L1484" s="38"/>
      <c r="M1484" s="47"/>
    </row>
    <row r="1485" spans="10:13" x14ac:dyDescent="0.35">
      <c r="J1485" s="38"/>
      <c r="K1485" s="38"/>
      <c r="L1485" s="38"/>
      <c r="M1485" s="47"/>
    </row>
    <row r="1486" spans="10:13" x14ac:dyDescent="0.35">
      <c r="J1486" s="38"/>
      <c r="K1486" s="38"/>
      <c r="L1486" s="38"/>
      <c r="M1486" s="47"/>
    </row>
    <row r="1487" spans="10:13" x14ac:dyDescent="0.35">
      <c r="J1487" s="38"/>
      <c r="K1487" s="38"/>
      <c r="L1487" s="38"/>
      <c r="M1487" s="47"/>
    </row>
    <row r="1488" spans="10:13" x14ac:dyDescent="0.35">
      <c r="J1488" s="38"/>
      <c r="K1488" s="38"/>
      <c r="L1488" s="38"/>
      <c r="M1488" s="47"/>
    </row>
    <row r="1489" spans="10:13" x14ac:dyDescent="0.35">
      <c r="J1489" s="38"/>
      <c r="K1489" s="38"/>
      <c r="L1489" s="38"/>
      <c r="M1489" s="47"/>
    </row>
    <row r="1490" spans="10:13" x14ac:dyDescent="0.35">
      <c r="J1490" s="38"/>
      <c r="K1490" s="38"/>
      <c r="L1490" s="38"/>
      <c r="M1490" s="47"/>
    </row>
    <row r="1491" spans="10:13" x14ac:dyDescent="0.35">
      <c r="J1491" s="38"/>
      <c r="K1491" s="38"/>
      <c r="L1491" s="38"/>
      <c r="M1491" s="47"/>
    </row>
    <row r="1492" spans="10:13" x14ac:dyDescent="0.35">
      <c r="J1492" s="38"/>
      <c r="K1492" s="38"/>
      <c r="L1492" s="38"/>
      <c r="M1492" s="47"/>
    </row>
    <row r="1493" spans="10:13" x14ac:dyDescent="0.35">
      <c r="J1493" s="38"/>
      <c r="K1493" s="38"/>
      <c r="L1493" s="38"/>
      <c r="M1493" s="47"/>
    </row>
    <row r="1494" spans="10:13" x14ac:dyDescent="0.35">
      <c r="J1494" s="38"/>
      <c r="K1494" s="38"/>
      <c r="L1494" s="38"/>
      <c r="M1494" s="47"/>
    </row>
    <row r="1495" spans="10:13" x14ac:dyDescent="0.35">
      <c r="J1495" s="38"/>
      <c r="K1495" s="38"/>
      <c r="L1495" s="38"/>
      <c r="M1495" s="47"/>
    </row>
    <row r="1496" spans="10:13" x14ac:dyDescent="0.35">
      <c r="J1496" s="38"/>
      <c r="K1496" s="38"/>
      <c r="L1496" s="38"/>
      <c r="M1496" s="47"/>
    </row>
    <row r="1497" spans="10:13" x14ac:dyDescent="0.35">
      <c r="J1497" s="38"/>
      <c r="K1497" s="38"/>
      <c r="L1497" s="38"/>
      <c r="M1497" s="47"/>
    </row>
    <row r="1498" spans="10:13" x14ac:dyDescent="0.35">
      <c r="J1498" s="38"/>
      <c r="K1498" s="38"/>
      <c r="L1498" s="38"/>
      <c r="M1498" s="47"/>
    </row>
    <row r="1499" spans="10:13" x14ac:dyDescent="0.35">
      <c r="J1499" s="38"/>
      <c r="K1499" s="38"/>
      <c r="L1499" s="38"/>
      <c r="M1499" s="47"/>
    </row>
    <row r="1500" spans="10:13" x14ac:dyDescent="0.35">
      <c r="J1500" s="38"/>
      <c r="K1500" s="38"/>
      <c r="L1500" s="38"/>
      <c r="M1500" s="47"/>
    </row>
    <row r="1501" spans="10:13" x14ac:dyDescent="0.35">
      <c r="J1501" s="38"/>
      <c r="K1501" s="38"/>
      <c r="L1501" s="38"/>
      <c r="M1501" s="47"/>
    </row>
    <row r="1502" spans="10:13" x14ac:dyDescent="0.35">
      <c r="J1502" s="38"/>
      <c r="K1502" s="38"/>
      <c r="L1502" s="38"/>
      <c r="M1502" s="47"/>
    </row>
    <row r="1503" spans="10:13" x14ac:dyDescent="0.35">
      <c r="J1503" s="38"/>
      <c r="K1503" s="38"/>
      <c r="L1503" s="38"/>
      <c r="M1503" s="47"/>
    </row>
    <row r="1504" spans="10:13" x14ac:dyDescent="0.35">
      <c r="J1504" s="38"/>
      <c r="K1504" s="38"/>
      <c r="L1504" s="38"/>
      <c r="M1504" s="47"/>
    </row>
    <row r="1505" spans="10:13" x14ac:dyDescent="0.35">
      <c r="J1505" s="38"/>
      <c r="K1505" s="38"/>
      <c r="L1505" s="38"/>
      <c r="M1505" s="47"/>
    </row>
    <row r="1506" spans="10:13" x14ac:dyDescent="0.35">
      <c r="J1506" s="38"/>
      <c r="K1506" s="38"/>
      <c r="L1506" s="38"/>
      <c r="M1506" s="47"/>
    </row>
    <row r="1507" spans="10:13" x14ac:dyDescent="0.35">
      <c r="J1507" s="38"/>
      <c r="K1507" s="38"/>
      <c r="L1507" s="38"/>
      <c r="M1507" s="47"/>
    </row>
    <row r="1508" spans="10:13" x14ac:dyDescent="0.35">
      <c r="J1508" s="38"/>
      <c r="K1508" s="38"/>
      <c r="L1508" s="38"/>
      <c r="M1508" s="47"/>
    </row>
    <row r="1509" spans="10:13" x14ac:dyDescent="0.35">
      <c r="J1509" s="38"/>
      <c r="K1509" s="38"/>
      <c r="L1509" s="38"/>
      <c r="M1509" s="47"/>
    </row>
    <row r="1510" spans="10:13" x14ac:dyDescent="0.35">
      <c r="J1510" s="38"/>
      <c r="K1510" s="38"/>
      <c r="L1510" s="38"/>
      <c r="M1510" s="47"/>
    </row>
    <row r="1511" spans="10:13" x14ac:dyDescent="0.35">
      <c r="J1511" s="38"/>
      <c r="K1511" s="38"/>
      <c r="L1511" s="38"/>
      <c r="M1511" s="47"/>
    </row>
    <row r="1512" spans="10:13" x14ac:dyDescent="0.35">
      <c r="J1512" s="38"/>
      <c r="K1512" s="38"/>
      <c r="L1512" s="38"/>
      <c r="M1512" s="47"/>
    </row>
    <row r="1513" spans="10:13" x14ac:dyDescent="0.35">
      <c r="J1513" s="38"/>
      <c r="K1513" s="38"/>
      <c r="L1513" s="38"/>
      <c r="M1513" s="47"/>
    </row>
    <row r="1514" spans="10:13" x14ac:dyDescent="0.35">
      <c r="J1514" s="38"/>
      <c r="K1514" s="38"/>
      <c r="L1514" s="38"/>
      <c r="M1514" s="47"/>
    </row>
    <row r="1515" spans="10:13" x14ac:dyDescent="0.35">
      <c r="J1515" s="38"/>
      <c r="K1515" s="38"/>
      <c r="L1515" s="38"/>
      <c r="M1515" s="47"/>
    </row>
    <row r="1516" spans="10:13" x14ac:dyDescent="0.35">
      <c r="J1516" s="38"/>
      <c r="K1516" s="38"/>
      <c r="L1516" s="38"/>
      <c r="M1516" s="47"/>
    </row>
    <row r="1517" spans="10:13" x14ac:dyDescent="0.35">
      <c r="J1517" s="38"/>
      <c r="K1517" s="38"/>
      <c r="L1517" s="38"/>
      <c r="M1517" s="47"/>
    </row>
    <row r="1518" spans="10:13" x14ac:dyDescent="0.35">
      <c r="J1518" s="38"/>
      <c r="K1518" s="38"/>
      <c r="L1518" s="38"/>
      <c r="M1518" s="47"/>
    </row>
    <row r="1519" spans="10:13" x14ac:dyDescent="0.35">
      <c r="J1519" s="38"/>
      <c r="K1519" s="38"/>
      <c r="L1519" s="38"/>
      <c r="M1519" s="47"/>
    </row>
    <row r="1520" spans="10:13" x14ac:dyDescent="0.35">
      <c r="J1520" s="38"/>
      <c r="K1520" s="38"/>
      <c r="L1520" s="38"/>
      <c r="M1520" s="47"/>
    </row>
    <row r="1521" spans="10:13" x14ac:dyDescent="0.35">
      <c r="J1521" s="38"/>
      <c r="K1521" s="38"/>
      <c r="L1521" s="38"/>
      <c r="M1521" s="47"/>
    </row>
    <row r="1522" spans="10:13" x14ac:dyDescent="0.35">
      <c r="J1522" s="38"/>
      <c r="K1522" s="38"/>
      <c r="L1522" s="38"/>
      <c r="M1522" s="47"/>
    </row>
    <row r="1523" spans="10:13" x14ac:dyDescent="0.35">
      <c r="J1523" s="38"/>
      <c r="K1523" s="38"/>
      <c r="L1523" s="38"/>
      <c r="M1523" s="47"/>
    </row>
    <row r="1524" spans="10:13" x14ac:dyDescent="0.35">
      <c r="J1524" s="38"/>
      <c r="K1524" s="38"/>
      <c r="L1524" s="38"/>
      <c r="M1524" s="47"/>
    </row>
    <row r="1525" spans="10:13" x14ac:dyDescent="0.35">
      <c r="J1525" s="38"/>
      <c r="K1525" s="38"/>
      <c r="L1525" s="38"/>
      <c r="M1525" s="47"/>
    </row>
    <row r="1526" spans="10:13" x14ac:dyDescent="0.35">
      <c r="J1526" s="38"/>
      <c r="K1526" s="38"/>
      <c r="L1526" s="38"/>
      <c r="M1526" s="47"/>
    </row>
    <row r="1527" spans="10:13" x14ac:dyDescent="0.35">
      <c r="J1527" s="38"/>
      <c r="K1527" s="38"/>
      <c r="L1527" s="38"/>
      <c r="M1527" s="47"/>
    </row>
    <row r="1528" spans="10:13" x14ac:dyDescent="0.35">
      <c r="J1528" s="38"/>
      <c r="K1528" s="38"/>
      <c r="L1528" s="38"/>
      <c r="M1528" s="47"/>
    </row>
    <row r="1529" spans="10:13" x14ac:dyDescent="0.35">
      <c r="J1529" s="38"/>
      <c r="K1529" s="38"/>
      <c r="L1529" s="38"/>
      <c r="M1529" s="47"/>
    </row>
    <row r="1530" spans="10:13" x14ac:dyDescent="0.35">
      <c r="J1530" s="38"/>
      <c r="K1530" s="38"/>
      <c r="L1530" s="38"/>
      <c r="M1530" s="47"/>
    </row>
    <row r="1531" spans="10:13" x14ac:dyDescent="0.35">
      <c r="J1531" s="38"/>
      <c r="K1531" s="38"/>
      <c r="L1531" s="38"/>
      <c r="M1531" s="47"/>
    </row>
    <row r="1532" spans="10:13" x14ac:dyDescent="0.35">
      <c r="J1532" s="38"/>
      <c r="K1532" s="38"/>
      <c r="L1532" s="38"/>
      <c r="M1532" s="47"/>
    </row>
    <row r="1533" spans="10:13" x14ac:dyDescent="0.35">
      <c r="J1533" s="38"/>
      <c r="K1533" s="38"/>
      <c r="L1533" s="38"/>
      <c r="M1533" s="47"/>
    </row>
    <row r="1534" spans="10:13" x14ac:dyDescent="0.35">
      <c r="J1534" s="38"/>
      <c r="K1534" s="38"/>
      <c r="L1534" s="38"/>
      <c r="M1534" s="47"/>
    </row>
    <row r="1535" spans="10:13" x14ac:dyDescent="0.35">
      <c r="J1535" s="38"/>
      <c r="K1535" s="38"/>
      <c r="L1535" s="38"/>
      <c r="M1535" s="47"/>
    </row>
    <row r="1536" spans="10:13" x14ac:dyDescent="0.35">
      <c r="J1536" s="38"/>
      <c r="K1536" s="38"/>
      <c r="L1536" s="38"/>
      <c r="M1536" s="47"/>
    </row>
    <row r="1537" spans="10:13" x14ac:dyDescent="0.35">
      <c r="J1537" s="38"/>
      <c r="K1537" s="38"/>
      <c r="L1537" s="38"/>
      <c r="M1537" s="47"/>
    </row>
    <row r="1538" spans="10:13" x14ac:dyDescent="0.35">
      <c r="J1538" s="38"/>
      <c r="K1538" s="38"/>
      <c r="L1538" s="38"/>
      <c r="M1538" s="47"/>
    </row>
    <row r="1539" spans="10:13" x14ac:dyDescent="0.35">
      <c r="J1539" s="38"/>
      <c r="K1539" s="38"/>
      <c r="L1539" s="38"/>
      <c r="M1539" s="47"/>
    </row>
    <row r="1540" spans="10:13" x14ac:dyDescent="0.35">
      <c r="J1540" s="38"/>
      <c r="K1540" s="38"/>
      <c r="L1540" s="38"/>
      <c r="M1540" s="47"/>
    </row>
    <row r="1541" spans="10:13" x14ac:dyDescent="0.35">
      <c r="J1541" s="38"/>
      <c r="K1541" s="38"/>
      <c r="L1541" s="38"/>
      <c r="M1541" s="47"/>
    </row>
    <row r="1542" spans="10:13" x14ac:dyDescent="0.35">
      <c r="J1542" s="38"/>
      <c r="K1542" s="38"/>
      <c r="L1542" s="38"/>
      <c r="M1542" s="47"/>
    </row>
    <row r="1543" spans="10:13" x14ac:dyDescent="0.35">
      <c r="J1543" s="38"/>
      <c r="K1543" s="38"/>
      <c r="L1543" s="38"/>
      <c r="M1543" s="47"/>
    </row>
    <row r="1544" spans="10:13" x14ac:dyDescent="0.35">
      <c r="J1544" s="38"/>
      <c r="K1544" s="38"/>
      <c r="L1544" s="38"/>
      <c r="M1544" s="47"/>
    </row>
    <row r="1545" spans="10:13" x14ac:dyDescent="0.35">
      <c r="J1545" s="38"/>
      <c r="K1545" s="38"/>
      <c r="L1545" s="38"/>
      <c r="M1545" s="47"/>
    </row>
    <row r="1546" spans="10:13" x14ac:dyDescent="0.35">
      <c r="J1546" s="38"/>
      <c r="K1546" s="38"/>
      <c r="L1546" s="38"/>
      <c r="M1546" s="47"/>
    </row>
    <row r="1547" spans="10:13" x14ac:dyDescent="0.35">
      <c r="J1547" s="38"/>
      <c r="K1547" s="38"/>
      <c r="L1547" s="38"/>
      <c r="M1547" s="47"/>
    </row>
    <row r="1548" spans="10:13" x14ac:dyDescent="0.35">
      <c r="J1548" s="38"/>
      <c r="K1548" s="38"/>
      <c r="L1548" s="38"/>
      <c r="M1548" s="47"/>
    </row>
    <row r="1549" spans="10:13" x14ac:dyDescent="0.35">
      <c r="J1549" s="38"/>
      <c r="K1549" s="38"/>
      <c r="L1549" s="38"/>
      <c r="M1549" s="47"/>
    </row>
    <row r="1550" spans="10:13" x14ac:dyDescent="0.35">
      <c r="J1550" s="38"/>
      <c r="K1550" s="38"/>
      <c r="L1550" s="38"/>
      <c r="M1550" s="47"/>
    </row>
    <row r="1551" spans="10:13" x14ac:dyDescent="0.35">
      <c r="J1551" s="38"/>
      <c r="K1551" s="38"/>
      <c r="L1551" s="38"/>
      <c r="M1551" s="47"/>
    </row>
    <row r="1552" spans="10:13" x14ac:dyDescent="0.35">
      <c r="J1552" s="38"/>
      <c r="K1552" s="38"/>
      <c r="L1552" s="38"/>
      <c r="M1552" s="47"/>
    </row>
    <row r="1553" spans="10:13" x14ac:dyDescent="0.35">
      <c r="J1553" s="38"/>
      <c r="K1553" s="38"/>
      <c r="L1553" s="38"/>
      <c r="M1553" s="47"/>
    </row>
    <row r="1554" spans="10:13" x14ac:dyDescent="0.35">
      <c r="J1554" s="38"/>
      <c r="K1554" s="38"/>
      <c r="L1554" s="38"/>
      <c r="M1554" s="47"/>
    </row>
    <row r="1555" spans="10:13" x14ac:dyDescent="0.35">
      <c r="J1555" s="38"/>
      <c r="K1555" s="38"/>
      <c r="L1555" s="38"/>
      <c r="M1555" s="47"/>
    </row>
    <row r="1556" spans="10:13" x14ac:dyDescent="0.35">
      <c r="J1556" s="38"/>
      <c r="K1556" s="38"/>
      <c r="L1556" s="38"/>
      <c r="M1556" s="47"/>
    </row>
    <row r="1557" spans="10:13" x14ac:dyDescent="0.35">
      <c r="J1557" s="38"/>
      <c r="K1557" s="38"/>
      <c r="L1557" s="38"/>
      <c r="M1557" s="47"/>
    </row>
    <row r="1558" spans="10:13" x14ac:dyDescent="0.35">
      <c r="J1558" s="38"/>
      <c r="K1558" s="38"/>
      <c r="L1558" s="38"/>
      <c r="M1558" s="47"/>
    </row>
    <row r="1559" spans="10:13" x14ac:dyDescent="0.35">
      <c r="J1559" s="38"/>
      <c r="K1559" s="38"/>
      <c r="L1559" s="38"/>
      <c r="M1559" s="47"/>
    </row>
    <row r="1560" spans="10:13" x14ac:dyDescent="0.35">
      <c r="J1560" s="38"/>
      <c r="K1560" s="38"/>
      <c r="L1560" s="38"/>
      <c r="M1560" s="47"/>
    </row>
    <row r="1561" spans="10:13" x14ac:dyDescent="0.35">
      <c r="J1561" s="38"/>
      <c r="K1561" s="38"/>
      <c r="L1561" s="38"/>
      <c r="M1561" s="47"/>
    </row>
    <row r="1562" spans="10:13" x14ac:dyDescent="0.35">
      <c r="J1562" s="38"/>
      <c r="K1562" s="38"/>
      <c r="L1562" s="38"/>
      <c r="M1562" s="47"/>
    </row>
    <row r="1563" spans="10:13" x14ac:dyDescent="0.35">
      <c r="J1563" s="38"/>
      <c r="K1563" s="38"/>
      <c r="L1563" s="38"/>
      <c r="M1563" s="47"/>
    </row>
    <row r="1564" spans="10:13" x14ac:dyDescent="0.35">
      <c r="J1564" s="38"/>
      <c r="K1564" s="38"/>
      <c r="L1564" s="38"/>
      <c r="M1564" s="47"/>
    </row>
    <row r="1565" spans="10:13" x14ac:dyDescent="0.35">
      <c r="J1565" s="38"/>
      <c r="K1565" s="38"/>
      <c r="L1565" s="38"/>
      <c r="M1565" s="47"/>
    </row>
    <row r="1566" spans="10:13" x14ac:dyDescent="0.35">
      <c r="J1566" s="38"/>
      <c r="K1566" s="38"/>
      <c r="L1566" s="38"/>
      <c r="M1566" s="47"/>
    </row>
    <row r="1567" spans="10:13" x14ac:dyDescent="0.35">
      <c r="J1567" s="38"/>
      <c r="K1567" s="38"/>
      <c r="L1567" s="38"/>
      <c r="M1567" s="47"/>
    </row>
    <row r="1568" spans="10:13" x14ac:dyDescent="0.35">
      <c r="J1568" s="38"/>
      <c r="K1568" s="38"/>
      <c r="L1568" s="38"/>
      <c r="M1568" s="47"/>
    </row>
    <row r="1569" spans="10:13" x14ac:dyDescent="0.35">
      <c r="J1569" s="38"/>
      <c r="K1569" s="38"/>
      <c r="L1569" s="38"/>
      <c r="M1569" s="47"/>
    </row>
    <row r="1570" spans="10:13" x14ac:dyDescent="0.35">
      <c r="J1570" s="38"/>
      <c r="K1570" s="38"/>
      <c r="L1570" s="38"/>
      <c r="M1570" s="47"/>
    </row>
    <row r="1571" spans="10:13" x14ac:dyDescent="0.35">
      <c r="J1571" s="38"/>
      <c r="K1571" s="38"/>
      <c r="L1571" s="38"/>
      <c r="M1571" s="47"/>
    </row>
    <row r="1572" spans="10:13" x14ac:dyDescent="0.35">
      <c r="J1572" s="38"/>
      <c r="K1572" s="38"/>
      <c r="L1572" s="38"/>
      <c r="M1572" s="47"/>
    </row>
    <row r="1573" spans="10:13" x14ac:dyDescent="0.35">
      <c r="J1573" s="38"/>
      <c r="K1573" s="38"/>
      <c r="L1573" s="38"/>
      <c r="M1573" s="47"/>
    </row>
    <row r="1574" spans="10:13" x14ac:dyDescent="0.35">
      <c r="J1574" s="38"/>
      <c r="K1574" s="38"/>
      <c r="L1574" s="38"/>
      <c r="M1574" s="47"/>
    </row>
    <row r="1575" spans="10:13" x14ac:dyDescent="0.35">
      <c r="J1575" s="38"/>
      <c r="K1575" s="38"/>
      <c r="L1575" s="38"/>
      <c r="M1575" s="47"/>
    </row>
    <row r="1576" spans="10:13" x14ac:dyDescent="0.35">
      <c r="J1576" s="38"/>
      <c r="K1576" s="38"/>
      <c r="L1576" s="38"/>
      <c r="M1576" s="47"/>
    </row>
    <row r="1577" spans="10:13" x14ac:dyDescent="0.35">
      <c r="J1577" s="38"/>
      <c r="K1577" s="38"/>
      <c r="L1577" s="38"/>
      <c r="M1577" s="47"/>
    </row>
    <row r="1578" spans="10:13" x14ac:dyDescent="0.35">
      <c r="J1578" s="38"/>
      <c r="K1578" s="38"/>
      <c r="L1578" s="38"/>
      <c r="M1578" s="47"/>
    </row>
    <row r="1579" spans="10:13" x14ac:dyDescent="0.35">
      <c r="J1579" s="38"/>
      <c r="K1579" s="38"/>
      <c r="L1579" s="38"/>
      <c r="M1579" s="47"/>
    </row>
    <row r="1580" spans="10:13" x14ac:dyDescent="0.35">
      <c r="J1580" s="38"/>
      <c r="K1580" s="38"/>
      <c r="L1580" s="38"/>
      <c r="M1580" s="47"/>
    </row>
    <row r="1581" spans="10:13" x14ac:dyDescent="0.35">
      <c r="J1581" s="38"/>
      <c r="K1581" s="38"/>
      <c r="L1581" s="38"/>
      <c r="M1581" s="47"/>
    </row>
    <row r="1582" spans="10:13" x14ac:dyDescent="0.35">
      <c r="J1582" s="38"/>
      <c r="K1582" s="38"/>
      <c r="L1582" s="38"/>
      <c r="M1582" s="47"/>
    </row>
    <row r="1583" spans="10:13" x14ac:dyDescent="0.35">
      <c r="J1583" s="38"/>
      <c r="K1583" s="38"/>
      <c r="L1583" s="38"/>
      <c r="M1583" s="47"/>
    </row>
    <row r="1584" spans="10:13" x14ac:dyDescent="0.35">
      <c r="J1584" s="38"/>
      <c r="K1584" s="38"/>
      <c r="L1584" s="38"/>
      <c r="M1584" s="47"/>
    </row>
    <row r="1585" spans="10:13" x14ac:dyDescent="0.35">
      <c r="J1585" s="38"/>
      <c r="K1585" s="38"/>
      <c r="L1585" s="38"/>
      <c r="M1585" s="47"/>
    </row>
    <row r="1586" spans="10:13" x14ac:dyDescent="0.35">
      <c r="J1586" s="38"/>
      <c r="K1586" s="38"/>
      <c r="L1586" s="38"/>
      <c r="M1586" s="47"/>
    </row>
    <row r="1587" spans="10:13" x14ac:dyDescent="0.35">
      <c r="J1587" s="38"/>
      <c r="K1587" s="38"/>
      <c r="L1587" s="38"/>
      <c r="M1587" s="47"/>
    </row>
    <row r="1588" spans="10:13" x14ac:dyDescent="0.35">
      <c r="J1588" s="38"/>
      <c r="K1588" s="38"/>
      <c r="L1588" s="38"/>
      <c r="M1588" s="47"/>
    </row>
    <row r="1589" spans="10:13" x14ac:dyDescent="0.35">
      <c r="J1589" s="38"/>
      <c r="K1589" s="38"/>
      <c r="L1589" s="38"/>
      <c r="M1589" s="47"/>
    </row>
    <row r="1590" spans="10:13" x14ac:dyDescent="0.35">
      <c r="J1590" s="38"/>
      <c r="K1590" s="38"/>
      <c r="L1590" s="38"/>
      <c r="M1590" s="47"/>
    </row>
    <row r="1591" spans="10:13" x14ac:dyDescent="0.35">
      <c r="J1591" s="38"/>
      <c r="K1591" s="38"/>
      <c r="L1591" s="38"/>
      <c r="M1591" s="47"/>
    </row>
    <row r="1592" spans="10:13" x14ac:dyDescent="0.35">
      <c r="J1592" s="38"/>
      <c r="K1592" s="38"/>
      <c r="L1592" s="38"/>
      <c r="M1592" s="47"/>
    </row>
    <row r="1593" spans="10:13" x14ac:dyDescent="0.35">
      <c r="J1593" s="38"/>
      <c r="K1593" s="38"/>
      <c r="L1593" s="38"/>
      <c r="M1593" s="47"/>
    </row>
    <row r="1594" spans="10:13" x14ac:dyDescent="0.35">
      <c r="J1594" s="38"/>
      <c r="K1594" s="38"/>
      <c r="L1594" s="38"/>
      <c r="M1594" s="47"/>
    </row>
    <row r="1595" spans="10:13" x14ac:dyDescent="0.35">
      <c r="J1595" s="38"/>
      <c r="K1595" s="38"/>
      <c r="L1595" s="38"/>
      <c r="M1595" s="47"/>
    </row>
    <row r="1596" spans="10:13" x14ac:dyDescent="0.35">
      <c r="J1596" s="38"/>
      <c r="K1596" s="38"/>
      <c r="L1596" s="38"/>
      <c r="M1596" s="47"/>
    </row>
    <row r="1597" spans="10:13" x14ac:dyDescent="0.35">
      <c r="J1597" s="38"/>
      <c r="K1597" s="38"/>
      <c r="L1597" s="38"/>
      <c r="M1597" s="47"/>
    </row>
    <row r="1598" spans="10:13" x14ac:dyDescent="0.35">
      <c r="J1598" s="38"/>
      <c r="K1598" s="38"/>
      <c r="L1598" s="38"/>
      <c r="M1598" s="47"/>
    </row>
    <row r="1599" spans="10:13" x14ac:dyDescent="0.35">
      <c r="J1599" s="38"/>
      <c r="K1599" s="38"/>
      <c r="L1599" s="38"/>
      <c r="M1599" s="47"/>
    </row>
    <row r="1600" spans="10:13" x14ac:dyDescent="0.35">
      <c r="J1600" s="38"/>
      <c r="K1600" s="38"/>
      <c r="L1600" s="38"/>
      <c r="M1600" s="47"/>
    </row>
    <row r="1601" spans="10:13" x14ac:dyDescent="0.35">
      <c r="J1601" s="38"/>
      <c r="K1601" s="38"/>
      <c r="L1601" s="38"/>
      <c r="M1601" s="47"/>
    </row>
    <row r="1602" spans="10:13" x14ac:dyDescent="0.35">
      <c r="J1602" s="38"/>
      <c r="K1602" s="38"/>
      <c r="L1602" s="38"/>
      <c r="M1602" s="47"/>
    </row>
    <row r="1603" spans="10:13" x14ac:dyDescent="0.35">
      <c r="J1603" s="38"/>
      <c r="K1603" s="38"/>
      <c r="L1603" s="38"/>
      <c r="M1603" s="47"/>
    </row>
    <row r="1604" spans="10:13" x14ac:dyDescent="0.35">
      <c r="J1604" s="38"/>
      <c r="K1604" s="38"/>
      <c r="L1604" s="38"/>
      <c r="M1604" s="47"/>
    </row>
    <row r="1605" spans="10:13" x14ac:dyDescent="0.35">
      <c r="J1605" s="38"/>
      <c r="K1605" s="38"/>
      <c r="L1605" s="38"/>
      <c r="M1605" s="47"/>
    </row>
    <row r="1606" spans="10:13" x14ac:dyDescent="0.35">
      <c r="J1606" s="38"/>
      <c r="K1606" s="38"/>
      <c r="L1606" s="38"/>
      <c r="M1606" s="47"/>
    </row>
    <row r="1607" spans="10:13" x14ac:dyDescent="0.35">
      <c r="J1607" s="38"/>
      <c r="K1607" s="38"/>
      <c r="L1607" s="38"/>
      <c r="M1607" s="47"/>
    </row>
    <row r="1608" spans="10:13" x14ac:dyDescent="0.35">
      <c r="J1608" s="38"/>
      <c r="K1608" s="38"/>
      <c r="L1608" s="38"/>
      <c r="M1608" s="47"/>
    </row>
    <row r="1609" spans="10:13" x14ac:dyDescent="0.35">
      <c r="J1609" s="38"/>
      <c r="K1609" s="38"/>
      <c r="L1609" s="38"/>
      <c r="M1609" s="47"/>
    </row>
    <row r="1610" spans="10:13" x14ac:dyDescent="0.35">
      <c r="J1610" s="38"/>
      <c r="K1610" s="38"/>
      <c r="L1610" s="38"/>
      <c r="M1610" s="47"/>
    </row>
    <row r="1611" spans="10:13" x14ac:dyDescent="0.35">
      <c r="J1611" s="38"/>
      <c r="K1611" s="38"/>
      <c r="L1611" s="38"/>
      <c r="M1611" s="47"/>
    </row>
    <row r="1612" spans="10:13" x14ac:dyDescent="0.35">
      <c r="J1612" s="38"/>
      <c r="K1612" s="38"/>
      <c r="L1612" s="38"/>
      <c r="M1612" s="47"/>
    </row>
    <row r="1613" spans="10:13" x14ac:dyDescent="0.35">
      <c r="J1613" s="38"/>
      <c r="K1613" s="38"/>
      <c r="L1613" s="38"/>
      <c r="M1613" s="47"/>
    </row>
    <row r="1614" spans="10:13" x14ac:dyDescent="0.35">
      <c r="J1614" s="38"/>
      <c r="K1614" s="38"/>
      <c r="L1614" s="38"/>
      <c r="M1614" s="47"/>
    </row>
    <row r="1615" spans="10:13" x14ac:dyDescent="0.35">
      <c r="J1615" s="38"/>
      <c r="K1615" s="38"/>
      <c r="L1615" s="38"/>
      <c r="M1615" s="47"/>
    </row>
    <row r="1616" spans="10:13" x14ac:dyDescent="0.35">
      <c r="J1616" s="38"/>
      <c r="K1616" s="38"/>
      <c r="L1616" s="38"/>
      <c r="M1616" s="47"/>
    </row>
    <row r="1617" spans="10:13" x14ac:dyDescent="0.35">
      <c r="J1617" s="38"/>
      <c r="K1617" s="38"/>
      <c r="L1617" s="38"/>
      <c r="M1617" s="47"/>
    </row>
    <row r="1618" spans="10:13" x14ac:dyDescent="0.35">
      <c r="J1618" s="38"/>
      <c r="K1618" s="38"/>
      <c r="L1618" s="38"/>
      <c r="M1618" s="47"/>
    </row>
    <row r="1619" spans="10:13" x14ac:dyDescent="0.35">
      <c r="J1619" s="38"/>
      <c r="K1619" s="38"/>
      <c r="L1619" s="38"/>
      <c r="M1619" s="47"/>
    </row>
    <row r="1620" spans="10:13" x14ac:dyDescent="0.35">
      <c r="J1620" s="38"/>
      <c r="K1620" s="38"/>
      <c r="L1620" s="38"/>
      <c r="M1620" s="47"/>
    </row>
    <row r="1621" spans="10:13" x14ac:dyDescent="0.35">
      <c r="J1621" s="38"/>
      <c r="K1621" s="38"/>
      <c r="L1621" s="38"/>
      <c r="M1621" s="47"/>
    </row>
  </sheetData>
  <autoFilter ref="A1:Z20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39"/>
  <sheetViews>
    <sheetView topLeftCell="D1" workbookViewId="0">
      <selection activeCell="F1" sqref="F1:W1048576"/>
    </sheetView>
  </sheetViews>
  <sheetFormatPr defaultColWidth="10.90625" defaultRowHeight="14.5" x14ac:dyDescent="0.35"/>
  <cols>
    <col min="1" max="1" width="4.90625" style="38" customWidth="1"/>
    <col min="2" max="2" width="18.36328125" style="38" customWidth="1"/>
    <col min="3" max="4" width="9.453125" style="38" customWidth="1"/>
    <col min="5" max="5" width="15.54296875" style="39" customWidth="1"/>
    <col min="6" max="6" width="9.36328125" style="39" customWidth="1"/>
    <col min="7" max="7" width="7.08984375" style="39" customWidth="1"/>
    <col min="8" max="8" width="21.453125" style="40" customWidth="1"/>
    <col min="9" max="9" width="7.90625" style="38" customWidth="1"/>
    <col min="10" max="11" width="19.453125" customWidth="1"/>
    <col min="14" max="14" width="19.36328125" style="38" customWidth="1"/>
    <col min="15" max="15" width="20" style="38" customWidth="1"/>
    <col min="16" max="16" width="7.6328125" style="38" customWidth="1"/>
    <col min="17" max="17" width="8.36328125" style="38" customWidth="1"/>
    <col min="18" max="18" width="7.90625" style="38" customWidth="1"/>
    <col min="19" max="19" width="8.36328125" style="38" customWidth="1"/>
    <col min="20" max="20" width="7.90625" style="49" customWidth="1"/>
    <col min="21" max="21" width="7.90625" style="38" customWidth="1"/>
    <col min="22" max="23" width="9.453125" style="38" customWidth="1"/>
    <col min="24" max="24" width="10.90625" style="38" customWidth="1"/>
    <col min="25" max="25" width="8.54296875" style="38" customWidth="1"/>
    <col min="26" max="26" width="7.453125" style="38" customWidth="1"/>
  </cols>
  <sheetData>
    <row r="1" spans="1:26" ht="58" x14ac:dyDescent="0.35">
      <c r="A1" s="35" t="s">
        <v>0</v>
      </c>
      <c r="B1" s="35" t="s">
        <v>1</v>
      </c>
      <c r="C1" s="35" t="s">
        <v>9</v>
      </c>
      <c r="D1" s="35" t="s">
        <v>8</v>
      </c>
      <c r="E1" s="36" t="s">
        <v>2</v>
      </c>
      <c r="F1" s="36" t="s">
        <v>39</v>
      </c>
      <c r="G1" s="36" t="s">
        <v>40</v>
      </c>
      <c r="H1" s="37" t="s">
        <v>3</v>
      </c>
      <c r="I1" s="35" t="s">
        <v>42</v>
      </c>
      <c r="J1" s="38" t="s">
        <v>44</v>
      </c>
      <c r="K1" s="38" t="s">
        <v>45</v>
      </c>
      <c r="L1" s="44" t="s">
        <v>46</v>
      </c>
      <c r="M1" s="45" t="s">
        <v>47</v>
      </c>
      <c r="N1" s="38" t="s">
        <v>44</v>
      </c>
      <c r="O1" s="38" t="s">
        <v>45</v>
      </c>
      <c r="P1" s="44" t="s">
        <v>46</v>
      </c>
      <c r="Q1" s="45" t="s">
        <v>47</v>
      </c>
      <c r="R1" s="35" t="s">
        <v>42</v>
      </c>
      <c r="S1" s="35" t="s">
        <v>41</v>
      </c>
      <c r="T1" s="48" t="s">
        <v>49</v>
      </c>
      <c r="U1" s="35" t="s">
        <v>50</v>
      </c>
      <c r="V1" s="35" t="s">
        <v>9</v>
      </c>
      <c r="W1" s="35" t="s">
        <v>8</v>
      </c>
      <c r="X1" s="44" t="s">
        <v>48</v>
      </c>
      <c r="Y1" s="35" t="s">
        <v>13</v>
      </c>
      <c r="Z1" s="35" t="s">
        <v>4</v>
      </c>
    </row>
    <row r="2" spans="1:26" ht="14.4" x14ac:dyDescent="0.3">
      <c r="A2" s="41">
        <v>230</v>
      </c>
      <c r="B2" s="41" t="s">
        <v>5</v>
      </c>
      <c r="C2" s="41" t="s">
        <v>10</v>
      </c>
      <c r="D2" s="41">
        <v>91001</v>
      </c>
      <c r="E2" s="39">
        <v>200025888982</v>
      </c>
      <c r="F2" s="39" t="s">
        <v>18</v>
      </c>
      <c r="G2" s="39">
        <v>6</v>
      </c>
      <c r="H2" s="40">
        <v>45801.31391203704</v>
      </c>
      <c r="I2" s="38">
        <v>1</v>
      </c>
      <c r="J2" s="40">
        <v>45797.813101851854</v>
      </c>
      <c r="K2" s="40">
        <v>45801.31391203704</v>
      </c>
      <c r="L2" s="46">
        <f>(K2-J2)*24</f>
        <v>84.019444444449618</v>
      </c>
      <c r="M2" s="52">
        <v>84.019444444449618</v>
      </c>
      <c r="N2" s="40">
        <v>45798.750671296293</v>
      </c>
      <c r="O2" s="40">
        <v>45801.31391203704</v>
      </c>
      <c r="P2" s="46">
        <f t="shared" ref="P2:P8" si="0">(O2-N2)*24</f>
        <v>61.517777777917217</v>
      </c>
      <c r="Q2" s="47">
        <v>61.517777777917217</v>
      </c>
      <c r="R2" s="38">
        <v>1</v>
      </c>
      <c r="S2" s="38">
        <v>10</v>
      </c>
      <c r="T2" s="49" t="s">
        <v>51</v>
      </c>
      <c r="U2" s="38">
        <v>2</v>
      </c>
      <c r="V2" s="41" t="s">
        <v>10</v>
      </c>
      <c r="W2" s="41">
        <v>91001</v>
      </c>
      <c r="X2" s="44"/>
      <c r="Y2" s="38">
        <v>198</v>
      </c>
      <c r="Z2" s="41">
        <v>1</v>
      </c>
    </row>
    <row r="3" spans="1:26" ht="14.4" x14ac:dyDescent="0.3">
      <c r="A3" s="38">
        <v>81</v>
      </c>
      <c r="B3" s="38" t="s">
        <v>5</v>
      </c>
      <c r="C3" s="38" t="s">
        <v>10</v>
      </c>
      <c r="D3" s="38">
        <v>91001</v>
      </c>
      <c r="E3" s="39">
        <v>200025888137</v>
      </c>
      <c r="F3" s="39" t="s">
        <v>15</v>
      </c>
      <c r="G3" s="39">
        <v>46</v>
      </c>
      <c r="H3" s="40">
        <v>45798.677743055552</v>
      </c>
      <c r="I3" s="38">
        <v>2</v>
      </c>
      <c r="J3" s="40">
        <v>45797.843229166669</v>
      </c>
      <c r="K3" s="40">
        <v>45798.677743055552</v>
      </c>
      <c r="L3" s="46">
        <f>(K3-J3)*24</f>
        <v>20.0283333332045</v>
      </c>
      <c r="M3" s="47">
        <v>20.0283333332045</v>
      </c>
      <c r="N3" s="40">
        <v>45798.511724537035</v>
      </c>
      <c r="O3" s="40">
        <v>45798.677743055552</v>
      </c>
      <c r="P3" s="46">
        <f t="shared" si="0"/>
        <v>3.9844444444170222</v>
      </c>
      <c r="Q3" s="47">
        <v>3.9844444444170222</v>
      </c>
      <c r="R3" s="38">
        <v>2</v>
      </c>
      <c r="S3" s="38">
        <v>26</v>
      </c>
      <c r="T3" s="49" t="s">
        <v>52</v>
      </c>
      <c r="U3" s="38">
        <v>2</v>
      </c>
      <c r="V3" s="38" t="s">
        <v>10</v>
      </c>
      <c r="W3" s="38">
        <v>91001</v>
      </c>
      <c r="X3" s="47"/>
      <c r="Y3" s="38">
        <v>49</v>
      </c>
      <c r="Z3" s="38">
        <v>0</v>
      </c>
    </row>
    <row r="4" spans="1:26" ht="14.4" x14ac:dyDescent="0.3">
      <c r="A4" s="41">
        <v>204</v>
      </c>
      <c r="B4" s="41" t="s">
        <v>5</v>
      </c>
      <c r="C4" s="41" t="s">
        <v>10</v>
      </c>
      <c r="D4" s="41">
        <v>91001</v>
      </c>
      <c r="E4" s="39">
        <v>200025888200</v>
      </c>
      <c r="F4" s="39" t="s">
        <v>17</v>
      </c>
      <c r="G4" s="39">
        <v>34</v>
      </c>
      <c r="H4" s="40">
        <v>45799.753252314818</v>
      </c>
      <c r="I4" s="38">
        <v>3</v>
      </c>
      <c r="J4" s="40">
        <v>45798.247002314813</v>
      </c>
      <c r="K4" s="40">
        <v>45799.753252314818</v>
      </c>
      <c r="L4" s="46">
        <f>(K4-J4)*24</f>
        <v>36.150000000139698</v>
      </c>
      <c r="M4" s="47">
        <v>36.150000000139698</v>
      </c>
      <c r="N4" s="40">
        <v>45798.247002314813</v>
      </c>
      <c r="O4" s="40">
        <v>45798.367731481485</v>
      </c>
      <c r="P4" s="46">
        <f t="shared" si="0"/>
        <v>2.8975000001373701</v>
      </c>
      <c r="Q4" s="47">
        <v>2.8975000001373701</v>
      </c>
      <c r="R4" s="38">
        <v>3</v>
      </c>
      <c r="S4" s="38">
        <v>12</v>
      </c>
      <c r="T4" s="49" t="s">
        <v>53</v>
      </c>
      <c r="U4" s="38">
        <v>1</v>
      </c>
      <c r="V4" s="41" t="s">
        <v>10</v>
      </c>
      <c r="W4" s="41">
        <v>91001</v>
      </c>
      <c r="X4" s="47"/>
      <c r="Y4" s="38">
        <v>172</v>
      </c>
      <c r="Z4" s="41">
        <v>0</v>
      </c>
    </row>
    <row r="5" spans="1:26" ht="14.4" x14ac:dyDescent="0.3">
      <c r="A5" s="38">
        <v>170</v>
      </c>
      <c r="B5" s="38" t="s">
        <v>5</v>
      </c>
      <c r="C5" s="38" t="s">
        <v>10</v>
      </c>
      <c r="D5" s="38">
        <v>91001</v>
      </c>
      <c r="E5" s="39">
        <v>200025888824</v>
      </c>
      <c r="F5" s="39" t="s">
        <v>35</v>
      </c>
      <c r="G5" s="39">
        <v>32</v>
      </c>
      <c r="H5" s="40">
        <v>45799.266342592593</v>
      </c>
      <c r="I5" s="38">
        <v>4</v>
      </c>
      <c r="J5" s="40"/>
      <c r="K5" s="40"/>
      <c r="L5" s="46"/>
      <c r="M5" s="47"/>
      <c r="N5" s="40">
        <v>45798.453252314815</v>
      </c>
      <c r="O5" s="40">
        <v>45799.266342592593</v>
      </c>
      <c r="P5" s="46">
        <f t="shared" si="0"/>
        <v>19.514166666660458</v>
      </c>
      <c r="Q5" s="47">
        <v>19.514166666660458</v>
      </c>
      <c r="R5" s="38">
        <v>4</v>
      </c>
      <c r="S5" s="38">
        <v>18</v>
      </c>
      <c r="T5" s="49" t="s">
        <v>53</v>
      </c>
      <c r="U5" s="38">
        <v>1</v>
      </c>
      <c r="V5" s="38" t="s">
        <v>10</v>
      </c>
      <c r="W5" s="38">
        <v>91001</v>
      </c>
      <c r="X5" s="47"/>
      <c r="Y5" s="38">
        <v>138</v>
      </c>
      <c r="Z5" s="38">
        <v>2</v>
      </c>
    </row>
    <row r="6" spans="1:26" ht="14.4" x14ac:dyDescent="0.3">
      <c r="A6" s="41">
        <v>215</v>
      </c>
      <c r="B6" s="41" t="s">
        <v>5</v>
      </c>
      <c r="C6" s="41" t="s">
        <v>10</v>
      </c>
      <c r="D6" s="41">
        <v>91001</v>
      </c>
      <c r="E6" s="39">
        <v>200025888201</v>
      </c>
      <c r="F6" s="39" t="s">
        <v>20</v>
      </c>
      <c r="G6" s="39">
        <v>20</v>
      </c>
      <c r="H6" s="40">
        <v>45799.887731481482</v>
      </c>
      <c r="I6" s="38">
        <v>5</v>
      </c>
      <c r="J6" s="40">
        <v>45798.499212962961</v>
      </c>
      <c r="K6" s="40">
        <v>45799.887731481482</v>
      </c>
      <c r="L6" s="46">
        <f>(K6-J6)*24</f>
        <v>33.324444444500841</v>
      </c>
      <c r="M6" s="47">
        <v>33.324444444500841</v>
      </c>
      <c r="N6" s="40">
        <v>45799.887256944443</v>
      </c>
      <c r="O6" s="40">
        <v>45799.887731481482</v>
      </c>
      <c r="P6" s="46">
        <f t="shared" si="0"/>
        <v>1.1388888931833208E-2</v>
      </c>
      <c r="Q6" s="47">
        <v>1</v>
      </c>
      <c r="R6" s="38">
        <v>5</v>
      </c>
      <c r="S6" s="38">
        <v>3</v>
      </c>
      <c r="T6" s="49" t="s">
        <v>52</v>
      </c>
      <c r="U6" s="38">
        <v>2</v>
      </c>
      <c r="V6" s="41" t="s">
        <v>10</v>
      </c>
      <c r="W6" s="41">
        <v>91001</v>
      </c>
      <c r="X6" s="47"/>
      <c r="Y6" s="38">
        <v>183</v>
      </c>
      <c r="Z6" s="41">
        <v>0</v>
      </c>
    </row>
    <row r="7" spans="1:26" ht="14.4" x14ac:dyDescent="0.3">
      <c r="A7" s="38">
        <v>31</v>
      </c>
      <c r="B7" s="41" t="s">
        <v>7</v>
      </c>
      <c r="C7" s="38" t="s">
        <v>12</v>
      </c>
      <c r="D7" s="42">
        <v>93202</v>
      </c>
      <c r="E7" s="39">
        <v>200025888654</v>
      </c>
      <c r="F7" s="39" t="s">
        <v>14</v>
      </c>
      <c r="G7" s="39">
        <v>1</v>
      </c>
      <c r="H7" s="40">
        <v>45798.914050925923</v>
      </c>
      <c r="I7" s="38">
        <v>6</v>
      </c>
      <c r="J7" s="38"/>
      <c r="K7" s="38"/>
      <c r="L7" s="38"/>
      <c r="M7" s="47"/>
      <c r="N7" s="40">
        <v>45798.654340277775</v>
      </c>
      <c r="O7" s="40">
        <v>45798.914050925923</v>
      </c>
      <c r="P7" s="46">
        <f t="shared" si="0"/>
        <v>6.2330555555527098</v>
      </c>
      <c r="Q7" s="47">
        <v>6.2330555555527098</v>
      </c>
      <c r="R7" s="38">
        <v>6</v>
      </c>
      <c r="S7" s="38">
        <v>19</v>
      </c>
      <c r="T7" s="49" t="s">
        <v>52</v>
      </c>
      <c r="U7" s="38">
        <v>2</v>
      </c>
      <c r="V7" s="38" t="s">
        <v>12</v>
      </c>
      <c r="W7" s="42">
        <v>93202</v>
      </c>
      <c r="X7" s="47"/>
      <c r="Y7" s="41">
        <v>4</v>
      </c>
      <c r="Z7" s="41">
        <v>0</v>
      </c>
    </row>
    <row r="8" spans="1:26" ht="14.4" x14ac:dyDescent="0.3">
      <c r="A8" s="41">
        <v>225</v>
      </c>
      <c r="B8" s="41" t="s">
        <v>5</v>
      </c>
      <c r="C8" s="41" t="s">
        <v>10</v>
      </c>
      <c r="D8" s="41">
        <v>91001</v>
      </c>
      <c r="E8" s="39">
        <v>200025888863</v>
      </c>
      <c r="F8" s="39" t="s">
        <v>31</v>
      </c>
      <c r="G8" s="39">
        <v>26</v>
      </c>
      <c r="H8" s="40">
        <v>45800.38013888889</v>
      </c>
      <c r="I8" s="38">
        <v>7</v>
      </c>
      <c r="J8" s="40">
        <v>45798.704502314817</v>
      </c>
      <c r="K8" s="40">
        <v>45800.38013888889</v>
      </c>
      <c r="L8" s="46">
        <f>(K8-J8)*24</f>
        <v>40.215277777751908</v>
      </c>
      <c r="M8" s="47">
        <v>40.215277777751908</v>
      </c>
      <c r="N8" s="40">
        <v>45798.704502314817</v>
      </c>
      <c r="O8" s="40">
        <v>45799.255231481482</v>
      </c>
      <c r="P8" s="46">
        <f t="shared" si="0"/>
        <v>13.217499999969732</v>
      </c>
      <c r="Q8" s="47">
        <v>13.217499999969732</v>
      </c>
      <c r="R8" s="38">
        <v>7</v>
      </c>
      <c r="S8" s="38">
        <v>17</v>
      </c>
      <c r="T8" s="49" t="s">
        <v>53</v>
      </c>
      <c r="U8" s="38">
        <v>1</v>
      </c>
      <c r="V8" s="41" t="s">
        <v>10</v>
      </c>
      <c r="W8" s="41">
        <v>91001</v>
      </c>
      <c r="X8" s="47"/>
      <c r="Y8" s="38">
        <v>193</v>
      </c>
      <c r="Z8" s="41">
        <v>1</v>
      </c>
    </row>
    <row r="9" spans="1:26" ht="14.4" x14ac:dyDescent="0.3">
      <c r="A9" s="38">
        <v>180</v>
      </c>
      <c r="B9" s="38" t="s">
        <v>5</v>
      </c>
      <c r="C9" s="38" t="s">
        <v>10</v>
      </c>
      <c r="D9" s="38">
        <v>91001</v>
      </c>
      <c r="E9" s="39">
        <v>200025888163</v>
      </c>
      <c r="F9" s="39" t="s">
        <v>43</v>
      </c>
      <c r="G9" s="39">
        <v>3</v>
      </c>
      <c r="H9" s="40">
        <v>45799.495081018518</v>
      </c>
      <c r="I9" s="38">
        <v>8</v>
      </c>
      <c r="J9" s="40">
        <v>45798.715636574074</v>
      </c>
      <c r="K9" s="40">
        <v>45799.495081018518</v>
      </c>
      <c r="L9" s="46">
        <f t="shared" ref="L9" si="1">(K9-J9)*24</f>
        <v>18.706666666665114</v>
      </c>
      <c r="M9" s="47">
        <v>18.706666666665114</v>
      </c>
      <c r="N9" s="40">
        <v>45798.715636574074</v>
      </c>
      <c r="O9" s="40">
        <v>45798.727210648147</v>
      </c>
      <c r="P9" s="46">
        <f t="shared" ref="P9:P10" si="2">(O9-N9)*24</f>
        <v>0.27777777775190771</v>
      </c>
      <c r="Q9" s="47">
        <v>1</v>
      </c>
      <c r="R9" s="38">
        <v>8</v>
      </c>
      <c r="S9" s="38">
        <v>8</v>
      </c>
      <c r="T9" s="49" t="s">
        <v>53</v>
      </c>
      <c r="U9" s="38">
        <v>1</v>
      </c>
      <c r="V9" s="38" t="s">
        <v>10</v>
      </c>
      <c r="W9" s="38">
        <v>91001</v>
      </c>
      <c r="X9" s="47"/>
      <c r="Y9" s="38">
        <v>148</v>
      </c>
      <c r="Z9" s="38">
        <v>3</v>
      </c>
    </row>
    <row r="10" spans="1:26" ht="14.4" x14ac:dyDescent="0.3">
      <c r="A10" s="38">
        <v>92</v>
      </c>
      <c r="B10" s="38" t="s">
        <v>5</v>
      </c>
      <c r="C10" s="38" t="s">
        <v>10</v>
      </c>
      <c r="D10" s="38">
        <v>91001</v>
      </c>
      <c r="E10" s="39">
        <v>200025888740</v>
      </c>
      <c r="F10" s="39" t="s">
        <v>34</v>
      </c>
      <c r="G10" s="39">
        <v>50</v>
      </c>
      <c r="H10" s="40">
        <v>45798.725243055553</v>
      </c>
      <c r="I10" s="38">
        <v>9</v>
      </c>
      <c r="J10" s="38"/>
      <c r="K10" s="38"/>
      <c r="L10" s="38"/>
      <c r="M10" s="47"/>
      <c r="N10" s="40">
        <v>45798.725243055553</v>
      </c>
      <c r="O10" s="40">
        <v>45798.725243055553</v>
      </c>
      <c r="P10" s="46">
        <f t="shared" si="2"/>
        <v>0</v>
      </c>
      <c r="Q10" s="47">
        <v>1</v>
      </c>
      <c r="R10" s="38">
        <v>9</v>
      </c>
      <c r="S10" s="38">
        <v>1</v>
      </c>
      <c r="T10" s="49" t="s">
        <v>53</v>
      </c>
      <c r="U10" s="38">
        <v>1</v>
      </c>
      <c r="V10" s="38" t="s">
        <v>10</v>
      </c>
      <c r="W10" s="38">
        <v>91001</v>
      </c>
      <c r="X10" s="47" t="e">
        <f>(#REF!-H10)*24</f>
        <v>#REF!</v>
      </c>
      <c r="Y10" s="38">
        <v>60</v>
      </c>
      <c r="Z10" s="38">
        <v>0</v>
      </c>
    </row>
    <row r="11" spans="1:26" ht="14.4" x14ac:dyDescent="0.3">
      <c r="A11" s="38">
        <v>162</v>
      </c>
      <c r="B11" s="38" t="s">
        <v>5</v>
      </c>
      <c r="C11" s="38" t="s">
        <v>10</v>
      </c>
      <c r="D11" s="38">
        <v>91001</v>
      </c>
      <c r="E11" s="39">
        <v>200025888717</v>
      </c>
      <c r="F11" s="39" t="s">
        <v>33</v>
      </c>
      <c r="G11" s="39">
        <v>48</v>
      </c>
      <c r="H11" s="40">
        <v>45799.219328703701</v>
      </c>
      <c r="I11" s="38">
        <v>10</v>
      </c>
      <c r="J11" s="38"/>
      <c r="K11" s="38"/>
      <c r="L11" s="38"/>
      <c r="M11" s="47"/>
      <c r="N11" s="40">
        <v>45798.774699074071</v>
      </c>
      <c r="O11" s="40">
        <v>45799.219328703701</v>
      </c>
      <c r="P11" s="46">
        <f t="shared" ref="P11" si="3">(O11-N11)*24</f>
        <v>10.671111111121718</v>
      </c>
      <c r="Q11" s="47">
        <v>10.671111111121718</v>
      </c>
      <c r="R11" s="38">
        <v>10</v>
      </c>
      <c r="S11" s="38">
        <v>15</v>
      </c>
      <c r="T11" s="49" t="s">
        <v>53</v>
      </c>
      <c r="U11" s="38">
        <v>1</v>
      </c>
      <c r="V11" s="38" t="s">
        <v>10</v>
      </c>
      <c r="W11" s="38">
        <v>91001</v>
      </c>
      <c r="X11" s="47"/>
      <c r="Y11" s="38">
        <v>130</v>
      </c>
      <c r="Z11" s="38">
        <v>0</v>
      </c>
    </row>
    <row r="12" spans="1:26" ht="14.4" x14ac:dyDescent="0.3">
      <c r="A12" s="38">
        <v>110</v>
      </c>
      <c r="B12" s="38" t="s">
        <v>5</v>
      </c>
      <c r="C12" s="38" t="s">
        <v>10</v>
      </c>
      <c r="D12" s="38">
        <v>91001</v>
      </c>
      <c r="E12" s="39">
        <v>200025888839</v>
      </c>
      <c r="F12" s="39" t="s">
        <v>26</v>
      </c>
      <c r="G12" s="39">
        <v>16</v>
      </c>
      <c r="H12" s="40">
        <v>45798.810335648152</v>
      </c>
      <c r="I12" s="38">
        <v>11</v>
      </c>
      <c r="J12" s="38"/>
      <c r="K12" s="38"/>
      <c r="L12" s="38"/>
      <c r="M12" s="47"/>
      <c r="N12" s="40">
        <v>45798.810324074075</v>
      </c>
      <c r="O12" s="40">
        <v>45798.810335648152</v>
      </c>
      <c r="P12" s="46">
        <f t="shared" ref="P12" si="4">(O12-N12)*24</f>
        <v>2.7777784271165729E-4</v>
      </c>
      <c r="Q12" s="47">
        <v>1</v>
      </c>
      <c r="R12" s="38">
        <v>11</v>
      </c>
      <c r="S12" s="38">
        <v>3</v>
      </c>
      <c r="V12" s="38" t="s">
        <v>10</v>
      </c>
      <c r="W12" s="38">
        <v>91001</v>
      </c>
      <c r="X12" s="47"/>
      <c r="Y12" s="38">
        <v>78</v>
      </c>
      <c r="Z12" s="38">
        <v>0</v>
      </c>
    </row>
    <row r="13" spans="1:26" ht="14.4" x14ac:dyDescent="0.3">
      <c r="A13" s="38">
        <v>194</v>
      </c>
      <c r="B13" s="38" t="s">
        <v>5</v>
      </c>
      <c r="C13" s="38" t="s">
        <v>10</v>
      </c>
      <c r="D13" s="38">
        <v>91001</v>
      </c>
      <c r="E13" s="39">
        <v>200025888808</v>
      </c>
      <c r="F13" s="39" t="s">
        <v>36</v>
      </c>
      <c r="G13" s="39">
        <v>43</v>
      </c>
      <c r="H13" s="40">
        <v>45799.583252314813</v>
      </c>
      <c r="I13" s="38">
        <v>12</v>
      </c>
      <c r="J13" s="38"/>
      <c r="K13" s="38"/>
      <c r="L13" s="38"/>
      <c r="M13" s="47"/>
      <c r="N13" s="40">
        <v>45798.901967592596</v>
      </c>
      <c r="O13" s="40">
        <v>45799.583252314813</v>
      </c>
      <c r="P13" s="46">
        <f t="shared" ref="P13" si="5">(O13-N13)*24</f>
        <v>16.350833333213814</v>
      </c>
      <c r="Q13" s="46">
        <v>16.350833333213814</v>
      </c>
      <c r="R13" s="38">
        <v>12</v>
      </c>
      <c r="S13" s="38">
        <v>13</v>
      </c>
      <c r="T13" s="49" t="s">
        <v>53</v>
      </c>
      <c r="U13" s="38">
        <v>1</v>
      </c>
      <c r="V13" s="38" t="s">
        <v>10</v>
      </c>
      <c r="W13" s="38">
        <v>91001</v>
      </c>
      <c r="X13" s="47"/>
      <c r="Y13" s="38">
        <v>162</v>
      </c>
      <c r="Z13" s="38">
        <v>1</v>
      </c>
    </row>
    <row r="14" spans="1:26" ht="14.4" x14ac:dyDescent="0.3">
      <c r="A14" s="38">
        <v>175</v>
      </c>
      <c r="B14" s="38" t="s">
        <v>5</v>
      </c>
      <c r="C14" s="38" t="s">
        <v>10</v>
      </c>
      <c r="D14" s="38">
        <v>91001</v>
      </c>
      <c r="E14" s="39">
        <v>200025888791</v>
      </c>
      <c r="F14" s="39" t="s">
        <v>19</v>
      </c>
      <c r="G14" s="39">
        <v>7</v>
      </c>
      <c r="H14" s="40">
        <v>45799.405416666668</v>
      </c>
      <c r="I14" s="38">
        <v>13</v>
      </c>
      <c r="J14" s="38"/>
      <c r="K14" s="38"/>
      <c r="L14" s="38"/>
      <c r="M14" s="47"/>
      <c r="N14" s="40">
        <v>45798.904317129629</v>
      </c>
      <c r="O14" s="40">
        <v>45799.405416666668</v>
      </c>
      <c r="P14" s="46">
        <f t="shared" ref="P14" si="6">(O14-N14)*24</f>
        <v>12.026388888945803</v>
      </c>
      <c r="Q14" s="47">
        <v>12.026388888945803</v>
      </c>
      <c r="R14" s="38">
        <v>13</v>
      </c>
      <c r="S14" s="38">
        <v>11</v>
      </c>
      <c r="T14" s="49" t="s">
        <v>53</v>
      </c>
      <c r="U14" s="38">
        <v>1</v>
      </c>
      <c r="V14" s="38" t="s">
        <v>10</v>
      </c>
      <c r="W14" s="38">
        <v>91001</v>
      </c>
      <c r="X14" s="47"/>
      <c r="Y14" s="38">
        <v>143</v>
      </c>
      <c r="Z14" s="38">
        <v>1306</v>
      </c>
    </row>
    <row r="15" spans="1:26" ht="14.4" x14ac:dyDescent="0.3">
      <c r="A15" s="41">
        <v>166</v>
      </c>
      <c r="B15" s="38" t="s">
        <v>5</v>
      </c>
      <c r="C15" s="38" t="s">
        <v>10</v>
      </c>
      <c r="D15" s="38">
        <v>91001</v>
      </c>
      <c r="E15" s="39">
        <v>200025888868</v>
      </c>
      <c r="F15" s="39" t="s">
        <v>38</v>
      </c>
      <c r="G15" s="39">
        <v>44</v>
      </c>
      <c r="H15" s="40">
        <v>45799.257881944446</v>
      </c>
      <c r="I15" s="38">
        <v>14</v>
      </c>
      <c r="J15" s="38"/>
      <c r="K15" s="38"/>
      <c r="L15" s="38"/>
      <c r="M15" s="47"/>
      <c r="N15" s="40">
        <v>45798.908206018517</v>
      </c>
      <c r="O15" s="40">
        <v>45799.257881944446</v>
      </c>
      <c r="P15" s="46">
        <f t="shared" ref="P15:P16" si="7">(O15-N15)*24</f>
        <v>8.3922222222900018</v>
      </c>
      <c r="Q15" s="47">
        <v>8.3922222222900018</v>
      </c>
      <c r="R15" s="38">
        <v>14</v>
      </c>
      <c r="S15" s="38">
        <v>4</v>
      </c>
      <c r="T15" s="49" t="s">
        <v>52</v>
      </c>
      <c r="U15" s="38">
        <v>2</v>
      </c>
      <c r="V15" s="38" t="s">
        <v>10</v>
      </c>
      <c r="W15" s="38">
        <v>91001</v>
      </c>
      <c r="X15" s="47"/>
      <c r="Y15" s="38">
        <v>134</v>
      </c>
      <c r="Z15" s="38">
        <v>1</v>
      </c>
    </row>
    <row r="16" spans="1:26" ht="14.4" x14ac:dyDescent="0.3">
      <c r="A16" s="38">
        <v>32</v>
      </c>
      <c r="B16" s="41" t="s">
        <v>7</v>
      </c>
      <c r="C16" s="38" t="s">
        <v>12</v>
      </c>
      <c r="D16" s="42">
        <v>93202</v>
      </c>
      <c r="E16" s="39">
        <v>200025888504</v>
      </c>
      <c r="F16" s="39" t="s">
        <v>27</v>
      </c>
      <c r="G16" s="39">
        <v>40</v>
      </c>
      <c r="H16" s="40">
        <v>45798.931296296294</v>
      </c>
      <c r="I16" s="38">
        <v>15</v>
      </c>
      <c r="J16" s="38"/>
      <c r="K16" s="38"/>
      <c r="L16" s="38"/>
      <c r="M16" s="47"/>
      <c r="N16" s="40">
        <v>45798.931296296294</v>
      </c>
      <c r="O16" s="40">
        <v>45798.931296296294</v>
      </c>
      <c r="P16" s="46">
        <f t="shared" si="7"/>
        <v>0</v>
      </c>
      <c r="Q16" s="47">
        <v>1</v>
      </c>
      <c r="R16" s="38">
        <v>15</v>
      </c>
      <c r="S16" s="38">
        <v>1</v>
      </c>
      <c r="V16" s="38" t="s">
        <v>12</v>
      </c>
      <c r="W16" s="42">
        <v>93202</v>
      </c>
      <c r="X16" s="47" t="e">
        <f>(#REF!-H16)*24</f>
        <v>#REF!</v>
      </c>
      <c r="Y16" s="41">
        <v>5</v>
      </c>
      <c r="Z16" s="41">
        <v>0</v>
      </c>
    </row>
    <row r="17" spans="1:26" ht="14.4" x14ac:dyDescent="0.3">
      <c r="A17" s="41">
        <v>205</v>
      </c>
      <c r="B17" s="41" t="s">
        <v>5</v>
      </c>
      <c r="C17" s="41" t="s">
        <v>10</v>
      </c>
      <c r="D17" s="41">
        <v>91001</v>
      </c>
      <c r="E17" s="39">
        <v>200025888216</v>
      </c>
      <c r="F17" s="39" t="s">
        <v>21</v>
      </c>
      <c r="G17" s="39">
        <v>33</v>
      </c>
      <c r="H17" s="40">
        <v>45799.801666666666</v>
      </c>
      <c r="I17" s="38">
        <v>16</v>
      </c>
      <c r="J17" s="38"/>
      <c r="K17" s="38"/>
      <c r="L17" s="38"/>
      <c r="M17" s="47"/>
      <c r="N17" s="40">
        <v>45799.040590277778</v>
      </c>
      <c r="O17" s="40">
        <v>45799.801666666666</v>
      </c>
      <c r="P17" s="46">
        <f t="shared" ref="P17" si="8">(O17-N17)*24</f>
        <v>18.265833333309274</v>
      </c>
      <c r="Q17" s="47">
        <v>18.265833333309274</v>
      </c>
      <c r="R17" s="38">
        <v>16</v>
      </c>
      <c r="S17" s="38">
        <v>4</v>
      </c>
      <c r="T17" s="49" t="s">
        <v>52</v>
      </c>
      <c r="U17" s="38">
        <v>2</v>
      </c>
      <c r="V17" s="41" t="s">
        <v>10</v>
      </c>
      <c r="W17" s="41">
        <v>91001</v>
      </c>
      <c r="X17" s="47"/>
      <c r="Y17" s="38">
        <v>173</v>
      </c>
      <c r="Z17" s="41">
        <v>1</v>
      </c>
    </row>
    <row r="18" spans="1:26" ht="14.4" x14ac:dyDescent="0.3">
      <c r="A18" s="38">
        <v>193</v>
      </c>
      <c r="B18" s="38" t="s">
        <v>5</v>
      </c>
      <c r="C18" s="38" t="s">
        <v>10</v>
      </c>
      <c r="D18" s="38">
        <v>91001</v>
      </c>
      <c r="E18" s="39">
        <v>200025888812</v>
      </c>
      <c r="F18" s="39" t="s">
        <v>37</v>
      </c>
      <c r="G18" s="39">
        <v>49</v>
      </c>
      <c r="H18" s="40">
        <v>45799.578738425924</v>
      </c>
      <c r="I18" s="38">
        <v>17</v>
      </c>
      <c r="J18" s="38"/>
      <c r="K18" s="38"/>
      <c r="L18" s="38"/>
      <c r="M18" s="47"/>
      <c r="N18" s="40">
        <v>45799.046331018515</v>
      </c>
      <c r="O18" s="40">
        <v>45799.578738425924</v>
      </c>
      <c r="P18" s="46">
        <f t="shared" ref="P18:P19" si="9">(O18-N18)*24</f>
        <v>12.777777777810115</v>
      </c>
      <c r="Q18" s="47">
        <v>12.777777777810115</v>
      </c>
      <c r="R18" s="38">
        <v>17</v>
      </c>
      <c r="S18" s="38">
        <v>8</v>
      </c>
      <c r="T18" s="49" t="s">
        <v>53</v>
      </c>
      <c r="U18" s="38">
        <v>1</v>
      </c>
      <c r="V18" s="38" t="s">
        <v>10</v>
      </c>
      <c r="W18" s="38">
        <v>91001</v>
      </c>
      <c r="X18" s="47"/>
      <c r="Y18" s="38">
        <v>161</v>
      </c>
      <c r="Z18" s="38">
        <v>0</v>
      </c>
    </row>
    <row r="19" spans="1:26" ht="14.4" x14ac:dyDescent="0.3">
      <c r="A19" s="38">
        <v>145</v>
      </c>
      <c r="B19" s="38" t="s">
        <v>5</v>
      </c>
      <c r="C19" s="38" t="s">
        <v>10</v>
      </c>
      <c r="D19" s="38">
        <v>91001</v>
      </c>
      <c r="E19" s="39">
        <v>200025888272</v>
      </c>
      <c r="F19" s="39" t="s">
        <v>23</v>
      </c>
      <c r="G19" s="39">
        <v>11</v>
      </c>
      <c r="H19" s="40">
        <v>45799.076701388891</v>
      </c>
      <c r="I19" s="38">
        <v>18</v>
      </c>
      <c r="J19" s="38"/>
      <c r="K19" s="38"/>
      <c r="L19" s="38"/>
      <c r="M19" s="47"/>
      <c r="N19" s="40">
        <v>45799.076701388891</v>
      </c>
      <c r="O19" s="40">
        <v>45799.076701388891</v>
      </c>
      <c r="P19" s="46">
        <f t="shared" si="9"/>
        <v>0</v>
      </c>
      <c r="Q19" s="47">
        <v>1</v>
      </c>
      <c r="R19" s="38">
        <v>18</v>
      </c>
      <c r="S19" s="38">
        <v>2</v>
      </c>
      <c r="T19" s="49" t="s">
        <v>53</v>
      </c>
      <c r="U19" s="38">
        <v>1</v>
      </c>
      <c r="V19" s="38" t="s">
        <v>10</v>
      </c>
      <c r="W19" s="38">
        <v>91001</v>
      </c>
      <c r="X19" s="47"/>
      <c r="Y19" s="38">
        <v>113</v>
      </c>
      <c r="Z19" s="38">
        <v>1</v>
      </c>
    </row>
    <row r="20" spans="1:26" x14ac:dyDescent="0.35">
      <c r="A20" s="41">
        <v>202</v>
      </c>
      <c r="B20" s="41" t="s">
        <v>5</v>
      </c>
      <c r="C20" s="41" t="s">
        <v>10</v>
      </c>
      <c r="D20" s="41">
        <v>91001</v>
      </c>
      <c r="E20" s="39">
        <v>200025888271</v>
      </c>
      <c r="F20" s="39" t="s">
        <v>25</v>
      </c>
      <c r="G20" s="39">
        <v>17</v>
      </c>
      <c r="H20" s="40">
        <v>45799.750613425924</v>
      </c>
      <c r="I20" s="38">
        <v>19</v>
      </c>
      <c r="J20" s="38"/>
      <c r="K20" s="38"/>
      <c r="L20" s="38"/>
      <c r="M20" s="47"/>
      <c r="N20" s="40">
        <v>45799.101458333331</v>
      </c>
      <c r="O20" s="40">
        <v>45799.750613425924</v>
      </c>
      <c r="P20" s="46">
        <f t="shared" ref="P20" si="10">(O20-N20)*24</f>
        <v>15.579722222231794</v>
      </c>
      <c r="Q20" s="47">
        <v>15.579722222231794</v>
      </c>
      <c r="R20" s="38">
        <v>19</v>
      </c>
      <c r="S20" s="38">
        <v>5</v>
      </c>
      <c r="T20" s="49" t="s">
        <v>53</v>
      </c>
      <c r="U20" s="38">
        <v>1</v>
      </c>
      <c r="V20" s="41" t="s">
        <v>10</v>
      </c>
      <c r="W20" s="41">
        <v>91001</v>
      </c>
      <c r="X20" s="47"/>
      <c r="Y20" s="38">
        <v>170</v>
      </c>
      <c r="Z20" s="41">
        <v>1</v>
      </c>
    </row>
    <row r="21" spans="1:26" x14ac:dyDescent="0.35">
      <c r="A21" s="41">
        <v>213</v>
      </c>
      <c r="B21" s="41" t="s">
        <v>5</v>
      </c>
      <c r="C21" s="41" t="s">
        <v>10</v>
      </c>
      <c r="D21" s="41">
        <v>91001</v>
      </c>
      <c r="E21" s="39">
        <v>200025888608</v>
      </c>
      <c r="F21" s="39" t="s">
        <v>29</v>
      </c>
      <c r="G21" s="39">
        <v>38</v>
      </c>
      <c r="H21" s="40">
        <v>45799.834745370368</v>
      </c>
      <c r="I21" s="38">
        <v>20</v>
      </c>
      <c r="J21" s="40">
        <v>45799.129664351851</v>
      </c>
      <c r="K21" s="40">
        <v>45799.834745370368</v>
      </c>
      <c r="L21" s="46">
        <f t="shared" ref="L21" si="11">(K21-J21)*24</f>
        <v>16.921944444417022</v>
      </c>
      <c r="M21" s="47">
        <v>16.921944444417022</v>
      </c>
      <c r="N21" s="40">
        <v>45799.82603009259</v>
      </c>
      <c r="O21" s="40">
        <v>45799.834745370368</v>
      </c>
      <c r="P21" s="46">
        <f t="shared" ref="P21" si="12">(O21-N21)*24</f>
        <v>0.20916666666744277</v>
      </c>
      <c r="Q21" s="47">
        <v>1</v>
      </c>
      <c r="R21" s="38">
        <v>20</v>
      </c>
      <c r="S21" s="38">
        <v>5</v>
      </c>
      <c r="T21" s="49" t="s">
        <v>53</v>
      </c>
      <c r="U21" s="38">
        <v>1</v>
      </c>
      <c r="V21" s="41" t="s">
        <v>10</v>
      </c>
      <c r="W21" s="41">
        <v>91001</v>
      </c>
      <c r="X21" s="47"/>
      <c r="Y21" s="38">
        <v>181</v>
      </c>
      <c r="Z21" s="41">
        <v>0</v>
      </c>
    </row>
    <row r="22" spans="1:26" x14ac:dyDescent="0.35">
      <c r="A22" s="38">
        <v>179</v>
      </c>
      <c r="B22" s="38" t="s">
        <v>5</v>
      </c>
      <c r="C22" s="38" t="s">
        <v>10</v>
      </c>
      <c r="D22" s="38">
        <v>91001</v>
      </c>
      <c r="E22" s="39">
        <v>200025888235</v>
      </c>
      <c r="F22" s="39" t="s">
        <v>22</v>
      </c>
      <c r="G22" s="39">
        <v>22</v>
      </c>
      <c r="H22" s="40">
        <v>45799.459699074076</v>
      </c>
      <c r="I22" s="38">
        <v>21</v>
      </c>
      <c r="J22" s="38"/>
      <c r="K22" s="38"/>
      <c r="L22" s="38"/>
      <c r="M22" s="38"/>
      <c r="N22" s="40">
        <v>45799.332499999997</v>
      </c>
      <c r="O22" s="40">
        <v>45799.459699074076</v>
      </c>
      <c r="P22" s="46">
        <f t="shared" ref="P22:P24" si="13">(O22-N22)*24</f>
        <v>3.0527777778916061</v>
      </c>
      <c r="Q22" s="47">
        <v>3.0527777778916061</v>
      </c>
      <c r="R22" s="38">
        <v>21</v>
      </c>
      <c r="S22" s="38">
        <v>4</v>
      </c>
      <c r="T22" s="49" t="s">
        <v>53</v>
      </c>
      <c r="U22" s="38">
        <v>1</v>
      </c>
      <c r="V22" s="38" t="s">
        <v>10</v>
      </c>
      <c r="W22" s="38">
        <v>91001</v>
      </c>
      <c r="X22" s="47"/>
      <c r="Y22" s="38">
        <v>147</v>
      </c>
      <c r="Z22" s="38">
        <v>0</v>
      </c>
    </row>
    <row r="23" spans="1:26" x14ac:dyDescent="0.35">
      <c r="A23" s="41">
        <v>35</v>
      </c>
      <c r="B23" s="41" t="s">
        <v>7</v>
      </c>
      <c r="C23" s="41" t="s">
        <v>12</v>
      </c>
      <c r="D23" s="41">
        <v>93202</v>
      </c>
      <c r="E23" s="43">
        <v>200025888244</v>
      </c>
      <c r="F23" s="43" t="s">
        <v>24</v>
      </c>
      <c r="G23" s="43">
        <v>12</v>
      </c>
      <c r="H23" s="40">
        <v>45799.53324074074</v>
      </c>
      <c r="I23" s="38">
        <v>22</v>
      </c>
      <c r="J23" s="38"/>
      <c r="K23" s="38"/>
      <c r="L23" s="38"/>
      <c r="M23" s="38"/>
      <c r="N23" s="40">
        <v>45799.53324074074</v>
      </c>
      <c r="O23" s="40">
        <v>45799.53324074074</v>
      </c>
      <c r="P23" s="46">
        <f t="shared" si="13"/>
        <v>0</v>
      </c>
      <c r="Q23" s="47">
        <v>1</v>
      </c>
      <c r="R23" s="38">
        <v>22</v>
      </c>
      <c r="S23" s="38">
        <v>1</v>
      </c>
      <c r="T23" s="49" t="s">
        <v>54</v>
      </c>
      <c r="U23" s="38">
        <v>1</v>
      </c>
      <c r="V23" s="41" t="s">
        <v>12</v>
      </c>
      <c r="W23" s="41">
        <v>93202</v>
      </c>
      <c r="X23" s="47">
        <f t="shared" ref="X23" si="14">(H24-H23)*24</f>
        <v>1.7083333333139308</v>
      </c>
      <c r="Y23" s="41">
        <v>8</v>
      </c>
      <c r="Z23" s="41">
        <v>2</v>
      </c>
    </row>
    <row r="24" spans="1:26" x14ac:dyDescent="0.35">
      <c r="A24" s="38">
        <v>195</v>
      </c>
      <c r="B24" s="38" t="s">
        <v>5</v>
      </c>
      <c r="C24" s="38" t="s">
        <v>10</v>
      </c>
      <c r="D24" s="38">
        <v>91001</v>
      </c>
      <c r="E24" s="39">
        <v>200025888509</v>
      </c>
      <c r="F24" s="39" t="s">
        <v>28</v>
      </c>
      <c r="G24" s="39">
        <v>35</v>
      </c>
      <c r="H24" s="40">
        <v>45799.604421296295</v>
      </c>
      <c r="I24" s="38">
        <v>23</v>
      </c>
      <c r="J24" s="38"/>
      <c r="K24" s="38"/>
      <c r="L24" s="38"/>
      <c r="M24" s="38"/>
      <c r="N24" s="40">
        <v>45799.604421296295</v>
      </c>
      <c r="O24" s="40">
        <v>45799.604421296295</v>
      </c>
      <c r="P24" s="46">
        <f t="shared" si="13"/>
        <v>0</v>
      </c>
      <c r="Q24" s="47">
        <v>1</v>
      </c>
      <c r="R24" s="38">
        <v>23</v>
      </c>
      <c r="S24" s="38">
        <v>1</v>
      </c>
      <c r="T24" s="49" t="s">
        <v>53</v>
      </c>
      <c r="U24" s="38">
        <v>1</v>
      </c>
      <c r="V24" s="38" t="s">
        <v>10</v>
      </c>
      <c r="W24" s="38">
        <v>91001</v>
      </c>
      <c r="X24" s="47" t="e">
        <f>(#REF!-H24)*24</f>
        <v>#REF!</v>
      </c>
      <c r="Y24" s="38">
        <v>163</v>
      </c>
      <c r="Z24" s="38">
        <v>0</v>
      </c>
    </row>
    <row r="25" spans="1:26" x14ac:dyDescent="0.35">
      <c r="A25" s="41">
        <v>209</v>
      </c>
      <c r="B25" s="41" t="s">
        <v>5</v>
      </c>
      <c r="C25" s="41" t="s">
        <v>10</v>
      </c>
      <c r="D25" s="41">
        <v>91001</v>
      </c>
      <c r="E25" s="39">
        <v>200025888663</v>
      </c>
      <c r="F25" s="39" t="s">
        <v>32</v>
      </c>
      <c r="G25" s="39">
        <v>29</v>
      </c>
      <c r="H25" s="40">
        <v>45799.818252314813</v>
      </c>
      <c r="I25" s="38">
        <v>24</v>
      </c>
      <c r="J25" s="38"/>
      <c r="K25" s="38"/>
      <c r="L25" s="38"/>
      <c r="M25" s="38"/>
      <c r="N25" s="40">
        <v>45799.694884259261</v>
      </c>
      <c r="O25" s="40">
        <v>45799.818252314813</v>
      </c>
      <c r="P25" s="46">
        <f>(O25-N25)*24</f>
        <v>2.9608333332580514</v>
      </c>
      <c r="Q25" s="47">
        <v>2.9608333332580514</v>
      </c>
      <c r="R25" s="38">
        <v>24</v>
      </c>
      <c r="S25" s="38">
        <v>8</v>
      </c>
      <c r="T25" s="49" t="s">
        <v>53</v>
      </c>
      <c r="U25" s="38">
        <v>1</v>
      </c>
      <c r="V25" s="41" t="s">
        <v>10</v>
      </c>
      <c r="W25" s="41">
        <v>91001</v>
      </c>
      <c r="X25" s="47"/>
      <c r="Y25" s="38">
        <v>177</v>
      </c>
      <c r="Z25" s="41">
        <v>0</v>
      </c>
    </row>
    <row r="26" spans="1:26" x14ac:dyDescent="0.35">
      <c r="A26" s="41">
        <v>223</v>
      </c>
      <c r="B26" s="41" t="s">
        <v>5</v>
      </c>
      <c r="C26" s="41" t="s">
        <v>10</v>
      </c>
      <c r="D26" s="41">
        <v>91001</v>
      </c>
      <c r="E26" s="39">
        <v>200025888834</v>
      </c>
      <c r="F26" s="39" t="s">
        <v>30</v>
      </c>
      <c r="G26" s="39">
        <v>25</v>
      </c>
      <c r="H26" s="40">
        <v>45800.17763888889</v>
      </c>
      <c r="I26" s="38">
        <v>25</v>
      </c>
      <c r="J26" s="38"/>
      <c r="K26" s="38"/>
      <c r="L26" s="38"/>
      <c r="M26" s="38"/>
      <c r="N26" s="40">
        <v>45800.009456018517</v>
      </c>
      <c r="O26" s="40">
        <v>45800.17763888889</v>
      </c>
      <c r="P26" s="46">
        <f>(O26-N26)*24</f>
        <v>4.0363888889551163</v>
      </c>
      <c r="Q26" s="47">
        <v>4.0363888889551163</v>
      </c>
      <c r="R26" s="38">
        <v>25</v>
      </c>
      <c r="S26" s="38">
        <v>8</v>
      </c>
      <c r="T26" s="49" t="s">
        <v>53</v>
      </c>
      <c r="U26" s="38">
        <v>1</v>
      </c>
      <c r="V26" s="41" t="s">
        <v>10</v>
      </c>
      <c r="W26" s="41">
        <v>91001</v>
      </c>
      <c r="X26" s="47"/>
      <c r="Y26" s="38">
        <v>191</v>
      </c>
      <c r="Z26" s="41">
        <v>0</v>
      </c>
    </row>
    <row r="27" spans="1:26" s="38" customFormat="1" x14ac:dyDescent="0.35">
      <c r="E27" s="39"/>
      <c r="F27" s="39"/>
      <c r="G27" s="39"/>
      <c r="H27" s="40"/>
      <c r="T27" s="49"/>
      <c r="X27" s="47"/>
    </row>
    <row r="28" spans="1:26" s="38" customFormat="1" x14ac:dyDescent="0.35">
      <c r="E28" s="39"/>
      <c r="F28" s="39"/>
      <c r="G28" s="39"/>
      <c r="H28" s="40"/>
      <c r="T28" s="49"/>
      <c r="X28" s="47"/>
    </row>
    <row r="29" spans="1:26" s="38" customFormat="1" x14ac:dyDescent="0.35">
      <c r="E29" s="39"/>
      <c r="F29" s="39"/>
      <c r="G29" s="39"/>
      <c r="H29" s="40"/>
      <c r="T29" s="49"/>
      <c r="X29" s="47"/>
    </row>
    <row r="30" spans="1:26" s="38" customFormat="1" x14ac:dyDescent="0.35">
      <c r="E30" s="39"/>
      <c r="F30" s="39"/>
      <c r="G30" s="39"/>
      <c r="H30" s="40"/>
      <c r="N30" s="40"/>
      <c r="O30" s="40"/>
      <c r="P30" s="46"/>
      <c r="Q30" s="46"/>
      <c r="T30" s="49"/>
      <c r="X30" s="47"/>
    </row>
    <row r="31" spans="1:26" s="38" customFormat="1" x14ac:dyDescent="0.35">
      <c r="E31" s="39"/>
      <c r="F31" s="39"/>
      <c r="G31" s="39"/>
      <c r="H31" s="40"/>
      <c r="T31" s="49"/>
      <c r="X31" s="47"/>
    </row>
    <row r="32" spans="1:26" s="38" customFormat="1" x14ac:dyDescent="0.35">
      <c r="E32" s="39"/>
      <c r="F32" s="39"/>
      <c r="G32" s="39"/>
      <c r="H32" s="40"/>
      <c r="N32" s="40"/>
      <c r="O32" s="40"/>
      <c r="P32" s="46"/>
      <c r="Q32" s="46"/>
      <c r="T32" s="49"/>
      <c r="X32" s="47"/>
    </row>
    <row r="33" spans="5:24" s="38" customFormat="1" x14ac:dyDescent="0.35">
      <c r="E33" s="39"/>
      <c r="F33" s="39"/>
      <c r="G33" s="39"/>
      <c r="H33" s="40"/>
      <c r="T33" s="49"/>
      <c r="X33" s="47"/>
    </row>
    <row r="34" spans="5:24" s="38" customFormat="1" x14ac:dyDescent="0.35">
      <c r="E34" s="39"/>
      <c r="F34" s="39"/>
      <c r="G34" s="39"/>
      <c r="H34" s="40"/>
      <c r="T34" s="49"/>
      <c r="X34" s="47"/>
    </row>
    <row r="35" spans="5:24" s="38" customFormat="1" x14ac:dyDescent="0.35">
      <c r="E35" s="39"/>
      <c r="F35" s="39"/>
      <c r="G35" s="39"/>
      <c r="H35" s="40"/>
      <c r="T35" s="49"/>
      <c r="X35" s="47"/>
    </row>
    <row r="36" spans="5:24" s="38" customFormat="1" x14ac:dyDescent="0.35">
      <c r="E36" s="39"/>
      <c r="F36" s="39"/>
      <c r="G36" s="39"/>
      <c r="H36" s="40"/>
      <c r="T36" s="49"/>
      <c r="X36" s="47"/>
    </row>
    <row r="37" spans="5:24" s="38" customFormat="1" x14ac:dyDescent="0.35">
      <c r="E37" s="39"/>
      <c r="F37" s="39"/>
      <c r="G37" s="39"/>
      <c r="H37" s="40"/>
      <c r="N37" s="40"/>
      <c r="O37" s="40"/>
      <c r="P37" s="46"/>
      <c r="Q37" s="46"/>
      <c r="T37" s="49"/>
      <c r="X37" s="47"/>
    </row>
    <row r="38" spans="5:24" s="38" customFormat="1" x14ac:dyDescent="0.35">
      <c r="E38" s="39"/>
      <c r="F38" s="39"/>
      <c r="G38" s="39"/>
      <c r="H38" s="40"/>
      <c r="N38" s="40"/>
      <c r="O38" s="40"/>
      <c r="P38" s="46"/>
      <c r="Q38" s="46"/>
      <c r="T38" s="49"/>
      <c r="X38" s="47"/>
    </row>
    <row r="39" spans="5:24" s="38" customFormat="1" x14ac:dyDescent="0.35">
      <c r="E39" s="39"/>
      <c r="F39" s="39"/>
      <c r="G39" s="39"/>
      <c r="H39" s="40"/>
      <c r="N39" s="40"/>
      <c r="O39" s="40"/>
      <c r="P39" s="46"/>
      <c r="Q39" s="46"/>
      <c r="T39" s="49"/>
      <c r="X39" s="47"/>
    </row>
    <row r="40" spans="5:24" s="38" customFormat="1" x14ac:dyDescent="0.35">
      <c r="E40" s="39"/>
      <c r="F40" s="39"/>
      <c r="G40" s="39"/>
      <c r="H40" s="40"/>
      <c r="T40" s="49"/>
      <c r="X40" s="47"/>
    </row>
    <row r="41" spans="5:24" s="38" customFormat="1" x14ac:dyDescent="0.35">
      <c r="E41" s="39"/>
      <c r="F41" s="39"/>
      <c r="G41" s="39"/>
      <c r="H41" s="40"/>
      <c r="N41" s="40"/>
      <c r="O41" s="40"/>
      <c r="P41" s="46"/>
      <c r="Q41" s="46"/>
      <c r="T41" s="49"/>
      <c r="X41" s="47"/>
    </row>
    <row r="42" spans="5:24" s="38" customFormat="1" x14ac:dyDescent="0.35">
      <c r="E42" s="39"/>
      <c r="F42" s="39"/>
      <c r="G42" s="39"/>
      <c r="H42" s="40"/>
      <c r="T42" s="49"/>
      <c r="X42" s="47"/>
    </row>
    <row r="43" spans="5:24" s="38" customFormat="1" x14ac:dyDescent="0.35">
      <c r="E43" s="39"/>
      <c r="F43" s="39"/>
      <c r="G43" s="39"/>
      <c r="H43" s="40"/>
      <c r="T43" s="49"/>
      <c r="X43" s="47"/>
    </row>
    <row r="44" spans="5:24" s="38" customFormat="1" x14ac:dyDescent="0.35">
      <c r="E44" s="39"/>
      <c r="F44" s="39"/>
      <c r="G44" s="39"/>
      <c r="H44" s="40"/>
      <c r="N44" s="40"/>
      <c r="O44" s="40"/>
      <c r="P44" s="46"/>
      <c r="Q44" s="46"/>
      <c r="T44" s="49"/>
      <c r="X44" s="47"/>
    </row>
    <row r="45" spans="5:24" s="38" customFormat="1" x14ac:dyDescent="0.35">
      <c r="E45" s="39"/>
      <c r="F45" s="39"/>
      <c r="G45" s="39"/>
      <c r="H45" s="40"/>
      <c r="N45" s="40"/>
      <c r="O45" s="40"/>
      <c r="P45" s="46"/>
      <c r="Q45" s="46"/>
      <c r="T45" s="49"/>
      <c r="X45" s="47"/>
    </row>
    <row r="46" spans="5:24" s="38" customFormat="1" x14ac:dyDescent="0.35">
      <c r="E46" s="39"/>
      <c r="F46" s="39"/>
      <c r="G46" s="39"/>
      <c r="H46" s="40"/>
      <c r="T46" s="49"/>
      <c r="X46" s="47"/>
    </row>
    <row r="47" spans="5:24" s="38" customFormat="1" x14ac:dyDescent="0.35">
      <c r="E47" s="39"/>
      <c r="F47" s="39"/>
      <c r="G47" s="39"/>
      <c r="H47" s="40"/>
      <c r="T47" s="49"/>
      <c r="X47" s="47"/>
    </row>
    <row r="48" spans="5:24" s="38" customFormat="1" x14ac:dyDescent="0.35">
      <c r="E48" s="39"/>
      <c r="F48" s="39"/>
      <c r="G48" s="39"/>
      <c r="H48" s="40"/>
      <c r="T48" s="49"/>
      <c r="X48" s="47"/>
    </row>
    <row r="49" spans="5:24" s="38" customFormat="1" x14ac:dyDescent="0.35">
      <c r="E49" s="39"/>
      <c r="F49" s="39"/>
      <c r="G49" s="39"/>
      <c r="H49" s="40"/>
      <c r="T49" s="49"/>
      <c r="X49" s="47"/>
    </row>
    <row r="50" spans="5:24" s="38" customFormat="1" x14ac:dyDescent="0.35">
      <c r="E50" s="39"/>
      <c r="F50" s="39"/>
      <c r="G50" s="39"/>
      <c r="H50" s="40"/>
      <c r="T50" s="49"/>
      <c r="X50" s="47"/>
    </row>
    <row r="51" spans="5:24" s="38" customFormat="1" x14ac:dyDescent="0.35">
      <c r="E51" s="39"/>
      <c r="F51" s="39"/>
      <c r="G51" s="39"/>
      <c r="H51" s="40"/>
      <c r="T51" s="49"/>
      <c r="X51" s="47"/>
    </row>
    <row r="52" spans="5:24" s="38" customFormat="1" x14ac:dyDescent="0.35">
      <c r="E52" s="39"/>
      <c r="F52" s="39"/>
      <c r="G52" s="39"/>
      <c r="H52" s="40"/>
      <c r="N52" s="40"/>
      <c r="O52" s="40"/>
      <c r="P52" s="46"/>
      <c r="Q52" s="46"/>
      <c r="T52" s="49"/>
      <c r="X52" s="47"/>
    </row>
    <row r="53" spans="5:24" s="38" customFormat="1" x14ac:dyDescent="0.35">
      <c r="E53" s="39"/>
      <c r="F53" s="39"/>
      <c r="G53" s="39"/>
      <c r="H53" s="40"/>
      <c r="T53" s="49"/>
      <c r="X53" s="47"/>
    </row>
    <row r="54" spans="5:24" s="38" customFormat="1" x14ac:dyDescent="0.35">
      <c r="E54" s="39"/>
      <c r="F54" s="39"/>
      <c r="G54" s="39"/>
      <c r="H54" s="40"/>
      <c r="T54" s="49"/>
      <c r="X54" s="47"/>
    </row>
    <row r="55" spans="5:24" s="38" customFormat="1" x14ac:dyDescent="0.35">
      <c r="E55" s="39"/>
      <c r="F55" s="39"/>
      <c r="G55" s="39"/>
      <c r="H55" s="40"/>
      <c r="T55" s="49"/>
      <c r="X55" s="47"/>
    </row>
    <row r="56" spans="5:24" s="38" customFormat="1" x14ac:dyDescent="0.35">
      <c r="E56" s="39"/>
      <c r="F56" s="39"/>
      <c r="G56" s="39"/>
      <c r="H56" s="40"/>
      <c r="T56" s="49"/>
      <c r="X56" s="47"/>
    </row>
    <row r="57" spans="5:24" s="38" customFormat="1" x14ac:dyDescent="0.35">
      <c r="E57" s="39"/>
      <c r="F57" s="39"/>
      <c r="G57" s="39"/>
      <c r="H57" s="40"/>
      <c r="T57" s="49"/>
      <c r="X57" s="47"/>
    </row>
    <row r="58" spans="5:24" s="38" customFormat="1" x14ac:dyDescent="0.35">
      <c r="E58" s="39"/>
      <c r="F58" s="39"/>
      <c r="G58" s="39"/>
      <c r="H58" s="40"/>
      <c r="T58" s="49"/>
      <c r="X58" s="47"/>
    </row>
    <row r="59" spans="5:24" s="38" customFormat="1" x14ac:dyDescent="0.35">
      <c r="E59" s="39"/>
      <c r="F59" s="39"/>
      <c r="G59" s="39"/>
      <c r="H59" s="40"/>
      <c r="T59" s="49"/>
      <c r="X59" s="47"/>
    </row>
    <row r="60" spans="5:24" s="38" customFormat="1" x14ac:dyDescent="0.35">
      <c r="E60" s="39"/>
      <c r="F60" s="39"/>
      <c r="G60" s="39"/>
      <c r="H60" s="40"/>
      <c r="T60" s="49"/>
      <c r="X60" s="47"/>
    </row>
    <row r="61" spans="5:24" s="38" customFormat="1" x14ac:dyDescent="0.35">
      <c r="E61" s="39"/>
      <c r="F61" s="39"/>
      <c r="G61" s="39"/>
      <c r="H61" s="40"/>
      <c r="T61" s="49"/>
      <c r="X61" s="47"/>
    </row>
    <row r="62" spans="5:24" s="38" customFormat="1" x14ac:dyDescent="0.35">
      <c r="E62" s="39"/>
      <c r="F62" s="39"/>
      <c r="G62" s="39"/>
      <c r="H62" s="40"/>
      <c r="T62" s="49"/>
      <c r="X62" s="47"/>
    </row>
    <row r="63" spans="5:24" s="38" customFormat="1" x14ac:dyDescent="0.35">
      <c r="E63" s="39"/>
      <c r="F63" s="39"/>
      <c r="G63" s="39"/>
      <c r="H63" s="40"/>
      <c r="T63" s="49"/>
      <c r="X63" s="47"/>
    </row>
    <row r="64" spans="5:24" s="38" customFormat="1" x14ac:dyDescent="0.35">
      <c r="E64" s="39"/>
      <c r="F64" s="39"/>
      <c r="G64" s="39"/>
      <c r="H64" s="40"/>
      <c r="T64" s="49"/>
      <c r="X64" s="47"/>
    </row>
    <row r="65" spans="5:24" s="38" customFormat="1" x14ac:dyDescent="0.35">
      <c r="E65" s="39"/>
      <c r="F65" s="39"/>
      <c r="G65" s="39"/>
      <c r="H65" s="40"/>
      <c r="N65" s="40"/>
      <c r="O65" s="40"/>
      <c r="P65" s="46"/>
      <c r="Q65" s="46"/>
      <c r="T65" s="49"/>
      <c r="X65" s="47"/>
    </row>
    <row r="66" spans="5:24" s="38" customFormat="1" x14ac:dyDescent="0.35">
      <c r="E66" s="39"/>
      <c r="F66" s="39"/>
      <c r="G66" s="39"/>
      <c r="H66" s="40"/>
      <c r="T66" s="49"/>
      <c r="X66" s="47"/>
    </row>
    <row r="67" spans="5:24" s="38" customFormat="1" x14ac:dyDescent="0.35">
      <c r="E67" s="39"/>
      <c r="F67" s="39"/>
      <c r="G67" s="39"/>
      <c r="H67" s="40"/>
      <c r="T67" s="49"/>
      <c r="X67" s="47"/>
    </row>
    <row r="68" spans="5:24" s="38" customFormat="1" x14ac:dyDescent="0.35">
      <c r="E68" s="39"/>
      <c r="F68" s="39"/>
      <c r="G68" s="39"/>
      <c r="H68" s="40"/>
      <c r="T68" s="49"/>
      <c r="X68" s="47"/>
    </row>
    <row r="69" spans="5:24" s="38" customFormat="1" x14ac:dyDescent="0.35">
      <c r="E69" s="39"/>
      <c r="F69" s="39"/>
      <c r="G69" s="39"/>
      <c r="H69" s="40"/>
      <c r="T69" s="49"/>
      <c r="X69" s="47"/>
    </row>
    <row r="70" spans="5:24" s="38" customFormat="1" x14ac:dyDescent="0.35">
      <c r="E70" s="39"/>
      <c r="F70" s="39"/>
      <c r="G70" s="39"/>
      <c r="H70" s="40"/>
      <c r="T70" s="49"/>
      <c r="X70" s="47"/>
    </row>
    <row r="71" spans="5:24" s="38" customFormat="1" x14ac:dyDescent="0.35">
      <c r="E71" s="39"/>
      <c r="F71" s="39"/>
      <c r="G71" s="39"/>
      <c r="H71" s="40"/>
      <c r="T71" s="49"/>
      <c r="X71" s="47"/>
    </row>
    <row r="72" spans="5:24" s="38" customFormat="1" x14ac:dyDescent="0.35">
      <c r="E72" s="39"/>
      <c r="F72" s="39"/>
      <c r="G72" s="39"/>
      <c r="H72" s="40"/>
      <c r="T72" s="49"/>
      <c r="X72" s="47"/>
    </row>
    <row r="73" spans="5:24" s="38" customFormat="1" x14ac:dyDescent="0.35">
      <c r="E73" s="39"/>
      <c r="F73" s="39"/>
      <c r="G73" s="39"/>
      <c r="H73" s="40"/>
      <c r="T73" s="49"/>
      <c r="X73" s="47"/>
    </row>
    <row r="74" spans="5:24" s="38" customFormat="1" x14ac:dyDescent="0.35">
      <c r="E74" s="39"/>
      <c r="F74" s="39"/>
      <c r="G74" s="39"/>
      <c r="H74" s="40"/>
      <c r="T74" s="49"/>
      <c r="X74" s="47"/>
    </row>
    <row r="75" spans="5:24" s="38" customFormat="1" x14ac:dyDescent="0.35">
      <c r="E75" s="39"/>
      <c r="F75" s="39"/>
      <c r="G75" s="39"/>
      <c r="H75" s="40"/>
      <c r="T75" s="49"/>
      <c r="X75" s="47"/>
    </row>
    <row r="76" spans="5:24" s="38" customFormat="1" x14ac:dyDescent="0.35">
      <c r="E76" s="39"/>
      <c r="F76" s="39"/>
      <c r="G76" s="39"/>
      <c r="H76" s="40"/>
      <c r="T76" s="49"/>
      <c r="X76" s="47"/>
    </row>
    <row r="77" spans="5:24" s="38" customFormat="1" x14ac:dyDescent="0.35">
      <c r="E77" s="39"/>
      <c r="F77" s="39"/>
      <c r="G77" s="39"/>
      <c r="H77" s="40"/>
      <c r="T77" s="49"/>
      <c r="X77" s="47"/>
    </row>
    <row r="78" spans="5:24" s="38" customFormat="1" x14ac:dyDescent="0.35">
      <c r="E78" s="39"/>
      <c r="F78" s="39"/>
      <c r="G78" s="39"/>
      <c r="H78" s="40"/>
      <c r="T78" s="49"/>
      <c r="X78" s="47"/>
    </row>
    <row r="79" spans="5:24" s="38" customFormat="1" x14ac:dyDescent="0.35">
      <c r="E79" s="39"/>
      <c r="F79" s="39"/>
      <c r="G79" s="39"/>
      <c r="H79" s="40"/>
      <c r="T79" s="49"/>
      <c r="X79" s="47"/>
    </row>
    <row r="80" spans="5:24" s="38" customFormat="1" x14ac:dyDescent="0.35">
      <c r="E80" s="39"/>
      <c r="F80" s="39"/>
      <c r="G80" s="39"/>
      <c r="H80" s="40"/>
      <c r="T80" s="49"/>
      <c r="X80" s="47"/>
    </row>
    <row r="81" spans="5:24" s="38" customFormat="1" x14ac:dyDescent="0.35">
      <c r="E81" s="39"/>
      <c r="F81" s="39"/>
      <c r="G81" s="39"/>
      <c r="H81" s="40"/>
      <c r="T81" s="49"/>
      <c r="X81" s="47"/>
    </row>
    <row r="82" spans="5:24" s="38" customFormat="1" x14ac:dyDescent="0.35">
      <c r="E82" s="39"/>
      <c r="F82" s="39"/>
      <c r="G82" s="39"/>
      <c r="H82" s="40"/>
      <c r="N82" s="40"/>
      <c r="O82" s="40"/>
      <c r="P82" s="46"/>
      <c r="Q82" s="46"/>
      <c r="T82" s="49"/>
      <c r="X82" s="47"/>
    </row>
    <row r="83" spans="5:24" s="38" customFormat="1" x14ac:dyDescent="0.35">
      <c r="E83" s="39"/>
      <c r="F83" s="39"/>
      <c r="G83" s="39"/>
      <c r="H83" s="40"/>
      <c r="T83" s="49"/>
      <c r="X83" s="47"/>
    </row>
    <row r="84" spans="5:24" s="38" customFormat="1" x14ac:dyDescent="0.35">
      <c r="E84" s="39"/>
      <c r="F84" s="39"/>
      <c r="G84" s="39"/>
      <c r="H84" s="40"/>
      <c r="T84" s="49"/>
      <c r="X84" s="47"/>
    </row>
    <row r="85" spans="5:24" s="38" customFormat="1" x14ac:dyDescent="0.35">
      <c r="E85" s="39"/>
      <c r="F85" s="39"/>
      <c r="G85" s="39"/>
      <c r="H85" s="40"/>
      <c r="T85" s="49"/>
      <c r="X85" s="47"/>
    </row>
    <row r="86" spans="5:24" s="38" customFormat="1" x14ac:dyDescent="0.35">
      <c r="E86" s="39"/>
      <c r="F86" s="39"/>
      <c r="G86" s="39"/>
      <c r="H86" s="40"/>
      <c r="T86" s="49"/>
      <c r="X86" s="47"/>
    </row>
    <row r="87" spans="5:24" s="38" customFormat="1" x14ac:dyDescent="0.35">
      <c r="E87" s="39"/>
      <c r="F87" s="39"/>
      <c r="G87" s="39"/>
      <c r="H87" s="40"/>
      <c r="T87" s="49"/>
      <c r="X87" s="47"/>
    </row>
    <row r="88" spans="5:24" s="38" customFormat="1" x14ac:dyDescent="0.35">
      <c r="E88" s="39"/>
      <c r="F88" s="39"/>
      <c r="G88" s="39"/>
      <c r="H88" s="40"/>
      <c r="N88" s="40"/>
      <c r="O88" s="40"/>
      <c r="P88" s="46"/>
      <c r="Q88" s="46"/>
      <c r="T88" s="49"/>
      <c r="X88" s="47"/>
    </row>
    <row r="89" spans="5:24" s="38" customFormat="1" x14ac:dyDescent="0.35">
      <c r="E89" s="39"/>
      <c r="F89" s="39"/>
      <c r="G89" s="39"/>
      <c r="H89" s="40"/>
      <c r="T89" s="49"/>
      <c r="X89" s="47"/>
    </row>
    <row r="90" spans="5:24" s="38" customFormat="1" x14ac:dyDescent="0.35">
      <c r="E90" s="39"/>
      <c r="F90" s="39"/>
      <c r="G90" s="39"/>
      <c r="H90" s="40"/>
      <c r="N90" s="40"/>
      <c r="O90" s="40"/>
      <c r="P90" s="46"/>
      <c r="Q90" s="46"/>
      <c r="T90" s="49"/>
      <c r="X90" s="47"/>
    </row>
    <row r="91" spans="5:24" s="38" customFormat="1" x14ac:dyDescent="0.35">
      <c r="E91" s="39"/>
      <c r="F91" s="39"/>
      <c r="G91" s="39"/>
      <c r="H91" s="40"/>
      <c r="J91" s="40"/>
      <c r="K91" s="40"/>
      <c r="L91" s="46"/>
      <c r="M91" s="46"/>
      <c r="T91" s="49"/>
      <c r="X91" s="47"/>
    </row>
    <row r="92" spans="5:24" s="38" customFormat="1" x14ac:dyDescent="0.35">
      <c r="E92" s="39"/>
      <c r="F92" s="39"/>
      <c r="G92" s="39"/>
      <c r="H92" s="40"/>
      <c r="T92" s="49"/>
      <c r="X92" s="47"/>
    </row>
    <row r="93" spans="5:24" s="38" customFormat="1" x14ac:dyDescent="0.35">
      <c r="E93" s="39"/>
      <c r="F93" s="39"/>
      <c r="G93" s="39"/>
      <c r="H93" s="40"/>
      <c r="T93" s="49"/>
      <c r="X93" s="47"/>
    </row>
    <row r="94" spans="5:24" s="38" customFormat="1" x14ac:dyDescent="0.35">
      <c r="E94" s="39"/>
      <c r="F94" s="39"/>
      <c r="G94" s="39"/>
      <c r="H94" s="40"/>
      <c r="T94" s="49"/>
      <c r="X94" s="47"/>
    </row>
    <row r="95" spans="5:24" s="38" customFormat="1" x14ac:dyDescent="0.35">
      <c r="E95" s="39"/>
      <c r="F95" s="39"/>
      <c r="G95" s="39"/>
      <c r="H95" s="40"/>
      <c r="T95" s="49"/>
      <c r="X95" s="47"/>
    </row>
    <row r="96" spans="5:24" s="38" customFormat="1" x14ac:dyDescent="0.35">
      <c r="E96" s="39"/>
      <c r="F96" s="39"/>
      <c r="G96" s="39"/>
      <c r="H96" s="40"/>
      <c r="T96" s="49"/>
      <c r="X96" s="47"/>
    </row>
    <row r="97" spans="5:24" s="38" customFormat="1" x14ac:dyDescent="0.35">
      <c r="E97" s="39"/>
      <c r="F97" s="39"/>
      <c r="G97" s="39"/>
      <c r="H97" s="40"/>
      <c r="T97" s="49"/>
      <c r="X97" s="47"/>
    </row>
    <row r="98" spans="5:24" s="38" customFormat="1" x14ac:dyDescent="0.35">
      <c r="E98" s="39"/>
      <c r="F98" s="39"/>
      <c r="G98" s="39"/>
      <c r="H98" s="40"/>
      <c r="T98" s="49"/>
      <c r="X98" s="47"/>
    </row>
    <row r="99" spans="5:24" s="38" customFormat="1" x14ac:dyDescent="0.35">
      <c r="E99" s="39"/>
      <c r="F99" s="39"/>
      <c r="G99" s="39"/>
      <c r="H99" s="40"/>
      <c r="T99" s="49"/>
      <c r="X99" s="47"/>
    </row>
    <row r="100" spans="5:24" s="38" customFormat="1" x14ac:dyDescent="0.35">
      <c r="E100" s="39"/>
      <c r="F100" s="39"/>
      <c r="G100" s="39"/>
      <c r="H100" s="40"/>
      <c r="T100" s="49"/>
      <c r="X100" s="47"/>
    </row>
    <row r="101" spans="5:24" s="38" customFormat="1" x14ac:dyDescent="0.35">
      <c r="E101" s="39"/>
      <c r="F101" s="39"/>
      <c r="G101" s="39"/>
      <c r="H101" s="40"/>
      <c r="T101" s="49"/>
      <c r="X101" s="47"/>
    </row>
    <row r="102" spans="5:24" s="38" customFormat="1" x14ac:dyDescent="0.35">
      <c r="E102" s="39"/>
      <c r="F102" s="39"/>
      <c r="G102" s="39"/>
      <c r="H102" s="40"/>
      <c r="T102" s="49"/>
      <c r="X102" s="47"/>
    </row>
    <row r="103" spans="5:24" s="38" customFormat="1" x14ac:dyDescent="0.35">
      <c r="E103" s="39"/>
      <c r="F103" s="39"/>
      <c r="G103" s="39"/>
      <c r="H103" s="40"/>
      <c r="N103" s="40"/>
      <c r="O103" s="40"/>
      <c r="P103" s="46"/>
      <c r="Q103" s="46"/>
      <c r="T103" s="49"/>
      <c r="X103" s="47"/>
    </row>
    <row r="104" spans="5:24" s="38" customFormat="1" x14ac:dyDescent="0.35">
      <c r="E104" s="39"/>
      <c r="F104" s="39"/>
      <c r="G104" s="39"/>
      <c r="H104" s="40"/>
      <c r="N104" s="40"/>
      <c r="O104" s="40"/>
      <c r="P104" s="46"/>
      <c r="Q104" s="46"/>
      <c r="T104" s="49"/>
      <c r="X104" s="47"/>
    </row>
    <row r="105" spans="5:24" s="38" customFormat="1" x14ac:dyDescent="0.35">
      <c r="E105" s="39"/>
      <c r="F105" s="39"/>
      <c r="G105" s="39"/>
      <c r="H105" s="40"/>
      <c r="T105" s="49"/>
      <c r="X105" s="47"/>
    </row>
    <row r="106" spans="5:24" s="38" customFormat="1" x14ac:dyDescent="0.35">
      <c r="E106" s="39"/>
      <c r="F106" s="39"/>
      <c r="G106" s="39"/>
      <c r="H106" s="40"/>
      <c r="T106" s="49"/>
      <c r="X106" s="47"/>
    </row>
    <row r="107" spans="5:24" s="38" customFormat="1" x14ac:dyDescent="0.35">
      <c r="E107" s="39"/>
      <c r="F107" s="39"/>
      <c r="G107" s="39"/>
      <c r="H107" s="40"/>
      <c r="T107" s="49"/>
      <c r="X107" s="47"/>
    </row>
    <row r="108" spans="5:24" s="38" customFormat="1" x14ac:dyDescent="0.35">
      <c r="E108" s="39"/>
      <c r="F108" s="39"/>
      <c r="G108" s="39"/>
      <c r="H108" s="40"/>
      <c r="T108" s="49"/>
      <c r="X108" s="47"/>
    </row>
    <row r="109" spans="5:24" s="38" customFormat="1" x14ac:dyDescent="0.35">
      <c r="E109" s="39"/>
      <c r="F109" s="39"/>
      <c r="G109" s="39"/>
      <c r="H109" s="40"/>
      <c r="T109" s="49"/>
      <c r="X109" s="47"/>
    </row>
    <row r="110" spans="5:24" s="38" customFormat="1" x14ac:dyDescent="0.35">
      <c r="E110" s="39"/>
      <c r="F110" s="39"/>
      <c r="G110" s="39"/>
      <c r="H110" s="40"/>
      <c r="T110" s="49"/>
      <c r="X110" s="47"/>
    </row>
    <row r="111" spans="5:24" s="38" customFormat="1" x14ac:dyDescent="0.35">
      <c r="E111" s="39"/>
      <c r="F111" s="39"/>
      <c r="G111" s="39"/>
      <c r="H111" s="40"/>
      <c r="T111" s="49"/>
      <c r="X111" s="47"/>
    </row>
    <row r="112" spans="5:24" s="38" customFormat="1" x14ac:dyDescent="0.35">
      <c r="E112" s="39"/>
      <c r="F112" s="39"/>
      <c r="G112" s="39"/>
      <c r="H112" s="40"/>
      <c r="T112" s="49"/>
      <c r="X112" s="47"/>
    </row>
    <row r="113" spans="5:24" s="38" customFormat="1" x14ac:dyDescent="0.35">
      <c r="E113" s="39"/>
      <c r="F113" s="39"/>
      <c r="G113" s="39"/>
      <c r="H113" s="40"/>
      <c r="T113" s="49"/>
      <c r="X113" s="47"/>
    </row>
    <row r="114" spans="5:24" s="38" customFormat="1" x14ac:dyDescent="0.35">
      <c r="E114" s="39"/>
      <c r="F114" s="39"/>
      <c r="G114" s="39"/>
      <c r="H114" s="40"/>
      <c r="T114" s="49"/>
      <c r="X114" s="47"/>
    </row>
    <row r="115" spans="5:24" s="38" customFormat="1" x14ac:dyDescent="0.35">
      <c r="E115" s="39"/>
      <c r="F115" s="39"/>
      <c r="G115" s="39"/>
      <c r="H115" s="40"/>
      <c r="J115" s="40"/>
      <c r="K115" s="40"/>
      <c r="L115" s="46"/>
      <c r="M115" s="46"/>
      <c r="T115" s="49"/>
      <c r="X115" s="47"/>
    </row>
    <row r="116" spans="5:24" s="38" customFormat="1" x14ac:dyDescent="0.35">
      <c r="E116" s="39"/>
      <c r="F116" s="39"/>
      <c r="G116" s="39"/>
      <c r="H116" s="40"/>
      <c r="T116" s="49"/>
      <c r="X116" s="47"/>
    </row>
    <row r="117" spans="5:24" s="38" customFormat="1" x14ac:dyDescent="0.35">
      <c r="E117" s="39"/>
      <c r="F117" s="39"/>
      <c r="G117" s="39"/>
      <c r="H117" s="40"/>
      <c r="T117" s="49"/>
      <c r="X117" s="47"/>
    </row>
    <row r="118" spans="5:24" s="38" customFormat="1" x14ac:dyDescent="0.35">
      <c r="E118" s="39"/>
      <c r="F118" s="39"/>
      <c r="G118" s="39"/>
      <c r="H118" s="40"/>
      <c r="T118" s="49"/>
      <c r="X118" s="47"/>
    </row>
    <row r="119" spans="5:24" s="38" customFormat="1" x14ac:dyDescent="0.35">
      <c r="E119" s="39"/>
      <c r="F119" s="39"/>
      <c r="G119" s="39"/>
      <c r="H119" s="40"/>
      <c r="T119" s="49"/>
      <c r="X119" s="47"/>
    </row>
    <row r="120" spans="5:24" s="38" customFormat="1" x14ac:dyDescent="0.35">
      <c r="E120" s="39"/>
      <c r="F120" s="39"/>
      <c r="G120" s="39"/>
      <c r="H120" s="40"/>
      <c r="N120" s="40"/>
      <c r="O120" s="40"/>
      <c r="P120" s="46"/>
      <c r="Q120" s="46"/>
      <c r="T120" s="49"/>
      <c r="X120" s="47"/>
    </row>
    <row r="121" spans="5:24" s="38" customFormat="1" x14ac:dyDescent="0.35">
      <c r="E121" s="39"/>
      <c r="F121" s="39"/>
      <c r="G121" s="39"/>
      <c r="H121" s="40"/>
      <c r="N121" s="40"/>
      <c r="O121" s="40"/>
      <c r="P121" s="46"/>
      <c r="Q121" s="46"/>
      <c r="T121" s="49"/>
      <c r="X121" s="47"/>
    </row>
    <row r="122" spans="5:24" s="38" customFormat="1" x14ac:dyDescent="0.35">
      <c r="E122" s="39"/>
      <c r="F122" s="39"/>
      <c r="G122" s="39"/>
      <c r="H122" s="40"/>
      <c r="T122" s="49"/>
      <c r="X122" s="47"/>
    </row>
    <row r="123" spans="5:24" s="38" customFormat="1" x14ac:dyDescent="0.35">
      <c r="E123" s="39"/>
      <c r="F123" s="39"/>
      <c r="G123" s="39"/>
      <c r="H123" s="40"/>
      <c r="T123" s="49"/>
      <c r="X123" s="47"/>
    </row>
    <row r="124" spans="5:24" s="38" customFormat="1" x14ac:dyDescent="0.35">
      <c r="E124" s="39"/>
      <c r="F124" s="39"/>
      <c r="G124" s="39"/>
      <c r="H124" s="40"/>
      <c r="T124" s="49"/>
      <c r="X124" s="47"/>
    </row>
    <row r="125" spans="5:24" s="38" customFormat="1" x14ac:dyDescent="0.35">
      <c r="E125" s="39"/>
      <c r="F125" s="39"/>
      <c r="G125" s="39"/>
      <c r="H125" s="40"/>
      <c r="T125" s="49"/>
      <c r="X125" s="47"/>
    </row>
    <row r="126" spans="5:24" s="38" customFormat="1" x14ac:dyDescent="0.35">
      <c r="E126" s="39"/>
      <c r="F126" s="39"/>
      <c r="G126" s="39"/>
      <c r="H126" s="40"/>
      <c r="T126" s="49"/>
      <c r="X126" s="47"/>
    </row>
    <row r="127" spans="5:24" s="38" customFormat="1" x14ac:dyDescent="0.35">
      <c r="E127" s="39"/>
      <c r="F127" s="39"/>
      <c r="G127" s="39"/>
      <c r="H127" s="40"/>
      <c r="T127" s="49"/>
      <c r="X127" s="47"/>
    </row>
    <row r="128" spans="5:24" s="38" customFormat="1" x14ac:dyDescent="0.35">
      <c r="E128" s="39"/>
      <c r="F128" s="39"/>
      <c r="G128" s="39"/>
      <c r="H128" s="40"/>
      <c r="J128" s="40"/>
      <c r="K128" s="40"/>
      <c r="L128" s="46"/>
      <c r="M128" s="46"/>
      <c r="T128" s="49"/>
      <c r="X128" s="47"/>
    </row>
    <row r="129" spans="5:24" s="38" customFormat="1" x14ac:dyDescent="0.35">
      <c r="E129" s="39"/>
      <c r="F129" s="39"/>
      <c r="G129" s="39"/>
      <c r="H129" s="40"/>
      <c r="T129" s="49"/>
      <c r="X129" s="47"/>
    </row>
    <row r="130" spans="5:24" s="38" customFormat="1" x14ac:dyDescent="0.35">
      <c r="E130" s="39"/>
      <c r="F130" s="39"/>
      <c r="G130" s="39"/>
      <c r="H130" s="40"/>
      <c r="T130" s="49"/>
      <c r="X130" s="47"/>
    </row>
    <row r="131" spans="5:24" s="38" customFormat="1" x14ac:dyDescent="0.35">
      <c r="E131" s="39"/>
      <c r="F131" s="39"/>
      <c r="G131" s="39"/>
      <c r="H131" s="40"/>
      <c r="N131" s="40"/>
      <c r="O131" s="40"/>
      <c r="P131" s="46"/>
      <c r="Q131" s="46"/>
      <c r="T131" s="49"/>
      <c r="X131" s="47"/>
    </row>
    <row r="132" spans="5:24" s="38" customFormat="1" x14ac:dyDescent="0.35">
      <c r="E132" s="39"/>
      <c r="F132" s="39"/>
      <c r="G132" s="39"/>
      <c r="H132" s="40"/>
      <c r="T132" s="49"/>
      <c r="X132" s="47"/>
    </row>
    <row r="133" spans="5:24" s="38" customFormat="1" x14ac:dyDescent="0.35">
      <c r="E133" s="39"/>
      <c r="F133" s="39"/>
      <c r="G133" s="39"/>
      <c r="H133" s="40"/>
      <c r="T133" s="49"/>
      <c r="X133" s="47"/>
    </row>
    <row r="134" spans="5:24" s="38" customFormat="1" x14ac:dyDescent="0.35">
      <c r="E134" s="39"/>
      <c r="F134" s="39"/>
      <c r="G134" s="39"/>
      <c r="H134" s="40"/>
      <c r="T134" s="49"/>
      <c r="X134" s="47"/>
    </row>
    <row r="135" spans="5:24" s="38" customFormat="1" x14ac:dyDescent="0.35">
      <c r="E135" s="39"/>
      <c r="F135" s="39"/>
      <c r="G135" s="39"/>
      <c r="H135" s="40"/>
      <c r="T135" s="49"/>
      <c r="X135" s="47"/>
    </row>
    <row r="136" spans="5:24" s="38" customFormat="1" x14ac:dyDescent="0.35">
      <c r="E136" s="39"/>
      <c r="F136" s="39"/>
      <c r="G136" s="39"/>
      <c r="H136" s="40"/>
      <c r="T136" s="49"/>
      <c r="X136" s="47"/>
    </row>
    <row r="137" spans="5:24" s="38" customFormat="1" x14ac:dyDescent="0.35">
      <c r="E137" s="39"/>
      <c r="F137" s="39"/>
      <c r="G137" s="39"/>
      <c r="H137" s="40"/>
      <c r="T137" s="49"/>
      <c r="X137" s="47"/>
    </row>
    <row r="138" spans="5:24" s="38" customFormat="1" x14ac:dyDescent="0.35">
      <c r="E138" s="39"/>
      <c r="F138" s="39"/>
      <c r="G138" s="39"/>
      <c r="H138" s="40"/>
      <c r="T138" s="49"/>
      <c r="X138" s="47"/>
    </row>
    <row r="139" spans="5:24" s="38" customFormat="1" x14ac:dyDescent="0.35">
      <c r="E139" s="39"/>
      <c r="F139" s="39"/>
      <c r="G139" s="39"/>
      <c r="H139" s="40"/>
      <c r="T139" s="49"/>
      <c r="X139" s="47"/>
    </row>
    <row r="140" spans="5:24" s="38" customFormat="1" x14ac:dyDescent="0.35">
      <c r="E140" s="39"/>
      <c r="F140" s="39"/>
      <c r="G140" s="39"/>
      <c r="H140" s="40"/>
      <c r="J140" s="40"/>
      <c r="K140" s="40"/>
      <c r="L140" s="46"/>
      <c r="M140" s="46"/>
      <c r="T140" s="49"/>
      <c r="X140" s="47"/>
    </row>
    <row r="141" spans="5:24" s="38" customFormat="1" x14ac:dyDescent="0.35">
      <c r="E141" s="39"/>
      <c r="F141" s="39"/>
      <c r="G141" s="39"/>
      <c r="H141" s="40"/>
      <c r="T141" s="49"/>
      <c r="X141" s="47"/>
    </row>
    <row r="142" spans="5:24" s="38" customFormat="1" x14ac:dyDescent="0.35">
      <c r="E142" s="39"/>
      <c r="F142" s="39"/>
      <c r="G142" s="39"/>
      <c r="H142" s="40"/>
      <c r="T142" s="49"/>
      <c r="X142" s="47"/>
    </row>
    <row r="143" spans="5:24" s="38" customFormat="1" x14ac:dyDescent="0.35">
      <c r="E143" s="39"/>
      <c r="F143" s="39"/>
      <c r="G143" s="39"/>
      <c r="H143" s="40"/>
      <c r="T143" s="49"/>
      <c r="X143" s="47"/>
    </row>
    <row r="144" spans="5:24" s="38" customFormat="1" x14ac:dyDescent="0.35">
      <c r="E144" s="39"/>
      <c r="F144" s="39"/>
      <c r="G144" s="39"/>
      <c r="H144" s="40"/>
      <c r="T144" s="49"/>
      <c r="X144" s="47"/>
    </row>
    <row r="145" spans="5:24" s="38" customFormat="1" x14ac:dyDescent="0.35">
      <c r="E145" s="39"/>
      <c r="F145" s="39"/>
      <c r="G145" s="39"/>
      <c r="H145" s="40"/>
      <c r="T145" s="49"/>
      <c r="X145" s="47"/>
    </row>
    <row r="146" spans="5:24" s="38" customFormat="1" x14ac:dyDescent="0.35">
      <c r="E146" s="39"/>
      <c r="F146" s="39"/>
      <c r="G146" s="39"/>
      <c r="H146" s="40"/>
      <c r="T146" s="49"/>
      <c r="X146" s="47"/>
    </row>
    <row r="147" spans="5:24" s="38" customFormat="1" x14ac:dyDescent="0.35">
      <c r="E147" s="39"/>
      <c r="F147" s="39"/>
      <c r="G147" s="39"/>
      <c r="H147" s="40"/>
      <c r="T147" s="49"/>
      <c r="X147" s="47"/>
    </row>
    <row r="148" spans="5:24" s="38" customFormat="1" x14ac:dyDescent="0.35">
      <c r="E148" s="39"/>
      <c r="F148" s="39"/>
      <c r="G148" s="39"/>
      <c r="H148" s="40"/>
      <c r="T148" s="49"/>
      <c r="X148" s="47"/>
    </row>
    <row r="149" spans="5:24" s="38" customFormat="1" x14ac:dyDescent="0.35">
      <c r="E149" s="39"/>
      <c r="F149" s="39"/>
      <c r="G149" s="39"/>
      <c r="H149" s="40"/>
      <c r="T149" s="49"/>
      <c r="X149" s="47"/>
    </row>
    <row r="150" spans="5:24" s="38" customFormat="1" x14ac:dyDescent="0.35">
      <c r="E150" s="39"/>
      <c r="F150" s="39"/>
      <c r="G150" s="39"/>
      <c r="H150" s="40"/>
      <c r="T150" s="49"/>
      <c r="X150" s="47"/>
    </row>
    <row r="151" spans="5:24" s="38" customFormat="1" x14ac:dyDescent="0.35">
      <c r="E151" s="39"/>
      <c r="F151" s="39"/>
      <c r="G151" s="39"/>
      <c r="H151" s="40"/>
      <c r="T151" s="49"/>
      <c r="X151" s="47"/>
    </row>
    <row r="152" spans="5:24" s="38" customFormat="1" x14ac:dyDescent="0.35">
      <c r="E152" s="39"/>
      <c r="F152" s="39"/>
      <c r="G152" s="39"/>
      <c r="H152" s="40"/>
      <c r="T152" s="49"/>
      <c r="X152" s="47"/>
    </row>
    <row r="153" spans="5:24" s="38" customFormat="1" x14ac:dyDescent="0.35">
      <c r="E153" s="39"/>
      <c r="F153" s="39"/>
      <c r="G153" s="39"/>
      <c r="H153" s="40"/>
      <c r="T153" s="49"/>
      <c r="X153" s="47"/>
    </row>
    <row r="154" spans="5:24" s="38" customFormat="1" x14ac:dyDescent="0.35">
      <c r="E154" s="39"/>
      <c r="F154" s="39"/>
      <c r="G154" s="39"/>
      <c r="H154" s="40"/>
      <c r="T154" s="49"/>
      <c r="X154" s="47"/>
    </row>
    <row r="155" spans="5:24" s="38" customFormat="1" x14ac:dyDescent="0.35">
      <c r="E155" s="39"/>
      <c r="F155" s="39"/>
      <c r="G155" s="39"/>
      <c r="H155" s="40"/>
      <c r="T155" s="49"/>
      <c r="X155" s="47"/>
    </row>
    <row r="156" spans="5:24" s="38" customFormat="1" x14ac:dyDescent="0.35">
      <c r="E156" s="39"/>
      <c r="F156" s="39"/>
      <c r="G156" s="39"/>
      <c r="H156" s="40"/>
      <c r="T156" s="49"/>
      <c r="X156" s="47"/>
    </row>
    <row r="157" spans="5:24" s="38" customFormat="1" x14ac:dyDescent="0.35">
      <c r="E157" s="39"/>
      <c r="F157" s="39"/>
      <c r="G157" s="39"/>
      <c r="H157" s="40"/>
      <c r="T157" s="49"/>
      <c r="X157" s="47"/>
    </row>
    <row r="158" spans="5:24" s="38" customFormat="1" x14ac:dyDescent="0.35">
      <c r="E158" s="39"/>
      <c r="F158" s="39"/>
      <c r="G158" s="39"/>
      <c r="H158" s="40"/>
      <c r="T158" s="49"/>
      <c r="X158" s="47"/>
    </row>
    <row r="159" spans="5:24" s="38" customFormat="1" x14ac:dyDescent="0.35">
      <c r="E159" s="39"/>
      <c r="F159" s="39"/>
      <c r="G159" s="39"/>
      <c r="H159" s="40"/>
      <c r="T159" s="49"/>
      <c r="X159" s="47"/>
    </row>
    <row r="160" spans="5:24" s="38" customFormat="1" x14ac:dyDescent="0.35">
      <c r="E160" s="39"/>
      <c r="F160" s="39"/>
      <c r="G160" s="39"/>
      <c r="H160" s="40"/>
      <c r="T160" s="49"/>
      <c r="X160" s="47"/>
    </row>
    <row r="161" spans="5:24" s="38" customFormat="1" x14ac:dyDescent="0.35">
      <c r="E161" s="39"/>
      <c r="F161" s="39"/>
      <c r="G161" s="39"/>
      <c r="H161" s="40"/>
      <c r="T161" s="49"/>
      <c r="X161" s="47"/>
    </row>
    <row r="162" spans="5:24" s="38" customFormat="1" x14ac:dyDescent="0.35">
      <c r="E162" s="39"/>
      <c r="F162" s="39"/>
      <c r="G162" s="39"/>
      <c r="H162" s="40"/>
      <c r="T162" s="49"/>
      <c r="X162" s="47"/>
    </row>
    <row r="163" spans="5:24" s="38" customFormat="1" x14ac:dyDescent="0.35">
      <c r="E163" s="39"/>
      <c r="F163" s="39"/>
      <c r="G163" s="39"/>
      <c r="H163" s="40"/>
      <c r="T163" s="49"/>
      <c r="X163" s="47"/>
    </row>
    <row r="164" spans="5:24" s="38" customFormat="1" x14ac:dyDescent="0.35">
      <c r="E164" s="39"/>
      <c r="F164" s="39"/>
      <c r="G164" s="39"/>
      <c r="H164" s="40"/>
      <c r="T164" s="49"/>
      <c r="X164" s="47"/>
    </row>
    <row r="165" spans="5:24" s="38" customFormat="1" x14ac:dyDescent="0.35">
      <c r="E165" s="39"/>
      <c r="F165" s="39"/>
      <c r="G165" s="39"/>
      <c r="H165" s="40"/>
      <c r="T165" s="49"/>
      <c r="X165" s="47"/>
    </row>
    <row r="166" spans="5:24" s="38" customFormat="1" x14ac:dyDescent="0.35">
      <c r="E166" s="39"/>
      <c r="F166" s="39"/>
      <c r="G166" s="39"/>
      <c r="H166" s="40"/>
      <c r="T166" s="49"/>
      <c r="X166" s="47"/>
    </row>
    <row r="167" spans="5:24" s="38" customFormat="1" x14ac:dyDescent="0.35">
      <c r="E167" s="39"/>
      <c r="F167" s="39"/>
      <c r="G167" s="39"/>
      <c r="H167" s="40"/>
      <c r="T167" s="49"/>
      <c r="X167" s="47"/>
    </row>
    <row r="168" spans="5:24" s="38" customFormat="1" x14ac:dyDescent="0.35">
      <c r="E168" s="39"/>
      <c r="F168" s="39"/>
      <c r="G168" s="39"/>
      <c r="H168" s="40"/>
      <c r="T168" s="49"/>
      <c r="X168" s="47"/>
    </row>
    <row r="169" spans="5:24" s="38" customFormat="1" x14ac:dyDescent="0.35">
      <c r="E169" s="39"/>
      <c r="F169" s="39"/>
      <c r="G169" s="39"/>
      <c r="H169" s="40"/>
      <c r="T169" s="49"/>
      <c r="X169" s="47"/>
    </row>
    <row r="170" spans="5:24" s="38" customFormat="1" x14ac:dyDescent="0.35">
      <c r="E170" s="39"/>
      <c r="F170" s="39"/>
      <c r="G170" s="39"/>
      <c r="H170" s="40"/>
      <c r="T170" s="49"/>
      <c r="X170" s="47"/>
    </row>
    <row r="171" spans="5:24" s="38" customFormat="1" x14ac:dyDescent="0.35">
      <c r="E171" s="39"/>
      <c r="F171" s="39"/>
      <c r="G171" s="39"/>
      <c r="H171" s="40"/>
      <c r="T171" s="49"/>
      <c r="X171" s="47"/>
    </row>
    <row r="172" spans="5:24" s="38" customFormat="1" x14ac:dyDescent="0.35">
      <c r="E172" s="39"/>
      <c r="F172" s="39"/>
      <c r="G172" s="39"/>
      <c r="H172" s="40"/>
      <c r="T172" s="49"/>
      <c r="X172" s="47"/>
    </row>
    <row r="173" spans="5:24" s="38" customFormat="1" x14ac:dyDescent="0.35">
      <c r="E173" s="39"/>
      <c r="F173" s="39"/>
      <c r="G173" s="39"/>
      <c r="H173" s="40"/>
      <c r="T173" s="49"/>
      <c r="X173" s="47"/>
    </row>
    <row r="174" spans="5:24" s="38" customFormat="1" x14ac:dyDescent="0.35">
      <c r="E174" s="39"/>
      <c r="F174" s="39"/>
      <c r="G174" s="39"/>
      <c r="H174" s="40"/>
      <c r="T174" s="49"/>
      <c r="X174" s="47"/>
    </row>
    <row r="175" spans="5:24" s="38" customFormat="1" x14ac:dyDescent="0.35">
      <c r="E175" s="39"/>
      <c r="F175" s="39"/>
      <c r="G175" s="39"/>
      <c r="H175" s="40"/>
      <c r="T175" s="49"/>
      <c r="X175" s="47"/>
    </row>
    <row r="176" spans="5:24" s="38" customFormat="1" x14ac:dyDescent="0.35">
      <c r="E176" s="39"/>
      <c r="F176" s="39"/>
      <c r="G176" s="39"/>
      <c r="H176" s="40"/>
      <c r="T176" s="49"/>
      <c r="X176" s="47"/>
    </row>
    <row r="177" spans="5:24" s="38" customFormat="1" x14ac:dyDescent="0.35">
      <c r="E177" s="39"/>
      <c r="F177" s="39"/>
      <c r="G177" s="39"/>
      <c r="H177" s="40"/>
      <c r="T177" s="49"/>
      <c r="X177" s="47"/>
    </row>
    <row r="178" spans="5:24" s="38" customFormat="1" x14ac:dyDescent="0.35">
      <c r="E178" s="39"/>
      <c r="F178" s="39"/>
      <c r="G178" s="39"/>
      <c r="H178" s="40"/>
      <c r="T178" s="49"/>
      <c r="X178" s="47"/>
    </row>
    <row r="179" spans="5:24" s="38" customFormat="1" x14ac:dyDescent="0.35">
      <c r="E179" s="39"/>
      <c r="F179" s="39"/>
      <c r="G179" s="39"/>
      <c r="H179" s="40"/>
      <c r="T179" s="49"/>
      <c r="X179" s="47"/>
    </row>
    <row r="180" spans="5:24" s="38" customFormat="1" x14ac:dyDescent="0.35">
      <c r="E180" s="39"/>
      <c r="F180" s="39"/>
      <c r="G180" s="39"/>
      <c r="H180" s="40"/>
      <c r="T180" s="49"/>
      <c r="X180" s="47"/>
    </row>
    <row r="181" spans="5:24" s="38" customFormat="1" x14ac:dyDescent="0.35">
      <c r="E181" s="39"/>
      <c r="F181" s="39"/>
      <c r="G181" s="39"/>
      <c r="H181" s="40"/>
      <c r="T181" s="49"/>
      <c r="X181" s="47"/>
    </row>
    <row r="182" spans="5:24" s="38" customFormat="1" x14ac:dyDescent="0.35">
      <c r="E182" s="39"/>
      <c r="F182" s="39"/>
      <c r="G182" s="39"/>
      <c r="H182" s="40"/>
      <c r="T182" s="49"/>
      <c r="X182" s="47"/>
    </row>
    <row r="183" spans="5:24" s="38" customFormat="1" x14ac:dyDescent="0.35">
      <c r="E183" s="39"/>
      <c r="F183" s="39"/>
      <c r="G183" s="39"/>
      <c r="H183" s="40"/>
      <c r="T183" s="49"/>
      <c r="X183" s="47"/>
    </row>
    <row r="184" spans="5:24" s="38" customFormat="1" x14ac:dyDescent="0.35">
      <c r="E184" s="39"/>
      <c r="F184" s="39"/>
      <c r="G184" s="39"/>
      <c r="H184" s="40"/>
      <c r="T184" s="49"/>
      <c r="X184" s="47"/>
    </row>
    <row r="185" spans="5:24" s="38" customFormat="1" x14ac:dyDescent="0.35">
      <c r="E185" s="39"/>
      <c r="F185" s="39"/>
      <c r="G185" s="39"/>
      <c r="H185" s="40"/>
      <c r="T185" s="49"/>
      <c r="X185" s="47"/>
    </row>
    <row r="186" spans="5:24" s="38" customFormat="1" x14ac:dyDescent="0.35">
      <c r="E186" s="39"/>
      <c r="F186" s="39"/>
      <c r="G186" s="39"/>
      <c r="H186" s="40"/>
      <c r="T186" s="49"/>
      <c r="X186" s="47"/>
    </row>
    <row r="187" spans="5:24" s="38" customFormat="1" x14ac:dyDescent="0.35">
      <c r="E187" s="39"/>
      <c r="F187" s="39"/>
      <c r="G187" s="39"/>
      <c r="H187" s="40"/>
      <c r="T187" s="49"/>
      <c r="X187" s="47"/>
    </row>
    <row r="188" spans="5:24" s="38" customFormat="1" x14ac:dyDescent="0.35">
      <c r="E188" s="39"/>
      <c r="F188" s="39"/>
      <c r="G188" s="39"/>
      <c r="H188" s="40"/>
      <c r="T188" s="49"/>
      <c r="X188" s="47"/>
    </row>
    <row r="189" spans="5:24" s="38" customFormat="1" x14ac:dyDescent="0.35">
      <c r="E189" s="39"/>
      <c r="F189" s="39"/>
      <c r="G189" s="39"/>
      <c r="H189" s="40"/>
      <c r="T189" s="49"/>
      <c r="X189" s="47"/>
    </row>
    <row r="190" spans="5:24" s="38" customFormat="1" x14ac:dyDescent="0.35">
      <c r="E190" s="39"/>
      <c r="F190" s="39"/>
      <c r="G190" s="39"/>
      <c r="H190" s="40"/>
      <c r="T190" s="49"/>
      <c r="X190" s="47"/>
    </row>
    <row r="191" spans="5:24" s="38" customFormat="1" x14ac:dyDescent="0.35">
      <c r="E191" s="39"/>
      <c r="F191" s="39"/>
      <c r="G191" s="39"/>
      <c r="H191" s="40"/>
      <c r="J191" s="40"/>
      <c r="K191" s="40"/>
      <c r="L191" s="46"/>
      <c r="M191" s="46"/>
      <c r="T191" s="49"/>
      <c r="X191" s="47"/>
    </row>
    <row r="192" spans="5:24" s="38" customFormat="1" x14ac:dyDescent="0.35">
      <c r="E192" s="39"/>
      <c r="F192" s="39"/>
      <c r="G192" s="39"/>
      <c r="H192" s="40"/>
      <c r="T192" s="49"/>
      <c r="X192" s="47"/>
    </row>
    <row r="193" spans="5:24" s="38" customFormat="1" x14ac:dyDescent="0.35">
      <c r="E193" s="39"/>
      <c r="F193" s="39"/>
      <c r="G193" s="39"/>
      <c r="H193" s="40"/>
      <c r="T193" s="49"/>
      <c r="X193" s="47"/>
    </row>
    <row r="194" spans="5:24" s="38" customFormat="1" x14ac:dyDescent="0.35">
      <c r="E194" s="39"/>
      <c r="F194" s="39"/>
      <c r="G194" s="39"/>
      <c r="H194" s="40"/>
      <c r="T194" s="49"/>
      <c r="X194" s="47"/>
    </row>
    <row r="195" spans="5:24" s="38" customFormat="1" x14ac:dyDescent="0.35">
      <c r="E195" s="39"/>
      <c r="F195" s="39"/>
      <c r="G195" s="39"/>
      <c r="H195" s="40"/>
      <c r="T195" s="49"/>
      <c r="X195" s="47"/>
    </row>
    <row r="196" spans="5:24" s="38" customFormat="1" x14ac:dyDescent="0.35">
      <c r="E196" s="39"/>
      <c r="F196" s="39"/>
      <c r="G196" s="39"/>
      <c r="H196" s="40"/>
      <c r="T196" s="49"/>
      <c r="X196" s="47"/>
    </row>
    <row r="197" spans="5:24" s="38" customFormat="1" x14ac:dyDescent="0.35">
      <c r="E197" s="39"/>
      <c r="F197" s="39"/>
      <c r="G197" s="39"/>
      <c r="H197" s="40"/>
      <c r="J197" s="40"/>
      <c r="L197" s="46"/>
      <c r="M197" s="46"/>
      <c r="T197" s="49"/>
      <c r="X197" s="47"/>
    </row>
    <row r="198" spans="5:24" s="38" customFormat="1" x14ac:dyDescent="0.35">
      <c r="E198" s="39"/>
      <c r="F198" s="39"/>
      <c r="G198" s="39"/>
      <c r="H198" s="40"/>
      <c r="J198" s="40"/>
      <c r="K198" s="40"/>
      <c r="L198" s="46"/>
      <c r="M198" s="46"/>
      <c r="T198" s="49"/>
      <c r="X198" s="47"/>
    </row>
    <row r="199" spans="5:24" s="38" customFormat="1" x14ac:dyDescent="0.35">
      <c r="E199" s="39"/>
      <c r="F199" s="39"/>
      <c r="G199" s="39"/>
      <c r="H199" s="40"/>
      <c r="T199" s="49"/>
      <c r="X199" s="47"/>
    </row>
    <row r="200" spans="5:24" s="38" customFormat="1" x14ac:dyDescent="0.35">
      <c r="E200" s="39"/>
      <c r="F200" s="39"/>
      <c r="G200" s="39"/>
      <c r="H200" s="40"/>
      <c r="T200" s="49"/>
      <c r="X200" s="47"/>
    </row>
    <row r="201" spans="5:24" s="38" customFormat="1" x14ac:dyDescent="0.35">
      <c r="E201" s="39"/>
      <c r="F201" s="39"/>
      <c r="G201" s="39"/>
      <c r="H201" s="40"/>
      <c r="T201" s="49"/>
      <c r="X201" s="47"/>
    </row>
    <row r="202" spans="5:24" s="38" customFormat="1" x14ac:dyDescent="0.35">
      <c r="E202" s="39"/>
      <c r="F202" s="39"/>
      <c r="G202" s="39"/>
      <c r="H202" s="40"/>
      <c r="T202" s="49"/>
      <c r="X202" s="47"/>
    </row>
    <row r="203" spans="5:24" s="38" customFormat="1" x14ac:dyDescent="0.35">
      <c r="E203" s="39"/>
      <c r="F203" s="39"/>
      <c r="G203" s="39"/>
      <c r="H203" s="40"/>
      <c r="T203" s="49"/>
      <c r="X203" s="47"/>
    </row>
    <row r="204" spans="5:24" s="38" customFormat="1" x14ac:dyDescent="0.35">
      <c r="E204" s="39"/>
      <c r="F204" s="39"/>
      <c r="G204" s="39"/>
      <c r="H204" s="40"/>
      <c r="T204" s="49"/>
      <c r="X204" s="47"/>
    </row>
    <row r="205" spans="5:24" s="38" customFormat="1" x14ac:dyDescent="0.35">
      <c r="E205" s="39"/>
      <c r="F205" s="39"/>
      <c r="G205" s="39"/>
      <c r="H205" s="40"/>
      <c r="T205" s="49"/>
      <c r="X205" s="47"/>
    </row>
    <row r="206" spans="5:24" s="38" customFormat="1" x14ac:dyDescent="0.35">
      <c r="E206" s="39"/>
      <c r="F206" s="39"/>
      <c r="G206" s="39"/>
      <c r="H206" s="40"/>
      <c r="J206" s="40"/>
      <c r="K206" s="40"/>
      <c r="L206" s="46"/>
      <c r="M206" s="46"/>
      <c r="T206" s="49"/>
      <c r="X206" s="47"/>
    </row>
    <row r="207" spans="5:24" s="38" customFormat="1" x14ac:dyDescent="0.35">
      <c r="E207" s="39"/>
      <c r="F207" s="39"/>
      <c r="G207" s="39"/>
      <c r="H207" s="40"/>
      <c r="T207" s="49"/>
      <c r="X207" s="47"/>
    </row>
    <row r="208" spans="5:24" s="38" customFormat="1" x14ac:dyDescent="0.35">
      <c r="E208" s="39"/>
      <c r="F208" s="39"/>
      <c r="G208" s="39"/>
      <c r="H208" s="40"/>
      <c r="T208" s="49"/>
      <c r="X208" s="47"/>
    </row>
    <row r="209" spans="5:24" s="38" customFormat="1" x14ac:dyDescent="0.35">
      <c r="E209" s="39"/>
      <c r="F209" s="39"/>
      <c r="G209" s="39"/>
      <c r="H209" s="40"/>
      <c r="T209" s="49"/>
      <c r="X209" s="47"/>
    </row>
    <row r="210" spans="5:24" s="38" customFormat="1" x14ac:dyDescent="0.35">
      <c r="E210" s="39"/>
      <c r="F210" s="39"/>
      <c r="G210" s="39"/>
      <c r="H210" s="40"/>
      <c r="T210" s="49"/>
      <c r="X210" s="47"/>
    </row>
    <row r="211" spans="5:24" s="38" customFormat="1" x14ac:dyDescent="0.35">
      <c r="E211" s="39"/>
      <c r="F211" s="39"/>
      <c r="G211" s="39"/>
      <c r="H211" s="40"/>
      <c r="T211" s="49"/>
      <c r="X211" s="47"/>
    </row>
    <row r="212" spans="5:24" s="38" customFormat="1" x14ac:dyDescent="0.35">
      <c r="E212" s="39"/>
      <c r="F212" s="39"/>
      <c r="G212" s="39"/>
      <c r="H212" s="40"/>
      <c r="T212" s="49"/>
      <c r="X212" s="47"/>
    </row>
    <row r="213" spans="5:24" s="38" customFormat="1" x14ac:dyDescent="0.35">
      <c r="E213" s="39"/>
      <c r="F213" s="39"/>
      <c r="G213" s="39"/>
      <c r="H213" s="40"/>
      <c r="T213" s="49"/>
      <c r="X213" s="47"/>
    </row>
    <row r="214" spans="5:24" s="38" customFormat="1" x14ac:dyDescent="0.35">
      <c r="E214" s="39"/>
      <c r="F214" s="39"/>
      <c r="G214" s="39"/>
      <c r="H214" s="40"/>
      <c r="T214" s="49"/>
      <c r="X214" s="47"/>
    </row>
    <row r="215" spans="5:24" s="38" customFormat="1" x14ac:dyDescent="0.35">
      <c r="E215" s="39"/>
      <c r="F215" s="39"/>
      <c r="G215" s="39"/>
      <c r="H215" s="40"/>
      <c r="T215" s="49"/>
      <c r="X215" s="47"/>
    </row>
    <row r="216" spans="5:24" s="38" customFormat="1" x14ac:dyDescent="0.35">
      <c r="E216" s="39"/>
      <c r="F216" s="39"/>
      <c r="G216" s="39"/>
      <c r="H216" s="40"/>
      <c r="T216" s="49"/>
      <c r="X216" s="47"/>
    </row>
    <row r="217" spans="5:24" s="38" customFormat="1" x14ac:dyDescent="0.35">
      <c r="E217" s="39"/>
      <c r="F217" s="39"/>
      <c r="G217" s="39"/>
      <c r="H217" s="40"/>
      <c r="T217" s="49"/>
      <c r="X217" s="47"/>
    </row>
    <row r="218" spans="5:24" s="38" customFormat="1" x14ac:dyDescent="0.35">
      <c r="E218" s="39"/>
      <c r="F218" s="39"/>
      <c r="G218" s="39"/>
      <c r="H218" s="40"/>
      <c r="T218" s="49"/>
      <c r="X218" s="47"/>
    </row>
    <row r="219" spans="5:24" s="38" customFormat="1" x14ac:dyDescent="0.35">
      <c r="E219" s="39"/>
      <c r="F219" s="39"/>
      <c r="G219" s="39"/>
      <c r="H219" s="40"/>
      <c r="T219" s="49"/>
      <c r="X219" s="47"/>
    </row>
    <row r="220" spans="5:24" s="38" customFormat="1" x14ac:dyDescent="0.35">
      <c r="E220" s="39"/>
      <c r="F220" s="39"/>
      <c r="G220" s="39"/>
      <c r="H220" s="40"/>
      <c r="T220" s="49"/>
      <c r="X220" s="47"/>
    </row>
    <row r="221" spans="5:24" s="38" customFormat="1" x14ac:dyDescent="0.35">
      <c r="E221" s="39"/>
      <c r="F221" s="39"/>
      <c r="G221" s="39"/>
      <c r="H221" s="40"/>
      <c r="T221" s="49"/>
      <c r="X221" s="47"/>
    </row>
    <row r="222" spans="5:24" s="38" customFormat="1" x14ac:dyDescent="0.35">
      <c r="E222" s="39"/>
      <c r="F222" s="39"/>
      <c r="G222" s="39"/>
      <c r="H222" s="40"/>
      <c r="T222" s="49"/>
      <c r="X222" s="47"/>
    </row>
    <row r="223" spans="5:24" s="38" customFormat="1" x14ac:dyDescent="0.35">
      <c r="E223" s="39"/>
      <c r="F223" s="39"/>
      <c r="G223" s="39"/>
      <c r="H223" s="40"/>
      <c r="T223" s="49"/>
      <c r="X223" s="47"/>
    </row>
    <row r="224" spans="5:24" s="38" customFormat="1" x14ac:dyDescent="0.35">
      <c r="E224" s="39"/>
      <c r="F224" s="39"/>
      <c r="G224" s="39"/>
      <c r="H224" s="40"/>
      <c r="T224" s="49"/>
      <c r="X224" s="47"/>
    </row>
    <row r="225" spans="5:24" s="38" customFormat="1" x14ac:dyDescent="0.35">
      <c r="E225" s="39"/>
      <c r="F225" s="39"/>
      <c r="G225" s="39"/>
      <c r="H225" s="40"/>
      <c r="T225" s="49"/>
      <c r="X225" s="47"/>
    </row>
    <row r="226" spans="5:24" s="38" customFormat="1" x14ac:dyDescent="0.35">
      <c r="E226" s="39"/>
      <c r="F226" s="39"/>
      <c r="G226" s="39"/>
      <c r="H226" s="40"/>
      <c r="T226" s="49"/>
      <c r="X226" s="47"/>
    </row>
    <row r="227" spans="5:24" s="38" customFormat="1" x14ac:dyDescent="0.35">
      <c r="E227" s="39"/>
      <c r="F227" s="39"/>
      <c r="G227" s="39"/>
      <c r="H227" s="40"/>
      <c r="T227" s="49"/>
      <c r="X227" s="47"/>
    </row>
    <row r="228" spans="5:24" s="38" customFormat="1" x14ac:dyDescent="0.35">
      <c r="E228" s="39"/>
      <c r="F228" s="39"/>
      <c r="G228" s="39"/>
      <c r="H228" s="40"/>
      <c r="T228" s="49"/>
      <c r="X228" s="47"/>
    </row>
    <row r="229" spans="5:24" s="38" customFormat="1" x14ac:dyDescent="0.35">
      <c r="E229" s="39"/>
      <c r="F229" s="39"/>
      <c r="G229" s="39"/>
      <c r="H229" s="40"/>
      <c r="T229" s="49"/>
      <c r="X229" s="47"/>
    </row>
    <row r="230" spans="5:24" s="38" customFormat="1" x14ac:dyDescent="0.35">
      <c r="E230" s="39"/>
      <c r="F230" s="39"/>
      <c r="G230" s="39"/>
      <c r="H230" s="40"/>
      <c r="T230" s="49"/>
      <c r="X230" s="47"/>
    </row>
    <row r="231" spans="5:24" s="38" customFormat="1" x14ac:dyDescent="0.35">
      <c r="E231" s="39"/>
      <c r="F231" s="39"/>
      <c r="G231" s="39"/>
      <c r="H231" s="40"/>
      <c r="T231" s="49"/>
      <c r="X231" s="47"/>
    </row>
    <row r="232" spans="5:24" s="38" customFormat="1" x14ac:dyDescent="0.35">
      <c r="E232" s="39"/>
      <c r="F232" s="39"/>
      <c r="G232" s="39"/>
      <c r="H232" s="40"/>
      <c r="T232" s="49"/>
      <c r="X232" s="47"/>
    </row>
    <row r="233" spans="5:24" s="38" customFormat="1" x14ac:dyDescent="0.35">
      <c r="E233" s="39"/>
      <c r="F233" s="39"/>
      <c r="G233" s="39"/>
      <c r="H233" s="40"/>
      <c r="T233" s="49"/>
      <c r="X233" s="47"/>
    </row>
    <row r="234" spans="5:24" s="38" customFormat="1" x14ac:dyDescent="0.35">
      <c r="E234" s="39"/>
      <c r="F234" s="39"/>
      <c r="G234" s="39"/>
      <c r="H234" s="40"/>
      <c r="T234" s="49"/>
      <c r="X234" s="47"/>
    </row>
    <row r="235" spans="5:24" s="38" customFormat="1" x14ac:dyDescent="0.35">
      <c r="E235" s="39"/>
      <c r="F235" s="39"/>
      <c r="G235" s="39"/>
      <c r="H235" s="40"/>
      <c r="T235" s="49"/>
      <c r="X235" s="47"/>
    </row>
    <row r="236" spans="5:24" s="38" customFormat="1" x14ac:dyDescent="0.35">
      <c r="E236" s="39"/>
      <c r="F236" s="39"/>
      <c r="G236" s="39"/>
      <c r="H236" s="40"/>
      <c r="T236" s="49"/>
      <c r="X236" s="47"/>
    </row>
    <row r="237" spans="5:24" s="38" customFormat="1" x14ac:dyDescent="0.35">
      <c r="E237" s="39"/>
      <c r="F237" s="39"/>
      <c r="G237" s="39"/>
      <c r="H237" s="40"/>
      <c r="T237" s="49"/>
      <c r="X237" s="47"/>
    </row>
    <row r="238" spans="5:24" s="38" customFormat="1" x14ac:dyDescent="0.35">
      <c r="E238" s="39"/>
      <c r="F238" s="39"/>
      <c r="G238" s="39"/>
      <c r="H238" s="40"/>
      <c r="T238" s="49"/>
      <c r="X238" s="47"/>
    </row>
    <row r="239" spans="5:24" s="38" customFormat="1" x14ac:dyDescent="0.35">
      <c r="E239" s="39"/>
      <c r="F239" s="39"/>
      <c r="G239" s="39"/>
      <c r="H239" s="40"/>
      <c r="T239" s="49"/>
      <c r="X239" s="47"/>
    </row>
    <row r="240" spans="5:24" s="38" customFormat="1" x14ac:dyDescent="0.35">
      <c r="E240" s="39"/>
      <c r="F240" s="39"/>
      <c r="G240" s="39"/>
      <c r="H240" s="40"/>
      <c r="T240" s="49"/>
      <c r="X240" s="47"/>
    </row>
    <row r="241" spans="5:24" s="38" customFormat="1" x14ac:dyDescent="0.35">
      <c r="E241" s="39"/>
      <c r="F241" s="39"/>
      <c r="G241" s="39"/>
      <c r="H241" s="40"/>
      <c r="T241" s="49"/>
      <c r="X241" s="47"/>
    </row>
    <row r="242" spans="5:24" s="38" customFormat="1" x14ac:dyDescent="0.35">
      <c r="E242" s="39"/>
      <c r="F242" s="39"/>
      <c r="G242" s="39"/>
      <c r="H242" s="40"/>
      <c r="T242" s="49"/>
      <c r="X242" s="47"/>
    </row>
    <row r="243" spans="5:24" s="38" customFormat="1" x14ac:dyDescent="0.35">
      <c r="E243" s="39"/>
      <c r="F243" s="39"/>
      <c r="G243" s="39"/>
      <c r="H243" s="40"/>
      <c r="T243" s="49"/>
      <c r="X243" s="47"/>
    </row>
    <row r="244" spans="5:24" s="38" customFormat="1" x14ac:dyDescent="0.35">
      <c r="E244" s="39"/>
      <c r="F244" s="39"/>
      <c r="G244" s="39"/>
      <c r="H244" s="40"/>
      <c r="T244" s="49"/>
      <c r="X244" s="47"/>
    </row>
    <row r="245" spans="5:24" s="38" customFormat="1" x14ac:dyDescent="0.35">
      <c r="E245" s="39"/>
      <c r="F245" s="39"/>
      <c r="G245" s="39"/>
      <c r="H245" s="40"/>
      <c r="T245" s="49"/>
      <c r="X245" s="47"/>
    </row>
    <row r="246" spans="5:24" s="38" customFormat="1" x14ac:dyDescent="0.35">
      <c r="E246" s="39"/>
      <c r="F246" s="39"/>
      <c r="G246" s="39"/>
      <c r="H246" s="40"/>
      <c r="T246" s="49"/>
      <c r="X246" s="47"/>
    </row>
    <row r="247" spans="5:24" s="38" customFormat="1" x14ac:dyDescent="0.35">
      <c r="E247" s="39"/>
      <c r="F247" s="39"/>
      <c r="G247" s="39"/>
      <c r="H247" s="40"/>
      <c r="T247" s="49"/>
      <c r="X247" s="47"/>
    </row>
    <row r="248" spans="5:24" s="38" customFormat="1" x14ac:dyDescent="0.35">
      <c r="E248" s="39"/>
      <c r="F248" s="39"/>
      <c r="G248" s="39"/>
      <c r="H248" s="40"/>
      <c r="T248" s="49"/>
      <c r="X248" s="47"/>
    </row>
    <row r="249" spans="5:24" s="38" customFormat="1" x14ac:dyDescent="0.35">
      <c r="E249" s="39"/>
      <c r="F249" s="39"/>
      <c r="G249" s="39"/>
      <c r="H249" s="40"/>
      <c r="T249" s="49"/>
      <c r="X249" s="47"/>
    </row>
    <row r="250" spans="5:24" s="38" customFormat="1" x14ac:dyDescent="0.35">
      <c r="E250" s="39"/>
      <c r="F250" s="39"/>
      <c r="G250" s="39"/>
      <c r="H250" s="40"/>
      <c r="T250" s="49"/>
      <c r="X250" s="47"/>
    </row>
    <row r="251" spans="5:24" s="38" customFormat="1" x14ac:dyDescent="0.35">
      <c r="E251" s="39"/>
      <c r="F251" s="39"/>
      <c r="G251" s="39"/>
      <c r="H251" s="40"/>
      <c r="T251" s="49"/>
      <c r="X251" s="47"/>
    </row>
    <row r="252" spans="5:24" s="38" customFormat="1" x14ac:dyDescent="0.35">
      <c r="E252" s="39"/>
      <c r="F252" s="39"/>
      <c r="G252" s="39"/>
      <c r="H252" s="40"/>
      <c r="T252" s="49"/>
      <c r="X252" s="47"/>
    </row>
    <row r="253" spans="5:24" s="38" customFormat="1" x14ac:dyDescent="0.35">
      <c r="E253" s="39"/>
      <c r="F253" s="39"/>
      <c r="G253" s="39"/>
      <c r="H253" s="40"/>
      <c r="T253" s="49"/>
      <c r="X253" s="47"/>
    </row>
    <row r="254" spans="5:24" s="38" customFormat="1" x14ac:dyDescent="0.35">
      <c r="E254" s="39"/>
      <c r="F254" s="39"/>
      <c r="G254" s="39"/>
      <c r="H254" s="40"/>
      <c r="T254" s="49"/>
      <c r="X254" s="47"/>
    </row>
    <row r="255" spans="5:24" s="38" customFormat="1" x14ac:dyDescent="0.35">
      <c r="E255" s="39"/>
      <c r="F255" s="39"/>
      <c r="G255" s="39"/>
      <c r="H255" s="40"/>
      <c r="T255" s="49"/>
      <c r="X255" s="47"/>
    </row>
    <row r="256" spans="5:24" s="38" customFormat="1" x14ac:dyDescent="0.35">
      <c r="E256" s="39"/>
      <c r="F256" s="39"/>
      <c r="G256" s="39"/>
      <c r="H256" s="40"/>
      <c r="T256" s="49"/>
      <c r="X256" s="47"/>
    </row>
    <row r="257" spans="5:24" s="38" customFormat="1" x14ac:dyDescent="0.35">
      <c r="E257" s="39"/>
      <c r="F257" s="39"/>
      <c r="G257" s="39"/>
      <c r="H257" s="40"/>
      <c r="T257" s="49"/>
      <c r="X257" s="47"/>
    </row>
    <row r="258" spans="5:24" s="38" customFormat="1" x14ac:dyDescent="0.35">
      <c r="E258" s="39"/>
      <c r="F258" s="39"/>
      <c r="G258" s="39"/>
      <c r="H258" s="40"/>
      <c r="T258" s="49"/>
      <c r="X258" s="47"/>
    </row>
    <row r="259" spans="5:24" s="38" customFormat="1" x14ac:dyDescent="0.35">
      <c r="E259" s="39"/>
      <c r="F259" s="39"/>
      <c r="G259" s="39"/>
      <c r="H259" s="40"/>
      <c r="T259" s="49"/>
      <c r="X259" s="47"/>
    </row>
    <row r="260" spans="5:24" s="38" customFormat="1" x14ac:dyDescent="0.35">
      <c r="E260" s="39"/>
      <c r="F260" s="39"/>
      <c r="G260" s="39"/>
      <c r="H260" s="40"/>
      <c r="T260" s="49"/>
      <c r="X260" s="47"/>
    </row>
    <row r="261" spans="5:24" s="38" customFormat="1" x14ac:dyDescent="0.35">
      <c r="E261" s="39"/>
      <c r="F261" s="39"/>
      <c r="G261" s="39"/>
      <c r="H261" s="40"/>
      <c r="T261" s="49"/>
      <c r="X261" s="47"/>
    </row>
    <row r="262" spans="5:24" s="38" customFormat="1" x14ac:dyDescent="0.35">
      <c r="E262" s="39"/>
      <c r="F262" s="39"/>
      <c r="G262" s="39"/>
      <c r="H262" s="40"/>
      <c r="T262" s="49"/>
      <c r="X262" s="47"/>
    </row>
    <row r="263" spans="5:24" s="38" customFormat="1" x14ac:dyDescent="0.35">
      <c r="E263" s="39"/>
      <c r="F263" s="39"/>
      <c r="G263" s="39"/>
      <c r="H263" s="40"/>
      <c r="T263" s="49"/>
      <c r="X263" s="47"/>
    </row>
    <row r="264" spans="5:24" s="38" customFormat="1" x14ac:dyDescent="0.35">
      <c r="E264" s="39"/>
      <c r="F264" s="39"/>
      <c r="G264" s="39"/>
      <c r="H264" s="40"/>
      <c r="T264" s="49"/>
      <c r="X264" s="47"/>
    </row>
    <row r="265" spans="5:24" s="38" customFormat="1" x14ac:dyDescent="0.35">
      <c r="E265" s="39"/>
      <c r="F265" s="39"/>
      <c r="G265" s="39"/>
      <c r="H265" s="40"/>
      <c r="T265" s="49"/>
      <c r="X265" s="47"/>
    </row>
    <row r="266" spans="5:24" s="38" customFormat="1" x14ac:dyDescent="0.35">
      <c r="E266" s="39"/>
      <c r="F266" s="39"/>
      <c r="G266" s="39"/>
      <c r="H266" s="40"/>
      <c r="J266" s="40"/>
      <c r="K266" s="40"/>
      <c r="L266" s="46"/>
      <c r="M266" s="46"/>
      <c r="T266" s="49"/>
      <c r="X266" s="47"/>
    </row>
    <row r="267" spans="5:24" s="38" customFormat="1" x14ac:dyDescent="0.35">
      <c r="E267" s="39"/>
      <c r="F267" s="39"/>
      <c r="G267" s="39"/>
      <c r="H267" s="40"/>
      <c r="T267" s="49"/>
      <c r="X267" s="47"/>
    </row>
    <row r="268" spans="5:24" s="38" customFormat="1" x14ac:dyDescent="0.35">
      <c r="E268" s="39"/>
      <c r="F268" s="39"/>
      <c r="G268" s="39"/>
      <c r="H268" s="40"/>
      <c r="T268" s="49"/>
      <c r="X268" s="47"/>
    </row>
    <row r="269" spans="5:24" s="38" customFormat="1" x14ac:dyDescent="0.35">
      <c r="E269" s="39"/>
      <c r="F269" s="39"/>
      <c r="G269" s="39"/>
      <c r="H269" s="40"/>
      <c r="T269" s="49"/>
      <c r="X269" s="47"/>
    </row>
    <row r="270" spans="5:24" s="38" customFormat="1" x14ac:dyDescent="0.35">
      <c r="E270" s="39"/>
      <c r="F270" s="39"/>
      <c r="G270" s="39"/>
      <c r="H270" s="40"/>
      <c r="T270" s="49"/>
      <c r="X270" s="47"/>
    </row>
    <row r="271" spans="5:24" s="38" customFormat="1" x14ac:dyDescent="0.35">
      <c r="E271" s="39"/>
      <c r="F271" s="39"/>
      <c r="G271" s="39"/>
      <c r="H271" s="40"/>
      <c r="T271" s="49"/>
      <c r="X271" s="47"/>
    </row>
    <row r="272" spans="5:24" s="38" customFormat="1" x14ac:dyDescent="0.35">
      <c r="E272" s="39"/>
      <c r="F272" s="39"/>
      <c r="G272" s="39"/>
      <c r="H272" s="40"/>
      <c r="J272" s="40"/>
      <c r="K272" s="40"/>
      <c r="L272" s="46"/>
      <c r="M272" s="46"/>
      <c r="T272" s="49"/>
      <c r="X272" s="47"/>
    </row>
    <row r="273" spans="5:24" s="38" customFormat="1" x14ac:dyDescent="0.35">
      <c r="E273" s="39"/>
      <c r="F273" s="39"/>
      <c r="G273" s="39"/>
      <c r="H273" s="40"/>
      <c r="T273" s="49"/>
      <c r="X273" s="47"/>
    </row>
    <row r="274" spans="5:24" s="38" customFormat="1" x14ac:dyDescent="0.35">
      <c r="E274" s="39"/>
      <c r="F274" s="39"/>
      <c r="G274" s="39"/>
      <c r="H274" s="40"/>
      <c r="T274" s="49"/>
      <c r="X274" s="47"/>
    </row>
    <row r="275" spans="5:24" s="38" customFormat="1" x14ac:dyDescent="0.35">
      <c r="E275" s="39"/>
      <c r="F275" s="39"/>
      <c r="G275" s="39"/>
      <c r="H275" s="40"/>
      <c r="T275" s="49"/>
      <c r="X275" s="47"/>
    </row>
    <row r="276" spans="5:24" s="38" customFormat="1" x14ac:dyDescent="0.35">
      <c r="E276" s="39"/>
      <c r="F276" s="39"/>
      <c r="G276" s="39"/>
      <c r="H276" s="40"/>
      <c r="T276" s="49"/>
      <c r="X276" s="47"/>
    </row>
    <row r="277" spans="5:24" s="38" customFormat="1" x14ac:dyDescent="0.35">
      <c r="E277" s="39"/>
      <c r="F277" s="39"/>
      <c r="G277" s="39"/>
      <c r="H277" s="40"/>
      <c r="T277" s="49"/>
      <c r="X277" s="47"/>
    </row>
    <row r="278" spans="5:24" s="38" customFormat="1" x14ac:dyDescent="0.35">
      <c r="E278" s="39"/>
      <c r="F278" s="39"/>
      <c r="G278" s="39"/>
      <c r="H278" s="40"/>
      <c r="T278" s="49"/>
      <c r="X278" s="47"/>
    </row>
    <row r="279" spans="5:24" s="38" customFormat="1" x14ac:dyDescent="0.35">
      <c r="E279" s="39"/>
      <c r="F279" s="39"/>
      <c r="G279" s="39"/>
      <c r="H279" s="40"/>
      <c r="T279" s="49"/>
      <c r="X279" s="47"/>
    </row>
    <row r="280" spans="5:24" s="38" customFormat="1" x14ac:dyDescent="0.35">
      <c r="E280" s="39"/>
      <c r="F280" s="39"/>
      <c r="G280" s="39"/>
      <c r="H280" s="40"/>
      <c r="T280" s="49"/>
      <c r="X280" s="47"/>
    </row>
    <row r="281" spans="5:24" s="38" customFormat="1" x14ac:dyDescent="0.35">
      <c r="E281" s="39"/>
      <c r="F281" s="39"/>
      <c r="G281" s="39"/>
      <c r="H281" s="40"/>
      <c r="T281" s="49"/>
      <c r="X281" s="47"/>
    </row>
    <row r="282" spans="5:24" s="38" customFormat="1" x14ac:dyDescent="0.35">
      <c r="E282" s="39"/>
      <c r="F282" s="39"/>
      <c r="G282" s="39"/>
      <c r="H282" s="40"/>
      <c r="T282" s="49"/>
      <c r="X282" s="47"/>
    </row>
    <row r="283" spans="5:24" s="38" customFormat="1" x14ac:dyDescent="0.35">
      <c r="E283" s="39"/>
      <c r="F283" s="39"/>
      <c r="G283" s="39"/>
      <c r="H283" s="40"/>
      <c r="T283" s="49"/>
      <c r="X283" s="47"/>
    </row>
    <row r="284" spans="5:24" s="38" customFormat="1" x14ac:dyDescent="0.35">
      <c r="E284" s="39"/>
      <c r="F284" s="39"/>
      <c r="G284" s="39"/>
      <c r="H284" s="40"/>
      <c r="T284" s="49"/>
      <c r="X284" s="47"/>
    </row>
    <row r="285" spans="5:24" s="38" customFormat="1" x14ac:dyDescent="0.35">
      <c r="E285" s="39"/>
      <c r="F285" s="39"/>
      <c r="G285" s="39"/>
      <c r="H285" s="40"/>
      <c r="T285" s="49"/>
      <c r="X285" s="47"/>
    </row>
    <row r="286" spans="5:24" s="38" customFormat="1" x14ac:dyDescent="0.35">
      <c r="E286" s="39"/>
      <c r="F286" s="39"/>
      <c r="G286" s="39"/>
      <c r="H286" s="40"/>
      <c r="T286" s="49"/>
      <c r="X286" s="47"/>
    </row>
    <row r="287" spans="5:24" s="38" customFormat="1" x14ac:dyDescent="0.35">
      <c r="E287" s="39"/>
      <c r="F287" s="39"/>
      <c r="G287" s="39"/>
      <c r="H287" s="40"/>
      <c r="T287" s="49"/>
      <c r="X287" s="47"/>
    </row>
    <row r="288" spans="5:24" s="38" customFormat="1" x14ac:dyDescent="0.35">
      <c r="E288" s="39"/>
      <c r="F288" s="39"/>
      <c r="G288" s="39"/>
      <c r="H288" s="40"/>
      <c r="T288" s="49"/>
      <c r="X288" s="47"/>
    </row>
    <row r="289" spans="5:24" s="38" customFormat="1" x14ac:dyDescent="0.35">
      <c r="E289" s="39"/>
      <c r="F289" s="39"/>
      <c r="G289" s="39"/>
      <c r="H289" s="40"/>
      <c r="T289" s="49"/>
      <c r="X289" s="47"/>
    </row>
    <row r="290" spans="5:24" s="38" customFormat="1" x14ac:dyDescent="0.35">
      <c r="E290" s="39"/>
      <c r="F290" s="39"/>
      <c r="G290" s="39"/>
      <c r="H290" s="40"/>
      <c r="T290" s="49"/>
      <c r="X290" s="47"/>
    </row>
    <row r="291" spans="5:24" s="38" customFormat="1" x14ac:dyDescent="0.35">
      <c r="E291" s="39"/>
      <c r="F291" s="39"/>
      <c r="G291" s="39"/>
      <c r="H291" s="40"/>
      <c r="T291" s="49"/>
      <c r="X291" s="47"/>
    </row>
    <row r="292" spans="5:24" s="38" customFormat="1" x14ac:dyDescent="0.35">
      <c r="E292" s="39"/>
      <c r="F292" s="39"/>
      <c r="G292" s="39"/>
      <c r="H292" s="40"/>
      <c r="T292" s="49"/>
      <c r="X292" s="47"/>
    </row>
    <row r="293" spans="5:24" s="38" customFormat="1" x14ac:dyDescent="0.35">
      <c r="E293" s="39"/>
      <c r="F293" s="39"/>
      <c r="G293" s="39"/>
      <c r="H293" s="40"/>
      <c r="T293" s="49"/>
      <c r="X293" s="47"/>
    </row>
    <row r="294" spans="5:24" s="38" customFormat="1" x14ac:dyDescent="0.35">
      <c r="E294" s="39"/>
      <c r="F294" s="39"/>
      <c r="G294" s="39"/>
      <c r="H294" s="40"/>
      <c r="T294" s="49"/>
      <c r="X294" s="47"/>
    </row>
    <row r="295" spans="5:24" s="38" customFormat="1" x14ac:dyDescent="0.35">
      <c r="E295" s="39"/>
      <c r="F295" s="39"/>
      <c r="G295" s="39"/>
      <c r="H295" s="40"/>
      <c r="T295" s="49"/>
      <c r="X295" s="47"/>
    </row>
    <row r="296" spans="5:24" s="38" customFormat="1" x14ac:dyDescent="0.35">
      <c r="E296" s="39"/>
      <c r="F296" s="39"/>
      <c r="G296" s="39"/>
      <c r="H296" s="40"/>
      <c r="T296" s="49"/>
      <c r="X296" s="47"/>
    </row>
    <row r="297" spans="5:24" s="38" customFormat="1" x14ac:dyDescent="0.35">
      <c r="E297" s="39"/>
      <c r="F297" s="39"/>
      <c r="G297" s="39"/>
      <c r="H297" s="40"/>
      <c r="T297" s="49"/>
      <c r="X297" s="47"/>
    </row>
    <row r="298" spans="5:24" s="38" customFormat="1" x14ac:dyDescent="0.35">
      <c r="E298" s="39"/>
      <c r="F298" s="39"/>
      <c r="G298" s="39"/>
      <c r="H298" s="40"/>
      <c r="T298" s="49"/>
      <c r="X298" s="47"/>
    </row>
    <row r="299" spans="5:24" s="38" customFormat="1" x14ac:dyDescent="0.35">
      <c r="E299" s="39"/>
      <c r="F299" s="39"/>
      <c r="G299" s="39"/>
      <c r="H299" s="40"/>
      <c r="T299" s="49"/>
      <c r="X299" s="47"/>
    </row>
    <row r="300" spans="5:24" s="38" customFormat="1" x14ac:dyDescent="0.35">
      <c r="E300" s="39"/>
      <c r="F300" s="39"/>
      <c r="G300" s="39"/>
      <c r="H300" s="40"/>
      <c r="T300" s="49"/>
      <c r="X300" s="47"/>
    </row>
    <row r="301" spans="5:24" s="38" customFormat="1" x14ac:dyDescent="0.35">
      <c r="E301" s="39"/>
      <c r="F301" s="39"/>
      <c r="G301" s="39"/>
      <c r="H301" s="40"/>
      <c r="J301" s="40"/>
      <c r="K301" s="40"/>
      <c r="L301" s="46"/>
      <c r="M301" s="46"/>
      <c r="T301" s="49"/>
      <c r="X301" s="47"/>
    </row>
    <row r="302" spans="5:24" s="38" customFormat="1" x14ac:dyDescent="0.35">
      <c r="E302" s="39"/>
      <c r="F302" s="39"/>
      <c r="G302" s="39"/>
      <c r="H302" s="40"/>
      <c r="T302" s="49"/>
      <c r="X302" s="47"/>
    </row>
    <row r="303" spans="5:24" s="38" customFormat="1" x14ac:dyDescent="0.35">
      <c r="E303" s="39"/>
      <c r="F303" s="39"/>
      <c r="G303" s="39"/>
      <c r="H303" s="40"/>
      <c r="T303" s="49"/>
      <c r="X303" s="47"/>
    </row>
    <row r="304" spans="5:24" s="38" customFormat="1" x14ac:dyDescent="0.35">
      <c r="E304" s="39"/>
      <c r="F304" s="39"/>
      <c r="G304" s="39"/>
      <c r="H304" s="40"/>
      <c r="T304" s="49"/>
      <c r="X304" s="47"/>
    </row>
    <row r="305" spans="5:24" s="38" customFormat="1" x14ac:dyDescent="0.35">
      <c r="E305" s="39"/>
      <c r="F305" s="39"/>
      <c r="G305" s="39"/>
      <c r="H305" s="40"/>
      <c r="T305" s="49"/>
      <c r="X305" s="47"/>
    </row>
    <row r="306" spans="5:24" s="38" customFormat="1" x14ac:dyDescent="0.35">
      <c r="E306" s="39"/>
      <c r="F306" s="39"/>
      <c r="G306" s="39"/>
      <c r="H306" s="40"/>
      <c r="T306" s="49"/>
      <c r="X306" s="47"/>
    </row>
    <row r="307" spans="5:24" s="38" customFormat="1" x14ac:dyDescent="0.35">
      <c r="E307" s="39"/>
      <c r="F307" s="39"/>
      <c r="G307" s="39"/>
      <c r="H307" s="40"/>
      <c r="T307" s="49"/>
      <c r="X307" s="47"/>
    </row>
    <row r="308" spans="5:24" s="38" customFormat="1" x14ac:dyDescent="0.35">
      <c r="E308" s="39"/>
      <c r="F308" s="39"/>
      <c r="G308" s="39"/>
      <c r="H308" s="40"/>
      <c r="T308" s="49"/>
      <c r="X308" s="47"/>
    </row>
    <row r="309" spans="5:24" s="38" customFormat="1" x14ac:dyDescent="0.35">
      <c r="E309" s="39"/>
      <c r="F309" s="39"/>
      <c r="G309" s="39"/>
      <c r="H309" s="40"/>
      <c r="J309" s="40"/>
      <c r="K309" s="40"/>
      <c r="L309" s="46"/>
      <c r="M309" s="46"/>
      <c r="T309" s="49"/>
      <c r="X309" s="47"/>
    </row>
    <row r="310" spans="5:24" s="38" customFormat="1" x14ac:dyDescent="0.35">
      <c r="E310" s="39"/>
      <c r="F310" s="39"/>
      <c r="G310" s="39"/>
      <c r="H310" s="40"/>
      <c r="T310" s="49"/>
      <c r="X310" s="47"/>
    </row>
    <row r="311" spans="5:24" s="38" customFormat="1" x14ac:dyDescent="0.35">
      <c r="E311" s="39"/>
      <c r="F311" s="39"/>
      <c r="G311" s="39"/>
      <c r="H311" s="40"/>
      <c r="T311" s="49"/>
      <c r="X311" s="47"/>
    </row>
    <row r="312" spans="5:24" s="38" customFormat="1" x14ac:dyDescent="0.35">
      <c r="E312" s="39"/>
      <c r="F312" s="39"/>
      <c r="G312" s="39"/>
      <c r="H312" s="40"/>
      <c r="T312" s="49"/>
      <c r="X312" s="47"/>
    </row>
    <row r="313" spans="5:24" s="38" customFormat="1" x14ac:dyDescent="0.35">
      <c r="E313" s="39"/>
      <c r="F313" s="39"/>
      <c r="G313" s="39"/>
      <c r="H313" s="40"/>
      <c r="T313" s="49"/>
      <c r="X313" s="47"/>
    </row>
    <row r="314" spans="5:24" s="38" customFormat="1" x14ac:dyDescent="0.35">
      <c r="E314" s="39"/>
      <c r="F314" s="39"/>
      <c r="G314" s="39"/>
      <c r="H314" s="40"/>
      <c r="T314" s="49"/>
      <c r="X314" s="47"/>
    </row>
    <row r="315" spans="5:24" s="38" customFormat="1" x14ac:dyDescent="0.35">
      <c r="E315" s="39"/>
      <c r="F315" s="39"/>
      <c r="G315" s="39"/>
      <c r="H315" s="40"/>
      <c r="T315" s="49"/>
      <c r="X315" s="47"/>
    </row>
    <row r="316" spans="5:24" s="38" customFormat="1" x14ac:dyDescent="0.35">
      <c r="E316" s="39"/>
      <c r="F316" s="39"/>
      <c r="G316" s="39"/>
      <c r="H316" s="40"/>
      <c r="T316" s="49"/>
      <c r="X316" s="47"/>
    </row>
    <row r="317" spans="5:24" s="38" customFormat="1" x14ac:dyDescent="0.35">
      <c r="E317" s="39"/>
      <c r="F317" s="39"/>
      <c r="G317" s="39"/>
      <c r="H317" s="40"/>
      <c r="T317" s="49"/>
      <c r="X317" s="47"/>
    </row>
    <row r="318" spans="5:24" s="38" customFormat="1" x14ac:dyDescent="0.35">
      <c r="E318" s="39"/>
      <c r="F318" s="39"/>
      <c r="G318" s="39"/>
      <c r="H318" s="40"/>
      <c r="T318" s="49"/>
      <c r="X318" s="47"/>
    </row>
    <row r="319" spans="5:24" s="38" customFormat="1" x14ac:dyDescent="0.35">
      <c r="E319" s="39"/>
      <c r="F319" s="39"/>
      <c r="G319" s="39"/>
      <c r="H319" s="40"/>
      <c r="T319" s="49"/>
      <c r="X319" s="47"/>
    </row>
    <row r="320" spans="5:24" s="38" customFormat="1" x14ac:dyDescent="0.35">
      <c r="E320" s="39"/>
      <c r="F320" s="39"/>
      <c r="G320" s="39"/>
      <c r="H320" s="40"/>
      <c r="T320" s="49"/>
      <c r="X320" s="47"/>
    </row>
    <row r="321" spans="5:24" s="38" customFormat="1" x14ac:dyDescent="0.35">
      <c r="E321" s="39"/>
      <c r="F321" s="39"/>
      <c r="G321" s="39"/>
      <c r="H321" s="40"/>
      <c r="T321" s="49"/>
      <c r="X321" s="47"/>
    </row>
    <row r="322" spans="5:24" s="38" customFormat="1" x14ac:dyDescent="0.35">
      <c r="E322" s="39"/>
      <c r="F322" s="39"/>
      <c r="G322" s="39"/>
      <c r="H322" s="40"/>
      <c r="T322" s="49"/>
      <c r="X322" s="47"/>
    </row>
    <row r="323" spans="5:24" s="38" customFormat="1" x14ac:dyDescent="0.35">
      <c r="E323" s="39"/>
      <c r="F323" s="39"/>
      <c r="G323" s="39"/>
      <c r="H323" s="40"/>
      <c r="T323" s="49"/>
      <c r="X323" s="47"/>
    </row>
    <row r="324" spans="5:24" s="38" customFormat="1" x14ac:dyDescent="0.35">
      <c r="E324" s="39"/>
      <c r="F324" s="39"/>
      <c r="G324" s="39"/>
      <c r="H324" s="40"/>
      <c r="T324" s="49"/>
      <c r="X324" s="47"/>
    </row>
    <row r="325" spans="5:24" s="38" customFormat="1" x14ac:dyDescent="0.35">
      <c r="E325" s="39"/>
      <c r="F325" s="39"/>
      <c r="G325" s="39"/>
      <c r="H325" s="40"/>
      <c r="T325" s="49"/>
      <c r="X325" s="47"/>
    </row>
    <row r="326" spans="5:24" s="38" customFormat="1" x14ac:dyDescent="0.35">
      <c r="E326" s="39"/>
      <c r="F326" s="39"/>
      <c r="G326" s="39"/>
      <c r="H326" s="40"/>
      <c r="T326" s="49"/>
      <c r="X326" s="47"/>
    </row>
    <row r="327" spans="5:24" s="38" customFormat="1" x14ac:dyDescent="0.35">
      <c r="E327" s="39"/>
      <c r="F327" s="39"/>
      <c r="G327" s="39"/>
      <c r="H327" s="40"/>
      <c r="T327" s="49"/>
      <c r="X327" s="47"/>
    </row>
    <row r="328" spans="5:24" s="38" customFormat="1" x14ac:dyDescent="0.35">
      <c r="E328" s="39"/>
      <c r="F328" s="39"/>
      <c r="G328" s="39"/>
      <c r="H328" s="40"/>
      <c r="T328" s="49"/>
      <c r="X328" s="47"/>
    </row>
    <row r="329" spans="5:24" s="38" customFormat="1" x14ac:dyDescent="0.35">
      <c r="E329" s="39"/>
      <c r="F329" s="39"/>
      <c r="G329" s="39"/>
      <c r="H329" s="40"/>
      <c r="T329" s="49"/>
      <c r="X329" s="47"/>
    </row>
    <row r="330" spans="5:24" s="38" customFormat="1" x14ac:dyDescent="0.35">
      <c r="E330" s="39"/>
      <c r="F330" s="39"/>
      <c r="G330" s="39"/>
      <c r="H330" s="40"/>
      <c r="T330" s="49"/>
      <c r="X330" s="47"/>
    </row>
    <row r="331" spans="5:24" s="38" customFormat="1" x14ac:dyDescent="0.35">
      <c r="E331" s="39"/>
      <c r="F331" s="39"/>
      <c r="G331" s="39"/>
      <c r="H331" s="40"/>
      <c r="T331" s="49"/>
      <c r="X331" s="47"/>
    </row>
    <row r="332" spans="5:24" s="38" customFormat="1" x14ac:dyDescent="0.35">
      <c r="E332" s="39"/>
      <c r="F332" s="39"/>
      <c r="G332" s="39"/>
      <c r="H332" s="40"/>
      <c r="T332" s="49"/>
      <c r="X332" s="47"/>
    </row>
    <row r="333" spans="5:24" s="38" customFormat="1" x14ac:dyDescent="0.35">
      <c r="E333" s="39"/>
      <c r="F333" s="39"/>
      <c r="G333" s="39"/>
      <c r="H333" s="40"/>
      <c r="T333" s="49"/>
      <c r="X333" s="47"/>
    </row>
    <row r="334" spans="5:24" s="38" customFormat="1" x14ac:dyDescent="0.35">
      <c r="E334" s="39"/>
      <c r="F334" s="39"/>
      <c r="G334" s="39"/>
      <c r="H334" s="40"/>
      <c r="T334" s="49"/>
      <c r="X334" s="47"/>
    </row>
    <row r="335" spans="5:24" s="38" customFormat="1" x14ac:dyDescent="0.35">
      <c r="E335" s="39"/>
      <c r="F335" s="39"/>
      <c r="G335" s="39"/>
      <c r="H335" s="40"/>
      <c r="T335" s="49"/>
      <c r="X335" s="47"/>
    </row>
    <row r="336" spans="5:24" s="38" customFormat="1" x14ac:dyDescent="0.35">
      <c r="E336" s="39"/>
      <c r="F336" s="39"/>
      <c r="G336" s="39"/>
      <c r="H336" s="40"/>
      <c r="T336" s="49"/>
      <c r="X336" s="47"/>
    </row>
    <row r="337" spans="5:24" s="38" customFormat="1" x14ac:dyDescent="0.35">
      <c r="E337" s="39"/>
      <c r="F337" s="39"/>
      <c r="G337" s="39"/>
      <c r="H337" s="40"/>
      <c r="T337" s="49"/>
      <c r="X337" s="47"/>
    </row>
    <row r="338" spans="5:24" s="38" customFormat="1" x14ac:dyDescent="0.35">
      <c r="E338" s="39"/>
      <c r="F338" s="39"/>
      <c r="G338" s="39"/>
      <c r="H338" s="40"/>
      <c r="T338" s="49"/>
      <c r="X338" s="47"/>
    </row>
    <row r="339" spans="5:24" s="38" customFormat="1" x14ac:dyDescent="0.35">
      <c r="E339" s="39"/>
      <c r="F339" s="39"/>
      <c r="G339" s="39"/>
      <c r="H339" s="40"/>
      <c r="T339" s="49"/>
      <c r="X339" s="47"/>
    </row>
    <row r="340" spans="5:24" s="38" customFormat="1" x14ac:dyDescent="0.35">
      <c r="E340" s="39"/>
      <c r="F340" s="39"/>
      <c r="G340" s="39"/>
      <c r="H340" s="40"/>
      <c r="T340" s="49"/>
      <c r="X340" s="47"/>
    </row>
    <row r="341" spans="5:24" s="38" customFormat="1" x14ac:dyDescent="0.35">
      <c r="E341" s="39"/>
      <c r="F341" s="39"/>
      <c r="G341" s="39"/>
      <c r="H341" s="40"/>
      <c r="T341" s="49"/>
      <c r="X341" s="47"/>
    </row>
    <row r="342" spans="5:24" s="38" customFormat="1" x14ac:dyDescent="0.35">
      <c r="E342" s="39"/>
      <c r="F342" s="39"/>
      <c r="G342" s="39"/>
      <c r="H342" s="40"/>
      <c r="T342" s="49"/>
      <c r="X342" s="47"/>
    </row>
    <row r="343" spans="5:24" s="38" customFormat="1" x14ac:dyDescent="0.35">
      <c r="E343" s="39"/>
      <c r="F343" s="39"/>
      <c r="G343" s="39"/>
      <c r="H343" s="40"/>
      <c r="T343" s="49"/>
      <c r="X343" s="47"/>
    </row>
    <row r="344" spans="5:24" s="38" customFormat="1" x14ac:dyDescent="0.35">
      <c r="E344" s="39"/>
      <c r="F344" s="39"/>
      <c r="G344" s="39"/>
      <c r="H344" s="40"/>
      <c r="T344" s="49"/>
      <c r="X344" s="47"/>
    </row>
    <row r="345" spans="5:24" s="38" customFormat="1" x14ac:dyDescent="0.35">
      <c r="E345" s="39"/>
      <c r="F345" s="39"/>
      <c r="G345" s="39"/>
      <c r="H345" s="40"/>
      <c r="T345" s="49"/>
      <c r="X345" s="47"/>
    </row>
    <row r="346" spans="5:24" s="38" customFormat="1" x14ac:dyDescent="0.35">
      <c r="E346" s="39"/>
      <c r="F346" s="39"/>
      <c r="G346" s="39"/>
      <c r="H346" s="40"/>
      <c r="T346" s="49"/>
      <c r="X346" s="47"/>
    </row>
    <row r="347" spans="5:24" s="38" customFormat="1" x14ac:dyDescent="0.35">
      <c r="E347" s="39"/>
      <c r="F347" s="39"/>
      <c r="G347" s="39"/>
      <c r="H347" s="40"/>
      <c r="J347" s="40"/>
      <c r="K347" s="40"/>
      <c r="L347" s="46"/>
      <c r="M347" s="46"/>
      <c r="T347" s="49"/>
      <c r="X347" s="47"/>
    </row>
    <row r="348" spans="5:24" s="38" customFormat="1" x14ac:dyDescent="0.35">
      <c r="E348" s="39"/>
      <c r="F348" s="39"/>
      <c r="G348" s="39"/>
      <c r="H348" s="40"/>
      <c r="T348" s="49"/>
      <c r="X348" s="47"/>
    </row>
    <row r="349" spans="5:24" s="38" customFormat="1" x14ac:dyDescent="0.35">
      <c r="E349" s="39"/>
      <c r="F349" s="39"/>
      <c r="G349" s="39"/>
      <c r="H349" s="40"/>
      <c r="T349" s="49"/>
      <c r="X349" s="47"/>
    </row>
    <row r="350" spans="5:24" s="38" customFormat="1" x14ac:dyDescent="0.35">
      <c r="E350" s="39"/>
      <c r="F350" s="39"/>
      <c r="G350" s="39"/>
      <c r="H350" s="40"/>
      <c r="T350" s="49"/>
      <c r="X350" s="47"/>
    </row>
    <row r="351" spans="5:24" s="38" customFormat="1" x14ac:dyDescent="0.35">
      <c r="E351" s="39"/>
      <c r="F351" s="39"/>
      <c r="G351" s="39"/>
      <c r="H351" s="40"/>
      <c r="T351" s="49"/>
      <c r="X351" s="47"/>
    </row>
    <row r="352" spans="5:24" s="38" customFormat="1" x14ac:dyDescent="0.35">
      <c r="E352" s="39"/>
      <c r="F352" s="39"/>
      <c r="G352" s="39"/>
      <c r="H352" s="40"/>
      <c r="T352" s="49"/>
      <c r="X352" s="47"/>
    </row>
    <row r="353" spans="5:24" s="38" customFormat="1" x14ac:dyDescent="0.35">
      <c r="E353" s="39"/>
      <c r="F353" s="39"/>
      <c r="G353" s="39"/>
      <c r="H353" s="40"/>
      <c r="T353" s="49"/>
      <c r="X353" s="47"/>
    </row>
    <row r="354" spans="5:24" s="38" customFormat="1" x14ac:dyDescent="0.35">
      <c r="E354" s="39"/>
      <c r="F354" s="39"/>
      <c r="G354" s="39"/>
      <c r="H354" s="40"/>
      <c r="T354" s="49"/>
      <c r="X354" s="47"/>
    </row>
    <row r="355" spans="5:24" s="38" customFormat="1" x14ac:dyDescent="0.35">
      <c r="E355" s="39"/>
      <c r="F355" s="39"/>
      <c r="G355" s="39"/>
      <c r="H355" s="40"/>
      <c r="T355" s="49"/>
      <c r="X355" s="47"/>
    </row>
    <row r="356" spans="5:24" s="38" customFormat="1" x14ac:dyDescent="0.35">
      <c r="E356" s="39"/>
      <c r="F356" s="39"/>
      <c r="G356" s="39"/>
      <c r="H356" s="40"/>
      <c r="T356" s="49"/>
      <c r="X356" s="47"/>
    </row>
    <row r="357" spans="5:24" s="38" customFormat="1" x14ac:dyDescent="0.35">
      <c r="E357" s="39"/>
      <c r="F357" s="39"/>
      <c r="G357" s="39"/>
      <c r="H357" s="40"/>
      <c r="J357" s="40"/>
      <c r="K357" s="40"/>
      <c r="L357" s="46"/>
      <c r="M357" s="46"/>
      <c r="T357" s="49"/>
      <c r="X357" s="47"/>
    </row>
    <row r="358" spans="5:24" s="38" customFormat="1" x14ac:dyDescent="0.35">
      <c r="E358" s="39"/>
      <c r="F358" s="39"/>
      <c r="G358" s="39"/>
      <c r="H358" s="40"/>
      <c r="T358" s="49"/>
      <c r="X358" s="47"/>
    </row>
    <row r="359" spans="5:24" s="38" customFormat="1" x14ac:dyDescent="0.35">
      <c r="E359" s="39"/>
      <c r="F359" s="39"/>
      <c r="G359" s="39"/>
      <c r="H359" s="40"/>
      <c r="T359" s="49"/>
      <c r="X359" s="47"/>
    </row>
    <row r="360" spans="5:24" s="38" customFormat="1" x14ac:dyDescent="0.35">
      <c r="E360" s="39"/>
      <c r="F360" s="39"/>
      <c r="G360" s="39"/>
      <c r="H360" s="40"/>
      <c r="T360" s="49"/>
      <c r="X360" s="47"/>
    </row>
    <row r="361" spans="5:24" s="38" customFormat="1" x14ac:dyDescent="0.35">
      <c r="E361" s="39"/>
      <c r="F361" s="39"/>
      <c r="G361" s="39"/>
      <c r="H361" s="40"/>
      <c r="T361" s="49"/>
      <c r="X361" s="47"/>
    </row>
    <row r="362" spans="5:24" s="38" customFormat="1" x14ac:dyDescent="0.35">
      <c r="E362" s="39"/>
      <c r="F362" s="39"/>
      <c r="G362" s="39"/>
      <c r="H362" s="40"/>
      <c r="T362" s="49"/>
      <c r="X362" s="47"/>
    </row>
    <row r="363" spans="5:24" s="38" customFormat="1" x14ac:dyDescent="0.35">
      <c r="E363" s="39"/>
      <c r="F363" s="39"/>
      <c r="G363" s="39"/>
      <c r="H363" s="40"/>
      <c r="T363" s="49"/>
      <c r="X363" s="47"/>
    </row>
    <row r="364" spans="5:24" s="38" customFormat="1" x14ac:dyDescent="0.35">
      <c r="E364" s="39"/>
      <c r="F364" s="39"/>
      <c r="G364" s="39"/>
      <c r="H364" s="40"/>
      <c r="J364" s="40"/>
      <c r="K364" s="40"/>
      <c r="L364" s="46"/>
      <c r="M364" s="46"/>
      <c r="T364" s="49"/>
      <c r="X364" s="47"/>
    </row>
    <row r="365" spans="5:24" s="38" customFormat="1" x14ac:dyDescent="0.35">
      <c r="E365" s="39"/>
      <c r="F365" s="39"/>
      <c r="G365" s="39"/>
      <c r="H365" s="40"/>
      <c r="T365" s="49"/>
      <c r="X365" s="47"/>
    </row>
    <row r="366" spans="5:24" s="38" customFormat="1" x14ac:dyDescent="0.35">
      <c r="E366" s="39"/>
      <c r="F366" s="39"/>
      <c r="G366" s="39"/>
      <c r="H366" s="40"/>
      <c r="T366" s="49"/>
      <c r="X366" s="47"/>
    </row>
    <row r="367" spans="5:24" s="38" customFormat="1" x14ac:dyDescent="0.35">
      <c r="E367" s="39"/>
      <c r="F367" s="39"/>
      <c r="G367" s="39"/>
      <c r="H367" s="40"/>
      <c r="T367" s="49"/>
      <c r="X367" s="47"/>
    </row>
    <row r="368" spans="5:24" s="38" customFormat="1" x14ac:dyDescent="0.35">
      <c r="E368" s="39"/>
      <c r="F368" s="39"/>
      <c r="G368" s="39"/>
      <c r="H368" s="40"/>
      <c r="T368" s="49"/>
      <c r="X368" s="47"/>
    </row>
    <row r="369" spans="5:24" s="38" customFormat="1" x14ac:dyDescent="0.35">
      <c r="E369" s="39"/>
      <c r="F369" s="39"/>
      <c r="G369" s="39"/>
      <c r="H369" s="40"/>
      <c r="T369" s="49"/>
      <c r="X369" s="47"/>
    </row>
    <row r="370" spans="5:24" s="38" customFormat="1" x14ac:dyDescent="0.35">
      <c r="E370" s="39"/>
      <c r="F370" s="39"/>
      <c r="G370" s="39"/>
      <c r="H370" s="40"/>
      <c r="T370" s="49"/>
      <c r="X370" s="47"/>
    </row>
    <row r="371" spans="5:24" s="38" customFormat="1" x14ac:dyDescent="0.35">
      <c r="E371" s="39"/>
      <c r="F371" s="39"/>
      <c r="G371" s="39"/>
      <c r="H371" s="40"/>
      <c r="T371" s="49"/>
      <c r="X371" s="47"/>
    </row>
    <row r="372" spans="5:24" s="38" customFormat="1" x14ac:dyDescent="0.35">
      <c r="E372" s="39"/>
      <c r="F372" s="39"/>
      <c r="G372" s="39"/>
      <c r="H372" s="40"/>
      <c r="T372" s="49"/>
      <c r="X372" s="47"/>
    </row>
    <row r="373" spans="5:24" s="38" customFormat="1" x14ac:dyDescent="0.35">
      <c r="E373" s="39"/>
      <c r="F373" s="39"/>
      <c r="G373" s="39"/>
      <c r="H373" s="40"/>
      <c r="T373" s="49"/>
      <c r="X373" s="47"/>
    </row>
    <row r="374" spans="5:24" s="38" customFormat="1" x14ac:dyDescent="0.35">
      <c r="E374" s="39"/>
      <c r="F374" s="39"/>
      <c r="G374" s="39"/>
      <c r="H374" s="40"/>
      <c r="T374" s="49"/>
      <c r="X374" s="47"/>
    </row>
    <row r="375" spans="5:24" s="38" customFormat="1" x14ac:dyDescent="0.35">
      <c r="E375" s="39"/>
      <c r="F375" s="39"/>
      <c r="G375" s="39"/>
      <c r="H375" s="40"/>
      <c r="T375" s="49"/>
      <c r="X375" s="47"/>
    </row>
    <row r="376" spans="5:24" s="38" customFormat="1" x14ac:dyDescent="0.35">
      <c r="E376" s="39"/>
      <c r="F376" s="39"/>
      <c r="G376" s="39"/>
      <c r="H376" s="40"/>
      <c r="T376" s="49"/>
      <c r="X376" s="47"/>
    </row>
    <row r="377" spans="5:24" s="38" customFormat="1" x14ac:dyDescent="0.35">
      <c r="E377" s="39"/>
      <c r="F377" s="39"/>
      <c r="G377" s="39"/>
      <c r="H377" s="40"/>
      <c r="T377" s="49"/>
      <c r="X377" s="47"/>
    </row>
    <row r="378" spans="5:24" s="38" customFormat="1" x14ac:dyDescent="0.35">
      <c r="E378" s="39"/>
      <c r="F378" s="39"/>
      <c r="G378" s="39"/>
      <c r="H378" s="40"/>
      <c r="T378" s="49"/>
      <c r="X378" s="47"/>
    </row>
    <row r="379" spans="5:24" s="38" customFormat="1" x14ac:dyDescent="0.35">
      <c r="E379" s="39"/>
      <c r="F379" s="39"/>
      <c r="G379" s="39"/>
      <c r="H379" s="40"/>
      <c r="T379" s="49"/>
      <c r="X379" s="47"/>
    </row>
    <row r="380" spans="5:24" s="38" customFormat="1" x14ac:dyDescent="0.35">
      <c r="E380" s="39"/>
      <c r="F380" s="39"/>
      <c r="G380" s="39"/>
      <c r="H380" s="40"/>
      <c r="T380" s="49"/>
      <c r="X380" s="47"/>
    </row>
    <row r="381" spans="5:24" s="38" customFormat="1" x14ac:dyDescent="0.35">
      <c r="E381" s="39"/>
      <c r="F381" s="39"/>
      <c r="G381" s="39"/>
      <c r="H381" s="40"/>
      <c r="J381" s="40"/>
      <c r="K381" s="40"/>
      <c r="L381" s="46"/>
      <c r="M381" s="46"/>
      <c r="T381" s="49"/>
      <c r="X381" s="47"/>
    </row>
    <row r="382" spans="5:24" s="38" customFormat="1" x14ac:dyDescent="0.35">
      <c r="E382" s="39"/>
      <c r="F382" s="39"/>
      <c r="G382" s="39"/>
      <c r="H382" s="40"/>
      <c r="T382" s="49"/>
      <c r="X382" s="47"/>
    </row>
    <row r="383" spans="5:24" s="38" customFormat="1" x14ac:dyDescent="0.35">
      <c r="E383" s="39"/>
      <c r="F383" s="39"/>
      <c r="G383" s="39"/>
      <c r="H383" s="40"/>
      <c r="T383" s="49"/>
      <c r="X383" s="47"/>
    </row>
    <row r="384" spans="5:24" s="38" customFormat="1" x14ac:dyDescent="0.35">
      <c r="E384" s="39"/>
      <c r="F384" s="39"/>
      <c r="G384" s="39"/>
      <c r="H384" s="40"/>
      <c r="T384" s="49"/>
      <c r="X384" s="47"/>
    </row>
    <row r="385" spans="5:24" s="38" customFormat="1" x14ac:dyDescent="0.35">
      <c r="E385" s="39"/>
      <c r="F385" s="39"/>
      <c r="G385" s="39"/>
      <c r="H385" s="40"/>
      <c r="T385" s="49"/>
      <c r="X385" s="47"/>
    </row>
    <row r="386" spans="5:24" s="38" customFormat="1" x14ac:dyDescent="0.35">
      <c r="E386" s="39"/>
      <c r="F386" s="39"/>
      <c r="G386" s="39"/>
      <c r="H386" s="40"/>
      <c r="T386" s="49"/>
      <c r="X386" s="47"/>
    </row>
    <row r="387" spans="5:24" s="38" customFormat="1" x14ac:dyDescent="0.35">
      <c r="E387" s="39"/>
      <c r="F387" s="39"/>
      <c r="G387" s="39"/>
      <c r="H387" s="40"/>
      <c r="T387" s="49"/>
      <c r="X387" s="47"/>
    </row>
    <row r="388" spans="5:24" s="38" customFormat="1" x14ac:dyDescent="0.35">
      <c r="E388" s="39"/>
      <c r="F388" s="39"/>
      <c r="G388" s="39"/>
      <c r="H388" s="40"/>
      <c r="T388" s="49"/>
      <c r="X388" s="47"/>
    </row>
    <row r="389" spans="5:24" s="38" customFormat="1" x14ac:dyDescent="0.35">
      <c r="E389" s="39"/>
      <c r="F389" s="39"/>
      <c r="G389" s="39"/>
      <c r="H389" s="40"/>
      <c r="J389" s="40"/>
      <c r="K389" s="40"/>
      <c r="L389" s="46"/>
      <c r="M389" s="46"/>
      <c r="T389" s="49"/>
      <c r="X389" s="47"/>
    </row>
    <row r="390" spans="5:24" s="38" customFormat="1" x14ac:dyDescent="0.35">
      <c r="E390" s="39"/>
      <c r="F390" s="39"/>
      <c r="G390" s="39"/>
      <c r="H390" s="40"/>
      <c r="T390" s="49"/>
      <c r="X390" s="47"/>
    </row>
    <row r="391" spans="5:24" s="38" customFormat="1" x14ac:dyDescent="0.35">
      <c r="E391" s="39"/>
      <c r="F391" s="39"/>
      <c r="G391" s="39"/>
      <c r="H391" s="40"/>
      <c r="T391" s="49"/>
      <c r="X391" s="47"/>
    </row>
    <row r="392" spans="5:24" s="38" customFormat="1" x14ac:dyDescent="0.35">
      <c r="E392" s="39"/>
      <c r="F392" s="39"/>
      <c r="G392" s="39"/>
      <c r="H392" s="40"/>
      <c r="T392" s="49"/>
      <c r="X392" s="47"/>
    </row>
    <row r="393" spans="5:24" s="38" customFormat="1" x14ac:dyDescent="0.35">
      <c r="E393" s="39"/>
      <c r="F393" s="39"/>
      <c r="G393" s="39"/>
      <c r="H393" s="40"/>
      <c r="T393" s="49"/>
      <c r="X393" s="47"/>
    </row>
    <row r="394" spans="5:24" s="38" customFormat="1" x14ac:dyDescent="0.35">
      <c r="E394" s="39"/>
      <c r="F394" s="39"/>
      <c r="G394" s="39"/>
      <c r="H394" s="40"/>
      <c r="T394" s="49"/>
      <c r="X394" s="47"/>
    </row>
    <row r="395" spans="5:24" s="38" customFormat="1" x14ac:dyDescent="0.35">
      <c r="E395" s="39"/>
      <c r="F395" s="39"/>
      <c r="G395" s="39"/>
      <c r="H395" s="40"/>
      <c r="T395" s="49"/>
      <c r="X395" s="47"/>
    </row>
    <row r="396" spans="5:24" s="38" customFormat="1" x14ac:dyDescent="0.35">
      <c r="E396" s="39"/>
      <c r="F396" s="39"/>
      <c r="G396" s="39"/>
      <c r="H396" s="40"/>
      <c r="T396" s="49"/>
      <c r="X396" s="47"/>
    </row>
    <row r="397" spans="5:24" s="38" customFormat="1" x14ac:dyDescent="0.35">
      <c r="E397" s="39"/>
      <c r="F397" s="39"/>
      <c r="G397" s="39"/>
      <c r="H397" s="40"/>
      <c r="T397" s="49"/>
      <c r="X397" s="47"/>
    </row>
    <row r="398" spans="5:24" s="38" customFormat="1" x14ac:dyDescent="0.35">
      <c r="E398" s="39"/>
      <c r="F398" s="39"/>
      <c r="G398" s="39"/>
      <c r="H398" s="40"/>
      <c r="T398" s="49"/>
      <c r="X398" s="47"/>
    </row>
    <row r="399" spans="5:24" s="38" customFormat="1" x14ac:dyDescent="0.35">
      <c r="E399" s="39"/>
      <c r="F399" s="39"/>
      <c r="G399" s="39"/>
      <c r="H399" s="40"/>
      <c r="T399" s="49"/>
      <c r="X399" s="47"/>
    </row>
    <row r="400" spans="5:24" s="38" customFormat="1" x14ac:dyDescent="0.35">
      <c r="E400" s="39"/>
      <c r="F400" s="39"/>
      <c r="G400" s="39"/>
      <c r="H400" s="40"/>
      <c r="T400" s="49"/>
      <c r="X400" s="47"/>
    </row>
    <row r="401" spans="5:24" s="38" customFormat="1" x14ac:dyDescent="0.35">
      <c r="E401" s="39"/>
      <c r="F401" s="39"/>
      <c r="G401" s="39"/>
      <c r="H401" s="40"/>
      <c r="T401" s="49"/>
      <c r="X401" s="47"/>
    </row>
    <row r="402" spans="5:24" s="38" customFormat="1" x14ac:dyDescent="0.35">
      <c r="E402" s="39"/>
      <c r="F402" s="39"/>
      <c r="G402" s="39"/>
      <c r="H402" s="40"/>
      <c r="T402" s="49"/>
      <c r="X402" s="47"/>
    </row>
    <row r="403" spans="5:24" s="38" customFormat="1" x14ac:dyDescent="0.35">
      <c r="E403" s="39"/>
      <c r="F403" s="39"/>
      <c r="G403" s="39"/>
      <c r="H403" s="40"/>
      <c r="J403" s="40"/>
      <c r="K403" s="40"/>
      <c r="L403" s="46"/>
      <c r="M403" s="46"/>
      <c r="T403" s="49"/>
      <c r="X403" s="47"/>
    </row>
    <row r="404" spans="5:24" s="38" customFormat="1" x14ac:dyDescent="0.35">
      <c r="E404" s="39"/>
      <c r="F404" s="39"/>
      <c r="G404" s="39"/>
      <c r="H404" s="40"/>
      <c r="T404" s="49"/>
      <c r="X404" s="47"/>
    </row>
    <row r="405" spans="5:24" s="38" customFormat="1" x14ac:dyDescent="0.35">
      <c r="E405" s="39"/>
      <c r="F405" s="39"/>
      <c r="G405" s="39"/>
      <c r="H405" s="40"/>
      <c r="J405" s="40"/>
      <c r="K405" s="40"/>
      <c r="L405" s="46"/>
      <c r="M405" s="46"/>
      <c r="T405" s="49"/>
      <c r="X405" s="47"/>
    </row>
    <row r="406" spans="5:24" s="38" customFormat="1" x14ac:dyDescent="0.35">
      <c r="E406" s="39"/>
      <c r="F406" s="39"/>
      <c r="G406" s="39"/>
      <c r="H406" s="40"/>
      <c r="T406" s="49"/>
      <c r="X406" s="47"/>
    </row>
    <row r="407" spans="5:24" s="38" customFormat="1" x14ac:dyDescent="0.35">
      <c r="E407" s="39"/>
      <c r="F407" s="39"/>
      <c r="G407" s="39"/>
      <c r="H407" s="40"/>
      <c r="T407" s="49"/>
      <c r="X407" s="47"/>
    </row>
    <row r="408" spans="5:24" s="38" customFormat="1" x14ac:dyDescent="0.35">
      <c r="E408" s="39"/>
      <c r="F408" s="39"/>
      <c r="G408" s="39"/>
      <c r="H408" s="40"/>
      <c r="T408" s="49"/>
      <c r="X408" s="47"/>
    </row>
    <row r="409" spans="5:24" s="38" customFormat="1" x14ac:dyDescent="0.35">
      <c r="E409" s="39"/>
      <c r="F409" s="39"/>
      <c r="G409" s="39"/>
      <c r="H409" s="40"/>
      <c r="T409" s="49"/>
      <c r="X409" s="47"/>
    </row>
    <row r="410" spans="5:24" s="38" customFormat="1" x14ac:dyDescent="0.35">
      <c r="E410" s="39"/>
      <c r="F410" s="39"/>
      <c r="G410" s="39"/>
      <c r="H410" s="40"/>
      <c r="T410" s="49"/>
      <c r="X410" s="47"/>
    </row>
    <row r="411" spans="5:24" s="38" customFormat="1" x14ac:dyDescent="0.35">
      <c r="E411" s="39"/>
      <c r="F411" s="39"/>
      <c r="G411" s="39"/>
      <c r="H411" s="40"/>
      <c r="T411" s="49"/>
      <c r="X411" s="47"/>
    </row>
    <row r="412" spans="5:24" s="38" customFormat="1" x14ac:dyDescent="0.35">
      <c r="E412" s="39"/>
      <c r="F412" s="39"/>
      <c r="G412" s="39"/>
      <c r="H412" s="40"/>
      <c r="T412" s="49"/>
      <c r="X412" s="47"/>
    </row>
    <row r="413" spans="5:24" s="38" customFormat="1" x14ac:dyDescent="0.35">
      <c r="E413" s="39"/>
      <c r="F413" s="39"/>
      <c r="G413" s="39"/>
      <c r="H413" s="40"/>
      <c r="T413" s="49"/>
      <c r="X413" s="47"/>
    </row>
    <row r="414" spans="5:24" s="38" customFormat="1" x14ac:dyDescent="0.35">
      <c r="E414" s="39"/>
      <c r="F414" s="39"/>
      <c r="G414" s="39"/>
      <c r="H414" s="40"/>
      <c r="T414" s="49"/>
      <c r="X414" s="47"/>
    </row>
    <row r="415" spans="5:24" s="38" customFormat="1" x14ac:dyDescent="0.35">
      <c r="E415" s="39"/>
      <c r="F415" s="39"/>
      <c r="G415" s="39"/>
      <c r="H415" s="40"/>
      <c r="T415" s="49"/>
      <c r="X415" s="47"/>
    </row>
    <row r="416" spans="5:24" s="38" customFormat="1" x14ac:dyDescent="0.35">
      <c r="E416" s="39"/>
      <c r="F416" s="39"/>
      <c r="G416" s="39"/>
      <c r="H416" s="40"/>
      <c r="T416" s="49"/>
      <c r="X416" s="47"/>
    </row>
    <row r="417" spans="5:24" s="38" customFormat="1" x14ac:dyDescent="0.35">
      <c r="E417" s="39"/>
      <c r="F417" s="39"/>
      <c r="G417" s="39"/>
      <c r="H417" s="40"/>
      <c r="T417" s="49"/>
      <c r="X417" s="47"/>
    </row>
    <row r="418" spans="5:24" s="38" customFormat="1" x14ac:dyDescent="0.35">
      <c r="E418" s="39"/>
      <c r="F418" s="39"/>
      <c r="G418" s="39"/>
      <c r="H418" s="40"/>
      <c r="T418" s="49"/>
      <c r="X418" s="47"/>
    </row>
    <row r="419" spans="5:24" s="38" customFormat="1" x14ac:dyDescent="0.35">
      <c r="E419" s="39"/>
      <c r="F419" s="39"/>
      <c r="G419" s="39"/>
      <c r="H419" s="40"/>
      <c r="T419" s="49"/>
      <c r="X419" s="47"/>
    </row>
    <row r="420" spans="5:24" s="38" customFormat="1" x14ac:dyDescent="0.35">
      <c r="E420" s="39"/>
      <c r="F420" s="39"/>
      <c r="G420" s="39"/>
      <c r="H420" s="40"/>
      <c r="T420" s="49"/>
      <c r="X420" s="47"/>
    </row>
    <row r="421" spans="5:24" s="38" customFormat="1" x14ac:dyDescent="0.35">
      <c r="E421" s="39"/>
      <c r="F421" s="39"/>
      <c r="G421" s="39"/>
      <c r="H421" s="40"/>
      <c r="T421" s="49"/>
      <c r="X421" s="47"/>
    </row>
    <row r="422" spans="5:24" s="38" customFormat="1" x14ac:dyDescent="0.35">
      <c r="E422" s="39"/>
      <c r="F422" s="39"/>
      <c r="G422" s="39"/>
      <c r="H422" s="40"/>
      <c r="T422" s="49"/>
      <c r="X422" s="47"/>
    </row>
    <row r="423" spans="5:24" s="38" customFormat="1" x14ac:dyDescent="0.35">
      <c r="E423" s="39"/>
      <c r="F423" s="39"/>
      <c r="G423" s="39"/>
      <c r="H423" s="40"/>
      <c r="T423" s="49"/>
      <c r="X423" s="47"/>
    </row>
    <row r="424" spans="5:24" s="38" customFormat="1" x14ac:dyDescent="0.35">
      <c r="E424" s="39"/>
      <c r="F424" s="39"/>
      <c r="G424" s="39"/>
      <c r="H424" s="40"/>
      <c r="T424" s="49"/>
      <c r="X424" s="47"/>
    </row>
    <row r="425" spans="5:24" s="38" customFormat="1" x14ac:dyDescent="0.35">
      <c r="E425" s="39"/>
      <c r="F425" s="39"/>
      <c r="G425" s="39"/>
      <c r="H425" s="40"/>
      <c r="T425" s="49"/>
      <c r="X425" s="47"/>
    </row>
    <row r="426" spans="5:24" s="38" customFormat="1" x14ac:dyDescent="0.35">
      <c r="E426" s="39"/>
      <c r="F426" s="39"/>
      <c r="G426" s="39"/>
      <c r="H426" s="40"/>
      <c r="T426" s="49"/>
      <c r="X426" s="47"/>
    </row>
    <row r="427" spans="5:24" s="38" customFormat="1" x14ac:dyDescent="0.35">
      <c r="E427" s="39"/>
      <c r="F427" s="39"/>
      <c r="G427" s="39"/>
      <c r="H427" s="40"/>
      <c r="T427" s="49"/>
      <c r="X427" s="47"/>
    </row>
    <row r="428" spans="5:24" s="38" customFormat="1" x14ac:dyDescent="0.35">
      <c r="E428" s="39"/>
      <c r="F428" s="39"/>
      <c r="G428" s="39"/>
      <c r="H428" s="40"/>
      <c r="T428" s="49"/>
      <c r="X428" s="47"/>
    </row>
    <row r="429" spans="5:24" s="38" customFormat="1" x14ac:dyDescent="0.35">
      <c r="E429" s="39"/>
      <c r="F429" s="39"/>
      <c r="G429" s="39"/>
      <c r="H429" s="40"/>
      <c r="T429" s="49"/>
      <c r="X429" s="47"/>
    </row>
    <row r="430" spans="5:24" s="38" customFormat="1" x14ac:dyDescent="0.35">
      <c r="E430" s="39"/>
      <c r="F430" s="39"/>
      <c r="G430" s="39"/>
      <c r="H430" s="40"/>
      <c r="T430" s="49"/>
      <c r="X430" s="47"/>
    </row>
    <row r="431" spans="5:24" s="38" customFormat="1" x14ac:dyDescent="0.35">
      <c r="E431" s="39"/>
      <c r="F431" s="39"/>
      <c r="G431" s="39"/>
      <c r="H431" s="40"/>
      <c r="T431" s="49"/>
      <c r="X431" s="47"/>
    </row>
    <row r="432" spans="5:24" s="38" customFormat="1" x14ac:dyDescent="0.35">
      <c r="E432" s="39"/>
      <c r="F432" s="39"/>
      <c r="G432" s="39"/>
      <c r="H432" s="40"/>
      <c r="T432" s="49"/>
      <c r="X432" s="47"/>
    </row>
    <row r="433" spans="5:24" s="38" customFormat="1" x14ac:dyDescent="0.35">
      <c r="E433" s="39"/>
      <c r="F433" s="39"/>
      <c r="G433" s="39"/>
      <c r="H433" s="40"/>
      <c r="T433" s="49"/>
      <c r="X433" s="47"/>
    </row>
    <row r="434" spans="5:24" s="38" customFormat="1" x14ac:dyDescent="0.35">
      <c r="E434" s="39"/>
      <c r="F434" s="39"/>
      <c r="G434" s="39"/>
      <c r="H434" s="40"/>
      <c r="T434" s="49"/>
      <c r="X434" s="47"/>
    </row>
    <row r="435" spans="5:24" s="38" customFormat="1" x14ac:dyDescent="0.35">
      <c r="E435" s="39"/>
      <c r="F435" s="39"/>
      <c r="G435" s="39"/>
      <c r="H435" s="40"/>
      <c r="T435" s="49"/>
      <c r="X435" s="47"/>
    </row>
    <row r="436" spans="5:24" s="38" customFormat="1" x14ac:dyDescent="0.35">
      <c r="E436" s="39"/>
      <c r="F436" s="39"/>
      <c r="G436" s="39"/>
      <c r="H436" s="40"/>
      <c r="T436" s="49"/>
      <c r="X436" s="47"/>
    </row>
    <row r="437" spans="5:24" s="38" customFormat="1" x14ac:dyDescent="0.35">
      <c r="E437" s="39"/>
      <c r="F437" s="39"/>
      <c r="G437" s="39"/>
      <c r="H437" s="40"/>
      <c r="T437" s="49"/>
      <c r="X437" s="47"/>
    </row>
    <row r="438" spans="5:24" s="38" customFormat="1" x14ac:dyDescent="0.35">
      <c r="E438" s="39"/>
      <c r="F438" s="39"/>
      <c r="G438" s="39"/>
      <c r="H438" s="40"/>
      <c r="T438" s="49"/>
      <c r="X438" s="47"/>
    </row>
    <row r="439" spans="5:24" s="38" customFormat="1" x14ac:dyDescent="0.35">
      <c r="E439" s="39"/>
      <c r="F439" s="39"/>
      <c r="G439" s="39"/>
      <c r="H439" s="40"/>
      <c r="T439" s="49"/>
      <c r="X439" s="47"/>
    </row>
    <row r="440" spans="5:24" s="38" customFormat="1" x14ac:dyDescent="0.35">
      <c r="E440" s="39"/>
      <c r="F440" s="39"/>
      <c r="G440" s="39"/>
      <c r="H440" s="40"/>
      <c r="J440" s="40"/>
      <c r="K440" s="40"/>
      <c r="L440" s="46"/>
      <c r="M440" s="46"/>
      <c r="T440" s="49"/>
      <c r="X440" s="47"/>
    </row>
    <row r="441" spans="5:24" s="38" customFormat="1" x14ac:dyDescent="0.35">
      <c r="E441" s="39"/>
      <c r="F441" s="39"/>
      <c r="G441" s="39"/>
      <c r="H441" s="40"/>
      <c r="T441" s="49"/>
      <c r="X441" s="47"/>
    </row>
    <row r="442" spans="5:24" s="38" customFormat="1" x14ac:dyDescent="0.35">
      <c r="E442" s="39"/>
      <c r="F442" s="39"/>
      <c r="G442" s="39"/>
      <c r="H442" s="40"/>
      <c r="T442" s="49"/>
      <c r="X442" s="47"/>
    </row>
    <row r="443" spans="5:24" s="38" customFormat="1" x14ac:dyDescent="0.35">
      <c r="E443" s="39"/>
      <c r="F443" s="39"/>
      <c r="G443" s="39"/>
      <c r="H443" s="40"/>
      <c r="T443" s="49"/>
      <c r="X443" s="47"/>
    </row>
    <row r="444" spans="5:24" s="38" customFormat="1" x14ac:dyDescent="0.35">
      <c r="E444" s="39"/>
      <c r="F444" s="39"/>
      <c r="G444" s="39"/>
      <c r="H444" s="40"/>
      <c r="T444" s="49"/>
      <c r="X444" s="47"/>
    </row>
    <row r="445" spans="5:24" s="38" customFormat="1" x14ac:dyDescent="0.35">
      <c r="E445" s="39"/>
      <c r="F445" s="39"/>
      <c r="G445" s="39"/>
      <c r="H445" s="40"/>
      <c r="T445" s="49"/>
      <c r="X445" s="47"/>
    </row>
    <row r="446" spans="5:24" s="38" customFormat="1" x14ac:dyDescent="0.35">
      <c r="E446" s="39"/>
      <c r="F446" s="39"/>
      <c r="G446" s="39"/>
      <c r="H446" s="40"/>
      <c r="T446" s="49"/>
      <c r="X446" s="47"/>
    </row>
    <row r="447" spans="5:24" s="38" customFormat="1" x14ac:dyDescent="0.35">
      <c r="E447" s="39"/>
      <c r="F447" s="39"/>
      <c r="G447" s="39"/>
      <c r="H447" s="40"/>
      <c r="T447" s="49"/>
      <c r="X447" s="47"/>
    </row>
    <row r="448" spans="5:24" s="38" customFormat="1" x14ac:dyDescent="0.35">
      <c r="E448" s="39"/>
      <c r="F448" s="39"/>
      <c r="G448" s="39"/>
      <c r="H448" s="40"/>
      <c r="T448" s="49"/>
      <c r="X448" s="47"/>
    </row>
    <row r="449" spans="5:24" s="38" customFormat="1" x14ac:dyDescent="0.35">
      <c r="E449" s="39"/>
      <c r="F449" s="39"/>
      <c r="G449" s="39"/>
      <c r="H449" s="40"/>
      <c r="T449" s="49"/>
      <c r="X449" s="47"/>
    </row>
    <row r="450" spans="5:24" s="38" customFormat="1" x14ac:dyDescent="0.35">
      <c r="E450" s="39"/>
      <c r="F450" s="39"/>
      <c r="G450" s="39"/>
      <c r="H450" s="40"/>
      <c r="T450" s="49"/>
      <c r="X450" s="47"/>
    </row>
    <row r="451" spans="5:24" s="38" customFormat="1" x14ac:dyDescent="0.35">
      <c r="E451" s="39"/>
      <c r="F451" s="39"/>
      <c r="G451" s="39"/>
      <c r="H451" s="40"/>
      <c r="T451" s="49"/>
      <c r="X451" s="47"/>
    </row>
    <row r="452" spans="5:24" s="38" customFormat="1" x14ac:dyDescent="0.35">
      <c r="E452" s="39"/>
      <c r="F452" s="39"/>
      <c r="G452" s="39"/>
      <c r="H452" s="40"/>
      <c r="T452" s="49"/>
      <c r="X452" s="47"/>
    </row>
    <row r="453" spans="5:24" s="38" customFormat="1" x14ac:dyDescent="0.35">
      <c r="E453" s="39"/>
      <c r="F453" s="39"/>
      <c r="G453" s="39"/>
      <c r="H453" s="40"/>
      <c r="T453" s="49"/>
      <c r="X453" s="47"/>
    </row>
    <row r="454" spans="5:24" s="38" customFormat="1" x14ac:dyDescent="0.35">
      <c r="E454" s="39"/>
      <c r="F454" s="39"/>
      <c r="G454" s="39"/>
      <c r="H454" s="40"/>
      <c r="T454" s="49"/>
      <c r="X454" s="47"/>
    </row>
    <row r="455" spans="5:24" s="38" customFormat="1" x14ac:dyDescent="0.35">
      <c r="E455" s="39"/>
      <c r="F455" s="39"/>
      <c r="G455" s="39"/>
      <c r="H455" s="40"/>
      <c r="T455" s="49"/>
      <c r="X455" s="47"/>
    </row>
    <row r="456" spans="5:24" s="38" customFormat="1" x14ac:dyDescent="0.35">
      <c r="E456" s="39"/>
      <c r="F456" s="39"/>
      <c r="G456" s="39"/>
      <c r="H456" s="40"/>
      <c r="T456" s="49"/>
      <c r="X456" s="47"/>
    </row>
    <row r="457" spans="5:24" s="38" customFormat="1" x14ac:dyDescent="0.35">
      <c r="E457" s="39"/>
      <c r="F457" s="39"/>
      <c r="G457" s="39"/>
      <c r="H457" s="40"/>
      <c r="T457" s="49"/>
      <c r="X457" s="47"/>
    </row>
    <row r="458" spans="5:24" s="38" customFormat="1" x14ac:dyDescent="0.35">
      <c r="E458" s="39"/>
      <c r="F458" s="39"/>
      <c r="G458" s="39"/>
      <c r="H458" s="40"/>
      <c r="T458" s="49"/>
      <c r="X458" s="47"/>
    </row>
    <row r="459" spans="5:24" s="38" customFormat="1" x14ac:dyDescent="0.35">
      <c r="E459" s="39"/>
      <c r="F459" s="39"/>
      <c r="G459" s="39"/>
      <c r="H459" s="40"/>
      <c r="T459" s="49"/>
      <c r="X459" s="47"/>
    </row>
    <row r="460" spans="5:24" s="38" customFormat="1" x14ac:dyDescent="0.35">
      <c r="E460" s="39"/>
      <c r="F460" s="39"/>
      <c r="G460" s="39"/>
      <c r="H460" s="40"/>
      <c r="T460" s="49"/>
      <c r="X460" s="47"/>
    </row>
    <row r="461" spans="5:24" s="38" customFormat="1" x14ac:dyDescent="0.35">
      <c r="E461" s="39"/>
      <c r="F461" s="39"/>
      <c r="G461" s="39"/>
      <c r="H461" s="40"/>
      <c r="T461" s="49"/>
      <c r="X461" s="47"/>
    </row>
    <row r="462" spans="5:24" s="38" customFormat="1" x14ac:dyDescent="0.35">
      <c r="E462" s="39"/>
      <c r="F462" s="39"/>
      <c r="G462" s="39"/>
      <c r="H462" s="40"/>
      <c r="T462" s="49"/>
      <c r="X462" s="47"/>
    </row>
    <row r="463" spans="5:24" s="38" customFormat="1" x14ac:dyDescent="0.35">
      <c r="E463" s="39"/>
      <c r="F463" s="39"/>
      <c r="G463" s="39"/>
      <c r="H463" s="40"/>
      <c r="T463" s="49"/>
      <c r="X463" s="47"/>
    </row>
    <row r="464" spans="5:24" s="38" customFormat="1" x14ac:dyDescent="0.35">
      <c r="E464" s="39"/>
      <c r="F464" s="39"/>
      <c r="G464" s="39"/>
      <c r="H464" s="40"/>
      <c r="T464" s="49"/>
      <c r="X464" s="47"/>
    </row>
    <row r="465" spans="5:24" s="38" customFormat="1" x14ac:dyDescent="0.35">
      <c r="E465" s="39"/>
      <c r="F465" s="39"/>
      <c r="G465" s="39"/>
      <c r="H465" s="40"/>
      <c r="T465" s="49"/>
      <c r="X465" s="47"/>
    </row>
    <row r="466" spans="5:24" s="38" customFormat="1" x14ac:dyDescent="0.35">
      <c r="E466" s="39"/>
      <c r="F466" s="39"/>
      <c r="G466" s="39"/>
      <c r="H466" s="40"/>
      <c r="T466" s="49"/>
      <c r="X466" s="47"/>
    </row>
    <row r="467" spans="5:24" s="38" customFormat="1" x14ac:dyDescent="0.35">
      <c r="E467" s="39"/>
      <c r="F467" s="39"/>
      <c r="G467" s="39"/>
      <c r="H467" s="40"/>
      <c r="T467" s="49"/>
      <c r="X467" s="47"/>
    </row>
    <row r="468" spans="5:24" s="38" customFormat="1" x14ac:dyDescent="0.35">
      <c r="E468" s="39"/>
      <c r="F468" s="39"/>
      <c r="G468" s="39"/>
      <c r="H468" s="40"/>
      <c r="T468" s="49"/>
      <c r="X468" s="47"/>
    </row>
    <row r="469" spans="5:24" s="38" customFormat="1" x14ac:dyDescent="0.35">
      <c r="E469" s="39"/>
      <c r="F469" s="39"/>
      <c r="G469" s="39"/>
      <c r="H469" s="40"/>
      <c r="T469" s="49"/>
      <c r="X469" s="47"/>
    </row>
    <row r="470" spans="5:24" s="38" customFormat="1" x14ac:dyDescent="0.35">
      <c r="E470" s="39"/>
      <c r="F470" s="39"/>
      <c r="G470" s="39"/>
      <c r="H470" s="40"/>
      <c r="T470" s="49"/>
      <c r="X470" s="47"/>
    </row>
    <row r="471" spans="5:24" s="38" customFormat="1" x14ac:dyDescent="0.35">
      <c r="E471" s="39"/>
      <c r="F471" s="39"/>
      <c r="G471" s="39"/>
      <c r="H471" s="40"/>
      <c r="J471" s="40"/>
      <c r="K471" s="40"/>
      <c r="L471" s="46"/>
      <c r="M471" s="46"/>
      <c r="T471" s="49"/>
      <c r="X471" s="47"/>
    </row>
    <row r="472" spans="5:24" s="38" customFormat="1" x14ac:dyDescent="0.35">
      <c r="E472" s="39"/>
      <c r="F472" s="39"/>
      <c r="G472" s="39"/>
      <c r="H472" s="40"/>
      <c r="T472" s="49"/>
      <c r="X472" s="47"/>
    </row>
    <row r="473" spans="5:24" s="38" customFormat="1" x14ac:dyDescent="0.35">
      <c r="E473" s="39"/>
      <c r="F473" s="39"/>
      <c r="G473" s="39"/>
      <c r="H473" s="40"/>
      <c r="T473" s="49"/>
      <c r="X473" s="47"/>
    </row>
    <row r="474" spans="5:24" s="38" customFormat="1" x14ac:dyDescent="0.35">
      <c r="E474" s="39"/>
      <c r="F474" s="39"/>
      <c r="G474" s="39"/>
      <c r="H474" s="40"/>
      <c r="T474" s="49"/>
      <c r="X474" s="47"/>
    </row>
    <row r="475" spans="5:24" s="38" customFormat="1" x14ac:dyDescent="0.35">
      <c r="E475" s="39"/>
      <c r="F475" s="39"/>
      <c r="G475" s="39"/>
      <c r="H475" s="40"/>
      <c r="T475" s="49"/>
      <c r="X475" s="47"/>
    </row>
    <row r="476" spans="5:24" s="38" customFormat="1" x14ac:dyDescent="0.35">
      <c r="E476" s="39"/>
      <c r="F476" s="39"/>
      <c r="G476" s="39"/>
      <c r="H476" s="40"/>
      <c r="T476" s="49"/>
      <c r="X476" s="47"/>
    </row>
    <row r="477" spans="5:24" s="38" customFormat="1" x14ac:dyDescent="0.35">
      <c r="E477" s="39"/>
      <c r="F477" s="39"/>
      <c r="G477" s="39"/>
      <c r="H477" s="40"/>
      <c r="T477" s="49"/>
      <c r="X477" s="47"/>
    </row>
    <row r="478" spans="5:24" s="38" customFormat="1" x14ac:dyDescent="0.35">
      <c r="E478" s="39"/>
      <c r="F478" s="39"/>
      <c r="G478" s="39"/>
      <c r="H478" s="40"/>
      <c r="T478" s="49"/>
      <c r="X478" s="47"/>
    </row>
    <row r="479" spans="5:24" s="38" customFormat="1" x14ac:dyDescent="0.35">
      <c r="E479" s="39"/>
      <c r="F479" s="39"/>
      <c r="G479" s="39"/>
      <c r="H479" s="40"/>
      <c r="T479" s="49"/>
      <c r="X479" s="47"/>
    </row>
    <row r="480" spans="5:24" s="38" customFormat="1" x14ac:dyDescent="0.35">
      <c r="E480" s="39"/>
      <c r="F480" s="39"/>
      <c r="G480" s="39"/>
      <c r="H480" s="40"/>
      <c r="T480" s="49"/>
      <c r="X480" s="47"/>
    </row>
    <row r="481" spans="5:24" s="38" customFormat="1" x14ac:dyDescent="0.35">
      <c r="E481" s="39"/>
      <c r="F481" s="39"/>
      <c r="G481" s="39"/>
      <c r="H481" s="40"/>
      <c r="T481" s="49"/>
      <c r="X481" s="47"/>
    </row>
    <row r="482" spans="5:24" s="38" customFormat="1" x14ac:dyDescent="0.35">
      <c r="E482" s="39"/>
      <c r="F482" s="39"/>
      <c r="G482" s="39"/>
      <c r="H482" s="40"/>
      <c r="T482" s="49"/>
      <c r="X482" s="47"/>
    </row>
    <row r="483" spans="5:24" s="38" customFormat="1" x14ac:dyDescent="0.35">
      <c r="E483" s="39"/>
      <c r="F483" s="39"/>
      <c r="G483" s="39"/>
      <c r="H483" s="40"/>
      <c r="T483" s="49"/>
      <c r="X483" s="47"/>
    </row>
    <row r="484" spans="5:24" s="38" customFormat="1" x14ac:dyDescent="0.35">
      <c r="E484" s="39"/>
      <c r="F484" s="39"/>
      <c r="G484" s="39"/>
      <c r="H484" s="40"/>
      <c r="J484" s="40"/>
      <c r="K484" s="40"/>
      <c r="L484" s="46"/>
      <c r="M484" s="46"/>
      <c r="T484" s="49"/>
      <c r="X484" s="47"/>
    </row>
    <row r="485" spans="5:24" s="38" customFormat="1" x14ac:dyDescent="0.35">
      <c r="E485" s="39"/>
      <c r="F485" s="39"/>
      <c r="G485" s="39"/>
      <c r="H485" s="40"/>
      <c r="T485" s="49"/>
      <c r="X485" s="47"/>
    </row>
    <row r="486" spans="5:24" s="38" customFormat="1" x14ac:dyDescent="0.35">
      <c r="E486" s="39"/>
      <c r="F486" s="39"/>
      <c r="G486" s="39"/>
      <c r="H486" s="40"/>
      <c r="T486" s="49"/>
      <c r="X486" s="47"/>
    </row>
    <row r="487" spans="5:24" s="38" customFormat="1" x14ac:dyDescent="0.35">
      <c r="E487" s="39"/>
      <c r="F487" s="39"/>
      <c r="G487" s="39"/>
      <c r="H487" s="40"/>
      <c r="T487" s="49"/>
      <c r="X487" s="47"/>
    </row>
    <row r="488" spans="5:24" s="38" customFormat="1" x14ac:dyDescent="0.35">
      <c r="E488" s="39"/>
      <c r="F488" s="39"/>
      <c r="G488" s="39"/>
      <c r="H488" s="40"/>
      <c r="T488" s="49"/>
      <c r="X488" s="47"/>
    </row>
    <row r="489" spans="5:24" s="38" customFormat="1" x14ac:dyDescent="0.35">
      <c r="E489" s="39"/>
      <c r="F489" s="39"/>
      <c r="G489" s="39"/>
      <c r="H489" s="40"/>
      <c r="T489" s="49"/>
      <c r="X489" s="47"/>
    </row>
    <row r="490" spans="5:24" s="38" customFormat="1" x14ac:dyDescent="0.35">
      <c r="E490" s="39"/>
      <c r="F490" s="39"/>
      <c r="G490" s="39"/>
      <c r="H490" s="40"/>
      <c r="T490" s="49"/>
      <c r="X490" s="47"/>
    </row>
    <row r="491" spans="5:24" s="38" customFormat="1" x14ac:dyDescent="0.35">
      <c r="E491" s="39"/>
      <c r="F491" s="39"/>
      <c r="G491" s="39"/>
      <c r="H491" s="40"/>
      <c r="T491" s="49"/>
      <c r="X491" s="47"/>
    </row>
    <row r="492" spans="5:24" s="38" customFormat="1" x14ac:dyDescent="0.35">
      <c r="E492" s="39"/>
      <c r="F492" s="39"/>
      <c r="G492" s="39"/>
      <c r="H492" s="40"/>
      <c r="T492" s="49"/>
      <c r="X492" s="47"/>
    </row>
    <row r="493" spans="5:24" s="38" customFormat="1" x14ac:dyDescent="0.35">
      <c r="E493" s="39"/>
      <c r="F493" s="39"/>
      <c r="G493" s="39"/>
      <c r="H493" s="40"/>
      <c r="J493" s="40"/>
      <c r="K493" s="40"/>
      <c r="L493" s="46"/>
      <c r="M493" s="46"/>
      <c r="T493" s="49"/>
      <c r="X493" s="47"/>
    </row>
    <row r="494" spans="5:24" s="38" customFormat="1" x14ac:dyDescent="0.35">
      <c r="E494" s="39"/>
      <c r="F494" s="39"/>
      <c r="G494" s="39"/>
      <c r="H494" s="40"/>
      <c r="T494" s="49"/>
      <c r="X494" s="47"/>
    </row>
    <row r="495" spans="5:24" s="38" customFormat="1" x14ac:dyDescent="0.35">
      <c r="E495" s="39"/>
      <c r="F495" s="39"/>
      <c r="G495" s="39"/>
      <c r="H495" s="40"/>
      <c r="T495" s="49"/>
      <c r="X495" s="47"/>
    </row>
    <row r="496" spans="5:24" s="38" customFormat="1" x14ac:dyDescent="0.35">
      <c r="E496" s="39"/>
      <c r="F496" s="39"/>
      <c r="G496" s="39"/>
      <c r="H496" s="40"/>
      <c r="T496" s="49"/>
      <c r="X496" s="47"/>
    </row>
    <row r="497" spans="5:24" s="38" customFormat="1" x14ac:dyDescent="0.35">
      <c r="E497" s="39"/>
      <c r="F497" s="39"/>
      <c r="G497" s="39"/>
      <c r="H497" s="40"/>
      <c r="T497" s="49"/>
      <c r="X497" s="47"/>
    </row>
    <row r="498" spans="5:24" s="38" customFormat="1" x14ac:dyDescent="0.35">
      <c r="E498" s="39"/>
      <c r="F498" s="39"/>
      <c r="G498" s="39"/>
      <c r="H498" s="40"/>
      <c r="T498" s="49"/>
      <c r="X498" s="47"/>
    </row>
    <row r="499" spans="5:24" s="38" customFormat="1" x14ac:dyDescent="0.35">
      <c r="E499" s="39"/>
      <c r="F499" s="39"/>
      <c r="G499" s="39"/>
      <c r="H499" s="40"/>
      <c r="T499" s="49"/>
      <c r="X499" s="47"/>
    </row>
    <row r="500" spans="5:24" s="38" customFormat="1" x14ac:dyDescent="0.35">
      <c r="E500" s="39"/>
      <c r="F500" s="39"/>
      <c r="G500" s="39"/>
      <c r="H500" s="40"/>
      <c r="T500" s="49"/>
      <c r="X500" s="47"/>
    </row>
    <row r="501" spans="5:24" s="38" customFormat="1" x14ac:dyDescent="0.35">
      <c r="E501" s="39"/>
      <c r="F501" s="39"/>
      <c r="G501" s="39"/>
      <c r="H501" s="40"/>
      <c r="J501" s="40"/>
      <c r="K501" s="40"/>
      <c r="L501" s="46"/>
      <c r="M501" s="46"/>
      <c r="T501" s="49"/>
      <c r="X501" s="47"/>
    </row>
    <row r="502" spans="5:24" s="38" customFormat="1" x14ac:dyDescent="0.35">
      <c r="E502" s="39"/>
      <c r="F502" s="39"/>
      <c r="G502" s="39"/>
      <c r="H502" s="40"/>
      <c r="T502" s="49"/>
      <c r="X502" s="47"/>
    </row>
    <row r="503" spans="5:24" s="38" customFormat="1" x14ac:dyDescent="0.35">
      <c r="E503" s="39"/>
      <c r="F503" s="39"/>
      <c r="G503" s="39"/>
      <c r="H503" s="40"/>
      <c r="T503" s="49"/>
      <c r="X503" s="47"/>
    </row>
    <row r="504" spans="5:24" s="38" customFormat="1" x14ac:dyDescent="0.35">
      <c r="E504" s="39"/>
      <c r="F504" s="39"/>
      <c r="G504" s="39"/>
      <c r="H504" s="40"/>
      <c r="T504" s="49"/>
      <c r="X504" s="47"/>
    </row>
    <row r="505" spans="5:24" s="38" customFormat="1" x14ac:dyDescent="0.35">
      <c r="E505" s="39"/>
      <c r="F505" s="39"/>
      <c r="G505" s="39"/>
      <c r="H505" s="40"/>
      <c r="T505" s="49"/>
      <c r="X505" s="47"/>
    </row>
    <row r="506" spans="5:24" s="38" customFormat="1" x14ac:dyDescent="0.35">
      <c r="E506" s="39"/>
      <c r="F506" s="39"/>
      <c r="G506" s="39"/>
      <c r="H506" s="40"/>
      <c r="T506" s="49"/>
      <c r="X506" s="47"/>
    </row>
    <row r="507" spans="5:24" s="38" customFormat="1" x14ac:dyDescent="0.35">
      <c r="E507" s="39"/>
      <c r="F507" s="39"/>
      <c r="G507" s="39"/>
      <c r="H507" s="40"/>
      <c r="T507" s="49"/>
      <c r="X507" s="47"/>
    </row>
    <row r="508" spans="5:24" s="38" customFormat="1" x14ac:dyDescent="0.35">
      <c r="E508" s="39"/>
      <c r="F508" s="39"/>
      <c r="G508" s="39"/>
      <c r="H508" s="40"/>
      <c r="T508" s="49"/>
      <c r="X508" s="47"/>
    </row>
    <row r="509" spans="5:24" s="38" customFormat="1" x14ac:dyDescent="0.35">
      <c r="E509" s="39"/>
      <c r="F509" s="39"/>
      <c r="G509" s="39"/>
      <c r="H509" s="40"/>
      <c r="T509" s="49"/>
      <c r="X509" s="47"/>
    </row>
    <row r="510" spans="5:24" s="38" customFormat="1" x14ac:dyDescent="0.35">
      <c r="E510" s="39"/>
      <c r="F510" s="39"/>
      <c r="G510" s="39"/>
      <c r="H510" s="40"/>
      <c r="T510" s="49"/>
      <c r="X510" s="47"/>
    </row>
    <row r="511" spans="5:24" s="38" customFormat="1" x14ac:dyDescent="0.35">
      <c r="E511" s="39"/>
      <c r="F511" s="39"/>
      <c r="G511" s="39"/>
      <c r="H511" s="40"/>
      <c r="T511" s="49"/>
      <c r="X511" s="47"/>
    </row>
    <row r="512" spans="5:24" s="38" customFormat="1" x14ac:dyDescent="0.35">
      <c r="E512" s="39"/>
      <c r="F512" s="39"/>
      <c r="G512" s="39"/>
      <c r="H512" s="40"/>
      <c r="T512" s="49"/>
      <c r="X512" s="47"/>
    </row>
    <row r="513" spans="5:24" s="38" customFormat="1" x14ac:dyDescent="0.35">
      <c r="E513" s="39"/>
      <c r="F513" s="39"/>
      <c r="G513" s="39"/>
      <c r="H513" s="40"/>
      <c r="T513" s="49"/>
      <c r="X513" s="47"/>
    </row>
    <row r="514" spans="5:24" s="38" customFormat="1" x14ac:dyDescent="0.35">
      <c r="E514" s="39"/>
      <c r="F514" s="39"/>
      <c r="G514" s="39"/>
      <c r="H514" s="40"/>
      <c r="T514" s="49"/>
      <c r="X514" s="47"/>
    </row>
    <row r="515" spans="5:24" s="38" customFormat="1" x14ac:dyDescent="0.35">
      <c r="E515" s="39"/>
      <c r="F515" s="39"/>
      <c r="G515" s="39"/>
      <c r="H515" s="40"/>
      <c r="T515" s="49"/>
      <c r="X515" s="47"/>
    </row>
    <row r="516" spans="5:24" s="38" customFormat="1" x14ac:dyDescent="0.35">
      <c r="E516" s="39"/>
      <c r="F516" s="39"/>
      <c r="G516" s="39"/>
      <c r="H516" s="40"/>
      <c r="T516" s="49"/>
      <c r="X516" s="47"/>
    </row>
    <row r="517" spans="5:24" s="38" customFormat="1" x14ac:dyDescent="0.35">
      <c r="E517" s="39"/>
      <c r="F517" s="39"/>
      <c r="G517" s="39"/>
      <c r="H517" s="40"/>
      <c r="T517" s="49"/>
      <c r="X517" s="47"/>
    </row>
    <row r="518" spans="5:24" s="38" customFormat="1" x14ac:dyDescent="0.35">
      <c r="E518" s="39"/>
      <c r="F518" s="39"/>
      <c r="G518" s="39"/>
      <c r="H518" s="40"/>
      <c r="T518" s="49"/>
      <c r="X518" s="47"/>
    </row>
    <row r="519" spans="5:24" s="38" customFormat="1" x14ac:dyDescent="0.35">
      <c r="E519" s="39"/>
      <c r="F519" s="39"/>
      <c r="G519" s="39"/>
      <c r="H519" s="40"/>
      <c r="T519" s="49"/>
      <c r="X519" s="47"/>
    </row>
    <row r="520" spans="5:24" s="38" customFormat="1" x14ac:dyDescent="0.35">
      <c r="E520" s="39"/>
      <c r="F520" s="39"/>
      <c r="G520" s="39"/>
      <c r="H520" s="40"/>
      <c r="T520" s="49"/>
      <c r="X520" s="47"/>
    </row>
    <row r="521" spans="5:24" s="38" customFormat="1" x14ac:dyDescent="0.35">
      <c r="E521" s="39"/>
      <c r="F521" s="39"/>
      <c r="G521" s="39"/>
      <c r="H521" s="40"/>
      <c r="T521" s="49"/>
      <c r="X521" s="47"/>
    </row>
    <row r="522" spans="5:24" s="38" customFormat="1" x14ac:dyDescent="0.35">
      <c r="E522" s="39"/>
      <c r="F522" s="39"/>
      <c r="G522" s="39"/>
      <c r="H522" s="40"/>
      <c r="T522" s="49"/>
      <c r="X522" s="47"/>
    </row>
    <row r="523" spans="5:24" s="38" customFormat="1" x14ac:dyDescent="0.35">
      <c r="E523" s="39"/>
      <c r="F523" s="39"/>
      <c r="G523" s="39"/>
      <c r="H523" s="40"/>
      <c r="J523" s="40"/>
      <c r="K523" s="40"/>
      <c r="L523" s="46"/>
      <c r="M523" s="46"/>
      <c r="T523" s="49"/>
      <c r="X523" s="47"/>
    </row>
    <row r="524" spans="5:24" s="38" customFormat="1" x14ac:dyDescent="0.35">
      <c r="E524" s="39"/>
      <c r="F524" s="39"/>
      <c r="G524" s="39"/>
      <c r="H524" s="40"/>
      <c r="T524" s="49"/>
      <c r="X524" s="47"/>
    </row>
    <row r="525" spans="5:24" s="38" customFormat="1" x14ac:dyDescent="0.35">
      <c r="E525" s="39"/>
      <c r="F525" s="39"/>
      <c r="G525" s="39"/>
      <c r="H525" s="40"/>
      <c r="T525" s="49"/>
      <c r="X525" s="47"/>
    </row>
    <row r="526" spans="5:24" s="38" customFormat="1" x14ac:dyDescent="0.35">
      <c r="E526" s="39"/>
      <c r="F526" s="39"/>
      <c r="G526" s="39"/>
      <c r="H526" s="40"/>
      <c r="T526" s="49"/>
      <c r="X526" s="47"/>
    </row>
    <row r="527" spans="5:24" s="38" customFormat="1" x14ac:dyDescent="0.35">
      <c r="E527" s="39"/>
      <c r="F527" s="39"/>
      <c r="G527" s="39"/>
      <c r="H527" s="40"/>
      <c r="T527" s="49"/>
      <c r="X527" s="47"/>
    </row>
    <row r="528" spans="5:24" s="38" customFormat="1" x14ac:dyDescent="0.35">
      <c r="E528" s="39"/>
      <c r="F528" s="39"/>
      <c r="G528" s="39"/>
      <c r="H528" s="40"/>
      <c r="T528" s="49"/>
      <c r="X528" s="47"/>
    </row>
    <row r="529" spans="5:24" s="38" customFormat="1" x14ac:dyDescent="0.35">
      <c r="E529" s="39"/>
      <c r="F529" s="39"/>
      <c r="G529" s="39"/>
      <c r="H529" s="40"/>
      <c r="T529" s="49"/>
      <c r="X529" s="47"/>
    </row>
    <row r="530" spans="5:24" s="38" customFormat="1" x14ac:dyDescent="0.35">
      <c r="E530" s="39"/>
      <c r="F530" s="39"/>
      <c r="G530" s="39"/>
      <c r="H530" s="40"/>
      <c r="T530" s="49"/>
      <c r="X530" s="47"/>
    </row>
    <row r="531" spans="5:24" s="38" customFormat="1" x14ac:dyDescent="0.35">
      <c r="E531" s="39"/>
      <c r="F531" s="39"/>
      <c r="G531" s="39"/>
      <c r="H531" s="40"/>
      <c r="T531" s="49"/>
      <c r="X531" s="47"/>
    </row>
    <row r="532" spans="5:24" s="38" customFormat="1" x14ac:dyDescent="0.35">
      <c r="E532" s="39"/>
      <c r="F532" s="39"/>
      <c r="G532" s="39"/>
      <c r="H532" s="40"/>
      <c r="T532" s="49"/>
      <c r="X532" s="47"/>
    </row>
    <row r="533" spans="5:24" s="38" customFormat="1" x14ac:dyDescent="0.35">
      <c r="E533" s="39"/>
      <c r="F533" s="39"/>
      <c r="G533" s="39"/>
      <c r="H533" s="40"/>
      <c r="J533" s="40"/>
      <c r="K533" s="40"/>
      <c r="L533" s="46"/>
      <c r="M533" s="46"/>
      <c r="T533" s="49"/>
      <c r="X533" s="47"/>
    </row>
    <row r="534" spans="5:24" s="38" customFormat="1" x14ac:dyDescent="0.35">
      <c r="E534" s="39"/>
      <c r="F534" s="39"/>
      <c r="G534" s="39"/>
      <c r="H534" s="40"/>
      <c r="T534" s="49"/>
      <c r="X534" s="47"/>
    </row>
    <row r="535" spans="5:24" s="38" customFormat="1" x14ac:dyDescent="0.35">
      <c r="E535" s="39"/>
      <c r="F535" s="39"/>
      <c r="G535" s="39"/>
      <c r="H535" s="40"/>
      <c r="T535" s="49"/>
      <c r="X535" s="47"/>
    </row>
    <row r="536" spans="5:24" s="38" customFormat="1" x14ac:dyDescent="0.35">
      <c r="E536" s="39"/>
      <c r="F536" s="39"/>
      <c r="G536" s="39"/>
      <c r="H536" s="40"/>
      <c r="T536" s="49"/>
      <c r="X536" s="47"/>
    </row>
    <row r="537" spans="5:24" s="38" customFormat="1" x14ac:dyDescent="0.35">
      <c r="E537" s="39"/>
      <c r="F537" s="39"/>
      <c r="G537" s="39"/>
      <c r="H537" s="40"/>
      <c r="T537" s="49"/>
      <c r="X537" s="47"/>
    </row>
    <row r="538" spans="5:24" s="38" customFormat="1" x14ac:dyDescent="0.35">
      <c r="E538" s="39"/>
      <c r="F538" s="39"/>
      <c r="G538" s="39"/>
      <c r="H538" s="40"/>
      <c r="T538" s="49"/>
      <c r="X538" s="47"/>
    </row>
    <row r="539" spans="5:24" s="38" customFormat="1" x14ac:dyDescent="0.35">
      <c r="E539" s="39"/>
      <c r="F539" s="39"/>
      <c r="G539" s="39"/>
      <c r="H539" s="40"/>
      <c r="T539" s="49"/>
      <c r="X539" s="47"/>
    </row>
    <row r="540" spans="5:24" s="38" customFormat="1" x14ac:dyDescent="0.35">
      <c r="E540" s="39"/>
      <c r="F540" s="39"/>
      <c r="G540" s="39"/>
      <c r="H540" s="40"/>
      <c r="T540" s="49"/>
      <c r="X540" s="47"/>
    </row>
    <row r="541" spans="5:24" s="38" customFormat="1" x14ac:dyDescent="0.35">
      <c r="E541" s="39"/>
      <c r="F541" s="39"/>
      <c r="G541" s="39"/>
      <c r="H541" s="40"/>
      <c r="T541" s="49"/>
      <c r="X541" s="47"/>
    </row>
    <row r="542" spans="5:24" s="38" customFormat="1" x14ac:dyDescent="0.35">
      <c r="E542" s="39"/>
      <c r="F542" s="39"/>
      <c r="G542" s="39"/>
      <c r="H542" s="40"/>
      <c r="T542" s="49"/>
      <c r="X542" s="47"/>
    </row>
    <row r="543" spans="5:24" s="38" customFormat="1" x14ac:dyDescent="0.35">
      <c r="E543" s="39"/>
      <c r="F543" s="39"/>
      <c r="G543" s="39"/>
      <c r="H543" s="40"/>
      <c r="T543" s="49"/>
      <c r="X543" s="47"/>
    </row>
    <row r="544" spans="5:24" s="38" customFormat="1" x14ac:dyDescent="0.35">
      <c r="E544" s="39"/>
      <c r="F544" s="39"/>
      <c r="G544" s="39"/>
      <c r="H544" s="40"/>
      <c r="T544" s="49"/>
      <c r="X544" s="47"/>
    </row>
    <row r="545" spans="5:24" s="38" customFormat="1" x14ac:dyDescent="0.35">
      <c r="E545" s="39"/>
      <c r="F545" s="39"/>
      <c r="G545" s="39"/>
      <c r="H545" s="40"/>
      <c r="T545" s="49"/>
      <c r="X545" s="47"/>
    </row>
    <row r="546" spans="5:24" s="38" customFormat="1" x14ac:dyDescent="0.35">
      <c r="E546" s="39"/>
      <c r="F546" s="39"/>
      <c r="G546" s="39"/>
      <c r="H546" s="40"/>
      <c r="T546" s="49"/>
      <c r="X546" s="47"/>
    </row>
    <row r="547" spans="5:24" s="38" customFormat="1" x14ac:dyDescent="0.35">
      <c r="E547" s="39"/>
      <c r="F547" s="39"/>
      <c r="G547" s="39"/>
      <c r="H547" s="40"/>
      <c r="T547" s="49"/>
      <c r="X547" s="47"/>
    </row>
    <row r="548" spans="5:24" s="38" customFormat="1" x14ac:dyDescent="0.35">
      <c r="E548" s="39"/>
      <c r="F548" s="39"/>
      <c r="G548" s="39"/>
      <c r="H548" s="40"/>
      <c r="T548" s="49"/>
      <c r="X548" s="47"/>
    </row>
    <row r="549" spans="5:24" s="38" customFormat="1" x14ac:dyDescent="0.35">
      <c r="E549" s="39"/>
      <c r="F549" s="39"/>
      <c r="G549" s="39"/>
      <c r="H549" s="40"/>
      <c r="J549" s="40"/>
      <c r="K549" s="40"/>
      <c r="L549" s="46"/>
      <c r="M549" s="46"/>
      <c r="T549" s="49"/>
      <c r="X549" s="47"/>
    </row>
    <row r="550" spans="5:24" s="38" customFormat="1" x14ac:dyDescent="0.35">
      <c r="E550" s="39"/>
      <c r="F550" s="39"/>
      <c r="G550" s="39"/>
      <c r="H550" s="40"/>
      <c r="T550" s="49"/>
      <c r="X550" s="47"/>
    </row>
    <row r="551" spans="5:24" s="38" customFormat="1" x14ac:dyDescent="0.35">
      <c r="E551" s="39"/>
      <c r="F551" s="39"/>
      <c r="G551" s="39"/>
      <c r="H551" s="40"/>
      <c r="T551" s="49"/>
      <c r="X551" s="47"/>
    </row>
    <row r="552" spans="5:24" s="38" customFormat="1" x14ac:dyDescent="0.35">
      <c r="E552" s="39"/>
      <c r="F552" s="39"/>
      <c r="G552" s="39"/>
      <c r="H552" s="40"/>
      <c r="T552" s="49"/>
      <c r="X552" s="47"/>
    </row>
    <row r="553" spans="5:24" s="38" customFormat="1" x14ac:dyDescent="0.35">
      <c r="E553" s="39"/>
      <c r="F553" s="39"/>
      <c r="G553" s="39"/>
      <c r="H553" s="40"/>
      <c r="T553" s="49"/>
      <c r="X553" s="47"/>
    </row>
    <row r="554" spans="5:24" s="38" customFormat="1" x14ac:dyDescent="0.35">
      <c r="E554" s="39"/>
      <c r="F554" s="39"/>
      <c r="G554" s="39"/>
      <c r="H554" s="40"/>
      <c r="T554" s="49"/>
      <c r="X554" s="47"/>
    </row>
    <row r="555" spans="5:24" s="38" customFormat="1" x14ac:dyDescent="0.35">
      <c r="E555" s="39"/>
      <c r="F555" s="39"/>
      <c r="G555" s="39"/>
      <c r="H555" s="40"/>
      <c r="T555" s="49"/>
      <c r="X555" s="47"/>
    </row>
    <row r="556" spans="5:24" s="38" customFormat="1" x14ac:dyDescent="0.35">
      <c r="E556" s="39"/>
      <c r="F556" s="39"/>
      <c r="G556" s="39"/>
      <c r="H556" s="40"/>
      <c r="T556" s="49"/>
      <c r="X556" s="47"/>
    </row>
    <row r="557" spans="5:24" s="38" customFormat="1" x14ac:dyDescent="0.35">
      <c r="E557" s="39"/>
      <c r="F557" s="39"/>
      <c r="G557" s="39"/>
      <c r="H557" s="40"/>
      <c r="T557" s="49"/>
      <c r="X557" s="47"/>
    </row>
    <row r="558" spans="5:24" s="38" customFormat="1" x14ac:dyDescent="0.35">
      <c r="E558" s="39"/>
      <c r="F558" s="39"/>
      <c r="G558" s="39"/>
      <c r="H558" s="40"/>
      <c r="T558" s="49"/>
      <c r="X558" s="47"/>
    </row>
    <row r="559" spans="5:24" s="38" customFormat="1" x14ac:dyDescent="0.35">
      <c r="E559" s="39"/>
      <c r="F559" s="39"/>
      <c r="G559" s="39"/>
      <c r="H559" s="40"/>
      <c r="T559" s="49"/>
      <c r="X559" s="47"/>
    </row>
    <row r="560" spans="5:24" s="38" customFormat="1" x14ac:dyDescent="0.35">
      <c r="E560" s="39"/>
      <c r="F560" s="39"/>
      <c r="G560" s="39"/>
      <c r="H560" s="40"/>
      <c r="T560" s="49"/>
      <c r="X560" s="47"/>
    </row>
    <row r="561" spans="5:24" s="38" customFormat="1" x14ac:dyDescent="0.35">
      <c r="E561" s="39"/>
      <c r="F561" s="39"/>
      <c r="G561" s="39"/>
      <c r="H561" s="40"/>
      <c r="T561" s="49"/>
      <c r="X561" s="47"/>
    </row>
    <row r="562" spans="5:24" s="38" customFormat="1" x14ac:dyDescent="0.35">
      <c r="E562" s="39"/>
      <c r="F562" s="39"/>
      <c r="G562" s="39"/>
      <c r="H562" s="40"/>
      <c r="T562" s="49"/>
      <c r="X562" s="47"/>
    </row>
    <row r="563" spans="5:24" s="38" customFormat="1" x14ac:dyDescent="0.35">
      <c r="E563" s="39"/>
      <c r="F563" s="39"/>
      <c r="G563" s="39"/>
      <c r="H563" s="40"/>
      <c r="T563" s="49"/>
      <c r="X563" s="47"/>
    </row>
    <row r="564" spans="5:24" s="38" customFormat="1" x14ac:dyDescent="0.35">
      <c r="E564" s="39"/>
      <c r="F564" s="39"/>
      <c r="G564" s="39"/>
      <c r="H564" s="40"/>
      <c r="T564" s="49"/>
      <c r="X564" s="47"/>
    </row>
    <row r="565" spans="5:24" s="38" customFormat="1" x14ac:dyDescent="0.35">
      <c r="E565" s="39"/>
      <c r="F565" s="39"/>
      <c r="G565" s="39"/>
      <c r="H565" s="40"/>
      <c r="T565" s="49"/>
      <c r="X565" s="47"/>
    </row>
    <row r="566" spans="5:24" s="38" customFormat="1" x14ac:dyDescent="0.35">
      <c r="E566" s="39"/>
      <c r="F566" s="39"/>
      <c r="G566" s="39"/>
      <c r="H566" s="40"/>
      <c r="T566" s="49"/>
      <c r="X566" s="47"/>
    </row>
    <row r="567" spans="5:24" s="38" customFormat="1" x14ac:dyDescent="0.35">
      <c r="E567" s="39"/>
      <c r="F567" s="39"/>
      <c r="G567" s="39"/>
      <c r="H567" s="40"/>
      <c r="T567" s="49"/>
      <c r="X567" s="47"/>
    </row>
    <row r="568" spans="5:24" s="38" customFormat="1" x14ac:dyDescent="0.35">
      <c r="E568" s="39"/>
      <c r="F568" s="39"/>
      <c r="G568" s="39"/>
      <c r="H568" s="40"/>
      <c r="T568" s="49"/>
      <c r="X568" s="47"/>
    </row>
    <row r="569" spans="5:24" s="38" customFormat="1" x14ac:dyDescent="0.35">
      <c r="E569" s="39"/>
      <c r="F569" s="39"/>
      <c r="G569" s="39"/>
      <c r="H569" s="40"/>
      <c r="J569" s="40"/>
      <c r="K569" s="40"/>
      <c r="L569" s="46"/>
      <c r="M569" s="46"/>
      <c r="T569" s="49"/>
      <c r="X569" s="47"/>
    </row>
    <row r="570" spans="5:24" s="38" customFormat="1" x14ac:dyDescent="0.35">
      <c r="E570" s="39"/>
      <c r="F570" s="39"/>
      <c r="G570" s="39"/>
      <c r="H570" s="40"/>
      <c r="T570" s="49"/>
      <c r="X570" s="47"/>
    </row>
    <row r="571" spans="5:24" s="38" customFormat="1" x14ac:dyDescent="0.35">
      <c r="E571" s="39"/>
      <c r="F571" s="39"/>
      <c r="G571" s="39"/>
      <c r="H571" s="40"/>
      <c r="T571" s="49"/>
      <c r="X571" s="47"/>
    </row>
    <row r="572" spans="5:24" s="38" customFormat="1" x14ac:dyDescent="0.35">
      <c r="E572" s="39"/>
      <c r="F572" s="39"/>
      <c r="G572" s="39"/>
      <c r="H572" s="40"/>
      <c r="T572" s="49"/>
      <c r="X572" s="47"/>
    </row>
    <row r="573" spans="5:24" s="38" customFormat="1" x14ac:dyDescent="0.35">
      <c r="E573" s="39"/>
      <c r="F573" s="39"/>
      <c r="G573" s="39"/>
      <c r="H573" s="40"/>
      <c r="T573" s="49"/>
      <c r="X573" s="47"/>
    </row>
    <row r="574" spans="5:24" s="38" customFormat="1" x14ac:dyDescent="0.35">
      <c r="E574" s="39"/>
      <c r="F574" s="39"/>
      <c r="G574" s="39"/>
      <c r="H574" s="40"/>
      <c r="T574" s="49"/>
      <c r="X574" s="47"/>
    </row>
    <row r="575" spans="5:24" s="38" customFormat="1" x14ac:dyDescent="0.35">
      <c r="E575" s="39"/>
      <c r="F575" s="39"/>
      <c r="G575" s="39"/>
      <c r="H575" s="40"/>
      <c r="T575" s="49"/>
      <c r="X575" s="47"/>
    </row>
    <row r="576" spans="5:24" s="38" customFormat="1" x14ac:dyDescent="0.35">
      <c r="E576" s="39"/>
      <c r="F576" s="39"/>
      <c r="G576" s="39"/>
      <c r="H576" s="40"/>
      <c r="T576" s="49"/>
      <c r="X576" s="47"/>
    </row>
    <row r="577" spans="5:24" s="38" customFormat="1" x14ac:dyDescent="0.35">
      <c r="E577" s="39"/>
      <c r="F577" s="39"/>
      <c r="G577" s="39"/>
      <c r="H577" s="40"/>
      <c r="T577" s="49"/>
      <c r="X577" s="47"/>
    </row>
    <row r="578" spans="5:24" s="38" customFormat="1" x14ac:dyDescent="0.35">
      <c r="E578" s="39"/>
      <c r="F578" s="39"/>
      <c r="G578" s="39"/>
      <c r="H578" s="40"/>
      <c r="T578" s="49"/>
      <c r="X578" s="47"/>
    </row>
    <row r="579" spans="5:24" s="38" customFormat="1" x14ac:dyDescent="0.35">
      <c r="E579" s="39"/>
      <c r="F579" s="39"/>
      <c r="G579" s="39"/>
      <c r="H579" s="40"/>
      <c r="T579" s="49"/>
      <c r="X579" s="47"/>
    </row>
    <row r="580" spans="5:24" s="38" customFormat="1" x14ac:dyDescent="0.35">
      <c r="E580" s="39"/>
      <c r="F580" s="39"/>
      <c r="G580" s="39"/>
      <c r="H580" s="40"/>
      <c r="T580" s="49"/>
      <c r="X580" s="47"/>
    </row>
    <row r="581" spans="5:24" s="38" customFormat="1" x14ac:dyDescent="0.35">
      <c r="E581" s="39"/>
      <c r="F581" s="39"/>
      <c r="G581" s="39"/>
      <c r="H581" s="40"/>
      <c r="T581" s="49"/>
      <c r="X581" s="47"/>
    </row>
    <row r="582" spans="5:24" s="38" customFormat="1" x14ac:dyDescent="0.35">
      <c r="E582" s="39"/>
      <c r="F582" s="39"/>
      <c r="G582" s="39"/>
      <c r="H582" s="40"/>
      <c r="T582" s="49"/>
      <c r="X582" s="47"/>
    </row>
    <row r="583" spans="5:24" s="38" customFormat="1" x14ac:dyDescent="0.35">
      <c r="E583" s="39"/>
      <c r="F583" s="39"/>
      <c r="G583" s="39"/>
      <c r="H583" s="40"/>
      <c r="T583" s="49"/>
      <c r="X583" s="47"/>
    </row>
    <row r="584" spans="5:24" s="38" customFormat="1" x14ac:dyDescent="0.35">
      <c r="E584" s="39"/>
      <c r="F584" s="39"/>
      <c r="G584" s="39"/>
      <c r="H584" s="40"/>
      <c r="T584" s="49"/>
      <c r="X584" s="47"/>
    </row>
    <row r="585" spans="5:24" s="38" customFormat="1" x14ac:dyDescent="0.35">
      <c r="E585" s="39"/>
      <c r="F585" s="39"/>
      <c r="G585" s="39"/>
      <c r="H585" s="40"/>
      <c r="T585" s="49"/>
      <c r="X585" s="47"/>
    </row>
    <row r="586" spans="5:24" s="38" customFormat="1" x14ac:dyDescent="0.35">
      <c r="E586" s="39"/>
      <c r="F586" s="39"/>
      <c r="G586" s="39"/>
      <c r="H586" s="40"/>
      <c r="T586" s="49"/>
      <c r="X586" s="47"/>
    </row>
    <row r="587" spans="5:24" s="38" customFormat="1" x14ac:dyDescent="0.35">
      <c r="E587" s="39"/>
      <c r="F587" s="39"/>
      <c r="G587" s="39"/>
      <c r="H587" s="40"/>
      <c r="T587" s="49"/>
      <c r="X587" s="47"/>
    </row>
    <row r="588" spans="5:24" s="38" customFormat="1" x14ac:dyDescent="0.35">
      <c r="E588" s="39"/>
      <c r="F588" s="39"/>
      <c r="G588" s="39"/>
      <c r="H588" s="40"/>
      <c r="T588" s="49"/>
      <c r="X588" s="47"/>
    </row>
    <row r="589" spans="5:24" s="38" customFormat="1" x14ac:dyDescent="0.35">
      <c r="E589" s="39"/>
      <c r="F589" s="39"/>
      <c r="G589" s="39"/>
      <c r="H589" s="40"/>
      <c r="T589" s="49"/>
      <c r="X589" s="47"/>
    </row>
    <row r="590" spans="5:24" s="38" customFormat="1" x14ac:dyDescent="0.35">
      <c r="E590" s="39"/>
      <c r="F590" s="39"/>
      <c r="G590" s="39"/>
      <c r="H590" s="40"/>
      <c r="T590" s="49"/>
      <c r="X590" s="47"/>
    </row>
    <row r="591" spans="5:24" s="38" customFormat="1" x14ac:dyDescent="0.35">
      <c r="E591" s="39"/>
      <c r="F591" s="39"/>
      <c r="G591" s="39"/>
      <c r="H591" s="40"/>
      <c r="T591" s="49"/>
      <c r="X591" s="47"/>
    </row>
    <row r="592" spans="5:24" s="38" customFormat="1" x14ac:dyDescent="0.35">
      <c r="E592" s="39"/>
      <c r="F592" s="39"/>
      <c r="G592" s="39"/>
      <c r="H592" s="40"/>
      <c r="J592" s="40"/>
      <c r="K592" s="40"/>
      <c r="L592" s="46"/>
      <c r="M592" s="46"/>
      <c r="T592" s="49"/>
      <c r="X592" s="47"/>
    </row>
    <row r="593" spans="5:24" s="38" customFormat="1" x14ac:dyDescent="0.35">
      <c r="E593" s="39"/>
      <c r="F593" s="39"/>
      <c r="G593" s="39"/>
      <c r="H593" s="40"/>
      <c r="T593" s="49"/>
      <c r="X593" s="47"/>
    </row>
    <row r="594" spans="5:24" s="38" customFormat="1" x14ac:dyDescent="0.35">
      <c r="E594" s="39"/>
      <c r="F594" s="39"/>
      <c r="G594" s="39"/>
      <c r="H594" s="40"/>
      <c r="T594" s="49"/>
      <c r="X594" s="47"/>
    </row>
    <row r="595" spans="5:24" s="38" customFormat="1" x14ac:dyDescent="0.35">
      <c r="E595" s="39"/>
      <c r="F595" s="39"/>
      <c r="G595" s="39"/>
      <c r="H595" s="40"/>
      <c r="T595" s="49"/>
      <c r="X595" s="47"/>
    </row>
    <row r="596" spans="5:24" s="38" customFormat="1" x14ac:dyDescent="0.35">
      <c r="E596" s="39"/>
      <c r="F596" s="39"/>
      <c r="G596" s="39"/>
      <c r="H596" s="40"/>
      <c r="T596" s="49"/>
      <c r="X596" s="47"/>
    </row>
    <row r="597" spans="5:24" s="38" customFormat="1" x14ac:dyDescent="0.35">
      <c r="E597" s="39"/>
      <c r="F597" s="39"/>
      <c r="G597" s="39"/>
      <c r="H597" s="40"/>
      <c r="T597" s="49"/>
      <c r="X597" s="47"/>
    </row>
    <row r="598" spans="5:24" s="38" customFormat="1" x14ac:dyDescent="0.35">
      <c r="E598" s="39"/>
      <c r="F598" s="39"/>
      <c r="G598" s="39"/>
      <c r="H598" s="40"/>
      <c r="T598" s="49"/>
      <c r="X598" s="47"/>
    </row>
    <row r="599" spans="5:24" s="38" customFormat="1" x14ac:dyDescent="0.35">
      <c r="E599" s="39"/>
      <c r="F599" s="39"/>
      <c r="G599" s="39"/>
      <c r="H599" s="40"/>
      <c r="T599" s="49"/>
      <c r="X599" s="47"/>
    </row>
    <row r="600" spans="5:24" s="38" customFormat="1" x14ac:dyDescent="0.35">
      <c r="E600" s="39"/>
      <c r="F600" s="39"/>
      <c r="G600" s="39"/>
      <c r="H600" s="40"/>
      <c r="T600" s="49"/>
      <c r="X600" s="47"/>
    </row>
    <row r="601" spans="5:24" s="38" customFormat="1" x14ac:dyDescent="0.35">
      <c r="E601" s="39"/>
      <c r="F601" s="39"/>
      <c r="G601" s="39"/>
      <c r="H601" s="40"/>
      <c r="T601" s="49"/>
      <c r="X601" s="47"/>
    </row>
    <row r="602" spans="5:24" s="38" customFormat="1" x14ac:dyDescent="0.35">
      <c r="E602" s="39"/>
      <c r="F602" s="39"/>
      <c r="G602" s="39"/>
      <c r="H602" s="40"/>
      <c r="T602" s="49"/>
      <c r="X602" s="47"/>
    </row>
    <row r="603" spans="5:24" s="38" customFormat="1" x14ac:dyDescent="0.35">
      <c r="E603" s="39"/>
      <c r="F603" s="39"/>
      <c r="G603" s="39"/>
      <c r="H603" s="40"/>
      <c r="T603" s="49"/>
      <c r="X603" s="47"/>
    </row>
    <row r="604" spans="5:24" s="38" customFormat="1" x14ac:dyDescent="0.35">
      <c r="E604" s="39"/>
      <c r="F604" s="39"/>
      <c r="G604" s="39"/>
      <c r="H604" s="40"/>
      <c r="T604" s="49"/>
      <c r="X604" s="47"/>
    </row>
    <row r="605" spans="5:24" s="38" customFormat="1" x14ac:dyDescent="0.35">
      <c r="E605" s="39"/>
      <c r="F605" s="39"/>
      <c r="G605" s="39"/>
      <c r="H605" s="40"/>
      <c r="T605" s="49"/>
      <c r="X605" s="47"/>
    </row>
    <row r="606" spans="5:24" s="38" customFormat="1" x14ac:dyDescent="0.35">
      <c r="E606" s="39"/>
      <c r="F606" s="39"/>
      <c r="G606" s="39"/>
      <c r="H606" s="40"/>
      <c r="T606" s="49"/>
      <c r="X606" s="47"/>
    </row>
    <row r="607" spans="5:24" s="38" customFormat="1" x14ac:dyDescent="0.35">
      <c r="E607" s="39"/>
      <c r="F607" s="39"/>
      <c r="G607" s="39"/>
      <c r="H607" s="40"/>
      <c r="T607" s="49"/>
      <c r="X607" s="47"/>
    </row>
    <row r="608" spans="5:24" s="38" customFormat="1" x14ac:dyDescent="0.35">
      <c r="E608" s="39"/>
      <c r="F608" s="39"/>
      <c r="G608" s="39"/>
      <c r="H608" s="40"/>
      <c r="T608" s="49"/>
      <c r="X608" s="47"/>
    </row>
    <row r="609" spans="5:24" s="38" customFormat="1" x14ac:dyDescent="0.35">
      <c r="E609" s="39"/>
      <c r="F609" s="39"/>
      <c r="G609" s="39"/>
      <c r="H609" s="40"/>
      <c r="T609" s="49"/>
      <c r="X609" s="47"/>
    </row>
    <row r="610" spans="5:24" s="38" customFormat="1" x14ac:dyDescent="0.35">
      <c r="E610" s="39"/>
      <c r="F610" s="39"/>
      <c r="G610" s="39"/>
      <c r="H610" s="40"/>
      <c r="T610" s="49"/>
      <c r="X610" s="47"/>
    </row>
    <row r="611" spans="5:24" s="38" customFormat="1" x14ac:dyDescent="0.35">
      <c r="E611" s="39"/>
      <c r="F611" s="39"/>
      <c r="G611" s="39"/>
      <c r="H611" s="40"/>
      <c r="J611" s="40"/>
      <c r="K611" s="40"/>
      <c r="L611" s="46"/>
      <c r="M611" s="46"/>
      <c r="T611" s="49"/>
      <c r="X611" s="47"/>
    </row>
    <row r="612" spans="5:24" s="38" customFormat="1" x14ac:dyDescent="0.35">
      <c r="E612" s="39"/>
      <c r="F612" s="39"/>
      <c r="G612" s="39"/>
      <c r="H612" s="40"/>
      <c r="J612" s="40"/>
      <c r="K612" s="40"/>
      <c r="L612" s="46"/>
      <c r="M612" s="46"/>
      <c r="T612" s="49"/>
      <c r="X612" s="47"/>
    </row>
    <row r="613" spans="5:24" s="38" customFormat="1" x14ac:dyDescent="0.35">
      <c r="E613" s="39"/>
      <c r="F613" s="39"/>
      <c r="G613" s="39"/>
      <c r="H613" s="40"/>
      <c r="T613" s="49"/>
      <c r="X613" s="47"/>
    </row>
    <row r="614" spans="5:24" s="38" customFormat="1" x14ac:dyDescent="0.35">
      <c r="E614" s="39"/>
      <c r="F614" s="39"/>
      <c r="G614" s="39"/>
      <c r="H614" s="40"/>
      <c r="T614" s="49"/>
      <c r="X614" s="47"/>
    </row>
    <row r="615" spans="5:24" s="38" customFormat="1" x14ac:dyDescent="0.35">
      <c r="E615" s="39"/>
      <c r="F615" s="39"/>
      <c r="G615" s="39"/>
      <c r="H615" s="40"/>
      <c r="T615" s="49"/>
      <c r="X615" s="47"/>
    </row>
    <row r="616" spans="5:24" s="38" customFormat="1" x14ac:dyDescent="0.35">
      <c r="E616" s="39"/>
      <c r="F616" s="39"/>
      <c r="G616" s="39"/>
      <c r="H616" s="40"/>
      <c r="T616" s="49"/>
      <c r="X616" s="47"/>
    </row>
    <row r="617" spans="5:24" s="38" customFormat="1" x14ac:dyDescent="0.35">
      <c r="E617" s="39"/>
      <c r="F617" s="39"/>
      <c r="G617" s="39"/>
      <c r="H617" s="40"/>
      <c r="T617" s="49"/>
      <c r="X617" s="47"/>
    </row>
    <row r="618" spans="5:24" s="38" customFormat="1" x14ac:dyDescent="0.35">
      <c r="E618" s="39"/>
      <c r="F618" s="39"/>
      <c r="G618" s="39"/>
      <c r="H618" s="40"/>
      <c r="T618" s="49"/>
      <c r="X618" s="47"/>
    </row>
    <row r="619" spans="5:24" s="38" customFormat="1" x14ac:dyDescent="0.35">
      <c r="E619" s="39"/>
      <c r="F619" s="39"/>
      <c r="G619" s="39"/>
      <c r="H619" s="40"/>
      <c r="T619" s="49"/>
      <c r="X619" s="47"/>
    </row>
    <row r="620" spans="5:24" s="38" customFormat="1" x14ac:dyDescent="0.35">
      <c r="E620" s="39"/>
      <c r="F620" s="39"/>
      <c r="G620" s="39"/>
      <c r="H620" s="40"/>
      <c r="J620" s="40"/>
      <c r="K620" s="40"/>
      <c r="L620" s="46"/>
      <c r="M620" s="46"/>
      <c r="T620" s="49"/>
      <c r="X620" s="47"/>
    </row>
    <row r="621" spans="5:24" s="38" customFormat="1" x14ac:dyDescent="0.35">
      <c r="E621" s="39"/>
      <c r="F621" s="39"/>
      <c r="G621" s="39"/>
      <c r="H621" s="40"/>
      <c r="T621" s="49"/>
      <c r="X621" s="47"/>
    </row>
    <row r="622" spans="5:24" s="38" customFormat="1" x14ac:dyDescent="0.35">
      <c r="E622" s="39"/>
      <c r="F622" s="39"/>
      <c r="G622" s="39"/>
      <c r="H622" s="40"/>
      <c r="T622" s="49"/>
      <c r="X622" s="47"/>
    </row>
    <row r="623" spans="5:24" s="38" customFormat="1" x14ac:dyDescent="0.35">
      <c r="E623" s="39"/>
      <c r="F623" s="39"/>
      <c r="G623" s="39"/>
      <c r="H623" s="40"/>
      <c r="T623" s="49"/>
      <c r="X623" s="47"/>
    </row>
    <row r="624" spans="5:24" s="38" customFormat="1" x14ac:dyDescent="0.35">
      <c r="E624" s="39"/>
      <c r="F624" s="39"/>
      <c r="G624" s="39"/>
      <c r="H624" s="40"/>
      <c r="T624" s="49"/>
      <c r="X624" s="47"/>
    </row>
    <row r="625" spans="5:24" s="38" customFormat="1" x14ac:dyDescent="0.35">
      <c r="E625" s="39"/>
      <c r="F625" s="39"/>
      <c r="G625" s="39"/>
      <c r="H625" s="40"/>
      <c r="T625" s="49"/>
      <c r="X625" s="47"/>
    </row>
    <row r="626" spans="5:24" s="38" customFormat="1" x14ac:dyDescent="0.35">
      <c r="E626" s="39"/>
      <c r="F626" s="39"/>
      <c r="G626" s="39"/>
      <c r="H626" s="40"/>
      <c r="T626" s="49"/>
      <c r="X626" s="47"/>
    </row>
    <row r="627" spans="5:24" s="38" customFormat="1" x14ac:dyDescent="0.35">
      <c r="E627" s="39"/>
      <c r="F627" s="39"/>
      <c r="G627" s="39"/>
      <c r="H627" s="40"/>
      <c r="T627" s="49"/>
      <c r="X627" s="47"/>
    </row>
    <row r="628" spans="5:24" s="38" customFormat="1" x14ac:dyDescent="0.35">
      <c r="E628" s="39"/>
      <c r="F628" s="39"/>
      <c r="G628" s="39"/>
      <c r="H628" s="40"/>
      <c r="T628" s="49"/>
      <c r="X628" s="47"/>
    </row>
    <row r="629" spans="5:24" s="38" customFormat="1" x14ac:dyDescent="0.35">
      <c r="E629" s="39"/>
      <c r="F629" s="39"/>
      <c r="G629" s="39"/>
      <c r="H629" s="40"/>
      <c r="T629" s="49"/>
      <c r="X629" s="47"/>
    </row>
    <row r="630" spans="5:24" s="38" customFormat="1" x14ac:dyDescent="0.35">
      <c r="E630" s="39"/>
      <c r="F630" s="39"/>
      <c r="G630" s="39"/>
      <c r="H630" s="40"/>
      <c r="T630" s="49"/>
      <c r="X630" s="47"/>
    </row>
    <row r="631" spans="5:24" s="38" customFormat="1" x14ac:dyDescent="0.35">
      <c r="E631" s="39"/>
      <c r="F631" s="39"/>
      <c r="G631" s="39"/>
      <c r="H631" s="40"/>
      <c r="T631" s="49"/>
      <c r="X631" s="47"/>
    </row>
    <row r="632" spans="5:24" s="38" customFormat="1" x14ac:dyDescent="0.35">
      <c r="E632" s="39"/>
      <c r="F632" s="39"/>
      <c r="G632" s="39"/>
      <c r="H632" s="40"/>
      <c r="T632" s="49"/>
      <c r="X632" s="47"/>
    </row>
    <row r="633" spans="5:24" s="38" customFormat="1" x14ac:dyDescent="0.35">
      <c r="E633" s="39"/>
      <c r="F633" s="39"/>
      <c r="G633" s="39"/>
      <c r="H633" s="40"/>
      <c r="T633" s="49"/>
      <c r="X633" s="47"/>
    </row>
    <row r="634" spans="5:24" s="38" customFormat="1" x14ac:dyDescent="0.35">
      <c r="E634" s="39"/>
      <c r="F634" s="39"/>
      <c r="G634" s="39"/>
      <c r="H634" s="40"/>
      <c r="T634" s="49"/>
      <c r="X634" s="47"/>
    </row>
    <row r="635" spans="5:24" s="38" customFormat="1" x14ac:dyDescent="0.35">
      <c r="E635" s="39"/>
      <c r="F635" s="39"/>
      <c r="G635" s="39"/>
      <c r="H635" s="40"/>
      <c r="T635" s="49"/>
      <c r="X635" s="47"/>
    </row>
    <row r="636" spans="5:24" s="38" customFormat="1" x14ac:dyDescent="0.35">
      <c r="E636" s="39"/>
      <c r="F636" s="39"/>
      <c r="G636" s="39"/>
      <c r="H636" s="40"/>
      <c r="T636" s="49"/>
      <c r="X636" s="47"/>
    </row>
    <row r="637" spans="5:24" s="38" customFormat="1" x14ac:dyDescent="0.35">
      <c r="E637" s="39"/>
      <c r="F637" s="39"/>
      <c r="G637" s="39"/>
      <c r="H637" s="40"/>
      <c r="T637" s="49"/>
      <c r="X637" s="47"/>
    </row>
    <row r="638" spans="5:24" s="38" customFormat="1" x14ac:dyDescent="0.35">
      <c r="E638" s="39"/>
      <c r="F638" s="39"/>
      <c r="G638" s="39"/>
      <c r="H638" s="40"/>
      <c r="T638" s="49"/>
      <c r="X638" s="47"/>
    </row>
    <row r="639" spans="5:24" s="38" customFormat="1" x14ac:dyDescent="0.35">
      <c r="E639" s="39"/>
      <c r="F639" s="39"/>
      <c r="G639" s="39"/>
      <c r="H639" s="40"/>
      <c r="T639" s="49"/>
      <c r="X639" s="47"/>
    </row>
    <row r="640" spans="5:24" s="38" customFormat="1" x14ac:dyDescent="0.35">
      <c r="E640" s="39"/>
      <c r="F640" s="39"/>
      <c r="G640" s="39"/>
      <c r="H640" s="40"/>
      <c r="T640" s="49"/>
      <c r="X640" s="47"/>
    </row>
    <row r="641" spans="5:24" s="38" customFormat="1" x14ac:dyDescent="0.35">
      <c r="E641" s="39"/>
      <c r="F641" s="39"/>
      <c r="G641" s="39"/>
      <c r="H641" s="40"/>
      <c r="J641" s="40"/>
      <c r="K641" s="40"/>
      <c r="L641" s="46"/>
      <c r="M641" s="46"/>
      <c r="T641" s="49"/>
      <c r="X641" s="47"/>
    </row>
    <row r="642" spans="5:24" s="38" customFormat="1" x14ac:dyDescent="0.35">
      <c r="E642" s="39"/>
      <c r="F642" s="39"/>
      <c r="G642" s="39"/>
      <c r="H642" s="40"/>
      <c r="T642" s="49"/>
      <c r="X642" s="47"/>
    </row>
    <row r="643" spans="5:24" s="38" customFormat="1" x14ac:dyDescent="0.35">
      <c r="E643" s="39"/>
      <c r="F643" s="39"/>
      <c r="G643" s="39"/>
      <c r="H643" s="40"/>
      <c r="T643" s="49"/>
      <c r="X643" s="47"/>
    </row>
    <row r="644" spans="5:24" s="38" customFormat="1" x14ac:dyDescent="0.35">
      <c r="E644" s="39"/>
      <c r="F644" s="39"/>
      <c r="G644" s="39"/>
      <c r="H644" s="40"/>
      <c r="T644" s="49"/>
      <c r="X644" s="47"/>
    </row>
    <row r="645" spans="5:24" s="38" customFormat="1" x14ac:dyDescent="0.35">
      <c r="E645" s="39"/>
      <c r="F645" s="39"/>
      <c r="G645" s="39"/>
      <c r="H645" s="40"/>
      <c r="T645" s="49"/>
      <c r="X645" s="47"/>
    </row>
    <row r="646" spans="5:24" s="38" customFormat="1" x14ac:dyDescent="0.35">
      <c r="E646" s="39"/>
      <c r="F646" s="39"/>
      <c r="G646" s="39"/>
      <c r="H646" s="40"/>
      <c r="T646" s="49"/>
      <c r="X646" s="47"/>
    </row>
    <row r="647" spans="5:24" s="38" customFormat="1" x14ac:dyDescent="0.35">
      <c r="E647" s="39"/>
      <c r="F647" s="39"/>
      <c r="G647" s="39"/>
      <c r="H647" s="40"/>
      <c r="T647" s="49"/>
      <c r="X647" s="47"/>
    </row>
    <row r="648" spans="5:24" s="38" customFormat="1" x14ac:dyDescent="0.35">
      <c r="E648" s="39"/>
      <c r="F648" s="39"/>
      <c r="G648" s="39"/>
      <c r="H648" s="40"/>
      <c r="T648" s="49"/>
      <c r="X648" s="47"/>
    </row>
    <row r="649" spans="5:24" s="38" customFormat="1" x14ac:dyDescent="0.35">
      <c r="E649" s="39"/>
      <c r="F649" s="39"/>
      <c r="G649" s="39"/>
      <c r="H649" s="40"/>
      <c r="T649" s="49"/>
      <c r="X649" s="47"/>
    </row>
    <row r="650" spans="5:24" s="38" customFormat="1" x14ac:dyDescent="0.35">
      <c r="E650" s="39"/>
      <c r="F650" s="39"/>
      <c r="G650" s="39"/>
      <c r="H650" s="40"/>
      <c r="J650" s="40"/>
      <c r="K650" s="40"/>
      <c r="L650" s="46"/>
      <c r="M650" s="46"/>
      <c r="T650" s="49"/>
      <c r="X650" s="47"/>
    </row>
    <row r="651" spans="5:24" s="38" customFormat="1" x14ac:dyDescent="0.35">
      <c r="E651" s="39"/>
      <c r="F651" s="39"/>
      <c r="G651" s="39"/>
      <c r="H651" s="40"/>
      <c r="T651" s="49"/>
      <c r="X651" s="47"/>
    </row>
    <row r="652" spans="5:24" s="38" customFormat="1" x14ac:dyDescent="0.35">
      <c r="E652" s="39"/>
      <c r="F652" s="39"/>
      <c r="G652" s="39"/>
      <c r="H652" s="40"/>
      <c r="T652" s="49"/>
      <c r="X652" s="47"/>
    </row>
    <row r="653" spans="5:24" s="38" customFormat="1" x14ac:dyDescent="0.35">
      <c r="E653" s="39"/>
      <c r="F653" s="39"/>
      <c r="G653" s="39"/>
      <c r="H653" s="40"/>
      <c r="T653" s="49"/>
      <c r="X653" s="47"/>
    </row>
    <row r="654" spans="5:24" s="38" customFormat="1" x14ac:dyDescent="0.35">
      <c r="E654" s="39"/>
      <c r="F654" s="39"/>
      <c r="G654" s="39"/>
      <c r="H654" s="40"/>
      <c r="T654" s="49"/>
      <c r="X654" s="47"/>
    </row>
    <row r="655" spans="5:24" s="38" customFormat="1" x14ac:dyDescent="0.35">
      <c r="E655" s="39"/>
      <c r="F655" s="39"/>
      <c r="G655" s="39"/>
      <c r="H655" s="40"/>
      <c r="T655" s="49"/>
      <c r="X655" s="47"/>
    </row>
    <row r="656" spans="5:24" s="38" customFormat="1" x14ac:dyDescent="0.35">
      <c r="E656" s="39"/>
      <c r="F656" s="39"/>
      <c r="G656" s="39"/>
      <c r="H656" s="40"/>
      <c r="J656" s="40"/>
      <c r="K656" s="40"/>
      <c r="L656" s="46"/>
      <c r="M656" s="46"/>
      <c r="T656" s="49"/>
      <c r="X656" s="47"/>
    </row>
    <row r="657" spans="5:24" s="38" customFormat="1" x14ac:dyDescent="0.35">
      <c r="E657" s="39"/>
      <c r="F657" s="39"/>
      <c r="G657" s="39"/>
      <c r="H657" s="40"/>
      <c r="T657" s="49"/>
      <c r="X657" s="47"/>
    </row>
    <row r="658" spans="5:24" s="38" customFormat="1" x14ac:dyDescent="0.35">
      <c r="E658" s="39"/>
      <c r="F658" s="39"/>
      <c r="G658" s="39"/>
      <c r="H658" s="40"/>
      <c r="T658" s="49"/>
      <c r="X658" s="47"/>
    </row>
    <row r="659" spans="5:24" s="38" customFormat="1" x14ac:dyDescent="0.35">
      <c r="E659" s="39"/>
      <c r="F659" s="39"/>
      <c r="G659" s="39"/>
      <c r="H659" s="40"/>
      <c r="T659" s="49"/>
      <c r="X659" s="47"/>
    </row>
    <row r="660" spans="5:24" s="38" customFormat="1" x14ac:dyDescent="0.35">
      <c r="E660" s="39"/>
      <c r="F660" s="39"/>
      <c r="G660" s="39"/>
      <c r="H660" s="40"/>
      <c r="T660" s="49"/>
      <c r="X660" s="47"/>
    </row>
    <row r="661" spans="5:24" s="38" customFormat="1" x14ac:dyDescent="0.35">
      <c r="E661" s="39"/>
      <c r="F661" s="39"/>
      <c r="G661" s="39"/>
      <c r="H661" s="40"/>
      <c r="T661" s="49"/>
      <c r="X661" s="47"/>
    </row>
    <row r="662" spans="5:24" s="38" customFormat="1" x14ac:dyDescent="0.35">
      <c r="E662" s="39"/>
      <c r="F662" s="39"/>
      <c r="G662" s="39"/>
      <c r="H662" s="40"/>
      <c r="T662" s="49"/>
      <c r="X662" s="47"/>
    </row>
    <row r="663" spans="5:24" s="38" customFormat="1" x14ac:dyDescent="0.35">
      <c r="E663" s="39"/>
      <c r="F663" s="39"/>
      <c r="G663" s="39"/>
      <c r="H663" s="40"/>
      <c r="T663" s="49"/>
      <c r="X663" s="47"/>
    </row>
    <row r="664" spans="5:24" s="38" customFormat="1" x14ac:dyDescent="0.35">
      <c r="E664" s="39"/>
      <c r="F664" s="39"/>
      <c r="G664" s="39"/>
      <c r="H664" s="40"/>
      <c r="T664" s="49"/>
      <c r="X664" s="47"/>
    </row>
    <row r="665" spans="5:24" s="38" customFormat="1" x14ac:dyDescent="0.35">
      <c r="E665" s="39"/>
      <c r="F665" s="39"/>
      <c r="G665" s="39"/>
      <c r="H665" s="40"/>
      <c r="T665" s="49"/>
      <c r="X665" s="47"/>
    </row>
    <row r="666" spans="5:24" s="38" customFormat="1" x14ac:dyDescent="0.35">
      <c r="E666" s="39"/>
      <c r="F666" s="39"/>
      <c r="G666" s="39"/>
      <c r="H666" s="40"/>
      <c r="J666" s="40"/>
      <c r="K666" s="40"/>
      <c r="L666" s="46"/>
      <c r="M666" s="46"/>
      <c r="T666" s="49"/>
      <c r="X666" s="47"/>
    </row>
    <row r="667" spans="5:24" s="38" customFormat="1" x14ac:dyDescent="0.35">
      <c r="E667" s="39"/>
      <c r="F667" s="39"/>
      <c r="G667" s="39"/>
      <c r="H667" s="40"/>
      <c r="T667" s="49"/>
      <c r="X667" s="47"/>
    </row>
    <row r="668" spans="5:24" s="38" customFormat="1" x14ac:dyDescent="0.35">
      <c r="E668" s="39"/>
      <c r="F668" s="39"/>
      <c r="G668" s="39"/>
      <c r="H668" s="40"/>
      <c r="T668" s="49"/>
      <c r="X668" s="47"/>
    </row>
    <row r="669" spans="5:24" s="38" customFormat="1" x14ac:dyDescent="0.35">
      <c r="E669" s="39"/>
      <c r="F669" s="39"/>
      <c r="G669" s="39"/>
      <c r="H669" s="40"/>
      <c r="T669" s="49"/>
      <c r="X669" s="47"/>
    </row>
    <row r="670" spans="5:24" s="38" customFormat="1" x14ac:dyDescent="0.35">
      <c r="E670" s="39"/>
      <c r="F670" s="39"/>
      <c r="G670" s="39"/>
      <c r="H670" s="40"/>
      <c r="J670" s="40"/>
      <c r="K670" s="40"/>
      <c r="L670" s="46"/>
      <c r="M670" s="46"/>
      <c r="T670" s="49"/>
      <c r="X670" s="47"/>
    </row>
    <row r="671" spans="5:24" s="38" customFormat="1" x14ac:dyDescent="0.35">
      <c r="E671" s="39"/>
      <c r="F671" s="39"/>
      <c r="G671" s="39"/>
      <c r="H671" s="40"/>
      <c r="J671" s="40"/>
      <c r="K671" s="40"/>
      <c r="L671" s="46"/>
      <c r="M671" s="46"/>
      <c r="T671" s="49"/>
      <c r="X671" s="47"/>
    </row>
    <row r="672" spans="5:24" s="38" customFormat="1" x14ac:dyDescent="0.35">
      <c r="E672" s="39"/>
      <c r="F672" s="39"/>
      <c r="G672" s="39"/>
      <c r="H672" s="40"/>
      <c r="T672" s="49"/>
      <c r="X672" s="47"/>
    </row>
    <row r="673" spans="5:24" s="38" customFormat="1" x14ac:dyDescent="0.35">
      <c r="E673" s="39"/>
      <c r="F673" s="39"/>
      <c r="G673" s="39"/>
      <c r="H673" s="40"/>
      <c r="T673" s="49"/>
      <c r="X673" s="47"/>
    </row>
    <row r="674" spans="5:24" s="38" customFormat="1" x14ac:dyDescent="0.35">
      <c r="E674" s="39"/>
      <c r="F674" s="39"/>
      <c r="G674" s="39"/>
      <c r="H674" s="40"/>
      <c r="T674" s="49"/>
      <c r="X674" s="47"/>
    </row>
    <row r="675" spans="5:24" s="38" customFormat="1" x14ac:dyDescent="0.35">
      <c r="E675" s="39"/>
      <c r="F675" s="39"/>
      <c r="G675" s="39"/>
      <c r="H675" s="40"/>
      <c r="T675" s="49"/>
      <c r="X675" s="47"/>
    </row>
    <row r="676" spans="5:24" s="38" customFormat="1" x14ac:dyDescent="0.35">
      <c r="E676" s="39"/>
      <c r="F676" s="39"/>
      <c r="G676" s="39"/>
      <c r="H676" s="40"/>
      <c r="T676" s="49"/>
      <c r="X676" s="47"/>
    </row>
    <row r="677" spans="5:24" s="38" customFormat="1" x14ac:dyDescent="0.35">
      <c r="E677" s="39"/>
      <c r="F677" s="39"/>
      <c r="G677" s="39"/>
      <c r="H677" s="40"/>
      <c r="T677" s="49"/>
      <c r="X677" s="47"/>
    </row>
    <row r="678" spans="5:24" s="38" customFormat="1" x14ac:dyDescent="0.35">
      <c r="E678" s="39"/>
      <c r="F678" s="39"/>
      <c r="G678" s="39"/>
      <c r="H678" s="40"/>
      <c r="T678" s="49"/>
      <c r="X678" s="47"/>
    </row>
    <row r="679" spans="5:24" s="38" customFormat="1" x14ac:dyDescent="0.35">
      <c r="E679" s="39"/>
      <c r="F679" s="39"/>
      <c r="G679" s="39"/>
      <c r="H679" s="40"/>
      <c r="T679" s="49"/>
      <c r="X679" s="47"/>
    </row>
    <row r="680" spans="5:24" s="38" customFormat="1" x14ac:dyDescent="0.35">
      <c r="E680" s="39"/>
      <c r="F680" s="39"/>
      <c r="G680" s="39"/>
      <c r="H680" s="40"/>
      <c r="T680" s="49"/>
      <c r="X680" s="47"/>
    </row>
    <row r="681" spans="5:24" s="38" customFormat="1" x14ac:dyDescent="0.35">
      <c r="E681" s="39"/>
      <c r="F681" s="39"/>
      <c r="G681" s="39"/>
      <c r="H681" s="40"/>
      <c r="J681" s="40"/>
      <c r="K681" s="40"/>
      <c r="L681" s="46"/>
      <c r="M681" s="46"/>
      <c r="T681" s="49"/>
      <c r="X681" s="47"/>
    </row>
    <row r="682" spans="5:24" s="38" customFormat="1" x14ac:dyDescent="0.35">
      <c r="E682" s="39"/>
      <c r="F682" s="39"/>
      <c r="G682" s="39"/>
      <c r="H682" s="40"/>
      <c r="T682" s="49"/>
      <c r="X682" s="47"/>
    </row>
    <row r="683" spans="5:24" s="38" customFormat="1" x14ac:dyDescent="0.35">
      <c r="E683" s="39"/>
      <c r="F683" s="39"/>
      <c r="G683" s="39"/>
      <c r="H683" s="40"/>
      <c r="T683" s="49"/>
      <c r="X683" s="47"/>
    </row>
    <row r="684" spans="5:24" s="38" customFormat="1" x14ac:dyDescent="0.35">
      <c r="E684" s="39"/>
      <c r="F684" s="39"/>
      <c r="G684" s="39"/>
      <c r="H684" s="40"/>
      <c r="T684" s="49"/>
      <c r="X684" s="47"/>
    </row>
    <row r="685" spans="5:24" s="38" customFormat="1" x14ac:dyDescent="0.35">
      <c r="E685" s="39"/>
      <c r="F685" s="39"/>
      <c r="G685" s="39"/>
      <c r="H685" s="40"/>
      <c r="T685" s="49"/>
      <c r="X685" s="47"/>
    </row>
    <row r="686" spans="5:24" s="38" customFormat="1" x14ac:dyDescent="0.35">
      <c r="E686" s="39"/>
      <c r="F686" s="39"/>
      <c r="G686" s="39"/>
      <c r="H686" s="40"/>
      <c r="T686" s="49"/>
      <c r="X686" s="47"/>
    </row>
    <row r="687" spans="5:24" s="38" customFormat="1" x14ac:dyDescent="0.35">
      <c r="E687" s="39"/>
      <c r="F687" s="39"/>
      <c r="G687" s="39"/>
      <c r="H687" s="40"/>
      <c r="T687" s="49"/>
      <c r="X687" s="47"/>
    </row>
    <row r="688" spans="5:24" s="38" customFormat="1" x14ac:dyDescent="0.35">
      <c r="E688" s="39"/>
      <c r="F688" s="39"/>
      <c r="G688" s="39"/>
      <c r="H688" s="40"/>
      <c r="T688" s="49"/>
      <c r="X688" s="47"/>
    </row>
    <row r="689" spans="5:24" s="38" customFormat="1" x14ac:dyDescent="0.35">
      <c r="E689" s="39"/>
      <c r="F689" s="39"/>
      <c r="G689" s="39"/>
      <c r="H689" s="40"/>
      <c r="T689" s="49"/>
      <c r="X689" s="47"/>
    </row>
    <row r="690" spans="5:24" s="38" customFormat="1" x14ac:dyDescent="0.35">
      <c r="E690" s="39"/>
      <c r="F690" s="39"/>
      <c r="G690" s="39"/>
      <c r="H690" s="40"/>
      <c r="T690" s="49"/>
      <c r="X690" s="47"/>
    </row>
    <row r="691" spans="5:24" s="38" customFormat="1" x14ac:dyDescent="0.35">
      <c r="E691" s="39"/>
      <c r="F691" s="39"/>
      <c r="G691" s="39"/>
      <c r="H691" s="40"/>
      <c r="T691" s="49"/>
      <c r="X691" s="47"/>
    </row>
    <row r="692" spans="5:24" s="38" customFormat="1" x14ac:dyDescent="0.35">
      <c r="E692" s="39"/>
      <c r="F692" s="39"/>
      <c r="G692" s="39"/>
      <c r="H692" s="40"/>
      <c r="T692" s="49"/>
      <c r="X692" s="47"/>
    </row>
    <row r="693" spans="5:24" s="38" customFormat="1" x14ac:dyDescent="0.35">
      <c r="E693" s="39"/>
      <c r="F693" s="39"/>
      <c r="G693" s="39"/>
      <c r="H693" s="40"/>
      <c r="T693" s="49"/>
      <c r="X693" s="47"/>
    </row>
    <row r="694" spans="5:24" s="38" customFormat="1" x14ac:dyDescent="0.35">
      <c r="E694" s="39"/>
      <c r="F694" s="39"/>
      <c r="G694" s="39"/>
      <c r="H694" s="40"/>
      <c r="T694" s="49"/>
      <c r="X694" s="47"/>
    </row>
    <row r="695" spans="5:24" s="38" customFormat="1" x14ac:dyDescent="0.35">
      <c r="E695" s="39"/>
      <c r="F695" s="39"/>
      <c r="G695" s="39"/>
      <c r="H695" s="40"/>
      <c r="T695" s="49"/>
      <c r="X695" s="47"/>
    </row>
    <row r="696" spans="5:24" s="38" customFormat="1" x14ac:dyDescent="0.35">
      <c r="E696" s="39"/>
      <c r="F696" s="39"/>
      <c r="G696" s="39"/>
      <c r="H696" s="40"/>
      <c r="T696" s="49"/>
      <c r="X696" s="47"/>
    </row>
    <row r="697" spans="5:24" s="38" customFormat="1" x14ac:dyDescent="0.35">
      <c r="E697" s="39"/>
      <c r="F697" s="39"/>
      <c r="G697" s="39"/>
      <c r="H697" s="40"/>
      <c r="J697" s="40"/>
      <c r="K697" s="40"/>
      <c r="L697" s="46"/>
      <c r="M697" s="46"/>
      <c r="T697" s="49"/>
      <c r="X697" s="47"/>
    </row>
    <row r="698" spans="5:24" s="38" customFormat="1" x14ac:dyDescent="0.35">
      <c r="E698" s="39"/>
      <c r="F698" s="39"/>
      <c r="G698" s="39"/>
      <c r="H698" s="40"/>
      <c r="T698" s="49"/>
      <c r="X698" s="47"/>
    </row>
    <row r="699" spans="5:24" s="38" customFormat="1" x14ac:dyDescent="0.35">
      <c r="E699" s="39"/>
      <c r="F699" s="39"/>
      <c r="G699" s="39"/>
      <c r="H699" s="40"/>
      <c r="T699" s="49"/>
      <c r="X699" s="47"/>
    </row>
    <row r="700" spans="5:24" s="38" customFormat="1" x14ac:dyDescent="0.35">
      <c r="E700" s="39"/>
      <c r="F700" s="39"/>
      <c r="G700" s="39"/>
      <c r="H700" s="40"/>
      <c r="T700" s="49"/>
      <c r="X700" s="47"/>
    </row>
    <row r="701" spans="5:24" s="38" customFormat="1" x14ac:dyDescent="0.35">
      <c r="E701" s="39"/>
      <c r="F701" s="39"/>
      <c r="G701" s="39"/>
      <c r="H701" s="40"/>
      <c r="T701" s="49"/>
      <c r="X701" s="47"/>
    </row>
    <row r="702" spans="5:24" s="38" customFormat="1" x14ac:dyDescent="0.35">
      <c r="E702" s="39"/>
      <c r="F702" s="39"/>
      <c r="G702" s="39"/>
      <c r="H702" s="40"/>
      <c r="T702" s="49"/>
      <c r="X702" s="47"/>
    </row>
    <row r="703" spans="5:24" s="38" customFormat="1" x14ac:dyDescent="0.35">
      <c r="E703" s="39"/>
      <c r="F703" s="39"/>
      <c r="G703" s="39"/>
      <c r="H703" s="40"/>
      <c r="J703" s="40"/>
      <c r="K703" s="40"/>
      <c r="L703" s="46"/>
      <c r="M703" s="46"/>
      <c r="T703" s="49"/>
      <c r="X703" s="47"/>
    </row>
    <row r="704" spans="5:24" s="38" customFormat="1" x14ac:dyDescent="0.35">
      <c r="E704" s="39"/>
      <c r="F704" s="39"/>
      <c r="G704" s="39"/>
      <c r="H704" s="40"/>
      <c r="T704" s="49"/>
      <c r="X704" s="47"/>
    </row>
    <row r="705" spans="5:24" s="38" customFormat="1" x14ac:dyDescent="0.35">
      <c r="E705" s="39"/>
      <c r="F705" s="39"/>
      <c r="G705" s="39"/>
      <c r="H705" s="40"/>
      <c r="T705" s="49"/>
      <c r="X705" s="47"/>
    </row>
    <row r="706" spans="5:24" s="38" customFormat="1" x14ac:dyDescent="0.35">
      <c r="E706" s="39"/>
      <c r="F706" s="39"/>
      <c r="G706" s="39"/>
      <c r="H706" s="40"/>
      <c r="T706" s="49"/>
      <c r="X706" s="47"/>
    </row>
    <row r="707" spans="5:24" s="38" customFormat="1" x14ac:dyDescent="0.35">
      <c r="E707" s="39"/>
      <c r="F707" s="39"/>
      <c r="G707" s="39"/>
      <c r="H707" s="40"/>
      <c r="T707" s="49"/>
      <c r="X707" s="47"/>
    </row>
    <row r="708" spans="5:24" s="38" customFormat="1" x14ac:dyDescent="0.35">
      <c r="E708" s="39"/>
      <c r="F708" s="39"/>
      <c r="G708" s="39"/>
      <c r="H708" s="40"/>
      <c r="T708" s="49"/>
      <c r="X708" s="47"/>
    </row>
    <row r="709" spans="5:24" s="38" customFormat="1" x14ac:dyDescent="0.35">
      <c r="E709" s="39"/>
      <c r="F709" s="39"/>
      <c r="G709" s="39"/>
      <c r="H709" s="40"/>
      <c r="T709" s="49"/>
      <c r="X709" s="47"/>
    </row>
    <row r="710" spans="5:24" s="38" customFormat="1" x14ac:dyDescent="0.35">
      <c r="E710" s="39"/>
      <c r="F710" s="39"/>
      <c r="G710" s="39"/>
      <c r="H710" s="40"/>
      <c r="T710" s="49"/>
      <c r="X710" s="47"/>
    </row>
    <row r="711" spans="5:24" s="38" customFormat="1" x14ac:dyDescent="0.35">
      <c r="E711" s="39"/>
      <c r="F711" s="39"/>
      <c r="G711" s="39"/>
      <c r="H711" s="40"/>
      <c r="T711" s="49"/>
      <c r="X711" s="47"/>
    </row>
    <row r="712" spans="5:24" s="38" customFormat="1" x14ac:dyDescent="0.35">
      <c r="E712" s="39"/>
      <c r="F712" s="39"/>
      <c r="G712" s="39"/>
      <c r="H712" s="40"/>
      <c r="T712" s="49"/>
      <c r="X712" s="47"/>
    </row>
    <row r="713" spans="5:24" s="38" customFormat="1" x14ac:dyDescent="0.35">
      <c r="E713" s="39"/>
      <c r="F713" s="39"/>
      <c r="G713" s="39"/>
      <c r="H713" s="40"/>
      <c r="T713" s="49"/>
      <c r="X713" s="47"/>
    </row>
    <row r="714" spans="5:24" s="38" customFormat="1" x14ac:dyDescent="0.35">
      <c r="E714" s="39"/>
      <c r="F714" s="39"/>
      <c r="G714" s="39"/>
      <c r="H714" s="40"/>
      <c r="T714" s="49"/>
      <c r="X714" s="47"/>
    </row>
    <row r="715" spans="5:24" s="38" customFormat="1" x14ac:dyDescent="0.35">
      <c r="E715" s="39"/>
      <c r="F715" s="39"/>
      <c r="G715" s="39"/>
      <c r="H715" s="40"/>
      <c r="T715" s="49"/>
      <c r="X715" s="47"/>
    </row>
    <row r="716" spans="5:24" s="38" customFormat="1" x14ac:dyDescent="0.35">
      <c r="E716" s="39"/>
      <c r="F716" s="39"/>
      <c r="G716" s="39"/>
      <c r="H716" s="40"/>
      <c r="T716" s="49"/>
      <c r="X716" s="47"/>
    </row>
    <row r="717" spans="5:24" s="38" customFormat="1" x14ac:dyDescent="0.35">
      <c r="E717" s="39"/>
      <c r="F717" s="39"/>
      <c r="G717" s="39"/>
      <c r="H717" s="40"/>
      <c r="T717" s="49"/>
      <c r="X717" s="47"/>
    </row>
    <row r="718" spans="5:24" s="38" customFormat="1" x14ac:dyDescent="0.35">
      <c r="E718" s="39"/>
      <c r="F718" s="39"/>
      <c r="G718" s="39"/>
      <c r="H718" s="40"/>
      <c r="T718" s="49"/>
      <c r="X718" s="47"/>
    </row>
    <row r="719" spans="5:24" s="38" customFormat="1" x14ac:dyDescent="0.35">
      <c r="E719" s="39"/>
      <c r="F719" s="39"/>
      <c r="G719" s="39"/>
      <c r="H719" s="40"/>
      <c r="T719" s="49"/>
      <c r="X719" s="47"/>
    </row>
    <row r="720" spans="5:24" s="38" customFormat="1" x14ac:dyDescent="0.35">
      <c r="E720" s="39"/>
      <c r="F720" s="39"/>
      <c r="G720" s="39"/>
      <c r="H720" s="40"/>
      <c r="T720" s="49"/>
      <c r="X720" s="47"/>
    </row>
    <row r="721" spans="5:24" s="38" customFormat="1" x14ac:dyDescent="0.35">
      <c r="E721" s="39"/>
      <c r="F721" s="39"/>
      <c r="G721" s="39"/>
      <c r="H721" s="40"/>
      <c r="T721" s="49"/>
      <c r="X721" s="47"/>
    </row>
    <row r="722" spans="5:24" s="38" customFormat="1" x14ac:dyDescent="0.35">
      <c r="E722" s="39"/>
      <c r="F722" s="39"/>
      <c r="G722" s="39"/>
      <c r="H722" s="40"/>
      <c r="T722" s="49"/>
      <c r="X722" s="47"/>
    </row>
    <row r="723" spans="5:24" s="38" customFormat="1" x14ac:dyDescent="0.35">
      <c r="E723" s="39"/>
      <c r="F723" s="39"/>
      <c r="G723" s="39"/>
      <c r="H723" s="40"/>
      <c r="T723" s="49"/>
      <c r="X723" s="47"/>
    </row>
    <row r="724" spans="5:24" s="38" customFormat="1" x14ac:dyDescent="0.35">
      <c r="E724" s="39"/>
      <c r="F724" s="39"/>
      <c r="G724" s="39"/>
      <c r="H724" s="40"/>
      <c r="T724" s="49"/>
      <c r="X724" s="47"/>
    </row>
    <row r="725" spans="5:24" s="38" customFormat="1" x14ac:dyDescent="0.35">
      <c r="E725" s="39"/>
      <c r="F725" s="39"/>
      <c r="G725" s="39"/>
      <c r="H725" s="40"/>
      <c r="T725" s="49"/>
      <c r="X725" s="47"/>
    </row>
    <row r="726" spans="5:24" s="38" customFormat="1" x14ac:dyDescent="0.35">
      <c r="E726" s="39"/>
      <c r="F726" s="39"/>
      <c r="G726" s="39"/>
      <c r="H726" s="40"/>
      <c r="T726" s="49"/>
      <c r="X726" s="47"/>
    </row>
    <row r="727" spans="5:24" s="38" customFormat="1" x14ac:dyDescent="0.35">
      <c r="E727" s="39"/>
      <c r="F727" s="39"/>
      <c r="G727" s="39"/>
      <c r="H727" s="40"/>
      <c r="T727" s="49"/>
      <c r="X727" s="47"/>
    </row>
    <row r="728" spans="5:24" s="38" customFormat="1" x14ac:dyDescent="0.35">
      <c r="E728" s="39"/>
      <c r="F728" s="39"/>
      <c r="G728" s="39"/>
      <c r="H728" s="40"/>
      <c r="T728" s="49"/>
      <c r="X728" s="47"/>
    </row>
    <row r="729" spans="5:24" s="38" customFormat="1" x14ac:dyDescent="0.35">
      <c r="E729" s="39"/>
      <c r="F729" s="39"/>
      <c r="G729" s="39"/>
      <c r="H729" s="40"/>
      <c r="T729" s="49"/>
      <c r="X729" s="47"/>
    </row>
    <row r="730" spans="5:24" s="38" customFormat="1" x14ac:dyDescent="0.35">
      <c r="E730" s="39"/>
      <c r="F730" s="39"/>
      <c r="G730" s="39"/>
      <c r="H730" s="40"/>
      <c r="T730" s="49"/>
      <c r="X730" s="47"/>
    </row>
    <row r="731" spans="5:24" s="38" customFormat="1" x14ac:dyDescent="0.35">
      <c r="E731" s="39"/>
      <c r="F731" s="39"/>
      <c r="G731" s="39"/>
      <c r="H731" s="40"/>
      <c r="T731" s="49"/>
      <c r="X731" s="47"/>
    </row>
    <row r="732" spans="5:24" s="38" customFormat="1" x14ac:dyDescent="0.35">
      <c r="E732" s="39"/>
      <c r="F732" s="39"/>
      <c r="G732" s="39"/>
      <c r="H732" s="40"/>
      <c r="T732" s="49"/>
      <c r="X732" s="47"/>
    </row>
    <row r="733" spans="5:24" s="38" customFormat="1" x14ac:dyDescent="0.35">
      <c r="E733" s="39"/>
      <c r="F733" s="39"/>
      <c r="G733" s="39"/>
      <c r="H733" s="40"/>
      <c r="T733" s="49"/>
      <c r="X733" s="47"/>
    </row>
    <row r="734" spans="5:24" s="38" customFormat="1" x14ac:dyDescent="0.35">
      <c r="E734" s="39"/>
      <c r="F734" s="39"/>
      <c r="G734" s="39"/>
      <c r="H734" s="40"/>
      <c r="T734" s="49"/>
      <c r="X734" s="47"/>
    </row>
    <row r="735" spans="5:24" s="38" customFormat="1" x14ac:dyDescent="0.35">
      <c r="E735" s="39"/>
      <c r="F735" s="39"/>
      <c r="G735" s="39"/>
      <c r="H735" s="40"/>
      <c r="T735" s="49"/>
      <c r="X735" s="47"/>
    </row>
    <row r="736" spans="5:24" s="38" customFormat="1" x14ac:dyDescent="0.35">
      <c r="E736" s="39"/>
      <c r="F736" s="39"/>
      <c r="G736" s="39"/>
      <c r="H736" s="40"/>
      <c r="T736" s="49"/>
      <c r="X736" s="47"/>
    </row>
    <row r="737" spans="5:24" s="38" customFormat="1" x14ac:dyDescent="0.35">
      <c r="E737" s="39"/>
      <c r="F737" s="39"/>
      <c r="G737" s="39"/>
      <c r="H737" s="40"/>
      <c r="T737" s="49"/>
      <c r="X737" s="47"/>
    </row>
    <row r="738" spans="5:24" s="38" customFormat="1" x14ac:dyDescent="0.35">
      <c r="E738" s="39"/>
      <c r="F738" s="39"/>
      <c r="G738" s="39"/>
      <c r="H738" s="40"/>
      <c r="T738" s="49"/>
      <c r="X738" s="47"/>
    </row>
    <row r="739" spans="5:24" s="38" customFormat="1" x14ac:dyDescent="0.35">
      <c r="E739" s="39"/>
      <c r="F739" s="39"/>
      <c r="G739" s="39"/>
      <c r="H739" s="40"/>
      <c r="T739" s="49"/>
      <c r="X739" s="47"/>
    </row>
    <row r="740" spans="5:24" s="38" customFormat="1" x14ac:dyDescent="0.35">
      <c r="E740" s="39"/>
      <c r="F740" s="39"/>
      <c r="G740" s="39"/>
      <c r="H740" s="40"/>
      <c r="T740" s="49"/>
      <c r="X740" s="47"/>
    </row>
    <row r="741" spans="5:24" s="38" customFormat="1" x14ac:dyDescent="0.35">
      <c r="E741" s="39"/>
      <c r="F741" s="39"/>
      <c r="G741" s="39"/>
      <c r="H741" s="40"/>
      <c r="T741" s="49"/>
      <c r="X741" s="47"/>
    </row>
    <row r="742" spans="5:24" s="38" customFormat="1" x14ac:dyDescent="0.35">
      <c r="E742" s="39"/>
      <c r="F742" s="39"/>
      <c r="G742" s="39"/>
      <c r="H742" s="40"/>
      <c r="T742" s="49"/>
      <c r="X742" s="47"/>
    </row>
    <row r="743" spans="5:24" s="38" customFormat="1" x14ac:dyDescent="0.35">
      <c r="E743" s="39"/>
      <c r="F743" s="39"/>
      <c r="G743" s="39"/>
      <c r="H743" s="40"/>
      <c r="T743" s="49"/>
      <c r="X743" s="47"/>
    </row>
    <row r="744" spans="5:24" s="38" customFormat="1" x14ac:dyDescent="0.35">
      <c r="E744" s="39"/>
      <c r="F744" s="39"/>
      <c r="G744" s="39"/>
      <c r="H744" s="40"/>
      <c r="T744" s="49"/>
      <c r="X744" s="47"/>
    </row>
    <row r="745" spans="5:24" s="38" customFormat="1" x14ac:dyDescent="0.35">
      <c r="E745" s="39"/>
      <c r="F745" s="39"/>
      <c r="G745" s="39"/>
      <c r="H745" s="40"/>
      <c r="T745" s="49"/>
      <c r="X745" s="47"/>
    </row>
    <row r="746" spans="5:24" s="38" customFormat="1" x14ac:dyDescent="0.35">
      <c r="E746" s="39"/>
      <c r="F746" s="39"/>
      <c r="G746" s="39"/>
      <c r="H746" s="40"/>
      <c r="T746" s="49"/>
      <c r="X746" s="47"/>
    </row>
    <row r="747" spans="5:24" s="38" customFormat="1" x14ac:dyDescent="0.35">
      <c r="E747" s="39"/>
      <c r="F747" s="39"/>
      <c r="G747" s="39"/>
      <c r="H747" s="40"/>
      <c r="T747" s="49"/>
      <c r="X747" s="47"/>
    </row>
    <row r="748" spans="5:24" s="38" customFormat="1" x14ac:dyDescent="0.35">
      <c r="E748" s="39"/>
      <c r="F748" s="39"/>
      <c r="G748" s="39"/>
      <c r="H748" s="40"/>
      <c r="T748" s="49"/>
      <c r="X748" s="47"/>
    </row>
    <row r="749" spans="5:24" s="38" customFormat="1" x14ac:dyDescent="0.35">
      <c r="E749" s="39"/>
      <c r="F749" s="39"/>
      <c r="G749" s="39"/>
      <c r="H749" s="40"/>
      <c r="T749" s="49"/>
      <c r="X749" s="47"/>
    </row>
    <row r="750" spans="5:24" s="38" customFormat="1" x14ac:dyDescent="0.35">
      <c r="E750" s="39"/>
      <c r="F750" s="39"/>
      <c r="G750" s="39"/>
      <c r="H750" s="40"/>
      <c r="T750" s="49"/>
      <c r="X750" s="47"/>
    </row>
    <row r="751" spans="5:24" s="38" customFormat="1" x14ac:dyDescent="0.35">
      <c r="E751" s="39"/>
      <c r="F751" s="39"/>
      <c r="G751" s="39"/>
      <c r="H751" s="40"/>
      <c r="T751" s="49"/>
      <c r="X751" s="47"/>
    </row>
    <row r="752" spans="5:24" s="38" customFormat="1" x14ac:dyDescent="0.35">
      <c r="E752" s="39"/>
      <c r="F752" s="39"/>
      <c r="G752" s="39"/>
      <c r="H752" s="40"/>
      <c r="T752" s="49"/>
      <c r="X752" s="47"/>
    </row>
    <row r="753" spans="5:24" s="38" customFormat="1" x14ac:dyDescent="0.35">
      <c r="E753" s="39"/>
      <c r="F753" s="39"/>
      <c r="G753" s="39"/>
      <c r="H753" s="40"/>
      <c r="T753" s="49"/>
      <c r="X753" s="47"/>
    </row>
    <row r="754" spans="5:24" s="38" customFormat="1" x14ac:dyDescent="0.35">
      <c r="E754" s="39"/>
      <c r="F754" s="39"/>
      <c r="G754" s="39"/>
      <c r="H754" s="40"/>
      <c r="T754" s="49"/>
      <c r="X754" s="47"/>
    </row>
    <row r="755" spans="5:24" s="38" customFormat="1" x14ac:dyDescent="0.35">
      <c r="E755" s="39"/>
      <c r="F755" s="39"/>
      <c r="G755" s="39"/>
      <c r="H755" s="40"/>
      <c r="T755" s="49"/>
      <c r="X755" s="47"/>
    </row>
    <row r="756" spans="5:24" s="38" customFormat="1" x14ac:dyDescent="0.35">
      <c r="E756" s="39"/>
      <c r="F756" s="39"/>
      <c r="G756" s="39"/>
      <c r="H756" s="40"/>
      <c r="T756" s="49"/>
      <c r="X756" s="47"/>
    </row>
    <row r="757" spans="5:24" s="38" customFormat="1" x14ac:dyDescent="0.35">
      <c r="E757" s="39"/>
      <c r="F757" s="39"/>
      <c r="G757" s="39"/>
      <c r="H757" s="40"/>
      <c r="T757" s="49"/>
      <c r="X757" s="47"/>
    </row>
    <row r="758" spans="5:24" s="38" customFormat="1" x14ac:dyDescent="0.35">
      <c r="E758" s="39"/>
      <c r="F758" s="39"/>
      <c r="G758" s="39"/>
      <c r="H758" s="40"/>
      <c r="T758" s="49"/>
      <c r="X758" s="47"/>
    </row>
    <row r="759" spans="5:24" s="38" customFormat="1" x14ac:dyDescent="0.35">
      <c r="E759" s="39"/>
      <c r="F759" s="39"/>
      <c r="G759" s="39"/>
      <c r="H759" s="40"/>
      <c r="T759" s="49"/>
      <c r="X759" s="47"/>
    </row>
    <row r="760" spans="5:24" s="38" customFormat="1" x14ac:dyDescent="0.35">
      <c r="E760" s="39"/>
      <c r="F760" s="39"/>
      <c r="G760" s="39"/>
      <c r="H760" s="40"/>
      <c r="T760" s="49"/>
      <c r="X760" s="47"/>
    </row>
    <row r="761" spans="5:24" s="38" customFormat="1" x14ac:dyDescent="0.35">
      <c r="E761" s="39"/>
      <c r="F761" s="39"/>
      <c r="G761" s="39"/>
      <c r="H761" s="40"/>
      <c r="T761" s="49"/>
      <c r="X761" s="47"/>
    </row>
    <row r="762" spans="5:24" s="38" customFormat="1" x14ac:dyDescent="0.35">
      <c r="E762" s="39"/>
      <c r="F762" s="39"/>
      <c r="G762" s="39"/>
      <c r="H762" s="40"/>
      <c r="T762" s="49"/>
      <c r="X762" s="47"/>
    </row>
    <row r="763" spans="5:24" s="38" customFormat="1" x14ac:dyDescent="0.35">
      <c r="E763" s="39"/>
      <c r="F763" s="39"/>
      <c r="G763" s="39"/>
      <c r="H763" s="40"/>
      <c r="T763" s="49"/>
      <c r="X763" s="47"/>
    </row>
    <row r="764" spans="5:24" s="38" customFormat="1" x14ac:dyDescent="0.35">
      <c r="E764" s="39"/>
      <c r="F764" s="39"/>
      <c r="G764" s="39"/>
      <c r="H764" s="40"/>
      <c r="T764" s="49"/>
      <c r="X764" s="47"/>
    </row>
    <row r="765" spans="5:24" s="38" customFormat="1" x14ac:dyDescent="0.35">
      <c r="E765" s="39"/>
      <c r="F765" s="39"/>
      <c r="G765" s="39"/>
      <c r="H765" s="40"/>
      <c r="T765" s="49"/>
      <c r="X765" s="47"/>
    </row>
    <row r="766" spans="5:24" s="38" customFormat="1" x14ac:dyDescent="0.35">
      <c r="E766" s="39"/>
      <c r="F766" s="39"/>
      <c r="G766" s="39"/>
      <c r="H766" s="40"/>
      <c r="T766" s="49"/>
      <c r="X766" s="47"/>
    </row>
    <row r="767" spans="5:24" s="38" customFormat="1" x14ac:dyDescent="0.35">
      <c r="E767" s="39"/>
      <c r="F767" s="39"/>
      <c r="G767" s="39"/>
      <c r="H767" s="40"/>
      <c r="T767" s="49"/>
      <c r="X767" s="47"/>
    </row>
    <row r="768" spans="5:24" s="38" customFormat="1" x14ac:dyDescent="0.35">
      <c r="E768" s="39"/>
      <c r="F768" s="39"/>
      <c r="G768" s="39"/>
      <c r="H768" s="40"/>
      <c r="J768" s="40"/>
      <c r="K768" s="40"/>
      <c r="L768" s="46"/>
      <c r="M768" s="46"/>
      <c r="T768" s="49"/>
      <c r="X768" s="47"/>
    </row>
    <row r="769" spans="5:24" s="38" customFormat="1" x14ac:dyDescent="0.35">
      <c r="E769" s="39"/>
      <c r="F769" s="39"/>
      <c r="G769" s="39"/>
      <c r="H769" s="40"/>
      <c r="T769" s="49"/>
      <c r="X769" s="47"/>
    </row>
    <row r="770" spans="5:24" s="38" customFormat="1" x14ac:dyDescent="0.35">
      <c r="E770" s="39"/>
      <c r="F770" s="39"/>
      <c r="G770" s="39"/>
      <c r="H770" s="40"/>
      <c r="T770" s="49"/>
      <c r="X770" s="47"/>
    </row>
    <row r="771" spans="5:24" s="38" customFormat="1" x14ac:dyDescent="0.35">
      <c r="E771" s="39"/>
      <c r="F771" s="39"/>
      <c r="G771" s="39"/>
      <c r="H771" s="40"/>
      <c r="J771" s="40"/>
      <c r="K771" s="40"/>
      <c r="L771" s="46"/>
      <c r="M771" s="46"/>
      <c r="T771" s="49"/>
      <c r="X771" s="47"/>
    </row>
    <row r="772" spans="5:24" s="38" customFormat="1" x14ac:dyDescent="0.35">
      <c r="E772" s="39"/>
      <c r="F772" s="39"/>
      <c r="G772" s="39"/>
      <c r="H772" s="40"/>
      <c r="T772" s="49"/>
      <c r="X772" s="47"/>
    </row>
    <row r="773" spans="5:24" s="38" customFormat="1" x14ac:dyDescent="0.35">
      <c r="E773" s="39"/>
      <c r="F773" s="39"/>
      <c r="G773" s="39"/>
      <c r="H773" s="40"/>
      <c r="T773" s="49"/>
      <c r="X773" s="47"/>
    </row>
    <row r="774" spans="5:24" s="38" customFormat="1" x14ac:dyDescent="0.35">
      <c r="E774" s="39"/>
      <c r="F774" s="39"/>
      <c r="G774" s="39"/>
      <c r="H774" s="40"/>
      <c r="T774" s="49"/>
      <c r="X774" s="47"/>
    </row>
    <row r="775" spans="5:24" s="38" customFormat="1" x14ac:dyDescent="0.35">
      <c r="E775" s="39"/>
      <c r="F775" s="39"/>
      <c r="G775" s="39"/>
      <c r="H775" s="40"/>
      <c r="T775" s="49"/>
      <c r="X775" s="47"/>
    </row>
    <row r="776" spans="5:24" s="38" customFormat="1" x14ac:dyDescent="0.35">
      <c r="E776" s="39"/>
      <c r="F776" s="39"/>
      <c r="G776" s="39"/>
      <c r="H776" s="40"/>
      <c r="T776" s="49"/>
      <c r="X776" s="47"/>
    </row>
    <row r="777" spans="5:24" s="38" customFormat="1" x14ac:dyDescent="0.35">
      <c r="E777" s="39"/>
      <c r="F777" s="39"/>
      <c r="G777" s="39"/>
      <c r="H777" s="40"/>
      <c r="T777" s="49"/>
      <c r="X777" s="47"/>
    </row>
    <row r="778" spans="5:24" s="38" customFormat="1" x14ac:dyDescent="0.35">
      <c r="E778" s="39"/>
      <c r="F778" s="39"/>
      <c r="G778" s="39"/>
      <c r="H778" s="40"/>
      <c r="J778" s="40"/>
      <c r="K778" s="40"/>
      <c r="L778" s="46"/>
      <c r="M778" s="46"/>
      <c r="T778" s="49"/>
      <c r="X778" s="47"/>
    </row>
    <row r="779" spans="5:24" s="38" customFormat="1" x14ac:dyDescent="0.35">
      <c r="E779" s="39"/>
      <c r="F779" s="39"/>
      <c r="G779" s="39"/>
      <c r="H779" s="40"/>
      <c r="T779" s="49"/>
      <c r="X779" s="47"/>
    </row>
    <row r="780" spans="5:24" s="38" customFormat="1" x14ac:dyDescent="0.35">
      <c r="E780" s="39"/>
      <c r="F780" s="39"/>
      <c r="G780" s="39"/>
      <c r="H780" s="40"/>
      <c r="J780" s="40"/>
      <c r="K780" s="40"/>
      <c r="L780" s="46"/>
      <c r="M780" s="46"/>
      <c r="T780" s="49"/>
      <c r="X780" s="47"/>
    </row>
    <row r="781" spans="5:24" s="38" customFormat="1" x14ac:dyDescent="0.35">
      <c r="E781" s="39"/>
      <c r="F781" s="39"/>
      <c r="G781" s="39"/>
      <c r="H781" s="40"/>
      <c r="T781" s="49"/>
      <c r="X781" s="47"/>
    </row>
    <row r="782" spans="5:24" s="38" customFormat="1" x14ac:dyDescent="0.35">
      <c r="E782" s="39"/>
      <c r="F782" s="39"/>
      <c r="G782" s="39"/>
      <c r="H782" s="40"/>
      <c r="T782" s="49"/>
      <c r="X782" s="47"/>
    </row>
    <row r="783" spans="5:24" s="38" customFormat="1" x14ac:dyDescent="0.35">
      <c r="E783" s="39"/>
      <c r="F783" s="39"/>
      <c r="G783" s="39"/>
      <c r="H783" s="40"/>
      <c r="T783" s="49"/>
      <c r="X783" s="47"/>
    </row>
    <row r="784" spans="5:24" s="38" customFormat="1" x14ac:dyDescent="0.35">
      <c r="E784" s="39"/>
      <c r="F784" s="39"/>
      <c r="G784" s="39"/>
      <c r="H784" s="40"/>
      <c r="T784" s="49"/>
      <c r="X784" s="47"/>
    </row>
    <row r="785" spans="5:24" s="38" customFormat="1" x14ac:dyDescent="0.35">
      <c r="E785" s="39"/>
      <c r="F785" s="39"/>
      <c r="G785" s="39"/>
      <c r="H785" s="40"/>
      <c r="T785" s="49"/>
      <c r="X785" s="47"/>
    </row>
    <row r="786" spans="5:24" s="38" customFormat="1" x14ac:dyDescent="0.35">
      <c r="E786" s="39"/>
      <c r="F786" s="39"/>
      <c r="G786" s="39"/>
      <c r="H786" s="40"/>
      <c r="T786" s="49"/>
      <c r="X786" s="47"/>
    </row>
    <row r="787" spans="5:24" s="38" customFormat="1" x14ac:dyDescent="0.35">
      <c r="E787" s="39"/>
      <c r="F787" s="39"/>
      <c r="G787" s="39"/>
      <c r="H787" s="40"/>
      <c r="T787" s="49"/>
      <c r="X787" s="47"/>
    </row>
    <row r="788" spans="5:24" s="38" customFormat="1" x14ac:dyDescent="0.35">
      <c r="E788" s="39"/>
      <c r="F788" s="39"/>
      <c r="G788" s="39"/>
      <c r="H788" s="40"/>
      <c r="T788" s="49"/>
      <c r="X788" s="47"/>
    </row>
    <row r="789" spans="5:24" s="38" customFormat="1" x14ac:dyDescent="0.35">
      <c r="E789" s="39"/>
      <c r="F789" s="39"/>
      <c r="G789" s="39"/>
      <c r="H789" s="40"/>
      <c r="J789" s="40"/>
      <c r="K789" s="40"/>
      <c r="L789" s="46"/>
      <c r="M789" s="46"/>
      <c r="T789" s="49"/>
      <c r="X789" s="47"/>
    </row>
    <row r="790" spans="5:24" s="38" customFormat="1" x14ac:dyDescent="0.35">
      <c r="E790" s="39"/>
      <c r="F790" s="39"/>
      <c r="G790" s="39"/>
      <c r="H790" s="40"/>
      <c r="T790" s="49"/>
      <c r="X790" s="47"/>
    </row>
    <row r="791" spans="5:24" s="38" customFormat="1" x14ac:dyDescent="0.35">
      <c r="E791" s="39"/>
      <c r="F791" s="39"/>
      <c r="G791" s="39"/>
      <c r="H791" s="40"/>
      <c r="T791" s="49"/>
      <c r="X791" s="47"/>
    </row>
    <row r="792" spans="5:24" s="38" customFormat="1" x14ac:dyDescent="0.35">
      <c r="E792" s="39"/>
      <c r="F792" s="39"/>
      <c r="G792" s="39"/>
      <c r="H792" s="40"/>
      <c r="T792" s="49"/>
      <c r="X792" s="47"/>
    </row>
    <row r="793" spans="5:24" s="38" customFormat="1" x14ac:dyDescent="0.35">
      <c r="E793" s="39"/>
      <c r="F793" s="39"/>
      <c r="G793" s="39"/>
      <c r="H793" s="40"/>
      <c r="T793" s="49"/>
      <c r="X793" s="47"/>
    </row>
    <row r="794" spans="5:24" s="38" customFormat="1" x14ac:dyDescent="0.35">
      <c r="E794" s="39"/>
      <c r="F794" s="39"/>
      <c r="G794" s="39"/>
      <c r="H794" s="40"/>
      <c r="T794" s="49"/>
      <c r="X794" s="47"/>
    </row>
    <row r="795" spans="5:24" s="38" customFormat="1" x14ac:dyDescent="0.35">
      <c r="E795" s="39"/>
      <c r="F795" s="39"/>
      <c r="G795" s="39"/>
      <c r="H795" s="40"/>
      <c r="T795" s="49"/>
      <c r="X795" s="47"/>
    </row>
    <row r="796" spans="5:24" s="38" customFormat="1" x14ac:dyDescent="0.35">
      <c r="E796" s="39"/>
      <c r="F796" s="39"/>
      <c r="G796" s="39"/>
      <c r="H796" s="40"/>
      <c r="T796" s="49"/>
      <c r="X796" s="47"/>
    </row>
    <row r="797" spans="5:24" s="38" customFormat="1" x14ac:dyDescent="0.35">
      <c r="E797" s="39"/>
      <c r="F797" s="39"/>
      <c r="G797" s="39"/>
      <c r="H797" s="40"/>
      <c r="T797" s="49"/>
      <c r="X797" s="47"/>
    </row>
    <row r="798" spans="5:24" s="38" customFormat="1" x14ac:dyDescent="0.35">
      <c r="E798" s="39"/>
      <c r="F798" s="39"/>
      <c r="G798" s="39"/>
      <c r="H798" s="40"/>
      <c r="T798" s="49"/>
      <c r="X798" s="47"/>
    </row>
    <row r="799" spans="5:24" s="38" customFormat="1" x14ac:dyDescent="0.35">
      <c r="E799" s="39"/>
      <c r="F799" s="39"/>
      <c r="G799" s="39"/>
      <c r="H799" s="40"/>
      <c r="T799" s="49"/>
      <c r="X799" s="47"/>
    </row>
    <row r="800" spans="5:24" s="38" customFormat="1" x14ac:dyDescent="0.35">
      <c r="E800" s="39"/>
      <c r="F800" s="39"/>
      <c r="G800" s="39"/>
      <c r="H800" s="40"/>
      <c r="T800" s="49"/>
      <c r="X800" s="47"/>
    </row>
    <row r="801" spans="5:24" s="38" customFormat="1" x14ac:dyDescent="0.35">
      <c r="E801" s="39"/>
      <c r="F801" s="39"/>
      <c r="G801" s="39"/>
      <c r="H801" s="40"/>
      <c r="T801" s="49"/>
      <c r="X801" s="47"/>
    </row>
    <row r="802" spans="5:24" s="38" customFormat="1" x14ac:dyDescent="0.35">
      <c r="E802" s="39"/>
      <c r="F802" s="39"/>
      <c r="G802" s="39"/>
      <c r="H802" s="40"/>
      <c r="T802" s="49"/>
      <c r="X802" s="47"/>
    </row>
    <row r="803" spans="5:24" s="38" customFormat="1" x14ac:dyDescent="0.35">
      <c r="E803" s="39"/>
      <c r="F803" s="39"/>
      <c r="G803" s="39"/>
      <c r="H803" s="40"/>
      <c r="T803" s="49"/>
      <c r="X803" s="47"/>
    </row>
    <row r="804" spans="5:24" s="38" customFormat="1" x14ac:dyDescent="0.35">
      <c r="E804" s="39"/>
      <c r="F804" s="39"/>
      <c r="G804" s="39"/>
      <c r="H804" s="40"/>
      <c r="T804" s="49"/>
      <c r="X804" s="47"/>
    </row>
    <row r="805" spans="5:24" s="38" customFormat="1" x14ac:dyDescent="0.35">
      <c r="E805" s="39"/>
      <c r="F805" s="39"/>
      <c r="G805" s="39"/>
      <c r="H805" s="40"/>
      <c r="T805" s="49"/>
      <c r="X805" s="47"/>
    </row>
    <row r="806" spans="5:24" s="38" customFormat="1" x14ac:dyDescent="0.35">
      <c r="E806" s="39"/>
      <c r="F806" s="39"/>
      <c r="G806" s="39"/>
      <c r="H806" s="40"/>
      <c r="T806" s="49"/>
      <c r="X806" s="47"/>
    </row>
    <row r="807" spans="5:24" s="38" customFormat="1" x14ac:dyDescent="0.35">
      <c r="E807" s="39"/>
      <c r="F807" s="39"/>
      <c r="G807" s="39"/>
      <c r="H807" s="40"/>
      <c r="T807" s="49"/>
      <c r="X807" s="47"/>
    </row>
    <row r="808" spans="5:24" s="38" customFormat="1" x14ac:dyDescent="0.35">
      <c r="E808" s="39"/>
      <c r="F808" s="39"/>
      <c r="G808" s="39"/>
      <c r="H808" s="40"/>
      <c r="T808" s="49"/>
      <c r="X808" s="47"/>
    </row>
    <row r="809" spans="5:24" s="38" customFormat="1" x14ac:dyDescent="0.35">
      <c r="E809" s="39"/>
      <c r="F809" s="39"/>
      <c r="G809" s="39"/>
      <c r="H809" s="40"/>
      <c r="T809" s="49"/>
      <c r="X809" s="47"/>
    </row>
    <row r="810" spans="5:24" s="38" customFormat="1" x14ac:dyDescent="0.35">
      <c r="E810" s="39"/>
      <c r="F810" s="39"/>
      <c r="G810" s="39"/>
      <c r="H810" s="40"/>
      <c r="T810" s="49"/>
      <c r="X810" s="47"/>
    </row>
    <row r="811" spans="5:24" s="38" customFormat="1" x14ac:dyDescent="0.35">
      <c r="E811" s="39"/>
      <c r="F811" s="39"/>
      <c r="G811" s="39"/>
      <c r="H811" s="40"/>
      <c r="T811" s="49"/>
      <c r="X811" s="47"/>
    </row>
    <row r="812" spans="5:24" s="38" customFormat="1" x14ac:dyDescent="0.35">
      <c r="E812" s="39"/>
      <c r="F812" s="39"/>
      <c r="G812" s="39"/>
      <c r="H812" s="40"/>
      <c r="T812" s="49"/>
      <c r="X812" s="47"/>
    </row>
    <row r="813" spans="5:24" s="38" customFormat="1" x14ac:dyDescent="0.35">
      <c r="E813" s="39"/>
      <c r="F813" s="39"/>
      <c r="G813" s="39"/>
      <c r="H813" s="40"/>
      <c r="T813" s="49"/>
      <c r="X813" s="47"/>
    </row>
    <row r="814" spans="5:24" s="38" customFormat="1" x14ac:dyDescent="0.35">
      <c r="E814" s="39"/>
      <c r="F814" s="39"/>
      <c r="G814" s="39"/>
      <c r="H814" s="40"/>
      <c r="T814" s="49"/>
      <c r="X814" s="47"/>
    </row>
    <row r="815" spans="5:24" s="38" customFormat="1" x14ac:dyDescent="0.35">
      <c r="E815" s="39"/>
      <c r="F815" s="39"/>
      <c r="G815" s="39"/>
      <c r="H815" s="40"/>
      <c r="T815" s="49"/>
      <c r="X815" s="47"/>
    </row>
    <row r="816" spans="5:24" s="38" customFormat="1" x14ac:dyDescent="0.35">
      <c r="E816" s="39"/>
      <c r="F816" s="39"/>
      <c r="G816" s="39"/>
      <c r="H816" s="40"/>
      <c r="T816" s="49"/>
      <c r="X816" s="47"/>
    </row>
    <row r="817" spans="5:24" s="38" customFormat="1" x14ac:dyDescent="0.35">
      <c r="E817" s="39"/>
      <c r="F817" s="39"/>
      <c r="G817" s="39"/>
      <c r="H817" s="40"/>
      <c r="T817" s="49"/>
      <c r="X817" s="47"/>
    </row>
    <row r="818" spans="5:24" s="38" customFormat="1" x14ac:dyDescent="0.35">
      <c r="E818" s="39"/>
      <c r="F818" s="39"/>
      <c r="G818" s="39"/>
      <c r="H818" s="40"/>
      <c r="T818" s="49"/>
      <c r="X818" s="47"/>
    </row>
    <row r="819" spans="5:24" s="38" customFormat="1" x14ac:dyDescent="0.35">
      <c r="E819" s="39"/>
      <c r="F819" s="39"/>
      <c r="G819" s="39"/>
      <c r="H819" s="40"/>
      <c r="T819" s="49"/>
      <c r="X819" s="47"/>
    </row>
    <row r="820" spans="5:24" s="38" customFormat="1" x14ac:dyDescent="0.35">
      <c r="E820" s="39"/>
      <c r="F820" s="39"/>
      <c r="G820" s="39"/>
      <c r="H820" s="40"/>
      <c r="T820" s="49"/>
      <c r="X820" s="47"/>
    </row>
    <row r="821" spans="5:24" s="38" customFormat="1" x14ac:dyDescent="0.35">
      <c r="E821" s="39"/>
      <c r="F821" s="39"/>
      <c r="G821" s="39"/>
      <c r="H821" s="40"/>
      <c r="T821" s="49"/>
      <c r="X821" s="47"/>
    </row>
    <row r="822" spans="5:24" s="38" customFormat="1" x14ac:dyDescent="0.35">
      <c r="E822" s="39"/>
      <c r="F822" s="39"/>
      <c r="G822" s="39"/>
      <c r="H822" s="40"/>
      <c r="T822" s="49"/>
      <c r="X822" s="47"/>
    </row>
    <row r="823" spans="5:24" s="38" customFormat="1" x14ac:dyDescent="0.35">
      <c r="E823" s="39"/>
      <c r="F823" s="39"/>
      <c r="G823" s="39"/>
      <c r="H823" s="40"/>
      <c r="T823" s="49"/>
      <c r="X823" s="47"/>
    </row>
    <row r="824" spans="5:24" s="38" customFormat="1" x14ac:dyDescent="0.35">
      <c r="E824" s="39"/>
      <c r="F824" s="39"/>
      <c r="G824" s="39"/>
      <c r="H824" s="40"/>
      <c r="T824" s="49"/>
      <c r="X824" s="47"/>
    </row>
    <row r="825" spans="5:24" s="38" customFormat="1" x14ac:dyDescent="0.35">
      <c r="E825" s="39"/>
      <c r="F825" s="39"/>
      <c r="G825" s="39"/>
      <c r="H825" s="40"/>
      <c r="T825" s="49"/>
      <c r="X825" s="47"/>
    </row>
    <row r="826" spans="5:24" s="38" customFormat="1" x14ac:dyDescent="0.35">
      <c r="E826" s="39"/>
      <c r="F826" s="39"/>
      <c r="G826" s="39"/>
      <c r="H826" s="40"/>
      <c r="T826" s="49"/>
      <c r="X826" s="47"/>
    </row>
    <row r="827" spans="5:24" s="38" customFormat="1" x14ac:dyDescent="0.35">
      <c r="E827" s="39"/>
      <c r="F827" s="39"/>
      <c r="G827" s="39"/>
      <c r="H827" s="40"/>
      <c r="T827" s="49"/>
      <c r="X827" s="47"/>
    </row>
    <row r="828" spans="5:24" s="38" customFormat="1" x14ac:dyDescent="0.35">
      <c r="E828" s="39"/>
      <c r="F828" s="39"/>
      <c r="G828" s="39"/>
      <c r="H828" s="40"/>
      <c r="T828" s="49"/>
      <c r="X828" s="47"/>
    </row>
    <row r="829" spans="5:24" s="38" customFormat="1" x14ac:dyDescent="0.35">
      <c r="E829" s="39"/>
      <c r="F829" s="39"/>
      <c r="G829" s="39"/>
      <c r="H829" s="40"/>
      <c r="T829" s="49"/>
      <c r="X829" s="47"/>
    </row>
    <row r="830" spans="5:24" s="38" customFormat="1" x14ac:dyDescent="0.35">
      <c r="E830" s="39"/>
      <c r="F830" s="39"/>
      <c r="G830" s="39"/>
      <c r="H830" s="40"/>
      <c r="T830" s="49"/>
      <c r="X830" s="47"/>
    </row>
    <row r="831" spans="5:24" s="38" customFormat="1" x14ac:dyDescent="0.35">
      <c r="E831" s="39"/>
      <c r="F831" s="39"/>
      <c r="G831" s="39"/>
      <c r="H831" s="40"/>
      <c r="T831" s="49"/>
      <c r="X831" s="47"/>
    </row>
    <row r="832" spans="5:24" s="38" customFormat="1" x14ac:dyDescent="0.35">
      <c r="E832" s="39"/>
      <c r="F832" s="39"/>
      <c r="G832" s="39"/>
      <c r="H832" s="40"/>
      <c r="T832" s="49"/>
      <c r="X832" s="47"/>
    </row>
    <row r="833" spans="5:24" s="38" customFormat="1" x14ac:dyDescent="0.35">
      <c r="E833" s="39"/>
      <c r="F833" s="39"/>
      <c r="G833" s="39"/>
      <c r="H833" s="40"/>
      <c r="T833" s="49"/>
      <c r="X833" s="47"/>
    </row>
    <row r="834" spans="5:24" s="38" customFormat="1" x14ac:dyDescent="0.35">
      <c r="E834" s="39"/>
      <c r="F834" s="39"/>
      <c r="G834" s="39"/>
      <c r="H834" s="40"/>
      <c r="T834" s="49"/>
      <c r="X834" s="47"/>
    </row>
    <row r="835" spans="5:24" s="38" customFormat="1" x14ac:dyDescent="0.35">
      <c r="E835" s="39"/>
      <c r="F835" s="39"/>
      <c r="G835" s="39"/>
      <c r="H835" s="40"/>
      <c r="T835" s="49"/>
      <c r="X835" s="47"/>
    </row>
    <row r="836" spans="5:24" s="38" customFormat="1" x14ac:dyDescent="0.35">
      <c r="E836" s="39"/>
      <c r="F836" s="39"/>
      <c r="G836" s="39"/>
      <c r="H836" s="40"/>
      <c r="T836" s="49"/>
      <c r="X836" s="47"/>
    </row>
    <row r="837" spans="5:24" s="38" customFormat="1" x14ac:dyDescent="0.35">
      <c r="E837" s="39"/>
      <c r="F837" s="39"/>
      <c r="G837" s="39"/>
      <c r="H837" s="40"/>
      <c r="T837" s="49"/>
      <c r="X837" s="47"/>
    </row>
    <row r="838" spans="5:24" s="38" customFormat="1" x14ac:dyDescent="0.35">
      <c r="E838" s="39"/>
      <c r="F838" s="39"/>
      <c r="G838" s="39"/>
      <c r="H838" s="40"/>
      <c r="T838" s="49"/>
      <c r="X838" s="47"/>
    </row>
    <row r="839" spans="5:24" s="38" customFormat="1" x14ac:dyDescent="0.35">
      <c r="E839" s="39"/>
      <c r="F839" s="39"/>
      <c r="G839" s="39"/>
      <c r="H839" s="40"/>
      <c r="T839" s="49"/>
      <c r="X839" s="47"/>
    </row>
    <row r="840" spans="5:24" s="38" customFormat="1" x14ac:dyDescent="0.35">
      <c r="E840" s="39"/>
      <c r="F840" s="39"/>
      <c r="G840" s="39"/>
      <c r="H840" s="40"/>
      <c r="J840" s="40"/>
      <c r="K840" s="40"/>
      <c r="L840" s="46"/>
      <c r="M840" s="46"/>
      <c r="T840" s="49"/>
      <c r="X840" s="47"/>
    </row>
    <row r="841" spans="5:24" s="38" customFormat="1" x14ac:dyDescent="0.35">
      <c r="E841" s="39"/>
      <c r="F841" s="39"/>
      <c r="G841" s="39"/>
      <c r="H841" s="40"/>
      <c r="T841" s="49"/>
      <c r="X841" s="47"/>
    </row>
    <row r="842" spans="5:24" s="38" customFormat="1" x14ac:dyDescent="0.35">
      <c r="E842" s="39"/>
      <c r="F842" s="39"/>
      <c r="G842" s="39"/>
      <c r="H842" s="40"/>
      <c r="T842" s="49"/>
      <c r="X842" s="47"/>
    </row>
    <row r="843" spans="5:24" s="38" customFormat="1" x14ac:dyDescent="0.35">
      <c r="E843" s="39"/>
      <c r="F843" s="39"/>
      <c r="G843" s="39"/>
      <c r="H843" s="40"/>
      <c r="T843" s="49"/>
      <c r="X843" s="47"/>
    </row>
    <row r="844" spans="5:24" s="38" customFormat="1" x14ac:dyDescent="0.35">
      <c r="E844" s="39"/>
      <c r="F844" s="39"/>
      <c r="G844" s="39"/>
      <c r="H844" s="40"/>
      <c r="T844" s="49"/>
      <c r="X844" s="47"/>
    </row>
    <row r="845" spans="5:24" s="38" customFormat="1" x14ac:dyDescent="0.35">
      <c r="E845" s="39"/>
      <c r="F845" s="39"/>
      <c r="G845" s="39"/>
      <c r="H845" s="40"/>
      <c r="T845" s="49"/>
      <c r="X845" s="47"/>
    </row>
    <row r="846" spans="5:24" s="38" customFormat="1" x14ac:dyDescent="0.35">
      <c r="E846" s="39"/>
      <c r="F846" s="39"/>
      <c r="G846" s="39"/>
      <c r="H846" s="40"/>
      <c r="J846" s="40"/>
      <c r="K846" s="40"/>
      <c r="L846" s="46"/>
      <c r="M846" s="46"/>
      <c r="T846" s="49"/>
      <c r="X846" s="47"/>
    </row>
    <row r="847" spans="5:24" s="38" customFormat="1" x14ac:dyDescent="0.35">
      <c r="E847" s="39"/>
      <c r="F847" s="39"/>
      <c r="G847" s="39"/>
      <c r="H847" s="40"/>
      <c r="T847" s="49"/>
      <c r="X847" s="47"/>
    </row>
    <row r="848" spans="5:24" s="38" customFormat="1" x14ac:dyDescent="0.35">
      <c r="E848" s="39"/>
      <c r="F848" s="39"/>
      <c r="G848" s="39"/>
      <c r="H848" s="40"/>
      <c r="T848" s="49"/>
      <c r="X848" s="47"/>
    </row>
    <row r="849" spans="5:24" s="38" customFormat="1" x14ac:dyDescent="0.35">
      <c r="E849" s="39"/>
      <c r="F849" s="39"/>
      <c r="G849" s="39"/>
      <c r="H849" s="40"/>
      <c r="T849" s="49"/>
      <c r="X849" s="47"/>
    </row>
    <row r="850" spans="5:24" s="38" customFormat="1" x14ac:dyDescent="0.35">
      <c r="E850" s="39"/>
      <c r="F850" s="39"/>
      <c r="G850" s="39"/>
      <c r="H850" s="40"/>
      <c r="T850" s="49"/>
      <c r="X850" s="47"/>
    </row>
    <row r="851" spans="5:24" s="38" customFormat="1" x14ac:dyDescent="0.35">
      <c r="E851" s="39"/>
      <c r="F851" s="39"/>
      <c r="G851" s="39"/>
      <c r="H851" s="40"/>
      <c r="J851" s="40"/>
      <c r="K851" s="40"/>
      <c r="L851" s="46"/>
      <c r="M851" s="46"/>
      <c r="T851" s="49"/>
      <c r="X851" s="47"/>
    </row>
    <row r="852" spans="5:24" s="38" customFormat="1" x14ac:dyDescent="0.35">
      <c r="E852" s="39"/>
      <c r="F852" s="39"/>
      <c r="G852" s="39"/>
      <c r="H852" s="40"/>
      <c r="T852" s="49"/>
      <c r="X852" s="47"/>
    </row>
    <row r="853" spans="5:24" s="38" customFormat="1" x14ac:dyDescent="0.35">
      <c r="E853" s="39"/>
      <c r="F853" s="39"/>
      <c r="G853" s="39"/>
      <c r="H853" s="40"/>
      <c r="T853" s="49"/>
      <c r="X853" s="47"/>
    </row>
    <row r="854" spans="5:24" s="38" customFormat="1" x14ac:dyDescent="0.35">
      <c r="E854" s="39"/>
      <c r="F854" s="39"/>
      <c r="G854" s="39"/>
      <c r="H854" s="40"/>
      <c r="T854" s="49"/>
      <c r="X854" s="47"/>
    </row>
    <row r="855" spans="5:24" s="38" customFormat="1" x14ac:dyDescent="0.35">
      <c r="E855" s="39"/>
      <c r="F855" s="39"/>
      <c r="G855" s="39"/>
      <c r="H855" s="40"/>
      <c r="T855" s="49"/>
      <c r="X855" s="47"/>
    </row>
    <row r="856" spans="5:24" s="38" customFormat="1" x14ac:dyDescent="0.35">
      <c r="E856" s="39"/>
      <c r="F856" s="39"/>
      <c r="G856" s="39"/>
      <c r="H856" s="40"/>
      <c r="T856" s="49"/>
      <c r="X856" s="47"/>
    </row>
    <row r="857" spans="5:24" s="38" customFormat="1" x14ac:dyDescent="0.35">
      <c r="E857" s="39"/>
      <c r="F857" s="39"/>
      <c r="G857" s="39"/>
      <c r="H857" s="40"/>
      <c r="T857" s="49"/>
      <c r="X857" s="47"/>
    </row>
    <row r="858" spans="5:24" s="38" customFormat="1" x14ac:dyDescent="0.35">
      <c r="E858" s="39"/>
      <c r="F858" s="39"/>
      <c r="G858" s="39"/>
      <c r="H858" s="40"/>
      <c r="T858" s="49"/>
      <c r="X858" s="47"/>
    </row>
    <row r="859" spans="5:24" s="38" customFormat="1" x14ac:dyDescent="0.35">
      <c r="E859" s="39"/>
      <c r="F859" s="39"/>
      <c r="G859" s="39"/>
      <c r="H859" s="40"/>
      <c r="T859" s="49"/>
      <c r="X859" s="47"/>
    </row>
    <row r="860" spans="5:24" s="38" customFormat="1" x14ac:dyDescent="0.35">
      <c r="E860" s="39"/>
      <c r="F860" s="39"/>
      <c r="G860" s="39"/>
      <c r="H860" s="40"/>
      <c r="T860" s="49"/>
      <c r="X860" s="47"/>
    </row>
    <row r="861" spans="5:24" s="38" customFormat="1" x14ac:dyDescent="0.35">
      <c r="E861" s="39"/>
      <c r="F861" s="39"/>
      <c r="G861" s="39"/>
      <c r="H861" s="40"/>
      <c r="T861" s="49"/>
      <c r="X861" s="47"/>
    </row>
    <row r="862" spans="5:24" s="38" customFormat="1" x14ac:dyDescent="0.35">
      <c r="E862" s="39"/>
      <c r="F862" s="39"/>
      <c r="G862" s="39"/>
      <c r="H862" s="40"/>
      <c r="T862" s="49"/>
      <c r="X862" s="47"/>
    </row>
    <row r="863" spans="5:24" s="38" customFormat="1" x14ac:dyDescent="0.35">
      <c r="E863" s="39"/>
      <c r="F863" s="39"/>
      <c r="G863" s="39"/>
      <c r="H863" s="40"/>
      <c r="T863" s="49"/>
      <c r="X863" s="47"/>
    </row>
    <row r="864" spans="5:24" s="38" customFormat="1" x14ac:dyDescent="0.35">
      <c r="E864" s="39"/>
      <c r="F864" s="39"/>
      <c r="G864" s="39"/>
      <c r="H864" s="40"/>
      <c r="T864" s="49"/>
    </row>
    <row r="865" spans="5:20" s="38" customFormat="1" x14ac:dyDescent="0.35">
      <c r="E865" s="39"/>
      <c r="F865" s="39"/>
      <c r="G865" s="39"/>
      <c r="H865" s="40"/>
      <c r="T865" s="49"/>
    </row>
    <row r="866" spans="5:20" s="38" customFormat="1" x14ac:dyDescent="0.35">
      <c r="E866" s="39"/>
      <c r="F866" s="39"/>
      <c r="G866" s="39"/>
      <c r="H866" s="40"/>
      <c r="T866" s="49"/>
    </row>
    <row r="867" spans="5:20" s="38" customFormat="1" x14ac:dyDescent="0.35">
      <c r="E867" s="39"/>
      <c r="F867" s="39"/>
      <c r="G867" s="39"/>
      <c r="H867" s="40"/>
      <c r="T867" s="49"/>
    </row>
    <row r="868" spans="5:20" s="38" customFormat="1" x14ac:dyDescent="0.35">
      <c r="E868" s="39"/>
      <c r="F868" s="39"/>
      <c r="G868" s="39"/>
      <c r="H868" s="40"/>
      <c r="T868" s="49"/>
    </row>
    <row r="869" spans="5:20" s="38" customFormat="1" x14ac:dyDescent="0.35">
      <c r="E869" s="39"/>
      <c r="F869" s="39"/>
      <c r="G869" s="39"/>
      <c r="H869" s="40"/>
      <c r="T869" s="49"/>
    </row>
    <row r="870" spans="5:20" s="38" customFormat="1" x14ac:dyDescent="0.35">
      <c r="E870" s="39"/>
      <c r="F870" s="39"/>
      <c r="G870" s="39"/>
      <c r="H870" s="40"/>
      <c r="T870" s="49"/>
    </row>
    <row r="871" spans="5:20" s="38" customFormat="1" x14ac:dyDescent="0.35">
      <c r="E871" s="39"/>
      <c r="F871" s="39"/>
      <c r="G871" s="39"/>
      <c r="H871" s="40"/>
      <c r="T871" s="49"/>
    </row>
    <row r="872" spans="5:20" s="38" customFormat="1" x14ac:dyDescent="0.35">
      <c r="E872" s="39"/>
      <c r="F872" s="39"/>
      <c r="G872" s="39"/>
      <c r="H872" s="40"/>
      <c r="T872" s="49"/>
    </row>
    <row r="873" spans="5:20" s="38" customFormat="1" x14ac:dyDescent="0.35">
      <c r="E873" s="39"/>
      <c r="F873" s="39"/>
      <c r="G873" s="39"/>
      <c r="H873" s="40"/>
      <c r="T873" s="49"/>
    </row>
    <row r="874" spans="5:20" s="38" customFormat="1" x14ac:dyDescent="0.35">
      <c r="E874" s="39"/>
      <c r="F874" s="39"/>
      <c r="G874" s="39"/>
      <c r="H874" s="40"/>
      <c r="T874" s="49"/>
    </row>
    <row r="875" spans="5:20" s="38" customFormat="1" x14ac:dyDescent="0.35">
      <c r="E875" s="39"/>
      <c r="F875" s="39"/>
      <c r="G875" s="39"/>
      <c r="H875" s="40"/>
      <c r="T875" s="49"/>
    </row>
    <row r="876" spans="5:20" s="38" customFormat="1" x14ac:dyDescent="0.35">
      <c r="E876" s="39"/>
      <c r="F876" s="39"/>
      <c r="G876" s="39"/>
      <c r="H876" s="40"/>
      <c r="J876" s="40"/>
      <c r="K876" s="40"/>
      <c r="L876" s="46"/>
      <c r="M876" s="46"/>
      <c r="T876" s="49"/>
    </row>
    <row r="877" spans="5:20" s="38" customFormat="1" x14ac:dyDescent="0.35">
      <c r="E877" s="39"/>
      <c r="F877" s="39"/>
      <c r="G877" s="39"/>
      <c r="H877" s="40"/>
      <c r="T877" s="49"/>
    </row>
    <row r="878" spans="5:20" s="38" customFormat="1" x14ac:dyDescent="0.35">
      <c r="E878" s="39"/>
      <c r="F878" s="39"/>
      <c r="G878" s="39"/>
      <c r="H878" s="40"/>
      <c r="J878" s="40"/>
      <c r="K878" s="40"/>
      <c r="L878" s="46"/>
      <c r="M878" s="46"/>
      <c r="T878" s="49"/>
    </row>
    <row r="879" spans="5:20" s="38" customFormat="1" x14ac:dyDescent="0.35">
      <c r="E879" s="39"/>
      <c r="F879" s="39"/>
      <c r="G879" s="39"/>
      <c r="H879" s="40"/>
      <c r="T879" s="49"/>
    </row>
    <row r="880" spans="5:20" s="38" customFormat="1" x14ac:dyDescent="0.35">
      <c r="E880" s="39"/>
      <c r="F880" s="39"/>
      <c r="G880" s="39"/>
      <c r="H880" s="40"/>
      <c r="T880" s="49"/>
    </row>
    <row r="881" spans="5:20" s="38" customFormat="1" x14ac:dyDescent="0.35">
      <c r="E881" s="39"/>
      <c r="F881" s="39"/>
      <c r="G881" s="39"/>
      <c r="H881" s="40"/>
      <c r="T881" s="49"/>
    </row>
    <row r="882" spans="5:20" s="38" customFormat="1" x14ac:dyDescent="0.35">
      <c r="E882" s="39"/>
      <c r="F882" s="39"/>
      <c r="G882" s="39"/>
      <c r="H882" s="40"/>
      <c r="T882" s="49"/>
    </row>
    <row r="883" spans="5:20" s="38" customFormat="1" x14ac:dyDescent="0.35">
      <c r="E883" s="39"/>
      <c r="F883" s="39"/>
      <c r="G883" s="39"/>
      <c r="H883" s="40"/>
      <c r="T883" s="49"/>
    </row>
    <row r="884" spans="5:20" s="38" customFormat="1" x14ac:dyDescent="0.35">
      <c r="E884" s="39"/>
      <c r="F884" s="39"/>
      <c r="G884" s="39"/>
      <c r="H884" s="40"/>
      <c r="T884" s="49"/>
    </row>
    <row r="885" spans="5:20" s="38" customFormat="1" x14ac:dyDescent="0.35">
      <c r="E885" s="39"/>
      <c r="F885" s="39"/>
      <c r="G885" s="39"/>
      <c r="H885" s="40"/>
      <c r="T885" s="49"/>
    </row>
    <row r="886" spans="5:20" s="38" customFormat="1" x14ac:dyDescent="0.35">
      <c r="E886" s="39"/>
      <c r="F886" s="39"/>
      <c r="G886" s="39"/>
      <c r="H886" s="40"/>
      <c r="T886" s="49"/>
    </row>
    <row r="887" spans="5:20" s="38" customFormat="1" x14ac:dyDescent="0.35">
      <c r="E887" s="39"/>
      <c r="F887" s="39"/>
      <c r="G887" s="39"/>
      <c r="H887" s="40"/>
      <c r="T887" s="49"/>
    </row>
    <row r="888" spans="5:20" s="38" customFormat="1" x14ac:dyDescent="0.35">
      <c r="E888" s="39"/>
      <c r="F888" s="39"/>
      <c r="G888" s="39"/>
      <c r="H888" s="40"/>
      <c r="T888" s="49"/>
    </row>
    <row r="889" spans="5:20" s="38" customFormat="1" x14ac:dyDescent="0.35">
      <c r="E889" s="39"/>
      <c r="F889" s="39"/>
      <c r="G889" s="39"/>
      <c r="H889" s="40"/>
      <c r="T889" s="49"/>
    </row>
    <row r="890" spans="5:20" s="38" customFormat="1" x14ac:dyDescent="0.35">
      <c r="E890" s="39"/>
      <c r="F890" s="39"/>
      <c r="G890" s="39"/>
      <c r="H890" s="40"/>
      <c r="T890" s="49"/>
    </row>
    <row r="891" spans="5:20" s="38" customFormat="1" x14ac:dyDescent="0.35">
      <c r="E891" s="39"/>
      <c r="F891" s="39"/>
      <c r="G891" s="39"/>
      <c r="H891" s="40"/>
      <c r="J891" s="40"/>
      <c r="K891" s="40"/>
      <c r="L891" s="46"/>
      <c r="M891" s="46"/>
      <c r="T891" s="49"/>
    </row>
    <row r="892" spans="5:20" s="38" customFormat="1" x14ac:dyDescent="0.35">
      <c r="E892" s="39"/>
      <c r="F892" s="39"/>
      <c r="G892" s="39"/>
      <c r="H892" s="40"/>
      <c r="T892" s="49"/>
    </row>
    <row r="893" spans="5:20" s="38" customFormat="1" x14ac:dyDescent="0.35">
      <c r="E893" s="39"/>
      <c r="F893" s="39"/>
      <c r="G893" s="39"/>
      <c r="H893" s="40"/>
      <c r="J893" s="40"/>
      <c r="K893" s="40"/>
      <c r="L893" s="46"/>
      <c r="M893" s="46"/>
      <c r="T893" s="49"/>
    </row>
    <row r="894" spans="5:20" s="38" customFormat="1" x14ac:dyDescent="0.35">
      <c r="E894" s="39"/>
      <c r="F894" s="39"/>
      <c r="G894" s="39"/>
      <c r="H894" s="40"/>
      <c r="T894" s="49"/>
    </row>
    <row r="895" spans="5:20" s="38" customFormat="1" x14ac:dyDescent="0.35">
      <c r="E895" s="39"/>
      <c r="F895" s="39"/>
      <c r="G895" s="39"/>
      <c r="H895" s="40"/>
      <c r="T895" s="49"/>
    </row>
    <row r="896" spans="5:20" s="38" customFormat="1" x14ac:dyDescent="0.35">
      <c r="E896" s="39"/>
      <c r="F896" s="39"/>
      <c r="G896" s="39"/>
      <c r="H896" s="40"/>
      <c r="T896" s="49"/>
    </row>
    <row r="897" spans="5:20" s="38" customFormat="1" x14ac:dyDescent="0.35">
      <c r="E897" s="39"/>
      <c r="F897" s="39"/>
      <c r="G897" s="39"/>
      <c r="H897" s="40"/>
      <c r="J897" s="40"/>
      <c r="K897" s="40"/>
      <c r="L897" s="46"/>
      <c r="M897" s="46"/>
      <c r="T897" s="49"/>
    </row>
    <row r="898" spans="5:20" s="38" customFormat="1" x14ac:dyDescent="0.35">
      <c r="E898" s="39"/>
      <c r="F898" s="39"/>
      <c r="G898" s="39"/>
      <c r="H898" s="40"/>
      <c r="T898" s="49"/>
    </row>
    <row r="899" spans="5:20" s="38" customFormat="1" x14ac:dyDescent="0.35">
      <c r="E899" s="39"/>
      <c r="F899" s="39"/>
      <c r="G899" s="39"/>
      <c r="H899" s="40"/>
      <c r="T899" s="49"/>
    </row>
    <row r="900" spans="5:20" s="38" customFormat="1" x14ac:dyDescent="0.35">
      <c r="E900" s="39"/>
      <c r="F900" s="39"/>
      <c r="G900" s="39"/>
      <c r="H900" s="40"/>
      <c r="T900" s="49"/>
    </row>
    <row r="901" spans="5:20" s="38" customFormat="1" x14ac:dyDescent="0.35">
      <c r="E901" s="39"/>
      <c r="F901" s="39"/>
      <c r="G901" s="39"/>
      <c r="H901" s="40"/>
      <c r="T901" s="49"/>
    </row>
    <row r="902" spans="5:20" s="38" customFormat="1" x14ac:dyDescent="0.35">
      <c r="E902" s="39"/>
      <c r="F902" s="39"/>
      <c r="G902" s="39"/>
      <c r="H902" s="40"/>
      <c r="T902" s="49"/>
    </row>
    <row r="903" spans="5:20" s="38" customFormat="1" x14ac:dyDescent="0.35">
      <c r="E903" s="39"/>
      <c r="F903" s="39"/>
      <c r="G903" s="39"/>
      <c r="H903" s="40"/>
      <c r="T903" s="49"/>
    </row>
    <row r="904" spans="5:20" s="38" customFormat="1" x14ac:dyDescent="0.35">
      <c r="E904" s="39"/>
      <c r="F904" s="39"/>
      <c r="G904" s="39"/>
      <c r="H904" s="40"/>
      <c r="T904" s="49"/>
    </row>
    <row r="905" spans="5:20" s="38" customFormat="1" x14ac:dyDescent="0.35">
      <c r="E905" s="39"/>
      <c r="F905" s="39"/>
      <c r="G905" s="39"/>
      <c r="H905" s="40"/>
      <c r="T905" s="49"/>
    </row>
    <row r="906" spans="5:20" s="38" customFormat="1" x14ac:dyDescent="0.35">
      <c r="E906" s="39"/>
      <c r="F906" s="39"/>
      <c r="G906" s="39"/>
      <c r="H906" s="40"/>
      <c r="T906" s="49"/>
    </row>
    <row r="907" spans="5:20" s="38" customFormat="1" x14ac:dyDescent="0.35">
      <c r="E907" s="39"/>
      <c r="F907" s="39"/>
      <c r="G907" s="39"/>
      <c r="H907" s="40"/>
      <c r="T907" s="49"/>
    </row>
    <row r="908" spans="5:20" s="38" customFormat="1" x14ac:dyDescent="0.35">
      <c r="E908" s="39"/>
      <c r="F908" s="39"/>
      <c r="G908" s="39"/>
      <c r="H908" s="40"/>
      <c r="T908" s="49"/>
    </row>
    <row r="909" spans="5:20" s="38" customFormat="1" x14ac:dyDescent="0.35">
      <c r="E909" s="39"/>
      <c r="F909" s="39"/>
      <c r="G909" s="39"/>
      <c r="H909" s="40"/>
      <c r="T909" s="49"/>
    </row>
    <row r="910" spans="5:20" s="38" customFormat="1" x14ac:dyDescent="0.35">
      <c r="E910" s="39"/>
      <c r="F910" s="39"/>
      <c r="G910" s="39"/>
      <c r="H910" s="40"/>
      <c r="T910" s="49"/>
    </row>
    <row r="911" spans="5:20" s="38" customFormat="1" x14ac:dyDescent="0.35">
      <c r="E911" s="39"/>
      <c r="F911" s="39"/>
      <c r="G911" s="39"/>
      <c r="H911" s="40"/>
      <c r="T911" s="49"/>
    </row>
    <row r="912" spans="5:20" s="38" customFormat="1" x14ac:dyDescent="0.35">
      <c r="E912" s="39"/>
      <c r="F912" s="39"/>
      <c r="G912" s="39"/>
      <c r="H912" s="40"/>
      <c r="T912" s="49"/>
    </row>
    <row r="913" spans="5:20" s="38" customFormat="1" x14ac:dyDescent="0.35">
      <c r="E913" s="39"/>
      <c r="F913" s="39"/>
      <c r="G913" s="39"/>
      <c r="H913" s="40"/>
      <c r="T913" s="49"/>
    </row>
    <row r="914" spans="5:20" s="38" customFormat="1" x14ac:dyDescent="0.35">
      <c r="E914" s="39"/>
      <c r="F914" s="39"/>
      <c r="G914" s="39"/>
      <c r="H914" s="40"/>
      <c r="T914" s="49"/>
    </row>
    <row r="915" spans="5:20" s="38" customFormat="1" x14ac:dyDescent="0.35">
      <c r="E915" s="39"/>
      <c r="F915" s="39"/>
      <c r="G915" s="39"/>
      <c r="H915" s="40"/>
      <c r="T915" s="49"/>
    </row>
    <row r="916" spans="5:20" s="38" customFormat="1" x14ac:dyDescent="0.35">
      <c r="E916" s="39"/>
      <c r="F916" s="39"/>
      <c r="G916" s="39"/>
      <c r="H916" s="40"/>
      <c r="T916" s="49"/>
    </row>
    <row r="917" spans="5:20" s="38" customFormat="1" x14ac:dyDescent="0.35">
      <c r="E917" s="39"/>
      <c r="F917" s="39"/>
      <c r="G917" s="39"/>
      <c r="H917" s="40"/>
      <c r="T917" s="49"/>
    </row>
    <row r="918" spans="5:20" s="38" customFormat="1" x14ac:dyDescent="0.35">
      <c r="E918" s="39"/>
      <c r="F918" s="39"/>
      <c r="G918" s="39"/>
      <c r="H918" s="40"/>
      <c r="T918" s="49"/>
    </row>
    <row r="919" spans="5:20" s="38" customFormat="1" x14ac:dyDescent="0.35">
      <c r="E919" s="39"/>
      <c r="F919" s="39"/>
      <c r="G919" s="39"/>
      <c r="H919" s="40"/>
      <c r="T919" s="49"/>
    </row>
    <row r="920" spans="5:20" s="38" customFormat="1" x14ac:dyDescent="0.35">
      <c r="E920" s="39"/>
      <c r="F920" s="39"/>
      <c r="G920" s="39"/>
      <c r="H920" s="40"/>
      <c r="T920" s="49"/>
    </row>
    <row r="921" spans="5:20" s="38" customFormat="1" x14ac:dyDescent="0.35">
      <c r="E921" s="39"/>
      <c r="F921" s="39"/>
      <c r="G921" s="39"/>
      <c r="H921" s="40"/>
      <c r="T921" s="49"/>
    </row>
    <row r="922" spans="5:20" s="38" customFormat="1" x14ac:dyDescent="0.35">
      <c r="E922" s="39"/>
      <c r="F922" s="39"/>
      <c r="G922" s="39"/>
      <c r="H922" s="40"/>
      <c r="T922" s="49"/>
    </row>
    <row r="923" spans="5:20" s="38" customFormat="1" x14ac:dyDescent="0.35">
      <c r="E923" s="39"/>
      <c r="F923" s="39"/>
      <c r="G923" s="39"/>
      <c r="H923" s="40"/>
      <c r="T923" s="49"/>
    </row>
    <row r="924" spans="5:20" s="38" customFormat="1" x14ac:dyDescent="0.35">
      <c r="E924" s="39"/>
      <c r="F924" s="39"/>
      <c r="G924" s="39"/>
      <c r="H924" s="40"/>
      <c r="T924" s="49"/>
    </row>
    <row r="925" spans="5:20" s="38" customFormat="1" x14ac:dyDescent="0.35">
      <c r="E925" s="39"/>
      <c r="F925" s="39"/>
      <c r="G925" s="39"/>
      <c r="H925" s="40"/>
      <c r="T925" s="49"/>
    </row>
    <row r="926" spans="5:20" s="38" customFormat="1" x14ac:dyDescent="0.35">
      <c r="E926" s="39"/>
      <c r="F926" s="39"/>
      <c r="G926" s="39"/>
      <c r="H926" s="40"/>
      <c r="T926" s="49"/>
    </row>
    <row r="927" spans="5:20" s="38" customFormat="1" x14ac:dyDescent="0.35">
      <c r="E927" s="39"/>
      <c r="F927" s="39"/>
      <c r="G927" s="39"/>
      <c r="H927" s="40"/>
      <c r="T927" s="49"/>
    </row>
    <row r="928" spans="5:20" s="38" customFormat="1" x14ac:dyDescent="0.35">
      <c r="E928" s="39"/>
      <c r="F928" s="39"/>
      <c r="G928" s="39"/>
      <c r="H928" s="40"/>
      <c r="T928" s="49"/>
    </row>
    <row r="929" spans="5:20" s="38" customFormat="1" x14ac:dyDescent="0.35">
      <c r="E929" s="39"/>
      <c r="F929" s="39"/>
      <c r="G929" s="39"/>
      <c r="H929" s="40"/>
      <c r="T929" s="49"/>
    </row>
    <row r="930" spans="5:20" s="38" customFormat="1" x14ac:dyDescent="0.35">
      <c r="E930" s="39"/>
      <c r="F930" s="39"/>
      <c r="G930" s="39"/>
      <c r="H930" s="40"/>
      <c r="T930" s="49"/>
    </row>
    <row r="931" spans="5:20" s="38" customFormat="1" x14ac:dyDescent="0.35">
      <c r="E931" s="39"/>
      <c r="F931" s="39"/>
      <c r="G931" s="39"/>
      <c r="H931" s="40"/>
      <c r="T931" s="49"/>
    </row>
    <row r="932" spans="5:20" s="38" customFormat="1" x14ac:dyDescent="0.35">
      <c r="E932" s="39"/>
      <c r="F932" s="39"/>
      <c r="G932" s="39"/>
      <c r="H932" s="40"/>
      <c r="T932" s="49"/>
    </row>
    <row r="933" spans="5:20" s="38" customFormat="1" x14ac:dyDescent="0.35">
      <c r="E933" s="39"/>
      <c r="F933" s="39"/>
      <c r="G933" s="39"/>
      <c r="H933" s="40"/>
      <c r="T933" s="49"/>
    </row>
    <row r="934" spans="5:20" s="38" customFormat="1" x14ac:dyDescent="0.35">
      <c r="E934" s="39"/>
      <c r="F934" s="39"/>
      <c r="G934" s="39"/>
      <c r="H934" s="40"/>
      <c r="T934" s="49"/>
    </row>
    <row r="935" spans="5:20" s="38" customFormat="1" x14ac:dyDescent="0.35">
      <c r="E935" s="39"/>
      <c r="F935" s="39"/>
      <c r="G935" s="39"/>
      <c r="H935" s="40"/>
      <c r="T935" s="49"/>
    </row>
    <row r="936" spans="5:20" s="38" customFormat="1" x14ac:dyDescent="0.35">
      <c r="E936" s="39"/>
      <c r="F936" s="39"/>
      <c r="G936" s="39"/>
      <c r="H936" s="40"/>
      <c r="T936" s="49"/>
    </row>
    <row r="937" spans="5:20" s="38" customFormat="1" x14ac:dyDescent="0.35">
      <c r="E937" s="39"/>
      <c r="F937" s="39"/>
      <c r="G937" s="39"/>
      <c r="H937" s="40"/>
      <c r="T937" s="49"/>
    </row>
    <row r="938" spans="5:20" s="38" customFormat="1" x14ac:dyDescent="0.35">
      <c r="E938" s="39"/>
      <c r="F938" s="39"/>
      <c r="G938" s="39"/>
      <c r="H938" s="40"/>
      <c r="T938" s="49"/>
    </row>
    <row r="939" spans="5:20" s="38" customFormat="1" x14ac:dyDescent="0.35">
      <c r="E939" s="39"/>
      <c r="F939" s="39"/>
      <c r="G939" s="39"/>
      <c r="H939" s="40"/>
      <c r="T939" s="49"/>
    </row>
    <row r="940" spans="5:20" s="38" customFormat="1" x14ac:dyDescent="0.35">
      <c r="E940" s="39"/>
      <c r="F940" s="39"/>
      <c r="G940" s="39"/>
      <c r="H940" s="40"/>
      <c r="T940" s="49"/>
    </row>
    <row r="941" spans="5:20" s="38" customFormat="1" x14ac:dyDescent="0.35">
      <c r="E941" s="39"/>
      <c r="F941" s="39"/>
      <c r="G941" s="39"/>
      <c r="H941" s="40"/>
      <c r="T941" s="49"/>
    </row>
    <row r="942" spans="5:20" s="38" customFormat="1" x14ac:dyDescent="0.35">
      <c r="E942" s="39"/>
      <c r="F942" s="39"/>
      <c r="G942" s="39"/>
      <c r="H942" s="40"/>
      <c r="T942" s="49"/>
    </row>
    <row r="943" spans="5:20" s="38" customFormat="1" x14ac:dyDescent="0.35">
      <c r="E943" s="39"/>
      <c r="F943" s="39"/>
      <c r="G943" s="39"/>
      <c r="H943" s="40"/>
      <c r="T943" s="49"/>
    </row>
    <row r="944" spans="5:20" s="38" customFormat="1" x14ac:dyDescent="0.35">
      <c r="E944" s="39"/>
      <c r="F944" s="39"/>
      <c r="G944" s="39"/>
      <c r="H944" s="40"/>
      <c r="T944" s="49"/>
    </row>
    <row r="945" spans="5:20" s="38" customFormat="1" x14ac:dyDescent="0.35">
      <c r="E945" s="39"/>
      <c r="F945" s="39"/>
      <c r="G945" s="39"/>
      <c r="H945" s="40"/>
      <c r="T945" s="49"/>
    </row>
    <row r="946" spans="5:20" s="38" customFormat="1" x14ac:dyDescent="0.35">
      <c r="E946" s="39"/>
      <c r="F946" s="39"/>
      <c r="G946" s="39"/>
      <c r="H946" s="40"/>
      <c r="T946" s="49"/>
    </row>
    <row r="947" spans="5:20" s="38" customFormat="1" x14ac:dyDescent="0.35">
      <c r="E947" s="39"/>
      <c r="F947" s="39"/>
      <c r="G947" s="39"/>
      <c r="H947" s="40"/>
      <c r="T947" s="49"/>
    </row>
    <row r="948" spans="5:20" s="38" customFormat="1" x14ac:dyDescent="0.35">
      <c r="E948" s="39"/>
      <c r="F948" s="39"/>
      <c r="G948" s="39"/>
      <c r="H948" s="40"/>
      <c r="T948" s="49"/>
    </row>
    <row r="949" spans="5:20" s="38" customFormat="1" x14ac:dyDescent="0.35">
      <c r="E949" s="39"/>
      <c r="F949" s="39"/>
      <c r="G949" s="39"/>
      <c r="H949" s="40"/>
      <c r="T949" s="49"/>
    </row>
    <row r="950" spans="5:20" s="38" customFormat="1" x14ac:dyDescent="0.35">
      <c r="E950" s="39"/>
      <c r="F950" s="39"/>
      <c r="G950" s="39"/>
      <c r="H950" s="40"/>
      <c r="T950" s="49"/>
    </row>
    <row r="951" spans="5:20" s="38" customFormat="1" x14ac:dyDescent="0.35">
      <c r="E951" s="39"/>
      <c r="F951" s="39"/>
      <c r="G951" s="39"/>
      <c r="H951" s="40"/>
      <c r="T951" s="49"/>
    </row>
    <row r="952" spans="5:20" s="38" customFormat="1" x14ac:dyDescent="0.35">
      <c r="E952" s="39"/>
      <c r="F952" s="39"/>
      <c r="G952" s="39"/>
      <c r="H952" s="40"/>
      <c r="T952" s="49"/>
    </row>
    <row r="953" spans="5:20" s="38" customFormat="1" x14ac:dyDescent="0.35">
      <c r="E953" s="39"/>
      <c r="F953" s="39"/>
      <c r="G953" s="39"/>
      <c r="H953" s="40"/>
      <c r="T953" s="49"/>
    </row>
    <row r="954" spans="5:20" s="38" customFormat="1" x14ac:dyDescent="0.35">
      <c r="E954" s="39"/>
      <c r="F954" s="39"/>
      <c r="G954" s="39"/>
      <c r="H954" s="40"/>
      <c r="T954" s="49"/>
    </row>
    <row r="955" spans="5:20" s="38" customFormat="1" x14ac:dyDescent="0.35">
      <c r="E955" s="39"/>
      <c r="F955" s="39"/>
      <c r="G955" s="39"/>
      <c r="H955" s="40"/>
      <c r="T955" s="49"/>
    </row>
    <row r="956" spans="5:20" s="38" customFormat="1" x14ac:dyDescent="0.35">
      <c r="E956" s="39"/>
      <c r="F956" s="39"/>
      <c r="G956" s="39"/>
      <c r="H956" s="40"/>
      <c r="T956" s="49"/>
    </row>
    <row r="957" spans="5:20" s="38" customFormat="1" x14ac:dyDescent="0.35">
      <c r="E957" s="39"/>
      <c r="F957" s="39"/>
      <c r="G957" s="39"/>
      <c r="H957" s="40"/>
      <c r="T957" s="49"/>
    </row>
    <row r="958" spans="5:20" s="38" customFormat="1" x14ac:dyDescent="0.35">
      <c r="E958" s="39"/>
      <c r="F958" s="39"/>
      <c r="G958" s="39"/>
      <c r="H958" s="40"/>
      <c r="T958" s="49"/>
    </row>
    <row r="959" spans="5:20" s="38" customFormat="1" x14ac:dyDescent="0.35">
      <c r="E959" s="39"/>
      <c r="F959" s="39"/>
      <c r="G959" s="39"/>
      <c r="H959" s="40"/>
      <c r="T959" s="49"/>
    </row>
    <row r="960" spans="5:20" s="38" customFormat="1" x14ac:dyDescent="0.35">
      <c r="E960" s="39"/>
      <c r="F960" s="39"/>
      <c r="G960" s="39"/>
      <c r="H960" s="40"/>
      <c r="T960" s="49"/>
    </row>
    <row r="961" spans="5:20" s="38" customFormat="1" x14ac:dyDescent="0.35">
      <c r="E961" s="39"/>
      <c r="F961" s="39"/>
      <c r="G961" s="39"/>
      <c r="H961" s="40"/>
      <c r="T961" s="49"/>
    </row>
    <row r="962" spans="5:20" s="38" customFormat="1" x14ac:dyDescent="0.35">
      <c r="E962" s="39"/>
      <c r="F962" s="39"/>
      <c r="G962" s="39"/>
      <c r="H962" s="40"/>
      <c r="T962" s="49"/>
    </row>
    <row r="963" spans="5:20" s="38" customFormat="1" x14ac:dyDescent="0.35">
      <c r="E963" s="39"/>
      <c r="F963" s="39"/>
      <c r="G963" s="39"/>
      <c r="H963" s="40"/>
      <c r="T963" s="49"/>
    </row>
    <row r="964" spans="5:20" s="38" customFormat="1" x14ac:dyDescent="0.35">
      <c r="E964" s="39"/>
      <c r="F964" s="39"/>
      <c r="G964" s="39"/>
      <c r="H964" s="40"/>
      <c r="T964" s="49"/>
    </row>
    <row r="965" spans="5:20" s="38" customFormat="1" x14ac:dyDescent="0.35">
      <c r="E965" s="39"/>
      <c r="F965" s="39"/>
      <c r="G965" s="39"/>
      <c r="H965" s="40"/>
      <c r="T965" s="49"/>
    </row>
    <row r="966" spans="5:20" s="38" customFormat="1" x14ac:dyDescent="0.35">
      <c r="E966" s="39"/>
      <c r="F966" s="39"/>
      <c r="G966" s="39"/>
      <c r="H966" s="40"/>
      <c r="T966" s="49"/>
    </row>
    <row r="967" spans="5:20" s="38" customFormat="1" x14ac:dyDescent="0.35">
      <c r="E967" s="39"/>
      <c r="F967" s="39"/>
      <c r="G967" s="39"/>
      <c r="H967" s="40"/>
      <c r="T967" s="49"/>
    </row>
    <row r="968" spans="5:20" s="38" customFormat="1" x14ac:dyDescent="0.35">
      <c r="E968" s="39"/>
      <c r="F968" s="39"/>
      <c r="G968" s="39"/>
      <c r="H968" s="40"/>
      <c r="T968" s="49"/>
    </row>
    <row r="969" spans="5:20" s="38" customFormat="1" x14ac:dyDescent="0.35">
      <c r="E969" s="39"/>
      <c r="F969" s="39"/>
      <c r="G969" s="39"/>
      <c r="H969" s="40"/>
      <c r="T969" s="49"/>
    </row>
    <row r="970" spans="5:20" s="38" customFormat="1" x14ac:dyDescent="0.35">
      <c r="E970" s="39"/>
      <c r="F970" s="39"/>
      <c r="G970" s="39"/>
      <c r="H970" s="40"/>
      <c r="T970" s="49"/>
    </row>
    <row r="971" spans="5:20" s="38" customFormat="1" x14ac:dyDescent="0.35">
      <c r="E971" s="39"/>
      <c r="F971" s="39"/>
      <c r="G971" s="39"/>
      <c r="H971" s="40"/>
      <c r="T971" s="49"/>
    </row>
    <row r="972" spans="5:20" s="38" customFormat="1" x14ac:dyDescent="0.35">
      <c r="E972" s="39"/>
      <c r="F972" s="39"/>
      <c r="G972" s="39"/>
      <c r="H972" s="40"/>
      <c r="T972" s="49"/>
    </row>
    <row r="973" spans="5:20" s="38" customFormat="1" x14ac:dyDescent="0.35">
      <c r="E973" s="39"/>
      <c r="F973" s="39"/>
      <c r="G973" s="39"/>
      <c r="H973" s="40"/>
      <c r="T973" s="49"/>
    </row>
    <row r="974" spans="5:20" s="38" customFormat="1" x14ac:dyDescent="0.35">
      <c r="E974" s="39"/>
      <c r="F974" s="39"/>
      <c r="G974" s="39"/>
      <c r="H974" s="40"/>
      <c r="T974" s="49"/>
    </row>
    <row r="975" spans="5:20" s="38" customFormat="1" x14ac:dyDescent="0.35">
      <c r="E975" s="39"/>
      <c r="F975" s="39"/>
      <c r="G975" s="39"/>
      <c r="H975" s="40"/>
      <c r="T975" s="49"/>
    </row>
    <row r="976" spans="5:20" s="38" customFormat="1" x14ac:dyDescent="0.35">
      <c r="E976" s="39"/>
      <c r="F976" s="39"/>
      <c r="G976" s="39"/>
      <c r="H976" s="40"/>
      <c r="T976" s="49"/>
    </row>
    <row r="977" spans="5:20" s="38" customFormat="1" x14ac:dyDescent="0.35">
      <c r="E977" s="39"/>
      <c r="F977" s="39"/>
      <c r="G977" s="39"/>
      <c r="H977" s="40"/>
      <c r="T977" s="49"/>
    </row>
    <row r="978" spans="5:20" s="38" customFormat="1" x14ac:dyDescent="0.35">
      <c r="E978" s="39"/>
      <c r="F978" s="39"/>
      <c r="G978" s="39"/>
      <c r="H978" s="40"/>
      <c r="T978" s="49"/>
    </row>
    <row r="979" spans="5:20" s="38" customFormat="1" x14ac:dyDescent="0.35">
      <c r="E979" s="39"/>
      <c r="F979" s="39"/>
      <c r="G979" s="39"/>
      <c r="H979" s="40"/>
      <c r="T979" s="49"/>
    </row>
    <row r="980" spans="5:20" s="38" customFormat="1" x14ac:dyDescent="0.35">
      <c r="E980" s="39"/>
      <c r="F980" s="39"/>
      <c r="G980" s="39"/>
      <c r="H980" s="40"/>
      <c r="T980" s="49"/>
    </row>
    <row r="981" spans="5:20" s="38" customFormat="1" x14ac:dyDescent="0.35">
      <c r="E981" s="39"/>
      <c r="F981" s="39"/>
      <c r="G981" s="39"/>
      <c r="H981" s="40"/>
      <c r="T981" s="49"/>
    </row>
    <row r="982" spans="5:20" s="38" customFormat="1" x14ac:dyDescent="0.35">
      <c r="E982" s="39"/>
      <c r="F982" s="39"/>
      <c r="G982" s="39"/>
      <c r="H982" s="40"/>
      <c r="T982" s="49"/>
    </row>
    <row r="983" spans="5:20" s="38" customFormat="1" x14ac:dyDescent="0.35">
      <c r="E983" s="39"/>
      <c r="F983" s="39"/>
      <c r="G983" s="39"/>
      <c r="H983" s="40"/>
      <c r="T983" s="49"/>
    </row>
    <row r="984" spans="5:20" s="38" customFormat="1" x14ac:dyDescent="0.35">
      <c r="E984" s="39"/>
      <c r="F984" s="39"/>
      <c r="G984" s="39"/>
      <c r="H984" s="40"/>
      <c r="T984" s="49"/>
    </row>
    <row r="985" spans="5:20" s="38" customFormat="1" x14ac:dyDescent="0.35">
      <c r="E985" s="39"/>
      <c r="F985" s="39"/>
      <c r="G985" s="39"/>
      <c r="H985" s="40"/>
      <c r="T985" s="49"/>
    </row>
    <row r="986" spans="5:20" s="38" customFormat="1" x14ac:dyDescent="0.35">
      <c r="E986" s="39"/>
      <c r="F986" s="39"/>
      <c r="G986" s="39"/>
      <c r="H986" s="40"/>
      <c r="T986" s="49"/>
    </row>
    <row r="987" spans="5:20" s="38" customFormat="1" x14ac:dyDescent="0.35">
      <c r="E987" s="39"/>
      <c r="F987" s="39"/>
      <c r="G987" s="39"/>
      <c r="H987" s="40"/>
      <c r="T987" s="49"/>
    </row>
    <row r="988" spans="5:20" s="38" customFormat="1" x14ac:dyDescent="0.35">
      <c r="E988" s="39"/>
      <c r="F988" s="39"/>
      <c r="G988" s="39"/>
      <c r="H988" s="40"/>
      <c r="T988" s="49"/>
    </row>
    <row r="989" spans="5:20" s="38" customFormat="1" x14ac:dyDescent="0.35">
      <c r="E989" s="39"/>
      <c r="F989" s="39"/>
      <c r="G989" s="39"/>
      <c r="H989" s="40"/>
      <c r="T989" s="49"/>
    </row>
    <row r="990" spans="5:20" s="38" customFormat="1" x14ac:dyDescent="0.35">
      <c r="E990" s="39"/>
      <c r="F990" s="39"/>
      <c r="G990" s="39"/>
      <c r="H990" s="40"/>
      <c r="T990" s="49"/>
    </row>
    <row r="991" spans="5:20" s="38" customFormat="1" x14ac:dyDescent="0.35">
      <c r="E991" s="39"/>
      <c r="F991" s="39"/>
      <c r="G991" s="39"/>
      <c r="H991" s="40"/>
      <c r="T991" s="49"/>
    </row>
    <row r="992" spans="5:20" s="38" customFormat="1" x14ac:dyDescent="0.35">
      <c r="E992" s="39"/>
      <c r="F992" s="39"/>
      <c r="G992" s="39"/>
      <c r="H992" s="40"/>
      <c r="T992" s="49"/>
    </row>
    <row r="993" spans="5:20" s="38" customFormat="1" x14ac:dyDescent="0.35">
      <c r="E993" s="39"/>
      <c r="F993" s="39"/>
      <c r="G993" s="39"/>
      <c r="H993" s="40"/>
      <c r="T993" s="49"/>
    </row>
    <row r="994" spans="5:20" s="38" customFormat="1" x14ac:dyDescent="0.35">
      <c r="E994" s="39"/>
      <c r="F994" s="39"/>
      <c r="G994" s="39"/>
      <c r="H994" s="40"/>
      <c r="T994" s="49"/>
    </row>
    <row r="995" spans="5:20" s="38" customFormat="1" x14ac:dyDescent="0.35">
      <c r="E995" s="39"/>
      <c r="F995" s="39"/>
      <c r="G995" s="39"/>
      <c r="H995" s="40"/>
      <c r="T995" s="49"/>
    </row>
    <row r="996" spans="5:20" s="38" customFormat="1" x14ac:dyDescent="0.35">
      <c r="E996" s="39"/>
      <c r="F996" s="39"/>
      <c r="G996" s="39"/>
      <c r="H996" s="40"/>
      <c r="T996" s="49"/>
    </row>
    <row r="997" spans="5:20" s="38" customFormat="1" x14ac:dyDescent="0.35">
      <c r="E997" s="39"/>
      <c r="F997" s="39"/>
      <c r="G997" s="39"/>
      <c r="H997" s="40"/>
      <c r="T997" s="49"/>
    </row>
    <row r="998" spans="5:20" s="38" customFormat="1" x14ac:dyDescent="0.35">
      <c r="E998" s="39"/>
      <c r="F998" s="39"/>
      <c r="G998" s="39"/>
      <c r="H998" s="40"/>
      <c r="T998" s="49"/>
    </row>
    <row r="999" spans="5:20" s="38" customFormat="1" x14ac:dyDescent="0.35">
      <c r="E999" s="39"/>
      <c r="F999" s="39"/>
      <c r="G999" s="39"/>
      <c r="H999" s="40"/>
      <c r="T999" s="49"/>
    </row>
    <row r="1000" spans="5:20" s="38" customFormat="1" x14ac:dyDescent="0.35">
      <c r="E1000" s="39"/>
      <c r="F1000" s="39"/>
      <c r="G1000" s="39"/>
      <c r="H1000" s="40"/>
      <c r="T1000" s="49"/>
    </row>
    <row r="1001" spans="5:20" s="38" customFormat="1" x14ac:dyDescent="0.35">
      <c r="E1001" s="39"/>
      <c r="F1001" s="39"/>
      <c r="G1001" s="39"/>
      <c r="H1001" s="40"/>
      <c r="T1001" s="49"/>
    </row>
    <row r="1002" spans="5:20" s="38" customFormat="1" x14ac:dyDescent="0.35">
      <c r="E1002" s="39"/>
      <c r="F1002" s="39"/>
      <c r="G1002" s="39"/>
      <c r="H1002" s="40"/>
      <c r="T1002" s="49"/>
    </row>
    <row r="1003" spans="5:20" s="38" customFormat="1" x14ac:dyDescent="0.35">
      <c r="E1003" s="39"/>
      <c r="F1003" s="39"/>
      <c r="G1003" s="39"/>
      <c r="H1003" s="40"/>
      <c r="T1003" s="49"/>
    </row>
    <row r="1004" spans="5:20" s="38" customFormat="1" x14ac:dyDescent="0.35">
      <c r="E1004" s="39"/>
      <c r="F1004" s="39"/>
      <c r="G1004" s="39"/>
      <c r="H1004" s="40"/>
      <c r="T1004" s="49"/>
    </row>
    <row r="1005" spans="5:20" s="38" customFormat="1" x14ac:dyDescent="0.35">
      <c r="E1005" s="39"/>
      <c r="F1005" s="39"/>
      <c r="G1005" s="39"/>
      <c r="H1005" s="40"/>
      <c r="T1005" s="49"/>
    </row>
    <row r="1006" spans="5:20" s="38" customFormat="1" x14ac:dyDescent="0.35">
      <c r="E1006" s="39"/>
      <c r="F1006" s="39"/>
      <c r="G1006" s="39"/>
      <c r="H1006" s="40"/>
      <c r="T1006" s="49"/>
    </row>
    <row r="1007" spans="5:20" s="38" customFormat="1" x14ac:dyDescent="0.35">
      <c r="E1007" s="39"/>
      <c r="F1007" s="39"/>
      <c r="G1007" s="39"/>
      <c r="H1007" s="40"/>
      <c r="T1007" s="49"/>
    </row>
    <row r="1008" spans="5:20" s="38" customFormat="1" x14ac:dyDescent="0.35">
      <c r="E1008" s="39"/>
      <c r="F1008" s="39"/>
      <c r="G1008" s="39"/>
      <c r="H1008" s="40"/>
      <c r="T1008" s="49"/>
    </row>
    <row r="1009" spans="5:20" s="38" customFormat="1" x14ac:dyDescent="0.35">
      <c r="E1009" s="39"/>
      <c r="F1009" s="39"/>
      <c r="G1009" s="39"/>
      <c r="H1009" s="40"/>
      <c r="T1009" s="49"/>
    </row>
    <row r="1010" spans="5:20" s="38" customFormat="1" x14ac:dyDescent="0.35">
      <c r="E1010" s="39"/>
      <c r="F1010" s="39"/>
      <c r="G1010" s="39"/>
      <c r="H1010" s="40"/>
      <c r="T1010" s="49"/>
    </row>
    <row r="1011" spans="5:20" s="38" customFormat="1" x14ac:dyDescent="0.35">
      <c r="E1011" s="39"/>
      <c r="F1011" s="39"/>
      <c r="G1011" s="39"/>
      <c r="H1011" s="40"/>
      <c r="T1011" s="49"/>
    </row>
    <row r="1012" spans="5:20" s="38" customFormat="1" x14ac:dyDescent="0.35">
      <c r="E1012" s="39"/>
      <c r="F1012" s="39"/>
      <c r="G1012" s="39"/>
      <c r="H1012" s="40"/>
      <c r="T1012" s="49"/>
    </row>
    <row r="1013" spans="5:20" s="38" customFormat="1" x14ac:dyDescent="0.35">
      <c r="E1013" s="39"/>
      <c r="F1013" s="39"/>
      <c r="G1013" s="39"/>
      <c r="H1013" s="40"/>
      <c r="T1013" s="49"/>
    </row>
    <row r="1014" spans="5:20" s="38" customFormat="1" x14ac:dyDescent="0.35">
      <c r="E1014" s="39"/>
      <c r="F1014" s="39"/>
      <c r="G1014" s="39"/>
      <c r="H1014" s="40"/>
      <c r="T1014" s="49"/>
    </row>
    <row r="1015" spans="5:20" s="38" customFormat="1" x14ac:dyDescent="0.35">
      <c r="E1015" s="39"/>
      <c r="F1015" s="39"/>
      <c r="G1015" s="39"/>
      <c r="H1015" s="40"/>
      <c r="T1015" s="49"/>
    </row>
    <row r="1016" spans="5:20" s="38" customFormat="1" x14ac:dyDescent="0.35">
      <c r="E1016" s="39"/>
      <c r="F1016" s="39"/>
      <c r="G1016" s="39"/>
      <c r="H1016" s="40"/>
      <c r="T1016" s="49"/>
    </row>
    <row r="1017" spans="5:20" s="38" customFormat="1" x14ac:dyDescent="0.35">
      <c r="E1017" s="39"/>
      <c r="F1017" s="39"/>
      <c r="G1017" s="39"/>
      <c r="H1017" s="40"/>
      <c r="T1017" s="49"/>
    </row>
    <row r="1018" spans="5:20" s="38" customFormat="1" x14ac:dyDescent="0.35">
      <c r="E1018" s="39"/>
      <c r="F1018" s="39"/>
      <c r="G1018" s="39"/>
      <c r="H1018" s="40"/>
      <c r="T1018" s="49"/>
    </row>
    <row r="1019" spans="5:20" s="38" customFormat="1" x14ac:dyDescent="0.35">
      <c r="E1019" s="39"/>
      <c r="F1019" s="39"/>
      <c r="G1019" s="39"/>
      <c r="H1019" s="40"/>
      <c r="T1019" s="49"/>
    </row>
    <row r="1020" spans="5:20" s="38" customFormat="1" x14ac:dyDescent="0.35">
      <c r="E1020" s="39"/>
      <c r="F1020" s="39"/>
      <c r="G1020" s="39"/>
      <c r="H1020" s="40"/>
      <c r="T1020" s="49"/>
    </row>
    <row r="1021" spans="5:20" s="38" customFormat="1" x14ac:dyDescent="0.35">
      <c r="E1021" s="39"/>
      <c r="F1021" s="39"/>
      <c r="G1021" s="39"/>
      <c r="H1021" s="40"/>
      <c r="T1021" s="49"/>
    </row>
    <row r="1022" spans="5:20" s="38" customFormat="1" x14ac:dyDescent="0.35">
      <c r="E1022" s="39"/>
      <c r="F1022" s="39"/>
      <c r="G1022" s="39"/>
      <c r="H1022" s="40"/>
      <c r="T1022" s="49"/>
    </row>
    <row r="1023" spans="5:20" s="38" customFormat="1" x14ac:dyDescent="0.35">
      <c r="E1023" s="39"/>
      <c r="F1023" s="39"/>
      <c r="G1023" s="39"/>
      <c r="H1023" s="40"/>
      <c r="T1023" s="49"/>
    </row>
    <row r="1024" spans="5:20" s="38" customFormat="1" x14ac:dyDescent="0.35">
      <c r="E1024" s="39"/>
      <c r="F1024" s="39"/>
      <c r="G1024" s="39"/>
      <c r="H1024" s="40"/>
      <c r="T1024" s="49"/>
    </row>
    <row r="1025" spans="5:20" s="38" customFormat="1" x14ac:dyDescent="0.35">
      <c r="E1025" s="39"/>
      <c r="F1025" s="39"/>
      <c r="G1025" s="39"/>
      <c r="H1025" s="40"/>
      <c r="T1025" s="49"/>
    </row>
    <row r="1026" spans="5:20" s="38" customFormat="1" x14ac:dyDescent="0.35">
      <c r="E1026" s="39"/>
      <c r="F1026" s="39"/>
      <c r="G1026" s="39"/>
      <c r="H1026" s="40"/>
      <c r="T1026" s="49"/>
    </row>
    <row r="1027" spans="5:20" s="38" customFormat="1" x14ac:dyDescent="0.35">
      <c r="E1027" s="39"/>
      <c r="F1027" s="39"/>
      <c r="G1027" s="39"/>
      <c r="H1027" s="40"/>
      <c r="T1027" s="49"/>
    </row>
    <row r="1028" spans="5:20" s="38" customFormat="1" x14ac:dyDescent="0.35">
      <c r="E1028" s="39"/>
      <c r="F1028" s="39"/>
      <c r="G1028" s="39"/>
      <c r="H1028" s="40"/>
      <c r="T1028" s="49"/>
    </row>
    <row r="1029" spans="5:20" s="38" customFormat="1" x14ac:dyDescent="0.35">
      <c r="E1029" s="39"/>
      <c r="F1029" s="39"/>
      <c r="G1029" s="39"/>
      <c r="H1029" s="40"/>
      <c r="T1029" s="49"/>
    </row>
    <row r="1030" spans="5:20" s="38" customFormat="1" x14ac:dyDescent="0.35">
      <c r="E1030" s="39"/>
      <c r="F1030" s="39"/>
      <c r="G1030" s="39"/>
      <c r="H1030" s="40"/>
      <c r="T1030" s="49"/>
    </row>
    <row r="1031" spans="5:20" s="38" customFormat="1" x14ac:dyDescent="0.35">
      <c r="E1031" s="39"/>
      <c r="F1031" s="39"/>
      <c r="G1031" s="39"/>
      <c r="H1031" s="40"/>
      <c r="T1031" s="49"/>
    </row>
    <row r="1032" spans="5:20" s="38" customFormat="1" x14ac:dyDescent="0.35">
      <c r="E1032" s="39"/>
      <c r="F1032" s="39"/>
      <c r="G1032" s="39"/>
      <c r="H1032" s="40"/>
      <c r="T1032" s="49"/>
    </row>
    <row r="1033" spans="5:20" s="38" customFormat="1" x14ac:dyDescent="0.35">
      <c r="E1033" s="39"/>
      <c r="F1033" s="39"/>
      <c r="G1033" s="39"/>
      <c r="H1033" s="40"/>
      <c r="T1033" s="49"/>
    </row>
    <row r="1034" spans="5:20" s="38" customFormat="1" x14ac:dyDescent="0.35">
      <c r="E1034" s="39"/>
      <c r="F1034" s="39"/>
      <c r="G1034" s="39"/>
      <c r="H1034" s="40"/>
      <c r="T1034" s="49"/>
    </row>
    <row r="1035" spans="5:20" s="38" customFormat="1" x14ac:dyDescent="0.35">
      <c r="E1035" s="39"/>
      <c r="F1035" s="39"/>
      <c r="G1035" s="39"/>
      <c r="H1035" s="40"/>
      <c r="T1035" s="49"/>
    </row>
    <row r="1036" spans="5:20" s="38" customFormat="1" x14ac:dyDescent="0.35">
      <c r="E1036" s="39"/>
      <c r="F1036" s="39"/>
      <c r="G1036" s="39"/>
      <c r="H1036" s="40"/>
      <c r="T1036" s="49"/>
    </row>
    <row r="1037" spans="5:20" s="38" customFormat="1" x14ac:dyDescent="0.35">
      <c r="E1037" s="39"/>
      <c r="F1037" s="39"/>
      <c r="G1037" s="39"/>
      <c r="H1037" s="40"/>
      <c r="T1037" s="49"/>
    </row>
    <row r="1038" spans="5:20" s="38" customFormat="1" x14ac:dyDescent="0.35">
      <c r="E1038" s="39"/>
      <c r="F1038" s="39"/>
      <c r="G1038" s="39"/>
      <c r="H1038" s="40"/>
      <c r="T1038" s="49"/>
    </row>
    <row r="1039" spans="5:20" s="38" customFormat="1" x14ac:dyDescent="0.35">
      <c r="E1039" s="39"/>
      <c r="F1039" s="39"/>
      <c r="G1039" s="39"/>
      <c r="H1039" s="40"/>
      <c r="T1039" s="49"/>
    </row>
    <row r="1040" spans="5:20" s="38" customFormat="1" x14ac:dyDescent="0.35">
      <c r="E1040" s="39"/>
      <c r="F1040" s="39"/>
      <c r="G1040" s="39"/>
      <c r="H1040" s="40"/>
      <c r="T1040" s="49"/>
    </row>
    <row r="1041" spans="5:20" s="38" customFormat="1" x14ac:dyDescent="0.35">
      <c r="E1041" s="39"/>
      <c r="F1041" s="39"/>
      <c r="G1041" s="39"/>
      <c r="H1041" s="40"/>
      <c r="T1041" s="49"/>
    </row>
    <row r="1042" spans="5:20" s="38" customFormat="1" x14ac:dyDescent="0.35">
      <c r="E1042" s="39"/>
      <c r="F1042" s="39"/>
      <c r="G1042" s="39"/>
      <c r="H1042" s="40"/>
      <c r="T1042" s="49"/>
    </row>
    <row r="1043" spans="5:20" s="38" customFormat="1" x14ac:dyDescent="0.35">
      <c r="E1043" s="39"/>
      <c r="F1043" s="39"/>
      <c r="G1043" s="39"/>
      <c r="H1043" s="40"/>
      <c r="T1043" s="49"/>
    </row>
    <row r="1044" spans="5:20" s="38" customFormat="1" x14ac:dyDescent="0.35">
      <c r="E1044" s="39"/>
      <c r="F1044" s="39"/>
      <c r="G1044" s="39"/>
      <c r="H1044" s="40"/>
      <c r="T1044" s="49"/>
    </row>
    <row r="1045" spans="5:20" s="38" customFormat="1" x14ac:dyDescent="0.35">
      <c r="E1045" s="39"/>
      <c r="F1045" s="39"/>
      <c r="G1045" s="39"/>
      <c r="H1045" s="40"/>
      <c r="T1045" s="49"/>
    </row>
    <row r="1046" spans="5:20" s="38" customFormat="1" x14ac:dyDescent="0.35">
      <c r="E1046" s="39"/>
      <c r="F1046" s="39"/>
      <c r="G1046" s="39"/>
      <c r="H1046" s="40"/>
      <c r="T1046" s="49"/>
    </row>
    <row r="1047" spans="5:20" s="38" customFormat="1" x14ac:dyDescent="0.35">
      <c r="E1047" s="39"/>
      <c r="F1047" s="39"/>
      <c r="G1047" s="39"/>
      <c r="H1047" s="40"/>
      <c r="T1047" s="49"/>
    </row>
    <row r="1048" spans="5:20" s="38" customFormat="1" x14ac:dyDescent="0.35">
      <c r="E1048" s="39"/>
      <c r="F1048" s="39"/>
      <c r="G1048" s="39"/>
      <c r="H1048" s="40"/>
      <c r="T1048" s="49"/>
    </row>
    <row r="1049" spans="5:20" s="38" customFormat="1" x14ac:dyDescent="0.35">
      <c r="E1049" s="39"/>
      <c r="F1049" s="39"/>
      <c r="G1049" s="39"/>
      <c r="H1049" s="40"/>
      <c r="T1049" s="49"/>
    </row>
    <row r="1050" spans="5:20" s="38" customFormat="1" x14ac:dyDescent="0.35">
      <c r="E1050" s="39"/>
      <c r="F1050" s="39"/>
      <c r="G1050" s="39"/>
      <c r="H1050" s="40"/>
      <c r="T1050" s="49"/>
    </row>
    <row r="1051" spans="5:20" s="38" customFormat="1" x14ac:dyDescent="0.35">
      <c r="E1051" s="39"/>
      <c r="F1051" s="39"/>
      <c r="G1051" s="39"/>
      <c r="H1051" s="40"/>
      <c r="T1051" s="49"/>
    </row>
    <row r="1052" spans="5:20" s="38" customFormat="1" x14ac:dyDescent="0.35">
      <c r="E1052" s="39"/>
      <c r="F1052" s="39"/>
      <c r="G1052" s="39"/>
      <c r="H1052" s="40"/>
      <c r="T1052" s="49"/>
    </row>
    <row r="1053" spans="5:20" s="38" customFormat="1" x14ac:dyDescent="0.35">
      <c r="E1053" s="39"/>
      <c r="F1053" s="39"/>
      <c r="G1053" s="39"/>
      <c r="H1053" s="40"/>
      <c r="T1053" s="49"/>
    </row>
    <row r="1054" spans="5:20" s="38" customFormat="1" x14ac:dyDescent="0.35">
      <c r="E1054" s="39"/>
      <c r="F1054" s="39"/>
      <c r="G1054" s="39"/>
      <c r="H1054" s="40"/>
      <c r="T1054" s="49"/>
    </row>
    <row r="1055" spans="5:20" s="38" customFormat="1" x14ac:dyDescent="0.35">
      <c r="E1055" s="39"/>
      <c r="F1055" s="39"/>
      <c r="G1055" s="39"/>
      <c r="H1055" s="40"/>
      <c r="T1055" s="49"/>
    </row>
    <row r="1056" spans="5:20" s="38" customFormat="1" x14ac:dyDescent="0.35">
      <c r="E1056" s="39"/>
      <c r="F1056" s="39"/>
      <c r="G1056" s="39"/>
      <c r="H1056" s="40"/>
      <c r="T1056" s="49"/>
    </row>
    <row r="1057" spans="5:20" s="38" customFormat="1" x14ac:dyDescent="0.35">
      <c r="E1057" s="39"/>
      <c r="F1057" s="39"/>
      <c r="G1057" s="39"/>
      <c r="H1057" s="40"/>
      <c r="T1057" s="49"/>
    </row>
    <row r="1058" spans="5:20" s="38" customFormat="1" x14ac:dyDescent="0.35">
      <c r="E1058" s="39"/>
      <c r="F1058" s="39"/>
      <c r="G1058" s="39"/>
      <c r="H1058" s="40"/>
      <c r="T1058" s="49"/>
    </row>
    <row r="1059" spans="5:20" s="38" customFormat="1" x14ac:dyDescent="0.35">
      <c r="E1059" s="39"/>
      <c r="F1059" s="39"/>
      <c r="G1059" s="39"/>
      <c r="H1059" s="40"/>
      <c r="T1059" s="49"/>
    </row>
    <row r="1060" spans="5:20" s="38" customFormat="1" x14ac:dyDescent="0.35">
      <c r="E1060" s="39"/>
      <c r="F1060" s="39"/>
      <c r="G1060" s="39"/>
      <c r="H1060" s="40"/>
      <c r="T1060" s="49"/>
    </row>
    <row r="1061" spans="5:20" s="38" customFormat="1" x14ac:dyDescent="0.35">
      <c r="E1061" s="39"/>
      <c r="F1061" s="39"/>
      <c r="G1061" s="39"/>
      <c r="H1061" s="40"/>
      <c r="T1061" s="49"/>
    </row>
    <row r="1062" spans="5:20" s="38" customFormat="1" x14ac:dyDescent="0.35">
      <c r="E1062" s="39"/>
      <c r="F1062" s="39"/>
      <c r="G1062" s="39"/>
      <c r="H1062" s="40"/>
      <c r="T1062" s="49"/>
    </row>
    <row r="1063" spans="5:20" s="38" customFormat="1" x14ac:dyDescent="0.35">
      <c r="E1063" s="39"/>
      <c r="F1063" s="39"/>
      <c r="G1063" s="39"/>
      <c r="H1063" s="40"/>
      <c r="T1063" s="49"/>
    </row>
    <row r="1064" spans="5:20" s="38" customFormat="1" x14ac:dyDescent="0.35">
      <c r="E1064" s="39"/>
      <c r="F1064" s="39"/>
      <c r="G1064" s="39"/>
      <c r="H1064" s="40"/>
      <c r="T1064" s="49"/>
    </row>
    <row r="1065" spans="5:20" s="38" customFormat="1" x14ac:dyDescent="0.35">
      <c r="E1065" s="39"/>
      <c r="F1065" s="39"/>
      <c r="G1065" s="39"/>
      <c r="H1065" s="40"/>
      <c r="T1065" s="49"/>
    </row>
    <row r="1066" spans="5:20" s="38" customFormat="1" x14ac:dyDescent="0.35">
      <c r="E1066" s="39"/>
      <c r="F1066" s="39"/>
      <c r="G1066" s="39"/>
      <c r="H1066" s="40"/>
      <c r="T1066" s="49"/>
    </row>
    <row r="1067" spans="5:20" s="38" customFormat="1" x14ac:dyDescent="0.35">
      <c r="E1067" s="39"/>
      <c r="F1067" s="39"/>
      <c r="G1067" s="39"/>
      <c r="H1067" s="40"/>
      <c r="T1067" s="49"/>
    </row>
    <row r="1068" spans="5:20" s="38" customFormat="1" x14ac:dyDescent="0.35">
      <c r="E1068" s="39"/>
      <c r="F1068" s="39"/>
      <c r="G1068" s="39"/>
      <c r="H1068" s="40"/>
      <c r="T1068" s="49"/>
    </row>
    <row r="1069" spans="5:20" s="38" customFormat="1" x14ac:dyDescent="0.35">
      <c r="E1069" s="39"/>
      <c r="F1069" s="39"/>
      <c r="G1069" s="39"/>
      <c r="H1069" s="40"/>
      <c r="T1069" s="49"/>
    </row>
    <row r="1070" spans="5:20" s="38" customFormat="1" x14ac:dyDescent="0.35">
      <c r="E1070" s="39"/>
      <c r="F1070" s="39"/>
      <c r="G1070" s="39"/>
      <c r="H1070" s="40"/>
      <c r="T1070" s="49"/>
    </row>
    <row r="1071" spans="5:20" s="38" customFormat="1" x14ac:dyDescent="0.35">
      <c r="E1071" s="39"/>
      <c r="F1071" s="39"/>
      <c r="G1071" s="39"/>
      <c r="H1071" s="40"/>
      <c r="T1071" s="49"/>
    </row>
    <row r="1072" spans="5:20" s="38" customFormat="1" x14ac:dyDescent="0.35">
      <c r="E1072" s="39"/>
      <c r="F1072" s="39"/>
      <c r="G1072" s="39"/>
      <c r="H1072" s="40"/>
      <c r="T1072" s="49"/>
    </row>
    <row r="1073" spans="5:20" s="38" customFormat="1" x14ac:dyDescent="0.35">
      <c r="E1073" s="39"/>
      <c r="F1073" s="39"/>
      <c r="G1073" s="39"/>
      <c r="H1073" s="40"/>
      <c r="T1073" s="49"/>
    </row>
    <row r="1074" spans="5:20" s="38" customFormat="1" x14ac:dyDescent="0.35">
      <c r="E1074" s="39"/>
      <c r="F1074" s="39"/>
      <c r="G1074" s="39"/>
      <c r="H1074" s="40"/>
      <c r="T1074" s="49"/>
    </row>
    <row r="1075" spans="5:20" s="38" customFormat="1" x14ac:dyDescent="0.35">
      <c r="E1075" s="39"/>
      <c r="F1075" s="39"/>
      <c r="G1075" s="39"/>
      <c r="H1075" s="40"/>
      <c r="T1075" s="49"/>
    </row>
    <row r="1076" spans="5:20" s="38" customFormat="1" x14ac:dyDescent="0.35">
      <c r="E1076" s="39"/>
      <c r="F1076" s="39"/>
      <c r="G1076" s="39"/>
      <c r="H1076" s="40"/>
      <c r="T1076" s="49"/>
    </row>
    <row r="1077" spans="5:20" s="38" customFormat="1" x14ac:dyDescent="0.35">
      <c r="E1077" s="39"/>
      <c r="F1077" s="39"/>
      <c r="G1077" s="39"/>
      <c r="H1077" s="40"/>
      <c r="T1077" s="49"/>
    </row>
    <row r="1078" spans="5:20" s="38" customFormat="1" x14ac:dyDescent="0.35">
      <c r="E1078" s="39"/>
      <c r="F1078" s="39"/>
      <c r="G1078" s="39"/>
      <c r="H1078" s="40"/>
      <c r="T1078" s="49"/>
    </row>
    <row r="1079" spans="5:20" s="38" customFormat="1" x14ac:dyDescent="0.35">
      <c r="E1079" s="39"/>
      <c r="F1079" s="39"/>
      <c r="G1079" s="39"/>
      <c r="H1079" s="40"/>
      <c r="T1079" s="49"/>
    </row>
    <row r="1080" spans="5:20" s="38" customFormat="1" x14ac:dyDescent="0.35">
      <c r="E1080" s="39"/>
      <c r="F1080" s="39"/>
      <c r="G1080" s="39"/>
      <c r="H1080" s="40"/>
      <c r="T1080" s="49"/>
    </row>
    <row r="1081" spans="5:20" s="38" customFormat="1" x14ac:dyDescent="0.35">
      <c r="E1081" s="39"/>
      <c r="F1081" s="39"/>
      <c r="G1081" s="39"/>
      <c r="H1081" s="40"/>
      <c r="T1081" s="49"/>
    </row>
    <row r="1082" spans="5:20" s="38" customFormat="1" x14ac:dyDescent="0.35">
      <c r="E1082" s="39"/>
      <c r="F1082" s="39"/>
      <c r="G1082" s="39"/>
      <c r="H1082" s="40"/>
      <c r="T1082" s="49"/>
    </row>
    <row r="1083" spans="5:20" s="38" customFormat="1" x14ac:dyDescent="0.35">
      <c r="E1083" s="39"/>
      <c r="F1083" s="39"/>
      <c r="G1083" s="39"/>
      <c r="H1083" s="40"/>
      <c r="T1083" s="49"/>
    </row>
    <row r="1084" spans="5:20" s="38" customFormat="1" x14ac:dyDescent="0.35">
      <c r="E1084" s="39"/>
      <c r="F1084" s="39"/>
      <c r="G1084" s="39"/>
      <c r="H1084" s="40"/>
      <c r="T1084" s="49"/>
    </row>
    <row r="1085" spans="5:20" s="38" customFormat="1" x14ac:dyDescent="0.35">
      <c r="E1085" s="39"/>
      <c r="F1085" s="39"/>
      <c r="G1085" s="39"/>
      <c r="H1085" s="40"/>
      <c r="T1085" s="49"/>
    </row>
    <row r="1086" spans="5:20" s="38" customFormat="1" x14ac:dyDescent="0.35">
      <c r="E1086" s="39"/>
      <c r="F1086" s="39"/>
      <c r="G1086" s="39"/>
      <c r="H1086" s="40"/>
      <c r="T1086" s="49"/>
    </row>
    <row r="1087" spans="5:20" s="38" customFormat="1" x14ac:dyDescent="0.35">
      <c r="E1087" s="39"/>
      <c r="F1087" s="39"/>
      <c r="G1087" s="39"/>
      <c r="H1087" s="40"/>
      <c r="T1087" s="49"/>
    </row>
    <row r="1088" spans="5:20" s="38" customFormat="1" x14ac:dyDescent="0.35">
      <c r="E1088" s="39"/>
      <c r="F1088" s="39"/>
      <c r="G1088" s="39"/>
      <c r="H1088" s="40"/>
      <c r="T1088" s="49"/>
    </row>
    <row r="1089" spans="5:20" s="38" customFormat="1" x14ac:dyDescent="0.35">
      <c r="E1089" s="39"/>
      <c r="F1089" s="39"/>
      <c r="G1089" s="39"/>
      <c r="H1089" s="40"/>
      <c r="T1089" s="49"/>
    </row>
    <row r="1090" spans="5:20" s="38" customFormat="1" x14ac:dyDescent="0.35">
      <c r="E1090" s="39"/>
      <c r="F1090" s="39"/>
      <c r="G1090" s="39"/>
      <c r="H1090" s="40"/>
      <c r="T1090" s="49"/>
    </row>
    <row r="1091" spans="5:20" s="38" customFormat="1" x14ac:dyDescent="0.35">
      <c r="E1091" s="39"/>
      <c r="F1091" s="39"/>
      <c r="G1091" s="39"/>
      <c r="H1091" s="40"/>
      <c r="T1091" s="49"/>
    </row>
    <row r="1092" spans="5:20" s="38" customFormat="1" x14ac:dyDescent="0.35">
      <c r="E1092" s="39"/>
      <c r="F1092" s="39"/>
      <c r="G1092" s="39"/>
      <c r="H1092" s="40"/>
      <c r="T1092" s="49"/>
    </row>
    <row r="1093" spans="5:20" s="38" customFormat="1" x14ac:dyDescent="0.35">
      <c r="E1093" s="39"/>
      <c r="F1093" s="39"/>
      <c r="G1093" s="39"/>
      <c r="H1093" s="40"/>
      <c r="T1093" s="49"/>
    </row>
    <row r="1094" spans="5:20" s="38" customFormat="1" x14ac:dyDescent="0.35">
      <c r="E1094" s="39"/>
      <c r="F1094" s="39"/>
      <c r="G1094" s="39"/>
      <c r="H1094" s="40"/>
      <c r="T1094" s="49"/>
    </row>
    <row r="1095" spans="5:20" s="38" customFormat="1" x14ac:dyDescent="0.35">
      <c r="E1095" s="39"/>
      <c r="F1095" s="39"/>
      <c r="G1095" s="39"/>
      <c r="H1095" s="40"/>
      <c r="T1095" s="49"/>
    </row>
    <row r="1096" spans="5:20" s="38" customFormat="1" x14ac:dyDescent="0.35">
      <c r="E1096" s="39"/>
      <c r="F1096" s="39"/>
      <c r="G1096" s="39"/>
      <c r="H1096" s="40"/>
      <c r="T1096" s="49"/>
    </row>
    <row r="1097" spans="5:20" s="38" customFormat="1" x14ac:dyDescent="0.35">
      <c r="E1097" s="39"/>
      <c r="F1097" s="39"/>
      <c r="G1097" s="39"/>
      <c r="H1097" s="40"/>
      <c r="T1097" s="49"/>
    </row>
    <row r="1098" spans="5:20" s="38" customFormat="1" x14ac:dyDescent="0.35">
      <c r="E1098" s="39"/>
      <c r="F1098" s="39"/>
      <c r="G1098" s="39"/>
      <c r="H1098" s="40"/>
      <c r="T1098" s="49"/>
    </row>
    <row r="1099" spans="5:20" s="38" customFormat="1" x14ac:dyDescent="0.35">
      <c r="E1099" s="39"/>
      <c r="F1099" s="39"/>
      <c r="G1099" s="39"/>
      <c r="H1099" s="40"/>
      <c r="T1099" s="49"/>
    </row>
    <row r="1100" spans="5:20" s="38" customFormat="1" x14ac:dyDescent="0.35">
      <c r="E1100" s="39"/>
      <c r="F1100" s="39"/>
      <c r="G1100" s="39"/>
      <c r="H1100" s="40"/>
      <c r="T1100" s="49"/>
    </row>
    <row r="1101" spans="5:20" s="38" customFormat="1" x14ac:dyDescent="0.35">
      <c r="E1101" s="39"/>
      <c r="F1101" s="39"/>
      <c r="G1101" s="39"/>
      <c r="H1101" s="40"/>
      <c r="T1101" s="49"/>
    </row>
    <row r="1102" spans="5:20" s="38" customFormat="1" x14ac:dyDescent="0.35">
      <c r="E1102" s="39"/>
      <c r="F1102" s="39"/>
      <c r="G1102" s="39"/>
      <c r="H1102" s="40"/>
      <c r="T1102" s="49"/>
    </row>
    <row r="1103" spans="5:20" s="38" customFormat="1" x14ac:dyDescent="0.35">
      <c r="E1103" s="39"/>
      <c r="F1103" s="39"/>
      <c r="G1103" s="39"/>
      <c r="H1103" s="40"/>
      <c r="T1103" s="49"/>
    </row>
    <row r="1104" spans="5:20" s="38" customFormat="1" x14ac:dyDescent="0.35">
      <c r="E1104" s="39"/>
      <c r="F1104" s="39"/>
      <c r="G1104" s="39"/>
      <c r="H1104" s="40"/>
      <c r="T1104" s="49"/>
    </row>
    <row r="1105" spans="5:20" s="38" customFormat="1" x14ac:dyDescent="0.35">
      <c r="E1105" s="39"/>
      <c r="F1105" s="39"/>
      <c r="G1105" s="39"/>
      <c r="H1105" s="40"/>
      <c r="T1105" s="49"/>
    </row>
    <row r="1106" spans="5:20" s="38" customFormat="1" x14ac:dyDescent="0.35">
      <c r="E1106" s="39"/>
      <c r="F1106" s="39"/>
      <c r="G1106" s="39"/>
      <c r="H1106" s="40"/>
      <c r="T1106" s="49"/>
    </row>
    <row r="1107" spans="5:20" s="38" customFormat="1" x14ac:dyDescent="0.35">
      <c r="E1107" s="39"/>
      <c r="F1107" s="39"/>
      <c r="G1107" s="39"/>
      <c r="H1107" s="40"/>
      <c r="T1107" s="49"/>
    </row>
    <row r="1108" spans="5:20" s="38" customFormat="1" x14ac:dyDescent="0.35">
      <c r="E1108" s="39"/>
      <c r="F1108" s="39"/>
      <c r="G1108" s="39"/>
      <c r="H1108" s="40"/>
      <c r="T1108" s="49"/>
    </row>
    <row r="1109" spans="5:20" s="38" customFormat="1" x14ac:dyDescent="0.35">
      <c r="E1109" s="39"/>
      <c r="F1109" s="39"/>
      <c r="G1109" s="39"/>
      <c r="H1109" s="40"/>
      <c r="T1109" s="49"/>
    </row>
    <row r="1110" spans="5:20" s="38" customFormat="1" x14ac:dyDescent="0.35">
      <c r="E1110" s="39"/>
      <c r="F1110" s="39"/>
      <c r="G1110" s="39"/>
      <c r="H1110" s="40"/>
      <c r="T1110" s="49"/>
    </row>
    <row r="1111" spans="5:20" s="38" customFormat="1" x14ac:dyDescent="0.35">
      <c r="E1111" s="39"/>
      <c r="F1111" s="39"/>
      <c r="G1111" s="39"/>
      <c r="H1111" s="40"/>
      <c r="T1111" s="49"/>
    </row>
    <row r="1112" spans="5:20" s="38" customFormat="1" x14ac:dyDescent="0.35">
      <c r="E1112" s="39"/>
      <c r="F1112" s="39"/>
      <c r="G1112" s="39"/>
      <c r="H1112" s="40"/>
      <c r="T1112" s="49"/>
    </row>
    <row r="1113" spans="5:20" s="38" customFormat="1" x14ac:dyDescent="0.35">
      <c r="E1113" s="39"/>
      <c r="F1113" s="39"/>
      <c r="G1113" s="39"/>
      <c r="H1113" s="40"/>
      <c r="T1113" s="49"/>
    </row>
    <row r="1114" spans="5:20" s="38" customFormat="1" x14ac:dyDescent="0.35">
      <c r="E1114" s="39"/>
      <c r="F1114" s="39"/>
      <c r="G1114" s="39"/>
      <c r="H1114" s="40"/>
      <c r="T1114" s="49"/>
    </row>
    <row r="1115" spans="5:20" s="38" customFormat="1" x14ac:dyDescent="0.35">
      <c r="E1115" s="39"/>
      <c r="F1115" s="39"/>
      <c r="G1115" s="39"/>
      <c r="H1115" s="40"/>
      <c r="T1115" s="49"/>
    </row>
    <row r="1116" spans="5:20" s="38" customFormat="1" x14ac:dyDescent="0.35">
      <c r="E1116" s="39"/>
      <c r="F1116" s="39"/>
      <c r="G1116" s="39"/>
      <c r="H1116" s="40"/>
      <c r="T1116" s="49"/>
    </row>
    <row r="1117" spans="5:20" s="38" customFormat="1" x14ac:dyDescent="0.35">
      <c r="E1117" s="39"/>
      <c r="F1117" s="39"/>
      <c r="G1117" s="39"/>
      <c r="H1117" s="40"/>
      <c r="T1117" s="49"/>
    </row>
    <row r="1118" spans="5:20" s="38" customFormat="1" x14ac:dyDescent="0.35">
      <c r="E1118" s="39"/>
      <c r="F1118" s="39"/>
      <c r="G1118" s="39"/>
      <c r="H1118" s="40"/>
      <c r="T1118" s="49"/>
    </row>
    <row r="1119" spans="5:20" s="38" customFormat="1" x14ac:dyDescent="0.35">
      <c r="E1119" s="39"/>
      <c r="F1119" s="39"/>
      <c r="G1119" s="39"/>
      <c r="H1119" s="40"/>
      <c r="T1119" s="49"/>
    </row>
    <row r="1120" spans="5:20" s="38" customFormat="1" x14ac:dyDescent="0.35">
      <c r="E1120" s="39"/>
      <c r="F1120" s="39"/>
      <c r="G1120" s="39"/>
      <c r="H1120" s="40"/>
      <c r="T1120" s="49"/>
    </row>
    <row r="1121" spans="5:20" s="38" customFormat="1" x14ac:dyDescent="0.35">
      <c r="E1121" s="39"/>
      <c r="F1121" s="39"/>
      <c r="G1121" s="39"/>
      <c r="H1121" s="40"/>
      <c r="T1121" s="49"/>
    </row>
    <row r="1122" spans="5:20" s="38" customFormat="1" x14ac:dyDescent="0.35">
      <c r="E1122" s="39"/>
      <c r="F1122" s="39"/>
      <c r="G1122" s="39"/>
      <c r="H1122" s="40"/>
      <c r="T1122" s="49"/>
    </row>
    <row r="1123" spans="5:20" s="38" customFormat="1" x14ac:dyDescent="0.35">
      <c r="E1123" s="39"/>
      <c r="F1123" s="39"/>
      <c r="G1123" s="39"/>
      <c r="H1123" s="40"/>
      <c r="T1123" s="49"/>
    </row>
    <row r="1124" spans="5:20" s="38" customFormat="1" x14ac:dyDescent="0.35">
      <c r="E1124" s="39"/>
      <c r="F1124" s="39"/>
      <c r="G1124" s="39"/>
      <c r="H1124" s="40"/>
      <c r="T1124" s="49"/>
    </row>
    <row r="1125" spans="5:20" s="38" customFormat="1" x14ac:dyDescent="0.35">
      <c r="E1125" s="39"/>
      <c r="F1125" s="39"/>
      <c r="G1125" s="39"/>
      <c r="H1125" s="40"/>
      <c r="T1125" s="49"/>
    </row>
    <row r="1126" spans="5:20" s="38" customFormat="1" x14ac:dyDescent="0.35">
      <c r="E1126" s="39"/>
      <c r="F1126" s="39"/>
      <c r="G1126" s="39"/>
      <c r="H1126" s="40"/>
      <c r="T1126" s="49"/>
    </row>
    <row r="1127" spans="5:20" s="38" customFormat="1" x14ac:dyDescent="0.35">
      <c r="E1127" s="39"/>
      <c r="F1127" s="39"/>
      <c r="G1127" s="39"/>
      <c r="H1127" s="40"/>
      <c r="T1127" s="49"/>
    </row>
    <row r="1128" spans="5:20" s="38" customFormat="1" x14ac:dyDescent="0.35">
      <c r="E1128" s="39"/>
      <c r="F1128" s="39"/>
      <c r="G1128" s="39"/>
      <c r="H1128" s="40"/>
      <c r="T1128" s="49"/>
    </row>
    <row r="1129" spans="5:20" s="38" customFormat="1" x14ac:dyDescent="0.35">
      <c r="E1129" s="39"/>
      <c r="F1129" s="39"/>
      <c r="G1129" s="39"/>
      <c r="H1129" s="40"/>
      <c r="T1129" s="49"/>
    </row>
    <row r="1130" spans="5:20" s="38" customFormat="1" x14ac:dyDescent="0.35">
      <c r="E1130" s="39"/>
      <c r="F1130" s="39"/>
      <c r="G1130" s="39"/>
      <c r="H1130" s="40"/>
      <c r="T1130" s="49"/>
    </row>
    <row r="1131" spans="5:20" s="38" customFormat="1" x14ac:dyDescent="0.35">
      <c r="E1131" s="39"/>
      <c r="F1131" s="39"/>
      <c r="G1131" s="39"/>
      <c r="H1131" s="40"/>
      <c r="T1131" s="49"/>
    </row>
    <row r="1132" spans="5:20" s="38" customFormat="1" x14ac:dyDescent="0.35">
      <c r="E1132" s="39"/>
      <c r="F1132" s="39"/>
      <c r="G1132" s="39"/>
      <c r="H1132" s="40"/>
      <c r="T1132" s="49"/>
    </row>
    <row r="1133" spans="5:20" s="38" customFormat="1" x14ac:dyDescent="0.35">
      <c r="E1133" s="39"/>
      <c r="F1133" s="39"/>
      <c r="G1133" s="39"/>
      <c r="H1133" s="40"/>
      <c r="T1133" s="49"/>
    </row>
    <row r="1134" spans="5:20" s="38" customFormat="1" x14ac:dyDescent="0.35">
      <c r="E1134" s="39"/>
      <c r="F1134" s="39"/>
      <c r="G1134" s="39"/>
      <c r="H1134" s="40"/>
      <c r="T1134" s="49"/>
    </row>
    <row r="1135" spans="5:20" s="38" customFormat="1" x14ac:dyDescent="0.35">
      <c r="E1135" s="39"/>
      <c r="F1135" s="39"/>
      <c r="G1135" s="39"/>
      <c r="H1135" s="40"/>
      <c r="T1135" s="49"/>
    </row>
    <row r="1136" spans="5:20" s="38" customFormat="1" x14ac:dyDescent="0.35">
      <c r="E1136" s="39"/>
      <c r="F1136" s="39"/>
      <c r="G1136" s="39"/>
      <c r="H1136" s="40"/>
      <c r="T1136" s="49"/>
    </row>
    <row r="1137" spans="5:20" s="38" customFormat="1" x14ac:dyDescent="0.35">
      <c r="E1137" s="39"/>
      <c r="F1137" s="39"/>
      <c r="G1137" s="39"/>
      <c r="H1137" s="40"/>
      <c r="T1137" s="49"/>
    </row>
    <row r="1138" spans="5:20" s="38" customFormat="1" x14ac:dyDescent="0.35">
      <c r="E1138" s="39"/>
      <c r="F1138" s="39"/>
      <c r="G1138" s="39"/>
      <c r="H1138" s="40"/>
      <c r="T1138" s="49"/>
    </row>
    <row r="1139" spans="5:20" s="38" customFormat="1" x14ac:dyDescent="0.35">
      <c r="E1139" s="39"/>
      <c r="F1139" s="39"/>
      <c r="G1139" s="39"/>
      <c r="H1139" s="40"/>
      <c r="T1139" s="49"/>
    </row>
    <row r="1140" spans="5:20" s="38" customFormat="1" x14ac:dyDescent="0.35">
      <c r="E1140" s="39"/>
      <c r="F1140" s="39"/>
      <c r="G1140" s="39"/>
      <c r="H1140" s="40"/>
      <c r="T1140" s="49"/>
    </row>
    <row r="1141" spans="5:20" s="38" customFormat="1" x14ac:dyDescent="0.35">
      <c r="E1141" s="39"/>
      <c r="F1141" s="39"/>
      <c r="G1141" s="39"/>
      <c r="H1141" s="40"/>
      <c r="T1141" s="49"/>
    </row>
    <row r="1142" spans="5:20" s="38" customFormat="1" x14ac:dyDescent="0.35">
      <c r="E1142" s="39"/>
      <c r="F1142" s="39"/>
      <c r="G1142" s="39"/>
      <c r="H1142" s="40"/>
      <c r="T1142" s="49"/>
    </row>
    <row r="1143" spans="5:20" s="38" customFormat="1" x14ac:dyDescent="0.35">
      <c r="E1143" s="39"/>
      <c r="F1143" s="39"/>
      <c r="G1143" s="39"/>
      <c r="H1143" s="40"/>
      <c r="T1143" s="49"/>
    </row>
    <row r="1144" spans="5:20" s="38" customFormat="1" x14ac:dyDescent="0.35">
      <c r="E1144" s="39"/>
      <c r="F1144" s="39"/>
      <c r="G1144" s="39"/>
      <c r="H1144" s="40"/>
      <c r="T1144" s="49"/>
    </row>
    <row r="1145" spans="5:20" s="38" customFormat="1" x14ac:dyDescent="0.35">
      <c r="E1145" s="39"/>
      <c r="F1145" s="39"/>
      <c r="G1145" s="39"/>
      <c r="H1145" s="40"/>
      <c r="T1145" s="49"/>
    </row>
    <row r="1146" spans="5:20" s="38" customFormat="1" x14ac:dyDescent="0.35">
      <c r="E1146" s="39"/>
      <c r="F1146" s="39"/>
      <c r="G1146" s="39"/>
      <c r="H1146" s="40"/>
      <c r="T1146" s="49"/>
    </row>
    <row r="1147" spans="5:20" s="38" customFormat="1" x14ac:dyDescent="0.35">
      <c r="E1147" s="39"/>
      <c r="F1147" s="39"/>
      <c r="G1147" s="39"/>
      <c r="H1147" s="40"/>
      <c r="T1147" s="49"/>
    </row>
    <row r="1148" spans="5:20" s="38" customFormat="1" x14ac:dyDescent="0.35">
      <c r="E1148" s="39"/>
      <c r="F1148" s="39"/>
      <c r="G1148" s="39"/>
      <c r="H1148" s="40"/>
      <c r="T1148" s="49"/>
    </row>
    <row r="1149" spans="5:20" s="38" customFormat="1" x14ac:dyDescent="0.35">
      <c r="E1149" s="39"/>
      <c r="F1149" s="39"/>
      <c r="G1149" s="39"/>
      <c r="H1149" s="40"/>
      <c r="T1149" s="49"/>
    </row>
    <row r="1150" spans="5:20" s="38" customFormat="1" x14ac:dyDescent="0.35">
      <c r="E1150" s="39"/>
      <c r="F1150" s="39"/>
      <c r="G1150" s="39"/>
      <c r="H1150" s="40"/>
      <c r="T1150" s="49"/>
    </row>
    <row r="1151" spans="5:20" s="38" customFormat="1" x14ac:dyDescent="0.35">
      <c r="E1151" s="39"/>
      <c r="F1151" s="39"/>
      <c r="G1151" s="39"/>
      <c r="H1151" s="40"/>
      <c r="T1151" s="49"/>
    </row>
    <row r="1152" spans="5:20" s="38" customFormat="1" x14ac:dyDescent="0.35">
      <c r="E1152" s="39"/>
      <c r="F1152" s="39"/>
      <c r="G1152" s="39"/>
      <c r="H1152" s="40"/>
      <c r="T1152" s="49"/>
    </row>
    <row r="1153" spans="5:20" s="38" customFormat="1" x14ac:dyDescent="0.35">
      <c r="E1153" s="39"/>
      <c r="F1153" s="39"/>
      <c r="G1153" s="39"/>
      <c r="H1153" s="40"/>
      <c r="T1153" s="49"/>
    </row>
    <row r="1154" spans="5:20" s="38" customFormat="1" x14ac:dyDescent="0.35">
      <c r="E1154" s="39"/>
      <c r="F1154" s="39"/>
      <c r="G1154" s="39"/>
      <c r="H1154" s="40"/>
      <c r="T1154" s="49"/>
    </row>
    <row r="1155" spans="5:20" s="38" customFormat="1" x14ac:dyDescent="0.35">
      <c r="E1155" s="39"/>
      <c r="F1155" s="39"/>
      <c r="G1155" s="39"/>
      <c r="H1155" s="40"/>
      <c r="T1155" s="49"/>
    </row>
    <row r="1156" spans="5:20" s="38" customFormat="1" x14ac:dyDescent="0.35">
      <c r="E1156" s="39"/>
      <c r="F1156" s="39"/>
      <c r="G1156" s="39"/>
      <c r="H1156" s="40"/>
      <c r="T1156" s="49"/>
    </row>
    <row r="1157" spans="5:20" s="38" customFormat="1" x14ac:dyDescent="0.35">
      <c r="E1157" s="39"/>
      <c r="F1157" s="39"/>
      <c r="G1157" s="39"/>
      <c r="H1157" s="40"/>
      <c r="T1157" s="49"/>
    </row>
    <row r="1158" spans="5:20" s="38" customFormat="1" x14ac:dyDescent="0.35">
      <c r="E1158" s="39"/>
      <c r="F1158" s="39"/>
      <c r="G1158" s="39"/>
      <c r="H1158" s="40"/>
      <c r="T1158" s="49"/>
    </row>
    <row r="1159" spans="5:20" s="38" customFormat="1" x14ac:dyDescent="0.35">
      <c r="E1159" s="39"/>
      <c r="F1159" s="39"/>
      <c r="G1159" s="39"/>
      <c r="H1159" s="40"/>
      <c r="T1159" s="49"/>
    </row>
    <row r="1160" spans="5:20" s="38" customFormat="1" x14ac:dyDescent="0.35">
      <c r="E1160" s="39"/>
      <c r="F1160" s="39"/>
      <c r="G1160" s="39"/>
      <c r="H1160" s="40"/>
      <c r="T1160" s="49"/>
    </row>
    <row r="1161" spans="5:20" s="38" customFormat="1" x14ac:dyDescent="0.35">
      <c r="E1161" s="39"/>
      <c r="F1161" s="39"/>
      <c r="G1161" s="39"/>
      <c r="H1161" s="40"/>
      <c r="T1161" s="49"/>
    </row>
    <row r="1162" spans="5:20" s="38" customFormat="1" x14ac:dyDescent="0.35">
      <c r="E1162" s="39"/>
      <c r="F1162" s="39"/>
      <c r="G1162" s="39"/>
      <c r="H1162" s="40"/>
      <c r="T1162" s="49"/>
    </row>
    <row r="1163" spans="5:20" s="38" customFormat="1" x14ac:dyDescent="0.35">
      <c r="E1163" s="39"/>
      <c r="F1163" s="39"/>
      <c r="G1163" s="39"/>
      <c r="H1163" s="40"/>
      <c r="T1163" s="49"/>
    </row>
    <row r="1164" spans="5:20" s="38" customFormat="1" x14ac:dyDescent="0.35">
      <c r="E1164" s="39"/>
      <c r="F1164" s="39"/>
      <c r="G1164" s="39"/>
      <c r="H1164" s="40"/>
      <c r="T1164" s="49"/>
    </row>
    <row r="1165" spans="5:20" s="38" customFormat="1" x14ac:dyDescent="0.35">
      <c r="E1165" s="39"/>
      <c r="F1165" s="39"/>
      <c r="G1165" s="39"/>
      <c r="H1165" s="40"/>
      <c r="T1165" s="49"/>
    </row>
    <row r="1166" spans="5:20" s="38" customFormat="1" x14ac:dyDescent="0.35">
      <c r="E1166" s="39"/>
      <c r="F1166" s="39"/>
      <c r="G1166" s="39"/>
      <c r="H1166" s="40"/>
      <c r="T1166" s="49"/>
    </row>
    <row r="1167" spans="5:20" s="38" customFormat="1" x14ac:dyDescent="0.35">
      <c r="E1167" s="39"/>
      <c r="F1167" s="39"/>
      <c r="G1167" s="39"/>
      <c r="H1167" s="40"/>
      <c r="T1167" s="49"/>
    </row>
    <row r="1168" spans="5:20" s="38" customFormat="1" x14ac:dyDescent="0.35">
      <c r="E1168" s="39"/>
      <c r="F1168" s="39"/>
      <c r="G1168" s="39"/>
      <c r="H1168" s="40"/>
      <c r="T1168" s="49"/>
    </row>
    <row r="1169" spans="5:20" s="38" customFormat="1" x14ac:dyDescent="0.35">
      <c r="E1169" s="39"/>
      <c r="F1169" s="39"/>
      <c r="G1169" s="39"/>
      <c r="H1169" s="40"/>
      <c r="T1169" s="49"/>
    </row>
    <row r="1170" spans="5:20" s="38" customFormat="1" x14ac:dyDescent="0.35">
      <c r="E1170" s="39"/>
      <c r="F1170" s="39"/>
      <c r="G1170" s="39"/>
      <c r="H1170" s="40"/>
      <c r="T1170" s="49"/>
    </row>
    <row r="1171" spans="5:20" s="38" customFormat="1" x14ac:dyDescent="0.35">
      <c r="E1171" s="39"/>
      <c r="F1171" s="39"/>
      <c r="G1171" s="39"/>
      <c r="H1171" s="40"/>
      <c r="T1171" s="49"/>
    </row>
    <row r="1172" spans="5:20" s="38" customFormat="1" x14ac:dyDescent="0.35">
      <c r="E1172" s="39"/>
      <c r="F1172" s="39"/>
      <c r="G1172" s="39"/>
      <c r="H1172" s="40"/>
      <c r="T1172" s="49"/>
    </row>
    <row r="1173" spans="5:20" s="38" customFormat="1" x14ac:dyDescent="0.35">
      <c r="E1173" s="39"/>
      <c r="F1173" s="39"/>
      <c r="G1173" s="39"/>
      <c r="H1173" s="40"/>
      <c r="T1173" s="49"/>
    </row>
    <row r="1174" spans="5:20" s="38" customFormat="1" x14ac:dyDescent="0.35">
      <c r="E1174" s="39"/>
      <c r="F1174" s="39"/>
      <c r="G1174" s="39"/>
      <c r="H1174" s="40"/>
      <c r="T1174" s="49"/>
    </row>
    <row r="1175" spans="5:20" s="38" customFormat="1" x14ac:dyDescent="0.35">
      <c r="E1175" s="39"/>
      <c r="F1175" s="39"/>
      <c r="G1175" s="39"/>
      <c r="H1175" s="40"/>
      <c r="T1175" s="49"/>
    </row>
    <row r="1176" spans="5:20" s="38" customFormat="1" x14ac:dyDescent="0.35">
      <c r="E1176" s="39"/>
      <c r="F1176" s="39"/>
      <c r="G1176" s="39"/>
      <c r="H1176" s="40"/>
      <c r="T1176" s="49"/>
    </row>
    <row r="1177" spans="5:20" s="38" customFormat="1" x14ac:dyDescent="0.35">
      <c r="E1177" s="39"/>
      <c r="F1177" s="39"/>
      <c r="G1177" s="39"/>
      <c r="H1177" s="40"/>
      <c r="T1177" s="49"/>
    </row>
    <row r="1178" spans="5:20" s="38" customFormat="1" x14ac:dyDescent="0.35">
      <c r="E1178" s="39"/>
      <c r="F1178" s="39"/>
      <c r="G1178" s="39"/>
      <c r="H1178" s="40"/>
      <c r="T1178" s="49"/>
    </row>
    <row r="1179" spans="5:20" s="38" customFormat="1" x14ac:dyDescent="0.35">
      <c r="E1179" s="39"/>
      <c r="F1179" s="39"/>
      <c r="G1179" s="39"/>
      <c r="H1179" s="40"/>
      <c r="T1179" s="49"/>
    </row>
    <row r="1180" spans="5:20" s="38" customFormat="1" x14ac:dyDescent="0.35">
      <c r="E1180" s="39"/>
      <c r="F1180" s="39"/>
      <c r="G1180" s="39"/>
      <c r="H1180" s="40"/>
      <c r="T1180" s="49"/>
    </row>
    <row r="1181" spans="5:20" s="38" customFormat="1" x14ac:dyDescent="0.35">
      <c r="E1181" s="39"/>
      <c r="F1181" s="39"/>
      <c r="G1181" s="39"/>
      <c r="H1181" s="40"/>
      <c r="T1181" s="49"/>
    </row>
    <row r="1182" spans="5:20" s="38" customFormat="1" x14ac:dyDescent="0.35">
      <c r="E1182" s="39"/>
      <c r="F1182" s="39"/>
      <c r="G1182" s="39"/>
      <c r="H1182" s="40"/>
      <c r="T1182" s="49"/>
    </row>
    <row r="1183" spans="5:20" s="38" customFormat="1" x14ac:dyDescent="0.35">
      <c r="E1183" s="39"/>
      <c r="F1183" s="39"/>
      <c r="G1183" s="39"/>
      <c r="H1183" s="40"/>
      <c r="T1183" s="49"/>
    </row>
    <row r="1184" spans="5:20" s="38" customFormat="1" x14ac:dyDescent="0.35">
      <c r="E1184" s="39"/>
      <c r="F1184" s="39"/>
      <c r="G1184" s="39"/>
      <c r="H1184" s="40"/>
      <c r="T1184" s="49"/>
    </row>
    <row r="1185" spans="5:20" s="38" customFormat="1" x14ac:dyDescent="0.35">
      <c r="E1185" s="39"/>
      <c r="F1185" s="39"/>
      <c r="G1185" s="39"/>
      <c r="H1185" s="40"/>
      <c r="T1185" s="49"/>
    </row>
    <row r="1186" spans="5:20" s="38" customFormat="1" x14ac:dyDescent="0.35">
      <c r="E1186" s="39"/>
      <c r="F1186" s="39"/>
      <c r="G1186" s="39"/>
      <c r="H1186" s="40"/>
      <c r="T1186" s="49"/>
    </row>
    <row r="1187" spans="5:20" s="38" customFormat="1" x14ac:dyDescent="0.35">
      <c r="E1187" s="39"/>
      <c r="F1187" s="39"/>
      <c r="G1187" s="39"/>
      <c r="H1187" s="40"/>
      <c r="T1187" s="49"/>
    </row>
    <row r="1188" spans="5:20" s="38" customFormat="1" x14ac:dyDescent="0.35">
      <c r="E1188" s="39"/>
      <c r="F1188" s="39"/>
      <c r="G1188" s="39"/>
      <c r="H1188" s="40"/>
      <c r="T1188" s="49"/>
    </row>
    <row r="1189" spans="5:20" s="38" customFormat="1" x14ac:dyDescent="0.35">
      <c r="E1189" s="39"/>
      <c r="F1189" s="39"/>
      <c r="G1189" s="39"/>
      <c r="H1189" s="40"/>
      <c r="T1189" s="49"/>
    </row>
    <row r="1190" spans="5:20" s="38" customFormat="1" x14ac:dyDescent="0.35">
      <c r="E1190" s="39"/>
      <c r="F1190" s="39"/>
      <c r="G1190" s="39"/>
      <c r="H1190" s="40"/>
      <c r="T1190" s="49"/>
    </row>
    <row r="1191" spans="5:20" s="38" customFormat="1" x14ac:dyDescent="0.35">
      <c r="E1191" s="39"/>
      <c r="F1191" s="39"/>
      <c r="G1191" s="39"/>
      <c r="H1191" s="40"/>
      <c r="T1191" s="49"/>
    </row>
    <row r="1192" spans="5:20" s="38" customFormat="1" x14ac:dyDescent="0.35">
      <c r="E1192" s="39"/>
      <c r="F1192" s="39"/>
      <c r="G1192" s="39"/>
      <c r="H1192" s="40"/>
      <c r="T1192" s="49"/>
    </row>
    <row r="1193" spans="5:20" s="38" customFormat="1" x14ac:dyDescent="0.35">
      <c r="E1193" s="39"/>
      <c r="F1193" s="39"/>
      <c r="G1193" s="39"/>
      <c r="H1193" s="40"/>
      <c r="T1193" s="49"/>
    </row>
    <row r="1194" spans="5:20" s="38" customFormat="1" x14ac:dyDescent="0.35">
      <c r="E1194" s="39"/>
      <c r="F1194" s="39"/>
      <c r="G1194" s="39"/>
      <c r="H1194" s="40"/>
      <c r="T1194" s="49"/>
    </row>
    <row r="1195" spans="5:20" s="38" customFormat="1" x14ac:dyDescent="0.35">
      <c r="E1195" s="39"/>
      <c r="F1195" s="39"/>
      <c r="G1195" s="39"/>
      <c r="H1195" s="40"/>
      <c r="T1195" s="49"/>
    </row>
    <row r="1196" spans="5:20" s="38" customFormat="1" x14ac:dyDescent="0.35">
      <c r="E1196" s="39"/>
      <c r="F1196" s="39"/>
      <c r="G1196" s="39"/>
      <c r="H1196" s="40"/>
      <c r="T1196" s="49"/>
    </row>
    <row r="1197" spans="5:20" s="38" customFormat="1" x14ac:dyDescent="0.35">
      <c r="E1197" s="39"/>
      <c r="F1197" s="39"/>
      <c r="G1197" s="39"/>
      <c r="H1197" s="40"/>
      <c r="T1197" s="49"/>
    </row>
    <row r="1198" spans="5:20" s="38" customFormat="1" x14ac:dyDescent="0.35">
      <c r="E1198" s="39"/>
      <c r="F1198" s="39"/>
      <c r="G1198" s="39"/>
      <c r="H1198" s="40"/>
      <c r="T1198" s="49"/>
    </row>
    <row r="1199" spans="5:20" s="38" customFormat="1" x14ac:dyDescent="0.35">
      <c r="E1199" s="39"/>
      <c r="F1199" s="39"/>
      <c r="G1199" s="39"/>
      <c r="H1199" s="40"/>
      <c r="T1199" s="49"/>
    </row>
    <row r="1200" spans="5:20" s="38" customFormat="1" x14ac:dyDescent="0.35">
      <c r="E1200" s="39"/>
      <c r="F1200" s="39"/>
      <c r="G1200" s="39"/>
      <c r="H1200" s="40"/>
      <c r="T1200" s="49"/>
    </row>
    <row r="1201" spans="5:20" s="38" customFormat="1" x14ac:dyDescent="0.35">
      <c r="E1201" s="39"/>
      <c r="F1201" s="39"/>
      <c r="G1201" s="39"/>
      <c r="H1201" s="40"/>
      <c r="T1201" s="49"/>
    </row>
    <row r="1202" spans="5:20" s="38" customFormat="1" x14ac:dyDescent="0.35">
      <c r="E1202" s="39"/>
      <c r="F1202" s="39"/>
      <c r="G1202" s="39"/>
      <c r="H1202" s="40"/>
      <c r="T1202" s="49"/>
    </row>
    <row r="1203" spans="5:20" s="38" customFormat="1" x14ac:dyDescent="0.35">
      <c r="E1203" s="39"/>
      <c r="F1203" s="39"/>
      <c r="G1203" s="39"/>
      <c r="H1203" s="40"/>
      <c r="T1203" s="49"/>
    </row>
    <row r="1204" spans="5:20" s="38" customFormat="1" x14ac:dyDescent="0.35">
      <c r="E1204" s="39"/>
      <c r="F1204" s="39"/>
      <c r="G1204" s="39"/>
      <c r="H1204" s="40"/>
      <c r="T1204" s="49"/>
    </row>
    <row r="1205" spans="5:20" s="38" customFormat="1" x14ac:dyDescent="0.35">
      <c r="E1205" s="39"/>
      <c r="F1205" s="39"/>
      <c r="G1205" s="39"/>
      <c r="H1205" s="40"/>
      <c r="T1205" s="49"/>
    </row>
    <row r="1206" spans="5:20" s="38" customFormat="1" x14ac:dyDescent="0.35">
      <c r="E1206" s="39"/>
      <c r="F1206" s="39"/>
      <c r="G1206" s="39"/>
      <c r="H1206" s="40"/>
      <c r="T1206" s="49"/>
    </row>
    <row r="1207" spans="5:20" s="38" customFormat="1" x14ac:dyDescent="0.35">
      <c r="E1207" s="39"/>
      <c r="F1207" s="39"/>
      <c r="G1207" s="39"/>
      <c r="H1207" s="40"/>
      <c r="T1207" s="49"/>
    </row>
    <row r="1208" spans="5:20" s="38" customFormat="1" x14ac:dyDescent="0.35">
      <c r="E1208" s="39"/>
      <c r="F1208" s="39"/>
      <c r="G1208" s="39"/>
      <c r="H1208" s="40"/>
      <c r="T1208" s="49"/>
    </row>
    <row r="1209" spans="5:20" s="38" customFormat="1" x14ac:dyDescent="0.35">
      <c r="E1209" s="39"/>
      <c r="F1209" s="39"/>
      <c r="G1209" s="39"/>
      <c r="H1209" s="40"/>
      <c r="T1209" s="49"/>
    </row>
    <row r="1210" spans="5:20" s="38" customFormat="1" x14ac:dyDescent="0.35">
      <c r="E1210" s="39"/>
      <c r="F1210" s="39"/>
      <c r="G1210" s="39"/>
      <c r="H1210" s="40"/>
      <c r="T1210" s="49"/>
    </row>
    <row r="1211" spans="5:20" s="38" customFormat="1" x14ac:dyDescent="0.35">
      <c r="E1211" s="39"/>
      <c r="F1211" s="39"/>
      <c r="G1211" s="39"/>
      <c r="H1211" s="40"/>
      <c r="T1211" s="49"/>
    </row>
    <row r="1212" spans="5:20" s="38" customFormat="1" x14ac:dyDescent="0.35">
      <c r="E1212" s="39"/>
      <c r="F1212" s="39"/>
      <c r="G1212" s="39"/>
      <c r="H1212" s="40"/>
      <c r="T1212" s="49"/>
    </row>
    <row r="1213" spans="5:20" s="38" customFormat="1" x14ac:dyDescent="0.35">
      <c r="E1213" s="39"/>
      <c r="F1213" s="39"/>
      <c r="G1213" s="39"/>
      <c r="H1213" s="40"/>
      <c r="T1213" s="49"/>
    </row>
    <row r="1214" spans="5:20" s="38" customFormat="1" x14ac:dyDescent="0.35">
      <c r="E1214" s="39"/>
      <c r="F1214" s="39"/>
      <c r="G1214" s="39"/>
      <c r="H1214" s="40"/>
      <c r="T1214" s="49"/>
    </row>
    <row r="1215" spans="5:20" s="38" customFormat="1" x14ac:dyDescent="0.35">
      <c r="E1215" s="39"/>
      <c r="F1215" s="39"/>
      <c r="G1215" s="39"/>
      <c r="H1215" s="40"/>
      <c r="T1215" s="49"/>
    </row>
    <row r="1216" spans="5:20" s="38" customFormat="1" x14ac:dyDescent="0.35">
      <c r="E1216" s="39"/>
      <c r="F1216" s="39"/>
      <c r="G1216" s="39"/>
      <c r="H1216" s="40"/>
      <c r="T1216" s="49"/>
    </row>
    <row r="1217" spans="5:20" s="38" customFormat="1" x14ac:dyDescent="0.35">
      <c r="E1217" s="39"/>
      <c r="F1217" s="39"/>
      <c r="G1217" s="39"/>
      <c r="H1217" s="40"/>
      <c r="T1217" s="49"/>
    </row>
    <row r="1218" spans="5:20" s="38" customFormat="1" x14ac:dyDescent="0.35">
      <c r="E1218" s="39"/>
      <c r="F1218" s="39"/>
      <c r="G1218" s="39"/>
      <c r="H1218" s="40"/>
      <c r="T1218" s="49"/>
    </row>
    <row r="1219" spans="5:20" s="38" customFormat="1" x14ac:dyDescent="0.35">
      <c r="E1219" s="39"/>
      <c r="F1219" s="39"/>
      <c r="G1219" s="39"/>
      <c r="H1219" s="40"/>
      <c r="T1219" s="49"/>
    </row>
    <row r="1220" spans="5:20" s="38" customFormat="1" x14ac:dyDescent="0.35">
      <c r="E1220" s="39"/>
      <c r="F1220" s="39"/>
      <c r="G1220" s="39"/>
      <c r="H1220" s="40"/>
      <c r="T1220" s="49"/>
    </row>
    <row r="1221" spans="5:20" s="38" customFormat="1" x14ac:dyDescent="0.35">
      <c r="E1221" s="39"/>
      <c r="F1221" s="39"/>
      <c r="G1221" s="39"/>
      <c r="H1221" s="40"/>
      <c r="T1221" s="49"/>
    </row>
    <row r="1222" spans="5:20" s="38" customFormat="1" x14ac:dyDescent="0.35">
      <c r="E1222" s="39"/>
      <c r="F1222" s="39"/>
      <c r="G1222" s="39"/>
      <c r="H1222" s="40"/>
      <c r="T1222" s="49"/>
    </row>
    <row r="1223" spans="5:20" s="38" customFormat="1" x14ac:dyDescent="0.35">
      <c r="E1223" s="39"/>
      <c r="F1223" s="39"/>
      <c r="G1223" s="39"/>
      <c r="H1223" s="40"/>
      <c r="T1223" s="49"/>
    </row>
    <row r="1224" spans="5:20" s="38" customFormat="1" x14ac:dyDescent="0.35">
      <c r="E1224" s="39"/>
      <c r="F1224" s="39"/>
      <c r="G1224" s="39"/>
      <c r="H1224" s="40"/>
      <c r="T1224" s="49"/>
    </row>
    <row r="1225" spans="5:20" s="38" customFormat="1" x14ac:dyDescent="0.35">
      <c r="E1225" s="39"/>
      <c r="F1225" s="39"/>
      <c r="G1225" s="39"/>
      <c r="H1225" s="40"/>
      <c r="T1225" s="49"/>
    </row>
    <row r="1226" spans="5:20" s="38" customFormat="1" x14ac:dyDescent="0.35">
      <c r="E1226" s="39"/>
      <c r="F1226" s="39"/>
      <c r="G1226" s="39"/>
      <c r="H1226" s="40"/>
      <c r="T1226" s="49"/>
    </row>
    <row r="1227" spans="5:20" s="38" customFormat="1" x14ac:dyDescent="0.35">
      <c r="E1227" s="39"/>
      <c r="F1227" s="39"/>
      <c r="G1227" s="39"/>
      <c r="H1227" s="40"/>
      <c r="T1227" s="49"/>
    </row>
    <row r="1228" spans="5:20" s="38" customFormat="1" x14ac:dyDescent="0.35">
      <c r="E1228" s="39"/>
      <c r="F1228" s="39"/>
      <c r="G1228" s="39"/>
      <c r="H1228" s="40"/>
      <c r="T1228" s="49"/>
    </row>
    <row r="1229" spans="5:20" s="38" customFormat="1" x14ac:dyDescent="0.35">
      <c r="E1229" s="39"/>
      <c r="F1229" s="39"/>
      <c r="G1229" s="39"/>
      <c r="H1229" s="40"/>
      <c r="T1229" s="49"/>
    </row>
    <row r="1230" spans="5:20" s="38" customFormat="1" x14ac:dyDescent="0.35">
      <c r="E1230" s="39"/>
      <c r="F1230" s="39"/>
      <c r="G1230" s="39"/>
      <c r="H1230" s="40"/>
      <c r="T1230" s="49"/>
    </row>
    <row r="1231" spans="5:20" s="38" customFormat="1" x14ac:dyDescent="0.35">
      <c r="E1231" s="39"/>
      <c r="F1231" s="39"/>
      <c r="G1231" s="39"/>
      <c r="H1231" s="40"/>
      <c r="T1231" s="49"/>
    </row>
    <row r="1232" spans="5:20" s="38" customFormat="1" x14ac:dyDescent="0.35">
      <c r="E1232" s="39"/>
      <c r="F1232" s="39"/>
      <c r="G1232" s="39"/>
      <c r="H1232" s="40"/>
      <c r="T1232" s="49"/>
    </row>
    <row r="1233" spans="5:20" s="38" customFormat="1" x14ac:dyDescent="0.35">
      <c r="E1233" s="39"/>
      <c r="F1233" s="39"/>
      <c r="G1233" s="39"/>
      <c r="H1233" s="40"/>
      <c r="T1233" s="49"/>
    </row>
    <row r="1234" spans="5:20" s="38" customFormat="1" x14ac:dyDescent="0.35">
      <c r="E1234" s="39"/>
      <c r="F1234" s="39"/>
      <c r="G1234" s="39"/>
      <c r="H1234" s="40"/>
      <c r="T1234" s="49"/>
    </row>
    <row r="1235" spans="5:20" s="38" customFormat="1" x14ac:dyDescent="0.35">
      <c r="E1235" s="39"/>
      <c r="F1235" s="39"/>
      <c r="G1235" s="39"/>
      <c r="H1235" s="40"/>
      <c r="T1235" s="49"/>
    </row>
    <row r="1236" spans="5:20" s="38" customFormat="1" x14ac:dyDescent="0.35">
      <c r="E1236" s="39"/>
      <c r="F1236" s="39"/>
      <c r="G1236" s="39"/>
      <c r="H1236" s="40"/>
      <c r="T1236" s="49"/>
    </row>
    <row r="1237" spans="5:20" s="38" customFormat="1" x14ac:dyDescent="0.35">
      <c r="E1237" s="39"/>
      <c r="F1237" s="39"/>
      <c r="G1237" s="39"/>
      <c r="H1237" s="40"/>
      <c r="T1237" s="49"/>
    </row>
    <row r="1238" spans="5:20" s="38" customFormat="1" x14ac:dyDescent="0.35">
      <c r="E1238" s="39"/>
      <c r="F1238" s="39"/>
      <c r="G1238" s="39"/>
      <c r="H1238" s="40"/>
      <c r="T1238" s="49"/>
    </row>
    <row r="1239" spans="5:20" s="38" customFormat="1" x14ac:dyDescent="0.35">
      <c r="E1239" s="39"/>
      <c r="F1239" s="39"/>
      <c r="G1239" s="39"/>
      <c r="H1239" s="40"/>
      <c r="T1239" s="49"/>
    </row>
    <row r="1240" spans="5:20" s="38" customFormat="1" x14ac:dyDescent="0.35">
      <c r="E1240" s="39"/>
      <c r="F1240" s="39"/>
      <c r="G1240" s="39"/>
      <c r="H1240" s="40"/>
      <c r="T1240" s="49"/>
    </row>
    <row r="1241" spans="5:20" s="38" customFormat="1" x14ac:dyDescent="0.35">
      <c r="E1241" s="39"/>
      <c r="F1241" s="39"/>
      <c r="G1241" s="39"/>
      <c r="H1241" s="40"/>
      <c r="T1241" s="49"/>
    </row>
    <row r="1242" spans="5:20" s="38" customFormat="1" x14ac:dyDescent="0.35">
      <c r="E1242" s="39"/>
      <c r="F1242" s="39"/>
      <c r="G1242" s="39"/>
      <c r="H1242" s="40"/>
      <c r="T1242" s="49"/>
    </row>
    <row r="1243" spans="5:20" s="38" customFormat="1" x14ac:dyDescent="0.35">
      <c r="E1243" s="39"/>
      <c r="F1243" s="39"/>
      <c r="G1243" s="39"/>
      <c r="H1243" s="40"/>
      <c r="T1243" s="49"/>
    </row>
    <row r="1244" spans="5:20" s="38" customFormat="1" x14ac:dyDescent="0.35">
      <c r="E1244" s="39"/>
      <c r="F1244" s="39"/>
      <c r="G1244" s="39"/>
      <c r="H1244" s="40"/>
      <c r="T1244" s="49"/>
    </row>
    <row r="1245" spans="5:20" s="38" customFormat="1" x14ac:dyDescent="0.35">
      <c r="E1245" s="39"/>
      <c r="F1245" s="39"/>
      <c r="G1245" s="39"/>
      <c r="H1245" s="40"/>
      <c r="T1245" s="49"/>
    </row>
    <row r="1246" spans="5:20" s="38" customFormat="1" x14ac:dyDescent="0.35">
      <c r="E1246" s="39"/>
      <c r="F1246" s="39"/>
      <c r="G1246" s="39"/>
      <c r="H1246" s="40"/>
      <c r="T1246" s="49"/>
    </row>
    <row r="1247" spans="5:20" s="38" customFormat="1" x14ac:dyDescent="0.35">
      <c r="E1247" s="39"/>
      <c r="F1247" s="39"/>
      <c r="G1247" s="39"/>
      <c r="H1247" s="40"/>
      <c r="T1247" s="49"/>
    </row>
    <row r="1248" spans="5:20" s="38" customFormat="1" x14ac:dyDescent="0.35">
      <c r="E1248" s="39"/>
      <c r="F1248" s="39"/>
      <c r="G1248" s="39"/>
      <c r="H1248" s="40"/>
      <c r="T1248" s="49"/>
    </row>
    <row r="1249" spans="5:20" s="38" customFormat="1" x14ac:dyDescent="0.35">
      <c r="E1249" s="39"/>
      <c r="F1249" s="39"/>
      <c r="G1249" s="39"/>
      <c r="H1249" s="40"/>
      <c r="T1249" s="49"/>
    </row>
    <row r="1250" spans="5:20" s="38" customFormat="1" x14ac:dyDescent="0.35">
      <c r="E1250" s="39"/>
      <c r="F1250" s="39"/>
      <c r="G1250" s="39"/>
      <c r="H1250" s="40"/>
      <c r="T1250" s="49"/>
    </row>
    <row r="1251" spans="5:20" s="38" customFormat="1" x14ac:dyDescent="0.35">
      <c r="E1251" s="39"/>
      <c r="F1251" s="39"/>
      <c r="G1251" s="39"/>
      <c r="H1251" s="40"/>
      <c r="T1251" s="49"/>
    </row>
    <row r="1252" spans="5:20" s="38" customFormat="1" x14ac:dyDescent="0.35">
      <c r="E1252" s="39"/>
      <c r="F1252" s="39"/>
      <c r="G1252" s="39"/>
      <c r="H1252" s="40"/>
      <c r="T1252" s="49"/>
    </row>
    <row r="1253" spans="5:20" s="38" customFormat="1" x14ac:dyDescent="0.35">
      <c r="E1253" s="39"/>
      <c r="F1253" s="39"/>
      <c r="G1253" s="39"/>
      <c r="H1253" s="40"/>
      <c r="T1253" s="49"/>
    </row>
    <row r="1254" spans="5:20" s="38" customFormat="1" x14ac:dyDescent="0.35">
      <c r="E1254" s="39"/>
      <c r="F1254" s="39"/>
      <c r="G1254" s="39"/>
      <c r="H1254" s="40"/>
      <c r="T1254" s="49"/>
    </row>
    <row r="1255" spans="5:20" s="38" customFormat="1" x14ac:dyDescent="0.35">
      <c r="E1255" s="39"/>
      <c r="F1255" s="39"/>
      <c r="G1255" s="39"/>
      <c r="H1255" s="40"/>
      <c r="T1255" s="49"/>
    </row>
    <row r="1256" spans="5:20" s="38" customFormat="1" x14ac:dyDescent="0.35">
      <c r="E1256" s="39"/>
      <c r="F1256" s="39"/>
      <c r="G1256" s="39"/>
      <c r="H1256" s="40"/>
      <c r="T1256" s="49"/>
    </row>
    <row r="1257" spans="5:20" s="38" customFormat="1" x14ac:dyDescent="0.35">
      <c r="E1257" s="39"/>
      <c r="F1257" s="39"/>
      <c r="G1257" s="39"/>
      <c r="H1257" s="40"/>
      <c r="T1257" s="49"/>
    </row>
    <row r="1258" spans="5:20" s="38" customFormat="1" x14ac:dyDescent="0.35">
      <c r="E1258" s="39"/>
      <c r="F1258" s="39"/>
      <c r="G1258" s="39"/>
      <c r="H1258" s="40"/>
      <c r="T1258" s="49"/>
    </row>
    <row r="1259" spans="5:20" s="38" customFormat="1" x14ac:dyDescent="0.35">
      <c r="E1259" s="39"/>
      <c r="F1259" s="39"/>
      <c r="G1259" s="39"/>
      <c r="H1259" s="40"/>
      <c r="T1259" s="49"/>
    </row>
    <row r="1260" spans="5:20" s="38" customFormat="1" x14ac:dyDescent="0.35">
      <c r="E1260" s="39"/>
      <c r="F1260" s="39"/>
      <c r="G1260" s="39"/>
      <c r="H1260" s="40"/>
      <c r="T1260" s="49"/>
    </row>
    <row r="1261" spans="5:20" s="38" customFormat="1" x14ac:dyDescent="0.35">
      <c r="E1261" s="39"/>
      <c r="F1261" s="39"/>
      <c r="G1261" s="39"/>
      <c r="H1261" s="40"/>
      <c r="T1261" s="49"/>
    </row>
    <row r="1262" spans="5:20" s="38" customFormat="1" x14ac:dyDescent="0.35">
      <c r="E1262" s="39"/>
      <c r="F1262" s="39"/>
      <c r="G1262" s="39"/>
      <c r="H1262" s="40"/>
      <c r="T1262" s="49"/>
    </row>
    <row r="1263" spans="5:20" s="38" customFormat="1" x14ac:dyDescent="0.35">
      <c r="E1263" s="39"/>
      <c r="F1263" s="39"/>
      <c r="G1263" s="39"/>
      <c r="H1263" s="40"/>
      <c r="T1263" s="49"/>
    </row>
    <row r="1264" spans="5:20" s="38" customFormat="1" x14ac:dyDescent="0.35">
      <c r="E1264" s="39"/>
      <c r="F1264" s="39"/>
      <c r="G1264" s="39"/>
      <c r="H1264" s="40"/>
      <c r="T1264" s="49"/>
    </row>
    <row r="1265" spans="5:20" s="38" customFormat="1" x14ac:dyDescent="0.35">
      <c r="E1265" s="39"/>
      <c r="F1265" s="39"/>
      <c r="G1265" s="39"/>
      <c r="H1265" s="40"/>
      <c r="T1265" s="49"/>
    </row>
    <row r="1266" spans="5:20" s="38" customFormat="1" x14ac:dyDescent="0.35">
      <c r="E1266" s="39"/>
      <c r="F1266" s="39"/>
      <c r="G1266" s="39"/>
      <c r="H1266" s="40"/>
      <c r="T1266" s="49"/>
    </row>
    <row r="1267" spans="5:20" s="38" customFormat="1" x14ac:dyDescent="0.35">
      <c r="E1267" s="39"/>
      <c r="F1267" s="39"/>
      <c r="G1267" s="39"/>
      <c r="H1267" s="40"/>
      <c r="T1267" s="49"/>
    </row>
    <row r="1268" spans="5:20" s="38" customFormat="1" x14ac:dyDescent="0.35">
      <c r="E1268" s="39"/>
      <c r="F1268" s="39"/>
      <c r="G1268" s="39"/>
      <c r="H1268" s="40"/>
      <c r="T1268" s="49"/>
    </row>
    <row r="1269" spans="5:20" s="38" customFormat="1" x14ac:dyDescent="0.35">
      <c r="E1269" s="39"/>
      <c r="F1269" s="39"/>
      <c r="G1269" s="39"/>
      <c r="H1269" s="40"/>
      <c r="T1269" s="49"/>
    </row>
    <row r="1270" spans="5:20" s="38" customFormat="1" x14ac:dyDescent="0.35">
      <c r="E1270" s="39"/>
      <c r="F1270" s="39"/>
      <c r="G1270" s="39"/>
      <c r="H1270" s="40"/>
      <c r="T1270" s="49"/>
    </row>
    <row r="1271" spans="5:20" s="38" customFormat="1" x14ac:dyDescent="0.35">
      <c r="E1271" s="39"/>
      <c r="F1271" s="39"/>
      <c r="G1271" s="39"/>
      <c r="H1271" s="40"/>
      <c r="T1271" s="49"/>
    </row>
    <row r="1272" spans="5:20" s="38" customFormat="1" x14ac:dyDescent="0.35">
      <c r="E1272" s="39"/>
      <c r="F1272" s="39"/>
      <c r="G1272" s="39"/>
      <c r="H1272" s="40"/>
      <c r="T1272" s="49"/>
    </row>
    <row r="1273" spans="5:20" s="38" customFormat="1" x14ac:dyDescent="0.35">
      <c r="E1273" s="39"/>
      <c r="F1273" s="39"/>
      <c r="G1273" s="39"/>
      <c r="H1273" s="40"/>
      <c r="T1273" s="49"/>
    </row>
    <row r="1274" spans="5:20" s="38" customFormat="1" x14ac:dyDescent="0.35">
      <c r="E1274" s="39"/>
      <c r="F1274" s="39"/>
      <c r="G1274" s="39"/>
      <c r="H1274" s="40"/>
      <c r="T1274" s="49"/>
    </row>
    <row r="1275" spans="5:20" s="38" customFormat="1" x14ac:dyDescent="0.35">
      <c r="E1275" s="39"/>
      <c r="F1275" s="39"/>
      <c r="G1275" s="39"/>
      <c r="H1275" s="40"/>
      <c r="T1275" s="49"/>
    </row>
    <row r="1276" spans="5:20" s="38" customFormat="1" x14ac:dyDescent="0.35">
      <c r="E1276" s="39"/>
      <c r="F1276" s="39"/>
      <c r="G1276" s="39"/>
      <c r="H1276" s="40"/>
      <c r="T1276" s="49"/>
    </row>
    <row r="1277" spans="5:20" s="38" customFormat="1" x14ac:dyDescent="0.35">
      <c r="E1277" s="39"/>
      <c r="F1277" s="39"/>
      <c r="G1277" s="39"/>
      <c r="H1277" s="40"/>
      <c r="T1277" s="49"/>
    </row>
    <row r="1278" spans="5:20" s="38" customFormat="1" x14ac:dyDescent="0.35">
      <c r="E1278" s="39"/>
      <c r="F1278" s="39"/>
      <c r="G1278" s="39"/>
      <c r="H1278" s="40"/>
      <c r="T1278" s="49"/>
    </row>
    <row r="1279" spans="5:20" s="38" customFormat="1" x14ac:dyDescent="0.35">
      <c r="E1279" s="39"/>
      <c r="F1279" s="39"/>
      <c r="G1279" s="39"/>
      <c r="H1279" s="40"/>
      <c r="T1279" s="49"/>
    </row>
    <row r="1280" spans="5:20" s="38" customFormat="1" x14ac:dyDescent="0.35">
      <c r="E1280" s="39"/>
      <c r="F1280" s="39"/>
      <c r="G1280" s="39"/>
      <c r="H1280" s="40"/>
      <c r="T1280" s="49"/>
    </row>
    <row r="1281" spans="5:20" s="38" customFormat="1" x14ac:dyDescent="0.35">
      <c r="E1281" s="39"/>
      <c r="F1281" s="39"/>
      <c r="G1281" s="39"/>
      <c r="H1281" s="40"/>
      <c r="T1281" s="49"/>
    </row>
    <row r="1282" spans="5:20" s="38" customFormat="1" x14ac:dyDescent="0.35">
      <c r="E1282" s="39"/>
      <c r="F1282" s="39"/>
      <c r="G1282" s="39"/>
      <c r="H1282" s="40"/>
      <c r="T1282" s="49"/>
    </row>
    <row r="1283" spans="5:20" s="38" customFormat="1" x14ac:dyDescent="0.35">
      <c r="E1283" s="39"/>
      <c r="F1283" s="39"/>
      <c r="G1283" s="39"/>
      <c r="H1283" s="40"/>
      <c r="T1283" s="49"/>
    </row>
    <row r="1284" spans="5:20" s="38" customFormat="1" x14ac:dyDescent="0.35">
      <c r="E1284" s="39"/>
      <c r="F1284" s="39"/>
      <c r="G1284" s="39"/>
      <c r="H1284" s="40"/>
      <c r="T1284" s="49"/>
    </row>
    <row r="1285" spans="5:20" s="38" customFormat="1" x14ac:dyDescent="0.35">
      <c r="E1285" s="39"/>
      <c r="F1285" s="39"/>
      <c r="G1285" s="39"/>
      <c r="H1285" s="40"/>
      <c r="T1285" s="49"/>
    </row>
    <row r="1286" spans="5:20" s="38" customFormat="1" x14ac:dyDescent="0.35">
      <c r="E1286" s="39"/>
      <c r="F1286" s="39"/>
      <c r="G1286" s="39"/>
      <c r="H1286" s="40"/>
      <c r="T1286" s="49"/>
    </row>
    <row r="1287" spans="5:20" s="38" customFormat="1" x14ac:dyDescent="0.35">
      <c r="E1287" s="39"/>
      <c r="F1287" s="39"/>
      <c r="G1287" s="39"/>
      <c r="H1287" s="40"/>
      <c r="T1287" s="49"/>
    </row>
    <row r="1288" spans="5:20" s="38" customFormat="1" x14ac:dyDescent="0.35">
      <c r="E1288" s="39"/>
      <c r="F1288" s="39"/>
      <c r="G1288" s="39"/>
      <c r="H1288" s="40"/>
      <c r="T1288" s="49"/>
    </row>
    <row r="1289" spans="5:20" s="38" customFormat="1" x14ac:dyDescent="0.35">
      <c r="E1289" s="39"/>
      <c r="F1289" s="39"/>
      <c r="G1289" s="39"/>
      <c r="H1289" s="40"/>
      <c r="T1289" s="49"/>
    </row>
    <row r="1290" spans="5:20" s="38" customFormat="1" x14ac:dyDescent="0.35">
      <c r="E1290" s="39"/>
      <c r="F1290" s="39"/>
      <c r="G1290" s="39"/>
      <c r="H1290" s="40"/>
      <c r="T1290" s="49"/>
    </row>
    <row r="1291" spans="5:20" s="38" customFormat="1" x14ac:dyDescent="0.35">
      <c r="E1291" s="39"/>
      <c r="F1291" s="39"/>
      <c r="G1291" s="39"/>
      <c r="H1291" s="40"/>
      <c r="T1291" s="49"/>
    </row>
    <row r="1292" spans="5:20" s="38" customFormat="1" x14ac:dyDescent="0.35">
      <c r="E1292" s="39"/>
      <c r="F1292" s="39"/>
      <c r="G1292" s="39"/>
      <c r="H1292" s="40"/>
      <c r="T1292" s="49"/>
    </row>
    <row r="1293" spans="5:20" s="38" customFormat="1" x14ac:dyDescent="0.35">
      <c r="E1293" s="39"/>
      <c r="F1293" s="39"/>
      <c r="G1293" s="39"/>
      <c r="H1293" s="40"/>
      <c r="T1293" s="49"/>
    </row>
    <row r="1294" spans="5:20" s="38" customFormat="1" x14ac:dyDescent="0.35">
      <c r="E1294" s="39"/>
      <c r="F1294" s="39"/>
      <c r="G1294" s="39"/>
      <c r="H1294" s="40"/>
      <c r="T1294" s="49"/>
    </row>
    <row r="1295" spans="5:20" s="38" customFormat="1" x14ac:dyDescent="0.35">
      <c r="E1295" s="39"/>
      <c r="F1295" s="39"/>
      <c r="G1295" s="39"/>
      <c r="H1295" s="40"/>
      <c r="T1295" s="49"/>
    </row>
    <row r="1296" spans="5:20" s="38" customFormat="1" x14ac:dyDescent="0.35">
      <c r="E1296" s="39"/>
      <c r="F1296" s="39"/>
      <c r="G1296" s="39"/>
      <c r="H1296" s="40"/>
      <c r="T1296" s="49"/>
    </row>
    <row r="1297" spans="5:20" s="38" customFormat="1" x14ac:dyDescent="0.35">
      <c r="E1297" s="39"/>
      <c r="F1297" s="39"/>
      <c r="G1297" s="39"/>
      <c r="H1297" s="40"/>
      <c r="T1297" s="49"/>
    </row>
    <row r="1298" spans="5:20" s="38" customFormat="1" x14ac:dyDescent="0.35">
      <c r="E1298" s="39"/>
      <c r="F1298" s="39"/>
      <c r="G1298" s="39"/>
      <c r="H1298" s="40"/>
      <c r="T1298" s="49"/>
    </row>
    <row r="1299" spans="5:20" s="38" customFormat="1" x14ac:dyDescent="0.35">
      <c r="E1299" s="39"/>
      <c r="F1299" s="39"/>
      <c r="G1299" s="39"/>
      <c r="H1299" s="40"/>
      <c r="T1299" s="49"/>
    </row>
    <row r="1300" spans="5:20" s="38" customFormat="1" x14ac:dyDescent="0.35">
      <c r="E1300" s="39"/>
      <c r="F1300" s="39"/>
      <c r="G1300" s="39"/>
      <c r="H1300" s="40"/>
      <c r="T1300" s="49"/>
    </row>
    <row r="1301" spans="5:20" s="38" customFormat="1" x14ac:dyDescent="0.35">
      <c r="E1301" s="39"/>
      <c r="F1301" s="39"/>
      <c r="G1301" s="39"/>
      <c r="H1301" s="40"/>
      <c r="T1301" s="49"/>
    </row>
    <row r="1302" spans="5:20" s="38" customFormat="1" x14ac:dyDescent="0.35">
      <c r="E1302" s="39"/>
      <c r="F1302" s="39"/>
      <c r="G1302" s="39"/>
      <c r="H1302" s="40"/>
      <c r="T1302" s="49"/>
    </row>
    <row r="1303" spans="5:20" s="38" customFormat="1" x14ac:dyDescent="0.35">
      <c r="E1303" s="39"/>
      <c r="F1303" s="39"/>
      <c r="G1303" s="39"/>
      <c r="H1303" s="40"/>
      <c r="T1303" s="49"/>
    </row>
    <row r="1304" spans="5:20" s="38" customFormat="1" x14ac:dyDescent="0.35">
      <c r="E1304" s="39"/>
      <c r="F1304" s="39"/>
      <c r="G1304" s="39"/>
      <c r="H1304" s="40"/>
      <c r="T1304" s="49"/>
    </row>
    <row r="1305" spans="5:20" s="38" customFormat="1" x14ac:dyDescent="0.35">
      <c r="E1305" s="39"/>
      <c r="F1305" s="39"/>
      <c r="G1305" s="39"/>
      <c r="H1305" s="40"/>
      <c r="T1305" s="49"/>
    </row>
    <row r="1306" spans="5:20" s="38" customFormat="1" x14ac:dyDescent="0.35">
      <c r="E1306" s="39"/>
      <c r="F1306" s="39"/>
      <c r="G1306" s="39"/>
      <c r="H1306" s="40"/>
      <c r="T1306" s="49"/>
    </row>
    <row r="1307" spans="5:20" s="38" customFormat="1" x14ac:dyDescent="0.35">
      <c r="E1307" s="39"/>
      <c r="F1307" s="39"/>
      <c r="G1307" s="39"/>
      <c r="H1307" s="40"/>
      <c r="T1307" s="49"/>
    </row>
    <row r="1308" spans="5:20" s="38" customFormat="1" x14ac:dyDescent="0.35">
      <c r="E1308" s="39"/>
      <c r="F1308" s="39"/>
      <c r="G1308" s="39"/>
      <c r="H1308" s="40"/>
      <c r="T1308" s="49"/>
    </row>
    <row r="1309" spans="5:20" s="38" customFormat="1" x14ac:dyDescent="0.35">
      <c r="E1309" s="39"/>
      <c r="F1309" s="39"/>
      <c r="G1309" s="39"/>
      <c r="H1309" s="40"/>
      <c r="T1309" s="49"/>
    </row>
    <row r="1310" spans="5:20" s="38" customFormat="1" x14ac:dyDescent="0.35">
      <c r="E1310" s="39"/>
      <c r="F1310" s="39"/>
      <c r="G1310" s="39"/>
      <c r="H1310" s="40"/>
      <c r="T1310" s="49"/>
    </row>
    <row r="1311" spans="5:20" s="38" customFormat="1" x14ac:dyDescent="0.35">
      <c r="E1311" s="39"/>
      <c r="F1311" s="39"/>
      <c r="G1311" s="39"/>
      <c r="H1311" s="40"/>
      <c r="T1311" s="49"/>
    </row>
    <row r="1312" spans="5:20" s="38" customFormat="1" x14ac:dyDescent="0.35">
      <c r="E1312" s="39"/>
      <c r="F1312" s="39"/>
      <c r="G1312" s="39"/>
      <c r="H1312" s="40"/>
      <c r="T1312" s="49"/>
    </row>
    <row r="1313" spans="5:20" s="38" customFormat="1" x14ac:dyDescent="0.35">
      <c r="E1313" s="39"/>
      <c r="F1313" s="39"/>
      <c r="G1313" s="39"/>
      <c r="H1313" s="40"/>
      <c r="T1313" s="49"/>
    </row>
    <row r="1314" spans="5:20" s="38" customFormat="1" x14ac:dyDescent="0.35">
      <c r="E1314" s="39"/>
      <c r="F1314" s="39"/>
      <c r="G1314" s="39"/>
      <c r="H1314" s="40"/>
      <c r="T1314" s="49"/>
    </row>
    <row r="1315" spans="5:20" s="38" customFormat="1" x14ac:dyDescent="0.35">
      <c r="E1315" s="39"/>
      <c r="F1315" s="39"/>
      <c r="G1315" s="39"/>
      <c r="H1315" s="40"/>
      <c r="T1315" s="49"/>
    </row>
    <row r="1316" spans="5:20" s="38" customFormat="1" x14ac:dyDescent="0.35">
      <c r="E1316" s="39"/>
      <c r="F1316" s="39"/>
      <c r="G1316" s="39"/>
      <c r="H1316" s="40"/>
      <c r="T1316" s="49"/>
    </row>
    <row r="1317" spans="5:20" s="38" customFormat="1" x14ac:dyDescent="0.35">
      <c r="E1317" s="39"/>
      <c r="F1317" s="39"/>
      <c r="G1317" s="39"/>
      <c r="H1317" s="40"/>
      <c r="T1317" s="49"/>
    </row>
    <row r="1318" spans="5:20" s="38" customFormat="1" x14ac:dyDescent="0.35">
      <c r="E1318" s="39"/>
      <c r="F1318" s="39"/>
      <c r="G1318" s="39"/>
      <c r="H1318" s="40"/>
      <c r="T1318" s="49"/>
    </row>
    <row r="1319" spans="5:20" s="38" customFormat="1" x14ac:dyDescent="0.35">
      <c r="E1319" s="39"/>
      <c r="F1319" s="39"/>
      <c r="G1319" s="39"/>
      <c r="H1319" s="40"/>
      <c r="T1319" s="49"/>
    </row>
    <row r="1320" spans="5:20" s="38" customFormat="1" x14ac:dyDescent="0.35">
      <c r="E1320" s="39"/>
      <c r="F1320" s="39"/>
      <c r="G1320" s="39"/>
      <c r="H1320" s="40"/>
      <c r="T1320" s="49"/>
    </row>
    <row r="1321" spans="5:20" s="38" customFormat="1" x14ac:dyDescent="0.35">
      <c r="E1321" s="39"/>
      <c r="F1321" s="39"/>
      <c r="G1321" s="39"/>
      <c r="H1321" s="40"/>
      <c r="T1321" s="49"/>
    </row>
    <row r="1322" spans="5:20" s="38" customFormat="1" x14ac:dyDescent="0.35">
      <c r="E1322" s="39"/>
      <c r="F1322" s="39"/>
      <c r="G1322" s="39"/>
      <c r="H1322" s="40"/>
      <c r="T1322" s="49"/>
    </row>
    <row r="1323" spans="5:20" s="38" customFormat="1" x14ac:dyDescent="0.35">
      <c r="E1323" s="39"/>
      <c r="F1323" s="39"/>
      <c r="G1323" s="39"/>
      <c r="H1323" s="40"/>
      <c r="T1323" s="49"/>
    </row>
    <row r="1324" spans="5:20" s="38" customFormat="1" x14ac:dyDescent="0.35">
      <c r="E1324" s="39"/>
      <c r="F1324" s="39"/>
      <c r="G1324" s="39"/>
      <c r="H1324" s="40"/>
      <c r="T1324" s="49"/>
    </row>
    <row r="1325" spans="5:20" s="38" customFormat="1" x14ac:dyDescent="0.35">
      <c r="E1325" s="39"/>
      <c r="F1325" s="39"/>
      <c r="G1325" s="39"/>
      <c r="H1325" s="40"/>
      <c r="T1325" s="49"/>
    </row>
    <row r="1326" spans="5:20" s="38" customFormat="1" x14ac:dyDescent="0.35">
      <c r="E1326" s="39"/>
      <c r="F1326" s="39"/>
      <c r="G1326" s="39"/>
      <c r="H1326" s="40"/>
      <c r="T1326" s="49"/>
    </row>
    <row r="1327" spans="5:20" s="38" customFormat="1" x14ac:dyDescent="0.35">
      <c r="E1327" s="39"/>
      <c r="F1327" s="39"/>
      <c r="G1327" s="39"/>
      <c r="H1327" s="40"/>
      <c r="T1327" s="49"/>
    </row>
    <row r="1328" spans="5:20" s="38" customFormat="1" x14ac:dyDescent="0.35">
      <c r="E1328" s="39"/>
      <c r="F1328" s="39"/>
      <c r="G1328" s="39"/>
      <c r="H1328" s="40"/>
      <c r="T1328" s="49"/>
    </row>
    <row r="1329" spans="5:20" s="38" customFormat="1" x14ac:dyDescent="0.35">
      <c r="E1329" s="39"/>
      <c r="F1329" s="39"/>
      <c r="G1329" s="39"/>
      <c r="H1329" s="40"/>
      <c r="T1329" s="49"/>
    </row>
    <row r="1330" spans="5:20" s="38" customFormat="1" x14ac:dyDescent="0.35">
      <c r="E1330" s="39"/>
      <c r="F1330" s="39"/>
      <c r="G1330" s="39"/>
      <c r="H1330" s="40"/>
      <c r="T1330" s="49"/>
    </row>
    <row r="1331" spans="5:20" s="38" customFormat="1" x14ac:dyDescent="0.35">
      <c r="E1331" s="39"/>
      <c r="F1331" s="39"/>
      <c r="G1331" s="39"/>
      <c r="H1331" s="40"/>
      <c r="T1331" s="49"/>
    </row>
    <row r="1332" spans="5:20" s="38" customFormat="1" x14ac:dyDescent="0.35">
      <c r="E1332" s="39"/>
      <c r="F1332" s="39"/>
      <c r="G1332" s="39"/>
      <c r="H1332" s="40"/>
      <c r="T1332" s="49"/>
    </row>
    <row r="1333" spans="5:20" s="38" customFormat="1" x14ac:dyDescent="0.35">
      <c r="E1333" s="39"/>
      <c r="F1333" s="39"/>
      <c r="G1333" s="39"/>
      <c r="H1333" s="40"/>
      <c r="T1333" s="49"/>
    </row>
    <row r="1334" spans="5:20" s="38" customFormat="1" x14ac:dyDescent="0.35">
      <c r="E1334" s="39"/>
      <c r="F1334" s="39"/>
      <c r="G1334" s="39"/>
      <c r="H1334" s="40"/>
      <c r="T1334" s="49"/>
    </row>
    <row r="1335" spans="5:20" s="38" customFormat="1" x14ac:dyDescent="0.35">
      <c r="E1335" s="39"/>
      <c r="F1335" s="39"/>
      <c r="G1335" s="39"/>
      <c r="H1335" s="40"/>
      <c r="T1335" s="49"/>
    </row>
    <row r="1336" spans="5:20" s="38" customFormat="1" x14ac:dyDescent="0.35">
      <c r="E1336" s="39"/>
      <c r="F1336" s="39"/>
      <c r="G1336" s="39"/>
      <c r="H1336" s="40"/>
      <c r="T1336" s="49"/>
    </row>
    <row r="1337" spans="5:20" s="38" customFormat="1" x14ac:dyDescent="0.35">
      <c r="E1337" s="39"/>
      <c r="F1337" s="39"/>
      <c r="G1337" s="39"/>
      <c r="H1337" s="40"/>
      <c r="T1337" s="49"/>
    </row>
    <row r="1338" spans="5:20" s="38" customFormat="1" x14ac:dyDescent="0.35">
      <c r="E1338" s="39"/>
      <c r="F1338" s="39"/>
      <c r="G1338" s="39"/>
      <c r="H1338" s="40"/>
      <c r="T1338" s="49"/>
    </row>
    <row r="1339" spans="5:20" s="38" customFormat="1" x14ac:dyDescent="0.35">
      <c r="E1339" s="39"/>
      <c r="F1339" s="39"/>
      <c r="G1339" s="39"/>
      <c r="H1339" s="40"/>
      <c r="T1339" s="49"/>
    </row>
    <row r="1340" spans="5:20" s="38" customFormat="1" x14ac:dyDescent="0.35">
      <c r="E1340" s="39"/>
      <c r="F1340" s="39"/>
      <c r="G1340" s="39"/>
      <c r="H1340" s="40"/>
      <c r="T1340" s="49"/>
    </row>
    <row r="1341" spans="5:20" s="38" customFormat="1" x14ac:dyDescent="0.35">
      <c r="E1341" s="39"/>
      <c r="F1341" s="39"/>
      <c r="G1341" s="39"/>
      <c r="H1341" s="40"/>
      <c r="T1341" s="49"/>
    </row>
    <row r="1342" spans="5:20" s="38" customFormat="1" x14ac:dyDescent="0.35">
      <c r="E1342" s="39"/>
      <c r="F1342" s="39"/>
      <c r="G1342" s="39"/>
      <c r="H1342" s="40"/>
      <c r="T1342" s="49"/>
    </row>
    <row r="1343" spans="5:20" s="38" customFormat="1" x14ac:dyDescent="0.35">
      <c r="E1343" s="39"/>
      <c r="F1343" s="39"/>
      <c r="G1343" s="39"/>
      <c r="H1343" s="40"/>
      <c r="T1343" s="49"/>
    </row>
    <row r="1344" spans="5:20" s="38" customFormat="1" x14ac:dyDescent="0.35">
      <c r="E1344" s="39"/>
      <c r="F1344" s="39"/>
      <c r="G1344" s="39"/>
      <c r="H1344" s="40"/>
      <c r="T1344" s="49"/>
    </row>
    <row r="1345" spans="5:20" s="38" customFormat="1" x14ac:dyDescent="0.35">
      <c r="E1345" s="39"/>
      <c r="F1345" s="39"/>
      <c r="G1345" s="39"/>
      <c r="H1345" s="40"/>
      <c r="T1345" s="49"/>
    </row>
    <row r="1346" spans="5:20" s="38" customFormat="1" x14ac:dyDescent="0.35">
      <c r="E1346" s="39"/>
      <c r="F1346" s="39"/>
      <c r="G1346" s="39"/>
      <c r="H1346" s="40"/>
      <c r="T1346" s="49"/>
    </row>
    <row r="1347" spans="5:20" s="38" customFormat="1" x14ac:dyDescent="0.35">
      <c r="E1347" s="39"/>
      <c r="F1347" s="39"/>
      <c r="G1347" s="39"/>
      <c r="H1347" s="40"/>
      <c r="T1347" s="49"/>
    </row>
    <row r="1348" spans="5:20" s="38" customFormat="1" x14ac:dyDescent="0.35">
      <c r="E1348" s="39"/>
      <c r="F1348" s="39"/>
      <c r="G1348" s="39"/>
      <c r="H1348" s="40"/>
      <c r="T1348" s="49"/>
    </row>
    <row r="1349" spans="5:20" s="38" customFormat="1" x14ac:dyDescent="0.35">
      <c r="E1349" s="39"/>
      <c r="F1349" s="39"/>
      <c r="G1349" s="39"/>
      <c r="H1349" s="40"/>
      <c r="T1349" s="49"/>
    </row>
    <row r="1350" spans="5:20" s="38" customFormat="1" x14ac:dyDescent="0.35">
      <c r="E1350" s="39"/>
      <c r="F1350" s="39"/>
      <c r="G1350" s="39"/>
      <c r="H1350" s="40"/>
      <c r="T1350" s="49"/>
    </row>
    <row r="1351" spans="5:20" s="38" customFormat="1" x14ac:dyDescent="0.35">
      <c r="E1351" s="39"/>
      <c r="F1351" s="39"/>
      <c r="G1351" s="39"/>
      <c r="H1351" s="40"/>
      <c r="T1351" s="49"/>
    </row>
    <row r="1352" spans="5:20" s="38" customFormat="1" x14ac:dyDescent="0.35">
      <c r="E1352" s="39"/>
      <c r="F1352" s="39"/>
      <c r="G1352" s="39"/>
      <c r="H1352" s="40"/>
      <c r="T1352" s="49"/>
    </row>
    <row r="1353" spans="5:20" s="38" customFormat="1" x14ac:dyDescent="0.35">
      <c r="E1353" s="39"/>
      <c r="F1353" s="39"/>
      <c r="G1353" s="39"/>
      <c r="H1353" s="40"/>
      <c r="T1353" s="49"/>
    </row>
    <row r="1354" spans="5:20" s="38" customFormat="1" x14ac:dyDescent="0.35">
      <c r="E1354" s="39"/>
      <c r="F1354" s="39"/>
      <c r="G1354" s="39"/>
      <c r="H1354" s="40"/>
      <c r="T1354" s="49"/>
    </row>
    <row r="1355" spans="5:20" s="38" customFormat="1" x14ac:dyDescent="0.35">
      <c r="E1355" s="39"/>
      <c r="F1355" s="39"/>
      <c r="G1355" s="39"/>
      <c r="H1355" s="40"/>
      <c r="T1355" s="49"/>
    </row>
    <row r="1356" spans="5:20" s="38" customFormat="1" x14ac:dyDescent="0.35">
      <c r="E1356" s="39"/>
      <c r="F1356" s="39"/>
      <c r="G1356" s="39"/>
      <c r="H1356" s="40"/>
      <c r="T1356" s="49"/>
    </row>
    <row r="1357" spans="5:20" s="38" customFormat="1" x14ac:dyDescent="0.35">
      <c r="E1357" s="39"/>
      <c r="F1357" s="39"/>
      <c r="G1357" s="39"/>
      <c r="H1357" s="40"/>
      <c r="T1357" s="49"/>
    </row>
    <row r="1358" spans="5:20" s="38" customFormat="1" x14ac:dyDescent="0.35">
      <c r="E1358" s="39"/>
      <c r="F1358" s="39"/>
      <c r="G1358" s="39"/>
      <c r="H1358" s="40"/>
      <c r="T1358" s="49"/>
    </row>
    <row r="1359" spans="5:20" s="38" customFormat="1" x14ac:dyDescent="0.35">
      <c r="E1359" s="39"/>
      <c r="F1359" s="39"/>
      <c r="G1359" s="39"/>
      <c r="H1359" s="40"/>
      <c r="T1359" s="49"/>
    </row>
    <row r="1360" spans="5:20" s="38" customFormat="1" x14ac:dyDescent="0.35">
      <c r="E1360" s="39"/>
      <c r="F1360" s="39"/>
      <c r="G1360" s="39"/>
      <c r="H1360" s="40"/>
      <c r="T1360" s="49"/>
    </row>
    <row r="1361" spans="5:20" s="38" customFormat="1" x14ac:dyDescent="0.35">
      <c r="E1361" s="39"/>
      <c r="F1361" s="39"/>
      <c r="G1361" s="39"/>
      <c r="H1361" s="40"/>
      <c r="T1361" s="49"/>
    </row>
    <row r="1362" spans="5:20" s="38" customFormat="1" x14ac:dyDescent="0.35">
      <c r="E1362" s="39"/>
      <c r="F1362" s="39"/>
      <c r="G1362" s="39"/>
      <c r="H1362" s="40"/>
      <c r="T1362" s="49"/>
    </row>
    <row r="1363" spans="5:20" s="38" customFormat="1" x14ac:dyDescent="0.35">
      <c r="E1363" s="39"/>
      <c r="F1363" s="39"/>
      <c r="G1363" s="39"/>
      <c r="H1363" s="40"/>
      <c r="T1363" s="49"/>
    </row>
    <row r="1364" spans="5:20" s="38" customFormat="1" x14ac:dyDescent="0.35">
      <c r="E1364" s="39"/>
      <c r="F1364" s="39"/>
      <c r="G1364" s="39"/>
      <c r="H1364" s="40"/>
      <c r="T1364" s="49"/>
    </row>
    <row r="1365" spans="5:20" s="38" customFormat="1" x14ac:dyDescent="0.35">
      <c r="E1365" s="39"/>
      <c r="F1365" s="39"/>
      <c r="G1365" s="39"/>
      <c r="H1365" s="40"/>
      <c r="T1365" s="49"/>
    </row>
    <row r="1366" spans="5:20" s="38" customFormat="1" x14ac:dyDescent="0.35">
      <c r="E1366" s="39"/>
      <c r="F1366" s="39"/>
      <c r="G1366" s="39"/>
      <c r="H1366" s="40"/>
      <c r="T1366" s="49"/>
    </row>
    <row r="1367" spans="5:20" s="38" customFormat="1" x14ac:dyDescent="0.35">
      <c r="E1367" s="39"/>
      <c r="F1367" s="39"/>
      <c r="G1367" s="39"/>
      <c r="H1367" s="40"/>
      <c r="T1367" s="49"/>
    </row>
    <row r="1368" spans="5:20" s="38" customFormat="1" x14ac:dyDescent="0.35">
      <c r="E1368" s="39"/>
      <c r="F1368" s="39"/>
      <c r="G1368" s="39"/>
      <c r="H1368" s="40"/>
      <c r="T1368" s="49"/>
    </row>
    <row r="1369" spans="5:20" s="38" customFormat="1" x14ac:dyDescent="0.35">
      <c r="E1369" s="39"/>
      <c r="F1369" s="39"/>
      <c r="G1369" s="39"/>
      <c r="H1369" s="40"/>
      <c r="T1369" s="49"/>
    </row>
    <row r="1370" spans="5:20" s="38" customFormat="1" x14ac:dyDescent="0.35">
      <c r="E1370" s="39"/>
      <c r="F1370" s="39"/>
      <c r="G1370" s="39"/>
      <c r="H1370" s="40"/>
      <c r="T1370" s="49"/>
    </row>
    <row r="1371" spans="5:20" s="38" customFormat="1" x14ac:dyDescent="0.35">
      <c r="E1371" s="39"/>
      <c r="F1371" s="39"/>
      <c r="G1371" s="39"/>
      <c r="H1371" s="40"/>
      <c r="T1371" s="49"/>
    </row>
    <row r="1372" spans="5:20" s="38" customFormat="1" x14ac:dyDescent="0.35">
      <c r="E1372" s="39"/>
      <c r="F1372" s="39"/>
      <c r="G1372" s="39"/>
      <c r="H1372" s="40"/>
      <c r="T1372" s="49"/>
    </row>
    <row r="1373" spans="5:20" s="38" customFormat="1" x14ac:dyDescent="0.35">
      <c r="E1373" s="39"/>
      <c r="F1373" s="39"/>
      <c r="G1373" s="39"/>
      <c r="H1373" s="40"/>
      <c r="T1373" s="49"/>
    </row>
    <row r="1374" spans="5:20" s="38" customFormat="1" x14ac:dyDescent="0.35">
      <c r="E1374" s="39"/>
      <c r="F1374" s="39"/>
      <c r="G1374" s="39"/>
      <c r="H1374" s="40"/>
      <c r="T1374" s="49"/>
    </row>
    <row r="1375" spans="5:20" s="38" customFormat="1" x14ac:dyDescent="0.35">
      <c r="E1375" s="39"/>
      <c r="F1375" s="39"/>
      <c r="G1375" s="39"/>
      <c r="H1375" s="40"/>
      <c r="T1375" s="49"/>
    </row>
    <row r="1376" spans="5:20" s="38" customFormat="1" x14ac:dyDescent="0.35">
      <c r="E1376" s="39"/>
      <c r="F1376" s="39"/>
      <c r="G1376" s="39"/>
      <c r="H1376" s="40"/>
      <c r="T1376" s="49"/>
    </row>
    <row r="1377" spans="5:20" s="38" customFormat="1" x14ac:dyDescent="0.35">
      <c r="E1377" s="39"/>
      <c r="F1377" s="39"/>
      <c r="G1377" s="39"/>
      <c r="H1377" s="40"/>
      <c r="T1377" s="49"/>
    </row>
    <row r="1378" spans="5:20" s="38" customFormat="1" x14ac:dyDescent="0.35">
      <c r="E1378" s="39"/>
      <c r="F1378" s="39"/>
      <c r="G1378" s="39"/>
      <c r="H1378" s="40"/>
      <c r="T1378" s="49"/>
    </row>
    <row r="1379" spans="5:20" s="38" customFormat="1" x14ac:dyDescent="0.35">
      <c r="E1379" s="39"/>
      <c r="F1379" s="39"/>
      <c r="G1379" s="39"/>
      <c r="H1379" s="40"/>
      <c r="T1379" s="49"/>
    </row>
    <row r="1380" spans="5:20" s="38" customFormat="1" x14ac:dyDescent="0.35">
      <c r="E1380" s="39"/>
      <c r="F1380" s="39"/>
      <c r="G1380" s="39"/>
      <c r="H1380" s="40"/>
      <c r="T1380" s="49"/>
    </row>
    <row r="1381" spans="5:20" s="38" customFormat="1" x14ac:dyDescent="0.35">
      <c r="E1381" s="39"/>
      <c r="F1381" s="39"/>
      <c r="G1381" s="39"/>
      <c r="H1381" s="40"/>
      <c r="T1381" s="49"/>
    </row>
    <row r="1382" spans="5:20" s="38" customFormat="1" x14ac:dyDescent="0.35">
      <c r="E1382" s="39"/>
      <c r="F1382" s="39"/>
      <c r="G1382" s="39"/>
      <c r="H1382" s="40"/>
      <c r="T1382" s="49"/>
    </row>
    <row r="1383" spans="5:20" s="38" customFormat="1" x14ac:dyDescent="0.35">
      <c r="E1383" s="39"/>
      <c r="F1383" s="39"/>
      <c r="G1383" s="39"/>
      <c r="H1383" s="40"/>
      <c r="T1383" s="49"/>
    </row>
    <row r="1384" spans="5:20" s="38" customFormat="1" x14ac:dyDescent="0.35">
      <c r="E1384" s="39"/>
      <c r="F1384" s="39"/>
      <c r="G1384" s="39"/>
      <c r="H1384" s="40"/>
      <c r="T1384" s="49"/>
    </row>
    <row r="1385" spans="5:20" s="38" customFormat="1" x14ac:dyDescent="0.35">
      <c r="E1385" s="39"/>
      <c r="F1385" s="39"/>
      <c r="G1385" s="39"/>
      <c r="H1385" s="40"/>
      <c r="T1385" s="49"/>
    </row>
    <row r="1386" spans="5:20" s="38" customFormat="1" x14ac:dyDescent="0.35">
      <c r="E1386" s="39"/>
      <c r="F1386" s="39"/>
      <c r="G1386" s="39"/>
      <c r="H1386" s="40"/>
      <c r="T1386" s="49"/>
    </row>
    <row r="1387" spans="5:20" s="38" customFormat="1" x14ac:dyDescent="0.35">
      <c r="E1387" s="39"/>
      <c r="F1387" s="39"/>
      <c r="G1387" s="39"/>
      <c r="H1387" s="40"/>
      <c r="T1387" s="49"/>
    </row>
    <row r="1388" spans="5:20" s="38" customFormat="1" x14ac:dyDescent="0.35">
      <c r="E1388" s="39"/>
      <c r="F1388" s="39"/>
      <c r="G1388" s="39"/>
      <c r="H1388" s="40"/>
      <c r="T1388" s="49"/>
    </row>
    <row r="1389" spans="5:20" s="38" customFormat="1" x14ac:dyDescent="0.35">
      <c r="E1389" s="39"/>
      <c r="F1389" s="39"/>
      <c r="G1389" s="39"/>
      <c r="H1389" s="40"/>
      <c r="T1389" s="49"/>
    </row>
    <row r="1390" spans="5:20" s="38" customFormat="1" x14ac:dyDescent="0.35">
      <c r="E1390" s="39"/>
      <c r="F1390" s="39"/>
      <c r="G1390" s="39"/>
      <c r="H1390" s="40"/>
      <c r="T1390" s="49"/>
    </row>
    <row r="1391" spans="5:20" s="38" customFormat="1" x14ac:dyDescent="0.35">
      <c r="E1391" s="39"/>
      <c r="F1391" s="39"/>
      <c r="G1391" s="39"/>
      <c r="H1391" s="40"/>
      <c r="T1391" s="49"/>
    </row>
    <row r="1392" spans="5:20" s="38" customFormat="1" x14ac:dyDescent="0.35">
      <c r="E1392" s="39"/>
      <c r="F1392" s="39"/>
      <c r="G1392" s="39"/>
      <c r="H1392" s="40"/>
      <c r="T1392" s="49"/>
    </row>
    <row r="1393" spans="5:20" s="38" customFormat="1" x14ac:dyDescent="0.35">
      <c r="E1393" s="39"/>
      <c r="F1393" s="39"/>
      <c r="G1393" s="39"/>
      <c r="H1393" s="40"/>
      <c r="T1393" s="49"/>
    </row>
    <row r="1394" spans="5:20" s="38" customFormat="1" x14ac:dyDescent="0.35">
      <c r="E1394" s="39"/>
      <c r="F1394" s="39"/>
      <c r="G1394" s="39"/>
      <c r="H1394" s="40"/>
      <c r="T1394" s="49"/>
    </row>
    <row r="1395" spans="5:20" s="38" customFormat="1" x14ac:dyDescent="0.35">
      <c r="E1395" s="39"/>
      <c r="F1395" s="39"/>
      <c r="G1395" s="39"/>
      <c r="H1395" s="40"/>
      <c r="T1395" s="49"/>
    </row>
    <row r="1396" spans="5:20" s="38" customFormat="1" x14ac:dyDescent="0.35">
      <c r="E1396" s="39"/>
      <c r="F1396" s="39"/>
      <c r="G1396" s="39"/>
      <c r="H1396" s="40"/>
      <c r="T1396" s="49"/>
    </row>
    <row r="1397" spans="5:20" s="38" customFormat="1" x14ac:dyDescent="0.35">
      <c r="E1397" s="39"/>
      <c r="F1397" s="39"/>
      <c r="G1397" s="39"/>
      <c r="H1397" s="40"/>
      <c r="T1397" s="49"/>
    </row>
    <row r="1398" spans="5:20" s="38" customFormat="1" x14ac:dyDescent="0.35">
      <c r="E1398" s="39"/>
      <c r="F1398" s="39"/>
      <c r="G1398" s="39"/>
      <c r="H1398" s="40"/>
      <c r="T1398" s="49"/>
    </row>
    <row r="1399" spans="5:20" s="38" customFormat="1" x14ac:dyDescent="0.35">
      <c r="E1399" s="39"/>
      <c r="F1399" s="39"/>
      <c r="G1399" s="39"/>
      <c r="H1399" s="40"/>
      <c r="T1399" s="49"/>
    </row>
    <row r="1400" spans="5:20" s="38" customFormat="1" x14ac:dyDescent="0.35">
      <c r="E1400" s="39"/>
      <c r="F1400" s="39"/>
      <c r="G1400" s="39"/>
      <c r="H1400" s="40"/>
      <c r="T1400" s="49"/>
    </row>
    <row r="1401" spans="5:20" s="38" customFormat="1" x14ac:dyDescent="0.35">
      <c r="E1401" s="39"/>
      <c r="F1401" s="39"/>
      <c r="G1401" s="39"/>
      <c r="H1401" s="40"/>
      <c r="T1401" s="49"/>
    </row>
    <row r="1402" spans="5:20" s="38" customFormat="1" x14ac:dyDescent="0.35">
      <c r="E1402" s="39"/>
      <c r="F1402" s="39"/>
      <c r="G1402" s="39"/>
      <c r="H1402" s="40"/>
      <c r="T1402" s="49"/>
    </row>
    <row r="1403" spans="5:20" s="38" customFormat="1" x14ac:dyDescent="0.35">
      <c r="E1403" s="39"/>
      <c r="F1403" s="39"/>
      <c r="G1403" s="39"/>
      <c r="H1403" s="40"/>
      <c r="T1403" s="49"/>
    </row>
    <row r="1404" spans="5:20" s="38" customFormat="1" x14ac:dyDescent="0.35">
      <c r="E1404" s="39"/>
      <c r="F1404" s="39"/>
      <c r="G1404" s="39"/>
      <c r="H1404" s="40"/>
      <c r="T1404" s="49"/>
    </row>
    <row r="1405" spans="5:20" s="38" customFormat="1" x14ac:dyDescent="0.35">
      <c r="E1405" s="39"/>
      <c r="F1405" s="39"/>
      <c r="G1405" s="39"/>
      <c r="H1405" s="40"/>
      <c r="T1405" s="49"/>
    </row>
    <row r="1406" spans="5:20" s="38" customFormat="1" x14ac:dyDescent="0.35">
      <c r="E1406" s="39"/>
      <c r="F1406" s="39"/>
      <c r="G1406" s="39"/>
      <c r="H1406" s="40"/>
      <c r="T1406" s="49"/>
    </row>
    <row r="1407" spans="5:20" s="38" customFormat="1" x14ac:dyDescent="0.35">
      <c r="E1407" s="39"/>
      <c r="F1407" s="39"/>
      <c r="G1407" s="39"/>
      <c r="H1407" s="40"/>
      <c r="T1407" s="49"/>
    </row>
    <row r="1408" spans="5:20" s="38" customFormat="1" x14ac:dyDescent="0.35">
      <c r="E1408" s="39"/>
      <c r="F1408" s="39"/>
      <c r="G1408" s="39"/>
      <c r="H1408" s="40"/>
      <c r="T1408" s="49"/>
    </row>
    <row r="1409" spans="5:20" s="38" customFormat="1" x14ac:dyDescent="0.35">
      <c r="E1409" s="39"/>
      <c r="F1409" s="39"/>
      <c r="G1409" s="39"/>
      <c r="H1409" s="40"/>
      <c r="T1409" s="49"/>
    </row>
    <row r="1410" spans="5:20" s="38" customFormat="1" x14ac:dyDescent="0.35">
      <c r="E1410" s="39"/>
      <c r="F1410" s="39"/>
      <c r="G1410" s="39"/>
      <c r="H1410" s="40"/>
      <c r="T1410" s="49"/>
    </row>
    <row r="1411" spans="5:20" s="38" customFormat="1" x14ac:dyDescent="0.35">
      <c r="E1411" s="39"/>
      <c r="F1411" s="39"/>
      <c r="G1411" s="39"/>
      <c r="H1411" s="40"/>
      <c r="T1411" s="49"/>
    </row>
    <row r="1412" spans="5:20" s="38" customFormat="1" x14ac:dyDescent="0.35">
      <c r="E1412" s="39"/>
      <c r="F1412" s="39"/>
      <c r="G1412" s="39"/>
      <c r="H1412" s="40"/>
      <c r="T1412" s="49"/>
    </row>
    <row r="1413" spans="5:20" s="38" customFormat="1" x14ac:dyDescent="0.35">
      <c r="E1413" s="39"/>
      <c r="F1413" s="39"/>
      <c r="G1413" s="39"/>
      <c r="H1413" s="40"/>
      <c r="T1413" s="49"/>
    </row>
    <row r="1414" spans="5:20" s="38" customFormat="1" x14ac:dyDescent="0.35">
      <c r="E1414" s="39"/>
      <c r="F1414" s="39"/>
      <c r="G1414" s="39"/>
      <c r="H1414" s="40"/>
      <c r="T1414" s="49"/>
    </row>
    <row r="1415" spans="5:20" s="38" customFormat="1" x14ac:dyDescent="0.35">
      <c r="E1415" s="39"/>
      <c r="F1415" s="39"/>
      <c r="G1415" s="39"/>
      <c r="H1415" s="40"/>
      <c r="T1415" s="49"/>
    </row>
    <row r="1416" spans="5:20" s="38" customFormat="1" x14ac:dyDescent="0.35">
      <c r="E1416" s="39"/>
      <c r="F1416" s="39"/>
      <c r="G1416" s="39"/>
      <c r="H1416" s="40"/>
      <c r="T1416" s="49"/>
    </row>
    <row r="1417" spans="5:20" s="38" customFormat="1" x14ac:dyDescent="0.35">
      <c r="E1417" s="39"/>
      <c r="F1417" s="39"/>
      <c r="G1417" s="39"/>
      <c r="H1417" s="40"/>
      <c r="T1417" s="49"/>
    </row>
    <row r="1418" spans="5:20" s="38" customFormat="1" x14ac:dyDescent="0.35">
      <c r="E1418" s="39"/>
      <c r="F1418" s="39"/>
      <c r="G1418" s="39"/>
      <c r="H1418" s="40"/>
      <c r="T1418" s="49"/>
    </row>
    <row r="1419" spans="5:20" s="38" customFormat="1" x14ac:dyDescent="0.35">
      <c r="E1419" s="39"/>
      <c r="F1419" s="39"/>
      <c r="G1419" s="39"/>
      <c r="H1419" s="40"/>
      <c r="T1419" s="49"/>
    </row>
    <row r="1420" spans="5:20" s="38" customFormat="1" x14ac:dyDescent="0.35">
      <c r="E1420" s="39"/>
      <c r="F1420" s="39"/>
      <c r="G1420" s="39"/>
      <c r="H1420" s="40"/>
      <c r="T1420" s="49"/>
    </row>
    <row r="1421" spans="5:20" s="38" customFormat="1" x14ac:dyDescent="0.35">
      <c r="E1421" s="39"/>
      <c r="F1421" s="39"/>
      <c r="G1421" s="39"/>
      <c r="H1421" s="40"/>
      <c r="T1421" s="49"/>
    </row>
    <row r="1422" spans="5:20" s="38" customFormat="1" x14ac:dyDescent="0.35">
      <c r="E1422" s="39"/>
      <c r="F1422" s="39"/>
      <c r="G1422" s="39"/>
      <c r="H1422" s="40"/>
      <c r="T1422" s="49"/>
    </row>
    <row r="1423" spans="5:20" s="38" customFormat="1" x14ac:dyDescent="0.35">
      <c r="E1423" s="39"/>
      <c r="F1423" s="39"/>
      <c r="G1423" s="39"/>
      <c r="H1423" s="40"/>
      <c r="T1423" s="49"/>
    </row>
    <row r="1424" spans="5:20" s="38" customFormat="1" x14ac:dyDescent="0.35">
      <c r="E1424" s="39"/>
      <c r="F1424" s="39"/>
      <c r="G1424" s="39"/>
      <c r="H1424" s="40"/>
      <c r="T1424" s="49"/>
    </row>
    <row r="1425" spans="5:20" s="38" customFormat="1" x14ac:dyDescent="0.35">
      <c r="E1425" s="39"/>
      <c r="F1425" s="39"/>
      <c r="G1425" s="39"/>
      <c r="H1425" s="40"/>
      <c r="T1425" s="49"/>
    </row>
    <row r="1426" spans="5:20" s="38" customFormat="1" x14ac:dyDescent="0.35">
      <c r="E1426" s="39"/>
      <c r="F1426" s="39"/>
      <c r="G1426" s="39"/>
      <c r="H1426" s="40"/>
      <c r="T1426" s="49"/>
    </row>
    <row r="1427" spans="5:20" s="38" customFormat="1" x14ac:dyDescent="0.35">
      <c r="E1427" s="39"/>
      <c r="F1427" s="39"/>
      <c r="G1427" s="39"/>
      <c r="H1427" s="40"/>
      <c r="T1427" s="49"/>
    </row>
    <row r="1428" spans="5:20" s="38" customFormat="1" x14ac:dyDescent="0.35">
      <c r="E1428" s="39"/>
      <c r="F1428" s="39"/>
      <c r="G1428" s="39"/>
      <c r="H1428" s="40"/>
      <c r="T1428" s="49"/>
    </row>
    <row r="1429" spans="5:20" s="38" customFormat="1" x14ac:dyDescent="0.35">
      <c r="E1429" s="39"/>
      <c r="F1429" s="39"/>
      <c r="G1429" s="39"/>
      <c r="H1429" s="40"/>
      <c r="T1429" s="49"/>
    </row>
    <row r="1430" spans="5:20" s="38" customFormat="1" x14ac:dyDescent="0.35">
      <c r="E1430" s="39"/>
      <c r="F1430" s="39"/>
      <c r="G1430" s="39"/>
      <c r="H1430" s="40"/>
      <c r="T1430" s="49"/>
    </row>
    <row r="1431" spans="5:20" s="38" customFormat="1" x14ac:dyDescent="0.35">
      <c r="E1431" s="39"/>
      <c r="F1431" s="39"/>
      <c r="G1431" s="39"/>
      <c r="H1431" s="40"/>
      <c r="T1431" s="49"/>
    </row>
    <row r="1432" spans="5:20" s="38" customFormat="1" x14ac:dyDescent="0.35">
      <c r="E1432" s="39"/>
      <c r="F1432" s="39"/>
      <c r="G1432" s="39"/>
      <c r="H1432" s="40"/>
      <c r="T1432" s="49"/>
    </row>
    <row r="1433" spans="5:20" s="38" customFormat="1" x14ac:dyDescent="0.35">
      <c r="E1433" s="39"/>
      <c r="F1433" s="39"/>
      <c r="G1433" s="39"/>
      <c r="H1433" s="40"/>
      <c r="T1433" s="49"/>
    </row>
    <row r="1434" spans="5:20" s="38" customFormat="1" x14ac:dyDescent="0.35">
      <c r="E1434" s="39"/>
      <c r="F1434" s="39"/>
      <c r="G1434" s="39"/>
      <c r="H1434" s="40"/>
      <c r="T1434" s="49"/>
    </row>
    <row r="1435" spans="5:20" s="38" customFormat="1" x14ac:dyDescent="0.35">
      <c r="E1435" s="39"/>
      <c r="F1435" s="39"/>
      <c r="G1435" s="39"/>
      <c r="H1435" s="40"/>
      <c r="T1435" s="49"/>
    </row>
    <row r="1436" spans="5:20" s="38" customFormat="1" x14ac:dyDescent="0.35">
      <c r="E1436" s="39"/>
      <c r="F1436" s="39"/>
      <c r="G1436" s="39"/>
      <c r="H1436" s="40"/>
      <c r="T1436" s="49"/>
    </row>
    <row r="1437" spans="5:20" s="38" customFormat="1" x14ac:dyDescent="0.35">
      <c r="E1437" s="39"/>
      <c r="F1437" s="39"/>
      <c r="G1437" s="39"/>
      <c r="H1437" s="40"/>
      <c r="T1437" s="49"/>
    </row>
    <row r="1438" spans="5:20" s="38" customFormat="1" x14ac:dyDescent="0.35">
      <c r="E1438" s="39"/>
      <c r="F1438" s="39"/>
      <c r="G1438" s="39"/>
      <c r="H1438" s="40"/>
      <c r="T1438" s="49"/>
    </row>
    <row r="1439" spans="5:20" s="38" customFormat="1" x14ac:dyDescent="0.35">
      <c r="E1439" s="39"/>
      <c r="F1439" s="39"/>
      <c r="G1439" s="39"/>
      <c r="H1439" s="40"/>
      <c r="T1439" s="49"/>
    </row>
  </sheetData>
  <autoFilter ref="A1:Z2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512EF2-3681-40CA-86E6-F1B2CFEA03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Alpha 1956 - 14</vt:lpstr>
      <vt:lpstr>Alpha 7847 - 15</vt:lpstr>
      <vt:lpstr>Alpha 6288 - 19</vt:lpstr>
      <vt:lpstr>Données brutes</vt:lpstr>
      <vt:lpstr>All Data</vt:lpstr>
      <vt:lpstr>Data béliers</vt:lpstr>
      <vt:lpstr>Data brebis</vt:lpstr>
      <vt:lpstr>Data brebis Points Rouges</vt:lpstr>
      <vt:lpstr>Début-Fin Chaleurs</vt:lpstr>
      <vt:lpstr>Début-Fin Chaleurs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DEBUS</dc:creator>
  <cp:lastModifiedBy>ACER</cp:lastModifiedBy>
  <dcterms:created xsi:type="dcterms:W3CDTF">2025-05-22T08:59:38Z</dcterms:created>
  <dcterms:modified xsi:type="dcterms:W3CDTF">2026-10-16T12:27:20Z</dcterms:modified>
</cp:coreProperties>
</file>