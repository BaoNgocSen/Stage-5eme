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fos protocole" sheetId="1" state="visible" r:id="rId3"/>
    <sheet name="Planning" sheetId="2" state="visible" r:id="rId4"/>
    <sheet name="Correspondance Tags" sheetId="3" state="visible" r:id="rId5"/>
    <sheet name="Data Activité Béliers" sheetId="4" state="visible" r:id="rId6"/>
    <sheet name="Data Détecteur IA" sheetId="5" state="visible" r:id="rId7"/>
    <sheet name="All Data EM ODARC 2025" sheetId="6" state="visible" r:id="rId8"/>
    <sheet name="Sheet7" sheetId="7" state="visible" r:id="rId9"/>
  </sheets>
  <externalReferences>
    <externalReference r:id="rId10"/>
  </externalReferences>
  <definedNames>
    <definedName function="false" hidden="true" localSheetId="5" name="_xlnm._FilterDatabase" vbProcedure="false">'All Data EM ODARC 2025'!$A$4:$BG$53</definedName>
    <definedName function="false" hidden="true" localSheetId="4" name="_xlnm._FilterDatabase" vbProcedure="false">'Data Détecteur IA'!$A$1:$O$938</definedName>
    <definedName function="false" hidden="false" localSheetId="3" name="_16_06_1000" vbProcedure="false">'Data Activité Béliers'!$A$1:$L$129</definedName>
    <definedName function="false" hidden="false" localSheetId="3" name="_16_06_1001" vbProcedure="false">'Data Activité Béliers'!$A$1:$M$134</definedName>
    <definedName function="false" hidden="false" localSheetId="3" name="_16_06_1002" vbProcedure="false">'Data Activité Béliers'!$A$1:$M$508</definedName>
    <definedName function="false" hidden="false" localSheetId="3" name="_16_06_1003" vbProcedure="false">'Data Activité Béliers'!$A$1:$L$377</definedName>
    <definedName function="false" hidden="false" localSheetId="3" name="_16_06_1004" vbProcedure="false">'Data Activité Béliers'!$A$1:$L$129</definedName>
    <definedName function="false" hidden="false" localSheetId="3" name="_16_06_1005" vbProcedure="false">'Data Activité Béliers'!$A$1:$K$377</definedName>
    <definedName function="false" hidden="false" localSheetId="3" name="_16_06_1006" vbProcedure="false">'Data Activité Béliers'!$A$1:$M$508</definedName>
    <definedName function="false" hidden="false" localSheetId="3" name="_16_06_1007" vbProcedure="false">'Data Activité Béliers'!$A$1:$L$129</definedName>
    <definedName function="false" hidden="false" localSheetId="3" name="_16_06_1008" vbProcedure="false">'Data Activité Béliers'!$A$1:$M$620</definedName>
    <definedName function="false" hidden="false" localSheetId="3" name="_16_06_1009" vbProcedure="false">'Data Activité Béliers'!$A$1:$L$377</definedName>
    <definedName function="false" hidden="false" localSheetId="3" name="_16_06_1010" vbProcedure="false">'Data Activité Béliers'!$A$1:$L$377</definedName>
    <definedName function="false" hidden="false" localSheetId="3" name="_16_06_1011" vbProcedure="false">'Data Activité Béliers'!$A$1:$L$129</definedName>
    <definedName function="false" hidden="false" localSheetId="3" name="_16_06_1012" vbProcedure="false">'Data Activité Béliers'!$A$1:$L$313</definedName>
    <definedName function="false" hidden="false" localSheetId="3" name="_16_06_1013" vbProcedure="false">'Data Activité Béliers'!$A$1:$L$371</definedName>
    <definedName function="false" hidden="false" localSheetId="3" name="_16_06_1014" vbProcedure="false">'Data Activité Béliers'!$A$1:$L$377</definedName>
    <definedName function="false" hidden="false" localSheetId="3" name="_16_06_1015" vbProcedure="false">'Data Activité Béliers'!$A$1:$M$620</definedName>
    <definedName function="false" hidden="false" localSheetId="3" name="_16_06_1016" vbProcedure="false">'Data Activité Béliers'!$A$1:$L$377</definedName>
    <definedName function="false" hidden="false" localSheetId="3" name="_16_06_1017" vbProcedure="false">'Data Activité Béliers'!$A$1:$L$129</definedName>
    <definedName function="false" hidden="false" localSheetId="3" name="_16_06_1018" vbProcedure="false">'Data Activité Béliers'!$A$1:$M$620</definedName>
    <definedName function="false" hidden="false" localSheetId="3" name="_16_06_1019" vbProcedure="false">'Data Activité Béliers'!$A$1:$L$313</definedName>
    <definedName function="false" hidden="false" localSheetId="3" name="_16_06_1020" vbProcedure="false">'Data Activité Béliers'!$A$1:$M$134</definedName>
    <definedName function="false" hidden="false" localSheetId="3" name="_16_06_1021" vbProcedure="false">'Data Activité Béliers'!$A$1:$M$134</definedName>
    <definedName function="false" hidden="false" localSheetId="3" name="_16_06_1022" vbProcedure="false">'Data Activité Béliers'!$A$1:$M$508</definedName>
    <definedName function="false" hidden="false" localSheetId="3" name="_16_06_1023" vbProcedure="false">'Data Activité Béliers'!$A$1:$L$313</definedName>
    <definedName function="false" hidden="false" localSheetId="3" name="_16_06_1024" vbProcedure="false">'Data Activité Béliers'!$A$1:$L$313</definedName>
    <definedName function="false" hidden="false" localSheetId="3" name="_16_06_1025" vbProcedure="false">'Data Activité Béliers'!$A$1:$K$129</definedName>
    <definedName function="false" hidden="false" localSheetId="3" name="_16_06_1026" vbProcedure="false">'Data Activité Béliers'!$A$1:$L$313</definedName>
    <definedName function="false" hidden="false" localSheetId="3" name="_16_06_1027" vbProcedure="false">'Data Activité Béliers'!$A$1:$M$620</definedName>
    <definedName function="false" hidden="false" localSheetId="3" name="_16_06_1028" vbProcedure="false">'Data Activité Béliers'!$A$1:$L$129</definedName>
    <definedName function="false" hidden="false" localSheetId="3" name="_16_06_1029" vbProcedure="false">'Data Activité Béliers'!$A$1:$L$377</definedName>
    <definedName function="false" hidden="false" localSheetId="3" name="_16_06_1030" vbProcedure="false">'Data Activité Béliers'!$A$1:$M$620</definedName>
    <definedName function="false" hidden="false" localSheetId="3" name="_16_06_1031" vbProcedure="false">'Data Activité Béliers'!$A$1:$M$508</definedName>
    <definedName function="false" hidden="false" localSheetId="3" name="_16_06_1032" vbProcedure="false">'Data Activité Béliers'!$A$1:$L$313</definedName>
    <definedName function="false" hidden="false" localSheetId="3" name="_16_06_1033" vbProcedure="false">'Data Activité Béliers'!$A$1:$M$620</definedName>
    <definedName function="false" hidden="false" localSheetId="3" name="_16_06_1034" vbProcedure="false">'Data Activité Béliers'!$A$1:$L$129</definedName>
    <definedName function="false" hidden="false" localSheetId="3" name="_16_06_1035" vbProcedure="false">'Data Activité Béliers'!$A$1:$L$129</definedName>
    <definedName function="false" hidden="false" localSheetId="3" name="_16_06_1036" vbProcedure="false">'Data Activité Béliers'!$A$1:$L$313</definedName>
    <definedName function="false" hidden="false" localSheetId="3" name="_16_06_1037" vbProcedure="false">'Data Activité Béliers'!$A$1:$M$620</definedName>
    <definedName function="false" hidden="false" localSheetId="3" name="_16_06_1038" vbProcedure="false">'Data Activité Béliers'!$A$1:$L$313</definedName>
    <definedName function="false" hidden="false" localSheetId="3" name="_16_06_1039" vbProcedure="false">'Data Activité Béliers'!$A$1:$M$134</definedName>
    <definedName function="false" hidden="false" localSheetId="3" name="_16_06_1040" vbProcedure="false">'Data Activité Béliers'!$A$1:$L$129</definedName>
    <definedName function="false" hidden="false" localSheetId="3" name="_16_06_1041" vbProcedure="false">'Data Activité Béliers'!$A$1:$L$129</definedName>
    <definedName function="false" hidden="false" localSheetId="3" name="_16_06_1042" vbProcedure="false">'Data Activité Béliers'!$A$1:$L$377</definedName>
    <definedName function="false" hidden="false" localSheetId="3" name="_16_06_1043" vbProcedure="false">'Data Activité Béliers'!$A$1:$M$134</definedName>
    <definedName function="false" hidden="false" localSheetId="3" name="_16_06_1044" vbProcedure="false">'Data Activité Béliers'!$A$1:$M$620</definedName>
    <definedName function="false" hidden="false" localSheetId="3" name="_16_06_1045" vbProcedure="false">'Data Activité Béliers'!$A$1:$K$377</definedName>
    <definedName function="false" hidden="false" localSheetId="3" name="_16_06_1046" vbProcedure="false">'Data Activité Béliers'!$A$1:$L$377</definedName>
    <definedName function="false" hidden="false" localSheetId="3" name="_16_06_1047" vbProcedure="false">'Data Activité Béliers'!$A$1:$M$620</definedName>
    <definedName function="false" hidden="false" localSheetId="3" name="_16_06_1048" vbProcedure="false">'Data Activité Béliers'!$A$1:$M$134</definedName>
    <definedName function="false" hidden="false" localSheetId="3" name="_16_06_1049" vbProcedure="false">'Data Activité Béliers'!$A$1:$M$620</definedName>
    <definedName function="false" hidden="false" localSheetId="3" name="_16_06_1050" vbProcedure="false">'Data Activité Béliers'!$A$1:$M$620</definedName>
    <definedName function="false" hidden="false" localSheetId="3" name="_16_06_1051" vbProcedure="false">'Data Activité Béliers'!$A$1:$M$620</definedName>
    <definedName function="false" hidden="false" localSheetId="3" name="_16_06_1052" vbProcedure="false">'Data Activité Béliers'!$A$1:$M$134</definedName>
    <definedName function="false" hidden="false" localSheetId="3" name="_16_06_1053" vbProcedure="false">'Data Activité Béliers'!$A$1:$M$620</definedName>
    <definedName function="false" hidden="false" localSheetId="3" name="_16_06_1054" vbProcedure="false">'Data Activité Béliers'!$A$1:$M$134</definedName>
    <definedName function="false" hidden="false" localSheetId="3" name="_16_06_1055" vbProcedure="false">'Data Activité Béliers'!$A$1:$L$377</definedName>
    <definedName function="false" hidden="false" localSheetId="3" name="_16_06_1056" vbProcedure="false">'Data Activité Béliers'!$A$1:$M$620</definedName>
    <definedName function="false" hidden="false" localSheetId="3" name="_16_06_1057" vbProcedure="false">'Data Activité Béliers'!$A$1:$M$620</definedName>
    <definedName function="false" hidden="false" localSheetId="3" name="_16_06_1058" vbProcedure="false">'Data Activité Béliers'!$A$1:$L$129</definedName>
    <definedName function="false" hidden="false" localSheetId="3" name="_16_06_1059" vbProcedure="false">'Data Activité Béliers'!$A$1:$K$313</definedName>
    <definedName function="false" hidden="false" localSheetId="3" name="_16_06_1060" vbProcedure="false">'Data Activité Béliers'!$A$1:$M$508</definedName>
    <definedName function="false" hidden="false" localSheetId="3" name="_16_06_1061" vbProcedure="false">'Data Activité Béliers'!$A$1:$L$129</definedName>
    <definedName function="false" hidden="false" localSheetId="3" name="_16_06_1062" vbProcedure="false">'Data Activité Béliers'!$A$1:$M$620</definedName>
    <definedName function="false" hidden="false" localSheetId="3" name="_16_06_1063" vbProcedure="false">'Data Activité Béliers'!$A$1:$M$508</definedName>
    <definedName function="false" hidden="false" localSheetId="3" name="_16_06_1064" vbProcedure="false">'Data Activité Béliers'!$A$1:$L$377</definedName>
    <definedName function="false" hidden="false" localSheetId="3" name="_16_06_1065" vbProcedure="false">'Data Activité Béliers'!$A$1:$M$134</definedName>
    <definedName function="false" hidden="false" localSheetId="3" name="_16_06_1066" vbProcedure="false">'Data Activité Béliers'!$A$1:$L$313</definedName>
    <definedName function="false" hidden="false" localSheetId="3" name="_16_06_1067" vbProcedure="false">'Data Activité Béliers'!$A$1:$K$129</definedName>
    <definedName function="false" hidden="false" localSheetId="3" name="_16_06_1068" vbProcedure="false">'Data Activité Béliers'!$A$1:$L$129</definedName>
    <definedName function="false" hidden="false" localSheetId="3" name="_16_06_1069" vbProcedure="false">'Data Activité Béliers'!$A$1:$L$129</definedName>
    <definedName function="false" hidden="false" localSheetId="3" name="_16_06_1070" vbProcedure="false">'Data Activité Béliers'!$A$1:$L$377</definedName>
    <definedName function="false" hidden="false" localSheetId="3" name="_16_06_1071" vbProcedure="false">'Data Activité Béliers'!$A$1:$M$134</definedName>
    <definedName function="false" hidden="false" localSheetId="3" name="_16_06_1072" vbProcedure="false">'Data Activité Béliers'!$A$1:$L$313</definedName>
    <definedName function="false" hidden="false" localSheetId="3" name="_16_06_1073" vbProcedure="false">'Data Activité Béliers'!$A$1:$L$377</definedName>
    <definedName function="false" hidden="false" localSheetId="3" name="_16_06_1074" vbProcedure="false">'Data Activité Béliers'!$A$1:$L$377</definedName>
    <definedName function="false" hidden="false" localSheetId="3" name="_16_06_1075" vbProcedure="false">'Data Activité Béliers'!$A$1:$M$508</definedName>
    <definedName function="false" hidden="false" localSheetId="3" name="_16_06_1076" vbProcedure="false">'Data Activité Béliers'!$A$1:$L$313</definedName>
    <definedName function="false" hidden="false" localSheetId="3" name="_16_06_1077" vbProcedure="false">'Data Activité Béliers'!$A$1:$M$620</definedName>
    <definedName function="false" hidden="false" localSheetId="3" name="_16_06_1078" vbProcedure="false">'Data Activité Béliers'!$A$1:$L$377</definedName>
    <definedName function="false" hidden="false" localSheetId="3" name="_16_06_1079" vbProcedure="false">'Data Activité Béliers'!$A$1:$L$377</definedName>
    <definedName function="false" hidden="false" localSheetId="3" name="_16_06_1080" vbProcedure="false">'Data Activité Béliers'!$A$1:$L$129</definedName>
    <definedName function="false" hidden="false" localSheetId="3" name="_16_06_1081" vbProcedure="false">'Data Activité Béliers'!$A$1:$M$508</definedName>
    <definedName function="false" hidden="false" localSheetId="3" name="_16_06_1082" vbProcedure="false">'Data Activité Béliers'!$A$1:$L$377</definedName>
    <definedName function="false" hidden="false" localSheetId="3" name="_16_06_1083" vbProcedure="false">'Data Activité Béliers'!$A$1:$M$620</definedName>
    <definedName function="false" hidden="false" localSheetId="3" name="_16_06_1084" vbProcedure="false">'Data Activité Béliers'!$A$1:$M$620</definedName>
    <definedName function="false" hidden="false" localSheetId="3" name="_16_06_1085" vbProcedure="false">'Data Activité Béliers'!$A$1:$M$134</definedName>
    <definedName function="false" hidden="false" localSheetId="3" name="_16_06_1086" vbProcedure="false">'Data Activité Béliers'!$A$1:$M$614</definedName>
    <definedName function="false" hidden="false" localSheetId="3" name="_16_06_1087" vbProcedure="false">'Data Activité Béliers'!$A$1:$L$377</definedName>
    <definedName function="false" hidden="false" localSheetId="3" name="_16_06_1088" vbProcedure="false">'Data Activité Béliers'!$A$1:$M$508</definedName>
    <definedName function="false" hidden="false" localSheetId="3" name="_16_06_1089" vbProcedure="false">'Data Activité Béliers'!$A$1:$L$129</definedName>
    <definedName function="false" hidden="false" localSheetId="3" name="_16_06_1090" vbProcedure="false">'Data Activité Béliers'!$A$1:$M$620</definedName>
    <definedName function="false" hidden="false" localSheetId="3" name="_16_06_1091" vbProcedure="false">'Data Activité Béliers'!$A$1:$M$620</definedName>
    <definedName function="false" hidden="false" localSheetId="3" name="_16_06_1092" vbProcedure="false">'Data Activité Béliers'!$A$1:$K$377</definedName>
    <definedName function="false" hidden="false" localSheetId="3" name="_16_06_1093" vbProcedure="false">'Data Activité Béliers'!$A$1:$L$313</definedName>
    <definedName function="false" hidden="false" localSheetId="3" name="_16_06_1094" vbProcedure="false">'Data Activité Béliers'!$A$1:$M$134</definedName>
    <definedName function="false" hidden="false" localSheetId="3" name="_16_06_1095" vbProcedure="false">'Data Activité Béliers'!$A$1:$L$129</definedName>
    <definedName function="false" hidden="false" localSheetId="3" name="_16_06_1096" vbProcedure="false">'Data Activité Béliers'!$A$1:$L$377</definedName>
    <definedName function="false" hidden="false" localSheetId="3" name="_16_06_1097" vbProcedure="false">'Data Activité Béliers'!$A$1:$M$620</definedName>
    <definedName function="false" hidden="false" localSheetId="3" name="_16_06_1098" vbProcedure="false">'Data Activité Béliers'!$A$1:$L$377</definedName>
    <definedName function="false" hidden="false" localSheetId="3" name="_16_06_1099" vbProcedure="false">'Data Activité Béliers'!$A$1:$L$377</definedName>
    <definedName function="false" hidden="false" localSheetId="3" name="_16_06_1100" vbProcedure="false">'Data Activité Béliers'!$A$1:$L$377</definedName>
    <definedName function="false" hidden="false" localSheetId="3" name="_16_06_1101" vbProcedure="false">'Data Activité Béliers'!$A$1:$M$508</definedName>
    <definedName function="false" hidden="false" localSheetId="3" name="_16_06_1102" vbProcedure="false">'Data Activité Béliers'!$A$1:$K$377</definedName>
    <definedName function="false" hidden="false" localSheetId="3" name="_16_06_1103" vbProcedure="false">'Data Activité Béliers'!$A$1:$L$377</definedName>
    <definedName function="false" hidden="false" localSheetId="3" name="_16_06_1104" vbProcedure="false">'Data Activité Béliers'!$A$1:$L$129</definedName>
    <definedName function="false" hidden="false" localSheetId="3" name="_16_06_1105" vbProcedure="false">'Data Activité Béliers'!$A$1:$L$377</definedName>
    <definedName function="false" hidden="false" localSheetId="3" name="_16_06_1106" vbProcedure="false">'Data Activité Béliers'!$A$1:$L$313</definedName>
    <definedName function="false" hidden="false" localSheetId="3" name="_16_06_1107" vbProcedure="false">'Data Activité Béliers'!$A$1:$L$313</definedName>
    <definedName function="false" hidden="false" localSheetId="3" name="_16_06_1108" vbProcedure="false">'Data Activité Béliers'!$A$1:$L$313</definedName>
    <definedName function="false" hidden="false" localSheetId="3" name="_16_06_1109" vbProcedure="false">'Data Activité Béliers'!$A$1:$L$377</definedName>
    <definedName function="false" hidden="false" localSheetId="3" name="_16_06_1110" vbProcedure="false">'Data Activité Béliers'!$A$1:$L$129</definedName>
    <definedName function="false" hidden="false" localSheetId="3" name="_16_06_1111" vbProcedure="false">'Data Activité Béliers'!$A$1:$L$377</definedName>
    <definedName function="false" hidden="false" localSheetId="3" name="_16_06_1112" vbProcedure="false">'Data Activité Béliers'!$A$1:$M$134</definedName>
    <definedName function="false" hidden="false" localSheetId="3" name="_16_06_1113" vbProcedure="false">'Data Activité Béliers'!$A$1:$M$134</definedName>
    <definedName function="false" hidden="false" localSheetId="3" name="_16_06_1114" vbProcedure="false">'Data Activité Béliers'!$A$1:$M$134</definedName>
    <definedName function="false" hidden="false" localSheetId="3" name="_16_06_1115" vbProcedure="false">'Data Activité Béliers'!$A$1:$L$377</definedName>
    <definedName function="false" hidden="false" localSheetId="3" name="_16_06_1116" vbProcedure="false">'Data Activité Béliers'!$A$1:$M$134</definedName>
    <definedName function="false" hidden="false" localSheetId="3" name="_16_06_1117" vbProcedure="false">'Data Activité Béliers'!$A$1:$M$134</definedName>
    <definedName function="false" hidden="false" localSheetId="3" name="_16_06_1118" vbProcedure="false">'Data Activité Béliers'!$A$1:$L$313</definedName>
    <definedName function="false" hidden="false" localSheetId="3" name="_16_06_1119" vbProcedure="false">'Data Activité Béliers'!$A$1:$L$371</definedName>
    <definedName function="false" hidden="false" localSheetId="3" name="_16_06_1120" vbProcedure="false">'Data Activité Béliers'!$A$1:$L$129</definedName>
    <definedName function="false" hidden="false" localSheetId="3" name="_16_06_1121" vbProcedure="false">'Data Activité Béliers'!$A$1:$L$377</definedName>
    <definedName function="false" hidden="false" localSheetId="3" name="_16_06_488" vbProcedure="false">'Data Activité Béliers'!$A$1:$L$377</definedName>
    <definedName function="false" hidden="false" localSheetId="3" name="_16_06_489" vbProcedure="false">'Data Activité Béliers'!$A$1:$L$313</definedName>
    <definedName function="false" hidden="false" localSheetId="3" name="_16_06_490" vbProcedure="false">'Data Activité Béliers'!$A$1:$L$377</definedName>
    <definedName function="false" hidden="false" localSheetId="3" name="_16_06_491" vbProcedure="false">'Data Activité Béliers'!$A$1:$L$377</definedName>
    <definedName function="false" hidden="false" localSheetId="3" name="_16_06_492" vbProcedure="false">'Data Activité Béliers'!$A$1:$L$313</definedName>
    <definedName function="false" hidden="false" localSheetId="3" name="_16_06_493" vbProcedure="false">'Data Activité Béliers'!$A$1:$L$313</definedName>
    <definedName function="false" hidden="false" localSheetId="3" name="_16_06_494" vbProcedure="false">'Data Activité Béliers'!$A$1:$L$129</definedName>
    <definedName function="false" hidden="false" localSheetId="3" name="_16_06_495" vbProcedure="false">'Data Activité Béliers'!$A$1:$L$377</definedName>
    <definedName function="false" hidden="false" localSheetId="3" name="_16_06_496" vbProcedure="false">'Data Activité Béliers'!$A$1:$L$377</definedName>
    <definedName function="false" hidden="false" localSheetId="3" name="_16_06_497" vbProcedure="false">'Data Activité Béliers'!$A$1:$L$371</definedName>
    <definedName function="false" hidden="false" localSheetId="3" name="_16_06_498" vbProcedure="false">'Data Activité Béliers'!$A$1:$L$129</definedName>
    <definedName function="false" hidden="false" localSheetId="3" name="_16_06_499" vbProcedure="false">'Data Activité Béliers'!$A$1:$L$377</definedName>
    <definedName function="false" hidden="false" localSheetId="3" name="_16_06_500" vbProcedure="false">'Data Activité Béliers'!$A$1:$L$371</definedName>
    <definedName function="false" hidden="false" localSheetId="3" name="_16_06_501" vbProcedure="false">'Data Activité Béliers'!$A$1:$L$377</definedName>
    <definedName function="false" hidden="false" localSheetId="3" name="_16_06_502" vbProcedure="false">'Data Activité Béliers'!$A$1:$L$377</definedName>
    <definedName function="false" hidden="false" localSheetId="3" name="_16_06_503" vbProcedure="false">'Data Activité Béliers'!$A$1:$L$129</definedName>
    <definedName function="false" hidden="false" localSheetId="3" name="_16_06_504" vbProcedure="false">'Data Activité Béliers'!$A$1:$L$313</definedName>
    <definedName function="false" hidden="false" localSheetId="3" name="_16_06_505" vbProcedure="false">'Data Activité Béliers'!$A$1:$L$129</definedName>
    <definedName function="false" hidden="false" localSheetId="3" name="_16_06_506" vbProcedure="false">'Data Activité Béliers'!$A$1:$L$377</definedName>
    <definedName function="false" hidden="false" localSheetId="3" name="_16_06_507" vbProcedure="false">'Data Activité Béliers'!$A$1:$L$377</definedName>
    <definedName function="false" hidden="false" localSheetId="3" name="_16_06_508" vbProcedure="false">'Data Activité Béliers'!$A$1:$L$129</definedName>
    <definedName function="false" hidden="false" localSheetId="3" name="_16_06_509" vbProcedure="false">'Data Activité Béliers'!$A$1:$L$129</definedName>
    <definedName function="false" hidden="false" localSheetId="3" name="_16_06_510" vbProcedure="false">'Data Activité Béliers'!$A$1:$L$313</definedName>
    <definedName function="false" hidden="false" localSheetId="3" name="_16_06_511" vbProcedure="false">'Data Activité Béliers'!$A$1:$L$377</definedName>
    <definedName function="false" hidden="false" localSheetId="3" name="_16_06_512" vbProcedure="false">'Data Activité Béliers'!$A$1:$L$377</definedName>
    <definedName function="false" hidden="false" localSheetId="3" name="_16_06_513" vbProcedure="false">'Data Activité Béliers'!$A$1:$L$377</definedName>
    <definedName function="false" hidden="false" localSheetId="3" name="_16_06_514" vbProcedure="false">'Data Activité Béliers'!$A$1:$L$313</definedName>
    <definedName function="false" hidden="false" localSheetId="3" name="_16_06_515" vbProcedure="false">'Data Activité Béliers'!$A$1:$L$313</definedName>
    <definedName function="false" hidden="false" localSheetId="3" name="_16_06_516" vbProcedure="false">'Data Activité Béliers'!$A$1:$L$313</definedName>
    <definedName function="false" hidden="false" localSheetId="3" name="_16_06_517" vbProcedure="false">'Data Activité Béliers'!$A$1:$L$129</definedName>
    <definedName function="false" hidden="false" localSheetId="3" name="_16_06_518" vbProcedure="false">'Data Activité Béliers'!$A$1:$L$313</definedName>
    <definedName function="false" hidden="false" localSheetId="3" name="_16_06_519" vbProcedure="false">'Data Activité Béliers'!$A$1:$L$129</definedName>
    <definedName function="false" hidden="false" localSheetId="3" name="_16_06_520" vbProcedure="false">'Data Activité Béliers'!$A$1:$K$129</definedName>
    <definedName function="false" hidden="false" localSheetId="3" name="_16_06_521" vbProcedure="false">'Data Activité Béliers'!$A$1:$K$377</definedName>
    <definedName function="false" hidden="false" localSheetId="3" name="_16_06_522" vbProcedure="false">'Data Activité Béliers'!$A$1:$K$129</definedName>
    <definedName function="false" hidden="false" localSheetId="3" name="_16_06_523" vbProcedure="false">'Data Activité Béliers'!$A$1:$K$129</definedName>
    <definedName function="false" hidden="false" localSheetId="3" name="_16_06_524" vbProcedure="false">'Data Activité Béliers'!$A$1:$K$129</definedName>
    <definedName function="false" hidden="false" localSheetId="3" name="_16_06_525" vbProcedure="false">'Data Activité Béliers'!$A$1:$K$129</definedName>
    <definedName function="false" hidden="false" localSheetId="3" name="_16_06_526" vbProcedure="false">'Data Activité Béliers'!$A$1:$K$377</definedName>
    <definedName function="false" hidden="false" localSheetId="3" name="_16_06_527" vbProcedure="false">'Data Activité Béliers'!$A$1:$K$313</definedName>
    <definedName function="false" hidden="false" localSheetId="3" name="_16_06_528" vbProcedure="false">'Data Activité Béliers'!$A$1:$K$313</definedName>
    <definedName function="false" hidden="false" localSheetId="3" name="_16_06_529" vbProcedure="false">'Data Activité Béliers'!$A$1:$K$377</definedName>
    <definedName function="false" hidden="false" localSheetId="3" name="_16_06_530" vbProcedure="false">'Data Activité Béliers'!$A$1:$K$377</definedName>
    <definedName function="false" hidden="false" localSheetId="3" name="_16_06_531" vbProcedure="false">'Data Activité Béliers'!$A$1:$K$129</definedName>
    <definedName function="false" hidden="false" localSheetId="3" name="_16_06_532" vbProcedure="false">'Data Activité Béliers'!$A$1:$K$129</definedName>
    <definedName function="false" hidden="false" localSheetId="3" name="_16_06_533" vbProcedure="false">'Data Activité Béliers'!$A$1:$K$129</definedName>
    <definedName function="false" hidden="false" localSheetId="3" name="_16_06_534" vbProcedure="false">'Data Activité Béliers'!$A$1:$K$377</definedName>
    <definedName function="false" hidden="false" localSheetId="3" name="_16_06_535" vbProcedure="false">'Data Activité Béliers'!$A$1:$K$371</definedName>
    <definedName function="false" hidden="false" localSheetId="3" name="_16_06_536" vbProcedure="false">'Data Activité Béliers'!$A$1:$K$377</definedName>
    <definedName function="false" hidden="false" localSheetId="3" name="_16_06_537" vbProcedure="false">'Data Activité Béliers'!$A$1:$M$620</definedName>
    <definedName function="false" hidden="false" localSheetId="3" name="_16_06_538" vbProcedure="false">'Data Activité Béliers'!$A$1:$M$620</definedName>
    <definedName function="false" hidden="false" localSheetId="3" name="_16_06_539" vbProcedure="false">'Data Activité Béliers'!$A$1:$L$313</definedName>
    <definedName function="false" hidden="false" localSheetId="3" name="_16_06_540" vbProcedure="false">'Data Activité Béliers'!$A$1:$M$134</definedName>
    <definedName function="false" hidden="false" localSheetId="3" name="_16_06_541" vbProcedure="false">'Data Activité Béliers'!$A$1:$M$620</definedName>
    <definedName function="false" hidden="false" localSheetId="3" name="_16_06_542" vbProcedure="false">'Data Activité Béliers'!$A$1:$M$134</definedName>
    <definedName function="false" hidden="false" localSheetId="3" name="_16_06_543" vbProcedure="false">'Data Activité Béliers'!$A$1:$M$620</definedName>
    <definedName function="false" hidden="false" localSheetId="3" name="_16_06_544" vbProcedure="false">'Data Activité Béliers'!$A$1:$M$134</definedName>
    <definedName function="false" hidden="false" localSheetId="3" name="_16_06_545" vbProcedure="false">'Data Activité Béliers'!$A$1:$L$377</definedName>
    <definedName function="false" hidden="false" localSheetId="3" name="_16_06_546" vbProcedure="false">'Data Activité Béliers'!$A$1:$M$620</definedName>
    <definedName function="false" hidden="false" localSheetId="3" name="_16_06_547" vbProcedure="false">'Data Activité Béliers'!$A$1:$M$614</definedName>
    <definedName function="false" hidden="false" localSheetId="3" name="_16_06_548" vbProcedure="false">'Data Activité Béliers'!$A$1:$K$129</definedName>
    <definedName function="false" hidden="false" localSheetId="3" name="_16_06_549" vbProcedure="false">'Data Activité Béliers'!$A$1:$K$313</definedName>
    <definedName function="false" hidden="false" localSheetId="3" name="_16_06_550" vbProcedure="false">'Data Activité Béliers'!$A$1:$K$377</definedName>
    <definedName function="false" hidden="false" localSheetId="3" name="_16_06_551" vbProcedure="false">'Data Activité Béliers'!$A$1:$K$313</definedName>
    <definedName function="false" hidden="false" localSheetId="3" name="_16_06_552" vbProcedure="false">'Data Activité Béliers'!$A$1:$K$313</definedName>
    <definedName function="false" hidden="false" localSheetId="3" name="_16_06_553" vbProcedure="false">'Data Activité Béliers'!$A$1:$K$313</definedName>
    <definedName function="false" hidden="false" localSheetId="3" name="_16_06_554" vbProcedure="false">'Data Activité Béliers'!$A$1:$K$377</definedName>
    <definedName function="false" hidden="false" localSheetId="3" name="_16_06_555" vbProcedure="false">'Data Activité Béliers'!$A$1:$K$377</definedName>
    <definedName function="false" hidden="false" localSheetId="3" name="_16_06_556" vbProcedure="false">'Data Activité Béliers'!$A$1:$M$134</definedName>
    <definedName function="false" hidden="false" localSheetId="3" name="_16_06_557" vbProcedure="false">'Data Activité Béliers'!$A$1:$K$129</definedName>
    <definedName function="false" hidden="false" localSheetId="3" name="_16_06_558" vbProcedure="false">'Data Activité Béliers'!$A$1:$K$313</definedName>
    <definedName function="false" hidden="false" localSheetId="3" name="_16_06_559" vbProcedure="false">'Data Activité Béliers'!$A$1:$K$313</definedName>
    <definedName function="false" hidden="false" localSheetId="3" name="_16_06_560" vbProcedure="false">'Data Activité Béliers'!$A$1:$K$313</definedName>
    <definedName function="false" hidden="false" localSheetId="3" name="_16_06_561" vbProcedure="false">'Data Activité Béliers'!$A$1:$K$129</definedName>
    <definedName function="false" hidden="false" localSheetId="3" name="_16_06_562" vbProcedure="false">'Data Activité Béliers'!$A$1:$K$313</definedName>
    <definedName function="false" hidden="false" localSheetId="3" name="_16_06_563" vbProcedure="false">'Data Activité Béliers'!$A$1:$K$377</definedName>
    <definedName function="false" hidden="false" localSheetId="3" name="_16_06_564" vbProcedure="false">'Data Activité Béliers'!$A$1:$K$129</definedName>
    <definedName function="false" hidden="false" localSheetId="3" name="_16_06_565" vbProcedure="false">'Data Activité Béliers'!$A$1:$K$377</definedName>
    <definedName function="false" hidden="false" localSheetId="3" name="_16_06_566" vbProcedure="false">'Data Activité Béliers'!$A$1:$K$313</definedName>
    <definedName function="false" hidden="false" localSheetId="3" name="_16_06_567" vbProcedure="false">'Data Activité Béliers'!$A$1:$K$377</definedName>
    <definedName function="false" hidden="false" localSheetId="3" name="_16_06_568" vbProcedure="false">'Data Activité Béliers'!$A$1:$K$377</definedName>
    <definedName function="false" hidden="false" localSheetId="3" name="_16_06_569" vbProcedure="false">'Data Activité Béliers'!$A$1:$K$377</definedName>
    <definedName function="false" hidden="false" localSheetId="3" name="_16_06_570" vbProcedure="false">'Data Activité Béliers'!$A$1:$K$371</definedName>
    <definedName function="false" hidden="false" localSheetId="3" name="_16_06_571" vbProcedure="false">'Data Activité Béliers'!$A$1:$K$313</definedName>
    <definedName function="false" hidden="false" localSheetId="3" name="_16_06_572" vbProcedure="false">'Data Activité Béliers'!$A$1:$K$129</definedName>
    <definedName function="false" hidden="false" localSheetId="3" name="_16_06_573" vbProcedure="false">'Data Activité Béliers'!$A$1:$K$129</definedName>
    <definedName function="false" hidden="false" localSheetId="3" name="_16_06_574" vbProcedure="false">'Data Activité Béliers'!$A$1:$K$377</definedName>
    <definedName function="false" hidden="false" localSheetId="3" name="_16_06_575" vbProcedure="false">'Data Activité Béliers'!$A$1:$K$313</definedName>
    <definedName function="false" hidden="false" localSheetId="3" name="_16_06_576" vbProcedure="false">'Data Activité Béliers'!$A$1:$K$313</definedName>
    <definedName function="false" hidden="false" localSheetId="3" name="_16_06_577" vbProcedure="false">'Data Activité Béliers'!$A$1:$K$129</definedName>
    <definedName function="false" hidden="false" localSheetId="3" name="_16_06_578" vbProcedure="false">'Data Activité Béliers'!$A$1:$K$129</definedName>
    <definedName function="false" hidden="false" localSheetId="3" name="_16_06_579" vbProcedure="false">'Data Activité Béliers'!$A$1:$K$377</definedName>
    <definedName function="false" hidden="false" localSheetId="3" name="_16_06_580" vbProcedure="false">'Data Activité Béliers'!$A$1:$K$313</definedName>
    <definedName function="false" hidden="false" localSheetId="3" name="_16_06_581" vbProcedure="false">'Data Activité Béliers'!$A$1:$K$129</definedName>
    <definedName function="false" hidden="false" localSheetId="3" name="_16_06_582" vbProcedure="false">'Data Activité Béliers'!$A$1:$K$377</definedName>
    <definedName function="false" hidden="false" localSheetId="3" name="_16_06_583" vbProcedure="false">'Data Activité Béliers'!$A$1:$K$129</definedName>
    <definedName function="false" hidden="false" localSheetId="3" name="_16_06_584" vbProcedure="false">'Data Activité Béliers'!$A$1:$K$377</definedName>
    <definedName function="false" hidden="false" localSheetId="3" name="_16_06_585" vbProcedure="false">'Data Activité Béliers'!$A$1:$K$129</definedName>
    <definedName function="false" hidden="false" localSheetId="3" name="_16_06_586" vbProcedure="false">'Data Activité Béliers'!$A$1:$K$377</definedName>
    <definedName function="false" hidden="false" localSheetId="3" name="_16_06_587" vbProcedure="false">'Data Activité Béliers'!$A$1:$K$377</definedName>
    <definedName function="false" hidden="false" localSheetId="3" name="_16_06_588" vbProcedure="false">'Data Activité Béliers'!$A$1:$K$313</definedName>
    <definedName function="false" hidden="false" localSheetId="3" name="_16_06_589" vbProcedure="false">'Data Activité Béliers'!$A$1:$K$377</definedName>
    <definedName function="false" hidden="false" localSheetId="3" name="_16_06_590" vbProcedure="false">'Data Activité Béliers'!$A$1:$M$508</definedName>
    <definedName function="false" hidden="false" localSheetId="3" name="_16_06_591" vbProcedure="false">'Data Activité Béliers'!$A$1:$L$377</definedName>
    <definedName function="false" hidden="false" localSheetId="3" name="_16_06_592" vbProcedure="false">'Data Activité Béliers'!$A$1:$L$129</definedName>
    <definedName function="false" hidden="false" localSheetId="3" name="_16_06_593" vbProcedure="false">'Data Activité Béliers'!$A$1:$K$313</definedName>
    <definedName function="false" hidden="false" localSheetId="3" name="_16_06_594" vbProcedure="false">'Data Activité Béliers'!$A$1:$K$377</definedName>
    <definedName function="false" hidden="false" localSheetId="3" name="_16_06_595" vbProcedure="false">'Data Activité Béliers'!$A$1:$K$129</definedName>
    <definedName function="false" hidden="false" localSheetId="3" name="_16_06_596" vbProcedure="false">'Data Activité Béliers'!$A$1:$K$377</definedName>
    <definedName function="false" hidden="false" localSheetId="3" name="_16_06_597" vbProcedure="false">'Data Activité Béliers'!$A$1:$K$377</definedName>
    <definedName function="false" hidden="false" localSheetId="3" name="_16_06_598" vbProcedure="false">'Data Activité Béliers'!$A$1:$K$313</definedName>
    <definedName function="false" hidden="false" localSheetId="3" name="_16_06_599" vbProcedure="false">'Data Activité Béliers'!$A$1:$K$129</definedName>
    <definedName function="false" hidden="false" localSheetId="3" name="_16_06_600" vbProcedure="false">'Data Activité Béliers'!$A$1:$K$313</definedName>
    <definedName function="false" hidden="false" localSheetId="3" name="_16_06_601" vbProcedure="false">'Data Activité Béliers'!$A$1:$K$313</definedName>
    <definedName function="false" hidden="false" localSheetId="3" name="_16_06_602" vbProcedure="false">'Data Activité Béliers'!$A$1:$K$313</definedName>
    <definedName function="false" hidden="false" localSheetId="3" name="_16_06_603" vbProcedure="false">'Data Activité Béliers'!$A$1:$K$129</definedName>
    <definedName function="false" hidden="false" localSheetId="3" name="_16_06_604" vbProcedure="false">'Data Activité Béliers'!$A$1:$K$377</definedName>
    <definedName function="false" hidden="false" localSheetId="3" name="_16_06_605" vbProcedure="false">'Data Activité Béliers'!$A$1:$K$313</definedName>
    <definedName function="false" hidden="false" localSheetId="3" name="_16_06_606" vbProcedure="false">'Data Activité Béliers'!$A$1:$K$313</definedName>
    <definedName function="false" hidden="false" localSheetId="3" name="_16_06_607" vbProcedure="false">'Data Activité Béliers'!$A$1:$K$377</definedName>
    <definedName function="false" hidden="false" localSheetId="3" name="_16_06_608" vbProcedure="false">'Data Activité Béliers'!$A$1:$K$377</definedName>
    <definedName function="false" hidden="false" localSheetId="3" name="_16_06_609" vbProcedure="false">'Data Activité Béliers'!$A$1:$K$377</definedName>
    <definedName function="false" hidden="false" localSheetId="3" name="_16_06_610" vbProcedure="false">'Data Activité Béliers'!$A$1:$K$377</definedName>
    <definedName function="false" hidden="false" localSheetId="3" name="_16_06_611" vbProcedure="false">'Data Activité Béliers'!$A$1:$K$377</definedName>
    <definedName function="false" hidden="false" localSheetId="3" name="_16_06_612" vbProcedure="false">'Data Activité Béliers'!$A$1:$K$377</definedName>
    <definedName function="false" hidden="false" localSheetId="3" name="_16_06_613" vbProcedure="false">'Data Activité Béliers'!$A$1:$K$313</definedName>
    <definedName function="false" hidden="false" localSheetId="3" name="_16_06_614" vbProcedure="false">'Data Activité Béliers'!$A$1:$K$377</definedName>
    <definedName function="false" hidden="false" localSheetId="3" name="_16_06_615" vbProcedure="false">'Data Activité Béliers'!$A$1:$K$313</definedName>
    <definedName function="false" hidden="false" localSheetId="3" name="_16_06_616" vbProcedure="false">'Data Activité Béliers'!$A$1:$K$377</definedName>
    <definedName function="false" hidden="false" localSheetId="3" name="_16_06_617" vbProcedure="false">'Data Activité Béliers'!$A$1:$K$129</definedName>
    <definedName function="false" hidden="false" localSheetId="3" name="_16_06_618" vbProcedure="false">'Data Activité Béliers'!$A$1:$K$129</definedName>
    <definedName function="false" hidden="false" localSheetId="3" name="_16_06_619" vbProcedure="false">'Data Activité Béliers'!$A$1:$K$129</definedName>
    <definedName function="false" hidden="false" localSheetId="3" name="_16_06_620" vbProcedure="false">'Data Activité Béliers'!$A$1:$K$313</definedName>
    <definedName function="false" hidden="false" localSheetId="3" name="_16_06_621" vbProcedure="false">'Data Activité Béliers'!$A$1:$K$377</definedName>
    <definedName function="false" hidden="false" localSheetId="3" name="_16_06_622" vbProcedure="false">'Data Activité Béliers'!$A$1:$K$313</definedName>
    <definedName function="false" hidden="false" localSheetId="3" name="_16_06_623" vbProcedure="false">'Data Activité Béliers'!$A$1:$K$313</definedName>
    <definedName function="false" hidden="false" localSheetId="3" name="_16_06_624" vbProcedure="false">'Data Activité Béliers'!$A$1:$K$377</definedName>
    <definedName function="false" hidden="false" localSheetId="3" name="_16_06_625" vbProcedure="false">'Data Activité Béliers'!$A$1:$K$313</definedName>
    <definedName function="false" hidden="false" localSheetId="3" name="_16_06_626" vbProcedure="false">'Data Activité Béliers'!$A$1:$K$377</definedName>
    <definedName function="false" hidden="false" localSheetId="3" name="_16_06_627" vbProcedure="false">'Data Activité Béliers'!$A$1:$K$377</definedName>
    <definedName function="false" hidden="false" localSheetId="3" name="_16_06_628" vbProcedure="false">'Data Activité Béliers'!$A$1:$K$313</definedName>
    <definedName function="false" hidden="false" localSheetId="3" name="_16_06_629" vbProcedure="false">'Data Activité Béliers'!$A$1:$K$313</definedName>
    <definedName function="false" hidden="false" localSheetId="3" name="_16_06_630" vbProcedure="false">'Data Activité Béliers'!$A$1:$K$129</definedName>
    <definedName function="false" hidden="false" localSheetId="3" name="_16_06_631" vbProcedure="false">'Data Activité Béliers'!$A$1:$K$377</definedName>
    <definedName function="false" hidden="false" localSheetId="3" name="_16_06_632" vbProcedure="false">'Data Activité Béliers'!$A$1:$K$377</definedName>
    <definedName function="false" hidden="false" localSheetId="3" name="_16_06_633" vbProcedure="false">'Data Activité Béliers'!$A$1:$K$371</definedName>
    <definedName function="false" hidden="false" localSheetId="3" name="_16_06_634" vbProcedure="false">'Data Activité Béliers'!$A$1:$K$129</definedName>
    <definedName function="false" hidden="false" localSheetId="3" name="_16_06_635" vbProcedure="false">'Data Activité Béliers'!$A$1:$K$377</definedName>
    <definedName function="false" hidden="false" localSheetId="3" name="_16_06_636" vbProcedure="false">'Data Activité Béliers'!$A$1:$K$371</definedName>
    <definedName function="false" hidden="false" localSheetId="3" name="_16_06_637" vbProcedure="false">'Data Activité Béliers'!$A$1:$L$377</definedName>
    <definedName function="false" hidden="false" localSheetId="3" name="_16_06_638" vbProcedure="false">'Data Activité Béliers'!$A$1:$M$134</definedName>
    <definedName function="false" hidden="false" localSheetId="3" name="_16_06_639" vbProcedure="false">'Data Activité Béliers'!$A$1:$L$313</definedName>
    <definedName function="false" hidden="false" localSheetId="3" name="_16_06_640" vbProcedure="false">'Data Activité Béliers'!$A$1:$M$508</definedName>
    <definedName function="false" hidden="false" localSheetId="3" name="_16_06_641" vbProcedure="false">'Data Activité Béliers'!$A$1:$M$134</definedName>
    <definedName function="false" hidden="false" localSheetId="3" name="_16_06_642" vbProcedure="false">'Data Activité Béliers'!$A$1:$L$313</definedName>
    <definedName function="false" hidden="false" localSheetId="3" name="_16_06_643" vbProcedure="false">'Data Activité Béliers'!$A$1:$K$377</definedName>
    <definedName function="false" hidden="false" localSheetId="3" name="_16_06_644" vbProcedure="false">'Data Activité Béliers'!$A$1:$M$134</definedName>
    <definedName function="false" hidden="false" localSheetId="3" name="_16_06_645" vbProcedure="false">'Data Activité Béliers'!$A$1:$M$508</definedName>
    <definedName function="false" hidden="false" localSheetId="3" name="_16_06_646" vbProcedure="false">'Data Activité Béliers'!$A$1:$M$508</definedName>
    <definedName function="false" hidden="false" localSheetId="3" name="_16_06_647" vbProcedure="false">'Data Activité Béliers'!$A$1:$M$134</definedName>
    <definedName function="false" hidden="false" localSheetId="3" name="_16_06_648" vbProcedure="false">'Data Activité Béliers'!$A$1:$M$620</definedName>
    <definedName function="false" hidden="false" localSheetId="3" name="_16_06_649" vbProcedure="false">'Data Activité Béliers'!$A$1:$L$313</definedName>
    <definedName function="false" hidden="false" localSheetId="3" name="_16_06_650" vbProcedure="false">'Data Activité Béliers'!$A$1:$M$134</definedName>
    <definedName function="false" hidden="false" localSheetId="3" name="_16_06_651" vbProcedure="false">'Data Activité Béliers'!$A$1:$M$620</definedName>
    <definedName function="false" hidden="false" localSheetId="3" name="_16_06_652" vbProcedure="false">'Data Activité Béliers'!$A$1:$L$129</definedName>
    <definedName function="false" hidden="false" localSheetId="3" name="_16_06_653" vbProcedure="false">'Data Activité Béliers'!$A$1:$L$129</definedName>
    <definedName function="false" hidden="false" localSheetId="3" name="_16_06_654" vbProcedure="false">'Data Activité Béliers'!$A$1:$M$508</definedName>
    <definedName function="false" hidden="false" localSheetId="3" name="_16_06_655" vbProcedure="false">'Data Activité Béliers'!$A$1:$L$313</definedName>
    <definedName function="false" hidden="false" localSheetId="3" name="_16_06_656" vbProcedure="false">'Data Activité Béliers'!$A$1:$M$508</definedName>
    <definedName function="false" hidden="false" localSheetId="3" name="_16_06_657" vbProcedure="false">'Data Activité Béliers'!$A$1:$M$620</definedName>
    <definedName function="false" hidden="false" localSheetId="3" name="_16_06_658" vbProcedure="false">'Data Activité Béliers'!$A$1:$L$377</definedName>
    <definedName function="false" hidden="false" localSheetId="3" name="_16_06_659" vbProcedure="false">'Data Activité Béliers'!$A$1:$M$134</definedName>
    <definedName function="false" hidden="false" localSheetId="3" name="_16_06_660" vbProcedure="false">'Data Activité Béliers'!$A$1:$L$313</definedName>
    <definedName function="false" hidden="false" localSheetId="3" name="_16_06_661" vbProcedure="false">'Data Activité Béliers'!$A$1:$L$313</definedName>
    <definedName function="false" hidden="false" localSheetId="3" name="_16_06_662" vbProcedure="false">'Data Activité Béliers'!$A$1:$M$134</definedName>
    <definedName function="false" hidden="false" localSheetId="3" name="_16_06_663" vbProcedure="false">'Data Activité Béliers'!$A$1:$L$377</definedName>
    <definedName function="false" hidden="false" localSheetId="3" name="_16_06_664" vbProcedure="false">'Data Activité Béliers'!$A$1:$M$508</definedName>
    <definedName function="false" hidden="false" localSheetId="3" name="_16_06_665" vbProcedure="false">'Data Activité Béliers'!$A$1:$L$129</definedName>
    <definedName function="false" hidden="false" localSheetId="3" name="_16_06_666" vbProcedure="false">'Data Activité Béliers'!$A$1:$M$508</definedName>
    <definedName function="false" hidden="false" localSheetId="3" name="_16_06_667" vbProcedure="false">'Data Activité Béliers'!$A$1:$M$508</definedName>
    <definedName function="false" hidden="false" localSheetId="3" name="_16_06_668" vbProcedure="false">'Data Activité Béliers'!$A$1:$M$620</definedName>
    <definedName function="false" hidden="false" localSheetId="3" name="_16_06_669" vbProcedure="false">'Data Activité Béliers'!$A$1:$L$377</definedName>
    <definedName function="false" hidden="false" localSheetId="3" name="_16_06_670" vbProcedure="false">'Data Activité Béliers'!$A$1:$L$377</definedName>
    <definedName function="false" hidden="false" localSheetId="3" name="_16_06_671" vbProcedure="false">'Data Activité Béliers'!$A$1:$M$508</definedName>
    <definedName function="false" hidden="false" localSheetId="3" name="_16_06_672" vbProcedure="false">'Data Activité Béliers'!$A$1:$L$313</definedName>
    <definedName function="false" hidden="false" localSheetId="3" name="_16_06_673" vbProcedure="false">'Data Activité Béliers'!$A$1:$M$508</definedName>
    <definedName function="false" hidden="false" localSheetId="3" name="_16_06_674" vbProcedure="false">'Data Activité Béliers'!$A$1:$L$371</definedName>
    <definedName function="false" hidden="false" localSheetId="3" name="_16_06_675" vbProcedure="false">'Data Activité Béliers'!$A$1:$L$377</definedName>
    <definedName function="false" hidden="false" localSheetId="3" name="_16_06_676" vbProcedure="false">'Data Activité Béliers'!$A$1:$K$377</definedName>
    <definedName function="false" hidden="false" localSheetId="3" name="_16_06_677" vbProcedure="false">'Data Activité Béliers'!$A$1:$M$620</definedName>
    <definedName function="false" hidden="false" localSheetId="3" name="_16_06_678" vbProcedure="false">'Data Activité Béliers'!$A$1:$L$313</definedName>
    <definedName function="false" hidden="false" localSheetId="3" name="_16_06_679" vbProcedure="false">'Data Activité Béliers'!$A$1:$M$620</definedName>
    <definedName function="false" hidden="false" localSheetId="3" name="_16_06_680" vbProcedure="false">'Data Activité Béliers'!$A$1:$L$129</definedName>
    <definedName function="false" hidden="false" localSheetId="3" name="_16_06_681" vbProcedure="false">'Data Activité Béliers'!$A$1:$L$129</definedName>
    <definedName function="false" hidden="false" localSheetId="3" name="_16_06_682" vbProcedure="false">'Data Activité Béliers'!$A$1:$M$620</definedName>
    <definedName function="false" hidden="false" localSheetId="3" name="_16_06_683" vbProcedure="false">'Data Activité Béliers'!$A$1:$M$508</definedName>
    <definedName function="false" hidden="false" localSheetId="3" name="_16_06_684" vbProcedure="false">'Data Activité Béliers'!$A$1:$M$508</definedName>
    <definedName function="false" hidden="false" localSheetId="3" name="_16_06_685" vbProcedure="false">'Data Activité Béliers'!$A$1:$L$129</definedName>
    <definedName function="false" hidden="false" localSheetId="3" name="_16_06_686" vbProcedure="false">'Data Activité Béliers'!$A$1:$L$377</definedName>
    <definedName function="false" hidden="false" localSheetId="3" name="_16_06_687" vbProcedure="false">'Data Activité Béliers'!$A$1:$M$134</definedName>
    <definedName function="false" hidden="false" localSheetId="3" name="_16_06_688" vbProcedure="false">'Data Activité Béliers'!$A$1:$M$620</definedName>
    <definedName function="false" hidden="false" localSheetId="3" name="_16_06_689" vbProcedure="false">'Data Activité Béliers'!$A$1:$M$620</definedName>
    <definedName function="false" hidden="false" localSheetId="3" name="_16_06_690" vbProcedure="false">'Data Activité Béliers'!$A$1:$L$313</definedName>
    <definedName function="false" hidden="false" localSheetId="3" name="_16_06_691" vbProcedure="false">'Data Activité Béliers'!$A$1:$M$134</definedName>
    <definedName function="false" hidden="false" localSheetId="3" name="_16_06_692" vbProcedure="false">'Data Activité Béliers'!$A$1:$L$313</definedName>
    <definedName function="false" hidden="false" localSheetId="3" name="_16_06_693" vbProcedure="false">'Data Activité Béliers'!$A$1:$M$620</definedName>
    <definedName function="false" hidden="false" localSheetId="3" name="_16_06_694" vbProcedure="false">'Data Activité Béliers'!$A$1:$M$508</definedName>
    <definedName function="false" hidden="false" localSheetId="3" name="_16_06_695" vbProcedure="false">'Data Activité Béliers'!$A$1:$M$508</definedName>
    <definedName function="false" hidden="false" localSheetId="3" name="_16_06_696" vbProcedure="false">'Data Activité Béliers'!$A$1:$L$129</definedName>
    <definedName function="false" hidden="false" localSheetId="3" name="_16_06_697" vbProcedure="false">'Data Activité Béliers'!$A$1:$L$313</definedName>
    <definedName function="false" hidden="false" localSheetId="3" name="_16_06_698" vbProcedure="false">'Data Activité Béliers'!$A$1:$L$377</definedName>
    <definedName function="false" hidden="false" localSheetId="3" name="_16_06_699" vbProcedure="false">'Data Activité Béliers'!$A$1:$L$313</definedName>
    <definedName function="false" hidden="false" localSheetId="3" name="_16_06_700" vbProcedure="false">'Data Activité Béliers'!$A$1:$L$377</definedName>
    <definedName function="false" hidden="false" localSheetId="3" name="_16_06_701" vbProcedure="false">'Data Activité Béliers'!$A$1:$L$377</definedName>
    <definedName function="false" hidden="false" localSheetId="3" name="_16_06_702" vbProcedure="false">'Data Activité Béliers'!$A$1:$M$620</definedName>
    <definedName function="false" hidden="false" localSheetId="3" name="_16_06_703" vbProcedure="false">'Data Activité Béliers'!$A$1:$L$377</definedName>
    <definedName function="false" hidden="false" localSheetId="3" name="_16_06_704" vbProcedure="false">'Data Activité Béliers'!$A$1:$M$620</definedName>
    <definedName function="false" hidden="false" localSheetId="3" name="_16_06_705" vbProcedure="false">'Data Activité Béliers'!$A$1:$L$377</definedName>
    <definedName function="false" hidden="false" localSheetId="3" name="_16_06_706" vbProcedure="false">'Data Activité Béliers'!$A$1:$L$377</definedName>
    <definedName function="false" hidden="false" localSheetId="3" name="_16_06_707" vbProcedure="false">'Data Activité Béliers'!$A$1:$M$134</definedName>
    <definedName function="false" hidden="false" localSheetId="3" name="_16_06_708" vbProcedure="false">'Data Activité Béliers'!$A$1:$L$313</definedName>
    <definedName function="false" hidden="false" localSheetId="3" name="_16_06_709" vbProcedure="false">'Data Activité Béliers'!$A$1:$M$508</definedName>
    <definedName function="false" hidden="false" localSheetId="3" name="_16_06_710" vbProcedure="false">'Data Activité Béliers'!$A$1:$M$620</definedName>
    <definedName function="false" hidden="false" localSheetId="3" name="_16_06_711" vbProcedure="false">'Data Activité Béliers'!$A$1:$L$313</definedName>
    <definedName function="false" hidden="false" localSheetId="3" name="_16_06_712" vbProcedure="false">'Data Activité Béliers'!$A$1:$L$129</definedName>
    <definedName function="false" hidden="false" localSheetId="3" name="_16_06_713" vbProcedure="false">'Data Activité Béliers'!$A$1:$L$129</definedName>
    <definedName function="false" hidden="false" localSheetId="3" name="_16_06_714" vbProcedure="false">'Data Activité Béliers'!$A$1:$L$313</definedName>
    <definedName function="false" hidden="false" localSheetId="3" name="_16_06_715" vbProcedure="false">'Data Activité Béliers'!$A$1:$L$377</definedName>
    <definedName function="false" hidden="false" localSheetId="3" name="_16_06_716" vbProcedure="false">'Data Activité Béliers'!$A$1:$M$508</definedName>
    <definedName function="false" hidden="false" localSheetId="3" name="_16_06_717" vbProcedure="false">'Data Activité Béliers'!$A$1:$M$134</definedName>
    <definedName function="false" hidden="false" localSheetId="3" name="_16_06_718" vbProcedure="false">'Data Activité Béliers'!$A$1:$L$313</definedName>
    <definedName function="false" hidden="false" localSheetId="3" name="_16_06_719" vbProcedure="false">'Data Activité Béliers'!$A$1:$L$313</definedName>
    <definedName function="false" hidden="false" localSheetId="3" name="_16_06_720" vbProcedure="false">'Data Activité Béliers'!$A$1:$M$620</definedName>
    <definedName function="false" hidden="false" localSheetId="3" name="_16_06_721" vbProcedure="false">'Data Activité Béliers'!$A$1:$L$313</definedName>
    <definedName function="false" hidden="false" localSheetId="3" name="_16_06_722" vbProcedure="false">'Data Activité Béliers'!$A$1:$L$129</definedName>
    <definedName function="false" hidden="false" localSheetId="3" name="_16_06_723" vbProcedure="false">'Data Activité Béliers'!$A$1:$L$129</definedName>
    <definedName function="false" hidden="false" localSheetId="3" name="_16_06_724" vbProcedure="false">'Data Activité Béliers'!$A$1:$M$620</definedName>
    <definedName function="false" hidden="false" localSheetId="3" name="_16_06_725" vbProcedure="false">'Data Activité Béliers'!$A$1:$L$129</definedName>
    <definedName function="false" hidden="false" localSheetId="3" name="_16_06_726" vbProcedure="false">'Data Activité Béliers'!$A$1:$L$377</definedName>
    <definedName function="false" hidden="false" localSheetId="3" name="_16_06_727" vbProcedure="false">'Data Activité Béliers'!$A$1:$L$377</definedName>
    <definedName function="false" hidden="false" localSheetId="3" name="_16_06_728" vbProcedure="false">'Data Activité Béliers'!$A$1:$L$313</definedName>
    <definedName function="false" hidden="false" localSheetId="3" name="_16_06_729" vbProcedure="false">'Data Activité Béliers'!$A$1:$L$313</definedName>
    <definedName function="false" hidden="false" localSheetId="3" name="_16_06_730" vbProcedure="false">'Data Activité Béliers'!$A$1:$M$134</definedName>
    <definedName function="false" hidden="false" localSheetId="3" name="_16_06_731" vbProcedure="false">'Data Activité Béliers'!$A$1:$M$134</definedName>
    <definedName function="false" hidden="false" localSheetId="3" name="_16_06_732" vbProcedure="false">'Data Activité Béliers'!$A$1:$M$134</definedName>
    <definedName function="false" hidden="false" localSheetId="3" name="_16_06_733" vbProcedure="false">'Data Activité Béliers'!$A$1:$M$620</definedName>
    <definedName function="false" hidden="false" localSheetId="3" name="_16_06_734" vbProcedure="false">'Data Activité Béliers'!$A$1:$L$129</definedName>
    <definedName function="false" hidden="false" localSheetId="3" name="_16_06_735" vbProcedure="false">'Data Activité Béliers'!$A$1:$L$377</definedName>
    <definedName function="false" hidden="false" localSheetId="3" name="_16_06_736" vbProcedure="false">'Data Activité Béliers'!$A$1:$K$129</definedName>
    <definedName function="false" hidden="false" localSheetId="3" name="_16_06_737" vbProcedure="false">'Data Activité Béliers'!$A$1:$M$134</definedName>
    <definedName function="false" hidden="false" localSheetId="3" name="_16_06_738" vbProcedure="false">'Data Activité Béliers'!$A$1:$L$377</definedName>
    <definedName function="false" hidden="false" localSheetId="3" name="_16_06_739" vbProcedure="false">'Data Activité Béliers'!$A$1:$M$134</definedName>
    <definedName function="false" hidden="false" localSheetId="3" name="_16_06_740" vbProcedure="false">'Data Activité Béliers'!$A$1:$M$508</definedName>
    <definedName function="false" hidden="false" localSheetId="3" name="_16_06_741" vbProcedure="false">'Data Activité Béliers'!$A$1:$L$313</definedName>
    <definedName function="false" hidden="false" localSheetId="3" name="_16_06_742" vbProcedure="false">'Data Activité Béliers'!$A$1:$L$377</definedName>
    <definedName function="false" hidden="false" localSheetId="3" name="_16_06_743" vbProcedure="false">'Data Activité Béliers'!$A$1:$L$377</definedName>
    <definedName function="false" hidden="false" localSheetId="3" name="_16_06_744" vbProcedure="false">'Data Activité Béliers'!$A$1:$M$134</definedName>
    <definedName function="false" hidden="false" localSheetId="3" name="_16_06_745" vbProcedure="false">'Data Activité Béliers'!$A$1:$L$377</definedName>
    <definedName function="false" hidden="false" localSheetId="3" name="_16_06_746" vbProcedure="false">'Data Activité Béliers'!$A$1:$L$371</definedName>
    <definedName function="false" hidden="false" localSheetId="3" name="_16_06_747" vbProcedure="false">'Data Activité Béliers'!$A$1:$L$377</definedName>
    <definedName function="false" hidden="false" localSheetId="3" name="_16_06_748" vbProcedure="false">'Data Activité Béliers'!$A$1:$M$508</definedName>
    <definedName function="false" hidden="false" localSheetId="3" name="_16_06_749" vbProcedure="false">'Data Activité Béliers'!$A$1:$L$377</definedName>
    <definedName function="false" hidden="false" localSheetId="3" name="_16_06_750" vbProcedure="false">'Data Activité Béliers'!$A$1:$M$620</definedName>
    <definedName function="false" hidden="false" localSheetId="3" name="_16_06_751" vbProcedure="false">'Data Activité Béliers'!$A$1:$M$508</definedName>
    <definedName function="false" hidden="false" localSheetId="3" name="_16_06_752" vbProcedure="false">'Data Activité Béliers'!$A$1:$L$313</definedName>
    <definedName function="false" hidden="false" localSheetId="3" name="_16_06_753" vbProcedure="false">'Data Activité Béliers'!$A$1:$M$134</definedName>
    <definedName function="false" hidden="false" localSheetId="3" name="_16_06_754" vbProcedure="false">'Data Activité Béliers'!$A$1:$M$620</definedName>
    <definedName function="false" hidden="false" localSheetId="3" name="_16_06_755" vbProcedure="false">'Data Activité Béliers'!$A$1:$L$377</definedName>
    <definedName function="false" hidden="false" localSheetId="3" name="_16_06_756" vbProcedure="false">'Data Activité Béliers'!$A$1:$M$508</definedName>
    <definedName function="false" hidden="false" localSheetId="3" name="_16_06_757" vbProcedure="false">'Data Activité Béliers'!$A$1:$M$508</definedName>
    <definedName function="false" hidden="false" localSheetId="3" name="_16_06_758" vbProcedure="false">'Data Activité Béliers'!$A$1:$L$377</definedName>
    <definedName function="false" hidden="false" localSheetId="3" name="_16_06_759" vbProcedure="false">'Data Activité Béliers'!$A$1:$M$134</definedName>
    <definedName function="false" hidden="false" localSheetId="3" name="_16_06_760" vbProcedure="false">'Data Activité Béliers'!$A$1:$M$620</definedName>
    <definedName function="false" hidden="false" localSheetId="3" name="_16_06_761" vbProcedure="false">'Data Activité Béliers'!$A$1:$M$620</definedName>
    <definedName function="false" hidden="false" localSheetId="3" name="_16_06_762" vbProcedure="false">'Data Activité Béliers'!$A$1:$M$134</definedName>
    <definedName function="false" hidden="false" localSheetId="3" name="_16_06_763" vbProcedure="false">'Data Activité Béliers'!$A$1:$L$377</definedName>
    <definedName function="false" hidden="false" localSheetId="3" name="_16_06_764" vbProcedure="false">'Data Activité Béliers'!$A$1:$M$134</definedName>
    <definedName function="false" hidden="false" localSheetId="3" name="_16_06_765" vbProcedure="false">'Data Activité Béliers'!$A$1:$L$313</definedName>
    <definedName function="false" hidden="false" localSheetId="3" name="_16_06_766" vbProcedure="false">'Data Activité Béliers'!$A$1:$M$134</definedName>
    <definedName function="false" hidden="false" localSheetId="3" name="_16_06_767" vbProcedure="false">'Data Activité Béliers'!$A$1:$L$313</definedName>
    <definedName function="false" hidden="false" localSheetId="3" name="_16_06_768" vbProcedure="false">'Data Activité Béliers'!$A$1:$L$129</definedName>
    <definedName function="false" hidden="false" localSheetId="3" name="_16_06_769" vbProcedure="false">'Data Activité Béliers'!$A$1:$M$620</definedName>
    <definedName function="false" hidden="false" localSheetId="3" name="_16_06_770" vbProcedure="false">'Data Activité Béliers'!$A$1:$L$129</definedName>
    <definedName function="false" hidden="false" localSheetId="3" name="_16_06_771" vbProcedure="false">'Data Activité Béliers'!$A$1:$L$313</definedName>
    <definedName function="false" hidden="false" localSheetId="3" name="_16_06_772" vbProcedure="false">'Data Activité Béliers'!$A$1:$L$313</definedName>
    <definedName function="false" hidden="false" localSheetId="3" name="_16_06_773" vbProcedure="false">'Data Activité Béliers'!$A$1:$L$377</definedName>
    <definedName function="false" hidden="false" localSheetId="3" name="_16_06_774" vbProcedure="false">'Data Activité Béliers'!$A$1:$L$377</definedName>
    <definedName function="false" hidden="false" localSheetId="3" name="_16_06_775" vbProcedure="false">'Data Activité Béliers'!$A$1:$L$377</definedName>
    <definedName function="false" hidden="false" localSheetId="3" name="_16_06_776" vbProcedure="false">'Data Activité Béliers'!$A$1:$M$620</definedName>
    <definedName function="false" hidden="false" localSheetId="3" name="_16_06_777" vbProcedure="false">'Data Activité Béliers'!$A$1:$M$620</definedName>
    <definedName function="false" hidden="false" localSheetId="3" name="_16_06_778" vbProcedure="false">'Data Activité Béliers'!$A$1:$M$134</definedName>
    <definedName function="false" hidden="false" localSheetId="3" name="_16_06_779" vbProcedure="false">'Data Activité Béliers'!$A$1:$M$620</definedName>
    <definedName function="false" hidden="false" localSheetId="3" name="_16_06_780" vbProcedure="false">'Data Activité Béliers'!$A$1:$M$508</definedName>
    <definedName function="false" hidden="false" localSheetId="3" name="_16_06_781" vbProcedure="false">'Data Activité Béliers'!$A$1:$M$508</definedName>
    <definedName function="false" hidden="false" localSheetId="3" name="_16_06_782" vbProcedure="false">'Data Activité Béliers'!$A$1:$L$313</definedName>
    <definedName function="false" hidden="false" localSheetId="3" name="_16_06_783" vbProcedure="false">'Data Activité Béliers'!$A$1:$K$377</definedName>
    <definedName function="false" hidden="false" localSheetId="3" name="_16_06_784" vbProcedure="false">'Data Activité Béliers'!$A$1:$L$129</definedName>
    <definedName function="false" hidden="false" localSheetId="3" name="_16_06_785" vbProcedure="false">'Data Activité Béliers'!$A$1:$M$620</definedName>
    <definedName function="false" hidden="false" localSheetId="3" name="_16_06_786" vbProcedure="false">'Data Activité Béliers'!$A$1:$L$313</definedName>
    <definedName function="false" hidden="false" localSheetId="3" name="_16_06_787" vbProcedure="false">'Data Activité Béliers'!$A$1:$L$129</definedName>
    <definedName function="false" hidden="false" localSheetId="3" name="_16_06_788" vbProcedure="false">'Data Activité Béliers'!$A$1:$L$377</definedName>
    <definedName function="false" hidden="false" localSheetId="3" name="_16_06_789" vbProcedure="false">'Data Activité Béliers'!$A$1:$M$620</definedName>
    <definedName function="false" hidden="false" localSheetId="3" name="_16_06_790" vbProcedure="false">'Data Activité Béliers'!$A$1:$L$377</definedName>
    <definedName function="false" hidden="false" localSheetId="3" name="_16_06_791" vbProcedure="false">'Data Activité Béliers'!$A$1:$L$313</definedName>
    <definedName function="false" hidden="false" localSheetId="3" name="_16_06_792" vbProcedure="false">'Data Activité Béliers'!$A$1:$L$377</definedName>
    <definedName function="false" hidden="false" localSheetId="3" name="_16_06_793" vbProcedure="false">'Data Activité Béliers'!$A$1:$M$620</definedName>
    <definedName function="false" hidden="false" localSheetId="3" name="_16_06_794" vbProcedure="false">'Data Activité Béliers'!$A$1:$L$377</definedName>
    <definedName function="false" hidden="false" localSheetId="3" name="_16_06_795" vbProcedure="false">'Data Activité Béliers'!$A$1:$M$508</definedName>
    <definedName function="false" hidden="false" localSheetId="3" name="_16_06_796" vbProcedure="false">'Data Activité Béliers'!$A$1:$L$129</definedName>
    <definedName function="false" hidden="false" localSheetId="3" name="_16_06_797" vbProcedure="false">'Data Activité Béliers'!$A$1:$L$377</definedName>
    <definedName function="false" hidden="false" localSheetId="3" name="_16_06_798" vbProcedure="false">'Data Activité Béliers'!$A$1:$K$313</definedName>
    <definedName function="false" hidden="false" localSheetId="3" name="_16_06_799" vbProcedure="false">'Data Activité Béliers'!$A$1:$M$508</definedName>
    <definedName function="false" hidden="false" localSheetId="3" name="_16_06_800" vbProcedure="false">'Data Activité Béliers'!$A$1:$L$377</definedName>
    <definedName function="false" hidden="false" localSheetId="3" name="_16_06_801" vbProcedure="false">'Data Activité Béliers'!$A$1:$L$377</definedName>
    <definedName function="false" hidden="false" localSheetId="3" name="_16_06_802" vbProcedure="false">'Data Activité Béliers'!$A$1:$K$313</definedName>
    <definedName function="false" hidden="false" localSheetId="3" name="_16_06_803" vbProcedure="false">'Data Activité Béliers'!$A$1:$M$508</definedName>
    <definedName function="false" hidden="false" localSheetId="3" name="_16_06_804" vbProcedure="false">'Data Activité Béliers'!$A$1:$K$377</definedName>
    <definedName function="false" hidden="false" localSheetId="3" name="_16_06_805" vbProcedure="false">'Data Activité Béliers'!$A$1:$M$620</definedName>
    <definedName function="false" hidden="false" localSheetId="3" name="_16_06_806" vbProcedure="false">'Data Activité Béliers'!$A$1:$M$620</definedName>
    <definedName function="false" hidden="false" localSheetId="3" name="_16_06_807" vbProcedure="false">'Data Activité Béliers'!$A$1:$L$129</definedName>
    <definedName function="false" hidden="false" localSheetId="3" name="_16_06_808" vbProcedure="false">'Data Activité Béliers'!$A$1:$L$313</definedName>
    <definedName function="false" hidden="false" localSheetId="3" name="_16_06_809" vbProcedure="false">'Data Activité Béliers'!$A$1:$M$134</definedName>
    <definedName function="false" hidden="false" localSheetId="3" name="_16_06_810" vbProcedure="false">'Data Activité Béliers'!$A$1:$M$134</definedName>
    <definedName function="false" hidden="false" localSheetId="3" name="_16_06_811" vbProcedure="false">'Data Activité Béliers'!$A$1:$L$377</definedName>
    <definedName function="false" hidden="false" localSheetId="3" name="_16_06_812" vbProcedure="false">'Data Activité Béliers'!$A$1:$L$377</definedName>
    <definedName function="false" hidden="false" localSheetId="3" name="_16_06_813" vbProcedure="false">'Data Activité Béliers'!$A$1:$L$377</definedName>
    <definedName function="false" hidden="false" localSheetId="3" name="_16_06_814" vbProcedure="false">'Data Activité Béliers'!$A$1:$L$377</definedName>
    <definedName function="false" hidden="false" localSheetId="3" name="_16_06_815" vbProcedure="false">'Data Activité Béliers'!$A$1:$L$129</definedName>
    <definedName function="false" hidden="false" localSheetId="3" name="_16_06_816" vbProcedure="false">'Data Activité Béliers'!$A$1:$L$129</definedName>
    <definedName function="false" hidden="false" localSheetId="3" name="_16_06_817" vbProcedure="false">'Data Activité Béliers'!$A$1:$L$377</definedName>
    <definedName function="false" hidden="false" localSheetId="3" name="_16_06_818" vbProcedure="false">'Data Activité Béliers'!$A$1:$L$129</definedName>
    <definedName function="false" hidden="false" localSheetId="3" name="_16_06_819" vbProcedure="false">'Data Activité Béliers'!$A$1:$M$620</definedName>
    <definedName function="false" hidden="false" localSheetId="3" name="_16_06_820" vbProcedure="false">'Data Activité Béliers'!$A$1:$M$508</definedName>
    <definedName function="false" hidden="false" localSheetId="3" name="_16_06_821" vbProcedure="false">'Data Activité Béliers'!$A$1:$M$134</definedName>
    <definedName function="false" hidden="false" localSheetId="3" name="_16_06_822" vbProcedure="false">'Data Activité Béliers'!$A$1:$K$313</definedName>
    <definedName function="false" hidden="false" localSheetId="3" name="_16_06_823" vbProcedure="false">'Data Activité Béliers'!$A$1:$M$508</definedName>
    <definedName function="false" hidden="false" localSheetId="3" name="_16_06_824" vbProcedure="false">'Data Activité Béliers'!$A$1:$L$313</definedName>
    <definedName function="false" hidden="false" localSheetId="3" name="_16_06_825" vbProcedure="false">'Data Activité Béliers'!$A$1:$M$134</definedName>
    <definedName function="false" hidden="false" localSheetId="3" name="_16_06_826" vbProcedure="false">'Data Activité Béliers'!$A$1:$M$620</definedName>
    <definedName function="false" hidden="false" localSheetId="3" name="_16_06_827" vbProcedure="false">'Data Activité Béliers'!$A$1:$M$508</definedName>
    <definedName function="false" hidden="false" localSheetId="3" name="_16_06_828" vbProcedure="false">'Data Activité Béliers'!$A$1:$L$129</definedName>
    <definedName function="false" hidden="false" localSheetId="3" name="_16_06_829" vbProcedure="false">'Data Activité Béliers'!$A$1:$M$508</definedName>
    <definedName function="false" hidden="false" localSheetId="3" name="_16_06_830" vbProcedure="false">'Data Activité Béliers'!$A$1:$L$371</definedName>
    <definedName function="false" hidden="false" localSheetId="3" name="_16_06_831" vbProcedure="false">'Data Activité Béliers'!$A$1:$M$508</definedName>
    <definedName function="false" hidden="false" localSheetId="3" name="_16_06_832" vbProcedure="false">'Data Activité Béliers'!$A$1:$L$313</definedName>
    <definedName function="false" hidden="false" localSheetId="3" name="_16_06_833" vbProcedure="false">'Data Activité Béliers'!$A$1:$M$508</definedName>
    <definedName function="false" hidden="false" localSheetId="3" name="_16_06_834" vbProcedure="false">'Data Activité Béliers'!$A$1:$K$129</definedName>
    <definedName function="false" hidden="false" localSheetId="3" name="_16_06_835" vbProcedure="false">'Data Activité Béliers'!$A$1:$L$129</definedName>
    <definedName function="false" hidden="false" localSheetId="3" name="_16_06_836" vbProcedure="false">'Data Activité Béliers'!$A$1:$L$313</definedName>
    <definedName function="false" hidden="false" localSheetId="3" name="_16_06_837" vbProcedure="false">'Data Activité Béliers'!$A$1:$K$377</definedName>
    <definedName function="false" hidden="false" localSheetId="3" name="_16_06_838" vbProcedure="false">'Data Activité Béliers'!$A$1:$M$134</definedName>
    <definedName function="false" hidden="false" localSheetId="3" name="_16_06_839" vbProcedure="false">'Data Activité Béliers'!$A$1:$M$508</definedName>
    <definedName function="false" hidden="false" localSheetId="3" name="_16_06_840" vbProcedure="false">'Data Activité Béliers'!$A$1:$M$620</definedName>
    <definedName function="false" hidden="false" localSheetId="3" name="_16_06_841" vbProcedure="false">'Data Activité Béliers'!$A$1:$L$313</definedName>
    <definedName function="false" hidden="false" localSheetId="3" name="_16_06_842" vbProcedure="false">'Data Activité Béliers'!$A$1:$L$313</definedName>
    <definedName function="false" hidden="false" localSheetId="3" name="_16_06_843" vbProcedure="false">'Data Activité Béliers'!$A$1:$M$508</definedName>
    <definedName function="false" hidden="false" localSheetId="3" name="_16_06_844" vbProcedure="false">'Data Activité Béliers'!$A$1:$L$313</definedName>
    <definedName function="false" hidden="false" localSheetId="3" name="_16_06_845" vbProcedure="false">'Data Activité Béliers'!$A$1:$M$620</definedName>
    <definedName function="false" hidden="false" localSheetId="3" name="_16_06_846" vbProcedure="false">'Data Activité Béliers'!$A$1:$L$313</definedName>
    <definedName function="false" hidden="false" localSheetId="3" name="_16_06_847" vbProcedure="false">'Data Activité Béliers'!$A$1:$L$377</definedName>
    <definedName function="false" hidden="false" localSheetId="3" name="_16_06_848" vbProcedure="false">'Data Activité Béliers'!$A$1:$K$313</definedName>
    <definedName function="false" hidden="false" localSheetId="3" name="_16_06_849" vbProcedure="false">'Data Activité Béliers'!$A$1:$M$614</definedName>
    <definedName function="false" hidden="false" localSheetId="3" name="_16_06_850" vbProcedure="false">'Data Activité Béliers'!$A$1:$M$620</definedName>
    <definedName function="false" hidden="false" localSheetId="3" name="_16_06_851" vbProcedure="false">'Data Activité Béliers'!$A$1:$M$620</definedName>
    <definedName function="false" hidden="false" localSheetId="3" name="_16_06_852" vbProcedure="false">'Data Activité Béliers'!$A$1:$L$129</definedName>
    <definedName function="false" hidden="false" localSheetId="3" name="_16_06_853" vbProcedure="false">'Data Activité Béliers'!$A$1:$M$620</definedName>
    <definedName function="false" hidden="false" localSheetId="3" name="_16_06_854" vbProcedure="false">'Data Activité Béliers'!$A$1:$K$377</definedName>
    <definedName function="false" hidden="false" localSheetId="3" name="_16_06_855" vbProcedure="false">'Data Activité Béliers'!$A$1:$L$377</definedName>
    <definedName function="false" hidden="false" localSheetId="3" name="_16_06_856" vbProcedure="false">'Data Activité Béliers'!$A$1:$L$313</definedName>
    <definedName function="false" hidden="false" localSheetId="3" name="_16_06_857" vbProcedure="false">'Data Activité Béliers'!$A$1:$K$313</definedName>
    <definedName function="false" hidden="false" localSheetId="3" name="_16_06_858" vbProcedure="false">'Data Activité Béliers'!$A$1:$K$129</definedName>
    <definedName function="false" hidden="false" localSheetId="3" name="_16_06_859" vbProcedure="false">'Data Activité Béliers'!$A$1:$M$620</definedName>
    <definedName function="false" hidden="false" localSheetId="3" name="_16_06_860" vbProcedure="false">'Data Activité Béliers'!$A$1:$L$313</definedName>
    <definedName function="false" hidden="false" localSheetId="3" name="_16_06_861" vbProcedure="false">'Data Activité Béliers'!$A$1:$M$508</definedName>
    <definedName function="false" hidden="false" localSheetId="3" name="_16_06_862" vbProcedure="false">'Data Activité Béliers'!$A$1:$M$620</definedName>
    <definedName function="false" hidden="false" localSheetId="3" name="_16_06_863" vbProcedure="false">'Data Activité Béliers'!$A$1:$L$313</definedName>
    <definedName function="false" hidden="false" localSheetId="3" name="_16_06_864" vbProcedure="false">'Data Activité Béliers'!$A$1:$L$129</definedName>
    <definedName function="false" hidden="false" localSheetId="3" name="_16_06_865" vbProcedure="false">'Data Activité Béliers'!$A$1:$K$313</definedName>
    <definedName function="false" hidden="false" localSheetId="3" name="_16_06_866" vbProcedure="false">'Data Activité Béliers'!$A$1:$L$377</definedName>
    <definedName function="false" hidden="false" localSheetId="3" name="_16_06_867" vbProcedure="false">'Data Activité Béliers'!$A$1:$M$134</definedName>
    <definedName function="false" hidden="false" localSheetId="3" name="_16_06_868" vbProcedure="false">'Data Activité Béliers'!$A$1:$M$508</definedName>
    <definedName function="false" hidden="false" localSheetId="3" name="_16_06_869" vbProcedure="false">'Data Activité Béliers'!$A$1:$M$508</definedName>
    <definedName function="false" hidden="false" localSheetId="3" name="_16_06_870" vbProcedure="false">'Data Activité Béliers'!$A$1:$M$134</definedName>
    <definedName function="false" hidden="false" localSheetId="3" name="_16_06_871" vbProcedure="false">'Data Activité Béliers'!$A$1:$M$134</definedName>
    <definedName function="false" hidden="false" localSheetId="3" name="_16_06_872" vbProcedure="false">'Data Activité Béliers'!$A$1:$L$377</definedName>
    <definedName function="false" hidden="false" localSheetId="3" name="_16_06_873" vbProcedure="false">'Data Activité Béliers'!$A$1:$M$508</definedName>
    <definedName function="false" hidden="false" localSheetId="3" name="_16_06_874" vbProcedure="false">'Data Activité Béliers'!$A$1:$M$620</definedName>
    <definedName function="false" hidden="false" localSheetId="3" name="_16_06_875" vbProcedure="false">'Data Activité Béliers'!$A$1:$M$508</definedName>
    <definedName function="false" hidden="false" localSheetId="3" name="_16_06_876" vbProcedure="false">'Data Activité Béliers'!$A$1:$M$620</definedName>
    <definedName function="false" hidden="false" localSheetId="3" name="_16_06_877" vbProcedure="false">'Data Activité Béliers'!$A$1:$L$313</definedName>
    <definedName function="false" hidden="false" localSheetId="3" name="_16_06_878" vbProcedure="false">'Data Activité Béliers'!$A$1:$L$377</definedName>
    <definedName function="false" hidden="false" localSheetId="3" name="_16_06_879" vbProcedure="false">'Data Activité Béliers'!$A$1:$M$508</definedName>
    <definedName function="false" hidden="false" localSheetId="3" name="_16_06_880" vbProcedure="false">'Data Activité Béliers'!$A$1:$L$129</definedName>
    <definedName function="false" hidden="false" localSheetId="3" name="_16_06_881" vbProcedure="false">'Data Activité Béliers'!$A$1:$K$377</definedName>
    <definedName function="false" hidden="false" localSheetId="3" name="_16_06_882" vbProcedure="false">'Data Activité Béliers'!$A$1:$M$508</definedName>
    <definedName function="false" hidden="false" localSheetId="3" name="_16_06_883" vbProcedure="false">'Data Activité Béliers'!$A$1:$L$377</definedName>
    <definedName function="false" hidden="false" localSheetId="3" name="_16_06_884" vbProcedure="false">'Data Activité Béliers'!$A$1:$L$377</definedName>
    <definedName function="false" hidden="false" localSheetId="3" name="_16_06_885" vbProcedure="false">'Data Activité Béliers'!$A$1:$K$129</definedName>
    <definedName function="false" hidden="false" localSheetId="3" name="_16_06_886" vbProcedure="false">'Data Activité Béliers'!$A$1:$L$129</definedName>
    <definedName function="false" hidden="false" localSheetId="3" name="_16_06_887" vbProcedure="false">'Data Activité Béliers'!$A$1:$M$620</definedName>
    <definedName function="false" hidden="false" localSheetId="3" name="_16_06_888" vbProcedure="false">'Data Activité Béliers'!$A$1:$K$313</definedName>
    <definedName function="false" hidden="false" localSheetId="3" name="_16_06_889" vbProcedure="false">'Data Activité Béliers'!$A$1:$M$134</definedName>
    <definedName function="false" hidden="false" localSheetId="3" name="_16_06_890" vbProcedure="false">'Data Activité Béliers'!$A$1:$L$313</definedName>
    <definedName function="false" hidden="false" localSheetId="3" name="_16_06_891" vbProcedure="false">'Data Activité Béliers'!$A$1:$M$134</definedName>
    <definedName function="false" hidden="false" localSheetId="3" name="_16_06_892" vbProcedure="false">'Data Activité Béliers'!$A$1:$L$377</definedName>
    <definedName function="false" hidden="false" localSheetId="3" name="_16_06_893" vbProcedure="false">'Data Activité Béliers'!$A$1:$M$134</definedName>
    <definedName function="false" hidden="false" localSheetId="3" name="_16_06_894" vbProcedure="false">'Data Activité Béliers'!$A$1:$M$620</definedName>
    <definedName function="false" hidden="false" localSheetId="3" name="_16_06_895" vbProcedure="false">'Data Activité Béliers'!$A$1:$L$129</definedName>
    <definedName function="false" hidden="false" localSheetId="3" name="_16_06_896" vbProcedure="false">'Data Activité Béliers'!$A$1:$M$508</definedName>
    <definedName function="false" hidden="false" localSheetId="3" name="_16_06_897" vbProcedure="false">'Data Activité Béliers'!$A$1:$M$620</definedName>
    <definedName function="false" hidden="false" localSheetId="3" name="_16_06_898" vbProcedure="false">'Data Activité Béliers'!$A$1:$L$129</definedName>
    <definedName function="false" hidden="false" localSheetId="3" name="_16_06_899" vbProcedure="false">'Data Activité Béliers'!$A$1:$M$134</definedName>
    <definedName function="false" hidden="false" localSheetId="3" name="_16_06_900" vbProcedure="false">'Data Activité Béliers'!$A$1:$M$134</definedName>
    <definedName function="false" hidden="false" localSheetId="3" name="_16_06_901" vbProcedure="false">'Data Activité Béliers'!$A$1:$M$620</definedName>
    <definedName function="false" hidden="false" localSheetId="3" name="_16_06_902" vbProcedure="false">'Data Activité Béliers'!$A$1:$M$508</definedName>
    <definedName function="false" hidden="false" localSheetId="3" name="_16_06_903" vbProcedure="false">'Data Activité Béliers'!$A$1:$M$134</definedName>
    <definedName function="false" hidden="false" localSheetId="3" name="_16_06_904" vbProcedure="false">'Data Activité Béliers'!$A$1:$K$377</definedName>
    <definedName function="false" hidden="false" localSheetId="3" name="_16_06_905" vbProcedure="false">'Data Activité Béliers'!$A$1:$M$620</definedName>
    <definedName function="false" hidden="false" localSheetId="3" name="_16_06_906" vbProcedure="false">'Data Activité Béliers'!$A$1:$M$620</definedName>
    <definedName function="false" hidden="false" localSheetId="3" name="_16_06_907" vbProcedure="false">'Data Activité Béliers'!$A$1:$L$313</definedName>
    <definedName function="false" hidden="false" localSheetId="3" name="_16_06_908" vbProcedure="false">'Data Activité Béliers'!$A$1:$L$129</definedName>
    <definedName function="false" hidden="false" localSheetId="3" name="_16_06_909" vbProcedure="false">'Data Activité Béliers'!$A$1:$L$129</definedName>
    <definedName function="false" hidden="false" localSheetId="3" name="_16_06_910" vbProcedure="false">'Data Activité Béliers'!$A$1:$M$614</definedName>
    <definedName function="false" hidden="false" localSheetId="3" name="_16_06_911" vbProcedure="false">'Data Activité Béliers'!$A$1:$L$129</definedName>
    <definedName function="false" hidden="false" localSheetId="3" name="_16_06_912" vbProcedure="false">'Data Activité Béliers'!$A$1:$L$377</definedName>
    <definedName function="false" hidden="false" localSheetId="3" name="_16_06_913" vbProcedure="false">'Data Activité Béliers'!$A$1:$L$313</definedName>
    <definedName function="false" hidden="false" localSheetId="3" name="_16_06_914" vbProcedure="false">'Data Activité Béliers'!$A$1:$L$129</definedName>
    <definedName function="false" hidden="false" localSheetId="3" name="_16_06_915" vbProcedure="false">'Data Activité Béliers'!$A$1:$K$377</definedName>
    <definedName function="false" hidden="false" localSheetId="3" name="_16_06_916" vbProcedure="false">'Data Activité Béliers'!$A$1:$M$620</definedName>
    <definedName function="false" hidden="false" localSheetId="3" name="_16_06_917" vbProcedure="false">'Data Activité Béliers'!$A$1:$M$620</definedName>
    <definedName function="false" hidden="false" localSheetId="3" name="_16_06_918" vbProcedure="false">'Data Activité Béliers'!$A$1:$K$129</definedName>
    <definedName function="false" hidden="false" localSheetId="3" name="_16_06_919" vbProcedure="false">'Data Activité Béliers'!$A$1:$L$129</definedName>
    <definedName function="false" hidden="false" localSheetId="3" name="_16_06_920" vbProcedure="false">'Data Activité Béliers'!$A$1:$M$508</definedName>
    <definedName function="false" hidden="false" localSheetId="3" name="_16_06_921" vbProcedure="false">'Data Activité Béliers'!$A$1:$M$620</definedName>
    <definedName function="false" hidden="false" localSheetId="3" name="_16_06_922" vbProcedure="false">'Data Activité Béliers'!$A$1:$K$129</definedName>
    <definedName function="false" hidden="false" localSheetId="3" name="_16_06_923" vbProcedure="false">'Data Activité Béliers'!$A$1:$M$620</definedName>
    <definedName function="false" hidden="false" localSheetId="3" name="_16_06_924" vbProcedure="false">'Data Activité Béliers'!$A$1:$M$508</definedName>
    <definedName function="false" hidden="false" localSheetId="3" name="_16_06_925" vbProcedure="false">'Data Activité Béliers'!$A$1:$L$129</definedName>
    <definedName function="false" hidden="false" localSheetId="3" name="_16_06_926" vbProcedure="false">'Data Activité Béliers'!$A$1:$L$129</definedName>
    <definedName function="false" hidden="false" localSheetId="3" name="_16_06_927" vbProcedure="false">'Data Activité Béliers'!$A$1:$M$508</definedName>
    <definedName function="false" hidden="false" localSheetId="3" name="_16_06_928" vbProcedure="false">'Data Activité Béliers'!$A$1:$L$313</definedName>
    <definedName function="false" hidden="false" localSheetId="3" name="_16_06_929" vbProcedure="false">'Data Activité Béliers'!$A$1:$L$129</definedName>
    <definedName function="false" hidden="false" localSheetId="3" name="_16_06_930" vbProcedure="false">'Data Activité Béliers'!$A$1:$K$313</definedName>
    <definedName function="false" hidden="false" localSheetId="3" name="_16_06_931" vbProcedure="false">'Data Activité Béliers'!$A$1:$L$377</definedName>
    <definedName function="false" hidden="false" localSheetId="3" name="_16_06_932" vbProcedure="false">'Data Activité Béliers'!$A$1:$L$377</definedName>
    <definedName function="false" hidden="false" localSheetId="3" name="_16_06_933" vbProcedure="false">'Data Activité Béliers'!$A$1:$M$134</definedName>
    <definedName function="false" hidden="false" localSheetId="3" name="_16_06_934" vbProcedure="false">'Data Activité Béliers'!$A$1:$L$129</definedName>
    <definedName function="false" hidden="false" localSheetId="3" name="_16_06_935" vbProcedure="false">'Data Activité Béliers'!$A$1:$L$313</definedName>
    <definedName function="false" hidden="false" localSheetId="3" name="_16_06_936" vbProcedure="false">'Data Activité Béliers'!$A$1:$L$377</definedName>
    <definedName function="false" hidden="false" localSheetId="3" name="_16_06_937" vbProcedure="false">'Data Activité Béliers'!$A$1:$M$620</definedName>
    <definedName function="false" hidden="false" localSheetId="3" name="_16_06_938" vbProcedure="false">'Data Activité Béliers'!$A$1:$L$313</definedName>
    <definedName function="false" hidden="false" localSheetId="3" name="_16_06_939" vbProcedure="false">'Data Activité Béliers'!$A$1:$L$377</definedName>
    <definedName function="false" hidden="false" localSheetId="3" name="_16_06_940" vbProcedure="false">'Data Activité Béliers'!$A$1:$K$129</definedName>
    <definedName function="false" hidden="false" localSheetId="3" name="_16_06_941" vbProcedure="false">'Data Activité Béliers'!$A$1:$L$129</definedName>
    <definedName function="false" hidden="false" localSheetId="3" name="_16_06_942" vbProcedure="false">'Data Activité Béliers'!$A$1:$L$313</definedName>
    <definedName function="false" hidden="false" localSheetId="3" name="_16_06_943" vbProcedure="false">'Data Activité Béliers'!$A$1:$M$508</definedName>
    <definedName function="false" hidden="false" localSheetId="3" name="_16_06_944" vbProcedure="false">'Data Activité Béliers'!$A$1:$M$508</definedName>
    <definedName function="false" hidden="false" localSheetId="3" name="_16_06_945" vbProcedure="false">'Data Activité Béliers'!$A$1:$M$134</definedName>
    <definedName function="false" hidden="false" localSheetId="3" name="_16_06_946" vbProcedure="false">'Data Activité Béliers'!$A$1:$K$313</definedName>
    <definedName function="false" hidden="false" localSheetId="3" name="_16_06_947" vbProcedure="false">'Data Activité Béliers'!$A$1:$M$620</definedName>
    <definedName function="false" hidden="false" localSheetId="3" name="_16_06_948" vbProcedure="false">'Data Activité Béliers'!$A$1:$L$313</definedName>
    <definedName function="false" hidden="false" localSheetId="3" name="_16_06_949" vbProcedure="false">'Data Activité Béliers'!$A$1:$L$377</definedName>
    <definedName function="false" hidden="false" localSheetId="3" name="_16_06_950" vbProcedure="false">'Data Activité Béliers'!$A$1:$M$614</definedName>
    <definedName function="false" hidden="false" localSheetId="3" name="_16_06_951" vbProcedure="false">'Data Activité Béliers'!$A$1:$L$377</definedName>
    <definedName function="false" hidden="false" localSheetId="3" name="_16_06_952" vbProcedure="false">'Data Activité Béliers'!$A$1:$L$377</definedName>
    <definedName function="false" hidden="false" localSheetId="3" name="_16_06_953" vbProcedure="false">'Data Activité Béliers'!$A$1:$L$129</definedName>
    <definedName function="false" hidden="false" localSheetId="3" name="_16_06_954" vbProcedure="false">'Data Activité Béliers'!$A$1:$M$508</definedName>
    <definedName function="false" hidden="false" localSheetId="3" name="_16_06_955" vbProcedure="false">'Data Activité Béliers'!$A$1:$L$313</definedName>
    <definedName function="false" hidden="false" localSheetId="3" name="_16_06_956" vbProcedure="false">'Data Activité Béliers'!$A$1:$M$620</definedName>
    <definedName function="false" hidden="false" localSheetId="3" name="_16_06_957" vbProcedure="false">'Data Activité Béliers'!$A$1:$M$134</definedName>
    <definedName function="false" hidden="false" localSheetId="3" name="_16_06_958" vbProcedure="false">'Data Activité Béliers'!$A$1:$M$620</definedName>
    <definedName function="false" hidden="false" localSheetId="3" name="_16_06_959" vbProcedure="false">'Data Activité Béliers'!$A$1:$L$313</definedName>
    <definedName function="false" hidden="false" localSheetId="3" name="_16_06_960" vbProcedure="false">'Data Activité Béliers'!$A$1:$L$129</definedName>
    <definedName function="false" hidden="false" localSheetId="3" name="_16_06_961" vbProcedure="false">'Data Activité Béliers'!$A$1:$M$620</definedName>
    <definedName function="false" hidden="false" localSheetId="3" name="_16_06_962" vbProcedure="false">'Data Activité Béliers'!$A$1:$M$134</definedName>
    <definedName function="false" hidden="false" localSheetId="3" name="_16_06_963" vbProcedure="false">'Data Activité Béliers'!$A$1:$L$129</definedName>
    <definedName function="false" hidden="false" localSheetId="3" name="_16_06_964" vbProcedure="false">'Data Activité Béliers'!$A$1:$L$377</definedName>
    <definedName function="false" hidden="false" localSheetId="3" name="_16_06_965" vbProcedure="false">'Data Activité Béliers'!$A$1:$M$134</definedName>
    <definedName function="false" hidden="false" localSheetId="3" name="_16_06_966" vbProcedure="false">'Data Activité Béliers'!$A$1:$M$620</definedName>
    <definedName function="false" hidden="false" localSheetId="3" name="_16_06_967" vbProcedure="false">'Data Activité Béliers'!$A$1:$L$377</definedName>
    <definedName function="false" hidden="false" localSheetId="3" name="_16_06_968" vbProcedure="false">'Data Activité Béliers'!$A$1:$L$377</definedName>
    <definedName function="false" hidden="false" localSheetId="3" name="_16_06_969" vbProcedure="false">'Data Activité Béliers'!$A$1:$M$620</definedName>
    <definedName function="false" hidden="false" localSheetId="3" name="_16_06_970" vbProcedure="false">'Data Activité Béliers'!$A$1:$M$134</definedName>
    <definedName function="false" hidden="false" localSheetId="3" name="_16_06_971" vbProcedure="false">'Data Activité Béliers'!$A$1:$M$508</definedName>
    <definedName function="false" hidden="false" localSheetId="3" name="_16_06_972" vbProcedure="false">'Data Activité Béliers'!$A$1:$L$313</definedName>
    <definedName function="false" hidden="false" localSheetId="3" name="_16_06_973" vbProcedure="false">'Data Activité Béliers'!$A$1:$K$313</definedName>
    <definedName function="false" hidden="false" localSheetId="3" name="_16_06_974" vbProcedure="false">'Data Activité Béliers'!$A$1:$L$313</definedName>
    <definedName function="false" hidden="false" localSheetId="3" name="_16_06_975" vbProcedure="false">'Data Activité Béliers'!$A$1:$M$620</definedName>
    <definedName function="false" hidden="false" localSheetId="3" name="_16_06_976" vbProcedure="false">'Data Activité Béliers'!$A$1:$L$377</definedName>
    <definedName function="false" hidden="false" localSheetId="3" name="_16_06_977" vbProcedure="false">'Data Activité Béliers'!$A$1:$M$508</definedName>
    <definedName function="false" hidden="false" localSheetId="3" name="_16_06_978" vbProcedure="false">'Data Activité Béliers'!$A$1:$L$371</definedName>
    <definedName function="false" hidden="false" localSheetId="3" name="_16_06_979" vbProcedure="false">'Data Activité Béliers'!$A$1:$L$313</definedName>
    <definedName function="false" hidden="false" localSheetId="3" name="_16_06_980" vbProcedure="false">'Data Activité Béliers'!$A$1:$M$508</definedName>
    <definedName function="false" hidden="false" localSheetId="3" name="_16_06_981" vbProcedure="false">'Data Activité Béliers'!$A$1:$M$134</definedName>
    <definedName function="false" hidden="false" localSheetId="3" name="_16_06_982" vbProcedure="false">'Data Activité Béliers'!$A$1:$M$508</definedName>
    <definedName function="false" hidden="false" localSheetId="3" name="_16_06_983" vbProcedure="false">'Data Activité Béliers'!$A$1:$L$313</definedName>
    <definedName function="false" hidden="false" localSheetId="3" name="_16_06_984" vbProcedure="false">'Data Activité Béliers'!$A$1:$L$377</definedName>
    <definedName function="false" hidden="false" localSheetId="3" name="_16_06_985" vbProcedure="false">'Data Activité Béliers'!$A$1:$M$508</definedName>
    <definedName function="false" hidden="false" localSheetId="3" name="_16_06_986" vbProcedure="false">'Data Activité Béliers'!$A$1:$M$620</definedName>
    <definedName function="false" hidden="false" localSheetId="3" name="_16_06_987" vbProcedure="false">'Data Activité Béliers'!$A$1:$M$620</definedName>
    <definedName function="false" hidden="false" localSheetId="3" name="_16_06_988" vbProcedure="false">'Data Activité Béliers'!$A$1:$L$377</definedName>
    <definedName function="false" hidden="false" localSheetId="3" name="_16_06_989" vbProcedure="false">'Data Activité Béliers'!$A$1:$L$313</definedName>
    <definedName function="false" hidden="false" localSheetId="3" name="_16_06_990" vbProcedure="false">'Data Activité Béliers'!$A$1:$M$134</definedName>
    <definedName function="false" hidden="false" localSheetId="3" name="_16_06_991" vbProcedure="false">'Data Activité Béliers'!$A$1:$M$508</definedName>
    <definedName function="false" hidden="false" localSheetId="3" name="_16_06_992" vbProcedure="false">'Data Activité Béliers'!$A$1:$L$377</definedName>
    <definedName function="false" hidden="false" localSheetId="3" name="_16_06_993" vbProcedure="false">'Data Activité Béliers'!$A$1:$L$313</definedName>
    <definedName function="false" hidden="false" localSheetId="3" name="_16_06_994" vbProcedure="false">'Data Activité Béliers'!$A$1:$L$313</definedName>
    <definedName function="false" hidden="false" localSheetId="3" name="_16_06_995" vbProcedure="false">'Data Activité Béliers'!$A$1:$L$377</definedName>
    <definedName function="false" hidden="false" localSheetId="3" name="_16_06_996" vbProcedure="false">'Data Activité Béliers'!$A$1:$M$620</definedName>
    <definedName function="false" hidden="false" localSheetId="3" name="_16_06_997" vbProcedure="false">'Data Activité Béliers'!$A$1:$M$614</definedName>
    <definedName function="false" hidden="false" localSheetId="3" name="_16_06_998" vbProcedure="false">'Data Activité Béliers'!$A$1:$K$377</definedName>
    <definedName function="false" hidden="false" localSheetId="3" name="_16_06_999" vbProcedure="false">'Data Activité Béliers'!$A$1:$L$377</definedName>
    <definedName function="false" hidden="false" localSheetId="3" name="_884151479245148968_25_05_23_3" vbProcedure="false">'Data Activité Béliers'!$A$1:$E$61</definedName>
    <definedName function="false" hidden="false" localSheetId="3" name="_884151479245148968_25_05_23_3_1" vbProcedure="false">'Data Activité Béliers'!$A$1:$E$61</definedName>
    <definedName function="false" hidden="false" localSheetId="3" name="_884151479245148968_25_05_23_3_2" vbProcedure="false">'Data Activité Béliers'!$A$1:$E$61</definedName>
    <definedName function="false" hidden="false" localSheetId="4" name="_16_06_100" vbProcedure="false">'Data Détecteur IA'!$A$1:$L$397</definedName>
    <definedName function="false" hidden="false" localSheetId="4" name="_16_06_1000" vbProcedure="false">'Data Détecteur IA'!$A$1:$L$129</definedName>
    <definedName function="false" hidden="false" localSheetId="4" name="_16_06_1001" vbProcedure="false">'Data Détecteur IA'!$A$1:$M$484</definedName>
    <definedName function="false" hidden="false" localSheetId="4" name="_16_06_1002" vbProcedure="false">'Data Détecteur IA'!$A$1:$M$372</definedName>
    <definedName function="false" hidden="false" localSheetId="4" name="_16_06_1003" vbProcedure="false">'Data Détecteur IA'!$A$1:$L$278</definedName>
    <definedName function="false" hidden="false" localSheetId="4" name="_16_06_1004" vbProcedure="false">'Data Détecteur IA'!$A$1:$I$278</definedName>
    <definedName function="false" hidden="false" localSheetId="4" name="_16_06_1005" vbProcedure="false">'Data Détecteur IA'!$A$1:$L$390</definedName>
    <definedName function="false" hidden="false" localSheetId="4" name="_16_06_1006" vbProcedure="false">'Data Détecteur IA'!$A$1:$M$484</definedName>
    <definedName function="false" hidden="false" localSheetId="4" name="_16_06_1007" vbProcedure="false">'Data Détecteur IA'!$A$1:$L$278</definedName>
    <definedName function="false" hidden="false" localSheetId="4" name="_16_06_1008" vbProcedure="false">'Data Détecteur IA'!$A$1:$L$278</definedName>
    <definedName function="false" hidden="false" localSheetId="4" name="_16_06_1009" vbProcedure="false">'Data Détecteur IA'!$A$1:$I$278</definedName>
    <definedName function="false" hidden="false" localSheetId="4" name="_16_06_101" vbProcedure="false">'Data Détecteur IA'!$A$1:$L$285</definedName>
    <definedName function="false" hidden="false" localSheetId="4" name="_16_06_1010" vbProcedure="false">'Data Détecteur IA'!$A$1:$L$129</definedName>
    <definedName function="false" hidden="false" localSheetId="4" name="_16_06_1011" vbProcedure="false">'Data Détecteur IA'!$A$1:$M$149</definedName>
    <definedName function="false" hidden="false" localSheetId="4" name="_16_06_1012" vbProcedure="false">'Data Détecteur IA'!$A$1:$L$278</definedName>
    <definedName function="false" hidden="false" localSheetId="4" name="_16_06_1013" vbProcedure="false">'Data Détecteur IA'!$A$1:$L$129</definedName>
    <definedName function="false" hidden="false" localSheetId="4" name="_16_06_1014" vbProcedure="false">'Data Détecteur IA'!$A$1:$L$278</definedName>
    <definedName function="false" hidden="false" localSheetId="4" name="_16_06_1015" vbProcedure="false">'Data Détecteur IA'!$A$1:$L$129</definedName>
    <definedName function="false" hidden="false" localSheetId="4" name="_16_06_1016" vbProcedure="false">'Data Détecteur IA'!$A$1:$L$390</definedName>
    <definedName function="false" hidden="false" localSheetId="4" name="_16_06_1017" vbProcedure="false">'Data Détecteur IA'!$A$1:$I$390</definedName>
    <definedName function="false" hidden="false" localSheetId="4" name="_16_06_1018" vbProcedure="false">'Data Détecteur IA'!$A$1:$L$278</definedName>
    <definedName function="false" hidden="false" localSheetId="4" name="_16_06_1019" vbProcedure="false">'Data Détecteur IA'!$A$1:$L$278</definedName>
    <definedName function="false" hidden="false" localSheetId="4" name="_16_06_102" vbProcedure="false">'Data Détecteur IA'!$A$1:$L$397</definedName>
    <definedName function="false" hidden="false" localSheetId="4" name="_16_06_1020" vbProcedure="false">'Data Détecteur IA'!$A$1:$M$149</definedName>
    <definedName function="false" hidden="false" localSheetId="4" name="_16_06_1021" vbProcedure="false">'Data Détecteur IA'!$A$1:$L$278</definedName>
    <definedName function="false" hidden="false" localSheetId="4" name="_16_06_1022" vbProcedure="false">'Data Détecteur IA'!$A$1:$M$484</definedName>
    <definedName function="false" hidden="false" localSheetId="4" name="_16_06_1023" vbProcedure="false">'Data Détecteur IA'!$A$1:$I$129</definedName>
    <definedName function="false" hidden="false" localSheetId="4" name="_16_06_1024" vbProcedure="false">'Data Détecteur IA'!$A$1:$M$149</definedName>
    <definedName function="false" hidden="false" localSheetId="4" name="_16_06_1025" vbProcedure="false">'Data Détecteur IA'!$A$1:$L$390</definedName>
    <definedName function="false" hidden="false" localSheetId="4" name="_16_06_1026" vbProcedure="false">'Data Détecteur IA'!$A$1:$L$129</definedName>
    <definedName function="false" hidden="false" localSheetId="4" name="_16_06_1027" vbProcedure="false">'Data Détecteur IA'!$A$1:$I$390</definedName>
    <definedName function="false" hidden="false" localSheetId="4" name="_16_06_1028" vbProcedure="false">'Data Détecteur IA'!$A$1:$I$129</definedName>
    <definedName function="false" hidden="false" localSheetId="4" name="_16_06_1029" vbProcedure="false">'Data Détecteur IA'!$A$1:$M$372</definedName>
    <definedName function="false" hidden="false" localSheetId="4" name="_16_06_103" vbProcedure="false">'Data Détecteur IA'!$A$1:$L$134</definedName>
    <definedName function="false" hidden="false" localSheetId="4" name="_16_06_1030" vbProcedure="false">'Data Détecteur IA'!$A$1:$I$390</definedName>
    <definedName function="false" hidden="false" localSheetId="4" name="_16_06_1031" vbProcedure="false">'Data Détecteur IA'!$A$1:$I$390</definedName>
    <definedName function="false" hidden="false" localSheetId="4" name="_16_06_1032" vbProcedure="false">'Data Détecteur IA'!$A$1:$L$278</definedName>
    <definedName function="false" hidden="false" localSheetId="4" name="_16_06_1033" vbProcedure="false">'Data Détecteur IA'!$A$1:$I$129</definedName>
    <definedName function="false" hidden="false" localSheetId="4" name="_16_06_1034" vbProcedure="false">'Data Détecteur IA'!$A$1:$M$372</definedName>
    <definedName function="false" hidden="false" localSheetId="4" name="_16_06_1035" vbProcedure="false">'Data Détecteur IA'!$A$1:$L$129</definedName>
    <definedName function="false" hidden="false" localSheetId="4" name="_16_06_1036" vbProcedure="false">'Data Détecteur IA'!$A$1:$I$390</definedName>
    <definedName function="false" hidden="false" localSheetId="4" name="_16_06_1037" vbProcedure="false">'Data Détecteur IA'!$A$1:$M$149</definedName>
    <definedName function="false" hidden="false" localSheetId="4" name="_16_06_1038" vbProcedure="false">'Data Détecteur IA'!$A$1:$L$390</definedName>
    <definedName function="false" hidden="false" localSheetId="4" name="_16_06_1039" vbProcedure="false">'Data Détecteur IA'!$A$1:$L$390</definedName>
    <definedName function="false" hidden="false" localSheetId="4" name="_16_06_104" vbProcedure="false">'Data Détecteur IA'!$A$1:$L$397</definedName>
    <definedName function="false" hidden="false" localSheetId="4" name="_16_06_1040" vbProcedure="false">'Data Détecteur IA'!$A$1:$L$129</definedName>
    <definedName function="false" hidden="false" localSheetId="4" name="_16_06_1041" vbProcedure="false">'Data Détecteur IA'!$A$1:$M$484</definedName>
    <definedName function="false" hidden="false" localSheetId="4" name="_16_06_1042" vbProcedure="false">'Data Détecteur IA'!$A$1:$L$278</definedName>
    <definedName function="false" hidden="false" localSheetId="4" name="_16_06_1043" vbProcedure="false">'Data Détecteur IA'!$A$1:$L$129</definedName>
    <definedName function="false" hidden="false" localSheetId="4" name="_16_06_1044" vbProcedure="false">'Data Détecteur IA'!$A$1:$L$129</definedName>
    <definedName function="false" hidden="false" localSheetId="4" name="_16_06_1045" vbProcedure="false">'Data Détecteur IA'!$A$1:$I$390</definedName>
    <definedName function="false" hidden="false" localSheetId="4" name="_16_06_1046" vbProcedure="false">'Data Détecteur IA'!$A$1:$I$390</definedName>
    <definedName function="false" hidden="false" localSheetId="4" name="_16_06_1047" vbProcedure="false">'Data Détecteur IA'!$A$1:$I$278</definedName>
    <definedName function="false" hidden="false" localSheetId="4" name="_16_06_1048" vbProcedure="false">'Data Détecteur IA'!$A$1:$I$278</definedName>
    <definedName function="false" hidden="false" localSheetId="4" name="_16_06_1049" vbProcedure="false">'Data Détecteur IA'!$A$1:$M$484</definedName>
    <definedName function="false" hidden="false" localSheetId="4" name="_16_06_105" vbProcedure="false">'Data Détecteur IA'!$A$1:$L$285</definedName>
    <definedName function="false" hidden="false" localSheetId="4" name="_16_06_1050" vbProcedure="false">'Data Détecteur IA'!$A$1:$L$278</definedName>
    <definedName function="false" hidden="false" localSheetId="4" name="_16_06_1051" vbProcedure="false">'Data Détecteur IA'!$A$1:$M$372</definedName>
    <definedName function="false" hidden="false" localSheetId="4" name="_16_06_1052" vbProcedure="false">'Data Détecteur IA'!$A$1:$L$390</definedName>
    <definedName function="false" hidden="false" localSheetId="4" name="_16_06_1053" vbProcedure="false">'Data Détecteur IA'!$A$1:$L$129</definedName>
    <definedName function="false" hidden="false" localSheetId="4" name="_16_06_1054" vbProcedure="false">'Data Détecteur IA'!$A$1:$L$390</definedName>
    <definedName function="false" hidden="false" localSheetId="4" name="_16_06_1055" vbProcedure="false">'Data Détecteur IA'!$A$1:$L$129</definedName>
    <definedName function="false" hidden="false" localSheetId="4" name="_16_06_1056" vbProcedure="false">'Data Détecteur IA'!$A$1:$M$484</definedName>
    <definedName function="false" hidden="false" localSheetId="4" name="_16_06_1057" vbProcedure="false">'Data Détecteur IA'!$A$1:$L$278</definedName>
    <definedName function="false" hidden="false" localSheetId="4" name="_16_06_1058" vbProcedure="false">'Data Détecteur IA'!$A$1:$L$390</definedName>
    <definedName function="false" hidden="false" localSheetId="4" name="_16_06_1059" vbProcedure="false">'Data Détecteur IA'!$A$1:$L$390</definedName>
    <definedName function="false" hidden="false" localSheetId="4" name="_16_06_106" vbProcedure="false">'Data Détecteur IA'!$A$1:$L$285</definedName>
    <definedName function="false" hidden="false" localSheetId="4" name="_16_06_1060" vbProcedure="false">'Data Détecteur IA'!$A$1:$L$278</definedName>
    <definedName function="false" hidden="false" localSheetId="4" name="_16_06_1061" vbProcedure="false">'Data Détecteur IA'!$A$1:$L$390</definedName>
    <definedName function="false" hidden="false" localSheetId="4" name="_16_06_1062" vbProcedure="false">'Data Détecteur IA'!$A$1:$L$390</definedName>
    <definedName function="false" hidden="false" localSheetId="4" name="_16_06_1063" vbProcedure="false">'Data Détecteur IA'!$A$1:$L$278</definedName>
    <definedName function="false" hidden="false" localSheetId="4" name="_16_06_1064" vbProcedure="false">'Data Détecteur IA'!$A$1:$I$278</definedName>
    <definedName function="false" hidden="false" localSheetId="4" name="_16_06_1065" vbProcedure="false">'Data Détecteur IA'!$A$1:$L$278</definedName>
    <definedName function="false" hidden="false" localSheetId="4" name="_16_06_1066" vbProcedure="false">'Data Détecteur IA'!$A$1:$L$129</definedName>
    <definedName function="false" hidden="false" localSheetId="4" name="_16_06_1067" vbProcedure="false">'Data Détecteur IA'!$A$1:$I$129</definedName>
    <definedName function="false" hidden="false" localSheetId="4" name="_16_06_1068" vbProcedure="false">'Data Détecteur IA'!$A$1:$M$372</definedName>
    <definedName function="false" hidden="false" localSheetId="4" name="_16_06_1069" vbProcedure="false">'Data Détecteur IA'!$A$1:$M$149</definedName>
    <definedName function="false" hidden="false" localSheetId="4" name="_16_06_107" vbProcedure="false">'Data Détecteur IA'!$A$1:$L$134</definedName>
    <definedName function="false" hidden="false" localSheetId="4" name="_16_06_1070" vbProcedure="false">'Data Détecteur IA'!$A$1:$L$278</definedName>
    <definedName function="false" hidden="false" localSheetId="4" name="_16_06_1071" vbProcedure="false">'Data Détecteur IA'!$A$1:$L$278</definedName>
    <definedName function="false" hidden="false" localSheetId="4" name="_16_06_1072" vbProcedure="false">'Data Détecteur IA'!$A$1:$I$390</definedName>
    <definedName function="false" hidden="false" localSheetId="4" name="_16_06_1073" vbProcedure="false">'Data Détecteur IA'!$A$1:$L$129</definedName>
    <definedName function="false" hidden="false" localSheetId="4" name="_16_06_1074" vbProcedure="false">'Data Détecteur IA'!$A$1:$M$484</definedName>
    <definedName function="false" hidden="false" localSheetId="4" name="_16_06_1075" vbProcedure="false">'Data Détecteur IA'!$A$1:$I$390</definedName>
    <definedName function="false" hidden="false" localSheetId="4" name="_16_06_1076" vbProcedure="false">'Data Détecteur IA'!$A$1:$I$278</definedName>
    <definedName function="false" hidden="false" localSheetId="4" name="_16_06_1077" vbProcedure="false">'Data Détecteur IA'!$A$1:$M$478</definedName>
    <definedName function="false" hidden="false" localSheetId="4" name="_16_06_1078" vbProcedure="false">'Data Détecteur IA'!$A$1:$I$129</definedName>
    <definedName function="false" hidden="false" localSheetId="4" name="_16_06_1079" vbProcedure="false">'Data Détecteur IA'!$A$1:$L$390</definedName>
    <definedName function="false" hidden="false" localSheetId="4" name="_16_06_108" vbProcedure="false">'Data Détecteur IA'!$A$1:$L$397</definedName>
    <definedName function="false" hidden="false" localSheetId="4" name="_16_06_1080" vbProcedure="false">'Data Détecteur IA'!$A$1:$L$278</definedName>
    <definedName function="false" hidden="false" localSheetId="4" name="_16_06_1081" vbProcedure="false">'Data Détecteur IA'!$A$1:$L$384</definedName>
    <definedName function="false" hidden="false" localSheetId="4" name="_16_06_1082" vbProcedure="false">'Data Détecteur IA'!$A$1:$M$372</definedName>
    <definedName function="false" hidden="false" localSheetId="4" name="_16_06_1083" vbProcedure="false">'Data Détecteur IA'!$A$1:$L$390</definedName>
    <definedName function="false" hidden="false" localSheetId="4" name="_16_06_1084" vbProcedure="false">'Data Détecteur IA'!$A$1:$M$484</definedName>
    <definedName function="false" hidden="false" localSheetId="4" name="_16_06_1085" vbProcedure="false">'Data Détecteur IA'!$A$1:$I$390</definedName>
    <definedName function="false" hidden="false" localSheetId="4" name="_16_06_1086" vbProcedure="false">'Data Détecteur IA'!$A$1:$I$390</definedName>
    <definedName function="false" hidden="false" localSheetId="4" name="_16_06_1087" vbProcedure="false">'Data Détecteur IA'!$A$1:$L$390</definedName>
    <definedName function="false" hidden="false" localSheetId="4" name="_16_06_1088" vbProcedure="false">'Data Détecteur IA'!$A$1:$L$390</definedName>
    <definedName function="false" hidden="false" localSheetId="4" name="_16_06_1089" vbProcedure="false">'Data Détecteur IA'!$A$1:$I$390</definedName>
    <definedName function="false" hidden="false" localSheetId="4" name="_16_06_109" vbProcedure="false">'Data Détecteur IA'!$A$1:$L$134</definedName>
    <definedName function="false" hidden="false" localSheetId="4" name="_16_06_1090" vbProcedure="false">'Data Détecteur IA'!$A$1:$M$149</definedName>
    <definedName function="false" hidden="false" localSheetId="4" name="_16_06_1091" vbProcedure="false">'Data Détecteur IA'!$A$1:$M$372</definedName>
    <definedName function="false" hidden="false" localSheetId="4" name="_16_06_1092" vbProcedure="false">'Data Détecteur IA'!$A$1:$L$278</definedName>
    <definedName function="false" hidden="false" localSheetId="4" name="_16_06_1093" vbProcedure="false">'Data Détecteur IA'!$A$1:$M$372</definedName>
    <definedName function="false" hidden="false" localSheetId="4" name="_16_06_1094" vbProcedure="false">'Data Détecteur IA'!$A$1:$L$129</definedName>
    <definedName function="false" hidden="false" localSheetId="4" name="_16_06_1095" vbProcedure="false">'Data Détecteur IA'!$A$1:$M$484</definedName>
    <definedName function="false" hidden="false" localSheetId="4" name="_16_06_1096" vbProcedure="false">'Data Détecteur IA'!$A$1:$L$390</definedName>
    <definedName function="false" hidden="false" localSheetId="4" name="_16_06_1097" vbProcedure="false">'Data Détecteur IA'!$A$1:$L$390</definedName>
    <definedName function="false" hidden="false" localSheetId="4" name="_16_06_1098" vbProcedure="false">'Data Détecteur IA'!$A$1:$L$129</definedName>
    <definedName function="false" hidden="false" localSheetId="4" name="_16_06_1099" vbProcedure="false">'Data Détecteur IA'!$A$1:$M$149</definedName>
    <definedName function="false" hidden="false" localSheetId="4" name="_16_06_110" vbProcedure="false">'Data Détecteur IA'!$A$1:$L$285</definedName>
    <definedName function="false" hidden="false" localSheetId="4" name="_16_06_1100" vbProcedure="false">'Data Détecteur IA'!$A$1:$I$278</definedName>
    <definedName function="false" hidden="false" localSheetId="4" name="_16_06_1101" vbProcedure="false">'Data Détecteur IA'!$A$1:$L$129</definedName>
    <definedName function="false" hidden="false" localSheetId="4" name="_16_06_1102" vbProcedure="false">'Data Détecteur IA'!$A$1:$L$390</definedName>
    <definedName function="false" hidden="false" localSheetId="4" name="_16_06_1103" vbProcedure="false">'Data Détecteur IA'!$A$1:$M$149</definedName>
    <definedName function="false" hidden="false" localSheetId="4" name="_16_06_1104" vbProcedure="false">'Data Détecteur IA'!$A$1:$L$129</definedName>
    <definedName function="false" hidden="false" localSheetId="4" name="_16_06_1105" vbProcedure="false">'Data Détecteur IA'!$A$1:$M$484</definedName>
    <definedName function="false" hidden="false" localSheetId="4" name="_16_06_1106" vbProcedure="false">'Data Détecteur IA'!$A$1:$I$129</definedName>
    <definedName function="false" hidden="false" localSheetId="4" name="_16_06_1107" vbProcedure="false">'Data Détecteur IA'!$A$1:$M$372</definedName>
    <definedName function="false" hidden="false" localSheetId="4" name="_16_06_1108" vbProcedure="false">'Data Détecteur IA'!$A$1:$M$484</definedName>
    <definedName function="false" hidden="false" localSheetId="4" name="_16_06_1109" vbProcedure="false">'Data Détecteur IA'!$A$1:$M$484</definedName>
    <definedName function="false" hidden="false" localSheetId="4" name="_16_06_111" vbProcedure="false">'Data Détecteur IA'!$A$1:$L$397</definedName>
    <definedName function="false" hidden="false" localSheetId="4" name="_16_06_1110" vbProcedure="false">'Data Détecteur IA'!$A$1:$L$390</definedName>
    <definedName function="false" hidden="false" localSheetId="4" name="_16_06_1111" vbProcedure="false">'Data Détecteur IA'!$A$1:$L$129</definedName>
    <definedName function="false" hidden="false" localSheetId="4" name="_16_06_1112" vbProcedure="false">'Data Détecteur IA'!$A$1:$L$390</definedName>
    <definedName function="false" hidden="false" localSheetId="4" name="_16_06_1113" vbProcedure="false">'Data Détecteur IA'!$A$1:$L$390</definedName>
    <definedName function="false" hidden="false" localSheetId="4" name="_16_06_1114" vbProcedure="false">'Data Détecteur IA'!$A$1:$L$390</definedName>
    <definedName function="false" hidden="false" localSheetId="4" name="_16_06_1115" vbProcedure="false">'Data Détecteur IA'!$A$1:$L$390</definedName>
    <definedName function="false" hidden="false" localSheetId="4" name="_16_06_1116" vbProcedure="false">'Data Détecteur IA'!$A$1:$L$278</definedName>
    <definedName function="false" hidden="false" localSheetId="4" name="_16_06_1117" vbProcedure="false">'Data Détecteur IA'!$A$1:$I$390</definedName>
    <definedName function="false" hidden="false" localSheetId="4" name="_16_06_1118" vbProcedure="false">'Data Détecteur IA'!$A$1:$L$129</definedName>
    <definedName function="false" hidden="false" localSheetId="4" name="_16_06_1119" vbProcedure="false">'Data Détecteur IA'!$A$1:$L$129</definedName>
    <definedName function="false" hidden="false" localSheetId="4" name="_16_06_112" vbProcedure="false">'Data Détecteur IA'!$A$1:$L$397</definedName>
    <definedName function="false" hidden="false" localSheetId="4" name="_16_06_1120" vbProcedure="false">'Data Détecteur IA'!$A$1:$I$129</definedName>
    <definedName function="false" hidden="false" localSheetId="4" name="_16_06_1121" vbProcedure="false">'Data Détecteur IA'!$A$1:$L$129</definedName>
    <definedName function="false" hidden="false" localSheetId="4" name="_16_06_1122" vbProcedure="false">'Data Détecteur IA'!$A$1:$L$278</definedName>
    <definedName function="false" hidden="false" localSheetId="4" name="_16_06_1123" vbProcedure="false">'Data Détecteur IA'!$A$1:$M$372</definedName>
    <definedName function="false" hidden="false" localSheetId="4" name="_16_06_1124" vbProcedure="false">'Data Détecteur IA'!$A$1:$M$372</definedName>
    <definedName function="false" hidden="false" localSheetId="4" name="_16_06_1125" vbProcedure="false">'Data Détecteur IA'!$A$1:$M$372</definedName>
    <definedName function="false" hidden="false" localSheetId="4" name="_16_06_1126" vbProcedure="false">'Data Détecteur IA'!$A$1:$L$129</definedName>
    <definedName function="false" hidden="false" localSheetId="4" name="_16_06_1127" vbProcedure="false">'Data Détecteur IA'!$A$1:$M$149</definedName>
    <definedName function="false" hidden="false" localSheetId="4" name="_16_06_1128" vbProcedure="false">'Data Détecteur IA'!$A$1:$L$129</definedName>
    <definedName function="false" hidden="false" localSheetId="4" name="_16_06_1129" vbProcedure="false">'Data Détecteur IA'!$A$1:$L$390</definedName>
    <definedName function="false" hidden="false" localSheetId="4" name="_16_06_113" vbProcedure="false">'Data Détecteur IA'!$A$1:$L$397</definedName>
    <definedName function="false" hidden="false" localSheetId="4" name="_16_06_114" vbProcedure="false">'Data Détecteur IA'!$A$1:$L$397</definedName>
    <definedName function="false" hidden="false" localSheetId="4" name="_16_06_115" vbProcedure="false">'Data Détecteur IA'!$A$1:$L$397</definedName>
    <definedName function="false" hidden="false" localSheetId="4" name="_16_06_116" vbProcedure="false">'Data Détecteur IA'!$A$1:$L$285</definedName>
    <definedName function="false" hidden="false" localSheetId="4" name="_16_06_117" vbProcedure="false">'Data Détecteur IA'!$A$1:$L$397</definedName>
    <definedName function="false" hidden="false" localSheetId="4" name="_16_06_118" vbProcedure="false">'Data Détecteur IA'!$A$1:$L$397</definedName>
    <definedName function="false" hidden="false" localSheetId="4" name="_16_06_119" vbProcedure="false">'Data Détecteur IA'!$A$1:$L$285</definedName>
    <definedName function="false" hidden="false" localSheetId="4" name="_16_06_120" vbProcedure="false">'Data Détecteur IA'!$A$1:$L$285</definedName>
    <definedName function="false" hidden="false" localSheetId="4" name="_16_06_121" vbProcedure="false">'Data Détecteur IA'!$A$1:$L$397</definedName>
    <definedName function="false" hidden="false" localSheetId="4" name="_16_06_122" vbProcedure="false">'Data Détecteur IA'!$A$1:$L$397</definedName>
    <definedName function="false" hidden="false" localSheetId="4" name="_16_06_123" vbProcedure="false">'Data Détecteur IA'!$A$1:$L$134</definedName>
    <definedName function="false" hidden="false" localSheetId="4" name="_16_06_124" vbProcedure="false">'Data Détecteur IA'!$A$1:$L$397</definedName>
    <definedName function="false" hidden="false" localSheetId="4" name="_16_06_125" vbProcedure="false">'Data Détecteur IA'!$A$1:$L$285</definedName>
    <definedName function="false" hidden="false" localSheetId="4" name="_16_06_126" vbProcedure="false">'Data Détecteur IA'!$A$1:$L$397</definedName>
    <definedName function="false" hidden="false" localSheetId="4" name="_16_06_127" vbProcedure="false">'Data Détecteur IA'!$A$1:$L$134</definedName>
    <definedName function="false" hidden="false" localSheetId="4" name="_16_06_128" vbProcedure="false">'Data Détecteur IA'!$A$1:$L$134</definedName>
    <definedName function="false" hidden="false" localSheetId="4" name="_16_06_129" vbProcedure="false">'Data Détecteur IA'!$A$1:$L$285</definedName>
    <definedName function="false" hidden="false" localSheetId="4" name="_16_06_130" vbProcedure="false">'Data Détecteur IA'!$A$1:$L$285</definedName>
    <definedName function="false" hidden="false" localSheetId="4" name="_16_06_131" vbProcedure="false">'Data Détecteur IA'!$A$1:$L$285</definedName>
    <definedName function="false" hidden="false" localSheetId="4" name="_16_06_132" vbProcedure="false">'Data Détecteur IA'!$A$1:$L$397</definedName>
    <definedName function="false" hidden="false" localSheetId="4" name="_16_06_133" vbProcedure="false">'Data Détecteur IA'!$A$1:$L$397</definedName>
    <definedName function="false" hidden="false" localSheetId="4" name="_16_06_134" vbProcedure="false">'Data Détecteur IA'!$A$1:$L$285</definedName>
    <definedName function="false" hidden="false" localSheetId="4" name="_16_06_135" vbProcedure="false">'Data Détecteur IA'!$A$1:$L$134</definedName>
    <definedName function="false" hidden="false" localSheetId="4" name="_16_06_136" vbProcedure="false">'Data Détecteur IA'!$A$1:$L$285</definedName>
    <definedName function="false" hidden="false" localSheetId="4" name="_16_06_137" vbProcedure="false">'Data Détecteur IA'!$A$1:$L$397</definedName>
    <definedName function="false" hidden="false" localSheetId="4" name="_16_06_138" vbProcedure="false">'Data Détecteur IA'!$A$1:$L$397</definedName>
    <definedName function="false" hidden="false" localSheetId="4" name="_16_06_139" vbProcedure="false">'Data Détecteur IA'!$A$1:$L$397</definedName>
    <definedName function="false" hidden="false" localSheetId="4" name="_16_06_140" vbProcedure="false">'Data Détecteur IA'!$A$1:$L$134</definedName>
    <definedName function="false" hidden="false" localSheetId="4" name="_16_06_141" vbProcedure="false">'Data Détecteur IA'!$A$1:$L$285</definedName>
    <definedName function="false" hidden="false" localSheetId="4" name="_16_06_142" vbProcedure="false">'Data Détecteur IA'!$A$1:$L$391</definedName>
    <definedName function="false" hidden="false" localSheetId="4" name="_16_06_143" vbProcedure="false">'Data Détecteur IA'!$A$1:$L$285</definedName>
    <definedName function="false" hidden="false" localSheetId="4" name="_16_06_144" vbProcedure="false">'Data Détecteur IA'!$A$1:$L$285</definedName>
    <definedName function="false" hidden="false" localSheetId="4" name="_16_06_145" vbProcedure="false">'Data Détecteur IA'!$A$1:$L$134</definedName>
    <definedName function="false" hidden="false" localSheetId="4" name="_16_06_146" vbProcedure="false">'Data Détecteur IA'!$A$1:$L$285</definedName>
    <definedName function="false" hidden="false" localSheetId="4" name="_16_06_147" vbProcedure="false">'Data Détecteur IA'!$A$1:$L$134</definedName>
    <definedName function="false" hidden="false" localSheetId="4" name="_16_06_148" vbProcedure="false">'Data Détecteur IA'!$A$1:$L$397</definedName>
    <definedName function="false" hidden="false" localSheetId="4" name="_16_06_149" vbProcedure="false">'Data Détecteur IA'!$A$1:$L$397</definedName>
    <definedName function="false" hidden="false" localSheetId="4" name="_16_06_150" vbProcedure="false">'Data Détecteur IA'!$A$1:$L$397</definedName>
    <definedName function="false" hidden="false" localSheetId="4" name="_16_06_151" vbProcedure="false">'Data Détecteur IA'!$A$1:$L$285</definedName>
    <definedName function="false" hidden="false" localSheetId="4" name="_16_06_152" vbProcedure="false">'Data Détecteur IA'!$A$1:$L$397</definedName>
    <definedName function="false" hidden="false" localSheetId="4" name="_16_06_153" vbProcedure="false">'Data Détecteur IA'!$A$1:$L$134</definedName>
    <definedName function="false" hidden="false" localSheetId="4" name="_16_06_154" vbProcedure="false">'Data Détecteur IA'!$A$1:$L$397</definedName>
    <definedName function="false" hidden="false" localSheetId="4" name="_16_06_155" vbProcedure="false">'Data Détecteur IA'!$A$1:$L$285</definedName>
    <definedName function="false" hidden="false" localSheetId="4" name="_16_06_156" vbProcedure="false">'Data Détecteur IA'!$A$1:$L$285</definedName>
    <definedName function="false" hidden="false" localSheetId="4" name="_16_06_157" vbProcedure="false">'Data Détecteur IA'!$A$1:$L$285</definedName>
    <definedName function="false" hidden="false" localSheetId="4" name="_16_06_158" vbProcedure="false">'Data Détecteur IA'!$A$1:$L$285</definedName>
    <definedName function="false" hidden="false" localSheetId="4" name="_16_06_159" vbProcedure="false">'Data Détecteur IA'!$A$1:$L$134</definedName>
    <definedName function="false" hidden="false" localSheetId="4" name="_16_06_160" vbProcedure="false">'Data Détecteur IA'!$A$1:$L$134</definedName>
    <definedName function="false" hidden="false" localSheetId="4" name="_16_06_161" vbProcedure="false">'Data Détecteur IA'!$A$1:$L$397</definedName>
    <definedName function="false" hidden="false" localSheetId="4" name="_16_06_162" vbProcedure="false">'Data Détecteur IA'!$A$1:$L$134</definedName>
    <definedName function="false" hidden="false" localSheetId="4" name="_16_06_163" vbProcedure="false">'Data Détecteur IA'!$A$1:$L$285</definedName>
    <definedName function="false" hidden="false" localSheetId="4" name="_16_06_164" vbProcedure="false">'Data Détecteur IA'!$A$1:$L$397</definedName>
    <definedName function="false" hidden="false" localSheetId="4" name="_16_06_165" vbProcedure="false">'Data Détecteur IA'!$A$1:$L$285</definedName>
    <definedName function="false" hidden="false" localSheetId="4" name="_16_06_166" vbProcedure="false">'Data Détecteur IA'!$A$1:$L$397</definedName>
    <definedName function="false" hidden="false" localSheetId="4" name="_16_06_167" vbProcedure="false">'Data Détecteur IA'!$A$1:$L$397</definedName>
    <definedName function="false" hidden="false" localSheetId="4" name="_16_06_168" vbProcedure="false">'Data Détecteur IA'!$A$1:$L$134</definedName>
    <definedName function="false" hidden="false" localSheetId="4" name="_16_06_169" vbProcedure="false">'Data Détecteur IA'!$A$1:$L$397</definedName>
    <definedName function="false" hidden="false" localSheetId="4" name="_16_06_170" vbProcedure="false">'Data Détecteur IA'!$A$1:$L$397</definedName>
    <definedName function="false" hidden="false" localSheetId="4" name="_16_06_171" vbProcedure="false">'Data Détecteur IA'!$A$1:$L$397</definedName>
    <definedName function="false" hidden="false" localSheetId="4" name="_16_06_172" vbProcedure="false">'Data Détecteur IA'!$A$1:$L$397</definedName>
    <definedName function="false" hidden="false" localSheetId="4" name="_16_06_173" vbProcedure="false">'Data Détecteur IA'!$A$1:$L$397</definedName>
    <definedName function="false" hidden="false" localSheetId="4" name="_16_06_174" vbProcedure="false">'Data Détecteur IA'!$A$1:$L$285</definedName>
    <definedName function="false" hidden="false" localSheetId="4" name="_16_06_175" vbProcedure="false">'Data Détecteur IA'!$A$1:$L$397</definedName>
    <definedName function="false" hidden="false" localSheetId="4" name="_16_06_176" vbProcedure="false">'Data Détecteur IA'!$A$1:$L$397</definedName>
    <definedName function="false" hidden="false" localSheetId="4" name="_16_06_177" vbProcedure="false">'Data Détecteur IA'!$A$1:$L$285</definedName>
    <definedName function="false" hidden="false" localSheetId="4" name="_16_06_178" vbProcedure="false">'Data Détecteur IA'!$A$1:$L$285</definedName>
    <definedName function="false" hidden="false" localSheetId="4" name="_16_06_179" vbProcedure="false">'Data Détecteur IA'!$A$1:$L$391</definedName>
    <definedName function="false" hidden="false" localSheetId="4" name="_16_06_180" vbProcedure="false">'Data Détecteur IA'!$A$1:$L$397</definedName>
    <definedName function="false" hidden="false" localSheetId="4" name="_16_06_181" vbProcedure="false">'Data Détecteur IA'!$A$1:$L$285</definedName>
    <definedName function="false" hidden="false" localSheetId="4" name="_16_06_182" vbProcedure="false">'Data Détecteur IA'!$A$1:$L$285</definedName>
    <definedName function="false" hidden="false" localSheetId="4" name="_16_06_183" vbProcedure="false">'Data Détecteur IA'!$A$1:$L$397</definedName>
    <definedName function="false" hidden="false" localSheetId="4" name="_16_06_184" vbProcedure="false">'Data Détecteur IA'!$A$1:$L$397</definedName>
    <definedName function="false" hidden="false" localSheetId="4" name="_16_06_185" vbProcedure="false">'Data Détecteur IA'!$A$1:$L$397</definedName>
    <definedName function="false" hidden="false" localSheetId="4" name="_16_06_186" vbProcedure="false">'Data Détecteur IA'!$A$1:$L$397</definedName>
    <definedName function="false" hidden="false" localSheetId="4" name="_16_06_187" vbProcedure="false">'Data Détecteur IA'!$A$1:$L$397</definedName>
    <definedName function="false" hidden="false" localSheetId="4" name="_16_06_188" vbProcedure="false">'Data Détecteur IA'!$A$1:$L$285</definedName>
    <definedName function="false" hidden="false" localSheetId="4" name="_16_06_189" vbProcedure="false">'Data Détecteur IA'!$A$1:$L$397</definedName>
    <definedName function="false" hidden="false" localSheetId="4" name="_16_06_190" vbProcedure="false">'Data Détecteur IA'!$A$1:$L$397</definedName>
    <definedName function="false" hidden="false" localSheetId="4" name="_16_06_191" vbProcedure="false">'Data Détecteur IA'!$A$1:$L$397</definedName>
    <definedName function="false" hidden="false" localSheetId="4" name="_16_06_192" vbProcedure="false">'Data Détecteur IA'!$A$1:$L$397</definedName>
    <definedName function="false" hidden="false" localSheetId="4" name="_16_06_193" vbProcedure="false">'Data Détecteur IA'!$A$1:$L$285</definedName>
    <definedName function="false" hidden="false" localSheetId="4" name="_16_06_194" vbProcedure="false">'Data Détecteur IA'!$A$1:$L$391</definedName>
    <definedName function="false" hidden="false" localSheetId="4" name="_16_06_195" vbProcedure="false">'Data Détecteur IA'!$A$1:$L$134</definedName>
    <definedName function="false" hidden="false" localSheetId="4" name="_16_06_196" vbProcedure="false">'Data Détecteur IA'!$A$1:$L$134</definedName>
    <definedName function="false" hidden="false" localSheetId="4" name="_16_06_197" vbProcedure="false">'Data Détecteur IA'!$A$1:$L$397</definedName>
    <definedName function="false" hidden="false" localSheetId="4" name="_16_06_198" vbProcedure="false">'Data Détecteur IA'!$A$1:$L$397</definedName>
    <definedName function="false" hidden="false" localSheetId="4" name="_16_06_199" vbProcedure="false">'Data Détecteur IA'!$A$1:$L$285</definedName>
    <definedName function="false" hidden="false" localSheetId="4" name="_16_06_200" vbProcedure="false">'Data Détecteur IA'!$A$1:$L$397</definedName>
    <definedName function="false" hidden="false" localSheetId="4" name="_16_06_201" vbProcedure="false">'Data Détecteur IA'!$A$1:$L$285</definedName>
    <definedName function="false" hidden="false" localSheetId="4" name="_16_06_202" vbProcedure="false">'Data Détecteur IA'!$A$1:$L$397</definedName>
    <definedName function="false" hidden="false" localSheetId="4" name="_16_06_203" vbProcedure="false">'Data Détecteur IA'!$A$1:$L$285</definedName>
    <definedName function="false" hidden="false" localSheetId="4" name="_16_06_204" vbProcedure="false">'Data Détecteur IA'!$A$1:$L$397</definedName>
    <definedName function="false" hidden="false" localSheetId="4" name="_16_06_205" vbProcedure="false">'Data Détecteur IA'!$A$1:$L$391</definedName>
    <definedName function="false" hidden="false" localSheetId="4" name="_16_06_206" vbProcedure="false">'Data Détecteur IA'!$A$1:$L$134</definedName>
    <definedName function="false" hidden="false" localSheetId="4" name="_16_06_207" vbProcedure="false">'Data Détecteur IA'!$A$1:$L$134</definedName>
    <definedName function="false" hidden="false" localSheetId="4" name="_16_06_208" vbProcedure="false">'Data Détecteur IA'!$A$1:$L$285</definedName>
    <definedName function="false" hidden="false" localSheetId="4" name="_16_06_209" vbProcedure="false">'Data Détecteur IA'!$A$1:$L$285</definedName>
    <definedName function="false" hidden="false" localSheetId="4" name="_16_06_210" vbProcedure="false">'Data Détecteur IA'!$A$1:$L$397</definedName>
    <definedName function="false" hidden="false" localSheetId="4" name="_16_06_211" vbProcedure="false">'Data Détecteur IA'!$A$1:$L$397</definedName>
    <definedName function="false" hidden="false" localSheetId="4" name="_16_06_212" vbProcedure="false">'Data Détecteur IA'!$A$1:$L$285</definedName>
    <definedName function="false" hidden="false" localSheetId="4" name="_16_06_213" vbProcedure="false">'Data Détecteur IA'!$A$1:$L$134</definedName>
    <definedName function="false" hidden="false" localSheetId="4" name="_16_06_214" vbProcedure="false">'Data Détecteur IA'!$A$1:$L$397</definedName>
    <definedName function="false" hidden="false" localSheetId="4" name="_16_06_215" vbProcedure="false">'Data Détecteur IA'!$A$1:$L$397</definedName>
    <definedName function="false" hidden="false" localSheetId="4" name="_16_06_216" vbProcedure="false">'Data Détecteur IA'!$A$1:$L$134</definedName>
    <definedName function="false" hidden="false" localSheetId="4" name="_16_06_217" vbProcedure="false">'Data Détecteur IA'!$A$1:$L$397</definedName>
    <definedName function="false" hidden="false" localSheetId="4" name="_16_06_218" vbProcedure="false">'Data Détecteur IA'!$A$1:$L$285</definedName>
    <definedName function="false" hidden="false" localSheetId="4" name="_16_06_219" vbProcedure="false">'Data Détecteur IA'!$A$1:$L$397</definedName>
    <definedName function="false" hidden="false" localSheetId="4" name="_16_06_22" vbProcedure="false">'Data Détecteur IA'!$A$1:$L$265</definedName>
    <definedName function="false" hidden="false" localSheetId="4" name="_16_06_220" vbProcedure="false">'Data Détecteur IA'!$A$1:$L$285</definedName>
    <definedName function="false" hidden="false" localSheetId="4" name="_16_06_221" vbProcedure="false">'Data Détecteur IA'!$A$1:$L$285</definedName>
    <definedName function="false" hidden="false" localSheetId="4" name="_16_06_222" vbProcedure="false">'Data Détecteur IA'!$A$1:$L$285</definedName>
    <definedName function="false" hidden="false" localSheetId="4" name="_16_06_223" vbProcedure="false">'Data Détecteur IA'!$A$1:$L$397</definedName>
    <definedName function="false" hidden="false" localSheetId="4" name="_16_06_224" vbProcedure="false">'Data Détecteur IA'!$A$1:$L$285</definedName>
    <definedName function="false" hidden="false" localSheetId="4" name="_16_06_225" vbProcedure="false">'Data Détecteur IA'!$A$1:$L$285</definedName>
    <definedName function="false" hidden="false" localSheetId="4" name="_16_06_226" vbProcedure="false">'Data Détecteur IA'!$A$1:$L$134</definedName>
    <definedName function="false" hidden="false" localSheetId="4" name="_16_06_227" vbProcedure="false">'Data Détecteur IA'!$A$1:$L$134</definedName>
    <definedName function="false" hidden="false" localSheetId="4" name="_16_06_228" vbProcedure="false">'Data Détecteur IA'!$A$1:$L$285</definedName>
    <definedName function="false" hidden="false" localSheetId="4" name="_16_06_229" vbProcedure="false">'Data Détecteur IA'!$A$1:$L$285</definedName>
    <definedName function="false" hidden="false" localSheetId="4" name="_16_06_23" vbProcedure="false">'Data Détecteur IA'!$A$1:$L$371</definedName>
    <definedName function="false" hidden="false" localSheetId="4" name="_16_06_230" vbProcedure="false">'Data Détecteur IA'!$A$1:$L$397</definedName>
    <definedName function="false" hidden="false" localSheetId="4" name="_16_06_231" vbProcedure="false">'Data Détecteur IA'!$A$1:$L$397</definedName>
    <definedName function="false" hidden="false" localSheetId="4" name="_16_06_232" vbProcedure="false">'Data Détecteur IA'!$A$1:$L$391</definedName>
    <definedName function="false" hidden="false" localSheetId="4" name="_16_06_233" vbProcedure="false">'Data Détecteur IA'!$A$1:$L$397</definedName>
    <definedName function="false" hidden="false" localSheetId="4" name="_16_06_234" vbProcedure="false">'Data Détecteur IA'!$A$1:$L$397</definedName>
    <definedName function="false" hidden="false" localSheetId="4" name="_16_06_235" vbProcedure="false">'Data Détecteur IA'!$A$1:$L$285</definedName>
    <definedName function="false" hidden="false" localSheetId="4" name="_16_06_236" vbProcedure="false">'Data Détecteur IA'!$A$1:$L$397</definedName>
    <definedName function="false" hidden="false" localSheetId="4" name="_16_06_237" vbProcedure="false">'Data Détecteur IA'!$A$1:$L$397</definedName>
    <definedName function="false" hidden="false" localSheetId="4" name="_16_06_238" vbProcedure="false">'Data Détecteur IA'!$A$1:$L$397</definedName>
    <definedName function="false" hidden="false" localSheetId="4" name="_16_06_239" vbProcedure="false">'Data Détecteur IA'!$A$1:$L$134</definedName>
    <definedName function="false" hidden="false" localSheetId="4" name="_16_06_24" vbProcedure="false">'Data Détecteur IA'!$A$1:$L$371</definedName>
    <definedName function="false" hidden="false" localSheetId="4" name="_16_06_240" vbProcedure="false">'Data Détecteur IA'!$A$1:$L$134</definedName>
    <definedName function="false" hidden="false" localSheetId="4" name="_16_06_241" vbProcedure="false">'Data Détecteur IA'!$A$1:$L$285</definedName>
    <definedName function="false" hidden="false" localSheetId="4" name="_16_06_242" vbProcedure="false">'Data Détecteur IA'!$A$1:$L$471</definedName>
    <definedName function="false" hidden="false" localSheetId="4" name="_16_06_243" vbProcedure="false">'Data Détecteur IA'!$A$1:$L$471</definedName>
    <definedName function="false" hidden="false" localSheetId="4" name="_16_06_244" vbProcedure="false">'Data Détecteur IA'!$A$1:$L$359</definedName>
    <definedName function="false" hidden="false" localSheetId="4" name="_16_06_245" vbProcedure="false">'Data Détecteur IA'!$A$1:$L$471</definedName>
    <definedName function="false" hidden="false" localSheetId="4" name="_16_06_246" vbProcedure="false">'Data Détecteur IA'!$A$1:$L$471</definedName>
    <definedName function="false" hidden="false" localSheetId="4" name="_16_06_247" vbProcedure="false">'Data Détecteur IA'!$A$1:$L$149</definedName>
    <definedName function="false" hidden="false" localSheetId="4" name="_16_06_248" vbProcedure="false">'Data Détecteur IA'!$A$1:$L$149</definedName>
    <definedName function="false" hidden="false" localSheetId="4" name="_16_06_249" vbProcedure="false">'Data Détecteur IA'!$A$1:$L$359</definedName>
    <definedName function="false" hidden="false" localSheetId="4" name="_16_06_25" vbProcedure="false">'Data Détecteur IA'!$A$1:$L$377</definedName>
    <definedName function="false" hidden="false" localSheetId="4" name="_16_06_250" vbProcedure="false">'Data Détecteur IA'!$A$1:$L$359</definedName>
    <definedName function="false" hidden="false" localSheetId="4" name="_16_06_251" vbProcedure="false">'Data Détecteur IA'!$A$1:$L$471</definedName>
    <definedName function="false" hidden="false" localSheetId="4" name="_16_06_252" vbProcedure="false">'Data Détecteur IA'!$A$1:$L$471</definedName>
    <definedName function="false" hidden="false" localSheetId="4" name="_16_06_253" vbProcedure="false">'Data Détecteur IA'!$A$1:$L$149</definedName>
    <definedName function="false" hidden="false" localSheetId="4" name="_16_06_254" vbProcedure="false">'Data Détecteur IA'!$A$1:$L$359</definedName>
    <definedName function="false" hidden="false" localSheetId="4" name="_16_06_255" vbProcedure="false">'Data Détecteur IA'!$A$1:$L$359</definedName>
    <definedName function="false" hidden="false" localSheetId="4" name="_16_06_256" vbProcedure="false">'Data Détecteur IA'!$A$1:$L$149</definedName>
    <definedName function="false" hidden="false" localSheetId="4" name="_16_06_257" vbProcedure="false">'Data Détecteur IA'!$A$1:$L$149</definedName>
    <definedName function="false" hidden="false" localSheetId="4" name="_16_06_258" vbProcedure="false">'Data Détecteur IA'!$A$1:$L$471</definedName>
    <definedName function="false" hidden="false" localSheetId="4" name="_16_06_259" vbProcedure="false">'Data Détecteur IA'!$A$1:$L$359</definedName>
    <definedName function="false" hidden="false" localSheetId="4" name="_16_06_26" vbProcedure="false">'Data Détecteur IA'!$A$1:$L$265</definedName>
    <definedName function="false" hidden="false" localSheetId="4" name="_16_06_260" vbProcedure="false">'Data Détecteur IA'!$A$1:$L$359</definedName>
    <definedName function="false" hidden="false" localSheetId="4" name="_16_06_261" vbProcedure="false">'Data Détecteur IA'!$A$1:$L$359</definedName>
    <definedName function="false" hidden="false" localSheetId="4" name="_16_06_262" vbProcedure="false">'Data Détecteur IA'!$A$1:$L$359</definedName>
    <definedName function="false" hidden="false" localSheetId="4" name="_16_06_263" vbProcedure="false">'Data Détecteur IA'!$A$1:$L$471</definedName>
    <definedName function="false" hidden="false" localSheetId="4" name="_16_06_264" vbProcedure="false">'Data Détecteur IA'!$A$1:$L$471</definedName>
    <definedName function="false" hidden="false" localSheetId="4" name="_16_06_265" vbProcedure="false">'Data Détecteur IA'!$A$1:$L$471</definedName>
    <definedName function="false" hidden="false" localSheetId="4" name="_16_06_266" vbProcedure="false">'Data Détecteur IA'!$A$1:$L$471</definedName>
    <definedName function="false" hidden="false" localSheetId="4" name="_16_06_267" vbProcedure="false">'Data Détecteur IA'!$A$1:$L$359</definedName>
    <definedName function="false" hidden="false" localSheetId="4" name="_16_06_268" vbProcedure="false">'Data Détecteur IA'!$A$1:$L$471</definedName>
    <definedName function="false" hidden="false" localSheetId="4" name="_16_06_269" vbProcedure="false">'Data Détecteur IA'!$A$1:$L$471</definedName>
    <definedName function="false" hidden="false" localSheetId="4" name="_16_06_27" vbProcedure="false">'Data Détecteur IA'!$A$1:$L$265</definedName>
    <definedName function="false" hidden="false" localSheetId="4" name="_16_06_270" vbProcedure="false">'Data Détecteur IA'!$A$1:$L$471</definedName>
    <definedName function="false" hidden="false" localSheetId="4" name="_16_06_271" vbProcedure="false">'Data Détecteur IA'!$A$1:$L$471</definedName>
    <definedName function="false" hidden="false" localSheetId="4" name="_16_06_272" vbProcedure="false">'Data Détecteur IA'!$A$1:$L$359</definedName>
    <definedName function="false" hidden="false" localSheetId="4" name="_16_06_273" vbProcedure="false">'Data Détecteur IA'!$A$1:$L$471</definedName>
    <definedName function="false" hidden="false" localSheetId="4" name="_16_06_274" vbProcedure="false">'Data Détecteur IA'!$A$1:$L$465</definedName>
    <definedName function="false" hidden="false" localSheetId="4" name="_16_06_275" vbProcedure="false">'Data Détecteur IA'!$A$1:$L$149</definedName>
    <definedName function="false" hidden="false" localSheetId="4" name="_16_06_276" vbProcedure="false">'Data Détecteur IA'!$A$1:$L$359</definedName>
    <definedName function="false" hidden="false" localSheetId="4" name="_16_06_277" vbProcedure="false">'Data Détecteur IA'!$A$1:$L$471</definedName>
    <definedName function="false" hidden="false" localSheetId="4" name="_16_06_278" vbProcedure="false">'Data Détecteur IA'!$A$1:$L$471</definedName>
    <definedName function="false" hidden="false" localSheetId="4" name="_16_06_279" vbProcedure="false">'Data Détecteur IA'!$A$1:$L$359</definedName>
    <definedName function="false" hidden="false" localSheetId="4" name="_16_06_28" vbProcedure="false">'Data Détecteur IA'!$A$1:$L$377</definedName>
    <definedName function="false" hidden="false" localSheetId="4" name="_16_06_280" vbProcedure="false">'Data Détecteur IA'!$A$1:$L$149</definedName>
    <definedName function="false" hidden="false" localSheetId="4" name="_16_06_281" vbProcedure="false">'Data Détecteur IA'!$A$1:$L$471</definedName>
    <definedName function="false" hidden="false" localSheetId="4" name="_16_06_282" vbProcedure="false">'Data Détecteur IA'!$A$1:$L$471</definedName>
    <definedName function="false" hidden="false" localSheetId="4" name="_16_06_283" vbProcedure="false">'Data Détecteur IA'!$A$1:$L$359</definedName>
    <definedName function="false" hidden="false" localSheetId="4" name="_16_06_284" vbProcedure="false">'Data Détecteur IA'!$A$1:$L$149</definedName>
    <definedName function="false" hidden="false" localSheetId="4" name="_16_06_285" vbProcedure="false">'Data Détecteur IA'!$A$1:$L$465</definedName>
    <definedName function="false" hidden="false" localSheetId="4" name="_16_06_286" vbProcedure="false">'Data Détecteur IA'!$A$1:$L$471</definedName>
    <definedName function="false" hidden="false" localSheetId="4" name="_16_06_287" vbProcedure="false">'Data Détecteur IA'!$A$1:$L$471</definedName>
    <definedName function="false" hidden="false" localSheetId="4" name="_16_06_288" vbProcedure="false">'Data Détecteur IA'!$A$1:$L$359</definedName>
    <definedName function="false" hidden="false" localSheetId="4" name="_16_06_289" vbProcedure="false">'Data Détecteur IA'!$A$1:$L$149</definedName>
    <definedName function="false" hidden="false" localSheetId="4" name="_16_06_29" vbProcedure="false">'Data Détecteur IA'!$A$1:$L$377</definedName>
    <definedName function="false" hidden="false" localSheetId="4" name="_16_06_290" vbProcedure="false">'Data Détecteur IA'!$A$1:$L$471</definedName>
    <definedName function="false" hidden="false" localSheetId="4" name="_16_06_291" vbProcedure="false">'Data Détecteur IA'!$A$1:$L$359</definedName>
    <definedName function="false" hidden="false" localSheetId="4" name="_16_06_292" vbProcedure="false">'Data Détecteur IA'!$A$1:$L$471</definedName>
    <definedName function="false" hidden="false" localSheetId="4" name="_16_06_293" vbProcedure="false">'Data Détecteur IA'!$A$1:$L$471</definedName>
    <definedName function="false" hidden="false" localSheetId="4" name="_16_06_294" vbProcedure="false">'Data Détecteur IA'!$A$1:$L$359</definedName>
    <definedName function="false" hidden="false" localSheetId="4" name="_16_06_295" vbProcedure="false">'Data Détecteur IA'!$A$1:$L$359</definedName>
    <definedName function="false" hidden="false" localSheetId="4" name="_16_06_296" vbProcedure="false">'Data Détecteur IA'!$A$1:$L$149</definedName>
    <definedName function="false" hidden="false" localSheetId="4" name="_16_06_297" vbProcedure="false">'Data Détecteur IA'!$A$1:$L$471</definedName>
    <definedName function="false" hidden="false" localSheetId="4" name="_16_06_298" vbProcedure="false">'Data Détecteur IA'!$A$1:$L$149</definedName>
    <definedName function="false" hidden="false" localSheetId="4" name="_16_06_299" vbProcedure="false">'Data Détecteur IA'!$A$1:$L$359</definedName>
    <definedName function="false" hidden="false" localSheetId="4" name="_16_06_30" vbProcedure="false">'Data Détecteur IA'!$A$1:$L$377</definedName>
    <definedName function="false" hidden="false" localSheetId="4" name="_16_06_300" vbProcedure="false">'Data Détecteur IA'!$A$1:$L$359</definedName>
    <definedName function="false" hidden="false" localSheetId="4" name="_16_06_301" vbProcedure="false">'Data Détecteur IA'!$A$1:$L$149</definedName>
    <definedName function="false" hidden="false" localSheetId="4" name="_16_06_302" vbProcedure="false">'Data Détecteur IA'!$A$1:$L$471</definedName>
    <definedName function="false" hidden="false" localSheetId="4" name="_16_06_303" vbProcedure="false">'Data Détecteur IA'!$A$1:$L$149</definedName>
    <definedName function="false" hidden="false" localSheetId="4" name="_16_06_304" vbProcedure="false">'Data Détecteur IA'!$A$1:$L$359</definedName>
    <definedName function="false" hidden="false" localSheetId="4" name="_16_06_305" vbProcedure="false">'Data Détecteur IA'!$A$1:$L$471</definedName>
    <definedName function="false" hidden="false" localSheetId="4" name="_16_06_306" vbProcedure="false">'Data Détecteur IA'!$A$1:$L$359</definedName>
    <definedName function="false" hidden="false" localSheetId="4" name="_16_06_307" vbProcedure="false">'Data Détecteur IA'!$A$1:$L$471</definedName>
    <definedName function="false" hidden="false" localSheetId="4" name="_16_06_308" vbProcedure="false">'Data Détecteur IA'!$A$1:$L$149</definedName>
    <definedName function="false" hidden="false" localSheetId="4" name="_16_06_309" vbProcedure="false">'Data Détecteur IA'!$A$1:$L$471</definedName>
    <definedName function="false" hidden="false" localSheetId="4" name="_16_06_31" vbProcedure="false">'Data Détecteur IA'!$A$1:$L$377</definedName>
    <definedName function="false" hidden="false" localSheetId="4" name="_16_06_310" vbProcedure="false">'Data Détecteur IA'!$A$1:$L$465</definedName>
    <definedName function="false" hidden="false" localSheetId="4" name="_16_06_311" vbProcedure="false">'Data Détecteur IA'!$A$1:$L$471</definedName>
    <definedName function="false" hidden="false" localSheetId="4" name="_16_06_312" vbProcedure="false">'Data Détecteur IA'!$A$1:$L$465</definedName>
    <definedName function="false" hidden="false" localSheetId="4" name="_16_06_313" vbProcedure="false">'Data Détecteur IA'!$A$1:$L$359</definedName>
    <definedName function="false" hidden="false" localSheetId="4" name="_16_06_314" vbProcedure="false">'Data Détecteur IA'!$A$1:$L$471</definedName>
    <definedName function="false" hidden="false" localSheetId="4" name="_16_06_315" vbProcedure="false">'Data Détecteur IA'!$A$1:$L$471</definedName>
    <definedName function="false" hidden="false" localSheetId="4" name="_16_06_316" vbProcedure="false">'Data Détecteur IA'!$A$1:$L$359</definedName>
    <definedName function="false" hidden="false" localSheetId="4" name="_16_06_317" vbProcedure="false">'Data Détecteur IA'!$A$1:$L$471</definedName>
    <definedName function="false" hidden="false" localSheetId="4" name="_16_06_318" vbProcedure="false">'Data Détecteur IA'!$A$1:$L$359</definedName>
    <definedName function="false" hidden="false" localSheetId="4" name="_16_06_319" vbProcedure="false">'Data Détecteur IA'!$A$1:$L$471</definedName>
    <definedName function="false" hidden="false" localSheetId="4" name="_16_06_32" vbProcedure="false">'Data Détecteur IA'!$A$1:$L$129</definedName>
    <definedName function="false" hidden="false" localSheetId="4" name="_16_06_320" vbProcedure="false">'Data Détecteur IA'!$A$1:$L$471</definedName>
    <definedName function="false" hidden="false" localSheetId="4" name="_16_06_321" vbProcedure="false">'Data Détecteur IA'!$A$1:$L$471</definedName>
    <definedName function="false" hidden="false" localSheetId="4" name="_16_06_322" vbProcedure="false">'Data Détecteur IA'!$A$1:$L$471</definedName>
    <definedName function="false" hidden="false" localSheetId="4" name="_16_06_323" vbProcedure="false">'Data Détecteur IA'!$A$1:$L$471</definedName>
    <definedName function="false" hidden="false" localSheetId="4" name="_16_06_324" vbProcedure="false">'Data Détecteur IA'!$A$1:$L$359</definedName>
    <definedName function="false" hidden="false" localSheetId="4" name="_16_06_325" vbProcedure="false">'Data Détecteur IA'!$A$1:$L$471</definedName>
    <definedName function="false" hidden="false" localSheetId="4" name="_16_06_326" vbProcedure="false">'Data Détecteur IA'!$A$1:$L$359</definedName>
    <definedName function="false" hidden="false" localSheetId="4" name="_16_06_327" vbProcedure="false">'Data Détecteur IA'!$A$1:$L$149</definedName>
    <definedName function="false" hidden="false" localSheetId="4" name="_16_06_328" vbProcedure="false">'Data Détecteur IA'!$A$1:$L$471</definedName>
    <definedName function="false" hidden="false" localSheetId="4" name="_16_06_329" vbProcedure="false">'Data Détecteur IA'!$A$1:$L$471</definedName>
    <definedName function="false" hidden="false" localSheetId="4" name="_16_06_33" vbProcedure="false">'Data Détecteur IA'!$A$1:$L$129</definedName>
    <definedName function="false" hidden="false" localSheetId="4" name="_16_06_330" vbProcedure="false">'Data Détecteur IA'!$A$1:$L$465</definedName>
    <definedName function="false" hidden="false" localSheetId="4" name="_16_06_331" vbProcedure="false">'Data Détecteur IA'!$A$1:$L$471</definedName>
    <definedName function="false" hidden="false" localSheetId="4" name="_16_06_332" vbProcedure="false">'Data Détecteur IA'!$A$1:$L$359</definedName>
    <definedName function="false" hidden="false" localSheetId="4" name="_16_06_333" vbProcedure="false">'Data Détecteur IA'!$A$1:$L$471</definedName>
    <definedName function="false" hidden="false" localSheetId="4" name="_16_06_334" vbProcedure="false">'Data Détecteur IA'!$A$1:$L$359</definedName>
    <definedName function="false" hidden="false" localSheetId="4" name="_16_06_335" vbProcedure="false">'Data Détecteur IA'!$A$1:$L$359</definedName>
    <definedName function="false" hidden="false" localSheetId="4" name="_16_06_336" vbProcedure="false">'Data Détecteur IA'!$A$1:$L$359</definedName>
    <definedName function="false" hidden="false" localSheetId="4" name="_16_06_337" vbProcedure="false">'Data Détecteur IA'!$A$1:$L$149</definedName>
    <definedName function="false" hidden="false" localSheetId="4" name="_16_06_338" vbProcedure="false">'Data Détecteur IA'!$A$1:$L$149</definedName>
    <definedName function="false" hidden="false" localSheetId="4" name="_16_06_339" vbProcedure="false">'Data Détecteur IA'!$A$1:$L$471</definedName>
    <definedName function="false" hidden="false" localSheetId="4" name="_16_06_34" vbProcedure="false">'Data Détecteur IA'!$A$1:$L$129</definedName>
    <definedName function="false" hidden="false" localSheetId="4" name="_16_06_340" vbProcedure="false">'Data Détecteur IA'!$A$1:$L$359</definedName>
    <definedName function="false" hidden="false" localSheetId="4" name="_16_06_341" vbProcedure="false">'Data Détecteur IA'!$A$1:$L$471</definedName>
    <definedName function="false" hidden="false" localSheetId="4" name="_16_06_342" vbProcedure="false">'Data Détecteur IA'!$A$1:$L$471</definedName>
    <definedName function="false" hidden="false" localSheetId="4" name="_16_06_343" vbProcedure="false">'Data Détecteur IA'!$A$1:$L$149</definedName>
    <definedName function="false" hidden="false" localSheetId="4" name="_16_06_344" vbProcedure="false">'Data Détecteur IA'!$A$1:$L$359</definedName>
    <definedName function="false" hidden="false" localSheetId="4" name="_16_06_345" vbProcedure="false">'Data Détecteur IA'!$A$1:$L$149</definedName>
    <definedName function="false" hidden="false" localSheetId="4" name="_16_06_346" vbProcedure="false">'Data Détecteur IA'!$A$1:$L$471</definedName>
    <definedName function="false" hidden="false" localSheetId="4" name="_16_06_347" vbProcedure="false">'Data Détecteur IA'!$A$1:$L$149</definedName>
    <definedName function="false" hidden="false" localSheetId="4" name="_16_06_348" vbProcedure="false">'Data Détecteur IA'!$A$1:$L$471</definedName>
    <definedName function="false" hidden="false" localSheetId="4" name="_16_06_349" vbProcedure="false">'Data Détecteur IA'!$A$1:$L$359</definedName>
    <definedName function="false" hidden="false" localSheetId="4" name="_16_06_35" vbProcedure="false">'Data Détecteur IA'!$A$1:$L$129</definedName>
    <definedName function="false" hidden="false" localSheetId="4" name="_16_06_350" vbProcedure="false">'Data Détecteur IA'!$A$1:$L$471</definedName>
    <definedName function="false" hidden="false" localSheetId="4" name="_16_06_351" vbProcedure="false">'Data Détecteur IA'!$A$1:$L$359</definedName>
    <definedName function="false" hidden="false" localSheetId="4" name="_16_06_352" vbProcedure="false">'Data Détecteur IA'!$A$1:$L$359</definedName>
    <definedName function="false" hidden="false" localSheetId="4" name="_16_06_353" vbProcedure="false">'Data Détecteur IA'!$A$1:$L$471</definedName>
    <definedName function="false" hidden="false" localSheetId="4" name="_16_06_354" vbProcedure="false">'Data Détecteur IA'!$A$1:$L$359</definedName>
    <definedName function="false" hidden="false" localSheetId="4" name="_16_06_355" vbProcedure="false">'Data Détecteur IA'!$A$1:$L$359</definedName>
    <definedName function="false" hidden="false" localSheetId="4" name="_16_06_356" vbProcedure="false">'Data Détecteur IA'!$A$1:$L$149</definedName>
    <definedName function="false" hidden="false" localSheetId="4" name="_16_06_357" vbProcedure="false">'Data Détecteur IA'!$A$1:$L$471</definedName>
    <definedName function="false" hidden="false" localSheetId="4" name="_16_06_358" vbProcedure="false">'Data Détecteur IA'!$A$1:$L$359</definedName>
    <definedName function="false" hidden="false" localSheetId="4" name="_16_06_359" vbProcedure="false">'Data Détecteur IA'!$A$1:$L$359</definedName>
    <definedName function="false" hidden="false" localSheetId="4" name="_16_06_36" vbProcedure="false">'Data Détecteur IA'!$A$1:$L$129</definedName>
    <definedName function="false" hidden="false" localSheetId="4" name="_16_06_360" vbProcedure="false">'Data Détecteur IA'!$A$1:$L$471</definedName>
    <definedName function="false" hidden="false" localSheetId="4" name="_16_06_361" vbProcedure="false">'Data Détecteur IA'!$A$1:$L$149</definedName>
    <definedName function="false" hidden="false" localSheetId="4" name="_16_06_362" vbProcedure="false">'Data Détecteur IA'!$A$1:$L$359</definedName>
    <definedName function="false" hidden="false" localSheetId="4" name="_16_06_363" vbProcedure="false">'Data Détecteur IA'!$A$1:$L$149</definedName>
    <definedName function="false" hidden="false" localSheetId="4" name="_16_06_364" vbProcedure="false">'Data Détecteur IA'!$A$1:$L$359</definedName>
    <definedName function="false" hidden="false" localSheetId="4" name="_16_06_365" vbProcedure="false">'Data Détecteur IA'!$A$1:$L$359</definedName>
    <definedName function="false" hidden="false" localSheetId="4" name="_16_06_366" vbProcedure="false">'Data Détecteur IA'!$A$1:$L$471</definedName>
    <definedName function="false" hidden="false" localSheetId="4" name="_16_06_367" vbProcedure="false">'Data Détecteur IA'!$A$1:$L$471</definedName>
    <definedName function="false" hidden="false" localSheetId="4" name="_16_06_368" vbProcedure="false">'Data Détecteur IA'!$A$1:$L$359</definedName>
    <definedName function="false" hidden="false" localSheetId="4" name="_16_06_369" vbProcedure="false">'Data Détecteur IA'!$A$1:$L$471</definedName>
    <definedName function="false" hidden="false" localSheetId="4" name="_16_06_37" vbProcedure="false">'Data Détecteur IA'!$A$1:$L$129</definedName>
    <definedName function="false" hidden="false" localSheetId="4" name="_16_06_370" vbProcedure="false">'Data Détecteur IA'!$A$1:$L$149</definedName>
    <definedName function="false" hidden="false" localSheetId="4" name="_16_06_371" vbProcedure="false">'Data Détecteur IA'!$A$1:$L$471</definedName>
    <definedName function="false" hidden="false" localSheetId="4" name="_16_06_372" vbProcedure="false">'Data Détecteur IA'!$A$1:$L$471</definedName>
    <definedName function="false" hidden="false" localSheetId="4" name="_16_06_373" vbProcedure="false">'Data Détecteur IA'!$A$1:$L$149</definedName>
    <definedName function="false" hidden="false" localSheetId="4" name="_16_06_374" vbProcedure="false">'Data Détecteur IA'!$A$1:$L$359</definedName>
    <definedName function="false" hidden="false" localSheetId="4" name="_16_06_375" vbProcedure="false">'Data Détecteur IA'!$A$1:$L$471</definedName>
    <definedName function="false" hidden="false" localSheetId="4" name="_16_06_376" vbProcedure="false">'Data Détecteur IA'!$A$1:$L$471</definedName>
    <definedName function="false" hidden="false" localSheetId="4" name="_16_06_377" vbProcedure="false">'Data Détecteur IA'!$A$1:$L$471</definedName>
    <definedName function="false" hidden="false" localSheetId="4" name="_16_06_378" vbProcedure="false">'Data Détecteur IA'!$A$1:$L$359</definedName>
    <definedName function="false" hidden="false" localSheetId="4" name="_16_06_379" vbProcedure="false">'Data Détecteur IA'!$A$1:$L$471</definedName>
    <definedName function="false" hidden="false" localSheetId="4" name="_16_06_38" vbProcedure="false">'Data Détecteur IA'!$A$1:$L$265</definedName>
    <definedName function="false" hidden="false" localSheetId="4" name="_16_06_380" vbProcedure="false">'Data Détecteur IA'!$A$1:$L$471</definedName>
    <definedName function="false" hidden="false" localSheetId="4" name="_16_06_381" vbProcedure="false">'Data Détecteur IA'!$A$1:$L$471</definedName>
    <definedName function="false" hidden="false" localSheetId="4" name="_16_06_382" vbProcedure="false">'Data Détecteur IA'!$A$1:$L$471</definedName>
    <definedName function="false" hidden="false" localSheetId="4" name="_16_06_383" vbProcedure="false">'Data Détecteur IA'!$A$1:$L$359</definedName>
    <definedName function="false" hidden="false" localSheetId="4" name="_16_06_384" vbProcedure="false">'Data Détecteur IA'!$A$1:$L$471</definedName>
    <definedName function="false" hidden="false" localSheetId="4" name="_16_06_385" vbProcedure="false">'Data Détecteur IA'!$A$1:$L$465</definedName>
    <definedName function="false" hidden="false" localSheetId="4" name="_16_06_386" vbProcedure="false">'Data Détecteur IA'!$A$1:$L$149</definedName>
    <definedName function="false" hidden="false" localSheetId="4" name="_16_06_387" vbProcedure="false">'Data Détecteur IA'!$A$1:$L$149</definedName>
    <definedName function="false" hidden="false" localSheetId="4" name="_16_06_388" vbProcedure="false">'Data Détecteur IA'!$A$1:$L$359</definedName>
    <definedName function="false" hidden="false" localSheetId="4" name="_16_06_389" vbProcedure="false">'Data Détecteur IA'!$A$1:$L$359</definedName>
    <definedName function="false" hidden="false" localSheetId="4" name="_16_06_39" vbProcedure="false">'Data Détecteur IA'!$A$1:$L$377</definedName>
    <definedName function="false" hidden="false" localSheetId="4" name="_16_06_390" vbProcedure="false">'Data Détecteur IA'!$A$1:$L$471</definedName>
    <definedName function="false" hidden="false" localSheetId="4" name="_16_06_391" vbProcedure="false">'Data Détecteur IA'!$A$1:$L$149</definedName>
    <definedName function="false" hidden="false" localSheetId="4" name="_16_06_392" vbProcedure="false">'Data Détecteur IA'!$A$1:$L$471</definedName>
    <definedName function="false" hidden="false" localSheetId="4" name="_16_06_393" vbProcedure="false">'Data Détecteur IA'!$A$1:$L$471</definedName>
    <definedName function="false" hidden="false" localSheetId="4" name="_16_06_394" vbProcedure="false">'Data Détecteur IA'!$A$1:$L$149</definedName>
    <definedName function="false" hidden="false" localSheetId="4" name="_16_06_395" vbProcedure="false">'Data Détecteur IA'!$A$1:$L$149</definedName>
    <definedName function="false" hidden="false" localSheetId="4" name="_16_06_396" vbProcedure="false">'Data Détecteur IA'!$A$1:$L$359</definedName>
    <definedName function="false" hidden="false" localSheetId="4" name="_16_06_397" vbProcedure="false">'Data Détecteur IA'!$A$1:$L$359</definedName>
    <definedName function="false" hidden="false" localSheetId="4" name="_16_06_398" vbProcedure="false">'Data Détecteur IA'!$A$1:$L$359</definedName>
    <definedName function="false" hidden="false" localSheetId="4" name="_16_06_399" vbProcedure="false">'Data Détecteur IA'!$A$1:$L$471</definedName>
    <definedName function="false" hidden="false" localSheetId="4" name="_16_06_40" vbProcedure="false">'Data Détecteur IA'!$A$1:$L$377</definedName>
    <definedName function="false" hidden="false" localSheetId="4" name="_16_06_400" vbProcedure="false">'Data Détecteur IA'!$A$1:$L$359</definedName>
    <definedName function="false" hidden="false" localSheetId="4" name="_16_06_401" vbProcedure="false">'Data Détecteur IA'!$A$1:$L$359</definedName>
    <definedName function="false" hidden="false" localSheetId="4" name="_16_06_402" vbProcedure="false">'Data Détecteur IA'!$A$1:$L$471</definedName>
    <definedName function="false" hidden="false" localSheetId="4" name="_16_06_403" vbProcedure="false">'Data Détecteur IA'!$A$1:$L$359</definedName>
    <definedName function="false" hidden="false" localSheetId="4" name="_16_06_404" vbProcedure="false">'Data Détecteur IA'!$A$1:$L$359</definedName>
    <definedName function="false" hidden="false" localSheetId="4" name="_16_06_405" vbProcedure="false">'Data Détecteur IA'!$A$1:$L$359</definedName>
    <definedName function="false" hidden="false" localSheetId="4" name="_16_06_406" vbProcedure="false">'Data Détecteur IA'!$A$1:$L$471</definedName>
    <definedName function="false" hidden="false" localSheetId="4" name="_16_06_407" vbProcedure="false">'Data Détecteur IA'!$A$1:$L$465</definedName>
    <definedName function="false" hidden="false" localSheetId="4" name="_16_06_408" vbProcedure="false">'Data Détecteur IA'!$A$1:$L$465</definedName>
    <definedName function="false" hidden="false" localSheetId="4" name="_16_06_409" vbProcedure="false">'Data Détecteur IA'!$A$1:$L$471</definedName>
    <definedName function="false" hidden="false" localSheetId="4" name="_16_06_41" vbProcedure="false">'Data Détecteur IA'!$A$1:$L$265</definedName>
    <definedName function="false" hidden="false" localSheetId="4" name="_16_06_410" vbProcedure="false">'Data Détecteur IA'!$A$1:$L$471</definedName>
    <definedName function="false" hidden="false" localSheetId="4" name="_16_06_411" vbProcedure="false">'Data Détecteur IA'!$A$1:$L$359</definedName>
    <definedName function="false" hidden="false" localSheetId="4" name="_16_06_412" vbProcedure="false">'Data Détecteur IA'!$A$1:$L$359</definedName>
    <definedName function="false" hidden="false" localSheetId="4" name="_16_06_413" vbProcedure="false">'Data Détecteur IA'!$A$1:$L$471</definedName>
    <definedName function="false" hidden="false" localSheetId="4" name="_16_06_414" vbProcedure="false">'Data Détecteur IA'!$A$1:$L$149</definedName>
    <definedName function="false" hidden="false" localSheetId="4" name="_16_06_415" vbProcedure="false">'Data Détecteur IA'!$A$1:$L$471</definedName>
    <definedName function="false" hidden="false" localSheetId="4" name="_16_06_416" vbProcedure="false">'Data Détecteur IA'!$A$1:$L$471</definedName>
    <definedName function="false" hidden="false" localSheetId="4" name="_16_06_417" vbProcedure="false">'Data Détecteur IA'!$A$1:$L$149</definedName>
    <definedName function="false" hidden="false" localSheetId="4" name="_16_06_418" vbProcedure="false">'Data Détecteur IA'!$A$1:$L$359</definedName>
    <definedName function="false" hidden="false" localSheetId="4" name="_16_06_419" vbProcedure="false">'Data Détecteur IA'!$A$1:$L$359</definedName>
    <definedName function="false" hidden="false" localSheetId="4" name="_16_06_42" vbProcedure="false">'Data Détecteur IA'!$A$1:$L$265</definedName>
    <definedName function="false" hidden="false" localSheetId="4" name="_16_06_420" vbProcedure="false">'Data Détecteur IA'!$A$1:$L$359</definedName>
    <definedName function="false" hidden="false" localSheetId="4" name="_16_06_421" vbProcedure="false">'Data Détecteur IA'!$A$1:$L$149</definedName>
    <definedName function="false" hidden="false" localSheetId="4" name="_16_06_422" vbProcedure="false">'Data Détecteur IA'!$A$1:$L$359</definedName>
    <definedName function="false" hidden="false" localSheetId="4" name="_16_06_423" vbProcedure="false">'Data Détecteur IA'!$A$1:$L$471</definedName>
    <definedName function="false" hidden="false" localSheetId="4" name="_16_06_424" vbProcedure="false">'Data Détecteur IA'!$A$1:$L$359</definedName>
    <definedName function="false" hidden="false" localSheetId="4" name="_16_06_425" vbProcedure="false">'Data Détecteur IA'!$A$1:$L$471</definedName>
    <definedName function="false" hidden="false" localSheetId="4" name="_16_06_426" vbProcedure="false">'Data Détecteur IA'!$A$1:$L$471</definedName>
    <definedName function="false" hidden="false" localSheetId="4" name="_16_06_427" vbProcedure="false">'Data Détecteur IA'!$A$1:$L$149</definedName>
    <definedName function="false" hidden="false" localSheetId="4" name="_16_06_428" vbProcedure="false">'Data Détecteur IA'!$A$1:$L$471</definedName>
    <definedName function="false" hidden="false" localSheetId="4" name="_16_06_429" vbProcedure="false">'Data Détecteur IA'!$A$1:$L$471</definedName>
    <definedName function="false" hidden="false" localSheetId="4" name="_16_06_43" vbProcedure="false">'Data Détecteur IA'!$A$1:$L$265</definedName>
    <definedName function="false" hidden="false" localSheetId="4" name="_16_06_430" vbProcedure="false">'Data Détecteur IA'!$A$1:$L$471</definedName>
    <definedName function="false" hidden="false" localSheetId="4" name="_16_06_431" vbProcedure="false">'Data Détecteur IA'!$A$1:$L$149</definedName>
    <definedName function="false" hidden="false" localSheetId="4" name="_16_06_432" vbProcedure="false">'Data Détecteur IA'!$A$1:$L$149</definedName>
    <definedName function="false" hidden="false" localSheetId="4" name="_16_06_433" vbProcedure="false">'Data Détecteur IA'!$A$1:$L$149</definedName>
    <definedName function="false" hidden="false" localSheetId="4" name="_16_06_434" vbProcedure="false">'Data Détecteur IA'!$A$1:$L$471</definedName>
    <definedName function="false" hidden="false" localSheetId="4" name="_16_06_435" vbProcedure="false">'Data Détecteur IA'!$A$1:$L$471</definedName>
    <definedName function="false" hidden="false" localSheetId="4" name="_16_06_436" vbProcedure="false">'Data Détecteur IA'!$A$1:$L$359</definedName>
    <definedName function="false" hidden="false" localSheetId="4" name="_16_06_437" vbProcedure="false">'Data Détecteur IA'!$A$1:$L$359</definedName>
    <definedName function="false" hidden="false" localSheetId="4" name="_16_06_438" vbProcedure="false">'Data Détecteur IA'!$A$1:$L$359</definedName>
    <definedName function="false" hidden="false" localSheetId="4" name="_16_06_439" vbProcedure="false">'Data Détecteur IA'!$A$1:$L$471</definedName>
    <definedName function="false" hidden="false" localSheetId="4" name="_16_06_44" vbProcedure="false">'Data Détecteur IA'!$A$1:$L$377</definedName>
    <definedName function="false" hidden="false" localSheetId="4" name="_16_06_440" vbProcedure="false">'Data Détecteur IA'!$A$1:$L$471</definedName>
    <definedName function="false" hidden="false" localSheetId="4" name="_16_06_441" vbProcedure="false">'Data Détecteur IA'!$A$1:$L$471</definedName>
    <definedName function="false" hidden="false" localSheetId="4" name="_16_06_442" vbProcedure="false">'Data Détecteur IA'!$A$1:$L$359</definedName>
    <definedName function="false" hidden="false" localSheetId="4" name="_16_06_443" vbProcedure="false">'Data Détecteur IA'!$A$1:$L$359</definedName>
    <definedName function="false" hidden="false" localSheetId="4" name="_16_06_444" vbProcedure="false">'Data Détecteur IA'!$A$1:$L$359</definedName>
    <definedName function="false" hidden="false" localSheetId="4" name="_16_06_445" vbProcedure="false">'Data Détecteur IA'!$A$1:$L$149</definedName>
    <definedName function="false" hidden="false" localSheetId="4" name="_16_06_446" vbProcedure="false">'Data Détecteur IA'!$A$1:$L$471</definedName>
    <definedName function="false" hidden="false" localSheetId="4" name="_16_06_447" vbProcedure="false">'Data Détecteur IA'!$A$1:$L$359</definedName>
    <definedName function="false" hidden="false" localSheetId="4" name="_16_06_448" vbProcedure="false">'Data Détecteur IA'!$A$1:$L$149</definedName>
    <definedName function="false" hidden="false" localSheetId="4" name="_16_06_449" vbProcedure="false">'Data Détecteur IA'!$A$1:$L$149</definedName>
    <definedName function="false" hidden="false" localSheetId="4" name="_16_06_45" vbProcedure="false">'Data Détecteur IA'!$A$1:$L$377</definedName>
    <definedName function="false" hidden="false" localSheetId="4" name="_16_06_450" vbProcedure="false">'Data Détecteur IA'!$A$1:$L$359</definedName>
    <definedName function="false" hidden="false" localSheetId="4" name="_16_06_451" vbProcedure="false">'Data Détecteur IA'!$A$1:$L$471</definedName>
    <definedName function="false" hidden="false" localSheetId="4" name="_16_06_452" vbProcedure="false">'Data Détecteur IA'!$A$1:$L$471</definedName>
    <definedName function="false" hidden="false" localSheetId="4" name="_16_06_453" vbProcedure="false">'Data Détecteur IA'!$A$1:$L$471</definedName>
    <definedName function="false" hidden="false" localSheetId="4" name="_16_06_454" vbProcedure="false">'Data Détecteur IA'!$A$1:$L$359</definedName>
    <definedName function="false" hidden="false" localSheetId="4" name="_16_06_455" vbProcedure="false">'Data Détecteur IA'!$A$1:$L$471</definedName>
    <definedName function="false" hidden="false" localSheetId="4" name="_16_06_456" vbProcedure="false">'Data Détecteur IA'!$A$1:$L$359</definedName>
    <definedName function="false" hidden="false" localSheetId="4" name="_16_06_457" vbProcedure="false">'Data Détecteur IA'!$A$1:$L$359</definedName>
    <definedName function="false" hidden="false" localSheetId="4" name="_16_06_458" vbProcedure="false">'Data Détecteur IA'!$A$1:$L$471</definedName>
    <definedName function="false" hidden="false" localSheetId="4" name="_16_06_459" vbProcedure="false">'Data Détecteur IA'!$A$1:$L$149</definedName>
    <definedName function="false" hidden="false" localSheetId="4" name="_16_06_46" vbProcedure="false">'Data Détecteur IA'!$A$1:$L$265</definedName>
    <definedName function="false" hidden="false" localSheetId="4" name="_16_06_460" vbProcedure="false">'Data Détecteur IA'!$A$1:$L$471</definedName>
    <definedName function="false" hidden="false" localSheetId="4" name="_16_06_461" vbProcedure="false">'Data Détecteur IA'!$A$1:$L$471</definedName>
    <definedName function="false" hidden="false" localSheetId="4" name="_16_06_462" vbProcedure="false">'Data Détecteur IA'!$A$1:$L$471</definedName>
    <definedName function="false" hidden="false" localSheetId="4" name="_16_06_463" vbProcedure="false">'Data Détecteur IA'!$A$1:$L$359</definedName>
    <definedName function="false" hidden="false" localSheetId="4" name="_16_06_464" vbProcedure="false">'Data Détecteur IA'!$A$1:$L$359</definedName>
    <definedName function="false" hidden="false" localSheetId="4" name="_16_06_465" vbProcedure="false">'Data Détecteur IA'!$A$1:$L$471</definedName>
    <definedName function="false" hidden="false" localSheetId="4" name="_16_06_466" vbProcedure="false">'Data Détecteur IA'!$A$1:$L$471</definedName>
    <definedName function="false" hidden="false" localSheetId="4" name="_16_06_467" vbProcedure="false">'Data Détecteur IA'!$A$1:$L$465</definedName>
    <definedName function="false" hidden="false" localSheetId="4" name="_16_06_468" vbProcedure="false">'Data Détecteur IA'!$A$1:$L$359</definedName>
    <definedName function="false" hidden="false" localSheetId="4" name="_16_06_469" vbProcedure="false">'Data Détecteur IA'!$A$1:$L$471</definedName>
    <definedName function="false" hidden="false" localSheetId="4" name="_16_06_47" vbProcedure="false">'Data Détecteur IA'!$A$1:$L$265</definedName>
    <definedName function="false" hidden="false" localSheetId="4" name="_16_06_470" vbProcedure="false">'Data Détecteur IA'!$A$1:$L$359</definedName>
    <definedName function="false" hidden="false" localSheetId="4" name="_16_06_471" vbProcedure="false">'Data Détecteur IA'!$A$1:$L$471</definedName>
    <definedName function="false" hidden="false" localSheetId="4" name="_16_06_472" vbProcedure="false">'Data Détecteur IA'!$A$1:$L$359</definedName>
    <definedName function="false" hidden="false" localSheetId="4" name="_16_06_473" vbProcedure="false">'Data Détecteur IA'!$A$1:$L$471</definedName>
    <definedName function="false" hidden="false" localSheetId="4" name="_16_06_474" vbProcedure="false">'Data Détecteur IA'!$A$1:$L$149</definedName>
    <definedName function="false" hidden="false" localSheetId="4" name="_16_06_475" vbProcedure="false">'Data Détecteur IA'!$A$1:$L$471</definedName>
    <definedName function="false" hidden="false" localSheetId="4" name="_16_06_476" vbProcedure="false">'Data Détecteur IA'!$A$1:$L$471</definedName>
    <definedName function="false" hidden="false" localSheetId="4" name="_16_06_477" vbProcedure="false">'Data Détecteur IA'!$A$1:$L$471</definedName>
    <definedName function="false" hidden="false" localSheetId="4" name="_16_06_478" vbProcedure="false">'Data Détecteur IA'!$A$1:$L$149</definedName>
    <definedName function="false" hidden="false" localSheetId="4" name="_16_06_479" vbProcedure="false">'Data Détecteur IA'!$A$1:$L$359</definedName>
    <definedName function="false" hidden="false" localSheetId="4" name="_16_06_48" vbProcedure="false">'Data Détecteur IA'!$A$1:$L$377</definedName>
    <definedName function="false" hidden="false" localSheetId="4" name="_16_06_480" vbProcedure="false">'Data Détecteur IA'!$A$1:$L$471</definedName>
    <definedName function="false" hidden="false" localSheetId="4" name="_16_06_481" vbProcedure="false">'Data Détecteur IA'!$A$1:$L$149</definedName>
    <definedName function="false" hidden="false" localSheetId="4" name="_16_06_482" vbProcedure="false">'Data Détecteur IA'!$A$1:$L$359</definedName>
    <definedName function="false" hidden="false" localSheetId="4" name="_16_06_483" vbProcedure="false">'Data Détecteur IA'!$A$1:$L$149</definedName>
    <definedName function="false" hidden="false" localSheetId="4" name="_16_06_484" vbProcedure="false">'Data Détecteur IA'!$A$1:$L$471</definedName>
    <definedName function="false" hidden="false" localSheetId="4" name="_16_06_485" vbProcedure="false">'Data Détecteur IA'!$A$1:$L$149</definedName>
    <definedName function="false" hidden="false" localSheetId="4" name="_16_06_486" vbProcedure="false">'Data Détecteur IA'!$A$1:$L$471</definedName>
    <definedName function="false" hidden="false" localSheetId="4" name="_16_06_487" vbProcedure="false">'Data Détecteur IA'!$A$1:$L$471</definedName>
    <definedName function="false" hidden="false" localSheetId="4" name="_16_06_488" vbProcedure="false">'Data Détecteur IA'!$A$1:$L$471</definedName>
    <definedName function="false" hidden="false" localSheetId="4" name="_16_06_489" vbProcedure="false">'Data Détecteur IA'!$A$1:$L$359</definedName>
    <definedName function="false" hidden="false" localSheetId="4" name="_16_06_49" vbProcedure="false">'Data Détecteur IA'!$A$1:$L$377</definedName>
    <definedName function="false" hidden="false" localSheetId="4" name="_16_06_490" vbProcedure="false">'Data Détecteur IA'!$A$1:$L$359</definedName>
    <definedName function="false" hidden="false" localSheetId="4" name="_16_06_491" vbProcedure="false">'Data Détecteur IA'!$A$1:$L$471</definedName>
    <definedName function="false" hidden="false" localSheetId="4" name="_16_06_492" vbProcedure="false">'Data Détecteur IA'!$A$1:$L$471</definedName>
    <definedName function="false" hidden="false" localSheetId="4" name="_16_06_493" vbProcedure="false">'Data Détecteur IA'!$A$1:$L$149</definedName>
    <definedName function="false" hidden="false" localSheetId="4" name="_16_06_494" vbProcedure="false">'Data Détecteur IA'!$A$1:$L$471</definedName>
    <definedName function="false" hidden="false" localSheetId="4" name="_16_06_495" vbProcedure="false">'Data Détecteur IA'!$A$1:$L$471</definedName>
    <definedName function="false" hidden="false" localSheetId="4" name="_16_06_496" vbProcedure="false">'Data Détecteur IA'!$A$1:$L$471</definedName>
    <definedName function="false" hidden="false" localSheetId="4" name="_16_06_497" vbProcedure="false">'Data Détecteur IA'!$A$1:$L$471</definedName>
    <definedName function="false" hidden="false" localSheetId="4" name="_16_06_498" vbProcedure="false">'Data Détecteur IA'!$A$1:$L$359</definedName>
    <definedName function="false" hidden="false" localSheetId="4" name="_16_06_499" vbProcedure="false">'Data Détecteur IA'!$A$1:$L$471</definedName>
    <definedName function="false" hidden="false" localSheetId="4" name="_16_06_50" vbProcedure="false">'Data Détecteur IA'!$A$1:$L$377</definedName>
    <definedName function="false" hidden="false" localSheetId="4" name="_16_06_500" vbProcedure="false">'Data Détecteur IA'!$A$1:$L$149</definedName>
    <definedName function="false" hidden="false" localSheetId="4" name="_16_06_501" vbProcedure="false">'Data Détecteur IA'!$A$1:$L$471</definedName>
    <definedName function="false" hidden="false" localSheetId="4" name="_16_06_502" vbProcedure="false">'Data Détecteur IA'!$A$1:$L$359</definedName>
    <definedName function="false" hidden="false" localSheetId="4" name="_16_06_503" vbProcedure="false">'Data Détecteur IA'!$A$1:$L$359</definedName>
    <definedName function="false" hidden="false" localSheetId="4" name="_16_06_504" vbProcedure="false">'Data Détecteur IA'!$A$1:$L$149</definedName>
    <definedName function="false" hidden="false" localSheetId="4" name="_16_06_505" vbProcedure="false">'Data Détecteur IA'!$A$1:$L$471</definedName>
    <definedName function="false" hidden="false" localSheetId="4" name="_16_06_506" vbProcedure="false">'Data Détecteur IA'!$A$1:$L$471</definedName>
    <definedName function="false" hidden="false" localSheetId="4" name="_16_06_507" vbProcedure="false">'Data Détecteur IA'!$A$1:$L$471</definedName>
    <definedName function="false" hidden="false" localSheetId="4" name="_16_06_508" vbProcedure="false">'Data Détecteur IA'!$A$1:$L$149</definedName>
    <definedName function="false" hidden="false" localSheetId="4" name="_16_06_509" vbProcedure="false">'Data Détecteur IA'!$A$1:$L$471</definedName>
    <definedName function="false" hidden="false" localSheetId="4" name="_16_06_51" vbProcedure="false">'Data Détecteur IA'!$A$1:$L$377</definedName>
    <definedName function="false" hidden="false" localSheetId="4" name="_16_06_510" vbProcedure="false">'Data Détecteur IA'!$A$1:$L$359</definedName>
    <definedName function="false" hidden="false" localSheetId="4" name="_16_06_511" vbProcedure="false">'Data Détecteur IA'!$A$1:$L$471</definedName>
    <definedName function="false" hidden="false" localSheetId="4" name="_16_06_512" vbProcedure="false">'Data Détecteur IA'!$A$1:$L$359</definedName>
    <definedName function="false" hidden="false" localSheetId="4" name="_16_06_513" vbProcedure="false">'Data Détecteur IA'!$A$1:$L$359</definedName>
    <definedName function="false" hidden="false" localSheetId="4" name="_16_06_514" vbProcedure="false">'Data Détecteur IA'!$A$1:$L$149</definedName>
    <definedName function="false" hidden="false" localSheetId="4" name="_16_06_515" vbProcedure="false">'Data Détecteur IA'!$A$1:$L$359</definedName>
    <definedName function="false" hidden="false" localSheetId="4" name="_16_06_516" vbProcedure="false">'Data Détecteur IA'!$A$1:$L$149</definedName>
    <definedName function="false" hidden="false" localSheetId="4" name="_16_06_517" vbProcedure="false">'Data Détecteur IA'!$A$1:$L$359</definedName>
    <definedName function="false" hidden="false" localSheetId="4" name="_16_06_518" vbProcedure="false">'Data Détecteur IA'!$A$1:$L$359</definedName>
    <definedName function="false" hidden="false" localSheetId="4" name="_16_06_519" vbProcedure="false">'Data Détecteur IA'!$A$1:$L$359</definedName>
    <definedName function="false" hidden="false" localSheetId="4" name="_16_06_52" vbProcedure="false">'Data Détecteur IA'!$A$1:$L$265</definedName>
    <definedName function="false" hidden="false" localSheetId="4" name="_16_06_520" vbProcedure="false">'Data Détecteur IA'!$A$1:$L$471</definedName>
    <definedName function="false" hidden="false" localSheetId="4" name="_16_06_521" vbProcedure="false">'Data Détecteur IA'!$A$1:$L$471</definedName>
    <definedName function="false" hidden="false" localSheetId="4" name="_16_06_522" vbProcedure="false">'Data Détecteur IA'!$A$1:$L$359</definedName>
    <definedName function="false" hidden="false" localSheetId="4" name="_16_06_523" vbProcedure="false">'Data Détecteur IA'!$A$1:$L$149</definedName>
    <definedName function="false" hidden="false" localSheetId="4" name="_16_06_524" vbProcedure="false">'Data Détecteur IA'!$A$1:$L$465</definedName>
    <definedName function="false" hidden="false" localSheetId="4" name="_16_06_525" vbProcedure="false">'Data Détecteur IA'!$A$1:$L$359</definedName>
    <definedName function="false" hidden="false" localSheetId="4" name="_16_06_526" vbProcedure="false">'Data Détecteur IA'!$A$1:$L$359</definedName>
    <definedName function="false" hidden="false" localSheetId="4" name="_16_06_527" vbProcedure="false">'Data Détecteur IA'!$A$1:$L$359</definedName>
    <definedName function="false" hidden="false" localSheetId="4" name="_16_06_528" vbProcedure="false">'Data Détecteur IA'!$A$1:$L$471</definedName>
    <definedName function="false" hidden="false" localSheetId="4" name="_16_06_529" vbProcedure="false">'Data Détecteur IA'!$A$1:$L$149</definedName>
    <definedName function="false" hidden="false" localSheetId="4" name="_16_06_53" vbProcedure="false">'Data Détecteur IA'!$A$1:$L$265</definedName>
    <definedName function="false" hidden="false" localSheetId="4" name="_16_06_530" vbProcedure="false">'Data Détecteur IA'!$A$1:$L$359</definedName>
    <definedName function="false" hidden="false" localSheetId="4" name="_16_06_531" vbProcedure="false">'Data Détecteur IA'!$A$1:$L$471</definedName>
    <definedName function="false" hidden="false" localSheetId="4" name="_16_06_532" vbProcedure="false">'Data Détecteur IA'!$A$1:$L$471</definedName>
    <definedName function="false" hidden="false" localSheetId="4" name="_16_06_533" vbProcedure="false">'Data Détecteur IA'!$A$1:$L$359</definedName>
    <definedName function="false" hidden="false" localSheetId="4" name="_16_06_534" vbProcedure="false">'Data Détecteur IA'!$A$1:$L$471</definedName>
    <definedName function="false" hidden="false" localSheetId="4" name="_16_06_535" vbProcedure="false">'Data Détecteur IA'!$A$1:$L$471</definedName>
    <definedName function="false" hidden="false" localSheetId="4" name="_16_06_536" vbProcedure="false">'Data Détecteur IA'!$A$1:$L$471</definedName>
    <definedName function="false" hidden="false" localSheetId="4" name="_16_06_537" vbProcedure="false">'Data Détecteur IA'!$A$1:$L$149</definedName>
    <definedName function="false" hidden="false" localSheetId="4" name="_16_06_538" vbProcedure="false">'Data Détecteur IA'!$A$1:$L$471</definedName>
    <definedName function="false" hidden="false" localSheetId="4" name="_16_06_539" vbProcedure="false">'Data Détecteur IA'!$A$1:$L$359</definedName>
    <definedName function="false" hidden="false" localSheetId="4" name="_16_06_54" vbProcedure="false">'Data Détecteur IA'!$A$1:$L$377</definedName>
    <definedName function="false" hidden="false" localSheetId="4" name="_16_06_540" vbProcedure="false">'Data Détecteur IA'!$A$1:$L$465</definedName>
    <definedName function="false" hidden="false" localSheetId="4" name="_16_06_541" vbProcedure="false">'Data Détecteur IA'!$A$1:$L$359</definedName>
    <definedName function="false" hidden="false" localSheetId="4" name="_16_06_542" vbProcedure="false">'Data Détecteur IA'!$A$1:$L$471</definedName>
    <definedName function="false" hidden="false" localSheetId="4" name="_16_06_543" vbProcedure="false">'Data Détecteur IA'!$A$1:$L$359</definedName>
    <definedName function="false" hidden="false" localSheetId="4" name="_16_06_544" vbProcedure="false">'Data Détecteur IA'!$A$1:$L$149</definedName>
    <definedName function="false" hidden="false" localSheetId="4" name="_16_06_545" vbProcedure="false">'Data Détecteur IA'!$A$1:$L$471</definedName>
    <definedName function="false" hidden="false" localSheetId="4" name="_16_06_546" vbProcedure="false">'Data Détecteur IA'!$A$1:$L$471</definedName>
    <definedName function="false" hidden="false" localSheetId="4" name="_16_06_547" vbProcedure="false">'Data Détecteur IA'!$A$1:$L$359</definedName>
    <definedName function="false" hidden="false" localSheetId="4" name="_16_06_548" vbProcedure="false">'Data Détecteur IA'!$A$1:$L$359</definedName>
    <definedName function="false" hidden="false" localSheetId="4" name="_16_06_549" vbProcedure="false">'Data Détecteur IA'!$A$1:$L$471</definedName>
    <definedName function="false" hidden="false" localSheetId="4" name="_16_06_55" vbProcedure="false">'Data Détecteur IA'!$A$1:$L$377</definedName>
    <definedName function="false" hidden="false" localSheetId="4" name="_16_06_550" vbProcedure="false">'Data Détecteur IA'!$A$1:$L$359</definedName>
    <definedName function="false" hidden="false" localSheetId="4" name="_16_06_551" vbProcedure="false">'Data Détecteur IA'!$A$1:$L$149</definedName>
    <definedName function="false" hidden="false" localSheetId="4" name="_16_06_552" vbProcedure="false">'Data Détecteur IA'!$A$1:$L$149</definedName>
    <definedName function="false" hidden="false" localSheetId="4" name="_16_06_553" vbProcedure="false">'Data Détecteur IA'!$A$1:$L$471</definedName>
    <definedName function="false" hidden="false" localSheetId="4" name="_16_06_554" vbProcedure="false">'Data Détecteur IA'!$A$1:$L$471</definedName>
    <definedName function="false" hidden="false" localSheetId="4" name="_16_06_555" vbProcedure="false">'Data Détecteur IA'!$A$1:$L$465</definedName>
    <definedName function="false" hidden="false" localSheetId="4" name="_16_06_556" vbProcedure="false">'Data Détecteur IA'!$A$1:$L$359</definedName>
    <definedName function="false" hidden="false" localSheetId="4" name="_16_06_557" vbProcedure="false">'Data Détecteur IA'!$A$1:$L$471</definedName>
    <definedName function="false" hidden="false" localSheetId="4" name="_16_06_558" vbProcedure="false">'Data Détecteur IA'!$A$1:$L$359</definedName>
    <definedName function="false" hidden="false" localSheetId="4" name="_16_06_559" vbProcedure="false">'Data Détecteur IA'!$A$1:$L$149</definedName>
    <definedName function="false" hidden="false" localSheetId="4" name="_16_06_56" vbProcedure="false">'Data Détecteur IA'!$A$1:$L$265</definedName>
    <definedName function="false" hidden="false" localSheetId="4" name="_16_06_560" vbProcedure="false">'Data Détecteur IA'!$A$1:$L$471</definedName>
    <definedName function="false" hidden="false" localSheetId="4" name="_16_06_561" vbProcedure="false">'Data Détecteur IA'!$A$1:$L$149</definedName>
    <definedName function="false" hidden="false" localSheetId="4" name="_16_06_562" vbProcedure="false">'Data Détecteur IA'!$A$1:$L$390</definedName>
    <definedName function="false" hidden="false" localSheetId="4" name="_16_06_563" vbProcedure="false">'Data Détecteur IA'!$A$1:$M$478</definedName>
    <definedName function="false" hidden="false" localSheetId="4" name="_16_06_564" vbProcedure="false">'Data Détecteur IA'!$A$1:$I$390</definedName>
    <definedName function="false" hidden="false" localSheetId="4" name="_16_06_565" vbProcedure="false">'Data Détecteur IA'!$A$1:$L$278</definedName>
    <definedName function="false" hidden="false" localSheetId="4" name="_16_06_566" vbProcedure="false">'Data Détecteur IA'!$A$1:$I$390</definedName>
    <definedName function="false" hidden="false" localSheetId="4" name="_16_06_567" vbProcedure="false">'Data Détecteur IA'!$A$1:$I$384</definedName>
    <definedName function="false" hidden="false" localSheetId="4" name="_16_06_568" vbProcedure="false">'Data Détecteur IA'!$A$1:$I$129</definedName>
    <definedName function="false" hidden="false" localSheetId="4" name="_16_06_569" vbProcedure="false">'Data Détecteur IA'!$A$1:$I$390</definedName>
    <definedName function="false" hidden="false" localSheetId="4" name="_16_06_57" vbProcedure="false">'Data Détecteur IA'!$A$1:$L$265</definedName>
    <definedName function="false" hidden="false" localSheetId="4" name="_16_06_570" vbProcedure="false">'Data Détecteur IA'!$A$1:$I$384</definedName>
    <definedName function="false" hidden="false" localSheetId="4" name="_16_06_571" vbProcedure="false">'Data Détecteur IA'!$A$1:$I$390</definedName>
    <definedName function="false" hidden="false" localSheetId="4" name="_16_06_572" vbProcedure="false">'Data Détecteur IA'!$A$1:$I$390</definedName>
    <definedName function="false" hidden="false" localSheetId="4" name="_16_06_573" vbProcedure="false">'Data Détecteur IA'!$A$1:$I$129</definedName>
    <definedName function="false" hidden="false" localSheetId="4" name="_16_06_574" vbProcedure="false">'Data Détecteur IA'!$A$1:$I$278</definedName>
    <definedName function="false" hidden="false" localSheetId="4" name="_16_06_575" vbProcedure="false">'Data Détecteur IA'!$A$1:$I$129</definedName>
    <definedName function="false" hidden="false" localSheetId="4" name="_16_06_576" vbProcedure="false">'Data Détecteur IA'!$A$1:$I$390</definedName>
    <definedName function="false" hidden="false" localSheetId="4" name="_16_06_577" vbProcedure="false">'Data Détecteur IA'!$A$1:$I$390</definedName>
    <definedName function="false" hidden="false" localSheetId="4" name="_16_06_578" vbProcedure="false">'Data Détecteur IA'!$A$1:$I$129</definedName>
    <definedName function="false" hidden="false" localSheetId="4" name="_16_06_579" vbProcedure="false">'Data Détecteur IA'!$A$1:$I$129</definedName>
    <definedName function="false" hidden="false" localSheetId="4" name="_16_06_58" vbProcedure="false">'Data Détecteur IA'!$A$1:$L$377</definedName>
    <definedName function="false" hidden="false" localSheetId="4" name="_16_06_580" vbProcedure="false">'Data Détecteur IA'!$A$1:$I$278</definedName>
    <definedName function="false" hidden="false" localSheetId="4" name="_16_06_581" vbProcedure="false">'Data Détecteur IA'!$A$1:$L$129</definedName>
    <definedName function="false" hidden="false" localSheetId="4" name="_16_06_582" vbProcedure="false">'Data Détecteur IA'!$A$1:$I$390</definedName>
    <definedName function="false" hidden="false" localSheetId="4" name="_16_06_583" vbProcedure="false">'Data Détecteur IA'!$A$1:$L$390</definedName>
    <definedName function="false" hidden="false" localSheetId="4" name="_16_06_584" vbProcedure="false">'Data Détecteur IA'!$A$1:$I$390</definedName>
    <definedName function="false" hidden="false" localSheetId="4" name="_16_06_585" vbProcedure="false">'Data Détecteur IA'!$A$1:$L$278</definedName>
    <definedName function="false" hidden="false" localSheetId="4" name="_16_06_586" vbProcedure="false">'Data Détecteur IA'!$A$1:$L$129</definedName>
    <definedName function="false" hidden="false" localSheetId="4" name="_16_06_587" vbProcedure="false">'Data Détecteur IA'!$A$1:$L$390</definedName>
    <definedName function="false" hidden="false" localSheetId="4" name="_16_06_588" vbProcedure="false">'Data Détecteur IA'!$A$1:$I$390</definedName>
    <definedName function="false" hidden="false" localSheetId="4" name="_16_06_589" vbProcedure="false">'Data Détecteur IA'!$A$1:$M$372</definedName>
    <definedName function="false" hidden="false" localSheetId="4" name="_16_06_59" vbProcedure="false">'Data Détecteur IA'!$A$1:$L$377</definedName>
    <definedName function="false" hidden="false" localSheetId="4" name="_16_06_590" vbProcedure="false">'Data Détecteur IA'!$A$1:$L$390</definedName>
    <definedName function="false" hidden="false" localSheetId="4" name="_16_06_591" vbProcedure="false">'Data Détecteur IA'!$A$1:$M$484</definedName>
    <definedName function="false" hidden="false" localSheetId="4" name="_16_06_592" vbProcedure="false">'Data Détecteur IA'!$A$1:$M$484</definedName>
    <definedName function="false" hidden="false" localSheetId="4" name="_16_06_593" vbProcedure="false">'Data Détecteur IA'!$A$1:$I$129</definedName>
    <definedName function="false" hidden="false" localSheetId="4" name="_16_06_594" vbProcedure="false">'Data Détecteur IA'!$A$1:$M$372</definedName>
    <definedName function="false" hidden="false" localSheetId="4" name="_16_06_595" vbProcedure="false">'Data Détecteur IA'!$A$1:$L$390</definedName>
    <definedName function="false" hidden="false" localSheetId="4" name="_16_06_596" vbProcedure="false">'Data Détecteur IA'!$A$1:$I$278</definedName>
    <definedName function="false" hidden="false" localSheetId="4" name="_16_06_597" vbProcedure="false">'Data Détecteur IA'!$A$1:$L$278</definedName>
    <definedName function="false" hidden="false" localSheetId="4" name="_16_06_598" vbProcedure="false">'Data Détecteur IA'!$A$1:$M$372</definedName>
    <definedName function="false" hidden="false" localSheetId="4" name="_16_06_599" vbProcedure="false">'Data Détecteur IA'!$A$1:$L$390</definedName>
    <definedName function="false" hidden="false" localSheetId="4" name="_16_06_60" vbProcedure="false">'Data Détecteur IA'!$A$1:$L$265</definedName>
    <definedName function="false" hidden="false" localSheetId="4" name="_16_06_600" vbProcedure="false">'Data Détecteur IA'!$A$1:$L$129</definedName>
    <definedName function="false" hidden="false" localSheetId="4" name="_16_06_601" vbProcedure="false">'Data Détecteur IA'!$A$1:$M$478</definedName>
    <definedName function="false" hidden="false" localSheetId="4" name="_16_06_602" vbProcedure="false">'Data Détecteur IA'!$A$1:$L$129</definedName>
    <definedName function="false" hidden="false" localSheetId="4" name="_16_06_603" vbProcedure="false">'Data Détecteur IA'!$A$1:$L$278</definedName>
    <definedName function="false" hidden="false" localSheetId="4" name="_16_06_604" vbProcedure="false">'Data Détecteur IA'!$A$1:$L$129</definedName>
    <definedName function="false" hidden="false" localSheetId="4" name="_16_06_605" vbProcedure="false">'Data Détecteur IA'!$A$1:$I$278</definedName>
    <definedName function="false" hidden="false" localSheetId="4" name="_16_06_606" vbProcedure="false">'Data Détecteur IA'!$A$1:$L$129</definedName>
    <definedName function="false" hidden="false" localSheetId="4" name="_16_06_607" vbProcedure="false">'Data Détecteur IA'!$A$1:$M$484</definedName>
    <definedName function="false" hidden="false" localSheetId="4" name="_16_06_608" vbProcedure="false">'Data Détecteur IA'!$A$1:$M$484</definedName>
    <definedName function="false" hidden="false" localSheetId="4" name="_16_06_609" vbProcedure="false">'Data Détecteur IA'!$A$1:$L$390</definedName>
    <definedName function="false" hidden="false" localSheetId="4" name="_16_06_61" vbProcedure="false">'Data Détecteur IA'!$A$1:$L$377</definedName>
    <definedName function="false" hidden="false" localSheetId="4" name="_16_06_610" vbProcedure="false">'Data Détecteur IA'!$A$1:$L$390</definedName>
    <definedName function="false" hidden="false" localSheetId="4" name="_16_06_611" vbProcedure="false">'Data Détecteur IA'!$A$1:$M$372</definedName>
    <definedName function="false" hidden="false" localSheetId="4" name="_16_06_612" vbProcedure="false">'Data Détecteur IA'!$A$1:$L$129</definedName>
    <definedName function="false" hidden="false" localSheetId="4" name="_16_06_613" vbProcedure="false">'Data Détecteur IA'!$A$1:$M$372</definedName>
    <definedName function="false" hidden="false" localSheetId="4" name="_16_06_614" vbProcedure="false">'Data Détecteur IA'!$A$1:$I$390</definedName>
    <definedName function="false" hidden="false" localSheetId="4" name="_16_06_615" vbProcedure="false">'Data Détecteur IA'!$A$1:$L$278</definedName>
    <definedName function="false" hidden="false" localSheetId="4" name="_16_06_616" vbProcedure="false">'Data Détecteur IA'!$A$1:$I$278</definedName>
    <definedName function="false" hidden="false" localSheetId="4" name="_16_06_617" vbProcedure="false">'Data Détecteur IA'!$A$1:$L$278</definedName>
    <definedName function="false" hidden="false" localSheetId="4" name="_16_06_618" vbProcedure="false">'Data Détecteur IA'!$A$1:$I$278</definedName>
    <definedName function="false" hidden="false" localSheetId="4" name="_16_06_619" vbProcedure="false">'Data Détecteur IA'!$A$1:$L$129</definedName>
    <definedName function="false" hidden="false" localSheetId="4" name="_16_06_62" vbProcedure="false">'Data Détecteur IA'!$A$1:$L$265</definedName>
    <definedName function="false" hidden="false" localSheetId="4" name="_16_06_620" vbProcedure="false">'Data Détecteur IA'!$A$1:$M$372</definedName>
    <definedName function="false" hidden="false" localSheetId="4" name="_16_06_621" vbProcedure="false">'Data Détecteur IA'!$A$1:$M$372</definedName>
    <definedName function="false" hidden="false" localSheetId="4" name="_16_06_622" vbProcedure="false">'Data Détecteur IA'!$A$1:$L$390</definedName>
    <definedName function="false" hidden="false" localSheetId="4" name="_16_06_623" vbProcedure="false">'Data Détecteur IA'!$A$1:$L$278</definedName>
    <definedName function="false" hidden="false" localSheetId="4" name="_16_06_624" vbProcedure="false">'Data Détecteur IA'!$A$1:$L$278</definedName>
    <definedName function="false" hidden="false" localSheetId="4" name="_16_06_625" vbProcedure="false">'Data Détecteur IA'!$A$1:$I$384</definedName>
    <definedName function="false" hidden="false" localSheetId="4" name="_16_06_626" vbProcedure="false">'Data Détecteur IA'!$A$1:$L$129</definedName>
    <definedName function="false" hidden="false" localSheetId="4" name="_16_06_627" vbProcedure="false">'Data Détecteur IA'!$A$1:$L$278</definedName>
    <definedName function="false" hidden="false" localSheetId="4" name="_16_06_628" vbProcedure="false">'Data Détecteur IA'!$A$1:$L$390</definedName>
    <definedName function="false" hidden="false" localSheetId="4" name="_16_06_629" vbProcedure="false">'Data Détecteur IA'!$A$1:$L$129</definedName>
    <definedName function="false" hidden="false" localSheetId="4" name="_16_06_63" vbProcedure="false">'Data Détecteur IA'!$A$1:$L$377</definedName>
    <definedName function="false" hidden="false" localSheetId="4" name="_16_06_630" vbProcedure="false">'Data Détecteur IA'!$A$1:$M$372</definedName>
    <definedName function="false" hidden="false" localSheetId="4" name="_16_06_631" vbProcedure="false">'Data Détecteur IA'!$A$1:$L$278</definedName>
    <definedName function="false" hidden="false" localSheetId="4" name="_16_06_632" vbProcedure="false">'Data Détecteur IA'!$A$1:$L$278</definedName>
    <definedName function="false" hidden="false" localSheetId="4" name="_16_06_633" vbProcedure="false">'Data Détecteur IA'!$A$1:$L$390</definedName>
    <definedName function="false" hidden="false" localSheetId="4" name="_16_06_634" vbProcedure="false">'Data Détecteur IA'!$A$1:$I$390</definedName>
    <definedName function="false" hidden="false" localSheetId="4" name="_16_06_635" vbProcedure="false">'Data Détecteur IA'!$A$1:$L$390</definedName>
    <definedName function="false" hidden="false" localSheetId="4" name="_16_06_636" vbProcedure="false">'Data Détecteur IA'!$A$1:$M$484</definedName>
    <definedName function="false" hidden="false" localSheetId="4" name="_16_06_637" vbProcedure="false">'Data Détecteur IA'!$A$1:$I$390</definedName>
    <definedName function="false" hidden="false" localSheetId="4" name="_16_06_638" vbProcedure="false">'Data Détecteur IA'!$A$1:$I$390</definedName>
    <definedName function="false" hidden="false" localSheetId="4" name="_16_06_639" vbProcedure="false">'Data Détecteur IA'!$A$1:$I$390</definedName>
    <definedName function="false" hidden="false" localSheetId="4" name="_16_06_64" vbProcedure="false">'Data Détecteur IA'!$A$1:$L$265</definedName>
    <definedName function="false" hidden="false" localSheetId="4" name="_16_06_640" vbProcedure="false">'Data Détecteur IA'!$A$1:$L$390</definedName>
    <definedName function="false" hidden="false" localSheetId="4" name="_16_06_641" vbProcedure="false">'Data Détecteur IA'!$A$1:$M$149</definedName>
    <definedName function="false" hidden="false" localSheetId="4" name="_16_06_642" vbProcedure="false">'Data Détecteur IA'!$A$1:$I$278</definedName>
    <definedName function="false" hidden="false" localSheetId="4" name="_16_06_643" vbProcedure="false">'Data Détecteur IA'!$A$1:$M$484</definedName>
    <definedName function="false" hidden="false" localSheetId="4" name="_16_06_644" vbProcedure="false">'Data Détecteur IA'!$A$1:$L$390</definedName>
    <definedName function="false" hidden="false" localSheetId="4" name="_16_06_645" vbProcedure="false">'Data Détecteur IA'!$A$1:$I$129</definedName>
    <definedName function="false" hidden="false" localSheetId="4" name="_16_06_646" vbProcedure="false">'Data Détecteur IA'!$A$1:$M$372</definedName>
    <definedName function="false" hidden="false" localSheetId="4" name="_16_06_647" vbProcedure="false">'Data Détecteur IA'!$A$1:$L$390</definedName>
    <definedName function="false" hidden="false" localSheetId="4" name="_16_06_648" vbProcedure="false">'Data Détecteur IA'!$A$1:$L$384</definedName>
    <definedName function="false" hidden="false" localSheetId="4" name="_16_06_649" vbProcedure="false">'Data Détecteur IA'!$A$1:$I$129</definedName>
    <definedName function="false" hidden="false" localSheetId="4" name="_16_06_65" vbProcedure="false">'Data Détecteur IA'!$A$1:$L$377</definedName>
    <definedName function="false" hidden="false" localSheetId="4" name="_16_06_650" vbProcedure="false">'Data Détecteur IA'!$A$1:$L$129</definedName>
    <definedName function="false" hidden="false" localSheetId="4" name="_16_06_651" vbProcedure="false">'Data Détecteur IA'!$A$1:$L$390</definedName>
    <definedName function="false" hidden="false" localSheetId="4" name="_16_06_652" vbProcedure="false">'Data Détecteur IA'!$A$1:$L$278</definedName>
    <definedName function="false" hidden="false" localSheetId="4" name="_16_06_653" vbProcedure="false">'Data Détecteur IA'!$A$1:$M$149</definedName>
    <definedName function="false" hidden="false" localSheetId="4" name="_16_06_654" vbProcedure="false">'Data Détecteur IA'!$A$1:$M$484</definedName>
    <definedName function="false" hidden="false" localSheetId="4" name="_16_06_655" vbProcedure="false">'Data Détecteur IA'!$A$1:$L$278</definedName>
    <definedName function="false" hidden="false" localSheetId="4" name="_16_06_656" vbProcedure="false">'Data Détecteur IA'!$A$1:$M$484</definedName>
    <definedName function="false" hidden="false" localSheetId="4" name="_16_06_657" vbProcedure="false">'Data Détecteur IA'!$A$1:$L$129</definedName>
    <definedName function="false" hidden="false" localSheetId="4" name="_16_06_658" vbProcedure="false">'Data Détecteur IA'!$A$1:$M$372</definedName>
    <definedName function="false" hidden="false" localSheetId="4" name="_16_06_659" vbProcedure="false">'Data Détecteur IA'!$A$1:$I$129</definedName>
    <definedName function="false" hidden="false" localSheetId="4" name="_16_06_66" vbProcedure="false">'Data Détecteur IA'!$A$1:$L$371</definedName>
    <definedName function="false" hidden="false" localSheetId="4" name="_16_06_660" vbProcedure="false">'Data Détecteur IA'!$A$1:$M$149</definedName>
    <definedName function="false" hidden="false" localSheetId="4" name="_16_06_661" vbProcedure="false">'Data Détecteur IA'!$A$1:$L$129</definedName>
    <definedName function="false" hidden="false" localSheetId="4" name="_16_06_662" vbProcedure="false">'Data Détecteur IA'!$A$1:$M$484</definedName>
    <definedName function="false" hidden="false" localSheetId="4" name="_16_06_663" vbProcedure="false">'Data Détecteur IA'!$A$1:$M$484</definedName>
    <definedName function="false" hidden="false" localSheetId="4" name="_16_06_664" vbProcedure="false">'Data Détecteur IA'!$A$1:$I$278</definedName>
    <definedName function="false" hidden="false" localSheetId="4" name="_16_06_665" vbProcedure="false">'Data Détecteur IA'!$A$1:$M$149</definedName>
    <definedName function="false" hidden="false" localSheetId="4" name="_16_06_666" vbProcedure="false">'Data Détecteur IA'!$A$1:$L$129</definedName>
    <definedName function="false" hidden="false" localSheetId="4" name="_16_06_667" vbProcedure="false">'Data Détecteur IA'!$A$1:$L$390</definedName>
    <definedName function="false" hidden="false" localSheetId="4" name="_16_06_668" vbProcedure="false">'Data Détecteur IA'!$A$1:$I$390</definedName>
    <definedName function="false" hidden="false" localSheetId="4" name="_16_06_669" vbProcedure="false">'Data Détecteur IA'!$A$1:$L$278</definedName>
    <definedName function="false" hidden="false" localSheetId="4" name="_16_06_67" vbProcedure="false">'Data Détecteur IA'!$A$1:$L$377</definedName>
    <definedName function="false" hidden="false" localSheetId="4" name="_16_06_670" vbProcedure="false">'Data Détecteur IA'!$A$1:$M$484</definedName>
    <definedName function="false" hidden="false" localSheetId="4" name="_16_06_671" vbProcedure="false">'Data Détecteur IA'!$A$1:$M$149</definedName>
    <definedName function="false" hidden="false" localSheetId="4" name="_16_06_672" vbProcedure="false">'Data Détecteur IA'!$A$1:$M$484</definedName>
    <definedName function="false" hidden="false" localSheetId="4" name="_16_06_673" vbProcedure="false">'Data Détecteur IA'!$A$1:$L$390</definedName>
    <definedName function="false" hidden="false" localSheetId="4" name="_16_06_674" vbProcedure="false">'Data Détecteur IA'!$A$1:$L$129</definedName>
    <definedName function="false" hidden="false" localSheetId="4" name="_16_06_675" vbProcedure="false">'Data Détecteur IA'!$A$1:$I$384</definedName>
    <definedName function="false" hidden="false" localSheetId="4" name="_16_06_676" vbProcedure="false">'Data Détecteur IA'!$A$1:$I$278</definedName>
    <definedName function="false" hidden="false" localSheetId="4" name="_16_06_677" vbProcedure="false">'Data Détecteur IA'!$A$1:$M$372</definedName>
    <definedName function="false" hidden="false" localSheetId="4" name="_16_06_678" vbProcedure="false">'Data Détecteur IA'!$A$1:$I$390</definedName>
    <definedName function="false" hidden="false" localSheetId="4" name="_16_06_679" vbProcedure="false">'Data Détecteur IA'!$A$1:$I$129</definedName>
    <definedName function="false" hidden="false" localSheetId="4" name="_16_06_68" vbProcedure="false">'Data Détecteur IA'!$A$1:$L$377</definedName>
    <definedName function="false" hidden="false" localSheetId="4" name="_16_06_680" vbProcedure="false">'Data Détecteur IA'!$A$1:$L$278</definedName>
    <definedName function="false" hidden="false" localSheetId="4" name="_16_06_681" vbProcedure="false">'Data Détecteur IA'!$A$1:$L$278</definedName>
    <definedName function="false" hidden="false" localSheetId="4" name="_16_06_682" vbProcedure="false">'Data Détecteur IA'!$A$1:$L$390</definedName>
    <definedName function="false" hidden="false" localSheetId="4" name="_16_06_683" vbProcedure="false">'Data Détecteur IA'!$A$1:$M$484</definedName>
    <definedName function="false" hidden="false" localSheetId="4" name="_16_06_684" vbProcedure="false">'Data Détecteur IA'!$A$1:$M$372</definedName>
    <definedName function="false" hidden="false" localSheetId="4" name="_16_06_685" vbProcedure="false">'Data Détecteur IA'!$A$1:$L$129</definedName>
    <definedName function="false" hidden="false" localSheetId="4" name="_16_06_686" vbProcedure="false">'Data Détecteur IA'!$A$1:$M$372</definedName>
    <definedName function="false" hidden="false" localSheetId="4" name="_16_06_687" vbProcedure="false">'Data Détecteur IA'!$A$1:$L$390</definedName>
    <definedName function="false" hidden="false" localSheetId="4" name="_16_06_688" vbProcedure="false">'Data Détecteur IA'!$A$1:$L$278</definedName>
    <definedName function="false" hidden="false" localSheetId="4" name="_16_06_689" vbProcedure="false">'Data Détecteur IA'!$A$1:$L$278</definedName>
    <definedName function="false" hidden="false" localSheetId="4" name="_16_06_69" vbProcedure="false">'Data Détecteur IA'!$A$1:$L$265</definedName>
    <definedName function="false" hidden="false" localSheetId="4" name="_16_06_690" vbProcedure="false">'Data Détecteur IA'!$A$1:$I$278</definedName>
    <definedName function="false" hidden="false" localSheetId="4" name="_16_06_691" vbProcedure="false">'Data Détecteur IA'!$A$1:$L$278</definedName>
    <definedName function="false" hidden="false" localSheetId="4" name="_16_06_692" vbProcedure="false">'Data Détecteur IA'!$A$1:$L$129</definedName>
    <definedName function="false" hidden="false" localSheetId="4" name="_16_06_693" vbProcedure="false">'Data Détecteur IA'!$A$1:$L$278</definedName>
    <definedName function="false" hidden="false" localSheetId="4" name="_16_06_694" vbProcedure="false">'Data Détecteur IA'!$A$1:$I$129</definedName>
    <definedName function="false" hidden="false" localSheetId="4" name="_16_06_695" vbProcedure="false">'Data Détecteur IA'!$A$1:$I$390</definedName>
    <definedName function="false" hidden="false" localSheetId="4" name="_16_06_696" vbProcedure="false">'Data Détecteur IA'!$A$1:$I$129</definedName>
    <definedName function="false" hidden="false" localSheetId="4" name="_16_06_697" vbProcedure="false">'Data Détecteur IA'!$A$1:$L$278</definedName>
    <definedName function="false" hidden="false" localSheetId="4" name="_16_06_698" vbProcedure="false">'Data Détecteur IA'!$A$1:$L$129</definedName>
    <definedName function="false" hidden="false" localSheetId="4" name="_16_06_699" vbProcedure="false">'Data Détecteur IA'!$A$1:$I$278</definedName>
    <definedName function="false" hidden="false" localSheetId="4" name="_16_06_70" vbProcedure="false">'Data Détecteur IA'!$A$1:$L$265</definedName>
    <definedName function="false" hidden="false" localSheetId="4" name="_16_06_700" vbProcedure="false">'Data Détecteur IA'!$A$1:$I$129</definedName>
    <definedName function="false" hidden="false" localSheetId="4" name="_16_06_701" vbProcedure="false">'Data Détecteur IA'!$A$1:$L$390</definedName>
    <definedName function="false" hidden="false" localSheetId="4" name="_16_06_702" vbProcedure="false">'Data Détecteur IA'!$A$1:$L$278</definedName>
    <definedName function="false" hidden="false" localSheetId="4" name="_16_06_703" vbProcedure="false">'Data Détecteur IA'!$A$1:$L$278</definedName>
    <definedName function="false" hidden="false" localSheetId="4" name="_16_06_704" vbProcedure="false">'Data Détecteur IA'!$A$1:$M$372</definedName>
    <definedName function="false" hidden="false" localSheetId="4" name="_16_06_705" vbProcedure="false">'Data Détecteur IA'!$A$1:$L$390</definedName>
    <definedName function="false" hidden="false" localSheetId="4" name="_16_06_706" vbProcedure="false">'Data Détecteur IA'!$A$1:$L$278</definedName>
    <definedName function="false" hidden="false" localSheetId="4" name="_16_06_707" vbProcedure="false">'Data Détecteur IA'!$A$1:$I$390</definedName>
    <definedName function="false" hidden="false" localSheetId="4" name="_16_06_708" vbProcedure="false">'Data Détecteur IA'!$A$1:$M$484</definedName>
    <definedName function="false" hidden="false" localSheetId="4" name="_16_06_709" vbProcedure="false">'Data Détecteur IA'!$A$1:$I$390</definedName>
    <definedName function="false" hidden="false" localSheetId="4" name="_16_06_71" vbProcedure="false">'Data Détecteur IA'!$A$1:$L$377</definedName>
    <definedName function="false" hidden="false" localSheetId="4" name="_16_06_710" vbProcedure="false">'Data Détecteur IA'!$A$1:$M$484</definedName>
    <definedName function="false" hidden="false" localSheetId="4" name="_16_06_711" vbProcedure="false">'Data Détecteur IA'!$A$1:$I$278</definedName>
    <definedName function="false" hidden="false" localSheetId="4" name="_16_06_712" vbProcedure="false">'Data Détecteur IA'!$A$1:$L$390</definedName>
    <definedName function="false" hidden="false" localSheetId="4" name="_16_06_713" vbProcedure="false">'Data Détecteur IA'!$A$1:$L$384</definedName>
    <definedName function="false" hidden="false" localSheetId="4" name="_16_06_714" vbProcedure="false">'Data Détecteur IA'!$A$1:$M$484</definedName>
    <definedName function="false" hidden="false" localSheetId="4" name="_16_06_715" vbProcedure="false">'Data Détecteur IA'!$A$1:$L$129</definedName>
    <definedName function="false" hidden="false" localSheetId="4" name="_16_06_716" vbProcedure="false">'Data Détecteur IA'!$A$1:$M$149</definedName>
    <definedName function="false" hidden="false" localSheetId="4" name="_16_06_717" vbProcedure="false">'Data Détecteur IA'!$A$1:$L$390</definedName>
    <definedName function="false" hidden="false" localSheetId="4" name="_16_06_718" vbProcedure="false">'Data Détecteur IA'!$A$1:$M$484</definedName>
    <definedName function="false" hidden="false" localSheetId="4" name="_16_06_719" vbProcedure="false">'Data Détecteur IA'!$A$1:$M$484</definedName>
    <definedName function="false" hidden="false" localSheetId="4" name="_16_06_72" vbProcedure="false">'Data Détecteur IA'!$A$1:$L$265</definedName>
    <definedName function="false" hidden="false" localSheetId="4" name="_16_06_720" vbProcedure="false">'Data Détecteur IA'!$A$1:$I$278</definedName>
    <definedName function="false" hidden="false" localSheetId="4" name="_16_06_721" vbProcedure="false">'Data Détecteur IA'!$A$1:$M$484</definedName>
    <definedName function="false" hidden="false" localSheetId="4" name="_16_06_722" vbProcedure="false">'Data Détecteur IA'!$A$1:$M$372</definedName>
    <definedName function="false" hidden="false" localSheetId="4" name="_16_06_723" vbProcedure="false">'Data Détecteur IA'!$A$1:$I$390</definedName>
    <definedName function="false" hidden="false" localSheetId="4" name="_16_06_724" vbProcedure="false">'Data Détecteur IA'!$A$1:$L$390</definedName>
    <definedName function="false" hidden="false" localSheetId="4" name="_16_06_725" vbProcedure="false">'Data Détecteur IA'!$A$1:$M$372</definedName>
    <definedName function="false" hidden="false" localSheetId="4" name="_16_06_726" vbProcedure="false">'Data Détecteur IA'!$A$1:$I$129</definedName>
    <definedName function="false" hidden="false" localSheetId="4" name="_16_06_727" vbProcedure="false">'Data Détecteur IA'!$A$1:$L$129</definedName>
    <definedName function="false" hidden="false" localSheetId="4" name="_16_06_728" vbProcedure="false">'Data Détecteur IA'!$A$1:$L$278</definedName>
    <definedName function="false" hidden="false" localSheetId="4" name="_16_06_729" vbProcedure="false">'Data Détecteur IA'!$A$1:$L$129</definedName>
    <definedName function="false" hidden="false" localSheetId="4" name="_16_06_73" vbProcedure="false">'Data Détecteur IA'!$A$1:$L$371</definedName>
    <definedName function="false" hidden="false" localSheetId="4" name="_16_06_730" vbProcedure="false">'Data Détecteur IA'!$A$1:$M$478</definedName>
    <definedName function="false" hidden="false" localSheetId="4" name="_16_06_731" vbProcedure="false">'Data Détecteur IA'!$A$1:$M$478</definedName>
    <definedName function="false" hidden="false" localSheetId="4" name="_16_06_732" vbProcedure="false">'Data Détecteur IA'!$A$1:$L$390</definedName>
    <definedName function="false" hidden="false" localSheetId="4" name="_16_06_733" vbProcedure="false">'Data Détecteur IA'!$A$1:$L$129</definedName>
    <definedName function="false" hidden="false" localSheetId="4" name="_16_06_734" vbProcedure="false">'Data Détecteur IA'!$A$1:$M$149</definedName>
    <definedName function="false" hidden="false" localSheetId="4" name="_16_06_735" vbProcedure="false">'Data Détecteur IA'!$A$1:$L$384</definedName>
    <definedName function="false" hidden="false" localSheetId="4" name="_16_06_736" vbProcedure="false">'Data Détecteur IA'!$A$1:$L$390</definedName>
    <definedName function="false" hidden="false" localSheetId="4" name="_16_06_737" vbProcedure="false">'Data Détecteur IA'!$A$1:$M$372</definedName>
    <definedName function="false" hidden="false" localSheetId="4" name="_16_06_738" vbProcedure="false">'Data Détecteur IA'!$A$1:$M$484</definedName>
    <definedName function="false" hidden="false" localSheetId="4" name="_16_06_739" vbProcedure="false">'Data Détecteur IA'!$A$1:$M$372</definedName>
    <definedName function="false" hidden="false" localSheetId="4" name="_16_06_74" vbProcedure="false">'Data Détecteur IA'!$A$1:$L$265</definedName>
    <definedName function="false" hidden="false" localSheetId="4" name="_16_06_740" vbProcedure="false">'Data Détecteur IA'!$A$1:$I$278</definedName>
    <definedName function="false" hidden="false" localSheetId="4" name="_16_06_741" vbProcedure="false">'Data Détecteur IA'!$A$1:$M$372</definedName>
    <definedName function="false" hidden="false" localSheetId="4" name="_16_06_742" vbProcedure="false">'Data Détecteur IA'!$A$1:$I$390</definedName>
    <definedName function="false" hidden="false" localSheetId="4" name="_16_06_743" vbProcedure="false">'Data Détecteur IA'!$A$1:$L$278</definedName>
    <definedName function="false" hidden="false" localSheetId="4" name="_16_06_744" vbProcedure="false">'Data Détecteur IA'!$A$1:$M$372</definedName>
    <definedName function="false" hidden="false" localSheetId="4" name="_16_06_745" vbProcedure="false">'Data Détecteur IA'!$A$1:$I$129</definedName>
    <definedName function="false" hidden="false" localSheetId="4" name="_16_06_746" vbProcedure="false">'Data Détecteur IA'!$A$1:$L$390</definedName>
    <definedName function="false" hidden="false" localSheetId="4" name="_16_06_747" vbProcedure="false">'Data Détecteur IA'!$A$1:$I$390</definedName>
    <definedName function="false" hidden="false" localSheetId="4" name="_16_06_748" vbProcedure="false">'Data Détecteur IA'!$A$1:$M$484</definedName>
    <definedName function="false" hidden="false" localSheetId="4" name="_16_06_749" vbProcedure="false">'Data Détecteur IA'!$A$1:$M$149</definedName>
    <definedName function="false" hidden="false" localSheetId="4" name="_16_06_75" vbProcedure="false">'Data Détecteur IA'!$A$1:$L$377</definedName>
    <definedName function="false" hidden="false" localSheetId="4" name="_16_06_750" vbProcedure="false">'Data Détecteur IA'!$A$1:$M$484</definedName>
    <definedName function="false" hidden="false" localSheetId="4" name="_16_06_751" vbProcedure="false">'Data Détecteur IA'!$A$1:$L$390</definedName>
    <definedName function="false" hidden="false" localSheetId="4" name="_16_06_752" vbProcedure="false">'Data Détecteur IA'!$A$1:$I$390</definedName>
    <definedName function="false" hidden="false" localSheetId="4" name="_16_06_753" vbProcedure="false">'Data Détecteur IA'!$A$1:$L$390</definedName>
    <definedName function="false" hidden="false" localSheetId="4" name="_16_06_754" vbProcedure="false">'Data Détecteur IA'!$A$1:$M$372</definedName>
    <definedName function="false" hidden="false" localSheetId="4" name="_16_06_755" vbProcedure="false">'Data Détecteur IA'!$A$1:$M$149</definedName>
    <definedName function="false" hidden="false" localSheetId="4" name="_16_06_756" vbProcedure="false">'Data Détecteur IA'!$A$1:$M$484</definedName>
    <definedName function="false" hidden="false" localSheetId="4" name="_16_06_757" vbProcedure="false">'Data Détecteur IA'!$A$1:$L$129</definedName>
    <definedName function="false" hidden="false" localSheetId="4" name="_16_06_758" vbProcedure="false">'Data Détecteur IA'!$A$1:$I$129</definedName>
    <definedName function="false" hidden="false" localSheetId="4" name="_16_06_759" vbProcedure="false">'Data Détecteur IA'!$A$1:$L$278</definedName>
    <definedName function="false" hidden="false" localSheetId="4" name="_16_06_76" vbProcedure="false">'Data Détecteur IA'!$A$1:$L$377</definedName>
    <definedName function="false" hidden="false" localSheetId="4" name="_16_06_760" vbProcedure="false">'Data Détecteur IA'!$A$1:$M$372</definedName>
    <definedName function="false" hidden="false" localSheetId="4" name="_16_06_761" vbProcedure="false">'Data Détecteur IA'!$A$1:$M$484</definedName>
    <definedName function="false" hidden="false" localSheetId="4" name="_16_06_762" vbProcedure="false">'Data Détecteur IA'!$A$1:$M$372</definedName>
    <definedName function="false" hidden="false" localSheetId="4" name="_16_06_763" vbProcedure="false">'Data Détecteur IA'!$A$1:$L$390</definedName>
    <definedName function="false" hidden="false" localSheetId="4" name="_16_06_764" vbProcedure="false">'Data Détecteur IA'!$A$1:$M$484</definedName>
    <definedName function="false" hidden="false" localSheetId="4" name="_16_06_765" vbProcedure="false">'Data Détecteur IA'!$A$1:$L$390</definedName>
    <definedName function="false" hidden="false" localSheetId="4" name="_16_06_766" vbProcedure="false">'Data Détecteur IA'!$A$1:$M$372</definedName>
    <definedName function="false" hidden="false" localSheetId="4" name="_16_06_767" vbProcedure="false">'Data Détecteur IA'!$A$1:$M$372</definedName>
    <definedName function="false" hidden="false" localSheetId="4" name="_16_06_768" vbProcedure="false">'Data Détecteur IA'!$A$1:$L$390</definedName>
    <definedName function="false" hidden="false" localSheetId="4" name="_16_06_769" vbProcedure="false">'Data Détecteur IA'!$A$1:$M$484</definedName>
    <definedName function="false" hidden="false" localSheetId="4" name="_16_06_77" vbProcedure="false">'Data Détecteur IA'!$A$1:$L$377</definedName>
    <definedName function="false" hidden="false" localSheetId="4" name="_16_06_770" vbProcedure="false">'Data Détecteur IA'!$A$1:$I$129</definedName>
    <definedName function="false" hidden="false" localSheetId="4" name="_16_06_771" vbProcedure="false">'Data Détecteur IA'!$A$1:$L$390</definedName>
    <definedName function="false" hidden="false" localSheetId="4" name="_16_06_772" vbProcedure="false">'Data Détecteur IA'!$A$1:$L$129</definedName>
    <definedName function="false" hidden="false" localSheetId="4" name="_16_06_773" vbProcedure="false">'Data Détecteur IA'!$A$1:$M$372</definedName>
    <definedName function="false" hidden="false" localSheetId="4" name="_16_06_774" vbProcedure="false">'Data Détecteur IA'!$A$1:$L$129</definedName>
    <definedName function="false" hidden="false" localSheetId="4" name="_16_06_775" vbProcedure="false">'Data Détecteur IA'!$A$1:$L$278</definedName>
    <definedName function="false" hidden="false" localSheetId="4" name="_16_06_776" vbProcedure="false">'Data Détecteur IA'!$A$1:$I$390</definedName>
    <definedName function="false" hidden="false" localSheetId="4" name="_16_06_777" vbProcedure="false">'Data Détecteur IA'!$A$1:$L$390</definedName>
    <definedName function="false" hidden="false" localSheetId="4" name="_16_06_778" vbProcedure="false">'Data Détecteur IA'!$A$1:$I$278</definedName>
    <definedName function="false" hidden="false" localSheetId="4" name="_16_06_779" vbProcedure="false">'Data Détecteur IA'!$A$1:$I$129</definedName>
    <definedName function="false" hidden="false" localSheetId="4" name="_16_06_78" vbProcedure="false">'Data Détecteur IA'!$A$1:$L$265</definedName>
    <definedName function="false" hidden="false" localSheetId="4" name="_16_06_780" vbProcedure="false">'Data Détecteur IA'!$A$1:$I$278</definedName>
    <definedName function="false" hidden="false" localSheetId="4" name="_16_06_781" vbProcedure="false">'Data Détecteur IA'!$A$1:$I$390</definedName>
    <definedName function="false" hidden="false" localSheetId="4" name="_16_06_782" vbProcedure="false">'Data Détecteur IA'!$A$1:$M$484</definedName>
    <definedName function="false" hidden="false" localSheetId="4" name="_16_06_783" vbProcedure="false">'Data Détecteur IA'!$A$1:$I$278</definedName>
    <definedName function="false" hidden="false" localSheetId="4" name="_16_06_784" vbProcedure="false">'Data Détecteur IA'!$A$1:$L$278</definedName>
    <definedName function="false" hidden="false" localSheetId="4" name="_16_06_785" vbProcedure="false">'Data Détecteur IA'!$A$1:$M$372</definedName>
    <definedName function="false" hidden="false" localSheetId="4" name="_16_06_786" vbProcedure="false">'Data Détecteur IA'!$A$1:$L$278</definedName>
    <definedName function="false" hidden="false" localSheetId="4" name="_16_06_787" vbProcedure="false">'Data Détecteur IA'!$A$1:$M$372</definedName>
    <definedName function="false" hidden="false" localSheetId="4" name="_16_06_788" vbProcedure="false">'Data Détecteur IA'!$A$1:$I$129</definedName>
    <definedName function="false" hidden="false" localSheetId="4" name="_16_06_789" vbProcedure="false">'Data Détecteur IA'!$A$1:$I$278</definedName>
    <definedName function="false" hidden="false" localSheetId="4" name="_16_06_79" vbProcedure="false">'Data Détecteur IA'!$A$1:$L$265</definedName>
    <definedName function="false" hidden="false" localSheetId="4" name="_16_06_790" vbProcedure="false">'Data Détecteur IA'!$A$1:$M$484</definedName>
    <definedName function="false" hidden="false" localSheetId="4" name="_16_06_791" vbProcedure="false">'Data Détecteur IA'!$A$1:$L$390</definedName>
    <definedName function="false" hidden="false" localSheetId="4" name="_16_06_792" vbProcedure="false">'Data Détecteur IA'!$A$1:$M$372</definedName>
    <definedName function="false" hidden="false" localSheetId="4" name="_16_06_793" vbProcedure="false">'Data Détecteur IA'!$A$1:$M$149</definedName>
    <definedName function="false" hidden="false" localSheetId="4" name="_16_06_794" vbProcedure="false">'Data Détecteur IA'!$A$1:$I$129</definedName>
    <definedName function="false" hidden="false" localSheetId="4" name="_16_06_795" vbProcedure="false">'Data Détecteur IA'!$A$1:$L$278</definedName>
    <definedName function="false" hidden="false" localSheetId="4" name="_16_06_796" vbProcedure="false">'Data Détecteur IA'!$A$1:$M$149</definedName>
    <definedName function="false" hidden="false" localSheetId="4" name="_16_06_797" vbProcedure="false">'Data Détecteur IA'!$A$1:$I$390</definedName>
    <definedName function="false" hidden="false" localSheetId="4" name="_16_06_798" vbProcedure="false">'Data Détecteur IA'!$A$1:$L$129</definedName>
    <definedName function="false" hidden="false" localSheetId="4" name="_16_06_799" vbProcedure="false">'Data Détecteur IA'!$A$1:$L$390</definedName>
    <definedName function="false" hidden="false" localSheetId="4" name="_16_06_80" vbProcedure="false">'Data Détecteur IA'!$A$1:$L$377</definedName>
    <definedName function="false" hidden="false" localSheetId="4" name="_16_06_800" vbProcedure="false">'Data Détecteur IA'!$A$1:$L$129</definedName>
    <definedName function="false" hidden="false" localSheetId="4" name="_16_06_801" vbProcedure="false">'Data Détecteur IA'!$A$1:$L$390</definedName>
    <definedName function="false" hidden="false" localSheetId="4" name="_16_06_802" vbProcedure="false">'Data Détecteur IA'!$A$1:$I$129</definedName>
    <definedName function="false" hidden="false" localSheetId="4" name="_16_06_803" vbProcedure="false">'Data Détecteur IA'!$A$1:$I$390</definedName>
    <definedName function="false" hidden="false" localSheetId="4" name="_16_06_804" vbProcedure="false">'Data Détecteur IA'!$A$1:$I$278</definedName>
    <definedName function="false" hidden="false" localSheetId="4" name="_16_06_805" vbProcedure="false">'Data Détecteur IA'!$A$1:$M$149</definedName>
    <definedName function="false" hidden="false" localSheetId="4" name="_16_06_806" vbProcedure="false">'Data Détecteur IA'!$A$1:$I$278</definedName>
    <definedName function="false" hidden="false" localSheetId="4" name="_16_06_807" vbProcedure="false">'Data Détecteur IA'!$A$1:$I$278</definedName>
    <definedName function="false" hidden="false" localSheetId="4" name="_16_06_808" vbProcedure="false">'Data Détecteur IA'!$A$1:$L$390</definedName>
    <definedName function="false" hidden="false" localSheetId="4" name="_16_06_809" vbProcedure="false">'Data Détecteur IA'!$A$1:$L$390</definedName>
    <definedName function="false" hidden="false" localSheetId="4" name="_16_06_81" vbProcedure="false">'Data Détecteur IA'!$A$1:$L$377</definedName>
    <definedName function="false" hidden="false" localSheetId="4" name="_16_06_810" vbProcedure="false">'Data Détecteur IA'!$A$1:$L$390</definedName>
    <definedName function="false" hidden="false" localSheetId="4" name="_16_06_811" vbProcedure="false">'Data Détecteur IA'!$A$1:$M$484</definedName>
    <definedName function="false" hidden="false" localSheetId="4" name="_16_06_812" vbProcedure="false">'Data Détecteur IA'!$A$1:$L$129</definedName>
    <definedName function="false" hidden="false" localSheetId="4" name="_16_06_813" vbProcedure="false">'Data Détecteur IA'!$A$1:$I$278</definedName>
    <definedName function="false" hidden="false" localSheetId="4" name="_16_06_814" vbProcedure="false">'Data Détecteur IA'!$A$1:$L$390</definedName>
    <definedName function="false" hidden="false" localSheetId="4" name="_16_06_815" vbProcedure="false">'Data Détecteur IA'!$A$1:$L$278</definedName>
    <definedName function="false" hidden="false" localSheetId="4" name="_16_06_816" vbProcedure="false">'Data Détecteur IA'!$A$1:$L$278</definedName>
    <definedName function="false" hidden="false" localSheetId="4" name="_16_06_817" vbProcedure="false">'Data Détecteur IA'!$A$1:$L$129</definedName>
    <definedName function="false" hidden="false" localSheetId="4" name="_16_06_818" vbProcedure="false">'Data Détecteur IA'!$A$1:$L$390</definedName>
    <definedName function="false" hidden="false" localSheetId="4" name="_16_06_819" vbProcedure="false">'Data Détecteur IA'!$A$1:$I$278</definedName>
    <definedName function="false" hidden="false" localSheetId="4" name="_16_06_82" vbProcedure="false">'Data Détecteur IA'!$A$1:$L$285</definedName>
    <definedName function="false" hidden="false" localSheetId="4" name="_16_06_820" vbProcedure="false">'Data Détecteur IA'!$A$1:$L$278</definedName>
    <definedName function="false" hidden="false" localSheetId="4" name="_16_06_821" vbProcedure="false">'Data Détecteur IA'!$A$1:$L$390</definedName>
    <definedName function="false" hidden="false" localSheetId="4" name="_16_06_822" vbProcedure="false">'Data Détecteur IA'!$A$1:$L$278</definedName>
    <definedName function="false" hidden="false" localSheetId="4" name="_16_06_823" vbProcedure="false">'Data Détecteur IA'!$A$1:$I$278</definedName>
    <definedName function="false" hidden="false" localSheetId="4" name="_16_06_824" vbProcedure="false">'Data Détecteur IA'!$A$1:$M$149</definedName>
    <definedName function="false" hidden="false" localSheetId="4" name="_16_06_825" vbProcedure="false">'Data Détecteur IA'!$A$1:$L$278</definedName>
    <definedName function="false" hidden="false" localSheetId="4" name="_16_06_826" vbProcedure="false">'Data Détecteur IA'!$A$1:$M$484</definedName>
    <definedName function="false" hidden="false" localSheetId="4" name="_16_06_827" vbProcedure="false">'Data Détecteur IA'!$A$1:$M$484</definedName>
    <definedName function="false" hidden="false" localSheetId="4" name="_16_06_828" vbProcedure="false">'Data Détecteur IA'!$A$1:$M$149</definedName>
    <definedName function="false" hidden="false" localSheetId="4" name="_16_06_829" vbProcedure="false">'Data Détecteur IA'!$A$1:$L$390</definedName>
    <definedName function="false" hidden="false" localSheetId="4" name="_16_06_83" vbProcedure="false">'Data Détecteur IA'!$A$1:$L$397</definedName>
    <definedName function="false" hidden="false" localSheetId="4" name="_16_06_830" vbProcedure="false">'Data Détecteur IA'!$A$1:$M$149</definedName>
    <definedName function="false" hidden="false" localSheetId="4" name="_16_06_831" vbProcedure="false">'Data Détecteur IA'!$A$1:$I$390</definedName>
    <definedName function="false" hidden="false" localSheetId="4" name="_16_06_832" vbProcedure="false">'Data Détecteur IA'!$A$1:$L$278</definedName>
    <definedName function="false" hidden="false" localSheetId="4" name="_16_06_833" vbProcedure="false">'Data Détecteur IA'!$A$1:$L$390</definedName>
    <definedName function="false" hidden="false" localSheetId="4" name="_16_06_834" vbProcedure="false">'Data Détecteur IA'!$A$1:$M$372</definedName>
    <definedName function="false" hidden="false" localSheetId="4" name="_16_06_835" vbProcedure="false">'Data Détecteur IA'!$A$1:$M$484</definedName>
    <definedName function="false" hidden="false" localSheetId="4" name="_16_06_836" vbProcedure="false">'Data Détecteur IA'!$A$1:$M$484</definedName>
    <definedName function="false" hidden="false" localSheetId="4" name="_16_06_837" vbProcedure="false">'Data Détecteur IA'!$A$1:$L$129</definedName>
    <definedName function="false" hidden="false" localSheetId="4" name="_16_06_838" vbProcedure="false">'Data Détecteur IA'!$A$1:$M$484</definedName>
    <definedName function="false" hidden="false" localSheetId="4" name="_16_06_839" vbProcedure="false">'Data Détecteur IA'!$A$1:$I$390</definedName>
    <definedName function="false" hidden="false" localSheetId="4" name="_16_06_84" vbProcedure="false">'Data Détecteur IA'!$A$1:$L$134</definedName>
    <definedName function="false" hidden="false" localSheetId="4" name="_16_06_840" vbProcedure="false">'Data Détecteur IA'!$A$1:$L$278</definedName>
    <definedName function="false" hidden="false" localSheetId="4" name="_16_06_841" vbProcedure="false">'Data Détecteur IA'!$A$1:$L$390</definedName>
    <definedName function="false" hidden="false" localSheetId="4" name="_16_06_842" vbProcedure="false">'Data Détecteur IA'!$A$1:$L$390</definedName>
    <definedName function="false" hidden="false" localSheetId="4" name="_16_06_843" vbProcedure="false">'Data Détecteur IA'!$A$1:$L$278</definedName>
    <definedName function="false" hidden="false" localSheetId="4" name="_16_06_844" vbProcedure="false">'Data Détecteur IA'!$A$1:$L$390</definedName>
    <definedName function="false" hidden="false" localSheetId="4" name="_16_06_845" vbProcedure="false">'Data Détecteur IA'!$A$1:$L$278</definedName>
    <definedName function="false" hidden="false" localSheetId="4" name="_16_06_846" vbProcedure="false">'Data Détecteur IA'!$A$1:$L$278</definedName>
    <definedName function="false" hidden="false" localSheetId="4" name="_16_06_847" vbProcedure="false">'Data Détecteur IA'!$A$1:$M$484</definedName>
    <definedName function="false" hidden="false" localSheetId="4" name="_16_06_848" vbProcedure="false">'Data Détecteur IA'!$A$1:$I$129</definedName>
    <definedName function="false" hidden="false" localSheetId="4" name="_16_06_849" vbProcedure="false">'Data Détecteur IA'!$A$1:$L$390</definedName>
    <definedName function="false" hidden="false" localSheetId="4" name="_16_06_85" vbProcedure="false">'Data Détecteur IA'!$A$1:$L$134</definedName>
    <definedName function="false" hidden="false" localSheetId="4" name="_16_06_850" vbProcedure="false">'Data Détecteur IA'!$A$1:$L$278</definedName>
    <definedName function="false" hidden="false" localSheetId="4" name="_16_06_851" vbProcedure="false">'Data Détecteur IA'!$A$1:$I$278</definedName>
    <definedName function="false" hidden="false" localSheetId="4" name="_16_06_852" vbProcedure="false">'Data Détecteur IA'!$A$1:$I$278</definedName>
    <definedName function="false" hidden="false" localSheetId="4" name="_16_06_853" vbProcedure="false">'Data Détecteur IA'!$A$1:$M$372</definedName>
    <definedName function="false" hidden="false" localSheetId="4" name="_16_06_854" vbProcedure="false">'Data Détecteur IA'!$A$1:$I$278</definedName>
    <definedName function="false" hidden="false" localSheetId="4" name="_16_06_855" vbProcedure="false">'Data Détecteur IA'!$A$1:$I$390</definedName>
    <definedName function="false" hidden="false" localSheetId="4" name="_16_06_856" vbProcedure="false">'Data Détecteur IA'!$A$1:$M$478</definedName>
    <definedName function="false" hidden="false" localSheetId="4" name="_16_06_857" vbProcedure="false">'Data Détecteur IA'!$A$1:$L$278</definedName>
    <definedName function="false" hidden="false" localSheetId="4" name="_16_06_858" vbProcedure="false">'Data Détecteur IA'!$A$1:$L$390</definedName>
    <definedName function="false" hidden="false" localSheetId="4" name="_16_06_859" vbProcedure="false">'Data Détecteur IA'!$A$1:$I$390</definedName>
    <definedName function="false" hidden="false" localSheetId="4" name="_16_06_86" vbProcedure="false">'Data Détecteur IA'!$A$1:$L$285</definedName>
    <definedName function="false" hidden="false" localSheetId="4" name="_16_06_860" vbProcedure="false">'Data Détecteur IA'!$A$1:$L$129</definedName>
    <definedName function="false" hidden="false" localSheetId="4" name="_16_06_861" vbProcedure="false">'Data Détecteur IA'!$A$1:$M$372</definedName>
    <definedName function="false" hidden="false" localSheetId="4" name="_16_06_862" vbProcedure="false">'Data Détecteur IA'!$A$1:$I$390</definedName>
    <definedName function="false" hidden="false" localSheetId="4" name="_16_06_863" vbProcedure="false">'Data Détecteur IA'!$A$1:$L$129</definedName>
    <definedName function="false" hidden="false" localSheetId="4" name="_16_06_864" vbProcedure="false">'Data Détecteur IA'!$A$1:$I$278</definedName>
    <definedName function="false" hidden="false" localSheetId="4" name="_16_06_865" vbProcedure="false">'Data Détecteur IA'!$A$1:$L$129</definedName>
    <definedName function="false" hidden="false" localSheetId="4" name="_16_06_866" vbProcedure="false">'Data Détecteur IA'!$A$1:$L$129</definedName>
    <definedName function="false" hidden="false" localSheetId="4" name="_16_06_867" vbProcedure="false">'Data Détecteur IA'!$A$1:$I$278</definedName>
    <definedName function="false" hidden="false" localSheetId="4" name="_16_06_868" vbProcedure="false">'Data Détecteur IA'!$A$1:$I$278</definedName>
    <definedName function="false" hidden="false" localSheetId="4" name="_16_06_869" vbProcedure="false">'Data Détecteur IA'!$A$1:$M$484</definedName>
    <definedName function="false" hidden="false" localSheetId="4" name="_16_06_87" vbProcedure="false">'Data Détecteur IA'!$A$1:$L$285</definedName>
    <definedName function="false" hidden="false" localSheetId="4" name="_16_06_870" vbProcedure="false">'Data Détecteur IA'!$A$1:$L$129</definedName>
    <definedName function="false" hidden="false" localSheetId="4" name="_16_06_871" vbProcedure="false">'Data Détecteur IA'!$A$1:$L$278</definedName>
    <definedName function="false" hidden="false" localSheetId="4" name="_16_06_872" vbProcedure="false">'Data Détecteur IA'!$A$1:$L$390</definedName>
    <definedName function="false" hidden="false" localSheetId="4" name="_16_06_873" vbProcedure="false">'Data Détecteur IA'!$A$1:$M$149</definedName>
    <definedName function="false" hidden="false" localSheetId="4" name="_16_06_874" vbProcedure="false">'Data Détecteur IA'!$A$1:$I$390</definedName>
    <definedName function="false" hidden="false" localSheetId="4" name="_16_06_875" vbProcedure="false">'Data Détecteur IA'!$A$1:$L$390</definedName>
    <definedName function="false" hidden="false" localSheetId="4" name="_16_06_876" vbProcedure="false">'Data Détecteur IA'!$A$1:$M$372</definedName>
    <definedName function="false" hidden="false" localSheetId="4" name="_16_06_877" vbProcedure="false">'Data Détecteur IA'!$A$1:$M$484</definedName>
    <definedName function="false" hidden="false" localSheetId="4" name="_16_06_878" vbProcedure="false">'Data Détecteur IA'!$A$1:$M$484</definedName>
    <definedName function="false" hidden="false" localSheetId="4" name="_16_06_879" vbProcedure="false">'Data Détecteur IA'!$A$1:$L$390</definedName>
    <definedName function="false" hidden="false" localSheetId="4" name="_16_06_88" vbProcedure="false">'Data Détecteur IA'!$A$1:$L$397</definedName>
    <definedName function="false" hidden="false" localSheetId="4" name="_16_06_880" vbProcedure="false">'Data Détecteur IA'!$A$1:$L$390</definedName>
    <definedName function="false" hidden="false" localSheetId="4" name="_16_06_881" vbProcedure="false">'Data Détecteur IA'!$A$1:$L$129</definedName>
    <definedName function="false" hidden="false" localSheetId="4" name="_16_06_882" vbProcedure="false">'Data Détecteur IA'!$A$1:$L$390</definedName>
    <definedName function="false" hidden="false" localSheetId="4" name="_16_06_883" vbProcedure="false">'Data Détecteur IA'!$A$1:$L$129</definedName>
    <definedName function="false" hidden="false" localSheetId="4" name="_16_06_884" vbProcedure="false">'Data Détecteur IA'!$A$1:$L$390</definedName>
    <definedName function="false" hidden="false" localSheetId="4" name="_16_06_885" vbProcedure="false">'Data Détecteur IA'!$A$1:$L$278</definedName>
    <definedName function="false" hidden="false" localSheetId="4" name="_16_06_886" vbProcedure="false">'Data Détecteur IA'!$A$1:$M$484</definedName>
    <definedName function="false" hidden="false" localSheetId="4" name="_16_06_887" vbProcedure="false">'Data Détecteur IA'!$A$1:$L$390</definedName>
    <definedName function="false" hidden="false" localSheetId="4" name="_16_06_888" vbProcedure="false">'Data Détecteur IA'!$A$1:$M$484</definedName>
    <definedName function="false" hidden="false" localSheetId="4" name="_16_06_889" vbProcedure="false">'Data Détecteur IA'!$A$1:$L$129</definedName>
    <definedName function="false" hidden="false" localSheetId="4" name="_16_06_89" vbProcedure="false">'Data Détecteur IA'!$A$1:$L$134</definedName>
    <definedName function="false" hidden="false" localSheetId="4" name="_16_06_890" vbProcedure="false">'Data Détecteur IA'!$A$1:$M$484</definedName>
    <definedName function="false" hidden="false" localSheetId="4" name="_16_06_891" vbProcedure="false">'Data Détecteur IA'!$A$1:$M$372</definedName>
    <definedName function="false" hidden="false" localSheetId="4" name="_16_06_892" vbProcedure="false">'Data Détecteur IA'!$A$1:$M$484</definedName>
    <definedName function="false" hidden="false" localSheetId="4" name="_16_06_893" vbProcedure="false">'Data Détecteur IA'!$A$1:$M$484</definedName>
    <definedName function="false" hidden="false" localSheetId="4" name="_16_06_894" vbProcedure="false">'Data Détecteur IA'!$A$1:$L$390</definedName>
    <definedName function="false" hidden="false" localSheetId="4" name="_16_06_895" vbProcedure="false">'Data Détecteur IA'!$A$1:$L$384</definedName>
    <definedName function="false" hidden="false" localSheetId="4" name="_16_06_896" vbProcedure="false">'Data Détecteur IA'!$A$1:$M$484</definedName>
    <definedName function="false" hidden="false" localSheetId="4" name="_16_06_897" vbProcedure="false">'Data Détecteur IA'!$A$1:$L$278</definedName>
    <definedName function="false" hidden="false" localSheetId="4" name="_16_06_898" vbProcedure="false">'Data Détecteur IA'!$A$1:$L$390</definedName>
    <definedName function="false" hidden="false" localSheetId="4" name="_16_06_899" vbProcedure="false">'Data Détecteur IA'!$A$1:$I$278</definedName>
    <definedName function="false" hidden="false" localSheetId="4" name="_16_06_90" vbProcedure="false">'Data Détecteur IA'!$A$1:$L$285</definedName>
    <definedName function="false" hidden="false" localSheetId="4" name="_16_06_900" vbProcedure="false">'Data Détecteur IA'!$A$1:$L$129</definedName>
    <definedName function="false" hidden="false" localSheetId="4" name="_16_06_901" vbProcedure="false">'Data Détecteur IA'!$A$1:$M$484</definedName>
    <definedName function="false" hidden="false" localSheetId="4" name="_16_06_902" vbProcedure="false">'Data Détecteur IA'!$A$1:$L$278</definedName>
    <definedName function="false" hidden="false" localSheetId="4" name="_16_06_903" vbProcedure="false">'Data Détecteur IA'!$A$1:$I$390</definedName>
    <definedName function="false" hidden="false" localSheetId="4" name="_16_06_904" vbProcedure="false">'Data Détecteur IA'!$A$1:$I$129</definedName>
    <definedName function="false" hidden="false" localSheetId="4" name="_16_06_905" vbProcedure="false">'Data Détecteur IA'!$A$1:$L$129</definedName>
    <definedName function="false" hidden="false" localSheetId="4" name="_16_06_906" vbProcedure="false">'Data Détecteur IA'!$A$1:$M$484</definedName>
    <definedName function="false" hidden="false" localSheetId="4" name="_16_06_907" vbProcedure="false">'Data Détecteur IA'!$A$1:$L$129</definedName>
    <definedName function="false" hidden="false" localSheetId="4" name="_16_06_908" vbProcedure="false">'Data Détecteur IA'!$A$1:$M$484</definedName>
    <definedName function="false" hidden="false" localSheetId="4" name="_16_06_909" vbProcedure="false">'Data Détecteur IA'!$A$1:$L$390</definedName>
    <definedName function="false" hidden="false" localSheetId="4" name="_16_06_91" vbProcedure="false">'Data Détecteur IA'!$A$1:$L$397</definedName>
    <definedName function="false" hidden="false" localSheetId="4" name="_16_06_910" vbProcedure="false">'Data Détecteur IA'!$A$1:$M$484</definedName>
    <definedName function="false" hidden="false" localSheetId="4" name="_16_06_911" vbProcedure="false">'Data Détecteur IA'!$A$1:$M$484</definedName>
    <definedName function="false" hidden="false" localSheetId="4" name="_16_06_912" vbProcedure="false">'Data Détecteur IA'!$A$1:$L$129</definedName>
    <definedName function="false" hidden="false" localSheetId="4" name="_16_06_913" vbProcedure="false">'Data Détecteur IA'!$A$1:$I$278</definedName>
    <definedName function="false" hidden="false" localSheetId="4" name="_16_06_914" vbProcedure="false">'Data Détecteur IA'!$A$1:$I$129</definedName>
    <definedName function="false" hidden="false" localSheetId="4" name="_16_06_915" vbProcedure="false">'Data Détecteur IA'!$A$1:$L$278</definedName>
    <definedName function="false" hidden="false" localSheetId="4" name="_16_06_916" vbProcedure="false">'Data Détecteur IA'!$A$1:$L$390</definedName>
    <definedName function="false" hidden="false" localSheetId="4" name="_16_06_917" vbProcedure="false">'Data Détecteur IA'!$A$1:$M$484</definedName>
    <definedName function="false" hidden="false" localSheetId="4" name="_16_06_918" vbProcedure="false">'Data Détecteur IA'!$A$1:$L$390</definedName>
    <definedName function="false" hidden="false" localSheetId="4" name="_16_06_919" vbProcedure="false">'Data Détecteur IA'!$A$1:$L$278</definedName>
    <definedName function="false" hidden="false" localSheetId="4" name="_16_06_92" vbProcedure="false">'Data Détecteur IA'!$A$1:$L$397</definedName>
    <definedName function="false" hidden="false" localSheetId="4" name="_16_06_920" vbProcedure="false">'Data Détecteur IA'!$A$1:$L$278</definedName>
    <definedName function="false" hidden="false" localSheetId="4" name="_16_06_921" vbProcedure="false">'Data Détecteur IA'!$A$1:$M$372</definedName>
    <definedName function="false" hidden="false" localSheetId="4" name="_16_06_922" vbProcedure="false">'Data Détecteur IA'!$A$1:$L$390</definedName>
    <definedName function="false" hidden="false" localSheetId="4" name="_16_06_923" vbProcedure="false">'Data Détecteur IA'!$A$1:$M$149</definedName>
    <definedName function="false" hidden="false" localSheetId="4" name="_16_06_924" vbProcedure="false">'Data Détecteur IA'!$A$1:$I$129</definedName>
    <definedName function="false" hidden="false" localSheetId="4" name="_16_06_925" vbProcedure="false">'Data Détecteur IA'!$A$1:$L$390</definedName>
    <definedName function="false" hidden="false" localSheetId="4" name="_16_06_926" vbProcedure="false">'Data Détecteur IA'!$A$1:$L$390</definedName>
    <definedName function="false" hidden="false" localSheetId="4" name="_16_06_927" vbProcedure="false">'Data Détecteur IA'!$A$1:$I$390</definedName>
    <definedName function="false" hidden="false" localSheetId="4" name="_16_06_928" vbProcedure="false">'Data Détecteur IA'!$A$1:$L$384</definedName>
    <definedName function="false" hidden="false" localSheetId="4" name="_16_06_929" vbProcedure="false">'Data Détecteur IA'!$A$1:$L$278</definedName>
    <definedName function="false" hidden="false" localSheetId="4" name="_16_06_93" vbProcedure="false">'Data Détecteur IA'!$A$1:$L$134</definedName>
    <definedName function="false" hidden="false" localSheetId="4" name="_16_06_930" vbProcedure="false">'Data Détecteur IA'!$A$1:$I$278</definedName>
    <definedName function="false" hidden="false" localSheetId="4" name="_16_06_931" vbProcedure="false">'Data Détecteur IA'!$A$1:$L$390</definedName>
    <definedName function="false" hidden="false" localSheetId="4" name="_16_06_932" vbProcedure="false">'Data Détecteur IA'!$A$1:$I$390</definedName>
    <definedName function="false" hidden="false" localSheetId="4" name="_16_06_933" vbProcedure="false">'Data Détecteur IA'!$A$1:$L$278</definedName>
    <definedName function="false" hidden="false" localSheetId="4" name="_16_06_934" vbProcedure="false">'Data Détecteur IA'!$A$1:$L$384</definedName>
    <definedName function="false" hidden="false" localSheetId="4" name="_16_06_935" vbProcedure="false">'Data Détecteur IA'!$A$1:$M$149</definedName>
    <definedName function="false" hidden="false" localSheetId="4" name="_16_06_936" vbProcedure="false">'Data Détecteur IA'!$A$1:$L$390</definedName>
    <definedName function="false" hidden="false" localSheetId="4" name="_16_06_937" vbProcedure="false">'Data Détecteur IA'!$A$1:$L$278</definedName>
    <definedName function="false" hidden="false" localSheetId="4" name="_16_06_938" vbProcedure="false">'Data Détecteur IA'!$A$1:$L$390</definedName>
    <definedName function="false" hidden="false" localSheetId="4" name="_16_06_939" vbProcedure="false">'Data Détecteur IA'!$A$1:$L$384</definedName>
    <definedName function="false" hidden="false" localSheetId="4" name="_16_06_94" vbProcedure="false">'Data Détecteur IA'!$A$1:$L$285</definedName>
    <definedName function="false" hidden="false" localSheetId="4" name="_16_06_940" vbProcedure="false">'Data Détecteur IA'!$A$1:$L$390</definedName>
    <definedName function="false" hidden="false" localSheetId="4" name="_16_06_941" vbProcedure="false">'Data Détecteur IA'!$A$1:$L$390</definedName>
    <definedName function="false" hidden="false" localSheetId="4" name="_16_06_942" vbProcedure="false">'Data Détecteur IA'!$A$1:$L$390</definedName>
    <definedName function="false" hidden="false" localSheetId="4" name="_16_06_943" vbProcedure="false">'Data Détecteur IA'!$A$1:$L$390</definedName>
    <definedName function="false" hidden="false" localSheetId="4" name="_16_06_944" vbProcedure="false">'Data Détecteur IA'!$A$1:$M$372</definedName>
    <definedName function="false" hidden="false" localSheetId="4" name="_16_06_945" vbProcedure="false">'Data Détecteur IA'!$A$1:$M$484</definedName>
    <definedName function="false" hidden="false" localSheetId="4" name="_16_06_946" vbProcedure="false">'Data Détecteur IA'!$A$1:$I$390</definedName>
    <definedName function="false" hidden="false" localSheetId="4" name="_16_06_947" vbProcedure="false">'Data Détecteur IA'!$A$1:$L$390</definedName>
    <definedName function="false" hidden="false" localSheetId="4" name="_16_06_948" vbProcedure="false">'Data Détecteur IA'!$A$1:$L$278</definedName>
    <definedName function="false" hidden="false" localSheetId="4" name="_16_06_949" vbProcedure="false">'Data Détecteur IA'!$A$1:$M$149</definedName>
    <definedName function="false" hidden="false" localSheetId="4" name="_16_06_95" vbProcedure="false">'Data Détecteur IA'!$A$1:$L$391</definedName>
    <definedName function="false" hidden="false" localSheetId="4" name="_16_06_950" vbProcedure="false">'Data Détecteur IA'!$A$1:$M$372</definedName>
    <definedName function="false" hidden="false" localSheetId="4" name="_16_06_951" vbProcedure="false">'Data Détecteur IA'!$A$1:$I$129</definedName>
    <definedName function="false" hidden="false" localSheetId="4" name="_16_06_952" vbProcedure="false">'Data Détecteur IA'!$A$1:$L$129</definedName>
    <definedName function="false" hidden="false" localSheetId="4" name="_16_06_953" vbProcedure="false">'Data Détecteur IA'!$A$1:$L$278</definedName>
    <definedName function="false" hidden="false" localSheetId="4" name="_16_06_954" vbProcedure="false">'Data Détecteur IA'!$A$1:$M$149</definedName>
    <definedName function="false" hidden="false" localSheetId="4" name="_16_06_955" vbProcedure="false">'Data Détecteur IA'!$A$1:$L$278</definedName>
    <definedName function="false" hidden="false" localSheetId="4" name="_16_06_956" vbProcedure="false">'Data Détecteur IA'!$A$1:$L$390</definedName>
    <definedName function="false" hidden="false" localSheetId="4" name="_16_06_957" vbProcedure="false">'Data Détecteur IA'!$A$1:$L$390</definedName>
    <definedName function="false" hidden="false" localSheetId="4" name="_16_06_958" vbProcedure="false">'Data Détecteur IA'!$A$1:$M$372</definedName>
    <definedName function="false" hidden="false" localSheetId="4" name="_16_06_959" vbProcedure="false">'Data Détecteur IA'!$A$1:$L$278</definedName>
    <definedName function="false" hidden="false" localSheetId="4" name="_16_06_96" vbProcedure="false">'Data Détecteur IA'!$A$1:$L$285</definedName>
    <definedName function="false" hidden="false" localSheetId="4" name="_16_06_960" vbProcedure="false">'Data Détecteur IA'!$A$1:$L$390</definedName>
    <definedName function="false" hidden="false" localSheetId="4" name="_16_06_961" vbProcedure="false">'Data Détecteur IA'!$A$1:$L$390</definedName>
    <definedName function="false" hidden="false" localSheetId="4" name="_16_06_962" vbProcedure="false">'Data Détecteur IA'!$A$1:$L$129</definedName>
    <definedName function="false" hidden="false" localSheetId="4" name="_16_06_963" vbProcedure="false">'Data Détecteur IA'!$A$1:$L$129</definedName>
    <definedName function="false" hidden="false" localSheetId="4" name="_16_06_964" vbProcedure="false">'Data Détecteur IA'!$A$1:$M$484</definedName>
    <definedName function="false" hidden="false" localSheetId="4" name="_16_06_965" vbProcedure="false">'Data Détecteur IA'!$A$1:$L$390</definedName>
    <definedName function="false" hidden="false" localSheetId="4" name="_16_06_966" vbProcedure="false">'Data Détecteur IA'!$A$1:$M$484</definedName>
    <definedName function="false" hidden="false" localSheetId="4" name="_16_06_967" vbProcedure="false">'Data Détecteur IA'!$A$1:$L$278</definedName>
    <definedName function="false" hidden="false" localSheetId="4" name="_16_06_968" vbProcedure="false">'Data Détecteur IA'!$A$1:$L$390</definedName>
    <definedName function="false" hidden="false" localSheetId="4" name="_16_06_969" vbProcedure="false">'Data Détecteur IA'!$A$1:$L$278</definedName>
    <definedName function="false" hidden="false" localSheetId="4" name="_16_06_97" vbProcedure="false">'Data Détecteur IA'!$A$1:$L$285</definedName>
    <definedName function="false" hidden="false" localSheetId="4" name="_16_06_970" vbProcedure="false">'Data Détecteur IA'!$A$1:$I$390</definedName>
    <definedName function="false" hidden="false" localSheetId="4" name="_16_06_971" vbProcedure="false">'Data Détecteur IA'!$A$1:$L$129</definedName>
    <definedName function="false" hidden="false" localSheetId="4" name="_16_06_972" vbProcedure="false">'Data Détecteur IA'!$A$1:$L$278</definedName>
    <definedName function="false" hidden="false" localSheetId="4" name="_16_06_973" vbProcedure="false">'Data Détecteur IA'!$A$1:$L$390</definedName>
    <definedName function="false" hidden="false" localSheetId="4" name="_16_06_974" vbProcedure="false">'Data Détecteur IA'!$A$1:$L$390</definedName>
    <definedName function="false" hidden="false" localSheetId="4" name="_16_06_975" vbProcedure="false">'Data Détecteur IA'!$A$1:$L$129</definedName>
    <definedName function="false" hidden="false" localSheetId="4" name="_16_06_976" vbProcedure="false">'Data Détecteur IA'!$A$1:$L$390</definedName>
    <definedName function="false" hidden="false" localSheetId="4" name="_16_06_977" vbProcedure="false">'Data Détecteur IA'!$A$1:$M$484</definedName>
    <definedName function="false" hidden="false" localSheetId="4" name="_16_06_978" vbProcedure="false">'Data Détecteur IA'!$A$1:$M$372</definedName>
    <definedName function="false" hidden="false" localSheetId="4" name="_16_06_979" vbProcedure="false">'Data Détecteur IA'!$A$1:$M$484</definedName>
    <definedName function="false" hidden="false" localSheetId="4" name="_16_06_98" vbProcedure="false">'Data Détecteur IA'!$A$1:$L$134</definedName>
    <definedName function="false" hidden="false" localSheetId="4" name="_16_06_980" vbProcedure="false">'Data Détecteur IA'!$A$1:$M$372</definedName>
    <definedName function="false" hidden="false" localSheetId="4" name="_16_06_981" vbProcedure="false">'Data Détecteur IA'!$A$1:$M$149</definedName>
    <definedName function="false" hidden="false" localSheetId="4" name="_16_06_982" vbProcedure="false">'Data Détecteur IA'!$A$1:$I$278</definedName>
    <definedName function="false" hidden="false" localSheetId="4" name="_16_06_983" vbProcedure="false">'Data Détecteur IA'!$A$1:$M$484</definedName>
    <definedName function="false" hidden="false" localSheetId="4" name="_16_06_984" vbProcedure="false">'Data Détecteur IA'!$A$1:$L$390</definedName>
    <definedName function="false" hidden="false" localSheetId="4" name="_16_06_985" vbProcedure="false">'Data Détecteur IA'!$A$1:$M$484</definedName>
    <definedName function="false" hidden="false" localSheetId="4" name="_16_06_986" vbProcedure="false">'Data Détecteur IA'!$A$1:$I$390</definedName>
    <definedName function="false" hidden="false" localSheetId="4" name="_16_06_987" vbProcedure="false">'Data Détecteur IA'!$A$1:$I$129</definedName>
    <definedName function="false" hidden="false" localSheetId="4" name="_16_06_988" vbProcedure="false">'Data Détecteur IA'!$A$1:$I$278</definedName>
    <definedName function="false" hidden="false" localSheetId="4" name="_16_06_989" vbProcedure="false">'Data Détecteur IA'!$A$1:$L$129</definedName>
    <definedName function="false" hidden="false" localSheetId="4" name="_16_06_99" vbProcedure="false">'Data Détecteur IA'!$A$1:$L$397</definedName>
    <definedName function="false" hidden="false" localSheetId="4" name="_16_06_990" vbProcedure="false">'Data Détecteur IA'!$A$1:$I$129</definedName>
    <definedName function="false" hidden="false" localSheetId="4" name="_16_06_991" vbProcedure="false">'Data Détecteur IA'!$A$1:$I$129</definedName>
    <definedName function="false" hidden="false" localSheetId="4" name="_16_06_992" vbProcedure="false">'Data Détecteur IA'!$A$1:$I$390</definedName>
    <definedName function="false" hidden="false" localSheetId="4" name="_16_06_993" vbProcedure="false">'Data Détecteur IA'!$A$1:$M$372</definedName>
    <definedName function="false" hidden="false" localSheetId="4" name="_16_06_994" vbProcedure="false">'Data Détecteur IA'!$A$1:$L$278</definedName>
    <definedName function="false" hidden="false" localSheetId="4" name="_16_06_995" vbProcedure="false">'Data Détecteur IA'!$A$1:$L$278</definedName>
    <definedName function="false" hidden="false" localSheetId="4" name="_16_06_996" vbProcedure="false">'Data Détecteur IA'!$A$1:$M$372</definedName>
    <definedName function="false" hidden="false" localSheetId="4" name="_16_06_997" vbProcedure="false">'Data Détecteur IA'!$A$1:$L$278</definedName>
    <definedName function="false" hidden="false" localSheetId="4" name="_16_06_998" vbProcedure="false">'Data Détecteur IA'!$A$1:$M$484</definedName>
    <definedName function="false" hidden="false" localSheetId="4" name="_16_06_999" vbProcedure="false">'Data Détecteur IA'!$A$1:$L$129</definedName>
    <definedName function="false" hidden="false" localSheetId="4" name="_884151479245148968_25_05_23_3" vbProcedure="false">'Data Détecteur IA'!$A$1:$E$61</definedName>
    <definedName function="false" hidden="false" localSheetId="4" name="_884151479245148968_25_05_23_3_1" vbProcedure="false">'Data Détecteur IA'!$A$1:$E$61</definedName>
    <definedName function="false" hidden="false" localSheetId="4" name="_884151479245148968_25_05_23_3_2" vbProcedure="false">'Data Détecteur IA'!$A$1:$E$61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5" authorId="0">
      <text>
        <r>
          <rPr>
            <sz val="10"/>
            <rFont val="Arial"/>
            <family val="2"/>
          </rPr>
          <t xml:space="preserve">Nathalie DEBUS: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  <comment ref="BG55" authorId="0">
      <text>
        <r>
          <rPr>
            <sz val="10"/>
            <rFont val="Arial"/>
            <family val="2"/>
          </rPr>
          <t xml:space="preserve">Nathalie DEBUS: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1" authorId="0">
      <text>
        <r>
          <rPr>
            <sz val="10"/>
            <rFont val="Arial"/>
            <family val="2"/>
            <charset val="1"/>
          </rPr>
          <t xml:space="preserve">Nathalie DEBUS: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</commentList>
</comments>
</file>

<file path=xl/sharedStrings.xml><?xml version="1.0" encoding="utf-8"?>
<sst xmlns="http://schemas.openxmlformats.org/spreadsheetml/2006/main" count="2008" uniqueCount="251">
  <si>
    <t xml:space="preserve">Programme cadre CNE: FGA et Effet mâle - ODARC (Altiani, Corse) - 2025</t>
  </si>
  <si>
    <t xml:space="preserve">Tonte</t>
  </si>
  <si>
    <t xml:space="preserve">Pose éponges</t>
  </si>
  <si>
    <t xml:space="preserve">Pose harnais sur béliers</t>
  </si>
  <si>
    <t xml:space="preserve">12h</t>
  </si>
  <si>
    <t xml:space="preserve">Pour qu'ils s'habituent</t>
  </si>
  <si>
    <t xml:space="preserve">Retrait éponges + pose tags</t>
  </si>
  <si>
    <t xml:space="preserve">entre 6h57 et 7h09</t>
  </si>
  <si>
    <t xml:space="preserve">Retrait éponges lot PMSG</t>
  </si>
  <si>
    <t xml:space="preserve">entre 7h52 et 8h46</t>
  </si>
  <si>
    <t xml:space="preserve">Présence d'un bélier dans le lot PMSG</t>
  </si>
  <si>
    <t xml:space="preserve">Intro bélier</t>
  </si>
  <si>
    <t xml:space="preserve">à 7h14</t>
  </si>
  <si>
    <t xml:space="preserve">IA</t>
  </si>
  <si>
    <t xml:space="preserve">entre 16h et 16h26</t>
  </si>
  <si>
    <t xml:space="preserve">IA lot PMSG</t>
  </si>
  <si>
    <t xml:space="preserve">entre 15h et 15h39</t>
  </si>
  <si>
    <t xml:space="preserve">Fin Suivi chaleur</t>
  </si>
  <si>
    <t xml:space="preserve">Intro Bélier retour</t>
  </si>
  <si>
    <t xml:space="preserve">Retrait Bélier retour</t>
  </si>
  <si>
    <t xml:space="preserve">Echographie</t>
  </si>
  <si>
    <t xml:space="preserve">2ème Echo</t>
  </si>
  <si>
    <t xml:space="preserve">Béliers Corses vasectomisés équipés de détecteurs ovimate</t>
  </si>
  <si>
    <t xml:space="preserve">Béliers</t>
  </si>
  <si>
    <t xml:space="preserve">Harnais</t>
  </si>
  <si>
    <t xml:space="preserve">Alpha</t>
  </si>
  <si>
    <t xml:space="preserve">Housse</t>
  </si>
  <si>
    <t xml:space="preserve">91807 (bélier noir)</t>
  </si>
  <si>
    <t xml:space="preserve">Beige</t>
  </si>
  <si>
    <t xml:space="preserve">Kaki</t>
  </si>
  <si>
    <t xml:space="preserve">Orangée</t>
  </si>
  <si>
    <t xml:space="preserve">IA si début des chaleurs entre 0 et 35 avant le moment de l'IA et au moins 3ch</t>
  </si>
  <si>
    <t xml:space="preserve">IA 55h à 14h00 le 22/05/25</t>
  </si>
  <si>
    <t xml:space="preserve">Début des chaleurs à partir de 3h00 le 21/05/25</t>
  </si>
  <si>
    <t xml:space="preserve">Si IA à 57h à 16h00 le 22/05/25</t>
  </si>
  <si>
    <t xml:space="preserve">Début des chaleurs à partir de 5h00 le 21/05/25</t>
  </si>
  <si>
    <t xml:space="preserve">Si IA à 60h à 19h00 le 22/05/25</t>
  </si>
  <si>
    <t xml:space="preserve">Début des chaleurs à partir de 8h00 le 21/05/25</t>
  </si>
  <si>
    <t xml:space="preserve">Si IA à 73h à 8h00 le 23/05/25</t>
  </si>
  <si>
    <t xml:space="preserve">Début des chaleurs à partir de 21h00 le 21/05/25</t>
  </si>
  <si>
    <t xml:space="preserve">Activité des béliers </t>
  </si>
  <si>
    <t xml:space="preserve">Le 22/05/25 à 16h30: 91001, 163 lectures, 93202 (le bon de 2023 et 2024) 8 lectures, 91807 (le noir) 1 lecture mais il a réussi à passer sa pâte dans le harnais est la poire est sur le côté au lieu d'être au milieu donc ça doit le géner et si il chevauche il n'y a pas de lecture</t>
  </si>
  <si>
    <t xml:space="preserve">cf onglet Data Activité Béliers</t>
  </si>
  <si>
    <t xml:space="preserve">Le bélier noir est assez apathique</t>
  </si>
  <si>
    <t xml:space="preserve">Planning manips printemps 2025</t>
  </si>
  <si>
    <t xml:space="preserve">50 brebis</t>
  </si>
  <si>
    <t xml:space="preserve">FGA et Effet mâle</t>
  </si>
  <si>
    <t xml:space="preserve">Corsia Altiani</t>
  </si>
  <si>
    <t xml:space="preserve">Proposition</t>
  </si>
  <si>
    <t xml:space="preserve">Tunisie</t>
  </si>
  <si>
    <t xml:space="preserve">S</t>
  </si>
  <si>
    <t xml:space="preserve">D</t>
  </si>
  <si>
    <t xml:space="preserve">L</t>
  </si>
  <si>
    <t xml:space="preserve">M</t>
  </si>
  <si>
    <t xml:space="preserve">Pose Eponges</t>
  </si>
  <si>
    <t xml:space="preserve">J</t>
  </si>
  <si>
    <t xml:space="preserve">V</t>
  </si>
  <si>
    <t xml:space="preserve">Pose tags + Equipement béliers</t>
  </si>
  <si>
    <t xml:space="preserve">Retrait éponges + intro 3 béliers avec détecteur</t>
  </si>
  <si>
    <t xml:space="preserve">Suivi chaleurs </t>
  </si>
  <si>
    <t xml:space="preserve">Suivi chaleurs + IA</t>
  </si>
  <si>
    <t xml:space="preserve">Suivi chaleurs</t>
  </si>
  <si>
    <t xml:space="preserve">Béliers retour</t>
  </si>
  <si>
    <t xml:space="preserve">Echorgraphies</t>
  </si>
  <si>
    <t xml:space="preserve">N° W</t>
  </si>
  <si>
    <t xml:space="preserve">N° brebis</t>
  </si>
  <si>
    <t xml:space="preserve">N° Puce</t>
  </si>
  <si>
    <t xml:space="preserve">190055</t>
  </si>
  <si>
    <t xml:space="preserve">240271</t>
  </si>
  <si>
    <t xml:space="preserve">X</t>
  </si>
  <si>
    <t xml:space="preserve">190062</t>
  </si>
  <si>
    <t xml:space="preserve">230109</t>
  </si>
  <si>
    <t xml:space="preserve">200952</t>
  </si>
  <si>
    <t xml:space="preserve">200961</t>
  </si>
  <si>
    <t xml:space="preserve">230125</t>
  </si>
  <si>
    <t xml:space="preserve">210259</t>
  </si>
  <si>
    <t xml:space="preserve">220230</t>
  </si>
  <si>
    <t xml:space="preserve">210262</t>
  </si>
  <si>
    <t xml:space="preserve">240274</t>
  </si>
  <si>
    <t xml:space="preserve">210265</t>
  </si>
  <si>
    <t xml:space="preserve">220221</t>
  </si>
  <si>
    <t xml:space="preserve">210277</t>
  </si>
  <si>
    <t xml:space="preserve">220205</t>
  </si>
  <si>
    <t xml:space="preserve">210279</t>
  </si>
  <si>
    <t xml:space="preserve">230124</t>
  </si>
  <si>
    <t xml:space="preserve">210281</t>
  </si>
  <si>
    <t xml:space="preserve">220223</t>
  </si>
  <si>
    <t xml:space="preserve">210282</t>
  </si>
  <si>
    <t xml:space="preserve">210283</t>
  </si>
  <si>
    <t xml:space="preserve">220211</t>
  </si>
  <si>
    <t xml:space="preserve">210284</t>
  </si>
  <si>
    <t xml:space="preserve">220203</t>
  </si>
  <si>
    <t xml:space="preserve">220220</t>
  </si>
  <si>
    <t xml:space="preserve">230131</t>
  </si>
  <si>
    <t xml:space="preserve">220206</t>
  </si>
  <si>
    <t xml:space="preserve">230137</t>
  </si>
  <si>
    <t xml:space="preserve">230127</t>
  </si>
  <si>
    <t xml:space="preserve">x</t>
  </si>
  <si>
    <t xml:space="preserve">220215</t>
  </si>
  <si>
    <t xml:space="preserve">220242</t>
  </si>
  <si>
    <t xml:space="preserve">220222</t>
  </si>
  <si>
    <t xml:space="preserve">220231</t>
  </si>
  <si>
    <t xml:space="preserve">230132</t>
  </si>
  <si>
    <t xml:space="preserve">220245</t>
  </si>
  <si>
    <t xml:space="preserve">220238</t>
  </si>
  <si>
    <t xml:space="preserve">220241</t>
  </si>
  <si>
    <t xml:space="preserve">230106</t>
  </si>
  <si>
    <t xml:space="preserve">240278</t>
  </si>
  <si>
    <t xml:space="preserve">230142</t>
  </si>
  <si>
    <t xml:space="preserve">240288</t>
  </si>
  <si>
    <t xml:space="preserve">230136</t>
  </si>
  <si>
    <t xml:space="preserve">230120</t>
  </si>
  <si>
    <t xml:space="preserve">230123</t>
  </si>
  <si>
    <t xml:space="preserve">240267</t>
  </si>
  <si>
    <t xml:space="preserve">230129</t>
  </si>
  <si>
    <t xml:space="preserve">240257</t>
  </si>
  <si>
    <t xml:space="preserve">240282</t>
  </si>
  <si>
    <t xml:space="preserve">230139</t>
  </si>
  <si>
    <t xml:space="preserve">240265</t>
  </si>
  <si>
    <t xml:space="preserve">N</t>
  </si>
  <si>
    <t xml:space="preserve"> ID</t>
  </si>
  <si>
    <t xml:space="preserve">N° Alpha</t>
  </si>
  <si>
    <t xml:space="preserve">N° Bélier</t>
  </si>
  <si>
    <t xml:space="preserve"> TAG</t>
  </si>
  <si>
    <t xml:space="preserve">N° Brebis</t>
  </si>
  <si>
    <t xml:space="preserve">N° W brebis</t>
  </si>
  <si>
    <t xml:space="preserve"> DATE (dd_mm_yyyy)</t>
  </si>
  <si>
    <t xml:space="preserve"> TIME</t>
  </si>
  <si>
    <t xml:space="preserve">Nb Chev Béliers</t>
  </si>
  <si>
    <t xml:space="preserve">Nb Chev Brebis</t>
  </si>
  <si>
    <t xml:space="preserve">N° Ordre Brebis</t>
  </si>
  <si>
    <t xml:space="preserve">ID-322125367847</t>
  </si>
  <si>
    <t xml:space="preserve">Alpha 15</t>
  </si>
  <si>
    <t xml:space="preserve">190063</t>
  </si>
  <si>
    <t xml:space="preserve">ID-322125371956</t>
  </si>
  <si>
    <t xml:space="preserve">Alpha 14</t>
  </si>
  <si>
    <t xml:space="preserve">ID-322125376288</t>
  </si>
  <si>
    <t xml:space="preserve">Alpha 16</t>
  </si>
  <si>
    <t xml:space="preserve">Lot Effet mâle</t>
  </si>
  <si>
    <t xml:space="preserve">Production laitière (monotraite)</t>
  </si>
  <si>
    <t xml:space="preserve">Suivi chaleur - IA</t>
  </si>
  <si>
    <t xml:space="preserve">Echo (07/07/25)</t>
  </si>
  <si>
    <t xml:space="preserve">N° travail</t>
  </si>
  <si>
    <t xml:space="preserve">num</t>
  </si>
  <si>
    <t xml:space="preserve">Lot</t>
  </si>
  <si>
    <t xml:space="preserve">N° Glasstag</t>
  </si>
  <si>
    <t xml:space="preserve">Date naissance</t>
  </si>
  <si>
    <t xml:space="preserve">Age</t>
  </si>
  <si>
    <t xml:space="preserve">Mise bas </t>
  </si>
  <si>
    <t xml:space="preserve">Nb agneaux</t>
  </si>
  <si>
    <t xml:space="preserve">Interv MB IA</t>
  </si>
  <si>
    <t xml:space="preserve">Interv MB-EM (jours)</t>
  </si>
  <si>
    <t xml:space="preserve">NEC 1
10/10/23</t>
  </si>
  <si>
    <t xml:space="preserve">NEC 2
29/11/23</t>
  </si>
  <si>
    <t xml:space="preserve">NEC 3
10/04/24</t>
  </si>
  <si>
    <t xml:space="preserve">NEC 4
28/05/24</t>
  </si>
  <si>
    <t xml:space="preserve">Index (Isyn)</t>
  </si>
  <si>
    <t xml:space="preserve">Lactation  (llait)</t>
  </si>
  <si>
    <t xml:space="preserve">Lactation moyenne</t>
  </si>
  <si>
    <t xml:space="preserve">Duree traite moyenne</t>
  </si>
  <si>
    <t xml:space="preserve">CLO 1</t>
  </si>
  <si>
    <t xml:space="preserve">CLO 2</t>
  </si>
  <si>
    <t xml:space="preserve">CLO 3</t>
  </si>
  <si>
    <t xml:space="preserve">CLO 4</t>
  </si>
  <si>
    <t xml:space="preserve">CLO 5</t>
  </si>
  <si>
    <t xml:space="preserve">CLO 6</t>
  </si>
  <si>
    <t xml:space="preserve">CLO 7</t>
  </si>
  <si>
    <t xml:space="preserve">Heure retrait éponge</t>
  </si>
  <si>
    <t xml:space="preserve">N° ordre brebis</t>
  </si>
  <si>
    <t xml:space="preserve">Jour + Heure début</t>
  </si>
  <si>
    <t xml:space="preserve">Jour + Heure fin</t>
  </si>
  <si>
    <t xml:space="preserve">Durée chaleur (h)</t>
  </si>
  <si>
    <t xml:space="preserve">Durée chaleur corrigée (h)</t>
  </si>
  <si>
    <t xml:space="preserve">Début chaleur/retrait éponges (h)</t>
  </si>
  <si>
    <t xml:space="preserve">Début chaleur + 35h (en h)</t>
  </si>
  <si>
    <t xml:space="preserve">Nb Chev cumules</t>
  </si>
  <si>
    <t xml:space="preserve">Nb béliers</t>
  </si>
  <si>
    <t xml:space="preserve">N° béliers</t>
  </si>
  <si>
    <t xml:space="preserve">Date IA</t>
  </si>
  <si>
    <t xml:space="preserve">Heure IA</t>
  </si>
  <si>
    <t xml:space="preserve">Bélier IA</t>
  </si>
  <si>
    <t xml:space="preserve">Intervalle Debut chaleur-IA</t>
  </si>
  <si>
    <t xml:space="preserve">Intervalle IA-Echo</t>
  </si>
  <si>
    <t xml:space="preserve">Echo</t>
  </si>
  <si>
    <t xml:space="preserve">Stade Cor Agnelage</t>
  </si>
  <si>
    <t xml:space="preserve">Nbre Agneaux</t>
  </si>
  <si>
    <t xml:space="preserve">Nb Agneaux Vivants MB 2025</t>
  </si>
  <si>
    <t xml:space="preserve">Nb Morts Nés MB 2025</t>
  </si>
  <si>
    <t xml:space="preserve">Date agnelage</t>
  </si>
  <si>
    <t xml:space="preserve">Date theorique agnelage</t>
  </si>
  <si>
    <t xml:space="preserve">Cible IA</t>
  </si>
  <si>
    <t xml:space="preserve">Durée gesta</t>
  </si>
  <si>
    <t xml:space="preserve">Pas vue Alpha</t>
  </si>
  <si>
    <t xml:space="preserve">Observations</t>
  </si>
  <si>
    <t xml:space="preserve">expe</t>
  </si>
  <si>
    <t xml:space="preserve">15,16</t>
  </si>
  <si>
    <t xml:space="preserve">Retour</t>
  </si>
  <si>
    <t xml:space="preserve">Oui</t>
  </si>
  <si>
    <t xml:space="preserve">Pas vue</t>
  </si>
  <si>
    <t xml:space="preserve">15</t>
  </si>
  <si>
    <t xml:space="preserve">Vide</t>
  </si>
  <si>
    <t xml:space="preserve">14,15</t>
  </si>
  <si>
    <t xml:space="preserve">16</t>
  </si>
  <si>
    <t xml:space="preserve">2éme R</t>
  </si>
  <si>
    <t xml:space="preserve">Pas inséminée</t>
  </si>
  <si>
    <t xml:space="preserve">Eponge perdue</t>
  </si>
  <si>
    <t xml:space="preserve">Toutes</t>
  </si>
  <si>
    <t xml:space="preserve">Dans la cible</t>
  </si>
  <si>
    <t xml:space="preserve">Hors cibles</t>
  </si>
  <si>
    <t xml:space="preserve">ou pas vues</t>
  </si>
  <si>
    <t xml:space="preserve">Pleines</t>
  </si>
  <si>
    <t xml:space="preserve">Rattrapage</t>
  </si>
  <si>
    <t xml:space="preserve">Vides</t>
  </si>
  <si>
    <t xml:space="preserve">IA à 55h</t>
  </si>
  <si>
    <t xml:space="preserve">26 pleines de l'IA/49 (50-1 éponge perdue) soit 53,1%</t>
  </si>
  <si>
    <t xml:space="preserve">33 agnelages de l'IA/50 soit 66%</t>
  </si>
  <si>
    <t xml:space="preserve">16 brebis dans la cible pour IA à 55h avec 3ch ou plus au moment de l'IA</t>
  </si>
  <si>
    <t xml:space="preserve">Dont 3 hors cible et 15 pas vues</t>
  </si>
  <si>
    <t xml:space="preserve">Dont 5 dans la cible (&gt;=3chev), 2 (&lt;3ch), 3 hors cible et 15 pas vues</t>
  </si>
  <si>
    <t xml:space="preserve">16/49 =&gt; 32,7%</t>
  </si>
  <si>
    <t xml:space="preserve">Sur les 21 de la cible 8 pleines dont 6 avec &gt;=3Chev soit 30,6%</t>
  </si>
  <si>
    <t xml:space="preserve">Sur les 23 de la cible 7 agnèlent de l'IA dont 5 avec &gt;=3Chev soit 10,2%</t>
  </si>
  <si>
    <t xml:space="preserve">4 avec 1 ou 2 ch</t>
  </si>
  <si>
    <t xml:space="preserve">donc 20/49 =&gt;40,8%</t>
  </si>
  <si>
    <t xml:space="preserve">1 vide dont 1pas vue</t>
  </si>
  <si>
    <t xml:space="preserve">6 vides dont 2 dans la cible et 4 pas vue</t>
  </si>
  <si>
    <t xml:space="preserve">22 brebis pleines sur rattrapage/49 soit 44,9% dont 13 dans la cible, 1 hors cible et 8 pas vues</t>
  </si>
  <si>
    <t xml:space="preserve">18 agnelages sur rattrapage/49 soit 36,7% dont 12 dans la cible, 1 vues après IA et 5 pas vues</t>
  </si>
  <si>
    <t xml:space="preserve">48 brebis pleines/49 sur toute la lutte (IA + rattrapage) =&gt; 98% fertilité</t>
  </si>
  <si>
    <t xml:space="preserve">43  agnelage/49 sur toute la lutte =&gt; 87,8% fertilité</t>
  </si>
  <si>
    <t xml:space="preserve">IA à 57h</t>
  </si>
  <si>
    <t xml:space="preserve">16 brebis dans la cible pour IA à 57h avec 3ch ou plus au moment de l'IA</t>
  </si>
  <si>
    <t xml:space="preserve">Pleine</t>
  </si>
  <si>
    <t xml:space="preserve">5 avec 1 ou 2 ch</t>
  </si>
  <si>
    <t xml:space="preserve">donc 21/49 =&gt;43%</t>
  </si>
  <si>
    <t xml:space="preserve">IA à 60h</t>
  </si>
  <si>
    <t xml:space="preserve">Fertilité IA</t>
  </si>
  <si>
    <t xml:space="preserve">16 brebis dans la cible pour IA à 60h avec 3ch ou plus au moment de l'IA</t>
  </si>
  <si>
    <t xml:space="preserve">Fertilité totale</t>
  </si>
  <si>
    <t xml:space="preserve">Résultats au 4/11/25</t>
  </si>
  <si>
    <t xml:space="preserve">1 de la veille rattrapable =&gt; Total 22/49=44,9%</t>
  </si>
  <si>
    <t xml:space="preserve">IA à 73h</t>
  </si>
  <si>
    <t xml:space="preserve">11 brebis dans la cible pour IA à 73h avec 3ch ou plus au moment de l'IA </t>
  </si>
  <si>
    <t xml:space="preserve">11/49 =&gt; 22,4%</t>
  </si>
  <si>
    <t xml:space="preserve">donc total 15/49 =&gt; 30,6%</t>
  </si>
  <si>
    <t xml:space="preserve">10 de la veille rattrapables =&gt; Total 25/49=51%</t>
  </si>
  <si>
    <t xml:space="preserve">Globalement 25 brebis vues en chaleurs sur 49 soit 51%</t>
  </si>
  <si>
    <t xml:space="preserve">MAIS 1 seul bélier actif</t>
  </si>
  <si>
    <t xml:space="preserve">Dont 16+4 dans la cible pour une IA à  55h et 16+5 pour une IA à 57h ou à 60h soit 43 et 45%</t>
  </si>
  <si>
    <t xml:space="preserve">4 hors cible trop tardives</t>
  </si>
  <si>
    <t xml:space="preserve">24 pas vues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</si>
</sst>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dd/mm/yy"/>
    <numFmt numFmtId="166" formatCode="dd\-mmm"/>
    <numFmt numFmtId="167" formatCode="0"/>
    <numFmt numFmtId="168" formatCode="dd/mm/yyyy\ hh:mm:ss"/>
    <numFmt numFmtId="169" formatCode="dd/mm/yy\ hh:mm"/>
    <numFmt numFmtId="170" formatCode="dd/mm/yyyy"/>
    <numFmt numFmtId="171" formatCode="dd/mm/yyyy\ hh:mm"/>
    <numFmt numFmtId="172" formatCode="d/mm/yy;@"/>
    <numFmt numFmtId="173" formatCode="0.00"/>
    <numFmt numFmtId="174" formatCode="d/m;@"/>
    <numFmt numFmtId="175" formatCode="0000"/>
    <numFmt numFmtId="176" formatCode="dd/mm/yy;@"/>
    <numFmt numFmtId="177" formatCode="0\ %"/>
    <numFmt numFmtId="178" formatCode="0.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4"/>
      <color rgb="FF000000"/>
      <name val="Arial"/>
      <family val="2"/>
      <charset val="1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00"/>
      <name val="Calibri"/>
      <family val="2"/>
    </font>
    <font>
      <sz val="9"/>
      <color theme="1"/>
      <name val="Calibri"/>
      <family val="2"/>
      <charset val="1"/>
    </font>
    <font>
      <sz val="8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sz val="1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4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"/>
        <bgColor rgb="FFFFFF99"/>
      </patternFill>
    </fill>
    <fill>
      <patternFill patternType="solid">
        <fgColor theme="0" tint="-0.5"/>
        <bgColor rgb="FF8B8B8B"/>
      </patternFill>
    </fill>
    <fill>
      <patternFill patternType="solid">
        <fgColor rgb="FFFF0000"/>
        <bgColor rgb="FF993300"/>
      </patternFill>
    </fill>
    <fill>
      <patternFill patternType="solid">
        <fgColor theme="0" tint="-0.25"/>
        <bgColor rgb="FFC0C0C0"/>
      </patternFill>
    </fill>
    <fill>
      <patternFill patternType="solid">
        <fgColor rgb="FFFFC000"/>
        <bgColor rgb="FFFF99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>
        <color theme="0" tint="-0.5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3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3" fillId="4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7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2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0" fontId="27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" fillId="0" borderId="6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9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0" fontId="27" fillId="0" borderId="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6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2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0" fontId="12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0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2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12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2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 6" xfId="21"/>
    <cellStyle name="Normal 8" xfId="22"/>
    <cellStyle name="Normal_Feuil1" xfId="23"/>
  </cellStyles>
  <dxfs count="7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A8AC6"/>
          <bgColor rgb="FF000000"/>
        </patternFill>
      </fill>
    </dxf>
    <dxf>
      <fill>
        <patternFill patternType="solid">
          <fgColor rgb="FF83A7D5"/>
          <bgColor rgb="FF000000"/>
        </patternFill>
      </fill>
    </dxf>
    <dxf>
      <fill>
        <patternFill patternType="solid">
          <fgColor rgb="FFABC3E3"/>
          <bgColor rgb="FF000000"/>
        </patternFill>
      </fill>
    </dxf>
    <dxf>
      <fill>
        <patternFill patternType="solid">
          <fgColor rgb="FFD4E0F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7375"/>
          <bgColor rgb="FF000000"/>
        </patternFill>
      </fill>
    </dxf>
    <dxf>
      <fill>
        <patternFill patternType="solid">
          <fgColor rgb="FFF87577"/>
          <bgColor rgb="FF000000"/>
        </patternFill>
      </fill>
    </dxf>
    <dxf>
      <fill>
        <patternFill patternType="solid">
          <fgColor rgb="FFFACED1"/>
          <bgColor rgb="FF000000"/>
        </patternFill>
      </fill>
    </dxf>
    <dxf>
      <fill>
        <patternFill patternType="solid">
          <fgColor rgb="FFFAD3D6"/>
          <bgColor rgb="FF000000"/>
        </patternFill>
      </fill>
    </dxf>
    <dxf>
      <fill>
        <patternFill patternType="solid">
          <fgColor rgb="FFFAD5D8"/>
          <bgColor rgb="FF000000"/>
        </patternFill>
      </fill>
    </dxf>
    <dxf>
      <fill>
        <patternFill patternType="solid">
          <fgColor rgb="FFFBD8DB"/>
          <bgColor rgb="FF000000"/>
        </patternFill>
      </fill>
    </dxf>
    <dxf>
      <fill>
        <patternFill patternType="solid">
          <fgColor rgb="FFFBDBDD"/>
          <bgColor rgb="FF000000"/>
        </patternFill>
      </fill>
    </dxf>
    <dxf>
      <fill>
        <patternFill patternType="solid">
          <fgColor rgb="FFFBE7EA"/>
          <bgColor rgb="FF000000"/>
        </patternFill>
      </fill>
    </dxf>
    <dxf>
      <fill>
        <patternFill patternType="solid">
          <fgColor rgb="FFFBF9FC"/>
          <bgColor rgb="FF000000"/>
        </patternFill>
      </fill>
    </dxf>
    <dxf>
      <fill>
        <patternFill patternType="solid">
          <fgColor rgb="FFFCFC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6C47F"/>
          <bgColor rgb="FF000000"/>
        </patternFill>
      </fill>
    </dxf>
    <dxf>
      <fill>
        <patternFill patternType="solid">
          <fgColor rgb="FF7DC681"/>
          <bgColor rgb="FF000000"/>
        </patternFill>
      </fill>
    </dxf>
    <dxf>
      <fill>
        <patternFill patternType="solid">
          <fgColor rgb="FF7FC781"/>
          <bgColor rgb="FF000000"/>
        </patternFill>
      </fill>
    </dxf>
    <dxf>
      <fill>
        <patternFill patternType="solid">
          <fgColor rgb="FF81C882"/>
          <bgColor rgb="FF000000"/>
        </patternFill>
      </fill>
    </dxf>
    <dxf>
      <fill>
        <patternFill patternType="solid">
          <fgColor rgb="FF86C983"/>
          <bgColor rgb="FF000000"/>
        </patternFill>
      </fill>
    </dxf>
    <dxf>
      <fill>
        <patternFill patternType="solid">
          <fgColor rgb="FF8CCB84"/>
          <bgColor rgb="FF000000"/>
        </patternFill>
      </fill>
    </dxf>
    <dxf>
      <fill>
        <patternFill patternType="solid">
          <fgColor rgb="FF8DCC84"/>
          <bgColor rgb="FF000000"/>
        </patternFill>
      </fill>
    </dxf>
    <dxf>
      <fill>
        <patternFill patternType="solid">
          <fgColor rgb="FF98CF87"/>
          <bgColor rgb="FF000000"/>
        </patternFill>
      </fill>
    </dxf>
    <dxf>
      <fill>
        <patternFill patternType="solid">
          <fgColor rgb="FF9AD087"/>
          <bgColor rgb="FF000000"/>
        </patternFill>
      </fill>
    </dxf>
    <dxf>
      <fill>
        <patternFill patternType="solid">
          <fgColor rgb="FF9BD087"/>
          <bgColor rgb="FF000000"/>
        </patternFill>
      </fill>
    </dxf>
    <dxf>
      <fill>
        <patternFill patternType="solid">
          <fgColor rgb="FFA0D288"/>
          <bgColor rgb="FF000000"/>
        </patternFill>
      </fill>
    </dxf>
    <dxf>
      <fill>
        <patternFill patternType="solid">
          <fgColor rgb="FFB0D78C"/>
          <bgColor rgb="FF000000"/>
        </patternFill>
      </fill>
    </dxf>
    <dxf>
      <fill>
        <patternFill patternType="solid">
          <fgColor rgb="FFB3D78C"/>
          <bgColor rgb="FF000000"/>
        </patternFill>
      </fill>
    </dxf>
    <dxf>
      <fill>
        <patternFill patternType="solid">
          <fgColor rgb="FFC3DC90"/>
          <bgColor rgb="FF000000"/>
        </patternFill>
      </fill>
    </dxf>
    <dxf>
      <fill>
        <patternFill patternType="solid">
          <fgColor rgb="FFCBDF91"/>
          <bgColor rgb="FF000000"/>
        </patternFill>
      </fill>
    </dxf>
    <dxf>
      <fill>
        <patternFill patternType="solid">
          <fgColor rgb="FFCDE092"/>
          <bgColor rgb="FF000000"/>
        </patternFill>
      </fill>
    </dxf>
    <dxf>
      <fill>
        <patternFill patternType="solid">
          <fgColor rgb="FFCEE092"/>
          <bgColor rgb="FF000000"/>
        </patternFill>
      </fill>
    </dxf>
    <dxf>
      <fill>
        <patternFill patternType="solid">
          <fgColor rgb="FFD6E294"/>
          <bgColor rgb="FF000000"/>
        </patternFill>
      </fill>
    </dxf>
    <dxf>
      <fill>
        <patternFill patternType="solid">
          <fgColor rgb="FFD7E394"/>
          <bgColor rgb="FF000000"/>
        </patternFill>
      </fill>
    </dxf>
    <dxf>
      <fill>
        <patternFill patternType="solid">
          <fgColor rgb="FFD9E394"/>
          <bgColor rgb="FF000000"/>
        </patternFill>
      </fill>
    </dxf>
    <dxf>
      <fill>
        <patternFill patternType="solid">
          <fgColor rgb="FFDCE495"/>
          <bgColor rgb="FF000000"/>
        </patternFill>
      </fill>
    </dxf>
    <dxf>
      <fill>
        <patternFill patternType="solid">
          <fgColor rgb="FFDDE595"/>
          <bgColor rgb="FF000000"/>
        </patternFill>
      </fill>
    </dxf>
    <dxf>
      <fill>
        <patternFill patternType="solid">
          <fgColor rgb="FFE0E596"/>
          <bgColor rgb="FF000000"/>
        </patternFill>
      </fill>
    </dxf>
    <dxf>
      <fill>
        <patternFill patternType="solid">
          <fgColor rgb="FFE2E696"/>
          <bgColor rgb="FF000000"/>
        </patternFill>
      </fill>
    </dxf>
    <dxf>
      <fill>
        <patternFill patternType="solid">
          <fgColor rgb="FFE5E797"/>
          <bgColor rgb="FF000000"/>
        </patternFill>
      </fill>
    </dxf>
    <dxf>
      <fill>
        <patternFill patternType="solid">
          <fgColor rgb="FFECE998"/>
          <bgColor rgb="FF000000"/>
        </patternFill>
      </fill>
    </dxf>
    <dxf>
      <fill>
        <patternFill patternType="solid">
          <fgColor rgb="FFF0EB99"/>
          <bgColor rgb="FF000000"/>
        </patternFill>
      </fill>
    </dxf>
    <dxf>
      <fill>
        <patternFill patternType="solid">
          <fgColor rgb="FFF5EC9A"/>
          <bgColor rgb="FF000000"/>
        </patternFill>
      </fill>
    </dxf>
    <dxf>
      <fill>
        <patternFill patternType="solid">
          <fgColor rgb="FFFAEE9B"/>
          <bgColor rgb="FF000000"/>
        </patternFill>
      </fill>
    </dxf>
    <dxf>
      <fill>
        <patternFill patternType="solid">
          <fgColor rgb="FFFDEF9C"/>
          <bgColor rgb="FF000000"/>
        </patternFill>
      </fill>
    </dxf>
    <dxf>
      <fill>
        <patternFill patternType="solid">
          <fgColor rgb="FFFEEF9C"/>
          <bgColor rgb="FF000000"/>
        </patternFill>
      </fill>
    </dxf>
    <dxf>
      <fill>
        <patternFill patternType="solid">
          <fgColor rgb="FFFFEF9C"/>
          <bgColor rgb="FF000000"/>
        </patternFill>
      </fill>
    </dxf>
    <dxf>
      <fill>
        <patternFill patternType="solid">
          <fgColor rgb="FF84C982"/>
          <bgColor rgb="FF000000"/>
        </patternFill>
      </fill>
    </dxf>
    <dxf>
      <fill>
        <patternFill patternType="solid">
          <fgColor rgb="FF87CA83"/>
          <bgColor rgb="FF000000"/>
        </patternFill>
      </fill>
    </dxf>
    <dxf>
      <fill>
        <patternFill patternType="solid">
          <fgColor rgb="FF89CA83"/>
          <bgColor rgb="FF000000"/>
        </patternFill>
      </fill>
    </dxf>
    <dxf>
      <fill>
        <patternFill patternType="solid">
          <fgColor rgb="FF8ECC85"/>
          <bgColor rgb="FF000000"/>
        </patternFill>
      </fill>
    </dxf>
    <dxf>
      <fill>
        <patternFill patternType="solid">
          <fgColor rgb="FF91CD85"/>
          <bgColor rgb="FF000000"/>
        </patternFill>
      </fill>
    </dxf>
    <dxf>
      <fill>
        <patternFill patternType="solid">
          <fgColor rgb="FF9DD188"/>
          <bgColor rgb="FF000000"/>
        </patternFill>
      </fill>
    </dxf>
    <dxf>
      <fill>
        <patternFill patternType="solid">
          <fgColor rgb="FFA0D188"/>
          <bgColor rgb="FF000000"/>
        </patternFill>
      </fill>
    </dxf>
    <dxf>
      <fill>
        <patternFill patternType="solid">
          <fgColor rgb="FFA2D289"/>
          <bgColor rgb="FF000000"/>
        </patternFill>
      </fill>
    </dxf>
    <dxf>
      <fill>
        <patternFill patternType="solid">
          <fgColor rgb="FFAAD58A"/>
          <bgColor rgb="FF000000"/>
        </patternFill>
      </fill>
    </dxf>
    <dxf>
      <fill>
        <patternFill patternType="solid">
          <fgColor rgb="FFACD58B"/>
          <bgColor rgb="FF000000"/>
        </patternFill>
      </fill>
    </dxf>
    <dxf>
      <fill>
        <patternFill patternType="solid">
          <fgColor rgb="FFAFD68B"/>
          <bgColor rgb="FF000000"/>
        </patternFill>
      </fill>
    </dxf>
    <dxf>
      <fill>
        <patternFill patternType="solid">
          <fgColor rgb="FFB4D88D"/>
          <bgColor rgb="FF000000"/>
        </patternFill>
      </fill>
    </dxf>
    <dxf>
      <fill>
        <patternFill patternType="solid">
          <fgColor rgb="FFB7D98D"/>
          <bgColor rgb="FF000000"/>
        </patternFill>
      </fill>
    </dxf>
    <dxf>
      <fill>
        <patternFill patternType="solid">
          <fgColor rgb="FFB9D98E"/>
          <bgColor rgb="FF000000"/>
        </patternFill>
      </fill>
    </dxf>
    <dxf>
      <fill>
        <patternFill patternType="solid">
          <fgColor rgb="FFBCDA8E"/>
          <bgColor rgb="FF000000"/>
        </patternFill>
      </fill>
    </dxf>
    <dxf>
      <fill>
        <patternFill patternType="solid">
          <fgColor rgb="FFC1DC8F"/>
          <bgColor rgb="FF000000"/>
        </patternFill>
      </fill>
    </dxf>
    <dxf>
      <fill>
        <patternFill patternType="solid">
          <fgColor rgb="FFC3DD90"/>
          <bgColor rgb="FF000000"/>
        </patternFill>
      </fill>
    </dxf>
    <dxf>
      <fill>
        <patternFill patternType="solid">
          <fgColor rgb="FFD2E193"/>
          <bgColor rgb="FF000000"/>
        </patternFill>
      </fill>
    </dxf>
    <dxf>
      <fill>
        <patternFill patternType="solid">
          <fgColor rgb="FFD5E293"/>
          <bgColor rgb="FF000000"/>
        </patternFill>
      </fill>
    </dxf>
    <dxf>
      <fill>
        <patternFill patternType="solid">
          <fgColor rgb="FFDFE596"/>
          <bgColor rgb="FF000000"/>
        </patternFill>
      </fill>
    </dxf>
    <dxf>
      <fill>
        <patternFill patternType="solid">
          <fgColor rgb="FFE1E696"/>
          <bgColor rgb="FF000000"/>
        </patternFill>
      </fill>
    </dxf>
    <dxf>
      <fill>
        <patternFill patternType="solid">
          <fgColor rgb="FFE4E797"/>
          <bgColor rgb="FF000000"/>
        </patternFill>
      </fill>
    </dxf>
    <dxf>
      <fill>
        <patternFill patternType="solid">
          <fgColor rgb="FF70C27E"/>
          <bgColor rgb="FF000000"/>
        </patternFill>
      </fill>
    </dxf>
    <dxf>
      <fill>
        <patternFill patternType="solid">
          <fgColor rgb="FF82C882"/>
          <bgColor rgb="FF000000"/>
        </patternFill>
      </fill>
    </dxf>
    <dxf>
      <fill>
        <patternFill patternType="solid">
          <fgColor rgb="FFA7D48A"/>
          <bgColor rgb="FF000000"/>
        </patternFill>
      </fill>
    </dxf>
    <dxf>
      <fill>
        <patternFill patternType="solid">
          <fgColor rgb="FFC6DD90"/>
          <bgColor rgb="FF000000"/>
        </patternFill>
      </fill>
    </dxf>
    <dxf>
      <fill>
        <patternFill patternType="solid">
          <fgColor rgb="FFC8DE91"/>
          <bgColor rgb="FF000000"/>
        </patternFill>
      </fill>
    </dxf>
    <dxf>
      <fill>
        <patternFill patternType="solid">
          <fgColor rgb="FFD0E092"/>
          <bgColor rgb="FF000000"/>
        </patternFill>
      </fill>
    </dxf>
    <dxf>
      <fill>
        <patternFill patternType="solid">
          <fgColor rgb="FFE6E89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5A5A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ED7D31"/>
      <rgbColor rgb="FF666699"/>
      <rgbColor rgb="FF8B8B8B"/>
      <rgbColor rgb="FF003366"/>
      <rgbColor rgb="FF5B9BD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000000"/>
                </a:solidFill>
                <a:latin typeface="Calibri"/>
              </a:rPr>
              <a:t>Activité des béliers pendant l'effet mâle (ODARC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39626647792621"/>
          <c:y val="0.0798226164079823"/>
          <c:w val="0.899761125364947"/>
          <c:h val="0.7667927481413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'[1]Data béliers'!$D$2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béliers'!$H$2:$H$199</c:f>
              <c:numCache>
                <c:formatCode>General</c:formatCode>
                <c:ptCount val="198"/>
              </c:numCache>
            </c:numRef>
          </c:xVal>
          <c:yVal>
            <c:numRef>
              <c:f>'[1]Data béliers'!$J$2:$J$199</c:f>
              <c:numCache>
                <c:formatCode>General</c:formatCode>
                <c:ptCount val="198"/>
              </c:numCache>
            </c:numRef>
          </c:yVal>
          <c:smooth val="0"/>
        </c:ser>
        <c:ser>
          <c:idx val="1"/>
          <c:order val="1"/>
          <c:tx>
            <c:strRef>
              <c:f>'[1]Data béliers'!$D$200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béliers'!$H$200</c:f>
              <c:numCache>
                <c:formatCode>General</c:formatCode>
                <c:ptCount val="1"/>
              </c:numCache>
            </c:numRef>
          </c:xVal>
          <c:yVal>
            <c:numRef>
              <c:f>'[1]Data béliers'!$J$200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"/>
          <c:order val="2"/>
          <c:tx>
            <c:strRef>
              <c:f>'[1]Data béliers'!$D$201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béliers'!$H$201:$H$208</c:f>
              <c:numCache>
                <c:formatCode>General</c:formatCode>
                <c:ptCount val="8"/>
              </c:numCache>
            </c:numRef>
          </c:xVal>
          <c:yVal>
            <c:numRef>
              <c:f>'[1]Data béliers'!$J$201:$J$208</c:f>
              <c:numCache>
                <c:formatCode>General</c:formatCode>
                <c:ptCount val="8"/>
              </c:numCache>
            </c:numRef>
          </c:yVal>
          <c:smooth val="0"/>
        </c:ser>
        <c:axId val="64567175"/>
        <c:axId val="95246886"/>
      </c:scatterChart>
      <c:valAx>
        <c:axId val="64567175"/>
        <c:scaling>
          <c:orientation val="minMax"/>
          <c:max val="45801.458333333"/>
          <c:min val="45797.291666666"/>
        </c:scaling>
        <c:delete val="0"/>
        <c:axPos val="b"/>
        <c:numFmt formatCode="dd/mm/yy\ hh:mm" sourceLinked="0"/>
        <c:majorTickMark val="out"/>
        <c:minorTickMark val="out"/>
        <c:tickLblPos val="nextTo"/>
        <c:spPr>
          <a:ln w="9360">
            <a:solidFill>
              <a:srgbClr val="bfbfbf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46886"/>
        <c:crosses val="autoZero"/>
        <c:crossBetween val="midCat"/>
        <c:majorUnit val="0.5"/>
      </c:valAx>
      <c:valAx>
        <c:axId val="952468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0" lang="fr-FR" sz="1000" spc="-1" strike="noStrike">
                    <a:solidFill>
                      <a:srgbClr val="000000"/>
                    </a:solidFill>
                    <a:latin typeface="Calibri"/>
                  </a:rPr>
                  <a:t>Nombre chevauchements cumulés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67175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0932833880585757"/>
          <c:y val="0.101209202713316"/>
          <c:w val="0.0785345096957139"/>
          <c:h val="0.11526720020653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</a:rPr>
              <a:t>Brebis chevauchées pendant l'effet mâle (ODARC 2025)</a:t>
            </a:r>
          </a:p>
        </c:rich>
      </c:tx>
      <c:layout>
        <c:manualLayout>
          <c:xMode val="edge"/>
          <c:yMode val="edge"/>
          <c:x val="0.247919018058691"/>
          <c:y val="0.011778808568301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04726297968397"/>
          <c:y val="0.0611351435868036"/>
          <c:w val="0.88551072234763"/>
          <c:h val="0.8035649137436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'[1]Data brebis Points Rouges'!$F$2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Rouges'!$H$2:$H$11</c:f>
              <c:numCache>
                <c:formatCode>General</c:formatCode>
                <c:ptCount val="10"/>
              </c:numCache>
            </c:numRef>
          </c:xVal>
          <c:yVal>
            <c:numRef>
              <c:f>'[1]Data brebis Points Rouges'!$I$2:$I$11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1"/>
          <c:order val="1"/>
          <c:tx>
            <c:strRef>
              <c:f>'[1]Data brebis Points Rouges'!$F$12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Rouges'!$H$12:$H$37</c:f>
              <c:numCache>
                <c:formatCode>General</c:formatCode>
                <c:ptCount val="26"/>
              </c:numCache>
            </c:numRef>
          </c:xVal>
          <c:yVal>
            <c:numRef>
              <c:f>'[1]Data brebis Points Rouges'!$I$12:$I$37</c:f>
              <c:numCache>
                <c:formatCode>General</c:formatCode>
                <c:ptCount val="26"/>
              </c:numCache>
            </c:numRef>
          </c:yVal>
          <c:smooth val="0"/>
        </c:ser>
        <c:ser>
          <c:idx val="2"/>
          <c:order val="2"/>
          <c:tx>
            <c:strRef>
              <c:f>'[1]Data brebis Points Rouges'!$F$38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Rouges'!$H$38:$H$49</c:f>
              <c:numCache>
                <c:formatCode>General</c:formatCode>
                <c:ptCount val="12"/>
              </c:numCache>
            </c:numRef>
          </c:xVal>
          <c:yVal>
            <c:numRef>
              <c:f>'[1]Data brebis Points Rouges'!$I$38:$I$49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3"/>
          <c:order val="3"/>
          <c:tx>
            <c:strRef>
              <c:f>'[1]Data brebis Points Rouges'!$F$50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Rouges'!$H$50:$H$67</c:f>
              <c:numCache>
                <c:formatCode>General</c:formatCode>
                <c:ptCount val="18"/>
              </c:numCache>
            </c:numRef>
          </c:xVal>
          <c:yVal>
            <c:numRef>
              <c:f>'[1]Data brebis Points Rouges'!$I$50:$I$67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4"/>
          <c:order val="4"/>
          <c:tx>
            <c:strRef>
              <c:f>'[1]Data brebis Points Rouges'!$F$68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Rouges'!$H$68:$H$70</c:f>
              <c:numCache>
                <c:formatCode>General</c:formatCode>
                <c:ptCount val="3"/>
              </c:numCache>
            </c:numRef>
          </c:xVal>
          <c:yVal>
            <c:numRef>
              <c:f>'[1]Data brebis Points Rouges'!$I$68:$I$70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5"/>
          <c:order val="5"/>
          <c:tx>
            <c:strRef>
              <c:f>'[1]Data brebis Points Rouges'!$F$71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Rouges'!$H$71:$H$89</c:f>
              <c:numCache>
                <c:formatCode>General</c:formatCode>
                <c:ptCount val="19"/>
              </c:numCache>
            </c:numRef>
          </c:xVal>
          <c:yVal>
            <c:numRef>
              <c:f>'[1]Data brebis Points Rouges'!$I$71:$I$89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6"/>
          <c:order val="6"/>
          <c:tx>
            <c:strRef>
              <c:f>'[1]Data brebis Points Rouges'!$F$90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Rouges'!$H$90:$H$106</c:f>
              <c:numCache>
                <c:formatCode>General</c:formatCode>
                <c:ptCount val="17"/>
              </c:numCache>
            </c:numRef>
          </c:xVal>
          <c:yVal>
            <c:numRef>
              <c:f>'[1]Data brebis Points Rouges'!$I$90:$I$106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7"/>
          <c:order val="7"/>
          <c:tx>
            <c:strRef>
              <c:f>'[1]Data brebis Points Rouges'!$F$107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Rouges'!$H$107:$H$114</c:f>
              <c:numCache>
                <c:formatCode>General</c:formatCode>
                <c:ptCount val="8"/>
              </c:numCache>
            </c:numRef>
          </c:xVal>
          <c:yVal>
            <c:numRef>
              <c:f>'[1]Data brebis Points Rouges'!$I$107:$I$114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8"/>
          <c:order val="8"/>
          <c:tx>
            <c:strRef>
              <c:f>'[1]Data brebis Points Rouges'!$F$115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Rouges'!$H$115</c:f>
              <c:numCache>
                <c:formatCode>General</c:formatCode>
                <c:ptCount val="1"/>
              </c:numCache>
            </c:numRef>
          </c:xVal>
          <c:yVal>
            <c:numRef>
              <c:f>'[1]Data brebis Points Rouges'!$I$115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9"/>
          <c:order val="9"/>
          <c:tx>
            <c:strRef>
              <c:f>'[1]Data brebis Points Rouges'!$F$116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Rouges'!$H$116:$H$130</c:f>
              <c:numCache>
                <c:formatCode>General</c:formatCode>
                <c:ptCount val="15"/>
              </c:numCache>
            </c:numRef>
          </c:xVal>
          <c:yVal>
            <c:numRef>
              <c:f>'[1]Data brebis Points Rouges'!$I$116:$I$130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10"/>
          <c:order val="10"/>
          <c:tx>
            <c:strRef>
              <c:f>'[1]Data brebis Points Rouges'!$F$131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Rouges'!$H$131:$H$133</c:f>
              <c:numCache>
                <c:formatCode>General</c:formatCode>
                <c:ptCount val="3"/>
              </c:numCache>
            </c:numRef>
          </c:xVal>
          <c:yVal>
            <c:numRef>
              <c:f>'[1]Data brebis Points Rouges'!$I$131:$I$133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11"/>
          <c:order val="11"/>
          <c:tx>
            <c:strRef>
              <c:f>'[1]Data brebis Points Rouges'!$F$134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Rouges'!$H$134:$H$146</c:f>
              <c:numCache>
                <c:formatCode>General</c:formatCode>
                <c:ptCount val="13"/>
              </c:numCache>
            </c:numRef>
          </c:xVal>
          <c:yVal>
            <c:numRef>
              <c:f>'[1]Data brebis Points Rouges'!$I$134:$I$146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12"/>
          <c:order val="12"/>
          <c:tx>
            <c:strRef>
              <c:f>'[1]Data brebis Points Rouges'!$F$147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Rouges'!$H$147:$H$157</c:f>
              <c:numCache>
                <c:formatCode>General</c:formatCode>
                <c:ptCount val="11"/>
              </c:numCache>
            </c:numRef>
          </c:xVal>
          <c:yVal>
            <c:numRef>
              <c:f>'[1]Data brebis Points Rouges'!$I$147:$I$157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13"/>
          <c:order val="13"/>
          <c:tx>
            <c:strRef>
              <c:f>'[1]Data brebis Points Rouges'!$F$158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Rouges'!$H$158:$H$161</c:f>
              <c:numCache>
                <c:formatCode>General</c:formatCode>
                <c:ptCount val="4"/>
              </c:numCache>
            </c:numRef>
          </c:xVal>
          <c:yVal>
            <c:numRef>
              <c:f>'[1]Data brebis Points Rouges'!$I$158:$I$161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4"/>
          <c:order val="14"/>
          <c:tx>
            <c:strRef>
              <c:f>'[1]Data brebis Points Rouges'!$F$162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Rouges'!$H$162</c:f>
              <c:numCache>
                <c:formatCode>General</c:formatCode>
                <c:ptCount val="1"/>
              </c:numCache>
            </c:numRef>
          </c:xVal>
          <c:yVal>
            <c:numRef>
              <c:f>'[1]Data brebis Points Rouges'!$I$162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15"/>
          <c:order val="15"/>
          <c:tx>
            <c:strRef>
              <c:f>'[1]Data brebis Points Rouges'!$F$163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Rouges'!$H$163:$H$166</c:f>
              <c:numCache>
                <c:formatCode>General</c:formatCode>
                <c:ptCount val="4"/>
              </c:numCache>
            </c:numRef>
          </c:xVal>
          <c:yVal>
            <c:numRef>
              <c:f>'[1]Data brebis Points Rouges'!$I$163:$I$166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6"/>
          <c:order val="16"/>
          <c:tx>
            <c:strRef>
              <c:f>'[1]Data brebis Points Rouges'!$F$167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Rouges'!$H$167:$H$174</c:f>
              <c:numCache>
                <c:formatCode>General</c:formatCode>
                <c:ptCount val="8"/>
              </c:numCache>
            </c:numRef>
          </c:xVal>
          <c:yVal>
            <c:numRef>
              <c:f>'[1]Data brebis Points Rouges'!$I$167:$I$174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17"/>
          <c:order val="17"/>
          <c:tx>
            <c:strRef>
              <c:f>'[1]Data brebis Points Rouges'!$F$175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Rouges'!$H$175:$H$176</c:f>
              <c:numCache>
                <c:formatCode>General</c:formatCode>
                <c:ptCount val="2"/>
              </c:numCache>
            </c:numRef>
          </c:xVal>
          <c:yVal>
            <c:numRef>
              <c:f>'[1]Data brebis Points Rouges'!$I$175:$I$176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8"/>
          <c:order val="18"/>
          <c:tx>
            <c:strRef>
              <c:f>'[1]Data brebis Points Rouges'!$F$177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Rouges'!$H$177:$H$181</c:f>
              <c:numCache>
                <c:formatCode>General</c:formatCode>
                <c:ptCount val="5"/>
              </c:numCache>
            </c:numRef>
          </c:xVal>
          <c:yVal>
            <c:numRef>
              <c:f>'[1]Data brebis Points Rouges'!$I$177:$I$181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9"/>
          <c:order val="19"/>
          <c:tx>
            <c:strRef>
              <c:f>'[1]Data brebis Points Rouges'!$F$182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Rouges'!$H$182:$H$186</c:f>
              <c:numCache>
                <c:formatCode>General</c:formatCode>
                <c:ptCount val="5"/>
              </c:numCache>
            </c:numRef>
          </c:xVal>
          <c:yVal>
            <c:numRef>
              <c:f>'[1]Data brebis Points Rouges'!$I$182:$I$186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0"/>
          <c:order val="20"/>
          <c:tx>
            <c:strRef>
              <c:f>'[1]Data brebis Points Rouges'!$F$187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Rouges'!$H$187:$H$190</c:f>
              <c:numCache>
                <c:formatCode>General</c:formatCode>
                <c:ptCount val="4"/>
              </c:numCache>
            </c:numRef>
          </c:xVal>
          <c:yVal>
            <c:numRef>
              <c:f>'[1]Data brebis Points Rouges'!$I$187:$I$190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21"/>
          <c:order val="21"/>
          <c:tx>
            <c:strRef>
              <c:f>'[1]Data brebis Points Rouges'!$F$191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Rouges'!$H$191</c:f>
              <c:numCache>
                <c:formatCode>General</c:formatCode>
                <c:ptCount val="1"/>
              </c:numCache>
            </c:numRef>
          </c:xVal>
          <c:yVal>
            <c:numRef>
              <c:f>'[1]Data brebis Points Rouges'!$I$191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2"/>
          <c:order val="22"/>
          <c:tx>
            <c:strRef>
              <c:f>'[1]Data brebis Points Rouges'!$F$192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Rouges'!$H$192</c:f>
              <c:numCache>
                <c:formatCode>General</c:formatCode>
                <c:ptCount val="1"/>
              </c:numCache>
            </c:numRef>
          </c:xVal>
          <c:yVal>
            <c:numRef>
              <c:f>'[1]Data brebis Points Rouges'!$I$192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3"/>
          <c:order val="23"/>
          <c:tx>
            <c:strRef>
              <c:f>'[1]Data brebis Points Rouges'!$F$193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Rouges'!$H$193:$H$200</c:f>
              <c:numCache>
                <c:formatCode>General</c:formatCode>
                <c:ptCount val="8"/>
              </c:numCache>
            </c:numRef>
          </c:xVal>
          <c:yVal>
            <c:numRef>
              <c:f>'[1]Data brebis Points Rouges'!$I$193:$I$200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4"/>
          <c:order val="24"/>
          <c:tx>
            <c:strRef>
              <c:f>'[1]Data brebis Points Rouges'!$F$201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'[1]Data brebis Points Rouges'!$H$201:$H$208</c:f>
              <c:numCache>
                <c:formatCode>General</c:formatCode>
                <c:ptCount val="8"/>
              </c:numCache>
            </c:numRef>
          </c:xVal>
          <c:yVal>
            <c:numRef>
              <c:f>'[1]Data brebis Points Rouges'!$I$201:$I$208</c:f>
              <c:numCache>
                <c:formatCode>General</c:formatCode>
                <c:ptCount val="8"/>
              </c:numCache>
            </c:numRef>
          </c:yVal>
          <c:smooth val="0"/>
        </c:ser>
        <c:axId val="36685644"/>
        <c:axId val="24051171"/>
      </c:scatterChart>
      <c:valAx>
        <c:axId val="36685644"/>
        <c:scaling>
          <c:orientation val="minMax"/>
          <c:max val="45801.62599999"/>
          <c:min val="45797.37499999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949844808126411"/>
              <c:y val="0.937092823265753"/>
            </c:manualLayout>
          </c:layout>
          <c:overlay val="0"/>
          <c:spPr>
            <a:noFill/>
            <a:ln w="0">
              <a:noFill/>
            </a:ln>
          </c:spPr>
        </c:title>
        <c:numFmt formatCode="dd/mm/yy\ hh:mm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4051171"/>
        <c:crosses val="autoZero"/>
        <c:crossBetween val="midCat"/>
        <c:majorUnit val="0.0833333333"/>
        <c:minorUnit val="0.04166666665"/>
      </c:valAx>
      <c:valAx>
        <c:axId val="24051171"/>
        <c:scaling>
          <c:orientation val="minMax"/>
          <c:max val="50"/>
          <c:min val="0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2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200" spc="-1" strike="noStrike">
                    <a:solidFill>
                      <a:srgbClr val="000000"/>
                    </a:solidFill>
                    <a:latin typeface="Calibri"/>
                  </a:rPr>
                  <a:t>N° brebis</a:t>
                </a:r>
              </a:p>
            </c:rich>
          </c:tx>
          <c:layout>
            <c:manualLayout>
              <c:xMode val="edge"/>
              <c:yMode val="edge"/>
              <c:x val="0.0065956546275395"/>
              <c:y val="0.38838797102204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85644"/>
        <c:crosses val="autoZero"/>
        <c:crossBetween val="midCat"/>
        <c:majorUnit val="2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12600</xdr:rowOff>
    </xdr:from>
    <xdr:to>
      <xdr:col>23</xdr:col>
      <xdr:colOff>612720</xdr:colOff>
      <xdr:row>31</xdr:row>
      <xdr:rowOff>103320</xdr:rowOff>
    </xdr:to>
    <xdr:graphicFrame>
      <xdr:nvGraphicFramePr>
        <xdr:cNvPr id="0" name="Graphique 2"/>
        <xdr:cNvGraphicFramePr/>
      </xdr:nvGraphicFramePr>
      <xdr:xfrm>
        <a:off x="9758520" y="542880"/>
        <a:ext cx="8137800" cy="551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403920</xdr:colOff>
      <xdr:row>0</xdr:row>
      <xdr:rowOff>596160</xdr:rowOff>
    </xdr:from>
    <xdr:to>
      <xdr:col>28</xdr:col>
      <xdr:colOff>75600</xdr:colOff>
      <xdr:row>37</xdr:row>
      <xdr:rowOff>116280</xdr:rowOff>
    </xdr:to>
    <xdr:graphicFrame>
      <xdr:nvGraphicFramePr>
        <xdr:cNvPr id="1" name="Graphique 1"/>
        <xdr:cNvGraphicFramePr/>
      </xdr:nvGraphicFramePr>
      <xdr:xfrm>
        <a:off x="10718280" y="596160"/>
        <a:ext cx="10206360" cy="690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17</xdr:col>
      <xdr:colOff>444600</xdr:colOff>
      <xdr:row>1</xdr:row>
      <xdr:rowOff>166320</xdr:rowOff>
    </xdr:from>
    <xdr:to>
      <xdr:col>17</xdr:col>
      <xdr:colOff>444600</xdr:colOff>
      <xdr:row>32</xdr:row>
      <xdr:rowOff>74880</xdr:rowOff>
    </xdr:to>
    <xdr:cxnSp>
      <xdr:nvCxnSpPr>
        <xdr:cNvPr id="2" name="Connecteur droit 2"/>
        <xdr:cNvCxnSpPr/>
      </xdr:nvCxnSpPr>
      <xdr:spPr>
        <a:xfrm flipV="1">
          <a:off x="13016160" y="1038240"/>
          <a:ext cx="360" cy="5519160"/>
        </a:xfrm>
        <a:prstGeom prst="straightConnector1">
          <a:avLst/>
        </a:prstGeom>
        <a:ln w="28575">
          <a:solidFill>
            <a:srgbClr val="00b0f0"/>
          </a:solidFill>
          <a:miter/>
        </a:ln>
      </xdr:spPr>
    </xdr:cxnSp>
    <xdr:clientData/>
  </xdr:twoCellAnchor>
  <xdr:twoCellAnchor editAs="twoCell">
    <xdr:from>
      <xdr:col>21</xdr:col>
      <xdr:colOff>520560</xdr:colOff>
      <xdr:row>1</xdr:row>
      <xdr:rowOff>139680</xdr:rowOff>
    </xdr:from>
    <xdr:to>
      <xdr:col>21</xdr:col>
      <xdr:colOff>520560</xdr:colOff>
      <xdr:row>32</xdr:row>
      <xdr:rowOff>86400</xdr:rowOff>
    </xdr:to>
    <xdr:cxnSp>
      <xdr:nvCxnSpPr>
        <xdr:cNvPr id="3" name="Connecteur droit 3"/>
        <xdr:cNvCxnSpPr/>
      </xdr:nvCxnSpPr>
      <xdr:spPr>
        <a:xfrm flipV="1">
          <a:off x="16102080" y="1011600"/>
          <a:ext cx="360" cy="5557320"/>
        </a:xfrm>
        <a:prstGeom prst="straightConnector1">
          <a:avLst/>
        </a:prstGeom>
        <a:ln w="28575">
          <a:solidFill>
            <a:srgbClr val="00b0f0"/>
          </a:solidFill>
          <a:miter/>
        </a:ln>
      </xdr:spPr>
    </xdr:cxnSp>
    <xdr:clientData/>
  </xdr:twoCellAnchor>
  <xdr:twoCellAnchor editAs="twoCell">
    <xdr:from>
      <xdr:col>15</xdr:col>
      <xdr:colOff>183600</xdr:colOff>
      <xdr:row>1</xdr:row>
      <xdr:rowOff>154800</xdr:rowOff>
    </xdr:from>
    <xdr:to>
      <xdr:col>15</xdr:col>
      <xdr:colOff>183600</xdr:colOff>
      <xdr:row>32</xdr:row>
      <xdr:rowOff>93960</xdr:rowOff>
    </xdr:to>
    <xdr:cxnSp>
      <xdr:nvCxnSpPr>
        <xdr:cNvPr id="4" name="Connecteur droit 4"/>
        <xdr:cNvCxnSpPr/>
      </xdr:nvCxnSpPr>
      <xdr:spPr>
        <a:xfrm flipV="1">
          <a:off x="11250360" y="1026720"/>
          <a:ext cx="360" cy="5549760"/>
        </a:xfrm>
        <a:prstGeom prst="straightConnector1">
          <a:avLst/>
        </a:prstGeom>
        <a:ln w="28575">
          <a:solidFill>
            <a:srgbClr val="ff0000"/>
          </a:solidFill>
          <a:miter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Users/debus/Documents/Nathalie/FichierPC/Labo/Exp&#233;rimentations/Effet%20m&#226;le/Progesterone-EffetMale/CNE/Corse/Corse2025/DataAlphaCorsia2025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pha 1956 - 14"/>
      <sheetName val="Alpha 7847 - 15"/>
      <sheetName val="Alpha 6288 - 19"/>
      <sheetName val="Données brutes"/>
      <sheetName val="All Data"/>
      <sheetName val="Data béliers"/>
      <sheetName val="Data brebis"/>
      <sheetName val="Data brebis Points Rouges"/>
      <sheetName val="Début-Fin Chaleurs"/>
      <sheetName val="Début-Fin Chaleurs (2)"/>
      <sheetName val="Feuil2"/>
      <sheetName val="Correspondance T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E31" activeCellId="0" sqref="E3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24.67"/>
    <col collapsed="false" customWidth="true" hidden="false" outlineLevel="0" max="3" min="3" style="1" width="16.56"/>
    <col collapsed="false" customWidth="true" hidden="false" outlineLevel="0" max="4" min="4" style="1" width="16.33"/>
  </cols>
  <sheetData>
    <row r="1" customFormat="false" ht="15" hidden="false" customHeight="false" outlineLevel="0" collapsed="false">
      <c r="A1" s="2" t="s">
        <v>0</v>
      </c>
    </row>
    <row r="3" customFormat="false" ht="14.25" hidden="false" customHeight="false" outlineLevel="0" collapsed="false">
      <c r="A3" s="1" t="s">
        <v>1</v>
      </c>
      <c r="B3" s="3"/>
      <c r="F3" s="4"/>
      <c r="G3" s="4"/>
      <c r="H3" s="4"/>
      <c r="I3" s="4"/>
    </row>
    <row r="4" customFormat="false" ht="14.25" hidden="false" customHeight="false" outlineLevel="0" collapsed="false">
      <c r="A4" s="1" t="s">
        <v>2</v>
      </c>
      <c r="B4" s="3" t="n">
        <v>45783</v>
      </c>
      <c r="C4" s="1" t="n">
        <f aca="false">B6-B4</f>
        <v>14</v>
      </c>
      <c r="F4" s="5"/>
      <c r="G4" s="5"/>
      <c r="H4" s="6"/>
      <c r="I4" s="4"/>
    </row>
    <row r="5" customFormat="false" ht="14.25" hidden="false" customHeight="false" outlineLevel="0" collapsed="false">
      <c r="A5" s="1" t="s">
        <v>3</v>
      </c>
      <c r="B5" s="3" t="n">
        <v>45796</v>
      </c>
      <c r="C5" s="7" t="s">
        <v>4</v>
      </c>
      <c r="D5" s="1" t="s">
        <v>5</v>
      </c>
      <c r="F5" s="5"/>
      <c r="G5" s="5"/>
      <c r="H5" s="6"/>
      <c r="I5" s="4"/>
    </row>
    <row r="6" customFormat="false" ht="14.25" hidden="false" customHeight="false" outlineLevel="0" collapsed="false">
      <c r="A6" s="1" t="s">
        <v>6</v>
      </c>
      <c r="B6" s="3" t="n">
        <v>45797</v>
      </c>
      <c r="C6" s="7" t="s">
        <v>7</v>
      </c>
      <c r="F6" s="6"/>
      <c r="G6" s="8"/>
      <c r="H6" s="6"/>
      <c r="I6" s="4"/>
    </row>
    <row r="7" customFormat="false" ht="14.25" hidden="false" customHeight="false" outlineLevel="0" collapsed="false">
      <c r="A7" s="1" t="s">
        <v>8</v>
      </c>
      <c r="B7" s="3" t="n">
        <v>45797</v>
      </c>
      <c r="C7" s="7" t="s">
        <v>9</v>
      </c>
      <c r="D7" s="1" t="s">
        <v>10</v>
      </c>
      <c r="F7" s="6"/>
      <c r="G7" s="8"/>
      <c r="H7" s="6"/>
      <c r="I7" s="4"/>
    </row>
    <row r="8" customFormat="false" ht="14.25" hidden="false" customHeight="false" outlineLevel="0" collapsed="false">
      <c r="A8" s="1" t="s">
        <v>11</v>
      </c>
      <c r="B8" s="3" t="n">
        <v>45797</v>
      </c>
      <c r="C8" s="7" t="s">
        <v>12</v>
      </c>
      <c r="F8" s="6"/>
      <c r="G8" s="8"/>
      <c r="H8" s="6"/>
      <c r="I8" s="4"/>
    </row>
    <row r="9" customFormat="false" ht="14.25" hidden="false" customHeight="false" outlineLevel="0" collapsed="false">
      <c r="A9" s="1" t="s">
        <v>13</v>
      </c>
      <c r="B9" s="3" t="n">
        <v>45799</v>
      </c>
      <c r="C9" s="7" t="s">
        <v>14</v>
      </c>
      <c r="F9" s="6"/>
      <c r="G9" s="8"/>
      <c r="H9" s="6"/>
      <c r="I9" s="4"/>
    </row>
    <row r="10" customFormat="false" ht="14.25" hidden="false" customHeight="false" outlineLevel="0" collapsed="false">
      <c r="A10" s="1" t="s">
        <v>15</v>
      </c>
      <c r="B10" s="3" t="n">
        <v>45799</v>
      </c>
      <c r="C10" s="7" t="s">
        <v>16</v>
      </c>
      <c r="F10" s="6"/>
      <c r="G10" s="8"/>
      <c r="H10" s="6"/>
      <c r="I10" s="4"/>
    </row>
    <row r="11" customFormat="false" ht="14.25" hidden="false" customHeight="false" outlineLevel="0" collapsed="false">
      <c r="A11" s="1" t="s">
        <v>17</v>
      </c>
      <c r="B11" s="3" t="n">
        <v>45801</v>
      </c>
      <c r="F11" s="6"/>
      <c r="G11" s="8"/>
      <c r="H11" s="6"/>
      <c r="I11" s="4"/>
    </row>
    <row r="12" customFormat="false" ht="14.25" hidden="false" customHeight="false" outlineLevel="0" collapsed="false">
      <c r="A12" s="1" t="s">
        <v>18</v>
      </c>
      <c r="B12" s="3" t="n">
        <v>45805</v>
      </c>
      <c r="F12" s="9"/>
      <c r="G12" s="8"/>
      <c r="H12" s="6"/>
      <c r="I12" s="4"/>
    </row>
    <row r="13" customFormat="false" ht="14.25" hidden="false" customHeight="false" outlineLevel="0" collapsed="false">
      <c r="A13" s="1" t="s">
        <v>19</v>
      </c>
      <c r="B13" s="3" t="n">
        <f aca="false">B12+17</f>
        <v>45822</v>
      </c>
      <c r="F13" s="6"/>
      <c r="G13" s="8"/>
      <c r="H13" s="6"/>
      <c r="I13" s="4"/>
    </row>
    <row r="14" customFormat="false" ht="14.25" hidden="false" customHeight="false" outlineLevel="0" collapsed="false">
      <c r="A14" s="1" t="s">
        <v>20</v>
      </c>
      <c r="B14" s="10" t="n">
        <v>45480</v>
      </c>
      <c r="F14" s="6"/>
      <c r="G14" s="8"/>
      <c r="H14" s="6"/>
      <c r="I14" s="4"/>
    </row>
    <row r="15" customFormat="false" ht="14.25" hidden="false" customHeight="false" outlineLevel="0" collapsed="false">
      <c r="A15" s="1" t="s">
        <v>21</v>
      </c>
      <c r="B15" s="3"/>
      <c r="F15" s="6"/>
      <c r="G15" s="8"/>
      <c r="H15" s="6"/>
      <c r="I15" s="4"/>
    </row>
    <row r="16" customFormat="false" ht="14.25" hidden="false" customHeight="false" outlineLevel="0" collapsed="false">
      <c r="B16" s="11"/>
    </row>
    <row r="17" customFormat="false" ht="14.25" hidden="false" customHeight="false" outlineLevel="0" collapsed="false">
      <c r="A17" s="1" t="s">
        <v>22</v>
      </c>
    </row>
    <row r="18" customFormat="false" ht="14.25" hidden="false" customHeight="false" outlineLevel="0" collapsed="false">
      <c r="A18" s="1" t="s">
        <v>23</v>
      </c>
      <c r="B18" s="1" t="s">
        <v>24</v>
      </c>
      <c r="C18" s="1" t="s">
        <v>25</v>
      </c>
      <c r="D18" s="1" t="s">
        <v>26</v>
      </c>
    </row>
    <row r="19" customFormat="false" ht="14.25" hidden="false" customHeight="false" outlineLevel="0" collapsed="false">
      <c r="A19" s="12" t="s">
        <v>27</v>
      </c>
      <c r="B19" s="13" t="n">
        <v>14</v>
      </c>
      <c r="C19" s="14" t="n">
        <v>1958</v>
      </c>
      <c r="D19" s="7" t="s">
        <v>28</v>
      </c>
      <c r="E19" s="7"/>
      <c r="F19" s="15"/>
      <c r="G19" s="12"/>
      <c r="H19" s="12"/>
      <c r="I19" s="12"/>
    </row>
    <row r="20" customFormat="false" ht="14.25" hidden="false" customHeight="false" outlineLevel="0" collapsed="false">
      <c r="A20" s="16" t="n">
        <v>93202</v>
      </c>
      <c r="B20" s="13" t="n">
        <v>19</v>
      </c>
      <c r="C20" s="7" t="n">
        <v>6288</v>
      </c>
      <c r="D20" s="7" t="s">
        <v>29</v>
      </c>
      <c r="E20" s="7"/>
      <c r="F20" s="14"/>
    </row>
    <row r="21" customFormat="false" ht="14.25" hidden="false" customHeight="false" outlineLevel="0" collapsed="false">
      <c r="A21" s="12" t="n">
        <v>91001</v>
      </c>
      <c r="B21" s="13" t="n">
        <v>15</v>
      </c>
      <c r="C21" s="14" t="n">
        <v>7847</v>
      </c>
      <c r="D21" s="7" t="s">
        <v>30</v>
      </c>
      <c r="E21" s="7"/>
      <c r="F21" s="14"/>
    </row>
    <row r="23" s="7" customFormat="true" ht="14.25" hidden="false" customHeight="false" outlineLevel="0" collapsed="false">
      <c r="A23" s="1"/>
      <c r="B23" s="0"/>
      <c r="C23" s="1"/>
      <c r="D23" s="1"/>
      <c r="E23" s="0"/>
      <c r="F23" s="0"/>
      <c r="G23" s="0"/>
      <c r="H23" s="0"/>
      <c r="I23" s="0"/>
    </row>
    <row r="24" s="7" customFormat="true" ht="14.25" hidden="false" customHeight="false" outlineLevel="0" collapsed="false">
      <c r="A24" s="1" t="s">
        <v>31</v>
      </c>
      <c r="B24" s="0"/>
      <c r="C24" s="1"/>
      <c r="D24" s="1"/>
      <c r="E24" s="0"/>
      <c r="F24" s="0"/>
      <c r="G24" s="0"/>
      <c r="H24" s="0"/>
      <c r="I24" s="0"/>
    </row>
    <row r="25" s="7" customFormat="true" ht="14.25" hidden="false" customHeight="false" outlineLevel="0" collapsed="false">
      <c r="A25" s="1"/>
      <c r="B25" s="0"/>
      <c r="C25" s="1"/>
      <c r="D25" s="1"/>
      <c r="E25" s="0"/>
      <c r="F25" s="0"/>
      <c r="G25" s="0"/>
      <c r="H25" s="0"/>
      <c r="I25" s="0"/>
    </row>
    <row r="26" s="7" customFormat="true" ht="14.25" hidden="false" customHeight="false" outlineLevel="0" collapsed="false">
      <c r="A26" s="7" t="s">
        <v>32</v>
      </c>
      <c r="B26" s="0"/>
      <c r="C26" s="1"/>
      <c r="D26" s="1"/>
      <c r="E26" s="0"/>
      <c r="F26" s="0"/>
      <c r="G26" s="0"/>
      <c r="H26" s="0"/>
      <c r="I26" s="0"/>
    </row>
    <row r="27" s="7" customFormat="true" ht="14.25" hidden="false" customHeight="false" outlineLevel="0" collapsed="false">
      <c r="A27" s="7" t="s">
        <v>33</v>
      </c>
    </row>
    <row r="28" s="7" customFormat="true" ht="14.25" hidden="false" customHeight="false" outlineLevel="0" collapsed="false"/>
    <row r="29" s="7" customFormat="true" ht="14.25" hidden="false" customHeight="false" outlineLevel="0" collapsed="false">
      <c r="A29" s="7" t="s">
        <v>34</v>
      </c>
    </row>
    <row r="30" s="7" customFormat="true" ht="14.25" hidden="false" customHeight="false" outlineLevel="0" collapsed="false">
      <c r="A30" s="7" t="s">
        <v>35</v>
      </c>
    </row>
    <row r="31" s="7" customFormat="true" ht="14.25" hidden="false" customHeight="false" outlineLevel="0" collapsed="false"/>
    <row r="32" s="7" customFormat="true" ht="14.25" hidden="false" customHeight="false" outlineLevel="0" collapsed="false">
      <c r="A32" s="7" t="s">
        <v>36</v>
      </c>
    </row>
    <row r="33" customFormat="false" ht="14.25" hidden="false" customHeight="false" outlineLevel="0" collapsed="false">
      <c r="A33" s="7" t="s">
        <v>37</v>
      </c>
      <c r="B33" s="7"/>
      <c r="C33" s="7"/>
      <c r="D33" s="7"/>
      <c r="E33" s="7"/>
      <c r="F33" s="7"/>
      <c r="G33" s="7"/>
      <c r="H33" s="7"/>
      <c r="I33" s="7"/>
    </row>
    <row r="34" s="7" customFormat="true" ht="14.25" hidden="false" customHeight="false" outlineLevel="0" collapsed="false"/>
    <row r="35" s="7" customFormat="true" ht="14.25" hidden="false" customHeight="false" outlineLevel="0" collapsed="false">
      <c r="A35" s="7" t="s">
        <v>38</v>
      </c>
    </row>
    <row r="36" s="7" customFormat="true" ht="14.25" hidden="false" customHeight="false" outlineLevel="0" collapsed="false">
      <c r="A36" s="7" t="s">
        <v>39</v>
      </c>
    </row>
    <row r="37" customFormat="false" ht="14.25" hidden="false" customHeight="false" outlineLevel="0" collapsed="false">
      <c r="A37" s="7"/>
    </row>
    <row r="38" customFormat="false" ht="14.25" hidden="false" customHeight="false" outlineLevel="0" collapsed="false">
      <c r="A38" s="7" t="s">
        <v>40</v>
      </c>
      <c r="B38" s="7"/>
      <c r="C38" s="7"/>
      <c r="D38" s="7"/>
      <c r="E38" s="7"/>
      <c r="F38" s="7"/>
      <c r="G38" s="7"/>
      <c r="H38" s="7"/>
      <c r="I38" s="7"/>
    </row>
    <row r="39" customFormat="false" ht="14.25" hidden="false" customHeight="false" outlineLevel="0" collapsed="false">
      <c r="A39" s="7" t="s">
        <v>41</v>
      </c>
      <c r="B39" s="7"/>
      <c r="C39" s="7"/>
      <c r="D39" s="7"/>
      <c r="E39" s="7"/>
      <c r="F39" s="7"/>
      <c r="G39" s="7"/>
      <c r="H39" s="7"/>
      <c r="I39" s="7"/>
    </row>
    <row r="40" customFormat="false" ht="14.25" hidden="false" customHeight="false" outlineLevel="0" collapsed="false">
      <c r="A40" s="7" t="s">
        <v>42</v>
      </c>
      <c r="B40" s="7"/>
      <c r="C40" s="7"/>
      <c r="D40" s="7"/>
      <c r="E40" s="7"/>
      <c r="F40" s="7"/>
      <c r="G40" s="7"/>
      <c r="H40" s="7"/>
      <c r="I40" s="7"/>
    </row>
    <row r="41" customFormat="false" ht="14.25" hidden="false" customHeight="false" outlineLevel="0" collapsed="false">
      <c r="A41" s="7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C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8" activeCellId="0" sqref="G78"/>
    </sheetView>
  </sheetViews>
  <sheetFormatPr defaultColWidth="15.109375" defaultRowHeight="14.25" zeroHeight="false" outlineLevelRow="0" outlineLevelCol="0"/>
  <cols>
    <col collapsed="false" customWidth="true" hidden="false" outlineLevel="0" max="1" min="1" style="7" width="10.44"/>
    <col collapsed="false" customWidth="true" hidden="false" outlineLevel="0" max="2" min="2" style="7" width="9.67"/>
    <col collapsed="false" customWidth="true" hidden="false" outlineLevel="0" max="3" min="3" style="7" width="3"/>
    <col collapsed="false" customWidth="true" hidden="false" outlineLevel="0" max="4" min="4" style="7" width="4.33"/>
    <col collapsed="false" customWidth="true" hidden="false" outlineLevel="0" max="5" min="5" style="17" width="18"/>
    <col collapsed="false" customWidth="false" hidden="false" outlineLevel="0" max="16384" min="6" style="7" width="15.11"/>
  </cols>
  <sheetData>
    <row r="1" customFormat="false" ht="17.35" hidden="false" customHeight="false" outlineLevel="0" collapsed="false">
      <c r="A1" s="18" t="s">
        <v>44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</row>
    <row r="4" customFormat="false" ht="16.5" hidden="false" customHeight="true" outlineLevel="0" collapsed="false">
      <c r="B4" s="19"/>
      <c r="C4" s="20"/>
      <c r="D4" s="20"/>
      <c r="E4" s="21" t="s">
        <v>45</v>
      </c>
      <c r="G4" s="22"/>
    </row>
    <row r="5" s="25" customFormat="true" ht="16.5" hidden="false" customHeight="true" outlineLevel="0" collapsed="false">
      <c r="A5" s="7"/>
      <c r="B5" s="19"/>
      <c r="C5" s="23"/>
      <c r="D5" s="23"/>
      <c r="E5" s="24" t="s">
        <v>46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</row>
    <row r="6" s="25" customFormat="true" ht="15" hidden="false" customHeight="true" outlineLevel="0" collapsed="false">
      <c r="A6" s="7"/>
      <c r="B6" s="19"/>
      <c r="C6" s="26"/>
      <c r="D6" s="23"/>
      <c r="E6" s="27" t="s">
        <v>47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</row>
    <row r="7" s="25" customFormat="true" ht="14.25" hidden="false" customHeight="false" outlineLevel="0" collapsed="false">
      <c r="A7" s="7"/>
      <c r="B7" s="19"/>
      <c r="C7" s="23"/>
      <c r="D7" s="23"/>
      <c r="E7" s="28" t="s">
        <v>48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</row>
    <row r="8" customFormat="false" ht="14.25" hidden="false" customHeight="false" outlineLevel="0" collapsed="false">
      <c r="B8" s="19"/>
      <c r="C8" s="23"/>
      <c r="D8" s="23"/>
      <c r="E8" s="29"/>
    </row>
    <row r="9" s="34" customFormat="true" ht="14.25" hidden="false" customHeight="false" outlineLevel="0" collapsed="false">
      <c r="A9" s="30" t="s">
        <v>49</v>
      </c>
      <c r="B9" s="31" t="n">
        <v>45780</v>
      </c>
      <c r="C9" s="32" t="s">
        <v>50</v>
      </c>
      <c r="D9" s="32"/>
      <c r="E9" s="33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</row>
    <row r="10" customFormat="false" ht="14.25" hidden="false" customHeight="false" outlineLevel="0" collapsed="false">
      <c r="A10" s="30"/>
      <c r="B10" s="31" t="n">
        <f aca="false">B9+1</f>
        <v>45781</v>
      </c>
      <c r="C10" s="32" t="s">
        <v>51</v>
      </c>
      <c r="D10" s="32"/>
      <c r="E10" s="33"/>
    </row>
    <row r="11" customFormat="false" ht="15" hidden="false" customHeight="true" outlineLevel="0" collapsed="false">
      <c r="A11" s="30"/>
      <c r="B11" s="35" t="n">
        <f aca="false">B10+1</f>
        <v>45782</v>
      </c>
      <c r="C11" s="36" t="s">
        <v>52</v>
      </c>
      <c r="D11" s="36"/>
      <c r="E11" s="37"/>
    </row>
    <row r="12" s="25" customFormat="true" ht="14.25" hidden="false" customHeight="false" outlineLevel="0" collapsed="false">
      <c r="A12" s="30"/>
      <c r="B12" s="35" t="n">
        <f aca="false">B11+1</f>
        <v>45783</v>
      </c>
      <c r="C12" s="36" t="s">
        <v>53</v>
      </c>
      <c r="D12" s="36" t="n">
        <v>0</v>
      </c>
      <c r="E12" s="38" t="s">
        <v>54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</row>
    <row r="13" s="25" customFormat="true" ht="14.25" hidden="false" customHeight="false" outlineLevel="0" collapsed="false">
      <c r="A13" s="30"/>
      <c r="B13" s="39" t="n">
        <f aca="false">B12+1</f>
        <v>45784</v>
      </c>
      <c r="C13" s="40" t="s">
        <v>53</v>
      </c>
      <c r="D13" s="40" t="n">
        <v>1</v>
      </c>
      <c r="E13" s="41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</row>
    <row r="14" customFormat="false" ht="14.25" hidden="false" customHeight="true" outlineLevel="0" collapsed="false">
      <c r="A14" s="30"/>
      <c r="B14" s="31" t="n">
        <f aca="false">B13+1</f>
        <v>45785</v>
      </c>
      <c r="C14" s="32" t="s">
        <v>55</v>
      </c>
      <c r="D14" s="32" t="n">
        <v>2</v>
      </c>
      <c r="E14" s="33"/>
    </row>
    <row r="15" customFormat="false" ht="14.25" hidden="false" customHeight="false" outlineLevel="0" collapsed="false">
      <c r="A15" s="30"/>
      <c r="B15" s="35" t="n">
        <f aca="false">B14+1</f>
        <v>45786</v>
      </c>
      <c r="C15" s="36" t="s">
        <v>56</v>
      </c>
      <c r="D15" s="36" t="n">
        <v>3</v>
      </c>
      <c r="E15" s="37"/>
    </row>
    <row r="16" s="34" customFormat="true" ht="14.25" hidden="false" customHeight="false" outlineLevel="0" collapsed="false">
      <c r="A16" s="30"/>
      <c r="B16" s="31" t="n">
        <f aca="false">B15+1</f>
        <v>45787</v>
      </c>
      <c r="C16" s="32" t="s">
        <v>50</v>
      </c>
      <c r="D16" s="32" t="n">
        <v>4</v>
      </c>
      <c r="E16" s="3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</row>
    <row r="17" s="25" customFormat="true" ht="14.25" hidden="false" customHeight="false" outlineLevel="0" collapsed="false">
      <c r="A17" s="30"/>
      <c r="B17" s="31" t="n">
        <f aca="false">B16+1</f>
        <v>45788</v>
      </c>
      <c r="C17" s="32" t="s">
        <v>51</v>
      </c>
      <c r="D17" s="32" t="n">
        <v>5</v>
      </c>
      <c r="E17" s="33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</row>
    <row r="18" customFormat="false" ht="14.25" hidden="false" customHeight="false" outlineLevel="0" collapsed="false">
      <c r="A18" s="30"/>
      <c r="B18" s="35" t="n">
        <f aca="false">B17+1</f>
        <v>45789</v>
      </c>
      <c r="C18" s="36" t="s">
        <v>52</v>
      </c>
      <c r="D18" s="36" t="n">
        <v>6</v>
      </c>
      <c r="E18" s="37"/>
    </row>
    <row r="19" s="25" customFormat="true" ht="14.25" hidden="false" customHeight="false" outlineLevel="0" collapsed="false">
      <c r="A19" s="30"/>
      <c r="B19" s="35" t="n">
        <f aca="false">B18+1</f>
        <v>45790</v>
      </c>
      <c r="C19" s="36" t="s">
        <v>53</v>
      </c>
      <c r="D19" s="36" t="n">
        <v>7</v>
      </c>
      <c r="E19" s="3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</row>
    <row r="20" s="25" customFormat="true" ht="14.25" hidden="false" customHeight="false" outlineLevel="0" collapsed="false">
      <c r="A20" s="30"/>
      <c r="B20" s="39" t="n">
        <f aca="false">B19+1</f>
        <v>45791</v>
      </c>
      <c r="C20" s="40" t="s">
        <v>53</v>
      </c>
      <c r="D20" s="40" t="n">
        <v>8</v>
      </c>
      <c r="E20" s="4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</row>
    <row r="21" customFormat="false" ht="14.25" hidden="false" customHeight="false" outlineLevel="0" collapsed="false">
      <c r="A21" s="30"/>
      <c r="B21" s="35" t="n">
        <f aca="false">B20+1</f>
        <v>45792</v>
      </c>
      <c r="C21" s="36" t="s">
        <v>56</v>
      </c>
      <c r="D21" s="36" t="n">
        <v>9</v>
      </c>
      <c r="E21" s="37"/>
    </row>
    <row r="22" customFormat="false" ht="14.25" hidden="false" customHeight="false" outlineLevel="0" collapsed="false">
      <c r="A22" s="30"/>
      <c r="B22" s="35" t="n">
        <f aca="false">B21+1</f>
        <v>45793</v>
      </c>
      <c r="C22" s="36" t="s">
        <v>56</v>
      </c>
      <c r="D22" s="36" t="n">
        <v>10</v>
      </c>
      <c r="E22" s="37"/>
    </row>
    <row r="23" s="34" customFormat="true" ht="14.25" hidden="false" customHeight="false" outlineLevel="0" collapsed="false">
      <c r="A23" s="30"/>
      <c r="B23" s="31" t="n">
        <f aca="false">B22+1</f>
        <v>45794</v>
      </c>
      <c r="C23" s="32" t="s">
        <v>50</v>
      </c>
      <c r="D23" s="32" t="n">
        <v>11</v>
      </c>
      <c r="E23" s="33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</row>
    <row r="24" customFormat="false" ht="14.25" hidden="false" customHeight="false" outlineLevel="0" collapsed="false">
      <c r="A24" s="32"/>
      <c r="B24" s="31" t="n">
        <f aca="false">B23+1</f>
        <v>45795</v>
      </c>
      <c r="C24" s="32" t="s">
        <v>51</v>
      </c>
      <c r="D24" s="32" t="n">
        <v>12</v>
      </c>
      <c r="E24" s="33"/>
    </row>
    <row r="25" customFormat="false" ht="28.35" hidden="false" customHeight="false" outlineLevel="0" collapsed="false">
      <c r="A25" s="36"/>
      <c r="B25" s="35" t="n">
        <f aca="false">B24+1</f>
        <v>45796</v>
      </c>
      <c r="C25" s="36" t="s">
        <v>52</v>
      </c>
      <c r="D25" s="36" t="n">
        <v>13</v>
      </c>
      <c r="E25" s="38" t="s">
        <v>57</v>
      </c>
    </row>
    <row r="26" s="25" customFormat="true" ht="41.75" hidden="false" customHeight="false" outlineLevel="0" collapsed="false">
      <c r="A26" s="36"/>
      <c r="B26" s="35" t="n">
        <f aca="false">B25+1</f>
        <v>45797</v>
      </c>
      <c r="C26" s="36" t="s">
        <v>53</v>
      </c>
      <c r="D26" s="36" t="n">
        <v>14</v>
      </c>
      <c r="E26" s="38" t="s">
        <v>58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</row>
    <row r="27" s="25" customFormat="true" ht="14.25" hidden="false" customHeight="false" outlineLevel="0" collapsed="false">
      <c r="A27" s="40"/>
      <c r="B27" s="39" t="n">
        <f aca="false">B26+1</f>
        <v>45798</v>
      </c>
      <c r="C27" s="40" t="s">
        <v>53</v>
      </c>
      <c r="D27" s="40" t="n">
        <v>15</v>
      </c>
      <c r="E27" s="38" t="s">
        <v>59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</row>
    <row r="28" s="25" customFormat="true" ht="14.25" hidden="false" customHeight="false" outlineLevel="0" collapsed="false">
      <c r="A28" s="36"/>
      <c r="B28" s="35" t="n">
        <f aca="false">B27+1</f>
        <v>45799</v>
      </c>
      <c r="C28" s="36" t="s">
        <v>55</v>
      </c>
      <c r="D28" s="36" t="n">
        <v>16</v>
      </c>
      <c r="E28" s="38" t="s">
        <v>60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</row>
    <row r="29" customFormat="false" ht="14.25" hidden="false" customHeight="false" outlineLevel="0" collapsed="false">
      <c r="A29" s="36"/>
      <c r="B29" s="35" t="n">
        <f aca="false">B28+1</f>
        <v>45800</v>
      </c>
      <c r="C29" s="36" t="s">
        <v>56</v>
      </c>
      <c r="D29" s="36" t="n">
        <v>1</v>
      </c>
      <c r="E29" s="38" t="s">
        <v>59</v>
      </c>
    </row>
    <row r="30" s="34" customFormat="true" ht="14.25" hidden="false" customHeight="false" outlineLevel="0" collapsed="false">
      <c r="A30" s="32"/>
      <c r="B30" s="31" t="n">
        <f aca="false">B29+1</f>
        <v>45801</v>
      </c>
      <c r="C30" s="32" t="s">
        <v>50</v>
      </c>
      <c r="D30" s="32" t="n">
        <v>2</v>
      </c>
      <c r="E30" s="42" t="s">
        <v>61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</row>
    <row r="31" customFormat="false" ht="14.25" hidden="false" customHeight="false" outlineLevel="0" collapsed="false">
      <c r="A31" s="32"/>
      <c r="B31" s="31" t="n">
        <f aca="false">B30+1</f>
        <v>45802</v>
      </c>
      <c r="C31" s="32" t="s">
        <v>51</v>
      </c>
      <c r="D31" s="32" t="n">
        <v>3</v>
      </c>
      <c r="E31" s="42"/>
    </row>
    <row r="32" customFormat="false" ht="14.25" hidden="false" customHeight="false" outlineLevel="0" collapsed="false">
      <c r="A32" s="36"/>
      <c r="B32" s="35" t="n">
        <f aca="false">B31+1</f>
        <v>45803</v>
      </c>
      <c r="C32" s="36" t="s">
        <v>52</v>
      </c>
      <c r="D32" s="36" t="n">
        <v>4</v>
      </c>
      <c r="E32" s="37"/>
    </row>
    <row r="33" s="25" customFormat="true" ht="14.25" hidden="false" customHeight="false" outlineLevel="0" collapsed="false">
      <c r="A33" s="36"/>
      <c r="B33" s="35" t="n">
        <f aca="false">B32+1</f>
        <v>45804</v>
      </c>
      <c r="C33" s="36" t="s">
        <v>53</v>
      </c>
      <c r="D33" s="36" t="n">
        <v>5</v>
      </c>
      <c r="E33" s="3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</row>
    <row r="34" s="25" customFormat="true" ht="14.25" hidden="false" customHeight="false" outlineLevel="0" collapsed="false">
      <c r="A34" s="40"/>
      <c r="B34" s="39" t="n">
        <f aca="false">B33+1</f>
        <v>45805</v>
      </c>
      <c r="C34" s="40" t="s">
        <v>53</v>
      </c>
      <c r="D34" s="40" t="n">
        <v>6</v>
      </c>
      <c r="E34" s="38" t="s">
        <v>62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</row>
    <row r="35" customFormat="false" ht="14.25" hidden="false" customHeight="false" outlineLevel="0" collapsed="false">
      <c r="A35" s="32"/>
      <c r="B35" s="31" t="n">
        <f aca="false">B34+1</f>
        <v>45806</v>
      </c>
      <c r="C35" s="32" t="s">
        <v>55</v>
      </c>
      <c r="D35" s="32" t="n">
        <v>7</v>
      </c>
      <c r="E35" s="33"/>
    </row>
    <row r="36" customFormat="false" ht="14.25" hidden="false" customHeight="false" outlineLevel="0" collapsed="false">
      <c r="A36" s="36"/>
      <c r="B36" s="35" t="n">
        <f aca="false">B35+1</f>
        <v>45807</v>
      </c>
      <c r="C36" s="36" t="s">
        <v>56</v>
      </c>
      <c r="D36" s="36" t="n">
        <v>8</v>
      </c>
      <c r="E36" s="37"/>
    </row>
    <row r="37" customFormat="false" ht="14.25" hidden="false" customHeight="false" outlineLevel="0" collapsed="false">
      <c r="A37" s="32"/>
      <c r="B37" s="31" t="n">
        <f aca="false">B36+1</f>
        <v>45808</v>
      </c>
      <c r="C37" s="32" t="s">
        <v>50</v>
      </c>
      <c r="D37" s="32" t="n">
        <v>9</v>
      </c>
      <c r="E37" s="33"/>
    </row>
    <row r="38" customFormat="false" ht="14.25" hidden="false" customHeight="false" outlineLevel="0" collapsed="false">
      <c r="A38" s="32"/>
      <c r="B38" s="31" t="n">
        <f aca="false">B37+1</f>
        <v>45809</v>
      </c>
      <c r="C38" s="32" t="s">
        <v>51</v>
      </c>
      <c r="D38" s="32" t="n">
        <v>10</v>
      </c>
      <c r="E38" s="33"/>
    </row>
    <row r="39" customFormat="false" ht="14.25" hidden="false" customHeight="false" outlineLevel="0" collapsed="false">
      <c r="A39" s="36"/>
      <c r="B39" s="35" t="n">
        <f aca="false">B38+1</f>
        <v>45810</v>
      </c>
      <c r="C39" s="36" t="s">
        <v>52</v>
      </c>
      <c r="D39" s="36" t="n">
        <v>11</v>
      </c>
      <c r="E39" s="37"/>
    </row>
    <row r="40" customFormat="false" ht="14.25" hidden="false" customHeight="false" outlineLevel="0" collapsed="false">
      <c r="A40" s="36"/>
      <c r="B40" s="35" t="n">
        <f aca="false">B39+1</f>
        <v>45811</v>
      </c>
      <c r="C40" s="36" t="s">
        <v>53</v>
      </c>
      <c r="D40" s="36" t="n">
        <v>12</v>
      </c>
      <c r="E40" s="37"/>
    </row>
    <row r="41" customFormat="false" ht="14.25" hidden="false" customHeight="false" outlineLevel="0" collapsed="false">
      <c r="A41" s="40"/>
      <c r="B41" s="39" t="n">
        <f aca="false">B40+1</f>
        <v>45812</v>
      </c>
      <c r="C41" s="40" t="s">
        <v>53</v>
      </c>
      <c r="D41" s="40" t="n">
        <v>13</v>
      </c>
      <c r="E41" s="41"/>
    </row>
    <row r="42" customFormat="false" ht="14.25" hidden="false" customHeight="false" outlineLevel="0" collapsed="false">
      <c r="A42" s="36"/>
      <c r="B42" s="35" t="n">
        <f aca="false">B41+1</f>
        <v>45813</v>
      </c>
      <c r="C42" s="36" t="s">
        <v>55</v>
      </c>
      <c r="D42" s="36" t="n">
        <v>14</v>
      </c>
      <c r="E42" s="43"/>
    </row>
    <row r="43" customFormat="false" ht="14.25" hidden="false" customHeight="false" outlineLevel="0" collapsed="false">
      <c r="A43" s="36"/>
      <c r="B43" s="35" t="n">
        <f aca="false">B42+1</f>
        <v>45814</v>
      </c>
      <c r="C43" s="36" t="s">
        <v>56</v>
      </c>
      <c r="D43" s="36" t="n">
        <v>15</v>
      </c>
      <c r="E43" s="37"/>
    </row>
    <row r="44" customFormat="false" ht="14.25" hidden="false" customHeight="false" outlineLevel="0" collapsed="false">
      <c r="A44" s="32"/>
      <c r="B44" s="31" t="n">
        <f aca="false">B43+1</f>
        <v>45815</v>
      </c>
      <c r="C44" s="32" t="s">
        <v>50</v>
      </c>
      <c r="D44" s="32" t="n">
        <v>16</v>
      </c>
      <c r="E44" s="33"/>
    </row>
    <row r="45" customFormat="false" ht="14.25" hidden="false" customHeight="false" outlineLevel="0" collapsed="false">
      <c r="A45" s="32"/>
      <c r="B45" s="31" t="n">
        <f aca="false">B44+1</f>
        <v>45816</v>
      </c>
      <c r="C45" s="32" t="s">
        <v>51</v>
      </c>
      <c r="D45" s="32" t="n">
        <v>17</v>
      </c>
      <c r="E45" s="33"/>
    </row>
    <row r="46" customFormat="false" ht="14.25" hidden="false" customHeight="false" outlineLevel="0" collapsed="false">
      <c r="A46" s="32"/>
      <c r="B46" s="31" t="n">
        <f aca="false">B45+1</f>
        <v>45817</v>
      </c>
      <c r="C46" s="32" t="s">
        <v>52</v>
      </c>
      <c r="D46" s="32" t="n">
        <v>18</v>
      </c>
      <c r="E46" s="33"/>
    </row>
    <row r="47" customFormat="false" ht="14.25" hidden="false" customHeight="false" outlineLevel="0" collapsed="false">
      <c r="A47" s="36"/>
      <c r="B47" s="35" t="n">
        <f aca="false">B46+1</f>
        <v>45818</v>
      </c>
      <c r="C47" s="36" t="s">
        <v>53</v>
      </c>
      <c r="D47" s="36" t="n">
        <v>19</v>
      </c>
      <c r="E47" s="37"/>
    </row>
    <row r="48" customFormat="false" ht="14.25" hidden="false" customHeight="false" outlineLevel="0" collapsed="false">
      <c r="A48" s="40"/>
      <c r="B48" s="39" t="n">
        <f aca="false">B47+1</f>
        <v>45819</v>
      </c>
      <c r="C48" s="40" t="s">
        <v>53</v>
      </c>
      <c r="D48" s="40" t="n">
        <v>20</v>
      </c>
      <c r="E48" s="41"/>
    </row>
    <row r="49" customFormat="false" ht="14.25" hidden="false" customHeight="false" outlineLevel="0" collapsed="false">
      <c r="A49" s="36"/>
      <c r="B49" s="35" t="n">
        <f aca="false">B48+1</f>
        <v>45820</v>
      </c>
      <c r="C49" s="36" t="s">
        <v>55</v>
      </c>
      <c r="D49" s="36" t="n">
        <v>21</v>
      </c>
      <c r="E49" s="37"/>
    </row>
    <row r="50" customFormat="false" ht="14.25" hidden="false" customHeight="false" outlineLevel="0" collapsed="false">
      <c r="A50" s="36"/>
      <c r="B50" s="35" t="n">
        <f aca="false">B49+1</f>
        <v>45821</v>
      </c>
      <c r="C50" s="36" t="s">
        <v>56</v>
      </c>
      <c r="D50" s="36" t="n">
        <v>22</v>
      </c>
      <c r="E50" s="37"/>
    </row>
    <row r="51" customFormat="false" ht="14.25" hidden="false" customHeight="false" outlineLevel="0" collapsed="false">
      <c r="A51" s="32"/>
      <c r="B51" s="31" t="n">
        <f aca="false">B50+1</f>
        <v>45822</v>
      </c>
      <c r="C51" s="32" t="s">
        <v>50</v>
      </c>
      <c r="D51" s="32" t="n">
        <v>23</v>
      </c>
      <c r="E51" s="33"/>
    </row>
    <row r="52" customFormat="false" ht="14.25" hidden="false" customHeight="false" outlineLevel="0" collapsed="false">
      <c r="A52" s="32"/>
      <c r="B52" s="31" t="n">
        <f aca="false">B51+1</f>
        <v>45823</v>
      </c>
      <c r="C52" s="32" t="s">
        <v>51</v>
      </c>
      <c r="D52" s="32" t="n">
        <v>24</v>
      </c>
      <c r="E52" s="33"/>
    </row>
    <row r="53" customFormat="false" ht="14.25" hidden="false" customHeight="false" outlineLevel="0" collapsed="false">
      <c r="A53" s="36"/>
      <c r="B53" s="35" t="n">
        <f aca="false">B52+1</f>
        <v>45824</v>
      </c>
      <c r="C53" s="36" t="s">
        <v>52</v>
      </c>
      <c r="D53" s="36" t="n">
        <v>25</v>
      </c>
      <c r="E53" s="37"/>
    </row>
    <row r="54" customFormat="false" ht="14.25" hidden="false" customHeight="false" outlineLevel="0" collapsed="false">
      <c r="A54" s="36"/>
      <c r="B54" s="35" t="n">
        <f aca="false">B53+1</f>
        <v>45825</v>
      </c>
      <c r="C54" s="36" t="s">
        <v>53</v>
      </c>
      <c r="D54" s="36" t="n">
        <v>26</v>
      </c>
      <c r="E54" s="37"/>
    </row>
    <row r="55" customFormat="false" ht="14.25" hidden="false" customHeight="false" outlineLevel="0" collapsed="false">
      <c r="A55" s="40"/>
      <c r="B55" s="39" t="n">
        <f aca="false">B54+1</f>
        <v>45826</v>
      </c>
      <c r="C55" s="40" t="s">
        <v>53</v>
      </c>
      <c r="D55" s="40" t="n">
        <v>27</v>
      </c>
      <c r="E55" s="41"/>
    </row>
    <row r="56" customFormat="false" ht="14.25" hidden="false" customHeight="false" outlineLevel="0" collapsed="false">
      <c r="A56" s="36"/>
      <c r="B56" s="35" t="n">
        <f aca="false">B55+1</f>
        <v>45827</v>
      </c>
      <c r="C56" s="36" t="s">
        <v>55</v>
      </c>
      <c r="D56" s="36" t="n">
        <v>28</v>
      </c>
      <c r="E56" s="37"/>
    </row>
    <row r="57" customFormat="false" ht="14.25" hidden="false" customHeight="false" outlineLevel="0" collapsed="false">
      <c r="A57" s="36"/>
      <c r="B57" s="35" t="n">
        <f aca="false">B56+1</f>
        <v>45828</v>
      </c>
      <c r="C57" s="36" t="s">
        <v>56</v>
      </c>
      <c r="D57" s="36" t="n">
        <v>29</v>
      </c>
      <c r="E57" s="37"/>
    </row>
    <row r="58" s="34" customFormat="true" ht="14.25" hidden="false" customHeight="false" outlineLevel="0" collapsed="false">
      <c r="A58" s="32"/>
      <c r="B58" s="31" t="n">
        <f aca="false">B57+1</f>
        <v>45829</v>
      </c>
      <c r="C58" s="32" t="s">
        <v>50</v>
      </c>
      <c r="D58" s="32" t="n">
        <v>30</v>
      </c>
      <c r="E58" s="33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</row>
    <row r="59" customFormat="false" ht="14.25" hidden="false" customHeight="false" outlineLevel="0" collapsed="false">
      <c r="A59" s="32"/>
      <c r="B59" s="31" t="n">
        <f aca="false">B58+1</f>
        <v>45830</v>
      </c>
      <c r="C59" s="32" t="s">
        <v>51</v>
      </c>
      <c r="D59" s="32" t="n">
        <v>31</v>
      </c>
      <c r="E59" s="33"/>
    </row>
    <row r="60" customFormat="false" ht="14.25" hidden="false" customHeight="false" outlineLevel="0" collapsed="false">
      <c r="A60" s="36"/>
      <c r="B60" s="35" t="n">
        <f aca="false">B59+1</f>
        <v>45831</v>
      </c>
      <c r="C60" s="36" t="s">
        <v>52</v>
      </c>
      <c r="D60" s="36" t="n">
        <v>32</v>
      </c>
      <c r="E60" s="36"/>
    </row>
    <row r="61" s="25" customFormat="true" ht="14.25" hidden="false" customHeight="false" outlineLevel="0" collapsed="false">
      <c r="A61" s="36"/>
      <c r="B61" s="35" t="n">
        <f aca="false">B60+1</f>
        <v>45832</v>
      </c>
      <c r="C61" s="36" t="s">
        <v>53</v>
      </c>
      <c r="D61" s="36" t="n">
        <v>33</v>
      </c>
      <c r="E61" s="36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</row>
    <row r="62" s="25" customFormat="true" ht="14.25" hidden="false" customHeight="false" outlineLevel="0" collapsed="false">
      <c r="A62" s="40"/>
      <c r="B62" s="39" t="n">
        <f aca="false">B61+1</f>
        <v>45833</v>
      </c>
      <c r="C62" s="40" t="s">
        <v>53</v>
      </c>
      <c r="D62" s="40" t="n">
        <v>34</v>
      </c>
      <c r="E62" s="40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</row>
    <row r="63" customFormat="false" ht="14.25" hidden="false" customHeight="false" outlineLevel="0" collapsed="false">
      <c r="A63" s="36"/>
      <c r="B63" s="35" t="n">
        <f aca="false">B62+1</f>
        <v>45834</v>
      </c>
      <c r="C63" s="36" t="s">
        <v>55</v>
      </c>
      <c r="D63" s="36" t="n">
        <v>35</v>
      </c>
      <c r="E63" s="36"/>
    </row>
    <row r="64" customFormat="false" ht="14.25" hidden="false" customHeight="false" outlineLevel="0" collapsed="false">
      <c r="A64" s="36"/>
      <c r="B64" s="35" t="n">
        <f aca="false">B63+1</f>
        <v>45835</v>
      </c>
      <c r="C64" s="36" t="s">
        <v>56</v>
      </c>
      <c r="D64" s="36" t="n">
        <v>36</v>
      </c>
      <c r="E64" s="36"/>
    </row>
    <row r="65" s="34" customFormat="true" ht="14.25" hidden="false" customHeight="false" outlineLevel="0" collapsed="false">
      <c r="A65" s="32"/>
      <c r="B65" s="31" t="n">
        <f aca="false">B64+1</f>
        <v>45836</v>
      </c>
      <c r="C65" s="32" t="s">
        <v>50</v>
      </c>
      <c r="D65" s="32" t="n">
        <v>37</v>
      </c>
      <c r="E65" s="3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</row>
    <row r="66" customFormat="false" ht="14.25" hidden="false" customHeight="false" outlineLevel="0" collapsed="false">
      <c r="A66" s="32"/>
      <c r="B66" s="31" t="n">
        <f aca="false">B65+1</f>
        <v>45837</v>
      </c>
      <c r="C66" s="32" t="s">
        <v>51</v>
      </c>
      <c r="D66" s="32" t="n">
        <v>38</v>
      </c>
      <c r="E66" s="32"/>
    </row>
    <row r="67" customFormat="false" ht="14.25" hidden="false" customHeight="false" outlineLevel="0" collapsed="false">
      <c r="A67" s="36"/>
      <c r="B67" s="35" t="n">
        <f aca="false">B66+1</f>
        <v>45838</v>
      </c>
      <c r="C67" s="36" t="s">
        <v>52</v>
      </c>
      <c r="D67" s="36" t="n">
        <v>39</v>
      </c>
      <c r="E67" s="36"/>
    </row>
    <row r="68" s="25" customFormat="true" ht="14.25" hidden="false" customHeight="false" outlineLevel="0" collapsed="false">
      <c r="A68" s="36"/>
      <c r="B68" s="35" t="n">
        <f aca="false">B67+1</f>
        <v>45839</v>
      </c>
      <c r="C68" s="36" t="s">
        <v>53</v>
      </c>
      <c r="D68" s="36" t="n">
        <v>40</v>
      </c>
      <c r="E68" s="36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</row>
    <row r="69" s="25" customFormat="true" ht="14.25" hidden="false" customHeight="false" outlineLevel="0" collapsed="false">
      <c r="A69" s="40"/>
      <c r="B69" s="39" t="n">
        <f aca="false">B68+1</f>
        <v>45840</v>
      </c>
      <c r="C69" s="40" t="s">
        <v>53</v>
      </c>
      <c r="D69" s="40" t="n">
        <v>41</v>
      </c>
      <c r="E69" s="40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</row>
    <row r="70" customFormat="false" ht="14.25" hidden="false" customHeight="false" outlineLevel="0" collapsed="false">
      <c r="A70" s="36"/>
      <c r="B70" s="35" t="n">
        <f aca="false">B69+1</f>
        <v>45841</v>
      </c>
      <c r="C70" s="36" t="s">
        <v>55</v>
      </c>
      <c r="D70" s="36" t="n">
        <v>42</v>
      </c>
      <c r="E70" s="36"/>
    </row>
    <row r="71" customFormat="false" ht="14.25" hidden="false" customHeight="false" outlineLevel="0" collapsed="false">
      <c r="A71" s="36"/>
      <c r="B71" s="35" t="n">
        <f aca="false">B70+1</f>
        <v>45842</v>
      </c>
      <c r="C71" s="36" t="s">
        <v>56</v>
      </c>
      <c r="D71" s="36" t="n">
        <v>43</v>
      </c>
      <c r="E71" s="36"/>
    </row>
    <row r="72" s="34" customFormat="true" ht="14.25" hidden="false" customHeight="false" outlineLevel="0" collapsed="false">
      <c r="A72" s="32"/>
      <c r="B72" s="31" t="n">
        <f aca="false">B71+1</f>
        <v>45843</v>
      </c>
      <c r="C72" s="32" t="s">
        <v>50</v>
      </c>
      <c r="D72" s="32" t="n">
        <v>44</v>
      </c>
      <c r="E72" s="3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</row>
    <row r="73" customFormat="false" ht="14.25" hidden="false" customHeight="false" outlineLevel="0" collapsed="false">
      <c r="A73" s="32"/>
      <c r="B73" s="31" t="n">
        <f aca="false">B72+1</f>
        <v>45844</v>
      </c>
      <c r="C73" s="32" t="s">
        <v>51</v>
      </c>
      <c r="D73" s="32" t="n">
        <v>45</v>
      </c>
      <c r="E73" s="32"/>
    </row>
    <row r="74" s="25" customFormat="true" ht="14.25" hidden="false" customHeight="false" outlineLevel="0" collapsed="false">
      <c r="A74" s="36"/>
      <c r="B74" s="35" t="n">
        <f aca="false">B73+1</f>
        <v>45845</v>
      </c>
      <c r="C74" s="36" t="s">
        <v>52</v>
      </c>
      <c r="D74" s="36" t="n">
        <v>46</v>
      </c>
      <c r="E74" s="38" t="s">
        <v>63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</row>
    <row r="75" s="25" customFormat="true" ht="14.25" hidden="false" customHeight="false" outlineLevel="0" collapsed="false">
      <c r="A75" s="36"/>
      <c r="B75" s="35" t="n">
        <f aca="false">B74+1</f>
        <v>45846</v>
      </c>
      <c r="C75" s="36" t="s">
        <v>53</v>
      </c>
      <c r="D75" s="36" t="n">
        <v>47</v>
      </c>
      <c r="E75" s="36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</row>
    <row r="76" s="25" customFormat="true" ht="14.25" hidden="false" customHeight="false" outlineLevel="0" collapsed="false">
      <c r="A76" s="40"/>
      <c r="B76" s="39" t="n">
        <f aca="false">B75+1</f>
        <v>45847</v>
      </c>
      <c r="C76" s="40" t="s">
        <v>53</v>
      </c>
      <c r="D76" s="40" t="n">
        <v>48</v>
      </c>
      <c r="E76" s="40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</row>
    <row r="77" customFormat="false" ht="14.25" hidden="false" customHeight="false" outlineLevel="0" collapsed="false">
      <c r="A77" s="36"/>
      <c r="B77" s="35" t="n">
        <f aca="false">B76+1</f>
        <v>45848</v>
      </c>
      <c r="C77" s="36" t="s">
        <v>55</v>
      </c>
      <c r="D77" s="36" t="n">
        <v>49</v>
      </c>
      <c r="E77" s="36"/>
    </row>
    <row r="78" customFormat="false" ht="14.25" hidden="false" customHeight="false" outlineLevel="0" collapsed="false">
      <c r="A78" s="36"/>
      <c r="B78" s="35" t="n">
        <f aca="false">B77+1</f>
        <v>45849</v>
      </c>
      <c r="C78" s="36" t="s">
        <v>56</v>
      </c>
      <c r="D78" s="36" t="n">
        <v>50</v>
      </c>
      <c r="E78" s="36"/>
    </row>
    <row r="79" s="34" customFormat="true" ht="14.25" hidden="false" customHeight="false" outlineLevel="0" collapsed="false">
      <c r="A79" s="32"/>
      <c r="B79" s="31" t="n">
        <f aca="false">B78+1</f>
        <v>45850</v>
      </c>
      <c r="C79" s="32" t="s">
        <v>50</v>
      </c>
      <c r="D79" s="32" t="n">
        <v>51</v>
      </c>
      <c r="E79" s="3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</row>
    <row r="80" customFormat="false" ht="14.25" hidden="false" customHeight="false" outlineLevel="0" collapsed="false">
      <c r="A80" s="32"/>
      <c r="B80" s="31" t="n">
        <f aca="false">B79+1</f>
        <v>45851</v>
      </c>
      <c r="C80" s="32" t="s">
        <v>51</v>
      </c>
      <c r="D80" s="32" t="n">
        <v>52</v>
      </c>
      <c r="E80" s="32"/>
    </row>
    <row r="81" customFormat="false" ht="14.25" hidden="false" customHeight="false" outlineLevel="0" collapsed="false">
      <c r="A81" s="32"/>
      <c r="B81" s="31" t="n">
        <f aca="false">B80+1</f>
        <v>45852</v>
      </c>
      <c r="C81" s="32" t="s">
        <v>52</v>
      </c>
      <c r="D81" s="32" t="n">
        <v>53</v>
      </c>
      <c r="E81" s="32"/>
    </row>
    <row r="82" customFormat="false" ht="14.25" hidden="false" customHeight="false" outlineLevel="0" collapsed="false">
      <c r="A82" s="36"/>
      <c r="B82" s="35" t="n">
        <f aca="false">B81+1</f>
        <v>45853</v>
      </c>
      <c r="C82" s="36" t="s">
        <v>53</v>
      </c>
      <c r="D82" s="36" t="n">
        <v>54</v>
      </c>
      <c r="E82" s="36"/>
    </row>
    <row r="83" customFormat="false" ht="14.25" hidden="false" customHeight="false" outlineLevel="0" collapsed="false">
      <c r="A83" s="40"/>
      <c r="B83" s="39" t="n">
        <f aca="false">B82+1</f>
        <v>45854</v>
      </c>
      <c r="C83" s="40" t="s">
        <v>53</v>
      </c>
      <c r="D83" s="40" t="n">
        <v>55</v>
      </c>
      <c r="E83" s="40"/>
    </row>
    <row r="84" customFormat="false" ht="14.25" hidden="false" customHeight="false" outlineLevel="0" collapsed="false">
      <c r="A84" s="36"/>
      <c r="B84" s="35" t="n">
        <f aca="false">B83+1</f>
        <v>45855</v>
      </c>
      <c r="C84" s="36" t="s">
        <v>55</v>
      </c>
      <c r="D84" s="36" t="n">
        <v>56</v>
      </c>
      <c r="E84" s="36"/>
    </row>
    <row r="85" customFormat="false" ht="14.25" hidden="false" customHeight="false" outlineLevel="0" collapsed="false">
      <c r="A85" s="36"/>
      <c r="B85" s="35" t="n">
        <f aca="false">B84+1</f>
        <v>45856</v>
      </c>
      <c r="C85" s="36" t="s">
        <v>56</v>
      </c>
      <c r="D85" s="36" t="n">
        <v>57</v>
      </c>
      <c r="E85" s="36"/>
    </row>
    <row r="86" customFormat="false" ht="14.25" hidden="false" customHeight="false" outlineLevel="0" collapsed="false">
      <c r="A86" s="32"/>
      <c r="B86" s="31" t="n">
        <f aca="false">B85+1</f>
        <v>45857</v>
      </c>
      <c r="C86" s="32" t="s">
        <v>50</v>
      </c>
      <c r="D86" s="32" t="n">
        <v>58</v>
      </c>
      <c r="E86" s="32"/>
    </row>
    <row r="87" customFormat="false" ht="14.25" hidden="false" customHeight="false" outlineLevel="0" collapsed="false">
      <c r="A87" s="32"/>
      <c r="B87" s="31" t="n">
        <f aca="false">B86+1</f>
        <v>45858</v>
      </c>
      <c r="C87" s="32" t="s">
        <v>51</v>
      </c>
      <c r="D87" s="32" t="n">
        <v>59</v>
      </c>
      <c r="E87" s="32"/>
    </row>
    <row r="88" customFormat="false" ht="14.25" hidden="false" customHeight="false" outlineLevel="0" collapsed="false">
      <c r="A88" s="36"/>
      <c r="B88" s="35" t="n">
        <f aca="false">B87+1</f>
        <v>45859</v>
      </c>
      <c r="C88" s="36" t="s">
        <v>52</v>
      </c>
      <c r="D88" s="36" t="n">
        <v>60</v>
      </c>
      <c r="E88" s="36"/>
    </row>
    <row r="89" customFormat="false" ht="14.25" hidden="false" customHeight="false" outlineLevel="0" collapsed="false">
      <c r="B89" s="19"/>
      <c r="C89" s="19"/>
      <c r="E89" s="29"/>
    </row>
    <row r="90" customFormat="false" ht="14.25" hidden="false" customHeight="false" outlineLevel="0" collapsed="false">
      <c r="B90" s="19"/>
      <c r="E90" s="29"/>
    </row>
    <row r="91" customFormat="false" ht="14.25" hidden="false" customHeight="false" outlineLevel="0" collapsed="false">
      <c r="B91" s="19"/>
      <c r="E91" s="29"/>
    </row>
    <row r="92" customFormat="false" ht="14.25" hidden="false" customHeight="false" outlineLevel="0" collapsed="false">
      <c r="B92" s="19"/>
      <c r="E92" s="29"/>
    </row>
    <row r="93" customFormat="false" ht="14.25" hidden="false" customHeight="false" outlineLevel="0" collapsed="false">
      <c r="B93" s="19"/>
      <c r="E93" s="29"/>
    </row>
    <row r="94" customFormat="false" ht="14.25" hidden="false" customHeight="false" outlineLevel="0" collapsed="false">
      <c r="B94" s="19"/>
      <c r="E94" s="29"/>
    </row>
    <row r="95" customFormat="false" ht="14.25" hidden="false" customHeight="false" outlineLevel="0" collapsed="false">
      <c r="B95" s="19"/>
      <c r="E95" s="29"/>
    </row>
    <row r="96" customFormat="false" ht="14.25" hidden="false" customHeight="false" outlineLevel="0" collapsed="false">
      <c r="B96" s="19"/>
      <c r="E96" s="29"/>
    </row>
    <row r="97" customFormat="false" ht="14.25" hidden="false" customHeight="false" outlineLevel="0" collapsed="false">
      <c r="B97" s="19"/>
      <c r="E97" s="29"/>
    </row>
    <row r="98" customFormat="false" ht="14.25" hidden="false" customHeight="false" outlineLevel="0" collapsed="false">
      <c r="B98" s="19"/>
      <c r="E98" s="29"/>
    </row>
    <row r="99" customFormat="false" ht="14.25" hidden="false" customHeight="false" outlineLevel="0" collapsed="false">
      <c r="B99" s="19"/>
      <c r="E99" s="29"/>
    </row>
    <row r="100" customFormat="false" ht="14.25" hidden="false" customHeight="false" outlineLevel="0" collapsed="false">
      <c r="B100" s="19"/>
      <c r="E100" s="29"/>
    </row>
    <row r="101" customFormat="false" ht="14.25" hidden="false" customHeight="false" outlineLevel="0" collapsed="false">
      <c r="B101" s="19"/>
      <c r="E101" s="29"/>
    </row>
    <row r="102" customFormat="false" ht="14.25" hidden="false" customHeight="false" outlineLevel="0" collapsed="false">
      <c r="B102" s="19"/>
      <c r="E102" s="29"/>
    </row>
    <row r="103" customFormat="false" ht="14.25" hidden="false" customHeight="false" outlineLevel="0" collapsed="false">
      <c r="B103" s="19"/>
      <c r="E103" s="29"/>
    </row>
    <row r="104" customFormat="false" ht="14.25" hidden="false" customHeight="false" outlineLevel="0" collapsed="false">
      <c r="B104" s="19"/>
      <c r="E104" s="29"/>
    </row>
    <row r="105" customFormat="false" ht="14.25" hidden="false" customHeight="false" outlineLevel="0" collapsed="false">
      <c r="B105" s="19"/>
      <c r="E105" s="29"/>
    </row>
    <row r="106" customFormat="false" ht="14.25" hidden="false" customHeight="false" outlineLevel="0" collapsed="false">
      <c r="B106" s="19"/>
      <c r="E106" s="29"/>
    </row>
    <row r="107" customFormat="false" ht="14.25" hidden="false" customHeight="false" outlineLevel="0" collapsed="false">
      <c r="B107" s="19"/>
      <c r="E107" s="29"/>
    </row>
    <row r="108" customFormat="false" ht="14.25" hidden="false" customHeight="false" outlineLevel="0" collapsed="false">
      <c r="B108" s="19"/>
      <c r="E108" s="29"/>
    </row>
    <row r="109" customFormat="false" ht="14.25" hidden="false" customHeight="false" outlineLevel="0" collapsed="false">
      <c r="B109" s="19"/>
      <c r="E109" s="29"/>
    </row>
    <row r="110" customFormat="false" ht="14.25" hidden="false" customHeight="false" outlineLevel="0" collapsed="false">
      <c r="B110" s="19"/>
      <c r="E110" s="29"/>
    </row>
    <row r="111" customFormat="false" ht="14.25" hidden="false" customHeight="false" outlineLevel="0" collapsed="false">
      <c r="B111" s="19"/>
      <c r="E111" s="29"/>
    </row>
    <row r="112" customFormat="false" ht="14.25" hidden="false" customHeight="false" outlineLevel="0" collapsed="false">
      <c r="B112" s="19"/>
      <c r="E112" s="29"/>
    </row>
    <row r="113" customFormat="false" ht="14.25" hidden="false" customHeight="false" outlineLevel="0" collapsed="false">
      <c r="B113" s="19"/>
      <c r="E113" s="29"/>
    </row>
    <row r="114" customFormat="false" ht="14.25" hidden="false" customHeight="false" outlineLevel="0" collapsed="false">
      <c r="B114" s="19"/>
      <c r="E114" s="29"/>
    </row>
    <row r="115" customFormat="false" ht="14.25" hidden="false" customHeight="false" outlineLevel="0" collapsed="false">
      <c r="B115" s="19"/>
      <c r="E115" s="29"/>
    </row>
    <row r="116" customFormat="false" ht="14.25" hidden="false" customHeight="false" outlineLevel="0" collapsed="false">
      <c r="B116" s="19"/>
      <c r="E116" s="29"/>
    </row>
    <row r="117" customFormat="false" ht="14.25" hidden="false" customHeight="false" outlineLevel="0" collapsed="false">
      <c r="B117" s="19"/>
      <c r="E117" s="29"/>
    </row>
    <row r="118" customFormat="false" ht="14.25" hidden="false" customHeight="false" outlineLevel="0" collapsed="false">
      <c r="B118" s="19"/>
      <c r="E118" s="29"/>
    </row>
    <row r="119" customFormat="false" ht="14.25" hidden="false" customHeight="false" outlineLevel="0" collapsed="false">
      <c r="B119" s="19"/>
      <c r="E119" s="29"/>
    </row>
    <row r="120" customFormat="false" ht="14.25" hidden="false" customHeight="false" outlineLevel="0" collapsed="false">
      <c r="B120" s="19"/>
      <c r="E120" s="29"/>
    </row>
    <row r="121" customFormat="false" ht="14.25" hidden="false" customHeight="false" outlineLevel="0" collapsed="false">
      <c r="B121" s="19"/>
      <c r="E121" s="29"/>
    </row>
    <row r="122" customFormat="false" ht="14.25" hidden="false" customHeight="false" outlineLevel="0" collapsed="false">
      <c r="B122" s="19"/>
      <c r="E122" s="29"/>
    </row>
    <row r="123" customFormat="false" ht="14.25" hidden="false" customHeight="false" outlineLevel="0" collapsed="false">
      <c r="B123" s="19"/>
      <c r="E123" s="29"/>
    </row>
    <row r="124" customFormat="false" ht="14.25" hidden="false" customHeight="false" outlineLevel="0" collapsed="false">
      <c r="B124" s="19"/>
      <c r="E124" s="29"/>
    </row>
    <row r="125" customFormat="false" ht="14.25" hidden="false" customHeight="false" outlineLevel="0" collapsed="false">
      <c r="B125" s="19"/>
      <c r="E125" s="29"/>
    </row>
    <row r="126" customFormat="false" ht="14.25" hidden="false" customHeight="false" outlineLevel="0" collapsed="false">
      <c r="B126" s="19"/>
      <c r="E126" s="29"/>
    </row>
    <row r="127" customFormat="false" ht="14.25" hidden="false" customHeight="false" outlineLevel="0" collapsed="false">
      <c r="B127" s="19"/>
      <c r="E127" s="29"/>
    </row>
    <row r="128" customFormat="false" ht="14.25" hidden="false" customHeight="false" outlineLevel="0" collapsed="false">
      <c r="B128" s="19"/>
      <c r="E128" s="29"/>
    </row>
    <row r="129" customFormat="false" ht="14.25" hidden="false" customHeight="false" outlineLevel="0" collapsed="false">
      <c r="B129" s="19"/>
      <c r="E129" s="29"/>
    </row>
    <row r="130" customFormat="false" ht="14.25" hidden="false" customHeight="false" outlineLevel="0" collapsed="false">
      <c r="B130" s="19"/>
      <c r="E130" s="29"/>
    </row>
    <row r="131" customFormat="false" ht="14.25" hidden="false" customHeight="false" outlineLevel="0" collapsed="false">
      <c r="B131" s="19"/>
      <c r="E131" s="29"/>
    </row>
    <row r="132" customFormat="false" ht="14.25" hidden="false" customHeight="false" outlineLevel="0" collapsed="false">
      <c r="B132" s="19"/>
      <c r="E132" s="29"/>
    </row>
    <row r="133" customFormat="false" ht="14.25" hidden="false" customHeight="false" outlineLevel="0" collapsed="false">
      <c r="B133" s="19"/>
      <c r="E133" s="29"/>
    </row>
    <row r="134" customFormat="false" ht="14.25" hidden="false" customHeight="false" outlineLevel="0" collapsed="false">
      <c r="B134" s="19"/>
      <c r="E134" s="29"/>
    </row>
    <row r="135" customFormat="false" ht="14.25" hidden="false" customHeight="false" outlineLevel="0" collapsed="false">
      <c r="B135" s="19"/>
      <c r="E135" s="29"/>
    </row>
    <row r="136" customFormat="false" ht="14.25" hidden="false" customHeight="false" outlineLevel="0" collapsed="false">
      <c r="B136" s="19"/>
      <c r="E136" s="29"/>
    </row>
    <row r="137" customFormat="false" ht="14.25" hidden="false" customHeight="false" outlineLevel="0" collapsed="false">
      <c r="B137" s="19"/>
      <c r="E137" s="29"/>
    </row>
    <row r="138" customFormat="false" ht="14.25" hidden="false" customHeight="false" outlineLevel="0" collapsed="false">
      <c r="B138" s="19"/>
      <c r="E138" s="29"/>
    </row>
    <row r="139" customFormat="false" ht="14.25" hidden="false" customHeight="false" outlineLevel="0" collapsed="false">
      <c r="B139" s="19"/>
      <c r="E139" s="29"/>
    </row>
    <row r="140" customFormat="false" ht="14.25" hidden="false" customHeight="false" outlineLevel="0" collapsed="false">
      <c r="B140" s="19"/>
      <c r="E140" s="29"/>
    </row>
    <row r="141" customFormat="false" ht="14.25" hidden="false" customHeight="false" outlineLevel="0" collapsed="false">
      <c r="B141" s="19"/>
      <c r="E141" s="29"/>
    </row>
    <row r="142" customFormat="false" ht="14.25" hidden="false" customHeight="false" outlineLevel="0" collapsed="false">
      <c r="B142" s="19"/>
      <c r="E142" s="29"/>
    </row>
    <row r="143" customFormat="false" ht="14.25" hidden="false" customHeight="false" outlineLevel="0" collapsed="false">
      <c r="B143" s="19"/>
      <c r="E143" s="29"/>
    </row>
    <row r="144" customFormat="false" ht="14.25" hidden="false" customHeight="false" outlineLevel="0" collapsed="false">
      <c r="B144" s="19"/>
      <c r="E144" s="29"/>
    </row>
    <row r="145" customFormat="false" ht="14.25" hidden="false" customHeight="false" outlineLevel="0" collapsed="false">
      <c r="B145" s="19"/>
      <c r="E145" s="29"/>
    </row>
    <row r="146" customFormat="false" ht="14.25" hidden="false" customHeight="false" outlineLevel="0" collapsed="false">
      <c r="B146" s="19"/>
      <c r="E146" s="29"/>
    </row>
    <row r="147" customFormat="false" ht="14.25" hidden="false" customHeight="false" outlineLevel="0" collapsed="false">
      <c r="B147" s="19"/>
      <c r="E147" s="29"/>
    </row>
    <row r="148" customFormat="false" ht="14.25" hidden="false" customHeight="false" outlineLevel="0" collapsed="false">
      <c r="B148" s="19"/>
      <c r="E148" s="29"/>
    </row>
    <row r="149" customFormat="false" ht="14.25" hidden="false" customHeight="false" outlineLevel="0" collapsed="false">
      <c r="B149" s="19"/>
      <c r="E149" s="29"/>
    </row>
    <row r="150" customFormat="false" ht="14.25" hidden="false" customHeight="false" outlineLevel="0" collapsed="false">
      <c r="B150" s="19"/>
      <c r="E150" s="29"/>
    </row>
    <row r="151" customFormat="false" ht="14.25" hidden="false" customHeight="false" outlineLevel="0" collapsed="false">
      <c r="B151" s="19"/>
      <c r="E151" s="29"/>
    </row>
    <row r="152" customFormat="false" ht="14.25" hidden="false" customHeight="false" outlineLevel="0" collapsed="false">
      <c r="B152" s="19"/>
      <c r="E152" s="29"/>
    </row>
    <row r="153" customFormat="false" ht="14.25" hidden="false" customHeight="false" outlineLevel="0" collapsed="false">
      <c r="B153" s="19"/>
      <c r="E153" s="29"/>
    </row>
    <row r="154" customFormat="false" ht="14.25" hidden="false" customHeight="false" outlineLevel="0" collapsed="false">
      <c r="B154" s="19"/>
      <c r="E154" s="29"/>
    </row>
    <row r="155" customFormat="false" ht="14.25" hidden="false" customHeight="false" outlineLevel="0" collapsed="false">
      <c r="B155" s="19"/>
      <c r="E155" s="29"/>
    </row>
    <row r="156" customFormat="false" ht="14.25" hidden="false" customHeight="false" outlineLevel="0" collapsed="false">
      <c r="B156" s="19"/>
      <c r="E156" s="29"/>
    </row>
    <row r="157" customFormat="false" ht="14.25" hidden="false" customHeight="false" outlineLevel="0" collapsed="false">
      <c r="B157" s="19"/>
      <c r="E157" s="29"/>
    </row>
    <row r="158" customFormat="false" ht="14.25" hidden="false" customHeight="false" outlineLevel="0" collapsed="false">
      <c r="B158" s="19"/>
      <c r="E158" s="29"/>
    </row>
    <row r="159" customFormat="false" ht="14.25" hidden="false" customHeight="false" outlineLevel="0" collapsed="false">
      <c r="B159" s="19"/>
      <c r="E159" s="29"/>
    </row>
    <row r="160" customFormat="false" ht="14.25" hidden="false" customHeight="false" outlineLevel="0" collapsed="false">
      <c r="B160" s="19"/>
      <c r="E160" s="29"/>
    </row>
    <row r="161" customFormat="false" ht="14.25" hidden="false" customHeight="false" outlineLevel="0" collapsed="false">
      <c r="B161" s="19"/>
      <c r="E161" s="29"/>
    </row>
    <row r="162" customFormat="false" ht="14.25" hidden="false" customHeight="false" outlineLevel="0" collapsed="false">
      <c r="B162" s="19"/>
      <c r="E162" s="29"/>
    </row>
    <row r="163" customFormat="false" ht="14.25" hidden="false" customHeight="false" outlineLevel="0" collapsed="false">
      <c r="B163" s="19"/>
      <c r="E163" s="29"/>
    </row>
    <row r="164" customFormat="false" ht="14.25" hidden="false" customHeight="false" outlineLevel="0" collapsed="false">
      <c r="B164" s="19"/>
      <c r="E164" s="29"/>
    </row>
    <row r="165" customFormat="false" ht="14.25" hidden="false" customHeight="false" outlineLevel="0" collapsed="false">
      <c r="B165" s="19"/>
      <c r="E165" s="29"/>
    </row>
    <row r="166" customFormat="false" ht="14.25" hidden="false" customHeight="false" outlineLevel="0" collapsed="false">
      <c r="B166" s="19"/>
      <c r="E166" s="29"/>
    </row>
    <row r="167" customFormat="false" ht="14.25" hidden="false" customHeight="false" outlineLevel="0" collapsed="false">
      <c r="B167" s="19"/>
      <c r="E167" s="29"/>
    </row>
    <row r="168" customFormat="false" ht="14.25" hidden="false" customHeight="false" outlineLevel="0" collapsed="false">
      <c r="B168" s="19"/>
      <c r="E168" s="29"/>
    </row>
    <row r="169" customFormat="false" ht="14.25" hidden="false" customHeight="false" outlineLevel="0" collapsed="false">
      <c r="B169" s="19"/>
      <c r="E169" s="29"/>
    </row>
    <row r="170" customFormat="false" ht="14.25" hidden="false" customHeight="false" outlineLevel="0" collapsed="false">
      <c r="B170" s="19"/>
      <c r="E170" s="29"/>
    </row>
    <row r="171" customFormat="false" ht="14.25" hidden="false" customHeight="false" outlineLevel="0" collapsed="false">
      <c r="B171" s="19"/>
      <c r="E171" s="29"/>
    </row>
    <row r="172" customFormat="false" ht="14.25" hidden="false" customHeight="false" outlineLevel="0" collapsed="false">
      <c r="B172" s="19"/>
      <c r="E172" s="29"/>
    </row>
    <row r="173" customFormat="false" ht="14.25" hidden="false" customHeight="false" outlineLevel="0" collapsed="false">
      <c r="B173" s="19"/>
      <c r="E173" s="29"/>
    </row>
    <row r="174" customFormat="false" ht="14.25" hidden="false" customHeight="false" outlineLevel="0" collapsed="false">
      <c r="B174" s="19"/>
      <c r="E174" s="29"/>
    </row>
    <row r="175" customFormat="false" ht="14.25" hidden="false" customHeight="false" outlineLevel="0" collapsed="false">
      <c r="B175" s="19"/>
      <c r="E175" s="29"/>
    </row>
    <row r="176" customFormat="false" ht="14.25" hidden="false" customHeight="false" outlineLevel="0" collapsed="false">
      <c r="B176" s="19"/>
      <c r="E176" s="29"/>
    </row>
    <row r="177" customFormat="false" ht="14.25" hidden="false" customHeight="false" outlineLevel="0" collapsed="false">
      <c r="B177" s="19"/>
      <c r="E177" s="29"/>
    </row>
    <row r="178" customFormat="false" ht="14.25" hidden="false" customHeight="false" outlineLevel="0" collapsed="false">
      <c r="B178" s="19"/>
      <c r="E178" s="29"/>
    </row>
    <row r="179" customFormat="false" ht="14.25" hidden="false" customHeight="false" outlineLevel="0" collapsed="false">
      <c r="B179" s="19"/>
      <c r="E179" s="29"/>
    </row>
    <row r="180" customFormat="false" ht="14.25" hidden="false" customHeight="false" outlineLevel="0" collapsed="false">
      <c r="B180" s="19"/>
      <c r="E180" s="29"/>
    </row>
    <row r="181" customFormat="false" ht="14.25" hidden="false" customHeight="false" outlineLevel="0" collapsed="false">
      <c r="B181" s="19"/>
      <c r="E181" s="29"/>
    </row>
    <row r="182" customFormat="false" ht="14.25" hidden="false" customHeight="false" outlineLevel="0" collapsed="false">
      <c r="B182" s="19"/>
      <c r="E182" s="29"/>
    </row>
    <row r="183" customFormat="false" ht="14.25" hidden="false" customHeight="false" outlineLevel="0" collapsed="false">
      <c r="B183" s="19"/>
      <c r="E183" s="29"/>
    </row>
    <row r="184" customFormat="false" ht="14.25" hidden="false" customHeight="false" outlineLevel="0" collapsed="false">
      <c r="B184" s="19"/>
      <c r="E184" s="29"/>
    </row>
    <row r="185" customFormat="false" ht="14.25" hidden="false" customHeight="false" outlineLevel="0" collapsed="false">
      <c r="B185" s="19"/>
      <c r="E185" s="29"/>
    </row>
    <row r="186" customFormat="false" ht="14.25" hidden="false" customHeight="false" outlineLevel="0" collapsed="false">
      <c r="B186" s="19"/>
      <c r="E186" s="29"/>
    </row>
    <row r="187" customFormat="false" ht="14.25" hidden="false" customHeight="false" outlineLevel="0" collapsed="false">
      <c r="B187" s="19"/>
      <c r="E187" s="29"/>
    </row>
    <row r="188" customFormat="false" ht="14.25" hidden="false" customHeight="false" outlineLevel="0" collapsed="false">
      <c r="B188" s="19"/>
      <c r="E188" s="29"/>
    </row>
    <row r="189" customFormat="false" ht="14.25" hidden="false" customHeight="false" outlineLevel="0" collapsed="false">
      <c r="B189" s="19"/>
      <c r="E189" s="29"/>
    </row>
    <row r="190" customFormat="false" ht="14.25" hidden="false" customHeight="false" outlineLevel="0" collapsed="false">
      <c r="B190" s="19"/>
      <c r="E190" s="29"/>
    </row>
    <row r="191" customFormat="false" ht="14.25" hidden="false" customHeight="false" outlineLevel="0" collapsed="false">
      <c r="B191" s="19"/>
      <c r="E191" s="29"/>
    </row>
    <row r="192" customFormat="false" ht="14.25" hidden="false" customHeight="false" outlineLevel="0" collapsed="false">
      <c r="B192" s="19"/>
      <c r="E192" s="29"/>
    </row>
    <row r="193" customFormat="false" ht="14.25" hidden="false" customHeight="false" outlineLevel="0" collapsed="false">
      <c r="B193" s="19"/>
      <c r="E193" s="29"/>
    </row>
    <row r="194" customFormat="false" ht="14.25" hidden="false" customHeight="false" outlineLevel="0" collapsed="false">
      <c r="B194" s="19"/>
      <c r="E194" s="29"/>
    </row>
    <row r="195" customFormat="false" ht="14.25" hidden="false" customHeight="false" outlineLevel="0" collapsed="false">
      <c r="B195" s="19"/>
      <c r="E195" s="29"/>
    </row>
    <row r="196" customFormat="false" ht="14.25" hidden="false" customHeight="false" outlineLevel="0" collapsed="false">
      <c r="B196" s="19"/>
      <c r="E196" s="29"/>
    </row>
    <row r="197" customFormat="false" ht="14.25" hidden="false" customHeight="false" outlineLevel="0" collapsed="false">
      <c r="B197" s="19"/>
      <c r="E197" s="29"/>
    </row>
    <row r="198" customFormat="false" ht="14.25" hidden="false" customHeight="false" outlineLevel="0" collapsed="false">
      <c r="B198" s="19"/>
      <c r="E198" s="29"/>
    </row>
    <row r="199" customFormat="false" ht="14.25" hidden="false" customHeight="false" outlineLevel="0" collapsed="false">
      <c r="B199" s="19"/>
      <c r="E199" s="29"/>
    </row>
    <row r="200" customFormat="false" ht="14.25" hidden="false" customHeight="false" outlineLevel="0" collapsed="false">
      <c r="B200" s="19"/>
      <c r="E200" s="29"/>
    </row>
    <row r="201" customFormat="false" ht="14.25" hidden="false" customHeight="false" outlineLevel="0" collapsed="false">
      <c r="B201" s="19"/>
      <c r="E201" s="29"/>
    </row>
    <row r="202" customFormat="false" ht="14.25" hidden="false" customHeight="false" outlineLevel="0" collapsed="false">
      <c r="B202" s="19"/>
      <c r="E202" s="29"/>
    </row>
    <row r="203" customFormat="false" ht="14.25" hidden="false" customHeight="false" outlineLevel="0" collapsed="false">
      <c r="B203" s="19"/>
      <c r="E203" s="29"/>
    </row>
    <row r="204" customFormat="false" ht="14.25" hidden="false" customHeight="false" outlineLevel="0" collapsed="false">
      <c r="B204" s="19"/>
      <c r="E204" s="29"/>
    </row>
    <row r="205" customFormat="false" ht="14.25" hidden="false" customHeight="false" outlineLevel="0" collapsed="false">
      <c r="B205" s="19"/>
      <c r="E205" s="29"/>
    </row>
    <row r="206" customFormat="false" ht="14.25" hidden="false" customHeight="false" outlineLevel="0" collapsed="false">
      <c r="B206" s="19"/>
      <c r="E206" s="29"/>
    </row>
    <row r="207" customFormat="false" ht="14.25" hidden="false" customHeight="false" outlineLevel="0" collapsed="false">
      <c r="B207" s="19"/>
      <c r="E207" s="29"/>
    </row>
    <row r="208" customFormat="false" ht="14.25" hidden="false" customHeight="false" outlineLevel="0" collapsed="false">
      <c r="B208" s="19"/>
      <c r="E208" s="29"/>
    </row>
    <row r="209" customFormat="false" ht="14.25" hidden="false" customHeight="false" outlineLevel="0" collapsed="false">
      <c r="B209" s="19"/>
      <c r="E209" s="29"/>
    </row>
    <row r="210" customFormat="false" ht="14.25" hidden="false" customHeight="false" outlineLevel="0" collapsed="false">
      <c r="B210" s="19"/>
      <c r="E210" s="29"/>
    </row>
    <row r="211" customFormat="false" ht="14.25" hidden="false" customHeight="false" outlineLevel="0" collapsed="false">
      <c r="B211" s="19"/>
      <c r="E211" s="29"/>
    </row>
    <row r="212" customFormat="false" ht="14.25" hidden="false" customHeight="false" outlineLevel="0" collapsed="false">
      <c r="B212" s="19"/>
      <c r="E212" s="29"/>
    </row>
    <row r="213" customFormat="false" ht="14.25" hidden="false" customHeight="false" outlineLevel="0" collapsed="false">
      <c r="B213" s="19"/>
      <c r="E213" s="29"/>
    </row>
    <row r="214" customFormat="false" ht="14.25" hidden="false" customHeight="false" outlineLevel="0" collapsed="false">
      <c r="B214" s="19"/>
      <c r="E214" s="29"/>
    </row>
    <row r="215" customFormat="false" ht="14.25" hidden="false" customHeight="false" outlineLevel="0" collapsed="false">
      <c r="B215" s="19"/>
      <c r="E215" s="29"/>
    </row>
    <row r="216" customFormat="false" ht="14.25" hidden="false" customHeight="false" outlineLevel="0" collapsed="false">
      <c r="B216" s="19"/>
      <c r="E216" s="29"/>
    </row>
    <row r="217" customFormat="false" ht="14.25" hidden="false" customHeight="false" outlineLevel="0" collapsed="false">
      <c r="B217" s="19"/>
      <c r="E217" s="29"/>
    </row>
    <row r="218" customFormat="false" ht="14.25" hidden="false" customHeight="false" outlineLevel="0" collapsed="false">
      <c r="B218" s="19"/>
      <c r="E218" s="29"/>
    </row>
    <row r="219" customFormat="false" ht="14.25" hidden="false" customHeight="false" outlineLevel="0" collapsed="false">
      <c r="B219" s="19"/>
      <c r="E219" s="29"/>
    </row>
    <row r="220" customFormat="false" ht="14.25" hidden="false" customHeight="false" outlineLevel="0" collapsed="false">
      <c r="B220" s="19"/>
      <c r="E220" s="29"/>
    </row>
    <row r="221" customFormat="false" ht="14.25" hidden="false" customHeight="false" outlineLevel="0" collapsed="false">
      <c r="B221" s="19"/>
      <c r="E221" s="29"/>
    </row>
    <row r="222" customFormat="false" ht="14.25" hidden="false" customHeight="false" outlineLevel="0" collapsed="false">
      <c r="B222" s="19"/>
      <c r="E222" s="29"/>
    </row>
    <row r="223" customFormat="false" ht="14.25" hidden="false" customHeight="false" outlineLevel="0" collapsed="false">
      <c r="B223" s="19"/>
      <c r="E223" s="29"/>
    </row>
    <row r="224" customFormat="false" ht="14.25" hidden="false" customHeight="false" outlineLevel="0" collapsed="false">
      <c r="B224" s="19"/>
      <c r="E224" s="29"/>
    </row>
    <row r="225" customFormat="false" ht="14.25" hidden="false" customHeight="false" outlineLevel="0" collapsed="false">
      <c r="B225" s="19"/>
      <c r="E225" s="29"/>
    </row>
    <row r="226" customFormat="false" ht="14.25" hidden="false" customHeight="false" outlineLevel="0" collapsed="false">
      <c r="B226" s="19"/>
      <c r="E226" s="29"/>
    </row>
    <row r="227" customFormat="false" ht="14.25" hidden="false" customHeight="false" outlineLevel="0" collapsed="false">
      <c r="B227" s="19"/>
      <c r="E227" s="29"/>
    </row>
    <row r="228" customFormat="false" ht="14.25" hidden="false" customHeight="false" outlineLevel="0" collapsed="false">
      <c r="B228" s="19"/>
      <c r="E228" s="29"/>
    </row>
    <row r="229" customFormat="false" ht="14.25" hidden="false" customHeight="false" outlineLevel="0" collapsed="false">
      <c r="B229" s="19"/>
      <c r="E229" s="29"/>
    </row>
    <row r="230" customFormat="false" ht="14.25" hidden="false" customHeight="false" outlineLevel="0" collapsed="false">
      <c r="B230" s="19"/>
      <c r="E230" s="29"/>
    </row>
    <row r="231" customFormat="false" ht="14.25" hidden="false" customHeight="false" outlineLevel="0" collapsed="false">
      <c r="B231" s="19"/>
      <c r="E231" s="29"/>
    </row>
    <row r="232" customFormat="false" ht="14.25" hidden="false" customHeight="false" outlineLevel="0" collapsed="false">
      <c r="B232" s="19"/>
      <c r="E232" s="29"/>
    </row>
    <row r="233" customFormat="false" ht="14.25" hidden="false" customHeight="false" outlineLevel="0" collapsed="false">
      <c r="B233" s="19"/>
      <c r="E233" s="29"/>
    </row>
    <row r="234" customFormat="false" ht="14.25" hidden="false" customHeight="false" outlineLevel="0" collapsed="false">
      <c r="B234" s="19"/>
      <c r="E234" s="29"/>
    </row>
    <row r="235" customFormat="false" ht="14.25" hidden="false" customHeight="false" outlineLevel="0" collapsed="false">
      <c r="B235" s="19"/>
      <c r="E235" s="29"/>
    </row>
    <row r="236" customFormat="false" ht="14.25" hidden="false" customHeight="false" outlineLevel="0" collapsed="false">
      <c r="B236" s="19"/>
      <c r="E236" s="29"/>
    </row>
    <row r="237" customFormat="false" ht="14.25" hidden="false" customHeight="false" outlineLevel="0" collapsed="false">
      <c r="B237" s="19"/>
      <c r="E237" s="29"/>
    </row>
    <row r="238" customFormat="false" ht="14.25" hidden="false" customHeight="false" outlineLevel="0" collapsed="false">
      <c r="B238" s="19"/>
      <c r="E238" s="29"/>
    </row>
    <row r="239" customFormat="false" ht="14.25" hidden="false" customHeight="false" outlineLevel="0" collapsed="false">
      <c r="B239" s="19"/>
      <c r="E239" s="29"/>
    </row>
    <row r="240" customFormat="false" ht="14.25" hidden="false" customHeight="false" outlineLevel="0" collapsed="false">
      <c r="B240" s="19"/>
      <c r="E240" s="29"/>
    </row>
    <row r="241" customFormat="false" ht="14.25" hidden="false" customHeight="false" outlineLevel="0" collapsed="false">
      <c r="B241" s="19"/>
      <c r="E241" s="29"/>
    </row>
    <row r="242" customFormat="false" ht="14.25" hidden="false" customHeight="false" outlineLevel="0" collapsed="false">
      <c r="B242" s="19"/>
      <c r="E242" s="29"/>
    </row>
    <row r="243" customFormat="false" ht="14.25" hidden="false" customHeight="false" outlineLevel="0" collapsed="false">
      <c r="B243" s="19"/>
      <c r="E243" s="29"/>
    </row>
    <row r="244" customFormat="false" ht="14.25" hidden="false" customHeight="false" outlineLevel="0" collapsed="false">
      <c r="B244" s="19"/>
      <c r="E244" s="29"/>
    </row>
    <row r="245" customFormat="false" ht="14.25" hidden="false" customHeight="false" outlineLevel="0" collapsed="false">
      <c r="B245" s="19"/>
      <c r="E245" s="29"/>
    </row>
    <row r="246" customFormat="false" ht="14.25" hidden="false" customHeight="false" outlineLevel="0" collapsed="false">
      <c r="B246" s="19"/>
      <c r="E246" s="29"/>
    </row>
    <row r="247" customFormat="false" ht="14.25" hidden="false" customHeight="false" outlineLevel="0" collapsed="false">
      <c r="B247" s="19"/>
      <c r="E247" s="29"/>
    </row>
    <row r="248" customFormat="false" ht="14.25" hidden="false" customHeight="false" outlineLevel="0" collapsed="false">
      <c r="B248" s="19"/>
      <c r="E248" s="29"/>
    </row>
    <row r="249" customFormat="false" ht="14.25" hidden="false" customHeight="false" outlineLevel="0" collapsed="false">
      <c r="B249" s="19"/>
      <c r="E249" s="29"/>
    </row>
    <row r="250" customFormat="false" ht="14.25" hidden="false" customHeight="false" outlineLevel="0" collapsed="false">
      <c r="B250" s="19"/>
      <c r="E250" s="29"/>
    </row>
    <row r="251" customFormat="false" ht="14.25" hidden="false" customHeight="false" outlineLevel="0" collapsed="false">
      <c r="B251" s="19"/>
      <c r="E251" s="29"/>
    </row>
    <row r="252" customFormat="false" ht="14.25" hidden="false" customHeight="false" outlineLevel="0" collapsed="false">
      <c r="B252" s="19"/>
      <c r="E252" s="29"/>
    </row>
    <row r="253" customFormat="false" ht="14.25" hidden="false" customHeight="false" outlineLevel="0" collapsed="false">
      <c r="B253" s="19"/>
      <c r="E253" s="29"/>
    </row>
    <row r="254" customFormat="false" ht="14.25" hidden="false" customHeight="false" outlineLevel="0" collapsed="false">
      <c r="B254" s="19"/>
      <c r="E254" s="29"/>
    </row>
    <row r="255" customFormat="false" ht="14.25" hidden="false" customHeight="false" outlineLevel="0" collapsed="false">
      <c r="B255" s="19"/>
      <c r="E255" s="29"/>
    </row>
    <row r="256" customFormat="false" ht="14.25" hidden="false" customHeight="false" outlineLevel="0" collapsed="false">
      <c r="B256" s="19"/>
      <c r="E256" s="29"/>
    </row>
    <row r="257" customFormat="false" ht="14.25" hidden="false" customHeight="false" outlineLevel="0" collapsed="false">
      <c r="B257" s="19"/>
      <c r="E257" s="29"/>
    </row>
    <row r="258" customFormat="false" ht="14.25" hidden="false" customHeight="false" outlineLevel="0" collapsed="false">
      <c r="B258" s="19"/>
      <c r="E258" s="29"/>
    </row>
    <row r="259" customFormat="false" ht="14.25" hidden="false" customHeight="false" outlineLevel="0" collapsed="false">
      <c r="B259" s="19"/>
      <c r="E259" s="29"/>
    </row>
    <row r="260" customFormat="false" ht="14.25" hidden="false" customHeight="false" outlineLevel="0" collapsed="false">
      <c r="B260" s="19"/>
      <c r="E260" s="29"/>
    </row>
    <row r="261" customFormat="false" ht="14.25" hidden="false" customHeight="false" outlineLevel="0" collapsed="false">
      <c r="B261" s="19"/>
      <c r="E261" s="29"/>
    </row>
    <row r="262" customFormat="false" ht="14.25" hidden="false" customHeight="false" outlineLevel="0" collapsed="false">
      <c r="B262" s="19"/>
      <c r="E262" s="29"/>
    </row>
    <row r="263" customFormat="false" ht="14.25" hidden="false" customHeight="false" outlineLevel="0" collapsed="false">
      <c r="B263" s="19"/>
      <c r="E263" s="29"/>
    </row>
    <row r="264" customFormat="false" ht="14.25" hidden="false" customHeight="false" outlineLevel="0" collapsed="false">
      <c r="B264" s="19"/>
      <c r="E264" s="29"/>
    </row>
    <row r="265" customFormat="false" ht="14.25" hidden="false" customHeight="false" outlineLevel="0" collapsed="false">
      <c r="B265" s="19"/>
      <c r="E265" s="29"/>
    </row>
    <row r="266" customFormat="false" ht="14.25" hidden="false" customHeight="false" outlineLevel="0" collapsed="false">
      <c r="B266" s="19"/>
      <c r="E266" s="29"/>
    </row>
    <row r="267" customFormat="false" ht="14.25" hidden="false" customHeight="false" outlineLevel="0" collapsed="false">
      <c r="B267" s="19"/>
      <c r="E267" s="29"/>
    </row>
    <row r="268" customFormat="false" ht="14.25" hidden="false" customHeight="false" outlineLevel="0" collapsed="false">
      <c r="B268" s="19"/>
      <c r="E268" s="29"/>
    </row>
    <row r="269" customFormat="false" ht="14.25" hidden="false" customHeight="false" outlineLevel="0" collapsed="false">
      <c r="B269" s="19"/>
      <c r="E269" s="29"/>
    </row>
    <row r="270" customFormat="false" ht="14.25" hidden="false" customHeight="false" outlineLevel="0" collapsed="false">
      <c r="B270" s="19"/>
      <c r="E270" s="29"/>
    </row>
    <row r="271" customFormat="false" ht="14.25" hidden="false" customHeight="false" outlineLevel="0" collapsed="false">
      <c r="B271" s="19"/>
      <c r="E271" s="29"/>
    </row>
    <row r="272" customFormat="false" ht="14.25" hidden="false" customHeight="false" outlineLevel="0" collapsed="false">
      <c r="B272" s="19"/>
      <c r="E272" s="29"/>
    </row>
    <row r="273" customFormat="false" ht="14.25" hidden="false" customHeight="false" outlineLevel="0" collapsed="false">
      <c r="B273" s="19"/>
      <c r="E273" s="29"/>
    </row>
    <row r="274" customFormat="false" ht="14.25" hidden="false" customHeight="false" outlineLevel="0" collapsed="false">
      <c r="B274" s="19"/>
      <c r="E274" s="29"/>
    </row>
    <row r="275" customFormat="false" ht="14.25" hidden="false" customHeight="false" outlineLevel="0" collapsed="false">
      <c r="B275" s="19"/>
      <c r="E275" s="29"/>
    </row>
    <row r="276" customFormat="false" ht="14.25" hidden="false" customHeight="false" outlineLevel="0" collapsed="false">
      <c r="B276" s="19"/>
      <c r="E276" s="29"/>
    </row>
    <row r="277" customFormat="false" ht="14.25" hidden="false" customHeight="false" outlineLevel="0" collapsed="false">
      <c r="B277" s="19"/>
      <c r="E277" s="29"/>
    </row>
    <row r="278" customFormat="false" ht="14.25" hidden="false" customHeight="false" outlineLevel="0" collapsed="false">
      <c r="B278" s="19"/>
      <c r="E278" s="29"/>
    </row>
    <row r="279" customFormat="false" ht="14.25" hidden="false" customHeight="false" outlineLevel="0" collapsed="false">
      <c r="B279" s="19"/>
      <c r="E279" s="29"/>
    </row>
    <row r="280" customFormat="false" ht="14.25" hidden="false" customHeight="false" outlineLevel="0" collapsed="false">
      <c r="B280" s="19"/>
      <c r="E280" s="29"/>
    </row>
    <row r="281" customFormat="false" ht="14.25" hidden="false" customHeight="false" outlineLevel="0" collapsed="false">
      <c r="B281" s="19"/>
      <c r="E281" s="29"/>
    </row>
    <row r="282" customFormat="false" ht="14.25" hidden="false" customHeight="false" outlineLevel="0" collapsed="false">
      <c r="B282" s="19"/>
      <c r="E282" s="29"/>
    </row>
    <row r="283" customFormat="false" ht="14.25" hidden="false" customHeight="false" outlineLevel="0" collapsed="false">
      <c r="B283" s="19"/>
      <c r="E283" s="29"/>
    </row>
    <row r="284" customFormat="false" ht="14.25" hidden="false" customHeight="false" outlineLevel="0" collapsed="false">
      <c r="B284" s="19"/>
      <c r="E284" s="29"/>
    </row>
    <row r="285" customFormat="false" ht="14.25" hidden="false" customHeight="false" outlineLevel="0" collapsed="false">
      <c r="B285" s="19"/>
      <c r="E285" s="29"/>
    </row>
    <row r="286" customFormat="false" ht="14.25" hidden="false" customHeight="false" outlineLevel="0" collapsed="false">
      <c r="B286" s="19"/>
      <c r="E286" s="29"/>
    </row>
    <row r="287" customFormat="false" ht="14.25" hidden="false" customHeight="false" outlineLevel="0" collapsed="false">
      <c r="B287" s="19"/>
      <c r="E287" s="29"/>
    </row>
    <row r="288" customFormat="false" ht="14.25" hidden="false" customHeight="false" outlineLevel="0" collapsed="false">
      <c r="B288" s="19"/>
      <c r="E288" s="29"/>
    </row>
    <row r="289" customFormat="false" ht="14.25" hidden="false" customHeight="false" outlineLevel="0" collapsed="false">
      <c r="B289" s="19"/>
      <c r="E289" s="29"/>
    </row>
    <row r="290" customFormat="false" ht="14.25" hidden="false" customHeight="false" outlineLevel="0" collapsed="false">
      <c r="B290" s="19"/>
      <c r="E290" s="29"/>
    </row>
    <row r="291" customFormat="false" ht="14.25" hidden="false" customHeight="false" outlineLevel="0" collapsed="false">
      <c r="B291" s="19"/>
      <c r="E291" s="29"/>
    </row>
    <row r="292" customFormat="false" ht="14.25" hidden="false" customHeight="false" outlineLevel="0" collapsed="false">
      <c r="B292" s="19"/>
      <c r="E292" s="29"/>
    </row>
    <row r="293" customFormat="false" ht="14.25" hidden="false" customHeight="false" outlineLevel="0" collapsed="false">
      <c r="B293" s="19"/>
      <c r="E293" s="29"/>
    </row>
    <row r="294" customFormat="false" ht="14.25" hidden="false" customHeight="false" outlineLevel="0" collapsed="false">
      <c r="B294" s="19"/>
      <c r="E294" s="29"/>
    </row>
    <row r="295" customFormat="false" ht="14.25" hidden="false" customHeight="false" outlineLevel="0" collapsed="false">
      <c r="B295" s="19"/>
      <c r="E295" s="29"/>
    </row>
    <row r="296" customFormat="false" ht="14.25" hidden="false" customHeight="false" outlineLevel="0" collapsed="false">
      <c r="B296" s="19"/>
      <c r="E296" s="29"/>
    </row>
    <row r="297" customFormat="false" ht="14.25" hidden="false" customHeight="false" outlineLevel="0" collapsed="false">
      <c r="B297" s="19"/>
      <c r="E297" s="29"/>
    </row>
    <row r="298" customFormat="false" ht="14.25" hidden="false" customHeight="false" outlineLevel="0" collapsed="false">
      <c r="B298" s="19"/>
      <c r="E298" s="29"/>
    </row>
    <row r="299" customFormat="false" ht="14.25" hidden="false" customHeight="false" outlineLevel="0" collapsed="false">
      <c r="B299" s="19"/>
      <c r="E299" s="29"/>
    </row>
    <row r="300" customFormat="false" ht="14.25" hidden="false" customHeight="false" outlineLevel="0" collapsed="false">
      <c r="B300" s="19"/>
      <c r="E300" s="29"/>
    </row>
    <row r="301" customFormat="false" ht="14.25" hidden="false" customHeight="false" outlineLevel="0" collapsed="false">
      <c r="B301" s="19"/>
      <c r="E301" s="29"/>
    </row>
    <row r="302" customFormat="false" ht="14.25" hidden="false" customHeight="false" outlineLevel="0" collapsed="false">
      <c r="B302" s="19"/>
      <c r="E302" s="29"/>
    </row>
    <row r="303" customFormat="false" ht="14.25" hidden="false" customHeight="false" outlineLevel="0" collapsed="false">
      <c r="B303" s="19"/>
      <c r="E303" s="29"/>
    </row>
    <row r="304" customFormat="false" ht="14.25" hidden="false" customHeight="false" outlineLevel="0" collapsed="false">
      <c r="B304" s="19"/>
      <c r="E304" s="29"/>
    </row>
    <row r="305" customFormat="false" ht="14.25" hidden="false" customHeight="false" outlineLevel="0" collapsed="false">
      <c r="B305" s="19"/>
      <c r="E305" s="29"/>
    </row>
    <row r="306" customFormat="false" ht="14.25" hidden="false" customHeight="false" outlineLevel="0" collapsed="false">
      <c r="B306" s="19"/>
      <c r="E306" s="29"/>
    </row>
    <row r="307" customFormat="false" ht="14.25" hidden="false" customHeight="false" outlineLevel="0" collapsed="false">
      <c r="B307" s="19"/>
      <c r="E307" s="29"/>
    </row>
    <row r="308" customFormat="false" ht="14.25" hidden="false" customHeight="false" outlineLevel="0" collapsed="false">
      <c r="B308" s="19"/>
      <c r="E308" s="29"/>
    </row>
    <row r="309" customFormat="false" ht="14.25" hidden="false" customHeight="false" outlineLevel="0" collapsed="false">
      <c r="B309" s="19"/>
      <c r="E309" s="29"/>
    </row>
    <row r="310" customFormat="false" ht="14.25" hidden="false" customHeight="false" outlineLevel="0" collapsed="false">
      <c r="B310" s="19"/>
      <c r="E310" s="29"/>
    </row>
    <row r="311" customFormat="false" ht="14.25" hidden="false" customHeight="false" outlineLevel="0" collapsed="false">
      <c r="B311" s="19"/>
      <c r="E311" s="29"/>
    </row>
    <row r="312" customFormat="false" ht="14.25" hidden="false" customHeight="false" outlineLevel="0" collapsed="false">
      <c r="B312" s="19"/>
      <c r="E312" s="29"/>
    </row>
    <row r="313" customFormat="false" ht="14.25" hidden="false" customHeight="false" outlineLevel="0" collapsed="false">
      <c r="B313" s="19"/>
      <c r="E313" s="29"/>
    </row>
    <row r="314" customFormat="false" ht="14.25" hidden="false" customHeight="false" outlineLevel="0" collapsed="false">
      <c r="B314" s="19"/>
      <c r="E314" s="29"/>
    </row>
    <row r="315" customFormat="false" ht="14.25" hidden="false" customHeight="false" outlineLevel="0" collapsed="false">
      <c r="B315" s="19"/>
      <c r="E315" s="29"/>
    </row>
    <row r="316" customFormat="false" ht="14.25" hidden="false" customHeight="false" outlineLevel="0" collapsed="false">
      <c r="B316" s="19"/>
      <c r="E316" s="29"/>
    </row>
    <row r="317" customFormat="false" ht="14.25" hidden="false" customHeight="false" outlineLevel="0" collapsed="false">
      <c r="B317" s="19"/>
      <c r="E317" s="29"/>
    </row>
    <row r="318" customFormat="false" ht="14.25" hidden="false" customHeight="false" outlineLevel="0" collapsed="false">
      <c r="B318" s="19"/>
      <c r="E318" s="29"/>
    </row>
    <row r="319" customFormat="false" ht="14.25" hidden="false" customHeight="false" outlineLevel="0" collapsed="false">
      <c r="B319" s="19"/>
      <c r="E319" s="29"/>
    </row>
    <row r="320" customFormat="false" ht="14.25" hidden="false" customHeight="false" outlineLevel="0" collapsed="false">
      <c r="B320" s="19"/>
      <c r="E320" s="29"/>
    </row>
    <row r="321" customFormat="false" ht="14.25" hidden="false" customHeight="false" outlineLevel="0" collapsed="false">
      <c r="B321" s="19"/>
      <c r="E321" s="29"/>
    </row>
    <row r="322" customFormat="false" ht="14.25" hidden="false" customHeight="false" outlineLevel="0" collapsed="false">
      <c r="B322" s="19"/>
      <c r="E322" s="29"/>
    </row>
    <row r="323" customFormat="false" ht="14.25" hidden="false" customHeight="false" outlineLevel="0" collapsed="false">
      <c r="B323" s="19"/>
      <c r="E323" s="29"/>
    </row>
    <row r="324" customFormat="false" ht="14.25" hidden="false" customHeight="false" outlineLevel="0" collapsed="false">
      <c r="B324" s="19"/>
      <c r="E324" s="29"/>
    </row>
    <row r="325" customFormat="false" ht="14.25" hidden="false" customHeight="false" outlineLevel="0" collapsed="false">
      <c r="B325" s="19"/>
      <c r="E325" s="29"/>
    </row>
    <row r="326" customFormat="false" ht="14.25" hidden="false" customHeight="false" outlineLevel="0" collapsed="false">
      <c r="B326" s="19"/>
      <c r="E326" s="29"/>
    </row>
    <row r="327" customFormat="false" ht="14.25" hidden="false" customHeight="false" outlineLevel="0" collapsed="false">
      <c r="B327" s="19"/>
      <c r="E327" s="29"/>
    </row>
    <row r="328" customFormat="false" ht="14.25" hidden="false" customHeight="false" outlineLevel="0" collapsed="false">
      <c r="B328" s="19"/>
      <c r="E328" s="29"/>
    </row>
    <row r="329" customFormat="false" ht="14.25" hidden="false" customHeight="false" outlineLevel="0" collapsed="false">
      <c r="B329" s="19"/>
      <c r="E329" s="29"/>
    </row>
    <row r="330" customFormat="false" ht="14.25" hidden="false" customHeight="false" outlineLevel="0" collapsed="false">
      <c r="B330" s="19"/>
      <c r="E330" s="29"/>
    </row>
    <row r="331" customFormat="false" ht="14.25" hidden="false" customHeight="false" outlineLevel="0" collapsed="false">
      <c r="B331" s="19"/>
      <c r="E331" s="29"/>
    </row>
    <row r="332" customFormat="false" ht="14.25" hidden="false" customHeight="false" outlineLevel="0" collapsed="false">
      <c r="B332" s="19"/>
      <c r="E332" s="29"/>
    </row>
    <row r="333" customFormat="false" ht="14.25" hidden="false" customHeight="false" outlineLevel="0" collapsed="false">
      <c r="B333" s="19"/>
      <c r="E333" s="29"/>
    </row>
    <row r="334" customFormat="false" ht="14.25" hidden="false" customHeight="false" outlineLevel="0" collapsed="false">
      <c r="B334" s="19"/>
      <c r="E334" s="29"/>
    </row>
    <row r="335" customFormat="false" ht="14.25" hidden="false" customHeight="false" outlineLevel="0" collapsed="false">
      <c r="B335" s="19"/>
      <c r="E335" s="29"/>
    </row>
    <row r="336" customFormat="false" ht="14.25" hidden="false" customHeight="false" outlineLevel="0" collapsed="false">
      <c r="B336" s="19"/>
      <c r="E336" s="29"/>
    </row>
    <row r="337" customFormat="false" ht="14.25" hidden="false" customHeight="false" outlineLevel="0" collapsed="false">
      <c r="B337" s="19"/>
      <c r="E337" s="29"/>
    </row>
    <row r="338" customFormat="false" ht="14.25" hidden="false" customHeight="false" outlineLevel="0" collapsed="false">
      <c r="B338" s="19"/>
      <c r="E338" s="29"/>
    </row>
    <row r="339" customFormat="false" ht="14.25" hidden="false" customHeight="false" outlineLevel="0" collapsed="false">
      <c r="B339" s="19"/>
      <c r="E339" s="29"/>
    </row>
    <row r="340" customFormat="false" ht="14.25" hidden="false" customHeight="false" outlineLevel="0" collapsed="false">
      <c r="B340" s="19"/>
      <c r="E340" s="29"/>
    </row>
    <row r="341" customFormat="false" ht="14.25" hidden="false" customHeight="false" outlineLevel="0" collapsed="false">
      <c r="B341" s="19"/>
      <c r="E341" s="29"/>
    </row>
    <row r="342" customFormat="false" ht="14.25" hidden="false" customHeight="false" outlineLevel="0" collapsed="false">
      <c r="B342" s="19"/>
      <c r="E342" s="29"/>
    </row>
    <row r="343" customFormat="false" ht="14.25" hidden="false" customHeight="false" outlineLevel="0" collapsed="false">
      <c r="B343" s="19"/>
      <c r="E343" s="29"/>
    </row>
    <row r="344" customFormat="false" ht="14.25" hidden="false" customHeight="false" outlineLevel="0" collapsed="false">
      <c r="B344" s="19"/>
      <c r="E344" s="29"/>
    </row>
    <row r="345" customFormat="false" ht="14.25" hidden="false" customHeight="false" outlineLevel="0" collapsed="false">
      <c r="B345" s="19"/>
      <c r="E345" s="29"/>
    </row>
    <row r="346" customFormat="false" ht="14.25" hidden="false" customHeight="false" outlineLevel="0" collapsed="false">
      <c r="B346" s="19"/>
      <c r="E346" s="29"/>
    </row>
    <row r="347" customFormat="false" ht="14.25" hidden="false" customHeight="false" outlineLevel="0" collapsed="false">
      <c r="B347" s="19"/>
      <c r="E347" s="29"/>
    </row>
    <row r="348" customFormat="false" ht="14.25" hidden="false" customHeight="false" outlineLevel="0" collapsed="false">
      <c r="B348" s="19"/>
      <c r="E348" s="29"/>
    </row>
    <row r="349" customFormat="false" ht="14.25" hidden="false" customHeight="false" outlineLevel="0" collapsed="false">
      <c r="B349" s="19"/>
      <c r="E349" s="29"/>
    </row>
    <row r="350" customFormat="false" ht="14.25" hidden="false" customHeight="false" outlineLevel="0" collapsed="false">
      <c r="B350" s="19"/>
      <c r="E350" s="29"/>
    </row>
    <row r="351" customFormat="false" ht="14.25" hidden="false" customHeight="false" outlineLevel="0" collapsed="false">
      <c r="B351" s="19"/>
      <c r="E351" s="29"/>
    </row>
    <row r="352" customFormat="false" ht="14.25" hidden="false" customHeight="false" outlineLevel="0" collapsed="false">
      <c r="B352" s="19"/>
      <c r="E352" s="29"/>
    </row>
    <row r="353" customFormat="false" ht="14.25" hidden="false" customHeight="false" outlineLevel="0" collapsed="false">
      <c r="B353" s="19"/>
      <c r="E353" s="29"/>
    </row>
    <row r="354" customFormat="false" ht="14.25" hidden="false" customHeight="false" outlineLevel="0" collapsed="false">
      <c r="B354" s="19"/>
      <c r="E354" s="29"/>
    </row>
    <row r="355" customFormat="false" ht="14.25" hidden="false" customHeight="false" outlineLevel="0" collapsed="false">
      <c r="B355" s="19"/>
      <c r="E355" s="29"/>
    </row>
    <row r="356" customFormat="false" ht="14.25" hidden="false" customHeight="false" outlineLevel="0" collapsed="false">
      <c r="B356" s="19"/>
      <c r="E356" s="29"/>
    </row>
    <row r="357" customFormat="false" ht="14.25" hidden="false" customHeight="false" outlineLevel="0" collapsed="false">
      <c r="B357" s="19"/>
      <c r="E357" s="29"/>
    </row>
    <row r="358" customFormat="false" ht="14.25" hidden="false" customHeight="false" outlineLevel="0" collapsed="false">
      <c r="B358" s="19"/>
      <c r="E358" s="29"/>
    </row>
    <row r="359" customFormat="false" ht="14.25" hidden="false" customHeight="false" outlineLevel="0" collapsed="false">
      <c r="B359" s="19"/>
      <c r="E359" s="29"/>
    </row>
    <row r="360" customFormat="false" ht="14.25" hidden="false" customHeight="false" outlineLevel="0" collapsed="false">
      <c r="B360" s="19"/>
      <c r="E360" s="29"/>
    </row>
    <row r="361" customFormat="false" ht="14.25" hidden="false" customHeight="false" outlineLevel="0" collapsed="false">
      <c r="B361" s="19"/>
      <c r="E361" s="29"/>
    </row>
    <row r="362" customFormat="false" ht="14.25" hidden="false" customHeight="false" outlineLevel="0" collapsed="false">
      <c r="B362" s="19"/>
      <c r="E362" s="29"/>
    </row>
    <row r="363" customFormat="false" ht="14.25" hidden="false" customHeight="false" outlineLevel="0" collapsed="false">
      <c r="B363" s="19"/>
      <c r="E363" s="29"/>
    </row>
    <row r="364" customFormat="false" ht="14.25" hidden="false" customHeight="false" outlineLevel="0" collapsed="false">
      <c r="B364" s="19"/>
      <c r="E364" s="29"/>
    </row>
    <row r="365" customFormat="false" ht="14.25" hidden="false" customHeight="false" outlineLevel="0" collapsed="false">
      <c r="B365" s="19"/>
      <c r="E365" s="29"/>
    </row>
    <row r="366" customFormat="false" ht="14.25" hidden="false" customHeight="false" outlineLevel="0" collapsed="false">
      <c r="B366" s="19"/>
      <c r="E366" s="29"/>
    </row>
    <row r="367" customFormat="false" ht="14.25" hidden="false" customHeight="false" outlineLevel="0" collapsed="false">
      <c r="B367" s="19"/>
      <c r="E367" s="29"/>
    </row>
    <row r="368" customFormat="false" ht="14.25" hidden="false" customHeight="false" outlineLevel="0" collapsed="false">
      <c r="B368" s="19"/>
      <c r="E368" s="29"/>
    </row>
    <row r="369" customFormat="false" ht="14.25" hidden="false" customHeight="false" outlineLevel="0" collapsed="false">
      <c r="B369" s="19"/>
      <c r="E369" s="29"/>
    </row>
    <row r="370" customFormat="false" ht="14.25" hidden="false" customHeight="false" outlineLevel="0" collapsed="false">
      <c r="B370" s="19"/>
      <c r="E370" s="29"/>
    </row>
    <row r="371" customFormat="false" ht="14.25" hidden="false" customHeight="false" outlineLevel="0" collapsed="false">
      <c r="B371" s="19"/>
      <c r="E371" s="29"/>
    </row>
    <row r="372" customFormat="false" ht="14.25" hidden="false" customHeight="false" outlineLevel="0" collapsed="false">
      <c r="B372" s="19"/>
      <c r="E372" s="29"/>
    </row>
    <row r="373" customFormat="false" ht="14.25" hidden="false" customHeight="false" outlineLevel="0" collapsed="false">
      <c r="B373" s="19"/>
      <c r="E373" s="29"/>
    </row>
    <row r="374" customFormat="false" ht="14.25" hidden="false" customHeight="false" outlineLevel="0" collapsed="false">
      <c r="B374" s="19"/>
      <c r="E374" s="29"/>
    </row>
    <row r="375" customFormat="false" ht="14.25" hidden="false" customHeight="false" outlineLevel="0" collapsed="false">
      <c r="B375" s="19"/>
      <c r="E375" s="29"/>
    </row>
    <row r="376" customFormat="false" ht="14.25" hidden="false" customHeight="false" outlineLevel="0" collapsed="false">
      <c r="B376" s="19"/>
      <c r="E376" s="29"/>
    </row>
    <row r="377" customFormat="false" ht="14.25" hidden="false" customHeight="false" outlineLevel="0" collapsed="false">
      <c r="B377" s="19"/>
      <c r="E377" s="29"/>
    </row>
    <row r="378" customFormat="false" ht="14.25" hidden="false" customHeight="false" outlineLevel="0" collapsed="false">
      <c r="B378" s="19"/>
      <c r="E378" s="29"/>
    </row>
    <row r="379" customFormat="false" ht="14.25" hidden="false" customHeight="false" outlineLevel="0" collapsed="false">
      <c r="B379" s="19"/>
      <c r="E379" s="29"/>
    </row>
    <row r="380" customFormat="false" ht="14.25" hidden="false" customHeight="false" outlineLevel="0" collapsed="false">
      <c r="B380" s="19"/>
      <c r="E380" s="29"/>
    </row>
    <row r="381" customFormat="false" ht="14.25" hidden="false" customHeight="false" outlineLevel="0" collapsed="false">
      <c r="B381" s="19"/>
      <c r="E381" s="29"/>
    </row>
    <row r="382" customFormat="false" ht="14.25" hidden="false" customHeight="false" outlineLevel="0" collapsed="false">
      <c r="B382" s="19"/>
      <c r="E382" s="29"/>
    </row>
    <row r="383" customFormat="false" ht="14.25" hidden="false" customHeight="false" outlineLevel="0" collapsed="false">
      <c r="B383" s="19"/>
      <c r="E383" s="29"/>
    </row>
    <row r="384" customFormat="false" ht="14.25" hidden="false" customHeight="false" outlineLevel="0" collapsed="false">
      <c r="B384" s="19"/>
      <c r="E384" s="29"/>
    </row>
    <row r="385" customFormat="false" ht="14.25" hidden="false" customHeight="false" outlineLevel="0" collapsed="false">
      <c r="B385" s="19"/>
      <c r="E385" s="29"/>
    </row>
    <row r="386" customFormat="false" ht="14.25" hidden="false" customHeight="false" outlineLevel="0" collapsed="false">
      <c r="B386" s="19"/>
      <c r="E386" s="29"/>
    </row>
    <row r="387" customFormat="false" ht="14.25" hidden="false" customHeight="false" outlineLevel="0" collapsed="false">
      <c r="B387" s="19"/>
      <c r="E387" s="29"/>
    </row>
    <row r="388" customFormat="false" ht="14.25" hidden="false" customHeight="false" outlineLevel="0" collapsed="false">
      <c r="B388" s="19"/>
      <c r="E388" s="29"/>
    </row>
    <row r="389" customFormat="false" ht="14.25" hidden="false" customHeight="false" outlineLevel="0" collapsed="false">
      <c r="B389" s="19"/>
      <c r="E389" s="29"/>
    </row>
    <row r="390" customFormat="false" ht="14.25" hidden="false" customHeight="false" outlineLevel="0" collapsed="false">
      <c r="B390" s="19"/>
      <c r="E390" s="29"/>
    </row>
    <row r="391" customFormat="false" ht="14.25" hidden="false" customHeight="false" outlineLevel="0" collapsed="false">
      <c r="B391" s="19"/>
      <c r="E391" s="29"/>
    </row>
    <row r="392" customFormat="false" ht="14.25" hidden="false" customHeight="false" outlineLevel="0" collapsed="false">
      <c r="B392" s="19"/>
      <c r="E392" s="29"/>
    </row>
    <row r="393" customFormat="false" ht="14.25" hidden="false" customHeight="false" outlineLevel="0" collapsed="false">
      <c r="B393" s="19"/>
      <c r="E393" s="29"/>
    </row>
    <row r="394" customFormat="false" ht="14.25" hidden="false" customHeight="false" outlineLevel="0" collapsed="false">
      <c r="B394" s="19"/>
      <c r="E394" s="29"/>
    </row>
    <row r="395" customFormat="false" ht="14.25" hidden="false" customHeight="false" outlineLevel="0" collapsed="false">
      <c r="B395" s="19"/>
      <c r="E395" s="29"/>
    </row>
    <row r="396" customFormat="false" ht="14.25" hidden="false" customHeight="false" outlineLevel="0" collapsed="false">
      <c r="B396" s="19"/>
      <c r="E396" s="29"/>
    </row>
    <row r="397" customFormat="false" ht="14.25" hidden="false" customHeight="false" outlineLevel="0" collapsed="false">
      <c r="B397" s="19"/>
      <c r="E397" s="29"/>
    </row>
    <row r="398" customFormat="false" ht="14.25" hidden="false" customHeight="false" outlineLevel="0" collapsed="false">
      <c r="B398" s="19"/>
      <c r="E398" s="29"/>
    </row>
    <row r="399" customFormat="false" ht="14.25" hidden="false" customHeight="false" outlineLevel="0" collapsed="false">
      <c r="B399" s="19"/>
      <c r="E399" s="29"/>
    </row>
    <row r="400" customFormat="false" ht="14.25" hidden="false" customHeight="false" outlineLevel="0" collapsed="false">
      <c r="B400" s="19"/>
      <c r="E400" s="29"/>
    </row>
    <row r="401" customFormat="false" ht="14.25" hidden="false" customHeight="false" outlineLevel="0" collapsed="false">
      <c r="B401" s="19"/>
      <c r="E401" s="29"/>
    </row>
    <row r="402" customFormat="false" ht="14.25" hidden="false" customHeight="false" outlineLevel="0" collapsed="false">
      <c r="B402" s="19"/>
      <c r="E402" s="29"/>
    </row>
    <row r="403" customFormat="false" ht="14.25" hidden="false" customHeight="false" outlineLevel="0" collapsed="false">
      <c r="B403" s="19"/>
      <c r="E403" s="29"/>
    </row>
    <row r="404" customFormat="false" ht="14.25" hidden="false" customHeight="false" outlineLevel="0" collapsed="false">
      <c r="B404" s="19"/>
      <c r="E404" s="29"/>
    </row>
    <row r="405" customFormat="false" ht="14.25" hidden="false" customHeight="false" outlineLevel="0" collapsed="false">
      <c r="B405" s="19"/>
      <c r="E405" s="29"/>
    </row>
    <row r="406" customFormat="false" ht="14.25" hidden="false" customHeight="false" outlineLevel="0" collapsed="false">
      <c r="B406" s="19"/>
      <c r="E406" s="29"/>
    </row>
    <row r="407" customFormat="false" ht="14.25" hidden="false" customHeight="false" outlineLevel="0" collapsed="false">
      <c r="B407" s="19"/>
      <c r="E407" s="29"/>
    </row>
    <row r="408" customFormat="false" ht="14.25" hidden="false" customHeight="false" outlineLevel="0" collapsed="false">
      <c r="B408" s="19"/>
      <c r="E408" s="29"/>
    </row>
    <row r="409" customFormat="false" ht="14.25" hidden="false" customHeight="false" outlineLevel="0" collapsed="false">
      <c r="B409" s="19"/>
      <c r="E409" s="29"/>
    </row>
    <row r="410" customFormat="false" ht="14.25" hidden="false" customHeight="false" outlineLevel="0" collapsed="false">
      <c r="B410" s="19"/>
      <c r="E410" s="29"/>
    </row>
    <row r="411" customFormat="false" ht="14.25" hidden="false" customHeight="false" outlineLevel="0" collapsed="false">
      <c r="B411" s="19"/>
      <c r="E411" s="29"/>
    </row>
    <row r="412" customFormat="false" ht="14.25" hidden="false" customHeight="false" outlineLevel="0" collapsed="false">
      <c r="B412" s="19"/>
      <c r="E412" s="29"/>
    </row>
    <row r="413" customFormat="false" ht="14.25" hidden="false" customHeight="false" outlineLevel="0" collapsed="false">
      <c r="B413" s="19"/>
      <c r="E413" s="29"/>
    </row>
    <row r="414" customFormat="false" ht="14.25" hidden="false" customHeight="false" outlineLevel="0" collapsed="false">
      <c r="B414" s="19"/>
      <c r="E414" s="29"/>
    </row>
    <row r="415" customFormat="false" ht="14.25" hidden="false" customHeight="false" outlineLevel="0" collapsed="false">
      <c r="B415" s="19"/>
      <c r="E415" s="29"/>
    </row>
    <row r="416" customFormat="false" ht="14.25" hidden="false" customHeight="false" outlineLevel="0" collapsed="false">
      <c r="B416" s="19"/>
      <c r="E416" s="29"/>
    </row>
    <row r="417" customFormat="false" ht="14.25" hidden="false" customHeight="false" outlineLevel="0" collapsed="false">
      <c r="B417" s="19"/>
      <c r="E417" s="29"/>
    </row>
    <row r="418" customFormat="false" ht="14.25" hidden="false" customHeight="false" outlineLevel="0" collapsed="false">
      <c r="B418" s="19"/>
      <c r="E418" s="29"/>
    </row>
    <row r="419" customFormat="false" ht="14.25" hidden="false" customHeight="false" outlineLevel="0" collapsed="false">
      <c r="B419" s="19"/>
      <c r="E419" s="29"/>
    </row>
    <row r="420" customFormat="false" ht="14.25" hidden="false" customHeight="false" outlineLevel="0" collapsed="false">
      <c r="B420" s="19"/>
      <c r="E420" s="29"/>
    </row>
    <row r="421" customFormat="false" ht="14.25" hidden="false" customHeight="false" outlineLevel="0" collapsed="false">
      <c r="B421" s="19"/>
      <c r="E421" s="29"/>
    </row>
    <row r="422" customFormat="false" ht="14.25" hidden="false" customHeight="false" outlineLevel="0" collapsed="false">
      <c r="B422" s="19"/>
      <c r="E422" s="29"/>
    </row>
    <row r="423" customFormat="false" ht="14.25" hidden="false" customHeight="false" outlineLevel="0" collapsed="false">
      <c r="B423" s="19"/>
      <c r="E423" s="29"/>
    </row>
    <row r="424" customFormat="false" ht="14.25" hidden="false" customHeight="false" outlineLevel="0" collapsed="false">
      <c r="B424" s="19"/>
      <c r="E424" s="29"/>
    </row>
    <row r="425" customFormat="false" ht="14.25" hidden="false" customHeight="false" outlineLevel="0" collapsed="false">
      <c r="B425" s="19"/>
      <c r="E425" s="29"/>
    </row>
    <row r="426" customFormat="false" ht="14.25" hidden="false" customHeight="false" outlineLevel="0" collapsed="false">
      <c r="B426" s="19"/>
      <c r="E426" s="29"/>
    </row>
    <row r="427" customFormat="false" ht="14.25" hidden="false" customHeight="false" outlineLevel="0" collapsed="false">
      <c r="B427" s="19"/>
      <c r="E427" s="29"/>
    </row>
    <row r="428" customFormat="false" ht="14.25" hidden="false" customHeight="false" outlineLevel="0" collapsed="false">
      <c r="B428" s="19"/>
      <c r="E428" s="29"/>
    </row>
    <row r="429" customFormat="false" ht="14.25" hidden="false" customHeight="false" outlineLevel="0" collapsed="false">
      <c r="B429" s="19"/>
      <c r="E429" s="29"/>
    </row>
    <row r="430" customFormat="false" ht="14.25" hidden="false" customHeight="false" outlineLevel="0" collapsed="false">
      <c r="B430" s="19"/>
      <c r="E430" s="29"/>
    </row>
    <row r="431" customFormat="false" ht="14.25" hidden="false" customHeight="false" outlineLevel="0" collapsed="false">
      <c r="B431" s="19"/>
      <c r="E431" s="29"/>
    </row>
    <row r="432" customFormat="false" ht="14.25" hidden="false" customHeight="false" outlineLevel="0" collapsed="false">
      <c r="B432" s="19"/>
      <c r="E432" s="29"/>
    </row>
    <row r="433" customFormat="false" ht="14.25" hidden="false" customHeight="false" outlineLevel="0" collapsed="false">
      <c r="B433" s="19"/>
      <c r="E433" s="29"/>
    </row>
    <row r="434" customFormat="false" ht="14.25" hidden="false" customHeight="false" outlineLevel="0" collapsed="false">
      <c r="B434" s="19"/>
      <c r="E434" s="29"/>
    </row>
    <row r="435" customFormat="false" ht="14.25" hidden="false" customHeight="false" outlineLevel="0" collapsed="false">
      <c r="B435" s="19"/>
      <c r="E435" s="29"/>
    </row>
    <row r="436" customFormat="false" ht="14.25" hidden="false" customHeight="false" outlineLevel="0" collapsed="false">
      <c r="B436" s="19"/>
      <c r="E436" s="29"/>
    </row>
    <row r="437" customFormat="false" ht="14.25" hidden="false" customHeight="false" outlineLevel="0" collapsed="false">
      <c r="B437" s="19"/>
      <c r="E437" s="29"/>
    </row>
    <row r="438" customFormat="false" ht="14.25" hidden="false" customHeight="false" outlineLevel="0" collapsed="false">
      <c r="B438" s="19"/>
      <c r="E438" s="29"/>
    </row>
    <row r="439" customFormat="false" ht="14.25" hidden="false" customHeight="false" outlineLevel="0" collapsed="false">
      <c r="B439" s="19"/>
      <c r="E439" s="29"/>
    </row>
    <row r="440" customFormat="false" ht="14.25" hidden="false" customHeight="false" outlineLevel="0" collapsed="false">
      <c r="B440" s="19"/>
      <c r="E440" s="29"/>
    </row>
    <row r="441" customFormat="false" ht="14.25" hidden="false" customHeight="false" outlineLevel="0" collapsed="false">
      <c r="B441" s="19"/>
      <c r="E441" s="29"/>
    </row>
    <row r="442" customFormat="false" ht="14.25" hidden="false" customHeight="false" outlineLevel="0" collapsed="false">
      <c r="B442" s="19"/>
      <c r="E442" s="29"/>
    </row>
    <row r="443" customFormat="false" ht="14.25" hidden="false" customHeight="false" outlineLevel="0" collapsed="false">
      <c r="B443" s="19"/>
      <c r="E443" s="29"/>
    </row>
    <row r="444" customFormat="false" ht="14.25" hidden="false" customHeight="false" outlineLevel="0" collapsed="false">
      <c r="B444" s="19"/>
      <c r="E444" s="29"/>
    </row>
    <row r="445" customFormat="false" ht="14.25" hidden="false" customHeight="false" outlineLevel="0" collapsed="false">
      <c r="B445" s="19"/>
      <c r="E445" s="29"/>
    </row>
    <row r="446" customFormat="false" ht="14.25" hidden="false" customHeight="false" outlineLevel="0" collapsed="false">
      <c r="B446" s="19"/>
      <c r="E446" s="29"/>
    </row>
    <row r="447" customFormat="false" ht="14.25" hidden="false" customHeight="false" outlineLevel="0" collapsed="false">
      <c r="B447" s="19"/>
      <c r="E447" s="29"/>
    </row>
    <row r="448" customFormat="false" ht="14.25" hidden="false" customHeight="false" outlineLevel="0" collapsed="false">
      <c r="B448" s="19"/>
      <c r="E448" s="29"/>
    </row>
    <row r="449" customFormat="false" ht="14.25" hidden="false" customHeight="false" outlineLevel="0" collapsed="false">
      <c r="B449" s="19"/>
      <c r="E449" s="29"/>
    </row>
    <row r="450" customFormat="false" ht="14.25" hidden="false" customHeight="false" outlineLevel="0" collapsed="false">
      <c r="B450" s="19"/>
      <c r="E450" s="29"/>
    </row>
    <row r="451" customFormat="false" ht="14.25" hidden="false" customHeight="false" outlineLevel="0" collapsed="false">
      <c r="B451" s="19"/>
      <c r="E451" s="29"/>
    </row>
    <row r="452" customFormat="false" ht="14.25" hidden="false" customHeight="false" outlineLevel="0" collapsed="false">
      <c r="B452" s="19"/>
      <c r="E452" s="29"/>
    </row>
    <row r="453" customFormat="false" ht="14.25" hidden="false" customHeight="false" outlineLevel="0" collapsed="false">
      <c r="B453" s="19"/>
      <c r="E453" s="29"/>
    </row>
    <row r="454" customFormat="false" ht="14.25" hidden="false" customHeight="false" outlineLevel="0" collapsed="false">
      <c r="B454" s="19"/>
      <c r="E454" s="29"/>
    </row>
    <row r="455" customFormat="false" ht="14.25" hidden="false" customHeight="false" outlineLevel="0" collapsed="false">
      <c r="B455" s="19"/>
      <c r="E455" s="29"/>
    </row>
    <row r="456" customFormat="false" ht="14.25" hidden="false" customHeight="false" outlineLevel="0" collapsed="false">
      <c r="B456" s="19"/>
      <c r="E456" s="29"/>
    </row>
  </sheetData>
  <mergeCells count="1">
    <mergeCell ref="A9:A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11.5625" defaultRowHeight="14.25" zeroHeight="false" outlineLevelRow="0" outlineLevelCol="0"/>
  <cols>
    <col collapsed="false" customWidth="true" hidden="false" outlineLevel="0" max="1" min="1" style="44" width="4.88"/>
    <col collapsed="false" customWidth="true" hidden="false" outlineLevel="0" max="2" min="2" style="44" width="12.44"/>
    <col collapsed="false" customWidth="true" hidden="false" outlineLevel="0" max="3" min="3" style="45" width="10.33"/>
    <col collapsed="false" customWidth="true" hidden="false" outlineLevel="0" max="5" min="4" style="46" width="7.33"/>
    <col collapsed="false" customWidth="true" hidden="false" outlineLevel="0" max="6" min="6" style="44" width="4.88"/>
    <col collapsed="false" customWidth="true" hidden="false" outlineLevel="0" max="7" min="7" style="44" width="12.44"/>
    <col collapsed="false" customWidth="true" hidden="false" outlineLevel="0" max="8" min="8" style="44" width="4.88"/>
    <col collapsed="false" customWidth="true" hidden="false" outlineLevel="0" max="9" min="9" style="45" width="10.33"/>
    <col collapsed="false" customWidth="false" hidden="false" outlineLevel="0" max="10" min="10" style="45" width="11.56"/>
    <col collapsed="false" customWidth="false" hidden="false" outlineLevel="0" max="16384" min="11" style="46" width="11.56"/>
  </cols>
  <sheetData>
    <row r="1" customFormat="false" ht="25.5" hidden="false" customHeight="true" outlineLevel="0" collapsed="false">
      <c r="A1" s="47" t="s">
        <v>64</v>
      </c>
      <c r="B1" s="47" t="s">
        <v>65</v>
      </c>
      <c r="C1" s="48" t="s">
        <v>66</v>
      </c>
      <c r="F1" s="47" t="s">
        <v>64</v>
      </c>
      <c r="G1" s="47" t="s">
        <v>65</v>
      </c>
      <c r="H1" s="47" t="s">
        <v>64</v>
      </c>
      <c r="I1" s="48" t="s">
        <v>66</v>
      </c>
    </row>
    <row r="2" customFormat="false" ht="24.75" hidden="false" customHeight="true" outlineLevel="0" collapsed="false">
      <c r="A2" s="49" t="n">
        <v>1</v>
      </c>
      <c r="B2" s="50" t="s">
        <v>67</v>
      </c>
      <c r="C2" s="50" t="n">
        <v>654</v>
      </c>
      <c r="F2" s="49" t="n">
        <v>46</v>
      </c>
      <c r="G2" s="50" t="s">
        <v>68</v>
      </c>
      <c r="H2" s="49" t="n">
        <v>46</v>
      </c>
      <c r="I2" s="50" t="n">
        <v>137</v>
      </c>
      <c r="J2" s="45" t="s">
        <v>69</v>
      </c>
    </row>
    <row r="3" customFormat="false" ht="24.75" hidden="false" customHeight="true" outlineLevel="0" collapsed="false">
      <c r="A3" s="49" t="n">
        <v>2</v>
      </c>
      <c r="B3" s="50" t="s">
        <v>70</v>
      </c>
      <c r="C3" s="50" t="n">
        <v>163</v>
      </c>
      <c r="F3" s="49" t="n">
        <v>30</v>
      </c>
      <c r="G3" s="50" t="s">
        <v>71</v>
      </c>
      <c r="H3" s="49" t="n">
        <v>30</v>
      </c>
      <c r="I3" s="50" t="n">
        <v>140</v>
      </c>
    </row>
    <row r="4" customFormat="false" ht="24.75" hidden="false" customHeight="true" outlineLevel="0" collapsed="false">
      <c r="A4" s="49" t="n">
        <v>3</v>
      </c>
      <c r="B4" s="50" t="s">
        <v>72</v>
      </c>
      <c r="C4" s="50" t="n">
        <v>980</v>
      </c>
      <c r="F4" s="49" t="n">
        <v>2</v>
      </c>
      <c r="G4" s="50" t="s">
        <v>70</v>
      </c>
      <c r="H4" s="49" t="n">
        <v>2</v>
      </c>
      <c r="I4" s="50" t="n">
        <v>163</v>
      </c>
      <c r="J4" s="45" t="s">
        <v>69</v>
      </c>
    </row>
    <row r="5" customFormat="false" ht="24.75" hidden="false" customHeight="true" outlineLevel="0" collapsed="false">
      <c r="A5" s="49" t="n">
        <v>4</v>
      </c>
      <c r="B5" s="50" t="s">
        <v>73</v>
      </c>
      <c r="C5" s="50" t="n">
        <v>818</v>
      </c>
      <c r="F5" s="49" t="n">
        <v>34</v>
      </c>
      <c r="G5" s="50" t="s">
        <v>74</v>
      </c>
      <c r="H5" s="49" t="n">
        <v>34</v>
      </c>
      <c r="I5" s="50" t="n">
        <v>173</v>
      </c>
      <c r="J5" s="45" t="s">
        <v>69</v>
      </c>
    </row>
    <row r="6" customFormat="false" ht="24.75" hidden="false" customHeight="true" outlineLevel="0" collapsed="false">
      <c r="A6" s="49" t="n">
        <v>5</v>
      </c>
      <c r="B6" s="50" t="s">
        <v>75</v>
      </c>
      <c r="C6" s="50" t="n">
        <v>609</v>
      </c>
      <c r="F6" s="49" t="n">
        <v>23</v>
      </c>
      <c r="G6" s="50" t="s">
        <v>76</v>
      </c>
      <c r="H6" s="49" t="n">
        <v>23</v>
      </c>
      <c r="I6" s="50" t="n">
        <v>199</v>
      </c>
    </row>
    <row r="7" customFormat="false" ht="24.75" hidden="false" customHeight="true" outlineLevel="0" collapsed="false">
      <c r="A7" s="49" t="n">
        <v>6</v>
      </c>
      <c r="B7" s="50" t="s">
        <v>77</v>
      </c>
      <c r="C7" s="50" t="n">
        <v>982</v>
      </c>
      <c r="F7" s="49" t="n">
        <v>47</v>
      </c>
      <c r="G7" s="50" t="s">
        <v>78</v>
      </c>
      <c r="H7" s="49" t="n">
        <v>47</v>
      </c>
      <c r="I7" s="50" t="n">
        <v>200</v>
      </c>
    </row>
    <row r="8" customFormat="false" ht="24.75" hidden="false" customHeight="true" outlineLevel="0" collapsed="false">
      <c r="A8" s="49" t="n">
        <v>7</v>
      </c>
      <c r="B8" s="50" t="s">
        <v>79</v>
      </c>
      <c r="C8" s="50" t="n">
        <v>791</v>
      </c>
      <c r="F8" s="49" t="n">
        <v>20</v>
      </c>
      <c r="G8" s="50" t="s">
        <v>80</v>
      </c>
      <c r="H8" s="49" t="n">
        <v>20</v>
      </c>
      <c r="I8" s="50" t="n">
        <v>201</v>
      </c>
      <c r="J8" s="45" t="s">
        <v>69</v>
      </c>
    </row>
    <row r="9" customFormat="false" ht="24.75" hidden="false" customHeight="true" outlineLevel="0" collapsed="false">
      <c r="A9" s="49" t="n">
        <v>8</v>
      </c>
      <c r="B9" s="50" t="s">
        <v>81</v>
      </c>
      <c r="C9" s="50" t="n">
        <v>837</v>
      </c>
      <c r="F9" s="49" t="n">
        <v>15</v>
      </c>
      <c r="G9" s="50" t="s">
        <v>82</v>
      </c>
      <c r="H9" s="49" t="n">
        <v>15</v>
      </c>
      <c r="I9" s="50" t="n">
        <v>205</v>
      </c>
    </row>
    <row r="10" customFormat="false" ht="24.75" hidden="false" customHeight="true" outlineLevel="0" collapsed="false">
      <c r="A10" s="49" t="n">
        <v>9</v>
      </c>
      <c r="B10" s="50" t="s">
        <v>83</v>
      </c>
      <c r="C10" s="50" t="n">
        <v>786</v>
      </c>
      <c r="F10" s="49" t="n">
        <v>33</v>
      </c>
      <c r="G10" s="50" t="s">
        <v>84</v>
      </c>
      <c r="H10" s="49" t="n">
        <v>33</v>
      </c>
      <c r="I10" s="50" t="n">
        <v>216</v>
      </c>
      <c r="J10" s="45" t="s">
        <v>69</v>
      </c>
    </row>
    <row r="11" customFormat="false" ht="24.75" hidden="false" customHeight="true" outlineLevel="0" collapsed="false">
      <c r="A11" s="49" t="n">
        <v>10</v>
      </c>
      <c r="B11" s="50" t="s">
        <v>85</v>
      </c>
      <c r="C11" s="50" t="n">
        <v>986</v>
      </c>
      <c r="F11" s="49" t="n">
        <v>22</v>
      </c>
      <c r="G11" s="50" t="s">
        <v>86</v>
      </c>
      <c r="H11" s="49" t="n">
        <v>22</v>
      </c>
      <c r="I11" s="50" t="n">
        <v>235</v>
      </c>
      <c r="J11" s="45" t="s">
        <v>69</v>
      </c>
    </row>
    <row r="12" customFormat="false" ht="24.75" hidden="false" customHeight="true" outlineLevel="0" collapsed="false">
      <c r="A12" s="49" t="n">
        <v>11</v>
      </c>
      <c r="B12" s="50" t="s">
        <v>87</v>
      </c>
      <c r="C12" s="50" t="n">
        <v>272</v>
      </c>
      <c r="F12" s="49" t="n">
        <v>12</v>
      </c>
      <c r="G12" s="50" t="s">
        <v>88</v>
      </c>
      <c r="H12" s="49" t="n">
        <v>12</v>
      </c>
      <c r="I12" s="50" t="n">
        <v>244</v>
      </c>
      <c r="J12" s="45" t="s">
        <v>69</v>
      </c>
    </row>
    <row r="13" customFormat="false" ht="24.75" hidden="false" customHeight="true" outlineLevel="0" collapsed="false">
      <c r="A13" s="49" t="n">
        <v>12</v>
      </c>
      <c r="B13" s="50" t="s">
        <v>88</v>
      </c>
      <c r="C13" s="50" t="n">
        <v>244</v>
      </c>
      <c r="F13" s="49" t="n">
        <v>17</v>
      </c>
      <c r="G13" s="50" t="s">
        <v>89</v>
      </c>
      <c r="H13" s="49" t="n">
        <v>17</v>
      </c>
      <c r="I13" s="50" t="n">
        <v>271</v>
      </c>
      <c r="J13" s="45" t="s">
        <v>69</v>
      </c>
    </row>
    <row r="14" customFormat="false" ht="24.75" hidden="false" customHeight="true" outlineLevel="0" collapsed="false">
      <c r="A14" s="49" t="n">
        <v>13</v>
      </c>
      <c r="B14" s="50" t="s">
        <v>90</v>
      </c>
      <c r="C14" s="50" t="n">
        <v>771</v>
      </c>
      <c r="F14" s="49" t="n">
        <v>11</v>
      </c>
      <c r="G14" s="50" t="s">
        <v>87</v>
      </c>
      <c r="H14" s="49" t="n">
        <v>11</v>
      </c>
      <c r="I14" s="50" t="n">
        <v>272</v>
      </c>
      <c r="J14" s="45" t="s">
        <v>69</v>
      </c>
    </row>
    <row r="15" customFormat="false" ht="24.75" hidden="false" customHeight="true" outlineLevel="0" collapsed="false">
      <c r="A15" s="49" t="n">
        <v>14</v>
      </c>
      <c r="B15" s="50" t="s">
        <v>91</v>
      </c>
      <c r="C15" s="50" t="n">
        <v>527</v>
      </c>
      <c r="F15" s="49" t="n">
        <v>19</v>
      </c>
      <c r="G15" s="50" t="s">
        <v>92</v>
      </c>
      <c r="H15" s="49" t="n">
        <v>19</v>
      </c>
      <c r="I15" s="50" t="n">
        <v>291</v>
      </c>
    </row>
    <row r="16" customFormat="false" ht="24.75" hidden="false" customHeight="true" outlineLevel="0" collapsed="false">
      <c r="A16" s="49" t="n">
        <v>15</v>
      </c>
      <c r="B16" s="50" t="s">
        <v>82</v>
      </c>
      <c r="C16" s="50" t="n">
        <v>205</v>
      </c>
      <c r="F16" s="49" t="n">
        <v>37</v>
      </c>
      <c r="G16" s="50" t="s">
        <v>93</v>
      </c>
      <c r="H16" s="49" t="n">
        <v>37</v>
      </c>
      <c r="I16" s="50" t="n">
        <v>481</v>
      </c>
    </row>
    <row r="17" customFormat="false" ht="24.75" hidden="false" customHeight="true" outlineLevel="0" collapsed="false">
      <c r="A17" s="49" t="n">
        <v>16</v>
      </c>
      <c r="B17" s="50" t="s">
        <v>94</v>
      </c>
      <c r="C17" s="50" t="n">
        <v>839</v>
      </c>
      <c r="F17" s="49" t="n">
        <v>40</v>
      </c>
      <c r="G17" s="50" t="s">
        <v>95</v>
      </c>
      <c r="H17" s="49" t="n">
        <v>40</v>
      </c>
      <c r="I17" s="50" t="n">
        <v>504</v>
      </c>
      <c r="J17" s="45" t="s">
        <v>69</v>
      </c>
    </row>
    <row r="18" customFormat="false" ht="24.75" hidden="false" customHeight="true" outlineLevel="0" collapsed="false">
      <c r="A18" s="49" t="n">
        <v>17</v>
      </c>
      <c r="B18" s="50" t="s">
        <v>89</v>
      </c>
      <c r="C18" s="50" t="n">
        <v>271</v>
      </c>
      <c r="F18" s="49" t="n">
        <v>35</v>
      </c>
      <c r="G18" s="50" t="s">
        <v>96</v>
      </c>
      <c r="H18" s="49" t="n">
        <v>35</v>
      </c>
      <c r="I18" s="50" t="n">
        <v>509</v>
      </c>
      <c r="J18" s="45" t="s">
        <v>97</v>
      </c>
    </row>
    <row r="19" customFormat="false" ht="24.75" hidden="false" customHeight="true" outlineLevel="0" collapsed="false">
      <c r="A19" s="49" t="n">
        <v>18</v>
      </c>
      <c r="B19" s="50" t="s">
        <v>98</v>
      </c>
      <c r="C19" s="50" t="n">
        <v>519</v>
      </c>
      <c r="F19" s="49" t="n">
        <v>27</v>
      </c>
      <c r="G19" s="50" t="s">
        <v>99</v>
      </c>
      <c r="H19" s="49" t="n">
        <v>27</v>
      </c>
      <c r="I19" s="50" t="n">
        <v>512</v>
      </c>
    </row>
    <row r="20" customFormat="false" ht="24.75" hidden="false" customHeight="true" outlineLevel="0" collapsed="false">
      <c r="A20" s="49" t="n">
        <v>19</v>
      </c>
      <c r="B20" s="50" t="s">
        <v>92</v>
      </c>
      <c r="C20" s="50" t="n">
        <v>291</v>
      </c>
      <c r="F20" s="49" t="n">
        <v>18</v>
      </c>
      <c r="G20" s="50" t="s">
        <v>98</v>
      </c>
      <c r="H20" s="49" t="n">
        <v>18</v>
      </c>
      <c r="I20" s="50" t="n">
        <v>519</v>
      </c>
    </row>
    <row r="21" customFormat="false" ht="24.75" hidden="false" customHeight="true" outlineLevel="0" collapsed="false">
      <c r="A21" s="49" t="n">
        <v>20</v>
      </c>
      <c r="B21" s="50" t="s">
        <v>80</v>
      </c>
      <c r="C21" s="50" t="n">
        <v>201</v>
      </c>
      <c r="F21" s="49" t="n">
        <v>14</v>
      </c>
      <c r="G21" s="50" t="s">
        <v>91</v>
      </c>
      <c r="H21" s="49" t="n">
        <v>14</v>
      </c>
      <c r="I21" s="50" t="n">
        <v>527</v>
      </c>
    </row>
    <row r="22" customFormat="false" ht="24.75" hidden="false" customHeight="true" outlineLevel="0" collapsed="false">
      <c r="A22" s="49" t="n">
        <v>21</v>
      </c>
      <c r="B22" s="50" t="s">
        <v>100</v>
      </c>
      <c r="C22" s="50" t="n">
        <v>995</v>
      </c>
      <c r="F22" s="49" t="n">
        <v>24</v>
      </c>
      <c r="G22" s="50" t="s">
        <v>101</v>
      </c>
      <c r="H22" s="49" t="n">
        <v>24</v>
      </c>
      <c r="I22" s="50" t="n">
        <v>599</v>
      </c>
    </row>
    <row r="23" customFormat="false" ht="24.75" hidden="false" customHeight="true" outlineLevel="0" collapsed="false">
      <c r="A23" s="49" t="n">
        <v>22</v>
      </c>
      <c r="B23" s="50" t="s">
        <v>86</v>
      </c>
      <c r="C23" s="50" t="n">
        <v>235</v>
      </c>
      <c r="F23" s="49" t="n">
        <v>38</v>
      </c>
      <c r="G23" s="50" t="s">
        <v>102</v>
      </c>
      <c r="H23" s="49" t="n">
        <v>38</v>
      </c>
      <c r="I23" s="50" t="n">
        <v>608</v>
      </c>
      <c r="J23" s="45" t="s">
        <v>69</v>
      </c>
    </row>
    <row r="24" customFormat="false" ht="24.75" hidden="false" customHeight="true" outlineLevel="0" collapsed="false">
      <c r="A24" s="49" t="n">
        <v>23</v>
      </c>
      <c r="B24" s="50" t="s">
        <v>76</v>
      </c>
      <c r="C24" s="50" t="n">
        <v>199</v>
      </c>
      <c r="F24" s="49" t="n">
        <v>5</v>
      </c>
      <c r="G24" s="50" t="s">
        <v>75</v>
      </c>
      <c r="H24" s="49" t="n">
        <v>5</v>
      </c>
      <c r="I24" s="50" t="n">
        <v>609</v>
      </c>
    </row>
    <row r="25" customFormat="false" ht="24.75" hidden="false" customHeight="true" outlineLevel="0" collapsed="false">
      <c r="A25" s="49" t="n">
        <v>24</v>
      </c>
      <c r="B25" s="50" t="s">
        <v>101</v>
      </c>
      <c r="C25" s="50" t="n">
        <v>599</v>
      </c>
      <c r="F25" s="49" t="n">
        <v>28</v>
      </c>
      <c r="G25" s="50" t="s">
        <v>103</v>
      </c>
      <c r="H25" s="49" t="n">
        <v>28</v>
      </c>
      <c r="I25" s="50" t="n">
        <v>614</v>
      </c>
    </row>
    <row r="26" customFormat="false" ht="24.75" hidden="false" customHeight="true" outlineLevel="0" collapsed="false">
      <c r="A26" s="49" t="n">
        <v>25</v>
      </c>
      <c r="B26" s="50" t="s">
        <v>104</v>
      </c>
      <c r="C26" s="50" t="n">
        <v>834</v>
      </c>
      <c r="F26" s="49" t="n">
        <v>1</v>
      </c>
      <c r="G26" s="50" t="s">
        <v>67</v>
      </c>
      <c r="H26" s="49" t="n">
        <v>1</v>
      </c>
      <c r="I26" s="50" t="n">
        <v>654</v>
      </c>
      <c r="J26" s="45" t="s">
        <v>69</v>
      </c>
    </row>
    <row r="27" customFormat="false" ht="24.75" hidden="false" customHeight="true" outlineLevel="0" collapsed="false">
      <c r="A27" s="49" t="n">
        <v>26</v>
      </c>
      <c r="B27" s="50" t="s">
        <v>105</v>
      </c>
      <c r="C27" s="50" t="n">
        <v>863</v>
      </c>
      <c r="F27" s="49" t="n">
        <v>29</v>
      </c>
      <c r="G27" s="50" t="s">
        <v>106</v>
      </c>
      <c r="H27" s="49" t="n">
        <v>29</v>
      </c>
      <c r="I27" s="50" t="n">
        <v>663</v>
      </c>
      <c r="J27" s="45" t="s">
        <v>69</v>
      </c>
    </row>
    <row r="28" customFormat="false" ht="24.75" hidden="false" customHeight="true" outlineLevel="0" collapsed="false">
      <c r="A28" s="49" t="n">
        <v>27</v>
      </c>
      <c r="B28" s="50" t="s">
        <v>99</v>
      </c>
      <c r="C28" s="50" t="n">
        <v>512</v>
      </c>
      <c r="F28" s="49" t="n">
        <v>48</v>
      </c>
      <c r="G28" s="50" t="s">
        <v>107</v>
      </c>
      <c r="H28" s="49" t="n">
        <v>48</v>
      </c>
      <c r="I28" s="50" t="n">
        <v>717</v>
      </c>
      <c r="J28" s="45" t="s">
        <v>69</v>
      </c>
    </row>
    <row r="29" customFormat="false" ht="24.75" hidden="false" customHeight="true" outlineLevel="0" collapsed="false">
      <c r="A29" s="49" t="n">
        <v>28</v>
      </c>
      <c r="B29" s="50" t="s">
        <v>103</v>
      </c>
      <c r="C29" s="50" t="n">
        <v>614</v>
      </c>
      <c r="F29" s="49" t="n">
        <v>42</v>
      </c>
      <c r="G29" s="50" t="s">
        <v>108</v>
      </c>
      <c r="H29" s="49" t="n">
        <v>42</v>
      </c>
      <c r="I29" s="50" t="n">
        <v>719</v>
      </c>
    </row>
    <row r="30" customFormat="false" ht="24.75" hidden="false" customHeight="true" outlineLevel="0" collapsed="false">
      <c r="A30" s="49" t="n">
        <v>29</v>
      </c>
      <c r="B30" s="50" t="s">
        <v>106</v>
      </c>
      <c r="C30" s="50" t="n">
        <v>663</v>
      </c>
      <c r="F30" s="49" t="n">
        <v>50</v>
      </c>
      <c r="G30" s="50" t="s">
        <v>109</v>
      </c>
      <c r="H30" s="49" t="n">
        <v>50</v>
      </c>
      <c r="I30" s="50" t="n">
        <v>740</v>
      </c>
      <c r="J30" s="45" t="s">
        <v>69</v>
      </c>
    </row>
    <row r="31" customFormat="false" ht="24.75" hidden="false" customHeight="true" outlineLevel="0" collapsed="false">
      <c r="A31" s="49" t="n">
        <v>30</v>
      </c>
      <c r="B31" s="50" t="s">
        <v>71</v>
      </c>
      <c r="C31" s="50" t="n">
        <v>140</v>
      </c>
      <c r="F31" s="49" t="n">
        <v>39</v>
      </c>
      <c r="G31" s="50" t="s">
        <v>110</v>
      </c>
      <c r="H31" s="49" t="n">
        <v>39</v>
      </c>
      <c r="I31" s="50" t="n">
        <v>761</v>
      </c>
    </row>
    <row r="32" customFormat="false" ht="24.75" hidden="false" customHeight="true" outlineLevel="0" collapsed="false">
      <c r="A32" s="49" t="n">
        <v>31</v>
      </c>
      <c r="B32" s="50" t="s">
        <v>111</v>
      </c>
      <c r="C32" s="50" t="n">
        <v>797</v>
      </c>
      <c r="F32" s="49" t="n">
        <v>13</v>
      </c>
      <c r="G32" s="50" t="s">
        <v>90</v>
      </c>
      <c r="H32" s="49" t="n">
        <v>13</v>
      </c>
      <c r="I32" s="50" t="n">
        <v>771</v>
      </c>
    </row>
    <row r="33" customFormat="false" ht="24.75" hidden="false" customHeight="true" outlineLevel="0" collapsed="false">
      <c r="A33" s="49" t="n">
        <v>32</v>
      </c>
      <c r="B33" s="50" t="s">
        <v>112</v>
      </c>
      <c r="C33" s="50" t="n">
        <v>824</v>
      </c>
      <c r="F33" s="49" t="n">
        <v>9</v>
      </c>
      <c r="G33" s="50" t="s">
        <v>83</v>
      </c>
      <c r="H33" s="49" t="n">
        <v>9</v>
      </c>
      <c r="I33" s="50" t="n">
        <v>786</v>
      </c>
    </row>
    <row r="34" customFormat="false" ht="24.75" hidden="false" customHeight="true" outlineLevel="0" collapsed="false">
      <c r="A34" s="49" t="n">
        <v>33</v>
      </c>
      <c r="B34" s="50" t="s">
        <v>84</v>
      </c>
      <c r="C34" s="50" t="n">
        <v>216</v>
      </c>
      <c r="F34" s="49" t="n">
        <v>7</v>
      </c>
      <c r="G34" s="50" t="s">
        <v>79</v>
      </c>
      <c r="H34" s="49" t="n">
        <v>7</v>
      </c>
      <c r="I34" s="50" t="n">
        <v>791</v>
      </c>
      <c r="J34" s="45" t="s">
        <v>69</v>
      </c>
    </row>
    <row r="35" customFormat="false" ht="24.75" hidden="false" customHeight="true" outlineLevel="0" collapsed="false">
      <c r="A35" s="49" t="n">
        <v>34</v>
      </c>
      <c r="B35" s="50" t="s">
        <v>74</v>
      </c>
      <c r="C35" s="50" t="n">
        <v>173</v>
      </c>
      <c r="F35" s="49" t="n">
        <v>31</v>
      </c>
      <c r="G35" s="50" t="s">
        <v>111</v>
      </c>
      <c r="H35" s="49" t="n">
        <v>31</v>
      </c>
      <c r="I35" s="50" t="n">
        <v>797</v>
      </c>
    </row>
    <row r="36" customFormat="false" ht="24.75" hidden="false" customHeight="true" outlineLevel="0" collapsed="false">
      <c r="A36" s="49" t="n">
        <v>35</v>
      </c>
      <c r="B36" s="50" t="s">
        <v>96</v>
      </c>
      <c r="C36" s="50" t="n">
        <v>509</v>
      </c>
      <c r="F36" s="49" t="n">
        <v>45</v>
      </c>
      <c r="G36" s="50" t="s">
        <v>113</v>
      </c>
      <c r="H36" s="49" t="n">
        <v>45</v>
      </c>
      <c r="I36" s="50" t="n">
        <v>798</v>
      </c>
    </row>
    <row r="37" customFormat="false" ht="24.75" hidden="false" customHeight="true" outlineLevel="0" collapsed="false">
      <c r="A37" s="49" t="n">
        <v>36</v>
      </c>
      <c r="B37" s="50" t="s">
        <v>114</v>
      </c>
      <c r="C37" s="50" t="n">
        <v>991</v>
      </c>
      <c r="F37" s="49" t="n">
        <v>43</v>
      </c>
      <c r="G37" s="50" t="s">
        <v>115</v>
      </c>
      <c r="H37" s="49" t="n">
        <v>43</v>
      </c>
      <c r="I37" s="50" t="n">
        <v>808</v>
      </c>
      <c r="J37" s="45" t="s">
        <v>69</v>
      </c>
    </row>
    <row r="38" customFormat="false" ht="24.75" hidden="false" customHeight="true" outlineLevel="0" collapsed="false">
      <c r="A38" s="49" t="n">
        <v>37</v>
      </c>
      <c r="B38" s="50" t="s">
        <v>93</v>
      </c>
      <c r="C38" s="50" t="n">
        <v>481</v>
      </c>
      <c r="F38" s="49" t="n">
        <v>49</v>
      </c>
      <c r="G38" s="50" t="s">
        <v>116</v>
      </c>
      <c r="H38" s="49" t="n">
        <v>49</v>
      </c>
      <c r="I38" s="50" t="n">
        <v>812</v>
      </c>
      <c r="J38" s="45" t="s">
        <v>69</v>
      </c>
    </row>
    <row r="39" customFormat="false" ht="24.75" hidden="false" customHeight="true" outlineLevel="0" collapsed="false">
      <c r="A39" s="49" t="n">
        <v>38</v>
      </c>
      <c r="B39" s="50" t="s">
        <v>102</v>
      </c>
      <c r="C39" s="50" t="n">
        <v>608</v>
      </c>
      <c r="F39" s="49" t="n">
        <v>4</v>
      </c>
      <c r="G39" s="50" t="s">
        <v>73</v>
      </c>
      <c r="H39" s="49" t="n">
        <v>4</v>
      </c>
      <c r="I39" s="50" t="n">
        <v>818</v>
      </c>
    </row>
    <row r="40" customFormat="false" ht="24.75" hidden="false" customHeight="true" outlineLevel="0" collapsed="false">
      <c r="A40" s="49" t="n">
        <v>39</v>
      </c>
      <c r="B40" s="50" t="s">
        <v>110</v>
      </c>
      <c r="C40" s="50" t="n">
        <v>761</v>
      </c>
      <c r="F40" s="49" t="n">
        <v>32</v>
      </c>
      <c r="G40" s="50" t="s">
        <v>112</v>
      </c>
      <c r="H40" s="49" t="n">
        <v>32</v>
      </c>
      <c r="I40" s="50" t="n">
        <v>824</v>
      </c>
      <c r="J40" s="45" t="s">
        <v>69</v>
      </c>
    </row>
    <row r="41" customFormat="false" ht="24.75" hidden="false" customHeight="true" outlineLevel="0" collapsed="false">
      <c r="A41" s="49" t="n">
        <v>40</v>
      </c>
      <c r="B41" s="50" t="s">
        <v>95</v>
      </c>
      <c r="C41" s="50" t="n">
        <v>504</v>
      </c>
      <c r="F41" s="49" t="n">
        <v>25</v>
      </c>
      <c r="G41" s="50" t="s">
        <v>104</v>
      </c>
      <c r="H41" s="49" t="n">
        <v>25</v>
      </c>
      <c r="I41" s="50" t="n">
        <v>834</v>
      </c>
      <c r="J41" s="45" t="s">
        <v>69</v>
      </c>
    </row>
    <row r="42" customFormat="false" ht="24.75" hidden="false" customHeight="true" outlineLevel="0" collapsed="false">
      <c r="A42" s="49" t="n">
        <v>41</v>
      </c>
      <c r="B42" s="50" t="s">
        <v>117</v>
      </c>
      <c r="C42" s="50" t="n">
        <v>915</v>
      </c>
      <c r="F42" s="49" t="n">
        <v>8</v>
      </c>
      <c r="G42" s="50" t="s">
        <v>81</v>
      </c>
      <c r="H42" s="49" t="n">
        <v>8</v>
      </c>
      <c r="I42" s="50" t="n">
        <v>837</v>
      </c>
    </row>
    <row r="43" customFormat="false" ht="24.75" hidden="false" customHeight="true" outlineLevel="0" collapsed="false">
      <c r="A43" s="49" t="n">
        <v>42</v>
      </c>
      <c r="B43" s="50" t="s">
        <v>108</v>
      </c>
      <c r="C43" s="50" t="n">
        <v>719</v>
      </c>
      <c r="F43" s="49" t="n">
        <v>16</v>
      </c>
      <c r="G43" s="50" t="s">
        <v>94</v>
      </c>
      <c r="H43" s="49" t="n">
        <v>16</v>
      </c>
      <c r="I43" s="50" t="n">
        <v>839</v>
      </c>
      <c r="J43" s="45" t="s">
        <v>69</v>
      </c>
    </row>
    <row r="44" customFormat="false" ht="24.75" hidden="false" customHeight="true" outlineLevel="0" collapsed="false">
      <c r="A44" s="49" t="n">
        <v>43</v>
      </c>
      <c r="B44" s="50" t="s">
        <v>115</v>
      </c>
      <c r="C44" s="50" t="n">
        <v>808</v>
      </c>
      <c r="F44" s="49" t="n">
        <v>26</v>
      </c>
      <c r="G44" s="50" t="s">
        <v>105</v>
      </c>
      <c r="H44" s="49" t="n">
        <v>26</v>
      </c>
      <c r="I44" s="50" t="n">
        <v>863</v>
      </c>
      <c r="J44" s="45" t="s">
        <v>69</v>
      </c>
    </row>
    <row r="45" customFormat="false" ht="24.75" hidden="false" customHeight="true" outlineLevel="0" collapsed="false">
      <c r="A45" s="49" t="n">
        <v>44</v>
      </c>
      <c r="B45" s="50" t="s">
        <v>118</v>
      </c>
      <c r="C45" s="50" t="n">
        <v>868</v>
      </c>
      <c r="F45" s="49" t="n">
        <v>44</v>
      </c>
      <c r="G45" s="50" t="s">
        <v>118</v>
      </c>
      <c r="H45" s="49" t="n">
        <v>44</v>
      </c>
      <c r="I45" s="50" t="n">
        <v>868</v>
      </c>
      <c r="J45" s="45" t="s">
        <v>69</v>
      </c>
    </row>
    <row r="46" customFormat="false" ht="24.75" hidden="false" customHeight="true" outlineLevel="0" collapsed="false">
      <c r="A46" s="49" t="n">
        <v>45</v>
      </c>
      <c r="B46" s="50" t="s">
        <v>113</v>
      </c>
      <c r="C46" s="50" t="n">
        <v>798</v>
      </c>
      <c r="F46" s="49" t="n">
        <v>41</v>
      </c>
      <c r="G46" s="50" t="s">
        <v>117</v>
      </c>
      <c r="H46" s="49" t="n">
        <v>41</v>
      </c>
      <c r="I46" s="50" t="n">
        <v>915</v>
      </c>
    </row>
    <row r="47" customFormat="false" ht="24.75" hidden="false" customHeight="true" outlineLevel="0" collapsed="false">
      <c r="A47" s="49" t="n">
        <v>46</v>
      </c>
      <c r="B47" s="50" t="s">
        <v>68</v>
      </c>
      <c r="C47" s="50" t="n">
        <v>137</v>
      </c>
      <c r="F47" s="49" t="n">
        <v>3</v>
      </c>
      <c r="G47" s="50" t="s">
        <v>72</v>
      </c>
      <c r="H47" s="49" t="n">
        <v>3</v>
      </c>
      <c r="I47" s="50" t="n">
        <v>980</v>
      </c>
    </row>
    <row r="48" customFormat="false" ht="24.75" hidden="false" customHeight="true" outlineLevel="0" collapsed="false">
      <c r="A48" s="49" t="n">
        <v>47</v>
      </c>
      <c r="B48" s="50" t="s">
        <v>78</v>
      </c>
      <c r="C48" s="50" t="n">
        <v>200</v>
      </c>
      <c r="F48" s="49" t="n">
        <v>6</v>
      </c>
      <c r="G48" s="50" t="s">
        <v>77</v>
      </c>
      <c r="H48" s="49" t="n">
        <v>6</v>
      </c>
      <c r="I48" s="50" t="n">
        <v>982</v>
      </c>
      <c r="J48" s="45" t="s">
        <v>69</v>
      </c>
    </row>
    <row r="49" customFormat="false" ht="24.75" hidden="false" customHeight="true" outlineLevel="0" collapsed="false">
      <c r="A49" s="49" t="n">
        <v>48</v>
      </c>
      <c r="B49" s="50" t="s">
        <v>107</v>
      </c>
      <c r="C49" s="50" t="n">
        <v>717</v>
      </c>
      <c r="F49" s="49" t="n">
        <v>10</v>
      </c>
      <c r="G49" s="50" t="s">
        <v>85</v>
      </c>
      <c r="H49" s="49" t="n">
        <v>10</v>
      </c>
      <c r="I49" s="50" t="n">
        <v>986</v>
      </c>
    </row>
    <row r="50" customFormat="false" ht="24.75" hidden="false" customHeight="true" outlineLevel="0" collapsed="false">
      <c r="A50" s="49" t="n">
        <v>49</v>
      </c>
      <c r="B50" s="50" t="s">
        <v>116</v>
      </c>
      <c r="C50" s="50" t="n">
        <v>812</v>
      </c>
      <c r="F50" s="49" t="n">
        <v>36</v>
      </c>
      <c r="G50" s="50" t="s">
        <v>114</v>
      </c>
      <c r="H50" s="49" t="n">
        <v>36</v>
      </c>
      <c r="I50" s="50" t="n">
        <v>991</v>
      </c>
    </row>
    <row r="51" customFormat="false" ht="24.75" hidden="false" customHeight="true" outlineLevel="0" collapsed="false">
      <c r="A51" s="49" t="n">
        <v>50</v>
      </c>
      <c r="B51" s="50" t="s">
        <v>109</v>
      </c>
      <c r="C51" s="50" t="n">
        <v>740</v>
      </c>
      <c r="F51" s="49" t="n">
        <v>21</v>
      </c>
      <c r="G51" s="50" t="s">
        <v>100</v>
      </c>
      <c r="H51" s="49" t="n">
        <v>21</v>
      </c>
      <c r="I51" s="50" t="n">
        <v>995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M27" activeCellId="0" sqref="M27"/>
    </sheetView>
  </sheetViews>
  <sheetFormatPr defaultColWidth="10.6796875" defaultRowHeight="14.25" zeroHeight="false" outlineLevelRow="0" outlineLevelCol="0"/>
  <cols>
    <col collapsed="false" customWidth="true" hidden="false" outlineLevel="0" max="1" min="1" style="7" width="4.88"/>
    <col collapsed="false" customWidth="true" hidden="false" outlineLevel="0" max="2" min="2" style="7" width="18.34"/>
    <col collapsed="false" customWidth="true" hidden="false" outlineLevel="0" max="4" min="3" style="7" width="9.44"/>
    <col collapsed="false" customWidth="true" hidden="false" outlineLevel="0" max="5" min="5" style="51" width="15.56"/>
    <col collapsed="false" customWidth="true" hidden="false" outlineLevel="0" max="6" min="6" style="51" width="9.33"/>
    <col collapsed="false" customWidth="true" hidden="false" outlineLevel="0" max="7" min="7" style="51" width="7.11"/>
    <col collapsed="false" customWidth="true" hidden="false" outlineLevel="0" max="8" min="8" style="52" width="21.44"/>
    <col collapsed="false" customWidth="true" hidden="false" outlineLevel="0" max="9" min="9" style="7" width="7.44"/>
    <col collapsed="false" customWidth="true" hidden="false" outlineLevel="0" max="10" min="10" style="7" width="8.56"/>
    <col collapsed="false" customWidth="true" hidden="false" outlineLevel="0" max="11" min="11" style="7" width="8.34"/>
    <col collapsed="false" customWidth="true" hidden="false" outlineLevel="0" max="12" min="12" style="7" width="7.88"/>
  </cols>
  <sheetData>
    <row r="1" customFormat="false" ht="41.75" hidden="false" customHeight="false" outlineLevel="0" collapsed="false">
      <c r="A1" s="53" t="s">
        <v>119</v>
      </c>
      <c r="B1" s="53" t="s">
        <v>120</v>
      </c>
      <c r="C1" s="53" t="s">
        <v>121</v>
      </c>
      <c r="D1" s="53" t="s">
        <v>122</v>
      </c>
      <c r="E1" s="54" t="s">
        <v>123</v>
      </c>
      <c r="F1" s="54" t="s">
        <v>124</v>
      </c>
      <c r="G1" s="54" t="s">
        <v>125</v>
      </c>
      <c r="H1" s="55" t="s">
        <v>126</v>
      </c>
      <c r="I1" s="53" t="s">
        <v>127</v>
      </c>
      <c r="J1" s="53" t="s">
        <v>128</v>
      </c>
      <c r="K1" s="53" t="s">
        <v>129</v>
      </c>
      <c r="L1" s="53" t="s">
        <v>130</v>
      </c>
    </row>
    <row r="2" customFormat="false" ht="14.25" hidden="false" customHeight="false" outlineLevel="0" collapsed="false">
      <c r="A2" s="7" t="n">
        <v>33</v>
      </c>
      <c r="B2" s="7" t="s">
        <v>131</v>
      </c>
      <c r="C2" s="7" t="s">
        <v>132</v>
      </c>
      <c r="D2" s="7" t="n">
        <v>91001</v>
      </c>
      <c r="E2" s="51" t="n">
        <v>200025888173</v>
      </c>
      <c r="F2" s="51" t="s">
        <v>74</v>
      </c>
      <c r="G2" s="51" t="n">
        <v>34</v>
      </c>
      <c r="H2" s="52" t="n">
        <v>45798.2470023148</v>
      </c>
      <c r="I2" s="7" t="n">
        <v>0</v>
      </c>
      <c r="J2" s="7" t="n">
        <v>1</v>
      </c>
      <c r="K2" s="7" t="n">
        <v>1</v>
      </c>
      <c r="L2" s="7" t="n">
        <v>3</v>
      </c>
    </row>
    <row r="3" customFormat="false" ht="14.25" hidden="false" customHeight="false" outlineLevel="0" collapsed="false">
      <c r="A3" s="7" t="n">
        <v>34</v>
      </c>
      <c r="B3" s="7" t="s">
        <v>131</v>
      </c>
      <c r="C3" s="7" t="s">
        <v>132</v>
      </c>
      <c r="D3" s="7" t="n">
        <v>91001</v>
      </c>
      <c r="E3" s="51" t="n">
        <v>200025888173</v>
      </c>
      <c r="F3" s="51" t="s">
        <v>74</v>
      </c>
      <c r="G3" s="51" t="n">
        <v>34</v>
      </c>
      <c r="H3" s="52" t="n">
        <v>45798.2470138889</v>
      </c>
      <c r="I3" s="7" t="n">
        <v>0</v>
      </c>
      <c r="J3" s="7" t="n">
        <v>2</v>
      </c>
      <c r="K3" s="7" t="n">
        <v>2</v>
      </c>
      <c r="L3" s="7" t="n">
        <v>3</v>
      </c>
    </row>
    <row r="4" customFormat="false" ht="14.25" hidden="false" customHeight="false" outlineLevel="0" collapsed="false">
      <c r="A4" s="7" t="n">
        <v>35</v>
      </c>
      <c r="B4" s="7" t="s">
        <v>131</v>
      </c>
      <c r="C4" s="7" t="s">
        <v>132</v>
      </c>
      <c r="D4" s="7" t="n">
        <v>91001</v>
      </c>
      <c r="E4" s="51" t="n">
        <v>200025888173</v>
      </c>
      <c r="F4" s="51" t="s">
        <v>74</v>
      </c>
      <c r="G4" s="51" t="n">
        <v>34</v>
      </c>
      <c r="H4" s="52" t="n">
        <v>45798.2727546296</v>
      </c>
      <c r="I4" s="7" t="n">
        <v>0</v>
      </c>
      <c r="J4" s="7" t="n">
        <v>3</v>
      </c>
      <c r="K4" s="7" t="n">
        <v>3</v>
      </c>
      <c r="L4" s="7" t="n">
        <v>3</v>
      </c>
    </row>
    <row r="5" customFormat="false" ht="14.25" hidden="false" customHeight="false" outlineLevel="0" collapsed="false">
      <c r="A5" s="7" t="n">
        <v>36</v>
      </c>
      <c r="B5" s="7" t="s">
        <v>131</v>
      </c>
      <c r="C5" s="7" t="s">
        <v>132</v>
      </c>
      <c r="D5" s="7" t="n">
        <v>91001</v>
      </c>
      <c r="E5" s="51" t="n">
        <v>200025888173</v>
      </c>
      <c r="F5" s="51" t="s">
        <v>74</v>
      </c>
      <c r="G5" s="51" t="n">
        <v>34</v>
      </c>
      <c r="H5" s="52" t="n">
        <v>45798.3022569444</v>
      </c>
      <c r="I5" s="7" t="n">
        <v>0</v>
      </c>
      <c r="J5" s="7" t="n">
        <v>4</v>
      </c>
      <c r="K5" s="7" t="n">
        <v>4</v>
      </c>
      <c r="L5" s="7" t="n">
        <v>3</v>
      </c>
    </row>
    <row r="6" customFormat="false" ht="14.25" hidden="false" customHeight="false" outlineLevel="0" collapsed="false">
      <c r="A6" s="7" t="n">
        <v>37</v>
      </c>
      <c r="B6" s="7" t="s">
        <v>131</v>
      </c>
      <c r="C6" s="7" t="s">
        <v>132</v>
      </c>
      <c r="D6" s="7" t="n">
        <v>91001</v>
      </c>
      <c r="E6" s="51" t="n">
        <v>200025888173</v>
      </c>
      <c r="F6" s="51" t="s">
        <v>74</v>
      </c>
      <c r="G6" s="51" t="n">
        <v>34</v>
      </c>
      <c r="H6" s="52" t="n">
        <v>45798.3022685185</v>
      </c>
      <c r="I6" s="7" t="n">
        <v>0</v>
      </c>
      <c r="J6" s="7" t="n">
        <v>5</v>
      </c>
      <c r="K6" s="7" t="n">
        <v>5</v>
      </c>
      <c r="L6" s="7" t="n">
        <v>3</v>
      </c>
    </row>
    <row r="7" customFormat="false" ht="14.25" hidden="false" customHeight="false" outlineLevel="0" collapsed="false">
      <c r="A7" s="7" t="n">
        <v>38</v>
      </c>
      <c r="B7" s="7" t="s">
        <v>131</v>
      </c>
      <c r="C7" s="7" t="s">
        <v>132</v>
      </c>
      <c r="D7" s="7" t="n">
        <v>91001</v>
      </c>
      <c r="E7" s="51" t="n">
        <v>200025888173</v>
      </c>
      <c r="F7" s="51" t="s">
        <v>74</v>
      </c>
      <c r="G7" s="51" t="n">
        <v>34</v>
      </c>
      <c r="H7" s="52" t="n">
        <v>45798.3022800926</v>
      </c>
      <c r="I7" s="7" t="n">
        <v>1</v>
      </c>
      <c r="J7" s="7" t="n">
        <v>6</v>
      </c>
      <c r="K7" s="7" t="n">
        <v>6</v>
      </c>
      <c r="L7" s="7" t="n">
        <v>3</v>
      </c>
    </row>
    <row r="8" customFormat="false" ht="14.25" hidden="false" customHeight="false" outlineLevel="0" collapsed="false">
      <c r="A8" s="7" t="n">
        <v>39</v>
      </c>
      <c r="B8" s="7" t="s">
        <v>131</v>
      </c>
      <c r="C8" s="7" t="s">
        <v>132</v>
      </c>
      <c r="D8" s="7" t="n">
        <v>91001</v>
      </c>
      <c r="E8" s="51" t="n">
        <v>200025888173</v>
      </c>
      <c r="F8" s="51" t="s">
        <v>74</v>
      </c>
      <c r="G8" s="51" t="n">
        <v>34</v>
      </c>
      <c r="H8" s="52" t="n">
        <v>45798.3025347222</v>
      </c>
      <c r="I8" s="7" t="n">
        <v>1</v>
      </c>
      <c r="J8" s="7" t="n">
        <v>7</v>
      </c>
      <c r="K8" s="7" t="n">
        <v>7</v>
      </c>
      <c r="L8" s="7" t="n">
        <v>3</v>
      </c>
    </row>
    <row r="9" customFormat="false" ht="14.25" hidden="false" customHeight="false" outlineLevel="0" collapsed="false">
      <c r="A9" s="7" t="n">
        <v>40</v>
      </c>
      <c r="B9" s="7" t="s">
        <v>131</v>
      </c>
      <c r="C9" s="7" t="s">
        <v>132</v>
      </c>
      <c r="D9" s="7" t="n">
        <v>91001</v>
      </c>
      <c r="E9" s="51" t="n">
        <v>200025888173</v>
      </c>
      <c r="F9" s="51" t="s">
        <v>74</v>
      </c>
      <c r="G9" s="51" t="n">
        <v>34</v>
      </c>
      <c r="H9" s="52" t="n">
        <v>45798.3025462963</v>
      </c>
      <c r="I9" s="7" t="n">
        <v>0</v>
      </c>
      <c r="J9" s="7" t="n">
        <v>8</v>
      </c>
      <c r="K9" s="7" t="n">
        <v>8</v>
      </c>
      <c r="L9" s="7" t="n">
        <v>3</v>
      </c>
    </row>
    <row r="10" customFormat="false" ht="14.25" hidden="false" customHeight="false" outlineLevel="0" collapsed="false">
      <c r="A10" s="7" t="n">
        <v>41</v>
      </c>
      <c r="B10" s="7" t="s">
        <v>131</v>
      </c>
      <c r="C10" s="7" t="s">
        <v>132</v>
      </c>
      <c r="D10" s="7" t="n">
        <v>91001</v>
      </c>
      <c r="E10" s="51" t="n">
        <v>200025888173</v>
      </c>
      <c r="F10" s="51" t="s">
        <v>74</v>
      </c>
      <c r="G10" s="51" t="n">
        <v>34</v>
      </c>
      <c r="H10" s="52" t="n">
        <v>45798.322349537</v>
      </c>
      <c r="I10" s="7" t="n">
        <v>0</v>
      </c>
      <c r="J10" s="7" t="n">
        <v>9</v>
      </c>
      <c r="K10" s="7" t="n">
        <v>9</v>
      </c>
      <c r="L10" s="7" t="n">
        <v>3</v>
      </c>
    </row>
    <row r="11" customFormat="false" ht="14.25" hidden="false" customHeight="false" outlineLevel="0" collapsed="false">
      <c r="A11" s="7" t="n">
        <v>42</v>
      </c>
      <c r="B11" s="7" t="s">
        <v>131</v>
      </c>
      <c r="C11" s="7" t="s">
        <v>132</v>
      </c>
      <c r="D11" s="7" t="n">
        <v>91001</v>
      </c>
      <c r="E11" s="51" t="n">
        <v>200025888173</v>
      </c>
      <c r="F11" s="51" t="s">
        <v>74</v>
      </c>
      <c r="G11" s="51" t="n">
        <v>34</v>
      </c>
      <c r="H11" s="52" t="n">
        <v>45798.3677314815</v>
      </c>
      <c r="I11" s="7" t="n">
        <v>0</v>
      </c>
      <c r="J11" s="7" t="n">
        <v>10</v>
      </c>
      <c r="K11" s="7" t="n">
        <v>10</v>
      </c>
      <c r="L11" s="7" t="n">
        <v>3</v>
      </c>
    </row>
    <row r="12" customFormat="false" ht="14.25" hidden="false" customHeight="false" outlineLevel="0" collapsed="false">
      <c r="A12" s="7" t="n">
        <v>43</v>
      </c>
      <c r="B12" s="7" t="s">
        <v>131</v>
      </c>
      <c r="C12" s="7" t="s">
        <v>132</v>
      </c>
      <c r="D12" s="7" t="n">
        <v>91001</v>
      </c>
      <c r="E12" s="51" t="n">
        <v>200025888824</v>
      </c>
      <c r="F12" s="51" t="s">
        <v>112</v>
      </c>
      <c r="G12" s="51" t="n">
        <v>32</v>
      </c>
      <c r="H12" s="52" t="n">
        <v>45798.4532523148</v>
      </c>
      <c r="I12" s="7" t="n">
        <v>0</v>
      </c>
      <c r="J12" s="7" t="n">
        <v>11</v>
      </c>
      <c r="K12" s="7" t="n">
        <v>1</v>
      </c>
      <c r="L12" s="7" t="n">
        <v>4</v>
      </c>
    </row>
    <row r="13" customFormat="false" ht="14.25" hidden="false" customHeight="false" outlineLevel="0" collapsed="false">
      <c r="A13" s="7" t="n">
        <v>44</v>
      </c>
      <c r="B13" s="7" t="s">
        <v>131</v>
      </c>
      <c r="C13" s="7" t="s">
        <v>132</v>
      </c>
      <c r="D13" s="7" t="n">
        <v>91001</v>
      </c>
      <c r="E13" s="51" t="n">
        <v>200025888824</v>
      </c>
      <c r="F13" s="51" t="s">
        <v>112</v>
      </c>
      <c r="G13" s="51" t="n">
        <v>32</v>
      </c>
      <c r="H13" s="52" t="n">
        <v>45798.4532638889</v>
      </c>
      <c r="I13" s="7" t="n">
        <v>0</v>
      </c>
      <c r="J13" s="7" t="n">
        <v>12</v>
      </c>
      <c r="K13" s="7" t="n">
        <v>2</v>
      </c>
      <c r="L13" s="7" t="n">
        <v>4</v>
      </c>
    </row>
    <row r="14" customFormat="false" ht="14.25" hidden="false" customHeight="false" outlineLevel="0" collapsed="false">
      <c r="A14" s="7" t="n">
        <v>45</v>
      </c>
      <c r="B14" s="7" t="s">
        <v>131</v>
      </c>
      <c r="C14" s="7" t="s">
        <v>132</v>
      </c>
      <c r="D14" s="7" t="n">
        <v>91001</v>
      </c>
      <c r="E14" s="51" t="n">
        <v>200025888824</v>
      </c>
      <c r="F14" s="51" t="s">
        <v>112</v>
      </c>
      <c r="G14" s="51" t="n">
        <v>32</v>
      </c>
      <c r="H14" s="52" t="n">
        <v>45798.4546064815</v>
      </c>
      <c r="I14" s="7" t="n">
        <v>1</v>
      </c>
      <c r="J14" s="7" t="n">
        <v>13</v>
      </c>
      <c r="K14" s="7" t="n">
        <v>3</v>
      </c>
      <c r="L14" s="7" t="n">
        <v>4</v>
      </c>
    </row>
    <row r="15" customFormat="false" ht="14.25" hidden="false" customHeight="false" outlineLevel="0" collapsed="false">
      <c r="A15" s="7" t="n">
        <v>46</v>
      </c>
      <c r="B15" s="7" t="s">
        <v>131</v>
      </c>
      <c r="C15" s="7" t="s">
        <v>132</v>
      </c>
      <c r="D15" s="7" t="n">
        <v>91001</v>
      </c>
      <c r="E15" s="51" t="n">
        <v>200025888824</v>
      </c>
      <c r="F15" s="51" t="s">
        <v>112</v>
      </c>
      <c r="G15" s="51" t="n">
        <v>32</v>
      </c>
      <c r="H15" s="52" t="n">
        <v>45798.4546180556</v>
      </c>
      <c r="I15" s="7" t="n">
        <v>0</v>
      </c>
      <c r="J15" s="7" t="n">
        <v>14</v>
      </c>
      <c r="K15" s="7" t="n">
        <v>4</v>
      </c>
      <c r="L15" s="7" t="n">
        <v>4</v>
      </c>
    </row>
    <row r="16" customFormat="false" ht="14.25" hidden="false" customHeight="false" outlineLevel="0" collapsed="false">
      <c r="A16" s="7" t="n">
        <v>47</v>
      </c>
      <c r="B16" s="7" t="s">
        <v>131</v>
      </c>
      <c r="C16" s="7" t="s">
        <v>132</v>
      </c>
      <c r="D16" s="7" t="n">
        <v>91001</v>
      </c>
      <c r="E16" s="51" t="n">
        <v>200025888824</v>
      </c>
      <c r="F16" s="51" t="s">
        <v>112</v>
      </c>
      <c r="G16" s="51" t="n">
        <v>32</v>
      </c>
      <c r="H16" s="52" t="n">
        <v>45798.5034490741</v>
      </c>
      <c r="I16" s="7" t="n">
        <v>715</v>
      </c>
      <c r="J16" s="7" t="n">
        <v>15</v>
      </c>
      <c r="K16" s="7" t="n">
        <v>5</v>
      </c>
      <c r="L16" s="7" t="n">
        <v>4</v>
      </c>
    </row>
    <row r="17" customFormat="false" ht="14.25" hidden="false" customHeight="false" outlineLevel="0" collapsed="false">
      <c r="A17" s="7" t="n">
        <v>48</v>
      </c>
      <c r="B17" s="7" t="s">
        <v>131</v>
      </c>
      <c r="C17" s="7" t="s">
        <v>132</v>
      </c>
      <c r="D17" s="7" t="n">
        <v>91001</v>
      </c>
      <c r="E17" s="51" t="n">
        <v>200025888137</v>
      </c>
      <c r="F17" s="51" t="s">
        <v>68</v>
      </c>
      <c r="G17" s="51" t="n">
        <v>46</v>
      </c>
      <c r="H17" s="52" t="n">
        <v>45798.511724537</v>
      </c>
      <c r="I17" s="7" t="n">
        <v>2</v>
      </c>
      <c r="J17" s="7" t="n">
        <v>16</v>
      </c>
      <c r="K17" s="7" t="n">
        <v>2</v>
      </c>
      <c r="L17" s="7" t="n">
        <v>2</v>
      </c>
    </row>
    <row r="18" customFormat="false" ht="14.25" hidden="false" customHeight="false" outlineLevel="0" collapsed="false">
      <c r="A18" s="7" t="n">
        <v>49</v>
      </c>
      <c r="B18" s="7" t="s">
        <v>131</v>
      </c>
      <c r="C18" s="7" t="s">
        <v>132</v>
      </c>
      <c r="D18" s="7" t="n">
        <v>91001</v>
      </c>
      <c r="E18" s="51" t="n">
        <v>200025888137</v>
      </c>
      <c r="F18" s="51" t="s">
        <v>68</v>
      </c>
      <c r="G18" s="51" t="n">
        <v>46</v>
      </c>
      <c r="H18" s="52" t="n">
        <v>45798.5119444444</v>
      </c>
      <c r="I18" s="7" t="n">
        <v>3</v>
      </c>
      <c r="J18" s="7" t="n">
        <v>17</v>
      </c>
      <c r="K18" s="7" t="n">
        <v>3</v>
      </c>
      <c r="L18" s="7" t="n">
        <v>2</v>
      </c>
    </row>
    <row r="19" customFormat="false" ht="14.25" hidden="false" customHeight="false" outlineLevel="0" collapsed="false">
      <c r="A19" s="7" t="n">
        <v>50</v>
      </c>
      <c r="B19" s="7" t="s">
        <v>131</v>
      </c>
      <c r="C19" s="7" t="s">
        <v>132</v>
      </c>
      <c r="D19" s="7" t="n">
        <v>91001</v>
      </c>
      <c r="E19" s="51" t="n">
        <v>200025888137</v>
      </c>
      <c r="F19" s="51" t="s">
        <v>68</v>
      </c>
      <c r="G19" s="51" t="n">
        <v>46</v>
      </c>
      <c r="H19" s="52" t="n">
        <v>45798.5536574074</v>
      </c>
      <c r="I19" s="7" t="n">
        <v>0</v>
      </c>
      <c r="J19" s="7" t="n">
        <v>18</v>
      </c>
      <c r="K19" s="7" t="n">
        <v>4</v>
      </c>
      <c r="L19" s="7" t="n">
        <v>2</v>
      </c>
    </row>
    <row r="20" customFormat="false" ht="14.25" hidden="false" customHeight="false" outlineLevel="0" collapsed="false">
      <c r="A20" s="7" t="n">
        <v>51</v>
      </c>
      <c r="B20" s="7" t="s">
        <v>131</v>
      </c>
      <c r="C20" s="7" t="s">
        <v>132</v>
      </c>
      <c r="D20" s="7" t="n">
        <v>91001</v>
      </c>
      <c r="E20" s="51" t="n">
        <v>200025888137</v>
      </c>
      <c r="F20" s="51" t="s">
        <v>68</v>
      </c>
      <c r="G20" s="51" t="n">
        <v>46</v>
      </c>
      <c r="H20" s="52" t="n">
        <v>45798.5536689815</v>
      </c>
      <c r="I20" s="7" t="n">
        <v>0</v>
      </c>
      <c r="J20" s="7" t="n">
        <v>19</v>
      </c>
      <c r="K20" s="7" t="n">
        <v>5</v>
      </c>
      <c r="L20" s="7" t="n">
        <v>2</v>
      </c>
    </row>
    <row r="21" customFormat="false" ht="14.25" hidden="false" customHeight="false" outlineLevel="0" collapsed="false">
      <c r="A21" s="7" t="n">
        <v>52</v>
      </c>
      <c r="B21" s="7" t="s">
        <v>131</v>
      </c>
      <c r="C21" s="7" t="s">
        <v>132</v>
      </c>
      <c r="D21" s="7" t="n">
        <v>91001</v>
      </c>
      <c r="E21" s="51" t="n">
        <v>200025888137</v>
      </c>
      <c r="F21" s="51" t="s">
        <v>68</v>
      </c>
      <c r="G21" s="51" t="n">
        <v>46</v>
      </c>
      <c r="H21" s="52" t="n">
        <v>45798.5536921296</v>
      </c>
      <c r="I21" s="7" t="n">
        <v>0</v>
      </c>
      <c r="J21" s="7" t="n">
        <v>20</v>
      </c>
      <c r="K21" s="7" t="n">
        <v>6</v>
      </c>
      <c r="L21" s="7" t="n">
        <v>2</v>
      </c>
    </row>
    <row r="22" customFormat="false" ht="14.25" hidden="false" customHeight="false" outlineLevel="0" collapsed="false">
      <c r="A22" s="7" t="n">
        <v>53</v>
      </c>
      <c r="B22" s="7" t="s">
        <v>131</v>
      </c>
      <c r="C22" s="7" t="s">
        <v>132</v>
      </c>
      <c r="D22" s="7" t="n">
        <v>91001</v>
      </c>
      <c r="E22" s="51" t="n">
        <v>200025888137</v>
      </c>
      <c r="F22" s="51" t="s">
        <v>68</v>
      </c>
      <c r="G22" s="51" t="n">
        <v>46</v>
      </c>
      <c r="H22" s="52" t="n">
        <v>45798.5893171296</v>
      </c>
      <c r="I22" s="7" t="n">
        <v>1</v>
      </c>
      <c r="J22" s="7" t="n">
        <v>21</v>
      </c>
      <c r="K22" s="7" t="n">
        <v>7</v>
      </c>
      <c r="L22" s="7" t="n">
        <v>2</v>
      </c>
    </row>
    <row r="23" customFormat="false" ht="14.25" hidden="false" customHeight="false" outlineLevel="0" collapsed="false">
      <c r="A23" s="7" t="n">
        <v>54</v>
      </c>
      <c r="B23" s="7" t="s">
        <v>131</v>
      </c>
      <c r="C23" s="7" t="s">
        <v>132</v>
      </c>
      <c r="D23" s="7" t="n">
        <v>91001</v>
      </c>
      <c r="E23" s="51" t="n">
        <v>200025888137</v>
      </c>
      <c r="F23" s="51" t="s">
        <v>68</v>
      </c>
      <c r="G23" s="51" t="n">
        <v>46</v>
      </c>
      <c r="H23" s="52" t="n">
        <v>45798.5893287037</v>
      </c>
      <c r="I23" s="7" t="n">
        <v>1</v>
      </c>
      <c r="J23" s="7" t="n">
        <v>22</v>
      </c>
      <c r="K23" s="7" t="n">
        <v>8</v>
      </c>
      <c r="L23" s="7" t="n">
        <v>2</v>
      </c>
    </row>
    <row r="24" customFormat="false" ht="14.25" hidden="false" customHeight="false" outlineLevel="0" collapsed="false">
      <c r="A24" s="7" t="n">
        <v>55</v>
      </c>
      <c r="B24" s="7" t="s">
        <v>131</v>
      </c>
      <c r="C24" s="7" t="s">
        <v>132</v>
      </c>
      <c r="D24" s="7" t="n">
        <v>91001</v>
      </c>
      <c r="E24" s="51" t="n">
        <v>200025888137</v>
      </c>
      <c r="F24" s="51" t="s">
        <v>68</v>
      </c>
      <c r="G24" s="51" t="n">
        <v>46</v>
      </c>
      <c r="H24" s="52" t="n">
        <v>45798.603599537</v>
      </c>
      <c r="I24" s="7" t="n">
        <v>1</v>
      </c>
      <c r="J24" s="7" t="n">
        <v>23</v>
      </c>
      <c r="K24" s="7" t="n">
        <v>9</v>
      </c>
      <c r="L24" s="7" t="n">
        <v>2</v>
      </c>
    </row>
    <row r="25" customFormat="false" ht="14.25" hidden="false" customHeight="false" outlineLevel="0" collapsed="false">
      <c r="A25" s="7" t="n">
        <v>56</v>
      </c>
      <c r="B25" s="7" t="s">
        <v>131</v>
      </c>
      <c r="C25" s="7" t="s">
        <v>132</v>
      </c>
      <c r="D25" s="7" t="n">
        <v>91001</v>
      </c>
      <c r="E25" s="51" t="n">
        <v>200025888137</v>
      </c>
      <c r="F25" s="51" t="s">
        <v>68</v>
      </c>
      <c r="G25" s="51" t="n">
        <v>46</v>
      </c>
      <c r="H25" s="52" t="n">
        <v>45798.6036111111</v>
      </c>
      <c r="I25" s="7" t="n">
        <v>1</v>
      </c>
      <c r="J25" s="7" t="n">
        <v>24</v>
      </c>
      <c r="K25" s="7" t="n">
        <v>10</v>
      </c>
      <c r="L25" s="7" t="n">
        <v>2</v>
      </c>
    </row>
    <row r="26" customFormat="false" ht="14.25" hidden="false" customHeight="false" outlineLevel="0" collapsed="false">
      <c r="A26" s="7" t="n">
        <v>57</v>
      </c>
      <c r="B26" s="7" t="s">
        <v>131</v>
      </c>
      <c r="C26" s="7" t="s">
        <v>132</v>
      </c>
      <c r="D26" s="7" t="n">
        <v>91001</v>
      </c>
      <c r="E26" s="51" t="n">
        <v>200025888137</v>
      </c>
      <c r="F26" s="51" t="s">
        <v>68</v>
      </c>
      <c r="G26" s="51" t="n">
        <v>46</v>
      </c>
      <c r="H26" s="52" t="n">
        <v>45798.6037731482</v>
      </c>
      <c r="I26" s="7" t="n">
        <v>1</v>
      </c>
      <c r="J26" s="7" t="n">
        <v>25</v>
      </c>
      <c r="K26" s="7" t="n">
        <v>11</v>
      </c>
      <c r="L26" s="7" t="n">
        <v>2</v>
      </c>
    </row>
    <row r="27" customFormat="false" ht="14.25" hidden="false" customHeight="false" outlineLevel="0" collapsed="false">
      <c r="A27" s="7" t="n">
        <v>58</v>
      </c>
      <c r="B27" s="7" t="s">
        <v>131</v>
      </c>
      <c r="C27" s="7" t="s">
        <v>132</v>
      </c>
      <c r="D27" s="7" t="n">
        <v>91001</v>
      </c>
      <c r="E27" s="51" t="n">
        <v>200025888137</v>
      </c>
      <c r="F27" s="51" t="s">
        <v>68</v>
      </c>
      <c r="G27" s="51" t="n">
        <v>46</v>
      </c>
      <c r="H27" s="52" t="n">
        <v>45798.6042708333</v>
      </c>
      <c r="I27" s="7" t="n">
        <v>0</v>
      </c>
      <c r="J27" s="7" t="n">
        <v>26</v>
      </c>
      <c r="K27" s="7" t="n">
        <v>12</v>
      </c>
      <c r="L27" s="7" t="n">
        <v>2</v>
      </c>
    </row>
    <row r="28" customFormat="false" ht="14.25" hidden="false" customHeight="false" outlineLevel="0" collapsed="false">
      <c r="A28" s="7" t="n">
        <v>59</v>
      </c>
      <c r="B28" s="7" t="s">
        <v>131</v>
      </c>
      <c r="C28" s="7" t="s">
        <v>132</v>
      </c>
      <c r="D28" s="7" t="n">
        <v>91001</v>
      </c>
      <c r="E28" s="51" t="n">
        <v>200025888137</v>
      </c>
      <c r="F28" s="51" t="s">
        <v>68</v>
      </c>
      <c r="G28" s="51" t="n">
        <v>46</v>
      </c>
      <c r="H28" s="52" t="n">
        <v>45798.6044097222</v>
      </c>
      <c r="I28" s="7" t="n">
        <v>0</v>
      </c>
      <c r="J28" s="7" t="n">
        <v>27</v>
      </c>
      <c r="K28" s="7" t="n">
        <v>13</v>
      </c>
      <c r="L28" s="7" t="n">
        <v>2</v>
      </c>
    </row>
    <row r="29" customFormat="false" ht="14.25" hidden="false" customHeight="false" outlineLevel="0" collapsed="false">
      <c r="A29" s="7" t="n">
        <v>60</v>
      </c>
      <c r="B29" s="7" t="s">
        <v>131</v>
      </c>
      <c r="C29" s="7" t="s">
        <v>132</v>
      </c>
      <c r="D29" s="7" t="n">
        <v>91001</v>
      </c>
      <c r="E29" s="51" t="n">
        <v>200025888137</v>
      </c>
      <c r="F29" s="51" t="s">
        <v>68</v>
      </c>
      <c r="G29" s="51" t="n">
        <v>46</v>
      </c>
      <c r="H29" s="52" t="n">
        <v>45798.6044212963</v>
      </c>
      <c r="I29" s="7" t="n">
        <v>1</v>
      </c>
      <c r="J29" s="7" t="n">
        <v>28</v>
      </c>
      <c r="K29" s="7" t="n">
        <v>14</v>
      </c>
      <c r="L29" s="7" t="n">
        <v>2</v>
      </c>
    </row>
    <row r="30" customFormat="false" ht="14.25" hidden="false" customHeight="false" outlineLevel="0" collapsed="false">
      <c r="A30" s="7" t="n">
        <v>61</v>
      </c>
      <c r="B30" s="7" t="s">
        <v>131</v>
      </c>
      <c r="C30" s="7" t="s">
        <v>132</v>
      </c>
      <c r="D30" s="7" t="n">
        <v>91001</v>
      </c>
      <c r="E30" s="51" t="n">
        <v>200025888137</v>
      </c>
      <c r="F30" s="51" t="s">
        <v>68</v>
      </c>
      <c r="G30" s="51" t="n">
        <v>46</v>
      </c>
      <c r="H30" s="52" t="n">
        <v>45798.6055092593</v>
      </c>
      <c r="I30" s="7" t="n">
        <v>1</v>
      </c>
      <c r="J30" s="7" t="n">
        <v>29</v>
      </c>
      <c r="K30" s="7" t="n">
        <v>15</v>
      </c>
      <c r="L30" s="7" t="n">
        <v>2</v>
      </c>
    </row>
    <row r="31" customFormat="false" ht="14.25" hidden="false" customHeight="false" outlineLevel="0" collapsed="false">
      <c r="A31" s="7" t="n">
        <v>62</v>
      </c>
      <c r="B31" s="7" t="s">
        <v>131</v>
      </c>
      <c r="C31" s="7" t="s">
        <v>132</v>
      </c>
      <c r="D31" s="7" t="n">
        <v>91001</v>
      </c>
      <c r="E31" s="51" t="n">
        <v>200025888137</v>
      </c>
      <c r="F31" s="51" t="s">
        <v>68</v>
      </c>
      <c r="G31" s="51" t="n">
        <v>46</v>
      </c>
      <c r="H31" s="52" t="n">
        <v>45798.6056365741</v>
      </c>
      <c r="I31" s="7" t="n">
        <v>0</v>
      </c>
      <c r="J31" s="7" t="n">
        <v>30</v>
      </c>
      <c r="K31" s="7" t="n">
        <v>16</v>
      </c>
      <c r="L31" s="7" t="n">
        <v>2</v>
      </c>
    </row>
    <row r="32" customFormat="false" ht="14.25" hidden="false" customHeight="false" outlineLevel="0" collapsed="false">
      <c r="A32" s="7" t="n">
        <v>63</v>
      </c>
      <c r="B32" s="7" t="s">
        <v>131</v>
      </c>
      <c r="C32" s="7" t="s">
        <v>132</v>
      </c>
      <c r="D32" s="7" t="n">
        <v>91001</v>
      </c>
      <c r="E32" s="51" t="n">
        <v>200025888137</v>
      </c>
      <c r="F32" s="51" t="s">
        <v>68</v>
      </c>
      <c r="G32" s="51" t="n">
        <v>46</v>
      </c>
      <c r="H32" s="52" t="n">
        <v>45798.6056481482</v>
      </c>
      <c r="I32" s="7" t="n">
        <v>12</v>
      </c>
      <c r="J32" s="7" t="n">
        <v>31</v>
      </c>
      <c r="K32" s="7" t="n">
        <v>17</v>
      </c>
      <c r="L32" s="7" t="n">
        <v>2</v>
      </c>
    </row>
    <row r="33" customFormat="false" ht="14.25" hidden="false" customHeight="false" outlineLevel="0" collapsed="false">
      <c r="A33" s="7" t="n">
        <v>64</v>
      </c>
      <c r="B33" s="7" t="s">
        <v>131</v>
      </c>
      <c r="C33" s="7" t="s">
        <v>132</v>
      </c>
      <c r="D33" s="7" t="n">
        <v>91001</v>
      </c>
      <c r="E33" s="51" t="n">
        <v>200025888137</v>
      </c>
      <c r="F33" s="51" t="s">
        <v>68</v>
      </c>
      <c r="G33" s="51" t="n">
        <v>46</v>
      </c>
      <c r="H33" s="52" t="n">
        <v>45798.6060532407</v>
      </c>
      <c r="I33" s="7" t="n">
        <v>1</v>
      </c>
      <c r="J33" s="7" t="n">
        <v>32</v>
      </c>
      <c r="K33" s="7" t="n">
        <v>18</v>
      </c>
      <c r="L33" s="7" t="n">
        <v>2</v>
      </c>
    </row>
    <row r="34" customFormat="false" ht="14.25" hidden="false" customHeight="false" outlineLevel="0" collapsed="false">
      <c r="A34" s="7" t="n">
        <v>65</v>
      </c>
      <c r="B34" s="7" t="s">
        <v>131</v>
      </c>
      <c r="C34" s="7" t="s">
        <v>132</v>
      </c>
      <c r="D34" s="7" t="n">
        <v>91001</v>
      </c>
      <c r="E34" s="51" t="n">
        <v>200025888654</v>
      </c>
      <c r="F34" s="51" t="s">
        <v>67</v>
      </c>
      <c r="G34" s="51" t="n">
        <v>1</v>
      </c>
      <c r="H34" s="52" t="n">
        <v>45798.6543402778</v>
      </c>
      <c r="I34" s="7" t="n">
        <v>0</v>
      </c>
      <c r="J34" s="7" t="n">
        <v>33</v>
      </c>
      <c r="K34" s="7" t="n">
        <v>1</v>
      </c>
      <c r="L34" s="7" t="n">
        <v>6</v>
      </c>
    </row>
    <row r="35" customFormat="false" ht="14.25" hidden="false" customHeight="false" outlineLevel="0" collapsed="false">
      <c r="A35" s="7" t="n">
        <v>66</v>
      </c>
      <c r="B35" s="7" t="s">
        <v>131</v>
      </c>
      <c r="C35" s="7" t="s">
        <v>132</v>
      </c>
      <c r="D35" s="7" t="n">
        <v>91001</v>
      </c>
      <c r="E35" s="51" t="n">
        <v>200025888654</v>
      </c>
      <c r="F35" s="51" t="s">
        <v>67</v>
      </c>
      <c r="G35" s="51" t="n">
        <v>1</v>
      </c>
      <c r="H35" s="52" t="n">
        <v>45798.6543518519</v>
      </c>
      <c r="I35" s="7" t="n">
        <v>0</v>
      </c>
      <c r="J35" s="7" t="n">
        <v>34</v>
      </c>
      <c r="K35" s="7" t="n">
        <v>2</v>
      </c>
      <c r="L35" s="7" t="n">
        <v>6</v>
      </c>
    </row>
    <row r="36" customFormat="false" ht="14.25" hidden="false" customHeight="false" outlineLevel="0" collapsed="false">
      <c r="A36" s="7" t="n">
        <v>67</v>
      </c>
      <c r="B36" s="7" t="s">
        <v>131</v>
      </c>
      <c r="C36" s="7" t="s">
        <v>132</v>
      </c>
      <c r="D36" s="7" t="n">
        <v>91001</v>
      </c>
      <c r="E36" s="51" t="n">
        <v>200025888654</v>
      </c>
      <c r="F36" s="51" t="s">
        <v>67</v>
      </c>
      <c r="G36" s="51" t="n">
        <v>1</v>
      </c>
      <c r="H36" s="52" t="n">
        <v>45798.6543634259</v>
      </c>
      <c r="I36" s="7" t="n">
        <v>31</v>
      </c>
      <c r="J36" s="7" t="n">
        <v>35</v>
      </c>
      <c r="K36" s="7" t="n">
        <v>3</v>
      </c>
      <c r="L36" s="7" t="n">
        <v>6</v>
      </c>
    </row>
    <row r="37" customFormat="false" ht="14.25" hidden="false" customHeight="false" outlineLevel="0" collapsed="false">
      <c r="A37" s="7" t="n">
        <v>68</v>
      </c>
      <c r="B37" s="7" t="s">
        <v>131</v>
      </c>
      <c r="C37" s="7" t="s">
        <v>132</v>
      </c>
      <c r="D37" s="7" t="n">
        <v>91001</v>
      </c>
      <c r="E37" s="51" t="n">
        <v>200025888654</v>
      </c>
      <c r="F37" s="51" t="s">
        <v>67</v>
      </c>
      <c r="G37" s="51" t="n">
        <v>1</v>
      </c>
      <c r="H37" s="52" t="n">
        <v>45798.6557986111</v>
      </c>
      <c r="I37" s="7" t="n">
        <v>1</v>
      </c>
      <c r="J37" s="7" t="n">
        <v>36</v>
      </c>
      <c r="K37" s="7" t="n">
        <v>4</v>
      </c>
      <c r="L37" s="7" t="n">
        <v>6</v>
      </c>
    </row>
    <row r="38" customFormat="false" ht="14.25" hidden="false" customHeight="false" outlineLevel="0" collapsed="false">
      <c r="A38" s="7" t="n">
        <v>69</v>
      </c>
      <c r="B38" s="7" t="s">
        <v>131</v>
      </c>
      <c r="C38" s="7" t="s">
        <v>132</v>
      </c>
      <c r="D38" s="7" t="n">
        <v>91001</v>
      </c>
      <c r="E38" s="51" t="n">
        <v>200025888654</v>
      </c>
      <c r="F38" s="51" t="s">
        <v>67</v>
      </c>
      <c r="G38" s="51" t="n">
        <v>1</v>
      </c>
      <c r="H38" s="52" t="n">
        <v>45798.6558217593</v>
      </c>
      <c r="I38" s="7" t="n">
        <v>1</v>
      </c>
      <c r="J38" s="7" t="n">
        <v>37</v>
      </c>
      <c r="K38" s="7" t="n">
        <v>5</v>
      </c>
      <c r="L38" s="7" t="n">
        <v>6</v>
      </c>
    </row>
    <row r="39" customFormat="false" ht="14.25" hidden="false" customHeight="false" outlineLevel="0" collapsed="false">
      <c r="A39" s="7" t="n">
        <v>70</v>
      </c>
      <c r="B39" s="7" t="s">
        <v>131</v>
      </c>
      <c r="C39" s="7" t="s">
        <v>132</v>
      </c>
      <c r="D39" s="7" t="n">
        <v>91001</v>
      </c>
      <c r="E39" s="51" t="n">
        <v>200025888654</v>
      </c>
      <c r="F39" s="51" t="s">
        <v>67</v>
      </c>
      <c r="G39" s="51" t="n">
        <v>1</v>
      </c>
      <c r="H39" s="52" t="n">
        <v>45798.6558333333</v>
      </c>
      <c r="I39" s="7" t="n">
        <v>0</v>
      </c>
      <c r="J39" s="7" t="n">
        <v>38</v>
      </c>
      <c r="K39" s="7" t="n">
        <v>6</v>
      </c>
      <c r="L39" s="7" t="n">
        <v>6</v>
      </c>
    </row>
    <row r="40" customFormat="false" ht="14.25" hidden="false" customHeight="false" outlineLevel="0" collapsed="false">
      <c r="A40" s="7" t="n">
        <v>71</v>
      </c>
      <c r="B40" s="7" t="s">
        <v>131</v>
      </c>
      <c r="C40" s="7" t="s">
        <v>132</v>
      </c>
      <c r="D40" s="7" t="n">
        <v>91001</v>
      </c>
      <c r="E40" s="51" t="n">
        <v>200025888654</v>
      </c>
      <c r="F40" s="51" t="s">
        <v>67</v>
      </c>
      <c r="G40" s="51" t="n">
        <v>1</v>
      </c>
      <c r="H40" s="52" t="n">
        <v>45798.6558449074</v>
      </c>
      <c r="I40" s="7" t="n">
        <v>0</v>
      </c>
      <c r="J40" s="7" t="n">
        <v>39</v>
      </c>
      <c r="K40" s="7" t="n">
        <v>7</v>
      </c>
      <c r="L40" s="7" t="n">
        <v>6</v>
      </c>
    </row>
    <row r="41" customFormat="false" ht="14.25" hidden="false" customHeight="false" outlineLevel="0" collapsed="false">
      <c r="A41" s="7" t="n">
        <v>72</v>
      </c>
      <c r="B41" s="7" t="s">
        <v>131</v>
      </c>
      <c r="C41" s="7" t="s">
        <v>132</v>
      </c>
      <c r="D41" s="7" t="n">
        <v>91001</v>
      </c>
      <c r="E41" s="51" t="n">
        <v>200025888654</v>
      </c>
      <c r="F41" s="51" t="s">
        <v>67</v>
      </c>
      <c r="G41" s="51" t="n">
        <v>1</v>
      </c>
      <c r="H41" s="52" t="n">
        <v>45798.6558449074</v>
      </c>
      <c r="I41" s="7" t="n">
        <v>1</v>
      </c>
      <c r="J41" s="7" t="n">
        <v>40</v>
      </c>
      <c r="K41" s="7" t="n">
        <v>8</v>
      </c>
      <c r="L41" s="7" t="n">
        <v>6</v>
      </c>
    </row>
    <row r="42" customFormat="false" ht="14.25" hidden="false" customHeight="false" outlineLevel="0" collapsed="false">
      <c r="A42" s="7" t="n">
        <v>73</v>
      </c>
      <c r="B42" s="7" t="s">
        <v>131</v>
      </c>
      <c r="C42" s="7" t="s">
        <v>132</v>
      </c>
      <c r="D42" s="7" t="n">
        <v>91001</v>
      </c>
      <c r="E42" s="51" t="n">
        <v>200025888654</v>
      </c>
      <c r="F42" s="51" t="s">
        <v>67</v>
      </c>
      <c r="G42" s="51" t="n">
        <v>1</v>
      </c>
      <c r="H42" s="52" t="n">
        <v>45798.6559375</v>
      </c>
      <c r="I42" s="7" t="n">
        <v>1</v>
      </c>
      <c r="J42" s="7" t="n">
        <v>41</v>
      </c>
      <c r="K42" s="7" t="n">
        <v>9</v>
      </c>
      <c r="L42" s="7" t="n">
        <v>6</v>
      </c>
    </row>
    <row r="43" customFormat="false" ht="14.25" hidden="false" customHeight="false" outlineLevel="0" collapsed="false">
      <c r="A43" s="7" t="n">
        <v>74</v>
      </c>
      <c r="B43" s="7" t="s">
        <v>131</v>
      </c>
      <c r="C43" s="7" t="s">
        <v>132</v>
      </c>
      <c r="D43" s="7" t="n">
        <v>91001</v>
      </c>
      <c r="E43" s="51" t="n">
        <v>200025888137</v>
      </c>
      <c r="F43" s="51" t="s">
        <v>68</v>
      </c>
      <c r="G43" s="51" t="n">
        <v>46</v>
      </c>
      <c r="H43" s="52" t="n">
        <v>45798.6756712963</v>
      </c>
      <c r="I43" s="7" t="n">
        <v>1</v>
      </c>
      <c r="J43" s="7" t="n">
        <v>42</v>
      </c>
      <c r="K43" s="7" t="n">
        <v>19</v>
      </c>
      <c r="L43" s="7" t="n">
        <v>2</v>
      </c>
    </row>
    <row r="44" customFormat="false" ht="14.25" hidden="false" customHeight="false" outlineLevel="0" collapsed="false">
      <c r="A44" s="7" t="n">
        <v>75</v>
      </c>
      <c r="B44" s="7" t="s">
        <v>131</v>
      </c>
      <c r="C44" s="7" t="s">
        <v>132</v>
      </c>
      <c r="D44" s="7" t="n">
        <v>91001</v>
      </c>
      <c r="E44" s="51" t="n">
        <v>200025888137</v>
      </c>
      <c r="F44" s="51" t="s">
        <v>68</v>
      </c>
      <c r="G44" s="51" t="n">
        <v>46</v>
      </c>
      <c r="H44" s="52" t="n">
        <v>45798.6756828704</v>
      </c>
      <c r="I44" s="7" t="n">
        <v>0</v>
      </c>
      <c r="J44" s="7" t="n">
        <v>43</v>
      </c>
      <c r="K44" s="7" t="n">
        <v>20</v>
      </c>
      <c r="L44" s="7" t="n">
        <v>2</v>
      </c>
    </row>
    <row r="45" customFormat="false" ht="14.25" hidden="false" customHeight="false" outlineLevel="0" collapsed="false">
      <c r="A45" s="7" t="n">
        <v>76</v>
      </c>
      <c r="B45" s="7" t="s">
        <v>131</v>
      </c>
      <c r="C45" s="7" t="s">
        <v>132</v>
      </c>
      <c r="D45" s="7" t="n">
        <v>91001</v>
      </c>
      <c r="E45" s="51" t="n">
        <v>200025888137</v>
      </c>
      <c r="F45" s="51" t="s">
        <v>68</v>
      </c>
      <c r="G45" s="51" t="n">
        <v>46</v>
      </c>
      <c r="H45" s="52" t="n">
        <v>45798.6756828704</v>
      </c>
      <c r="I45" s="7" t="n">
        <v>1</v>
      </c>
      <c r="J45" s="7" t="n">
        <v>44</v>
      </c>
      <c r="K45" s="7" t="n">
        <v>21</v>
      </c>
      <c r="L45" s="7" t="n">
        <v>2</v>
      </c>
    </row>
    <row r="46" customFormat="false" ht="14.25" hidden="false" customHeight="false" outlineLevel="0" collapsed="false">
      <c r="A46" s="7" t="n">
        <v>77</v>
      </c>
      <c r="B46" s="7" t="s">
        <v>131</v>
      </c>
      <c r="C46" s="7" t="s">
        <v>132</v>
      </c>
      <c r="D46" s="7" t="n">
        <v>91001</v>
      </c>
      <c r="E46" s="51" t="n">
        <v>200025888137</v>
      </c>
      <c r="F46" s="51" t="s">
        <v>68</v>
      </c>
      <c r="G46" s="51" t="n">
        <v>46</v>
      </c>
      <c r="H46" s="52" t="n">
        <v>45798.6763078704</v>
      </c>
      <c r="I46" s="7" t="n">
        <v>13</v>
      </c>
      <c r="J46" s="7" t="n">
        <v>45</v>
      </c>
      <c r="K46" s="7" t="n">
        <v>22</v>
      </c>
      <c r="L46" s="7" t="n">
        <v>2</v>
      </c>
    </row>
    <row r="47" customFormat="false" ht="14.25" hidden="false" customHeight="false" outlineLevel="0" collapsed="false">
      <c r="A47" s="7" t="n">
        <v>78</v>
      </c>
      <c r="B47" s="7" t="s">
        <v>131</v>
      </c>
      <c r="C47" s="7" t="s">
        <v>132</v>
      </c>
      <c r="D47" s="7" t="n">
        <v>91001</v>
      </c>
      <c r="E47" s="51" t="n">
        <v>200025888137</v>
      </c>
      <c r="F47" s="51" t="s">
        <v>68</v>
      </c>
      <c r="G47" s="51" t="n">
        <v>46</v>
      </c>
      <c r="H47" s="52" t="n">
        <v>45798.6769791667</v>
      </c>
      <c r="I47" s="7" t="n">
        <v>0</v>
      </c>
      <c r="J47" s="7" t="n">
        <v>46</v>
      </c>
      <c r="K47" s="7" t="n">
        <v>23</v>
      </c>
      <c r="L47" s="7" t="n">
        <v>2</v>
      </c>
    </row>
    <row r="48" customFormat="false" ht="14.25" hidden="false" customHeight="false" outlineLevel="0" collapsed="false">
      <c r="A48" s="7" t="n">
        <v>79</v>
      </c>
      <c r="B48" s="7" t="s">
        <v>131</v>
      </c>
      <c r="C48" s="7" t="s">
        <v>132</v>
      </c>
      <c r="D48" s="7" t="n">
        <v>91001</v>
      </c>
      <c r="E48" s="51" t="n">
        <v>200025888137</v>
      </c>
      <c r="F48" s="51" t="s">
        <v>68</v>
      </c>
      <c r="G48" s="51" t="n">
        <v>46</v>
      </c>
      <c r="H48" s="52" t="n">
        <v>45798.6769907407</v>
      </c>
      <c r="I48" s="7" t="n">
        <v>0</v>
      </c>
      <c r="J48" s="7" t="n">
        <v>47</v>
      </c>
      <c r="K48" s="7" t="n">
        <v>24</v>
      </c>
      <c r="L48" s="7" t="n">
        <v>2</v>
      </c>
    </row>
    <row r="49" customFormat="false" ht="14.25" hidden="false" customHeight="false" outlineLevel="0" collapsed="false">
      <c r="A49" s="7" t="n">
        <v>80</v>
      </c>
      <c r="B49" s="7" t="s">
        <v>131</v>
      </c>
      <c r="C49" s="7" t="s">
        <v>132</v>
      </c>
      <c r="D49" s="7" t="n">
        <v>91001</v>
      </c>
      <c r="E49" s="51" t="n">
        <v>200025888137</v>
      </c>
      <c r="F49" s="51" t="s">
        <v>68</v>
      </c>
      <c r="G49" s="51" t="n">
        <v>46</v>
      </c>
      <c r="H49" s="52" t="n">
        <v>45798.6775925926</v>
      </c>
      <c r="I49" s="7" t="n">
        <v>1</v>
      </c>
      <c r="J49" s="7" t="n">
        <v>48</v>
      </c>
      <c r="K49" s="7" t="n">
        <v>25</v>
      </c>
      <c r="L49" s="7" t="n">
        <v>2</v>
      </c>
    </row>
    <row r="50" customFormat="false" ht="14.25" hidden="false" customHeight="false" outlineLevel="0" collapsed="false">
      <c r="A50" s="7" t="n">
        <v>81</v>
      </c>
      <c r="B50" s="7" t="s">
        <v>131</v>
      </c>
      <c r="C50" s="7" t="s">
        <v>132</v>
      </c>
      <c r="D50" s="7" t="n">
        <v>91001</v>
      </c>
      <c r="E50" s="51" t="n">
        <v>200025888137</v>
      </c>
      <c r="F50" s="51" t="s">
        <v>68</v>
      </c>
      <c r="G50" s="51" t="n">
        <v>46</v>
      </c>
      <c r="H50" s="52" t="n">
        <v>45798.6777430556</v>
      </c>
      <c r="I50" s="7" t="n">
        <v>0</v>
      </c>
      <c r="J50" s="7" t="n">
        <v>49</v>
      </c>
      <c r="K50" s="7" t="n">
        <v>26</v>
      </c>
      <c r="L50" s="7" t="n">
        <v>2</v>
      </c>
    </row>
    <row r="51" customFormat="false" ht="14.25" hidden="false" customHeight="false" outlineLevel="0" collapsed="false">
      <c r="A51" s="7" t="n">
        <v>82</v>
      </c>
      <c r="B51" s="7" t="s">
        <v>131</v>
      </c>
      <c r="C51" s="7" t="s">
        <v>132</v>
      </c>
      <c r="D51" s="7" t="n">
        <v>91001</v>
      </c>
      <c r="E51" s="51" t="n">
        <v>200025888863</v>
      </c>
      <c r="F51" s="51" t="s">
        <v>105</v>
      </c>
      <c r="G51" s="51" t="n">
        <v>26</v>
      </c>
      <c r="H51" s="52" t="n">
        <v>45798.7045023148</v>
      </c>
      <c r="I51" s="7" t="n">
        <v>1</v>
      </c>
      <c r="J51" s="7" t="n">
        <v>50</v>
      </c>
      <c r="K51" s="7" t="n">
        <v>1</v>
      </c>
      <c r="L51" s="7" t="n">
        <v>7</v>
      </c>
    </row>
    <row r="52" customFormat="false" ht="14.25" hidden="false" customHeight="false" outlineLevel="0" collapsed="false">
      <c r="A52" s="7" t="n">
        <v>83</v>
      </c>
      <c r="B52" s="7" t="s">
        <v>131</v>
      </c>
      <c r="C52" s="7" t="s">
        <v>132</v>
      </c>
      <c r="D52" s="7" t="n">
        <v>91001</v>
      </c>
      <c r="E52" s="51" t="n">
        <v>200025888863</v>
      </c>
      <c r="F52" s="51" t="s">
        <v>105</v>
      </c>
      <c r="G52" s="51" t="n">
        <v>26</v>
      </c>
      <c r="H52" s="52" t="n">
        <v>45798.7048726852</v>
      </c>
      <c r="I52" s="7" t="n">
        <v>0</v>
      </c>
      <c r="J52" s="7" t="n">
        <v>51</v>
      </c>
      <c r="K52" s="7" t="n">
        <v>2</v>
      </c>
      <c r="L52" s="7" t="n">
        <v>7</v>
      </c>
    </row>
    <row r="53" customFormat="false" ht="14.25" hidden="false" customHeight="false" outlineLevel="0" collapsed="false">
      <c r="A53" s="7" t="n">
        <v>84</v>
      </c>
      <c r="B53" s="7" t="s">
        <v>131</v>
      </c>
      <c r="C53" s="7" t="s">
        <v>132</v>
      </c>
      <c r="D53" s="7" t="n">
        <v>91001</v>
      </c>
      <c r="E53" s="51" t="n">
        <v>200025888863</v>
      </c>
      <c r="F53" s="51" t="s">
        <v>105</v>
      </c>
      <c r="G53" s="51" t="n">
        <v>26</v>
      </c>
      <c r="H53" s="52" t="n">
        <v>45798.7048726852</v>
      </c>
      <c r="I53" s="7" t="n">
        <v>1</v>
      </c>
      <c r="J53" s="7" t="n">
        <v>52</v>
      </c>
      <c r="K53" s="7" t="n">
        <v>3</v>
      </c>
      <c r="L53" s="7" t="n">
        <v>7</v>
      </c>
    </row>
    <row r="54" customFormat="false" ht="14.25" hidden="false" customHeight="false" outlineLevel="0" collapsed="false">
      <c r="A54" s="7" t="n">
        <v>85</v>
      </c>
      <c r="B54" s="7" t="s">
        <v>131</v>
      </c>
      <c r="C54" s="7" t="s">
        <v>132</v>
      </c>
      <c r="D54" s="7" t="n">
        <v>91001</v>
      </c>
      <c r="E54" s="51" t="n">
        <v>200025888863</v>
      </c>
      <c r="F54" s="51" t="s">
        <v>105</v>
      </c>
      <c r="G54" s="51" t="n">
        <v>26</v>
      </c>
      <c r="H54" s="52" t="n">
        <v>45798.7048842593</v>
      </c>
      <c r="I54" s="7" t="n">
        <v>13</v>
      </c>
      <c r="J54" s="7" t="n">
        <v>53</v>
      </c>
      <c r="K54" s="7" t="n">
        <v>4</v>
      </c>
      <c r="L54" s="7" t="n">
        <v>7</v>
      </c>
    </row>
    <row r="55" customFormat="false" ht="14.25" hidden="false" customHeight="false" outlineLevel="0" collapsed="false">
      <c r="A55" s="7" t="n">
        <v>86</v>
      </c>
      <c r="B55" s="7" t="s">
        <v>131</v>
      </c>
      <c r="C55" s="7" t="s">
        <v>132</v>
      </c>
      <c r="D55" s="7" t="n">
        <v>91001</v>
      </c>
      <c r="E55" s="51" t="n">
        <v>200025888163</v>
      </c>
      <c r="F55" s="51" t="s">
        <v>70</v>
      </c>
      <c r="G55" s="51" t="n">
        <v>2</v>
      </c>
      <c r="H55" s="52" t="n">
        <v>45798.7156365741</v>
      </c>
      <c r="I55" s="7" t="n">
        <v>0</v>
      </c>
      <c r="J55" s="7" t="n">
        <v>54</v>
      </c>
      <c r="K55" s="7" t="n">
        <v>1</v>
      </c>
      <c r="L55" s="7" t="n">
        <v>8</v>
      </c>
    </row>
    <row r="56" customFormat="false" ht="14.25" hidden="false" customHeight="false" outlineLevel="0" collapsed="false">
      <c r="A56" s="7" t="n">
        <v>87</v>
      </c>
      <c r="B56" s="7" t="s">
        <v>131</v>
      </c>
      <c r="C56" s="7" t="s">
        <v>132</v>
      </c>
      <c r="D56" s="7" t="n">
        <v>91001</v>
      </c>
      <c r="E56" s="51" t="n">
        <v>200025888163</v>
      </c>
      <c r="F56" s="51" t="s">
        <v>70</v>
      </c>
      <c r="G56" s="51" t="n">
        <v>2</v>
      </c>
      <c r="H56" s="52" t="n">
        <v>45798.7156365741</v>
      </c>
      <c r="I56" s="7" t="n">
        <v>2</v>
      </c>
      <c r="J56" s="7" t="n">
        <v>55</v>
      </c>
      <c r="K56" s="7" t="n">
        <v>2</v>
      </c>
      <c r="L56" s="7" t="n">
        <v>8</v>
      </c>
    </row>
    <row r="57" customFormat="false" ht="14.25" hidden="false" customHeight="false" outlineLevel="0" collapsed="false">
      <c r="A57" s="7" t="n">
        <v>88</v>
      </c>
      <c r="B57" s="7" t="s">
        <v>131</v>
      </c>
      <c r="C57" s="7" t="s">
        <v>132</v>
      </c>
      <c r="D57" s="7" t="n">
        <v>91001</v>
      </c>
      <c r="E57" s="51" t="n">
        <v>200025888163</v>
      </c>
      <c r="F57" s="51" t="s">
        <v>70</v>
      </c>
      <c r="G57" s="51" t="n">
        <v>2</v>
      </c>
      <c r="H57" s="52" t="n">
        <v>45798.7161342593</v>
      </c>
      <c r="I57" s="7" t="n">
        <v>1</v>
      </c>
      <c r="J57" s="7" t="n">
        <v>56</v>
      </c>
      <c r="K57" s="7" t="n">
        <v>3</v>
      </c>
      <c r="L57" s="7" t="n">
        <v>8</v>
      </c>
    </row>
    <row r="58" customFormat="false" ht="14.25" hidden="false" customHeight="false" outlineLevel="0" collapsed="false">
      <c r="A58" s="7" t="n">
        <v>89</v>
      </c>
      <c r="B58" s="7" t="s">
        <v>131</v>
      </c>
      <c r="C58" s="7" t="s">
        <v>132</v>
      </c>
      <c r="D58" s="7" t="n">
        <v>91001</v>
      </c>
      <c r="E58" s="51" t="n">
        <v>200025888163</v>
      </c>
      <c r="F58" s="51" t="s">
        <v>70</v>
      </c>
      <c r="G58" s="51" t="n">
        <v>2</v>
      </c>
      <c r="H58" s="52" t="n">
        <v>45798.7161574074</v>
      </c>
      <c r="I58" s="7" t="n">
        <v>22</v>
      </c>
      <c r="J58" s="7" t="n">
        <v>57</v>
      </c>
      <c r="K58" s="7" t="n">
        <v>4</v>
      </c>
      <c r="L58" s="7" t="n">
        <v>8</v>
      </c>
    </row>
    <row r="59" customFormat="false" ht="14.25" hidden="false" customHeight="false" outlineLevel="0" collapsed="false">
      <c r="A59" s="7" t="n">
        <v>90</v>
      </c>
      <c r="B59" s="7" t="s">
        <v>131</v>
      </c>
      <c r="C59" s="7" t="s">
        <v>132</v>
      </c>
      <c r="D59" s="7" t="n">
        <v>91001</v>
      </c>
      <c r="E59" s="51" t="n">
        <v>200025888163</v>
      </c>
      <c r="F59" s="51" t="s">
        <v>70</v>
      </c>
      <c r="G59" s="51" t="n">
        <v>2</v>
      </c>
      <c r="H59" s="52" t="n">
        <v>45798.716412037</v>
      </c>
      <c r="I59" s="7" t="n">
        <v>0</v>
      </c>
      <c r="J59" s="7" t="n">
        <v>58</v>
      </c>
      <c r="K59" s="7" t="n">
        <v>5</v>
      </c>
      <c r="L59" s="7" t="n">
        <v>8</v>
      </c>
    </row>
    <row r="60" customFormat="false" ht="14.25" hidden="false" customHeight="false" outlineLevel="0" collapsed="false">
      <c r="A60" s="7" t="n">
        <v>91</v>
      </c>
      <c r="B60" s="7" t="s">
        <v>131</v>
      </c>
      <c r="C60" s="7" t="s">
        <v>132</v>
      </c>
      <c r="D60" s="7" t="n">
        <v>91001</v>
      </c>
      <c r="E60" s="51" t="n">
        <v>200025888163</v>
      </c>
      <c r="F60" s="51" t="s">
        <v>70</v>
      </c>
      <c r="G60" s="51" t="n">
        <v>2</v>
      </c>
      <c r="H60" s="52" t="n">
        <v>45798.7164236111</v>
      </c>
      <c r="I60" s="7" t="n">
        <v>1</v>
      </c>
      <c r="J60" s="7" t="n">
        <v>59</v>
      </c>
      <c r="K60" s="7" t="n">
        <v>6</v>
      </c>
      <c r="L60" s="7" t="n">
        <v>8</v>
      </c>
    </row>
    <row r="61" customFormat="false" ht="14.25" hidden="false" customHeight="false" outlineLevel="0" collapsed="false">
      <c r="A61" s="7" t="n">
        <v>92</v>
      </c>
      <c r="B61" s="7" t="s">
        <v>131</v>
      </c>
      <c r="C61" s="7" t="s">
        <v>132</v>
      </c>
      <c r="D61" s="7" t="n">
        <v>91001</v>
      </c>
      <c r="E61" s="51" t="n">
        <v>200025888740</v>
      </c>
      <c r="F61" s="51" t="s">
        <v>109</v>
      </c>
      <c r="G61" s="51" t="n">
        <v>50</v>
      </c>
      <c r="H61" s="52" t="n">
        <v>45798.7252430556</v>
      </c>
      <c r="I61" s="7" t="n">
        <v>0</v>
      </c>
      <c r="J61" s="7" t="n">
        <v>60</v>
      </c>
      <c r="K61" s="7" t="n">
        <v>1</v>
      </c>
      <c r="L61" s="7" t="n">
        <v>9</v>
      </c>
    </row>
    <row r="62" customFormat="false" ht="14.25" hidden="false" customHeight="false" outlineLevel="0" collapsed="false">
      <c r="A62" s="7" t="n">
        <v>93</v>
      </c>
      <c r="B62" s="7" t="s">
        <v>131</v>
      </c>
      <c r="C62" s="7" t="s">
        <v>132</v>
      </c>
      <c r="D62" s="7" t="n">
        <v>91001</v>
      </c>
      <c r="E62" s="51" t="n">
        <v>200025888163</v>
      </c>
      <c r="F62" s="51" t="s">
        <v>70</v>
      </c>
      <c r="G62" s="51" t="n">
        <v>2</v>
      </c>
      <c r="H62" s="52" t="n">
        <v>45798.7272106482</v>
      </c>
      <c r="I62" s="7" t="n">
        <v>1</v>
      </c>
      <c r="J62" s="7" t="n">
        <v>61</v>
      </c>
      <c r="K62" s="7" t="n">
        <v>7</v>
      </c>
      <c r="L62" s="7" t="n">
        <v>8</v>
      </c>
    </row>
    <row r="63" customFormat="false" ht="14.25" hidden="false" customHeight="false" outlineLevel="0" collapsed="false">
      <c r="A63" s="1" t="n">
        <v>94</v>
      </c>
      <c r="B63" s="7" t="s">
        <v>131</v>
      </c>
      <c r="C63" s="7" t="s">
        <v>132</v>
      </c>
      <c r="D63" s="7" t="n">
        <v>91001</v>
      </c>
      <c r="E63" s="51" t="n">
        <v>200025888982</v>
      </c>
      <c r="F63" s="51" t="s">
        <v>77</v>
      </c>
      <c r="G63" s="51" t="n">
        <v>6</v>
      </c>
      <c r="H63" s="52" t="n">
        <v>45798.7506712963</v>
      </c>
      <c r="I63" s="7" t="n">
        <v>0</v>
      </c>
      <c r="J63" s="7" t="n">
        <v>62</v>
      </c>
      <c r="K63" s="7" t="n">
        <v>2</v>
      </c>
      <c r="L63" s="7" t="n">
        <v>1</v>
      </c>
    </row>
    <row r="64" customFormat="false" ht="14.25" hidden="false" customHeight="false" outlineLevel="0" collapsed="false">
      <c r="A64" s="1" t="n">
        <v>95</v>
      </c>
      <c r="B64" s="7" t="s">
        <v>131</v>
      </c>
      <c r="C64" s="7" t="s">
        <v>132</v>
      </c>
      <c r="D64" s="7" t="n">
        <v>91001</v>
      </c>
      <c r="E64" s="51" t="n">
        <v>200025888982</v>
      </c>
      <c r="F64" s="51" t="s">
        <v>77</v>
      </c>
      <c r="G64" s="51" t="n">
        <v>6</v>
      </c>
      <c r="H64" s="52" t="n">
        <v>45798.7506828704</v>
      </c>
      <c r="I64" s="7" t="n">
        <v>0</v>
      </c>
      <c r="J64" s="7" t="n">
        <v>63</v>
      </c>
      <c r="K64" s="7" t="n">
        <v>3</v>
      </c>
      <c r="L64" s="7" t="n">
        <v>1</v>
      </c>
    </row>
    <row r="65" customFormat="false" ht="14.25" hidden="false" customHeight="false" outlineLevel="0" collapsed="false">
      <c r="A65" s="7" t="n">
        <v>96</v>
      </c>
      <c r="B65" s="7" t="s">
        <v>131</v>
      </c>
      <c r="C65" s="7" t="s">
        <v>132</v>
      </c>
      <c r="D65" s="7" t="n">
        <v>91001</v>
      </c>
      <c r="E65" s="51" t="n">
        <v>200025888717</v>
      </c>
      <c r="F65" s="51" t="s">
        <v>107</v>
      </c>
      <c r="G65" s="51" t="n">
        <v>48</v>
      </c>
      <c r="H65" s="52" t="n">
        <v>45798.7746990741</v>
      </c>
      <c r="I65" s="7" t="n">
        <v>1</v>
      </c>
      <c r="J65" s="7" t="n">
        <v>64</v>
      </c>
      <c r="K65" s="7" t="n">
        <v>1</v>
      </c>
      <c r="L65" s="7" t="n">
        <v>10</v>
      </c>
    </row>
    <row r="66" customFormat="false" ht="14.25" hidden="false" customHeight="false" outlineLevel="0" collapsed="false">
      <c r="A66" s="7" t="n">
        <v>97</v>
      </c>
      <c r="B66" s="7" t="s">
        <v>131</v>
      </c>
      <c r="C66" s="7" t="s">
        <v>132</v>
      </c>
      <c r="D66" s="7" t="n">
        <v>91001</v>
      </c>
      <c r="E66" s="51" t="n">
        <v>200025888717</v>
      </c>
      <c r="F66" s="51" t="s">
        <v>107</v>
      </c>
      <c r="G66" s="51" t="n">
        <v>48</v>
      </c>
      <c r="H66" s="52" t="n">
        <v>45798.7747222222</v>
      </c>
      <c r="I66" s="7" t="n">
        <v>0</v>
      </c>
      <c r="J66" s="7" t="n">
        <v>65</v>
      </c>
      <c r="K66" s="7" t="n">
        <v>2</v>
      </c>
      <c r="L66" s="7" t="n">
        <v>10</v>
      </c>
    </row>
    <row r="67" customFormat="false" ht="14.25" hidden="false" customHeight="false" outlineLevel="0" collapsed="false">
      <c r="A67" s="7" t="n">
        <v>98</v>
      </c>
      <c r="B67" s="7" t="s">
        <v>131</v>
      </c>
      <c r="C67" s="7" t="s">
        <v>132</v>
      </c>
      <c r="D67" s="7" t="n">
        <v>91001</v>
      </c>
      <c r="E67" s="51" t="n">
        <v>200025888654</v>
      </c>
      <c r="F67" s="51" t="s">
        <v>67</v>
      </c>
      <c r="G67" s="51" t="n">
        <v>1</v>
      </c>
      <c r="H67" s="52" t="n">
        <v>45798.7984375</v>
      </c>
      <c r="I67" s="7" t="n">
        <v>0</v>
      </c>
      <c r="J67" s="7" t="n">
        <v>66</v>
      </c>
      <c r="K67" s="7" t="n">
        <v>10</v>
      </c>
      <c r="L67" s="7" t="n">
        <v>6</v>
      </c>
    </row>
    <row r="68" customFormat="false" ht="14.25" hidden="false" customHeight="false" outlineLevel="0" collapsed="false">
      <c r="A68" s="7" t="n">
        <v>99</v>
      </c>
      <c r="B68" s="7" t="s">
        <v>131</v>
      </c>
      <c r="C68" s="7" t="s">
        <v>132</v>
      </c>
      <c r="D68" s="7" t="n">
        <v>91001</v>
      </c>
      <c r="E68" s="51" t="n">
        <v>200025888654</v>
      </c>
      <c r="F68" s="51" t="s">
        <v>67</v>
      </c>
      <c r="G68" s="51" t="n">
        <v>1</v>
      </c>
      <c r="H68" s="52" t="n">
        <v>45798.7985648148</v>
      </c>
      <c r="I68" s="7" t="n">
        <v>1</v>
      </c>
      <c r="J68" s="7" t="n">
        <v>67</v>
      </c>
      <c r="K68" s="7" t="n">
        <v>11</v>
      </c>
      <c r="L68" s="7" t="n">
        <v>6</v>
      </c>
    </row>
    <row r="69" customFormat="false" ht="14.25" hidden="false" customHeight="false" outlineLevel="0" collapsed="false">
      <c r="A69" s="7" t="n">
        <v>100</v>
      </c>
      <c r="B69" s="7" t="s">
        <v>131</v>
      </c>
      <c r="C69" s="7" t="s">
        <v>132</v>
      </c>
      <c r="D69" s="7" t="n">
        <v>91001</v>
      </c>
      <c r="E69" s="51" t="n">
        <v>200025888654</v>
      </c>
      <c r="F69" s="51" t="s">
        <v>67</v>
      </c>
      <c r="G69" s="51" t="n">
        <v>1</v>
      </c>
      <c r="H69" s="52" t="n">
        <v>45798.8001736111</v>
      </c>
      <c r="I69" s="7" t="n">
        <v>1</v>
      </c>
      <c r="J69" s="7" t="n">
        <v>68</v>
      </c>
      <c r="K69" s="7" t="n">
        <v>12</v>
      </c>
      <c r="L69" s="7" t="n">
        <v>6</v>
      </c>
    </row>
    <row r="70" customFormat="false" ht="14.25" hidden="false" customHeight="false" outlineLevel="0" collapsed="false">
      <c r="A70" s="7" t="n">
        <v>101</v>
      </c>
      <c r="B70" s="7" t="s">
        <v>131</v>
      </c>
      <c r="C70" s="7" t="s">
        <v>132</v>
      </c>
      <c r="D70" s="7" t="n">
        <v>91001</v>
      </c>
      <c r="E70" s="51" t="n">
        <v>200025888654</v>
      </c>
      <c r="F70" s="51" t="s">
        <v>67</v>
      </c>
      <c r="G70" s="51" t="n">
        <v>1</v>
      </c>
      <c r="H70" s="52" t="n">
        <v>45798.8003819444</v>
      </c>
      <c r="I70" s="7" t="n">
        <v>0</v>
      </c>
      <c r="J70" s="7" t="n">
        <v>69</v>
      </c>
      <c r="K70" s="7" t="n">
        <v>13</v>
      </c>
      <c r="L70" s="7" t="n">
        <v>6</v>
      </c>
    </row>
    <row r="71" customFormat="false" ht="14.25" hidden="false" customHeight="false" outlineLevel="0" collapsed="false">
      <c r="A71" s="7" t="n">
        <v>102</v>
      </c>
      <c r="B71" s="7" t="s">
        <v>131</v>
      </c>
      <c r="C71" s="7" t="s">
        <v>132</v>
      </c>
      <c r="D71" s="7" t="n">
        <v>91001</v>
      </c>
      <c r="E71" s="51" t="n">
        <v>200025888654</v>
      </c>
      <c r="F71" s="51" t="s">
        <v>67</v>
      </c>
      <c r="G71" s="51" t="n">
        <v>1</v>
      </c>
      <c r="H71" s="52" t="n">
        <v>45798.8003819444</v>
      </c>
      <c r="I71" s="7" t="n">
        <v>1</v>
      </c>
      <c r="J71" s="7" t="n">
        <v>70</v>
      </c>
      <c r="K71" s="7" t="n">
        <v>14</v>
      </c>
      <c r="L71" s="7" t="n">
        <v>6</v>
      </c>
    </row>
    <row r="72" customFormat="false" ht="14.25" hidden="false" customHeight="false" outlineLevel="0" collapsed="false">
      <c r="A72" s="1" t="n">
        <v>103</v>
      </c>
      <c r="B72" s="7" t="s">
        <v>131</v>
      </c>
      <c r="C72" s="7" t="s">
        <v>132</v>
      </c>
      <c r="D72" s="7" t="n">
        <v>91001</v>
      </c>
      <c r="E72" s="51" t="n">
        <v>200025888982</v>
      </c>
      <c r="F72" s="51" t="s">
        <v>77</v>
      </c>
      <c r="G72" s="51" t="n">
        <v>6</v>
      </c>
      <c r="H72" s="52" t="n">
        <v>45798.8075</v>
      </c>
      <c r="I72" s="7" t="n">
        <v>2</v>
      </c>
      <c r="J72" s="7" t="n">
        <v>71</v>
      </c>
      <c r="K72" s="7" t="n">
        <v>4</v>
      </c>
      <c r="L72" s="7" t="n">
        <v>1</v>
      </c>
    </row>
    <row r="73" customFormat="false" ht="14.25" hidden="false" customHeight="false" outlineLevel="0" collapsed="false">
      <c r="A73" s="1" t="n">
        <v>104</v>
      </c>
      <c r="B73" s="7" t="s">
        <v>131</v>
      </c>
      <c r="C73" s="7" t="s">
        <v>132</v>
      </c>
      <c r="D73" s="7" t="n">
        <v>91001</v>
      </c>
      <c r="E73" s="51" t="n">
        <v>200025888982</v>
      </c>
      <c r="F73" s="51" t="s">
        <v>77</v>
      </c>
      <c r="G73" s="51" t="n">
        <v>6</v>
      </c>
      <c r="H73" s="52" t="n">
        <v>45798.807650463</v>
      </c>
      <c r="I73" s="7" t="n">
        <v>2</v>
      </c>
      <c r="J73" s="7" t="n">
        <v>72</v>
      </c>
      <c r="K73" s="7" t="n">
        <v>5</v>
      </c>
      <c r="L73" s="7" t="n">
        <v>1</v>
      </c>
    </row>
    <row r="74" customFormat="false" ht="14.25" hidden="false" customHeight="false" outlineLevel="0" collapsed="false">
      <c r="A74" s="7" t="n">
        <v>105</v>
      </c>
      <c r="B74" s="7" t="s">
        <v>131</v>
      </c>
      <c r="C74" s="7" t="s">
        <v>132</v>
      </c>
      <c r="D74" s="7" t="n">
        <v>91001</v>
      </c>
      <c r="E74" s="51" t="n">
        <v>200025888824</v>
      </c>
      <c r="F74" s="51" t="s">
        <v>112</v>
      </c>
      <c r="G74" s="51" t="n">
        <v>32</v>
      </c>
      <c r="H74" s="52" t="n">
        <v>45798.8087847222</v>
      </c>
      <c r="I74" s="7" t="n">
        <v>0</v>
      </c>
      <c r="J74" s="7" t="n">
        <v>73</v>
      </c>
      <c r="K74" s="7" t="n">
        <v>6</v>
      </c>
      <c r="L74" s="7" t="n">
        <v>4</v>
      </c>
    </row>
    <row r="75" customFormat="false" ht="14.25" hidden="false" customHeight="false" outlineLevel="0" collapsed="false">
      <c r="A75" s="7" t="n">
        <v>106</v>
      </c>
      <c r="B75" s="7" t="s">
        <v>131</v>
      </c>
      <c r="C75" s="7" t="s">
        <v>132</v>
      </c>
      <c r="D75" s="7" t="n">
        <v>91001</v>
      </c>
      <c r="E75" s="51" t="n">
        <v>200025888824</v>
      </c>
      <c r="F75" s="51" t="s">
        <v>112</v>
      </c>
      <c r="G75" s="51" t="n">
        <v>32</v>
      </c>
      <c r="H75" s="52" t="n">
        <v>45798.8087962963</v>
      </c>
      <c r="I75" s="7" t="n">
        <v>0</v>
      </c>
      <c r="J75" s="7" t="n">
        <v>74</v>
      </c>
      <c r="K75" s="7" t="n">
        <v>7</v>
      </c>
      <c r="L75" s="7" t="n">
        <v>4</v>
      </c>
    </row>
    <row r="76" customFormat="false" ht="14.25" hidden="false" customHeight="false" outlineLevel="0" collapsed="false">
      <c r="A76" s="7" t="n">
        <v>107</v>
      </c>
      <c r="B76" s="7" t="s">
        <v>131</v>
      </c>
      <c r="C76" s="7" t="s">
        <v>132</v>
      </c>
      <c r="D76" s="7" t="n">
        <v>91001</v>
      </c>
      <c r="E76" s="51" t="n">
        <v>200025888824</v>
      </c>
      <c r="F76" s="51" t="s">
        <v>112</v>
      </c>
      <c r="G76" s="51" t="n">
        <v>32</v>
      </c>
      <c r="H76" s="52" t="n">
        <v>45798.809375</v>
      </c>
      <c r="I76" s="7" t="n">
        <v>2</v>
      </c>
      <c r="J76" s="7" t="n">
        <v>75</v>
      </c>
      <c r="K76" s="7" t="n">
        <v>8</v>
      </c>
      <c r="L76" s="7" t="n">
        <v>4</v>
      </c>
    </row>
    <row r="77" customFormat="false" ht="14.25" hidden="false" customHeight="false" outlineLevel="0" collapsed="false">
      <c r="A77" s="7" t="n">
        <v>108</v>
      </c>
      <c r="B77" s="7" t="s">
        <v>131</v>
      </c>
      <c r="C77" s="7" t="s">
        <v>132</v>
      </c>
      <c r="D77" s="7" t="n">
        <v>91001</v>
      </c>
      <c r="E77" s="51" t="n">
        <v>200025888839</v>
      </c>
      <c r="F77" s="51" t="s">
        <v>94</v>
      </c>
      <c r="G77" s="51" t="n">
        <v>16</v>
      </c>
      <c r="H77" s="52" t="n">
        <v>45798.8103240741</v>
      </c>
      <c r="I77" s="7" t="n">
        <v>0</v>
      </c>
      <c r="J77" s="7" t="n">
        <v>76</v>
      </c>
      <c r="K77" s="7" t="n">
        <v>1</v>
      </c>
      <c r="L77" s="7" t="n">
        <v>11</v>
      </c>
    </row>
    <row r="78" customFormat="false" ht="14.25" hidden="false" customHeight="false" outlineLevel="0" collapsed="false">
      <c r="A78" s="7" t="n">
        <v>109</v>
      </c>
      <c r="B78" s="7" t="s">
        <v>131</v>
      </c>
      <c r="C78" s="7" t="s">
        <v>132</v>
      </c>
      <c r="D78" s="7" t="n">
        <v>91001</v>
      </c>
      <c r="E78" s="51" t="n">
        <v>200025888839</v>
      </c>
      <c r="F78" s="51" t="s">
        <v>94</v>
      </c>
      <c r="G78" s="51" t="n">
        <v>16</v>
      </c>
      <c r="H78" s="52" t="n">
        <v>45798.8103240741</v>
      </c>
      <c r="I78" s="7" t="n">
        <v>0</v>
      </c>
      <c r="J78" s="7" t="n">
        <v>77</v>
      </c>
      <c r="K78" s="7" t="n">
        <v>2</v>
      </c>
      <c r="L78" s="7" t="n">
        <v>11</v>
      </c>
    </row>
    <row r="79" customFormat="false" ht="14.25" hidden="false" customHeight="false" outlineLevel="0" collapsed="false">
      <c r="A79" s="7" t="n">
        <v>110</v>
      </c>
      <c r="B79" s="7" t="s">
        <v>131</v>
      </c>
      <c r="C79" s="7" t="s">
        <v>132</v>
      </c>
      <c r="D79" s="7" t="n">
        <v>91001</v>
      </c>
      <c r="E79" s="51" t="n">
        <v>200025888839</v>
      </c>
      <c r="F79" s="51" t="s">
        <v>94</v>
      </c>
      <c r="G79" s="51" t="n">
        <v>16</v>
      </c>
      <c r="H79" s="52" t="n">
        <v>45798.8103356482</v>
      </c>
      <c r="I79" s="7" t="n">
        <v>0</v>
      </c>
      <c r="J79" s="7" t="n">
        <v>78</v>
      </c>
      <c r="K79" s="7" t="n">
        <v>3</v>
      </c>
      <c r="L79" s="7" t="n">
        <v>11</v>
      </c>
    </row>
    <row r="80" customFormat="false" ht="14.25" hidden="false" customHeight="false" outlineLevel="0" collapsed="false">
      <c r="A80" s="7" t="n">
        <v>111</v>
      </c>
      <c r="B80" s="7" t="s">
        <v>131</v>
      </c>
      <c r="C80" s="7" t="s">
        <v>132</v>
      </c>
      <c r="D80" s="7" t="n">
        <v>91001</v>
      </c>
      <c r="E80" s="51" t="n">
        <v>200025888824</v>
      </c>
      <c r="F80" s="51" t="s">
        <v>112</v>
      </c>
      <c r="G80" s="51" t="n">
        <v>32</v>
      </c>
      <c r="H80" s="52" t="n">
        <v>45798.8449884259</v>
      </c>
      <c r="I80" s="7" t="n">
        <v>1</v>
      </c>
      <c r="J80" s="7" t="n">
        <v>79</v>
      </c>
      <c r="K80" s="7" t="n">
        <v>9</v>
      </c>
      <c r="L80" s="7" t="n">
        <v>4</v>
      </c>
    </row>
    <row r="81" customFormat="false" ht="14.25" hidden="false" customHeight="false" outlineLevel="0" collapsed="false">
      <c r="A81" s="7" t="n">
        <v>112</v>
      </c>
      <c r="B81" s="7" t="s">
        <v>131</v>
      </c>
      <c r="C81" s="7" t="s">
        <v>132</v>
      </c>
      <c r="D81" s="7" t="n">
        <v>91001</v>
      </c>
      <c r="E81" s="51" t="n">
        <v>200025888824</v>
      </c>
      <c r="F81" s="51" t="s">
        <v>112</v>
      </c>
      <c r="G81" s="51" t="n">
        <v>32</v>
      </c>
      <c r="H81" s="52" t="n">
        <v>45798.8451157407</v>
      </c>
      <c r="I81" s="7" t="n">
        <v>0</v>
      </c>
      <c r="J81" s="7" t="n">
        <v>80</v>
      </c>
      <c r="K81" s="7" t="n">
        <v>10</v>
      </c>
      <c r="L81" s="7" t="n">
        <v>4</v>
      </c>
    </row>
    <row r="82" customFormat="false" ht="14.25" hidden="false" customHeight="false" outlineLevel="0" collapsed="false">
      <c r="A82" s="7" t="n">
        <v>113</v>
      </c>
      <c r="B82" s="7" t="s">
        <v>131</v>
      </c>
      <c r="C82" s="7" t="s">
        <v>132</v>
      </c>
      <c r="D82" s="7" t="n">
        <v>91001</v>
      </c>
      <c r="E82" s="51" t="n">
        <v>200025888824</v>
      </c>
      <c r="F82" s="51" t="s">
        <v>112</v>
      </c>
      <c r="G82" s="51" t="n">
        <v>32</v>
      </c>
      <c r="H82" s="52" t="n">
        <v>45798.8452662037</v>
      </c>
      <c r="I82" s="7" t="n">
        <v>0</v>
      </c>
      <c r="J82" s="7" t="n">
        <v>81</v>
      </c>
      <c r="K82" s="7" t="n">
        <v>11</v>
      </c>
      <c r="L82" s="7" t="n">
        <v>4</v>
      </c>
    </row>
    <row r="83" customFormat="false" ht="14.25" hidden="false" customHeight="false" outlineLevel="0" collapsed="false">
      <c r="A83" s="7" t="n">
        <v>114</v>
      </c>
      <c r="B83" s="7" t="s">
        <v>131</v>
      </c>
      <c r="C83" s="7" t="s">
        <v>132</v>
      </c>
      <c r="D83" s="7" t="n">
        <v>91001</v>
      </c>
      <c r="E83" s="51" t="n">
        <v>200025888863</v>
      </c>
      <c r="F83" s="51" t="s">
        <v>105</v>
      </c>
      <c r="G83" s="51" t="n">
        <v>26</v>
      </c>
      <c r="H83" s="52" t="n">
        <v>45798.8666087963</v>
      </c>
      <c r="I83" s="7" t="n">
        <v>18</v>
      </c>
      <c r="J83" s="7" t="n">
        <v>82</v>
      </c>
      <c r="K83" s="7" t="n">
        <v>5</v>
      </c>
      <c r="L83" s="7" t="n">
        <v>7</v>
      </c>
    </row>
    <row r="84" customFormat="false" ht="14.25" hidden="false" customHeight="false" outlineLevel="0" collapsed="false">
      <c r="A84" s="7" t="n">
        <v>115</v>
      </c>
      <c r="B84" s="7" t="s">
        <v>131</v>
      </c>
      <c r="C84" s="7" t="s">
        <v>132</v>
      </c>
      <c r="D84" s="7" t="n">
        <v>91001</v>
      </c>
      <c r="E84" s="51" t="n">
        <v>200025888863</v>
      </c>
      <c r="F84" s="51" t="s">
        <v>105</v>
      </c>
      <c r="G84" s="51" t="n">
        <v>26</v>
      </c>
      <c r="H84" s="52" t="n">
        <v>45798.8669791667</v>
      </c>
      <c r="I84" s="7" t="n">
        <v>2</v>
      </c>
      <c r="J84" s="7" t="n">
        <v>83</v>
      </c>
      <c r="K84" s="7" t="n">
        <v>6</v>
      </c>
      <c r="L84" s="7" t="n">
        <v>7</v>
      </c>
    </row>
    <row r="85" customFormat="false" ht="14.25" hidden="false" customHeight="false" outlineLevel="0" collapsed="false">
      <c r="A85" s="7" t="n">
        <v>116</v>
      </c>
      <c r="B85" s="7" t="s">
        <v>131</v>
      </c>
      <c r="C85" s="7" t="s">
        <v>132</v>
      </c>
      <c r="D85" s="7" t="n">
        <v>91001</v>
      </c>
      <c r="E85" s="51" t="n">
        <v>200025888863</v>
      </c>
      <c r="F85" s="51" t="s">
        <v>105</v>
      </c>
      <c r="G85" s="51" t="n">
        <v>26</v>
      </c>
      <c r="H85" s="52" t="n">
        <v>45798.8686111111</v>
      </c>
      <c r="I85" s="7" t="n">
        <v>1</v>
      </c>
      <c r="J85" s="7" t="n">
        <v>84</v>
      </c>
      <c r="K85" s="7" t="n">
        <v>7</v>
      </c>
      <c r="L85" s="7" t="n">
        <v>7</v>
      </c>
    </row>
    <row r="86" customFormat="false" ht="14.25" hidden="false" customHeight="false" outlineLevel="0" collapsed="false">
      <c r="A86" s="7" t="n">
        <v>117</v>
      </c>
      <c r="B86" s="7" t="s">
        <v>131</v>
      </c>
      <c r="C86" s="7" t="s">
        <v>132</v>
      </c>
      <c r="D86" s="7" t="n">
        <v>91001</v>
      </c>
      <c r="E86" s="51" t="n">
        <v>200025888717</v>
      </c>
      <c r="F86" s="51" t="s">
        <v>107</v>
      </c>
      <c r="G86" s="51" t="n">
        <v>48</v>
      </c>
      <c r="H86" s="52" t="n">
        <v>45798.8704166667</v>
      </c>
      <c r="I86" s="7" t="n">
        <v>0</v>
      </c>
      <c r="J86" s="7" t="n">
        <v>85</v>
      </c>
      <c r="K86" s="7" t="n">
        <v>3</v>
      </c>
      <c r="L86" s="7" t="n">
        <v>10</v>
      </c>
    </row>
    <row r="87" customFormat="false" ht="14.25" hidden="false" customHeight="false" outlineLevel="0" collapsed="false">
      <c r="A87" s="7" t="n">
        <v>118</v>
      </c>
      <c r="B87" s="7" t="s">
        <v>131</v>
      </c>
      <c r="C87" s="7" t="s">
        <v>132</v>
      </c>
      <c r="D87" s="7" t="n">
        <v>91001</v>
      </c>
      <c r="E87" s="51" t="n">
        <v>200025888717</v>
      </c>
      <c r="F87" s="51" t="s">
        <v>107</v>
      </c>
      <c r="G87" s="51" t="n">
        <v>48</v>
      </c>
      <c r="H87" s="52" t="n">
        <v>45798.8705439815</v>
      </c>
      <c r="I87" s="7" t="n">
        <v>0</v>
      </c>
      <c r="J87" s="7" t="n">
        <v>86</v>
      </c>
      <c r="K87" s="7" t="n">
        <v>4</v>
      </c>
      <c r="L87" s="7" t="n">
        <v>10</v>
      </c>
    </row>
    <row r="88" customFormat="false" ht="14.25" hidden="false" customHeight="false" outlineLevel="0" collapsed="false">
      <c r="A88" s="7" t="n">
        <v>119</v>
      </c>
      <c r="B88" s="7" t="s">
        <v>131</v>
      </c>
      <c r="C88" s="7" t="s">
        <v>132</v>
      </c>
      <c r="D88" s="7" t="n">
        <v>91001</v>
      </c>
      <c r="E88" s="51" t="n">
        <v>200025888824</v>
      </c>
      <c r="F88" s="51" t="s">
        <v>112</v>
      </c>
      <c r="G88" s="51" t="n">
        <v>32</v>
      </c>
      <c r="H88" s="52" t="n">
        <v>45798.8746180556</v>
      </c>
      <c r="I88" s="7" t="n">
        <v>0</v>
      </c>
      <c r="J88" s="7" t="n">
        <v>87</v>
      </c>
      <c r="K88" s="7" t="n">
        <v>12</v>
      </c>
      <c r="L88" s="7" t="n">
        <v>4</v>
      </c>
    </row>
    <row r="89" customFormat="false" ht="14.25" hidden="false" customHeight="false" outlineLevel="0" collapsed="false">
      <c r="A89" s="7" t="n">
        <v>120</v>
      </c>
      <c r="B89" s="7" t="s">
        <v>131</v>
      </c>
      <c r="C89" s="7" t="s">
        <v>132</v>
      </c>
      <c r="D89" s="7" t="n">
        <v>91001</v>
      </c>
      <c r="E89" s="51" t="n">
        <v>200025888824</v>
      </c>
      <c r="F89" s="51" t="s">
        <v>112</v>
      </c>
      <c r="G89" s="51" t="n">
        <v>32</v>
      </c>
      <c r="H89" s="52" t="n">
        <v>45798.8748958333</v>
      </c>
      <c r="I89" s="7" t="n">
        <v>0</v>
      </c>
      <c r="J89" s="7" t="n">
        <v>88</v>
      </c>
      <c r="K89" s="7" t="n">
        <v>13</v>
      </c>
      <c r="L89" s="7" t="n">
        <v>4</v>
      </c>
    </row>
    <row r="90" customFormat="false" ht="14.25" hidden="false" customHeight="false" outlineLevel="0" collapsed="false">
      <c r="A90" s="7" t="n">
        <v>121</v>
      </c>
      <c r="B90" s="7" t="s">
        <v>131</v>
      </c>
      <c r="C90" s="7" t="s">
        <v>132</v>
      </c>
      <c r="D90" s="7" t="n">
        <v>91001</v>
      </c>
      <c r="E90" s="51" t="n">
        <v>200025888824</v>
      </c>
      <c r="F90" s="51" t="s">
        <v>112</v>
      </c>
      <c r="G90" s="51" t="n">
        <v>32</v>
      </c>
      <c r="H90" s="52" t="n">
        <v>45798.875</v>
      </c>
      <c r="I90" s="7" t="n">
        <v>1</v>
      </c>
      <c r="J90" s="7" t="n">
        <v>89</v>
      </c>
      <c r="K90" s="7" t="n">
        <v>14</v>
      </c>
      <c r="L90" s="7" t="n">
        <v>4</v>
      </c>
    </row>
    <row r="91" customFormat="false" ht="14.25" hidden="false" customHeight="false" outlineLevel="0" collapsed="false">
      <c r="A91" s="7" t="n">
        <v>122</v>
      </c>
      <c r="B91" s="7" t="s">
        <v>131</v>
      </c>
      <c r="C91" s="7" t="s">
        <v>132</v>
      </c>
      <c r="D91" s="7" t="n">
        <v>91001</v>
      </c>
      <c r="E91" s="51" t="n">
        <v>200025888654</v>
      </c>
      <c r="F91" s="51" t="s">
        <v>67</v>
      </c>
      <c r="G91" s="51" t="n">
        <v>1</v>
      </c>
      <c r="H91" s="52" t="n">
        <v>45798.8762152778</v>
      </c>
      <c r="I91" s="7" t="n">
        <v>0</v>
      </c>
      <c r="J91" s="7" t="n">
        <v>90</v>
      </c>
      <c r="K91" s="7" t="n">
        <v>15</v>
      </c>
      <c r="L91" s="7" t="n">
        <v>6</v>
      </c>
    </row>
    <row r="92" customFormat="false" ht="14.25" hidden="false" customHeight="false" outlineLevel="0" collapsed="false">
      <c r="A92" s="7" t="n">
        <v>123</v>
      </c>
      <c r="B92" s="7" t="s">
        <v>131</v>
      </c>
      <c r="C92" s="7" t="s">
        <v>132</v>
      </c>
      <c r="D92" s="7" t="n">
        <v>91001</v>
      </c>
      <c r="E92" s="51" t="n">
        <v>200025888654</v>
      </c>
      <c r="F92" s="51" t="s">
        <v>67</v>
      </c>
      <c r="G92" s="51" t="n">
        <v>1</v>
      </c>
      <c r="H92" s="52" t="n">
        <v>45798.8762268519</v>
      </c>
      <c r="I92" s="7" t="n">
        <v>33</v>
      </c>
      <c r="J92" s="7" t="n">
        <v>91</v>
      </c>
      <c r="K92" s="7" t="n">
        <v>16</v>
      </c>
      <c r="L92" s="7" t="n">
        <v>6</v>
      </c>
    </row>
    <row r="93" customFormat="false" ht="14.25" hidden="false" customHeight="false" outlineLevel="0" collapsed="false">
      <c r="A93" s="7" t="n">
        <v>124</v>
      </c>
      <c r="B93" s="7" t="s">
        <v>131</v>
      </c>
      <c r="C93" s="7" t="s">
        <v>132</v>
      </c>
      <c r="D93" s="7" t="n">
        <v>91001</v>
      </c>
      <c r="E93" s="51" t="n">
        <v>200025888654</v>
      </c>
      <c r="F93" s="51" t="s">
        <v>67</v>
      </c>
      <c r="G93" s="51" t="n">
        <v>1</v>
      </c>
      <c r="H93" s="52" t="n">
        <v>45798.8773263889</v>
      </c>
      <c r="I93" s="7" t="n">
        <v>0</v>
      </c>
      <c r="J93" s="7" t="n">
        <v>92</v>
      </c>
      <c r="K93" s="7" t="n">
        <v>17</v>
      </c>
      <c r="L93" s="7" t="n">
        <v>6</v>
      </c>
    </row>
    <row r="94" customFormat="false" ht="14.25" hidden="false" customHeight="false" outlineLevel="0" collapsed="false">
      <c r="A94" s="7" t="n">
        <v>125</v>
      </c>
      <c r="B94" s="7" t="s">
        <v>131</v>
      </c>
      <c r="C94" s="7" t="s">
        <v>132</v>
      </c>
      <c r="D94" s="7" t="n">
        <v>91001</v>
      </c>
      <c r="E94" s="51" t="n">
        <v>200025888654</v>
      </c>
      <c r="F94" s="51" t="s">
        <v>67</v>
      </c>
      <c r="G94" s="51" t="n">
        <v>1</v>
      </c>
      <c r="H94" s="52" t="n">
        <v>45798.8774074074</v>
      </c>
      <c r="I94" s="7" t="n">
        <v>1</v>
      </c>
      <c r="J94" s="7" t="n">
        <v>93</v>
      </c>
      <c r="K94" s="7" t="n">
        <v>18</v>
      </c>
      <c r="L94" s="7" t="n">
        <v>6</v>
      </c>
    </row>
    <row r="95" customFormat="false" ht="14.25" hidden="false" customHeight="false" outlineLevel="0" collapsed="false">
      <c r="A95" s="7" t="n">
        <v>126</v>
      </c>
      <c r="B95" s="7" t="s">
        <v>131</v>
      </c>
      <c r="C95" s="7" t="s">
        <v>132</v>
      </c>
      <c r="D95" s="7" t="n">
        <v>91001</v>
      </c>
      <c r="E95" s="51" t="n">
        <v>200025888808</v>
      </c>
      <c r="F95" s="51" t="s">
        <v>115</v>
      </c>
      <c r="G95" s="51" t="n">
        <v>43</v>
      </c>
      <c r="H95" s="52" t="n">
        <v>45798.9019675926</v>
      </c>
      <c r="I95" s="7" t="n">
        <v>1</v>
      </c>
      <c r="J95" s="7" t="n">
        <v>94</v>
      </c>
      <c r="K95" s="7" t="n">
        <v>1</v>
      </c>
      <c r="L95" s="7" t="n">
        <v>12</v>
      </c>
    </row>
    <row r="96" customFormat="false" ht="14.25" hidden="false" customHeight="false" outlineLevel="0" collapsed="false">
      <c r="A96" s="7" t="n">
        <v>127</v>
      </c>
      <c r="B96" s="7" t="s">
        <v>131</v>
      </c>
      <c r="C96" s="7" t="s">
        <v>132</v>
      </c>
      <c r="D96" s="7" t="n">
        <v>91001</v>
      </c>
      <c r="E96" s="51" t="n">
        <v>200025888791</v>
      </c>
      <c r="F96" s="51" t="s">
        <v>79</v>
      </c>
      <c r="G96" s="51" t="n">
        <v>7</v>
      </c>
      <c r="H96" s="52" t="n">
        <v>45798.9043171296</v>
      </c>
      <c r="I96" s="7" t="n">
        <v>0</v>
      </c>
      <c r="J96" s="7" t="n">
        <v>95</v>
      </c>
      <c r="K96" s="7" t="n">
        <v>1</v>
      </c>
      <c r="L96" s="7" t="n">
        <v>13</v>
      </c>
    </row>
    <row r="97" customFormat="false" ht="14.25" hidden="false" customHeight="false" outlineLevel="0" collapsed="false">
      <c r="A97" s="7" t="n">
        <v>128</v>
      </c>
      <c r="B97" s="7" t="s">
        <v>131</v>
      </c>
      <c r="C97" s="7" t="s">
        <v>132</v>
      </c>
      <c r="D97" s="7" t="n">
        <v>91001</v>
      </c>
      <c r="E97" s="51" t="n">
        <v>200025888791</v>
      </c>
      <c r="F97" s="51" t="s">
        <v>79</v>
      </c>
      <c r="G97" s="51" t="n">
        <v>7</v>
      </c>
      <c r="H97" s="52" t="n">
        <v>45798.9043287037</v>
      </c>
      <c r="I97" s="7" t="n">
        <v>15</v>
      </c>
      <c r="J97" s="7" t="n">
        <v>96</v>
      </c>
      <c r="K97" s="7" t="n">
        <v>2</v>
      </c>
      <c r="L97" s="7" t="n">
        <v>13</v>
      </c>
    </row>
    <row r="98" customFormat="false" ht="14.25" hidden="false" customHeight="false" outlineLevel="0" collapsed="false">
      <c r="A98" s="7" t="n">
        <v>129</v>
      </c>
      <c r="B98" s="7" t="s">
        <v>131</v>
      </c>
      <c r="C98" s="7" t="s">
        <v>132</v>
      </c>
      <c r="D98" s="7" t="n">
        <v>91001</v>
      </c>
      <c r="E98" s="51" t="n">
        <v>200025888791</v>
      </c>
      <c r="F98" s="51" t="s">
        <v>79</v>
      </c>
      <c r="G98" s="51" t="n">
        <v>7</v>
      </c>
      <c r="H98" s="52" t="n">
        <v>45798.9045138889</v>
      </c>
      <c r="I98" s="7" t="n">
        <v>0</v>
      </c>
      <c r="J98" s="7" t="n">
        <v>97</v>
      </c>
      <c r="K98" s="7" t="n">
        <v>3</v>
      </c>
      <c r="L98" s="7" t="n">
        <v>13</v>
      </c>
    </row>
    <row r="99" customFormat="false" ht="14.25" hidden="false" customHeight="false" outlineLevel="0" collapsed="false">
      <c r="A99" s="7" t="n">
        <v>130</v>
      </c>
      <c r="B99" s="7" t="s">
        <v>131</v>
      </c>
      <c r="C99" s="7" t="s">
        <v>132</v>
      </c>
      <c r="D99" s="7" t="n">
        <v>91001</v>
      </c>
      <c r="E99" s="51" t="n">
        <v>200025888791</v>
      </c>
      <c r="F99" s="51" t="s">
        <v>79</v>
      </c>
      <c r="G99" s="51" t="n">
        <v>7</v>
      </c>
      <c r="H99" s="52" t="n">
        <v>45798.904525463</v>
      </c>
      <c r="I99" s="7" t="n">
        <v>24</v>
      </c>
      <c r="J99" s="7" t="n">
        <v>98</v>
      </c>
      <c r="K99" s="7" t="n">
        <v>4</v>
      </c>
      <c r="L99" s="7" t="n">
        <v>13</v>
      </c>
    </row>
    <row r="100" customFormat="false" ht="14.25" hidden="false" customHeight="false" outlineLevel="0" collapsed="false">
      <c r="A100" s="7" t="n">
        <v>131</v>
      </c>
      <c r="B100" s="7" t="s">
        <v>131</v>
      </c>
      <c r="C100" s="7" t="s">
        <v>132</v>
      </c>
      <c r="D100" s="7" t="n">
        <v>91001</v>
      </c>
      <c r="E100" s="51" t="n">
        <v>200025888791</v>
      </c>
      <c r="F100" s="51" t="s">
        <v>79</v>
      </c>
      <c r="G100" s="51" t="n">
        <v>7</v>
      </c>
      <c r="H100" s="52" t="n">
        <v>45798.9048148148</v>
      </c>
      <c r="I100" s="7" t="n">
        <v>2</v>
      </c>
      <c r="J100" s="7" t="n">
        <v>99</v>
      </c>
      <c r="K100" s="7" t="n">
        <v>5</v>
      </c>
      <c r="L100" s="7" t="n">
        <v>13</v>
      </c>
    </row>
    <row r="101" customFormat="false" ht="14.25" hidden="false" customHeight="false" outlineLevel="0" collapsed="false">
      <c r="A101" s="7" t="n">
        <v>132</v>
      </c>
      <c r="B101" s="7" t="s">
        <v>131</v>
      </c>
      <c r="C101" s="7" t="s">
        <v>132</v>
      </c>
      <c r="D101" s="7" t="n">
        <v>91001</v>
      </c>
      <c r="E101" s="51" t="n">
        <v>200025888791</v>
      </c>
      <c r="F101" s="51" t="s">
        <v>79</v>
      </c>
      <c r="G101" s="51" t="n">
        <v>7</v>
      </c>
      <c r="H101" s="52" t="n">
        <v>45798.9053356481</v>
      </c>
      <c r="I101" s="7" t="n">
        <v>158</v>
      </c>
      <c r="J101" s="7" t="n">
        <v>100</v>
      </c>
      <c r="K101" s="7" t="n">
        <v>6</v>
      </c>
      <c r="L101" s="7" t="n">
        <v>13</v>
      </c>
    </row>
    <row r="102" customFormat="false" ht="14.25" hidden="false" customHeight="false" outlineLevel="0" collapsed="false">
      <c r="A102" s="7" t="n">
        <v>133</v>
      </c>
      <c r="B102" s="7" t="s">
        <v>131</v>
      </c>
      <c r="C102" s="7" t="s">
        <v>132</v>
      </c>
      <c r="D102" s="7" t="n">
        <v>91001</v>
      </c>
      <c r="E102" s="51" t="n">
        <v>200025888863</v>
      </c>
      <c r="F102" s="51" t="s">
        <v>105</v>
      </c>
      <c r="G102" s="51" t="n">
        <v>26</v>
      </c>
      <c r="H102" s="52" t="n">
        <v>45798.9670486111</v>
      </c>
      <c r="I102" s="7" t="n">
        <v>1</v>
      </c>
      <c r="J102" s="7" t="n">
        <v>101</v>
      </c>
      <c r="K102" s="7" t="n">
        <v>8</v>
      </c>
      <c r="L102" s="7" t="n">
        <v>7</v>
      </c>
    </row>
    <row r="103" customFormat="false" ht="14.25" hidden="false" customHeight="false" outlineLevel="0" collapsed="false">
      <c r="A103" s="7" t="n">
        <v>134</v>
      </c>
      <c r="B103" s="7" t="s">
        <v>131</v>
      </c>
      <c r="C103" s="7" t="s">
        <v>132</v>
      </c>
      <c r="D103" s="7" t="n">
        <v>91001</v>
      </c>
      <c r="E103" s="51" t="n">
        <v>200025888863</v>
      </c>
      <c r="F103" s="51" t="s">
        <v>105</v>
      </c>
      <c r="G103" s="51" t="n">
        <v>26</v>
      </c>
      <c r="H103" s="52" t="n">
        <v>45798.9672800926</v>
      </c>
      <c r="I103" s="7" t="n">
        <v>2</v>
      </c>
      <c r="J103" s="7" t="n">
        <v>102</v>
      </c>
      <c r="K103" s="7" t="n">
        <v>9</v>
      </c>
      <c r="L103" s="7" t="n">
        <v>7</v>
      </c>
    </row>
    <row r="104" customFormat="false" ht="14.25" hidden="false" customHeight="false" outlineLevel="0" collapsed="false">
      <c r="A104" s="7" t="n">
        <v>135</v>
      </c>
      <c r="B104" s="7" t="s">
        <v>131</v>
      </c>
      <c r="C104" s="7" t="s">
        <v>132</v>
      </c>
      <c r="D104" s="7" t="n">
        <v>91001</v>
      </c>
      <c r="E104" s="51" t="n">
        <v>200025888863</v>
      </c>
      <c r="F104" s="51" t="s">
        <v>105</v>
      </c>
      <c r="G104" s="51" t="n">
        <v>26</v>
      </c>
      <c r="H104" s="52" t="n">
        <v>45798.9675578704</v>
      </c>
      <c r="I104" s="7" t="n">
        <v>0</v>
      </c>
      <c r="J104" s="7" t="n">
        <v>103</v>
      </c>
      <c r="K104" s="7" t="n">
        <v>10</v>
      </c>
      <c r="L104" s="7" t="n">
        <v>7</v>
      </c>
    </row>
    <row r="105" customFormat="false" ht="14.25" hidden="false" customHeight="false" outlineLevel="0" collapsed="false">
      <c r="A105" s="7" t="n">
        <v>136</v>
      </c>
      <c r="B105" s="7" t="s">
        <v>131</v>
      </c>
      <c r="C105" s="7" t="s">
        <v>132</v>
      </c>
      <c r="D105" s="7" t="n">
        <v>91001</v>
      </c>
      <c r="E105" s="51" t="n">
        <v>200025888863</v>
      </c>
      <c r="F105" s="51" t="s">
        <v>105</v>
      </c>
      <c r="G105" s="51" t="n">
        <v>26</v>
      </c>
      <c r="H105" s="52" t="n">
        <v>45798.9675578704</v>
      </c>
      <c r="I105" s="7" t="n">
        <v>2</v>
      </c>
      <c r="J105" s="7" t="n">
        <v>104</v>
      </c>
      <c r="K105" s="7" t="n">
        <v>11</v>
      </c>
      <c r="L105" s="7" t="n">
        <v>7</v>
      </c>
    </row>
    <row r="106" customFormat="false" ht="14.25" hidden="false" customHeight="false" outlineLevel="0" collapsed="false">
      <c r="A106" s="7" t="n">
        <v>137</v>
      </c>
      <c r="B106" s="7" t="s">
        <v>131</v>
      </c>
      <c r="C106" s="7" t="s">
        <v>132</v>
      </c>
      <c r="D106" s="7" t="n">
        <v>91001</v>
      </c>
      <c r="E106" s="51" t="n">
        <v>200025888863</v>
      </c>
      <c r="F106" s="51" t="s">
        <v>105</v>
      </c>
      <c r="G106" s="51" t="n">
        <v>26</v>
      </c>
      <c r="H106" s="52" t="n">
        <v>45798.9677546296</v>
      </c>
      <c r="I106" s="7" t="n">
        <v>2</v>
      </c>
      <c r="J106" s="7" t="n">
        <v>105</v>
      </c>
      <c r="K106" s="7" t="n">
        <v>12</v>
      </c>
      <c r="L106" s="7" t="n">
        <v>7</v>
      </c>
    </row>
    <row r="107" customFormat="false" ht="14.25" hidden="false" customHeight="false" outlineLevel="0" collapsed="false">
      <c r="A107" s="7" t="n">
        <v>138</v>
      </c>
      <c r="B107" s="7" t="s">
        <v>131</v>
      </c>
      <c r="C107" s="7" t="s">
        <v>132</v>
      </c>
      <c r="D107" s="7" t="n">
        <v>91001</v>
      </c>
      <c r="E107" s="51" t="n">
        <v>200025888863</v>
      </c>
      <c r="F107" s="51" t="s">
        <v>105</v>
      </c>
      <c r="G107" s="51" t="n">
        <v>26</v>
      </c>
      <c r="H107" s="52" t="n">
        <v>45798.9680439815</v>
      </c>
      <c r="I107" s="7" t="n">
        <v>0</v>
      </c>
      <c r="J107" s="7" t="n">
        <v>106</v>
      </c>
      <c r="K107" s="7" t="n">
        <v>13</v>
      </c>
      <c r="L107" s="7" t="n">
        <v>7</v>
      </c>
    </row>
    <row r="108" customFormat="false" ht="14.25" hidden="false" customHeight="false" outlineLevel="0" collapsed="false">
      <c r="A108" s="7" t="n">
        <v>139</v>
      </c>
      <c r="B108" s="7" t="s">
        <v>131</v>
      </c>
      <c r="C108" s="7" t="s">
        <v>132</v>
      </c>
      <c r="D108" s="7" t="n">
        <v>91001</v>
      </c>
      <c r="E108" s="51" t="n">
        <v>200025888863</v>
      </c>
      <c r="F108" s="51" t="s">
        <v>105</v>
      </c>
      <c r="G108" s="51" t="n">
        <v>26</v>
      </c>
      <c r="H108" s="52" t="n">
        <v>45798.9680555556</v>
      </c>
      <c r="I108" s="7" t="n">
        <v>4924</v>
      </c>
      <c r="J108" s="7" t="n">
        <v>107</v>
      </c>
      <c r="K108" s="7" t="n">
        <v>14</v>
      </c>
      <c r="L108" s="7" t="n">
        <v>7</v>
      </c>
    </row>
    <row r="109" customFormat="false" ht="14.25" hidden="false" customHeight="false" outlineLevel="0" collapsed="false">
      <c r="A109" s="7" t="n">
        <v>140</v>
      </c>
      <c r="B109" s="7" t="s">
        <v>131</v>
      </c>
      <c r="C109" s="7" t="s">
        <v>132</v>
      </c>
      <c r="D109" s="7" t="n">
        <v>91001</v>
      </c>
      <c r="E109" s="51" t="n">
        <v>200025888791</v>
      </c>
      <c r="F109" s="51" t="s">
        <v>79</v>
      </c>
      <c r="G109" s="51" t="n">
        <v>7</v>
      </c>
      <c r="H109" s="52" t="n">
        <v>45799.0273958333</v>
      </c>
      <c r="I109" s="7" t="n">
        <v>1</v>
      </c>
      <c r="J109" s="7" t="n">
        <v>108</v>
      </c>
      <c r="K109" s="7" t="n">
        <v>7</v>
      </c>
      <c r="L109" s="7" t="n">
        <v>13</v>
      </c>
    </row>
    <row r="110" customFormat="false" ht="14.25" hidden="false" customHeight="false" outlineLevel="0" collapsed="false">
      <c r="A110" s="7" t="n">
        <v>141</v>
      </c>
      <c r="B110" s="7" t="s">
        <v>131</v>
      </c>
      <c r="C110" s="7" t="s">
        <v>132</v>
      </c>
      <c r="D110" s="7" t="n">
        <v>91001</v>
      </c>
      <c r="E110" s="51" t="n">
        <v>200025888216</v>
      </c>
      <c r="F110" s="51" t="s">
        <v>84</v>
      </c>
      <c r="G110" s="51" t="n">
        <v>33</v>
      </c>
      <c r="H110" s="52" t="n">
        <v>45799.0405902778</v>
      </c>
      <c r="I110" s="7" t="n">
        <v>0</v>
      </c>
      <c r="J110" s="7" t="n">
        <v>109</v>
      </c>
      <c r="K110" s="7" t="n">
        <v>1</v>
      </c>
      <c r="L110" s="7" t="n">
        <v>16</v>
      </c>
    </row>
    <row r="111" customFormat="false" ht="14.25" hidden="false" customHeight="false" outlineLevel="0" collapsed="false">
      <c r="A111" s="7" t="n">
        <v>142</v>
      </c>
      <c r="B111" s="7" t="s">
        <v>131</v>
      </c>
      <c r="C111" s="7" t="s">
        <v>132</v>
      </c>
      <c r="D111" s="7" t="n">
        <v>91001</v>
      </c>
      <c r="E111" s="51" t="n">
        <v>200025888812</v>
      </c>
      <c r="F111" s="51" t="s">
        <v>116</v>
      </c>
      <c r="G111" s="51" t="n">
        <v>49</v>
      </c>
      <c r="H111" s="52" t="n">
        <v>45799.0463310185</v>
      </c>
      <c r="I111" s="7" t="n">
        <v>0</v>
      </c>
      <c r="J111" s="7" t="n">
        <v>110</v>
      </c>
      <c r="K111" s="7" t="n">
        <v>1</v>
      </c>
      <c r="L111" s="7" t="n">
        <v>17</v>
      </c>
    </row>
    <row r="112" customFormat="false" ht="14.25" hidden="false" customHeight="false" outlineLevel="0" collapsed="false">
      <c r="A112" s="7" t="n">
        <v>143</v>
      </c>
      <c r="B112" s="7" t="s">
        <v>131</v>
      </c>
      <c r="C112" s="7" t="s">
        <v>132</v>
      </c>
      <c r="D112" s="7" t="n">
        <v>91001</v>
      </c>
      <c r="E112" s="51" t="n">
        <v>200025888812</v>
      </c>
      <c r="F112" s="51" t="s">
        <v>116</v>
      </c>
      <c r="G112" s="51" t="n">
        <v>49</v>
      </c>
      <c r="H112" s="52" t="n">
        <v>45799.0466898148</v>
      </c>
      <c r="I112" s="7" t="n">
        <v>0</v>
      </c>
      <c r="J112" s="7" t="n">
        <v>111</v>
      </c>
      <c r="K112" s="7" t="n">
        <v>2</v>
      </c>
      <c r="L112" s="7" t="n">
        <v>17</v>
      </c>
    </row>
    <row r="113" customFormat="false" ht="14.25" hidden="false" customHeight="false" outlineLevel="0" collapsed="false">
      <c r="A113" s="7" t="n">
        <v>144</v>
      </c>
      <c r="B113" s="7" t="s">
        <v>131</v>
      </c>
      <c r="C113" s="7" t="s">
        <v>132</v>
      </c>
      <c r="D113" s="7" t="n">
        <v>91001</v>
      </c>
      <c r="E113" s="51" t="n">
        <v>200025888272</v>
      </c>
      <c r="F113" s="51" t="s">
        <v>87</v>
      </c>
      <c r="G113" s="51" t="n">
        <v>11</v>
      </c>
      <c r="H113" s="52" t="n">
        <v>45799.0767013889</v>
      </c>
      <c r="I113" s="7" t="n">
        <v>0</v>
      </c>
      <c r="J113" s="7" t="n">
        <v>112</v>
      </c>
      <c r="K113" s="7" t="n">
        <v>1</v>
      </c>
      <c r="L113" s="7" t="n">
        <v>18</v>
      </c>
    </row>
    <row r="114" customFormat="false" ht="14.25" hidden="false" customHeight="false" outlineLevel="0" collapsed="false">
      <c r="A114" s="7" t="n">
        <v>145</v>
      </c>
      <c r="B114" s="7" t="s">
        <v>131</v>
      </c>
      <c r="C114" s="7" t="s">
        <v>132</v>
      </c>
      <c r="D114" s="7" t="n">
        <v>91001</v>
      </c>
      <c r="E114" s="51" t="n">
        <v>200025888272</v>
      </c>
      <c r="F114" s="51" t="s">
        <v>87</v>
      </c>
      <c r="G114" s="51" t="n">
        <v>11</v>
      </c>
      <c r="H114" s="52" t="n">
        <v>45799.0767013889</v>
      </c>
      <c r="I114" s="7" t="n">
        <v>1</v>
      </c>
      <c r="J114" s="7" t="n">
        <v>113</v>
      </c>
      <c r="K114" s="7" t="n">
        <v>2</v>
      </c>
      <c r="L114" s="7" t="n">
        <v>18</v>
      </c>
    </row>
    <row r="115" customFormat="false" ht="14.25" hidden="false" customHeight="false" outlineLevel="0" collapsed="false">
      <c r="A115" s="7" t="n">
        <v>146</v>
      </c>
      <c r="B115" s="7" t="s">
        <v>131</v>
      </c>
      <c r="C115" s="7" t="s">
        <v>132</v>
      </c>
      <c r="D115" s="7" t="n">
        <v>91001</v>
      </c>
      <c r="E115" s="51" t="n">
        <v>200025888791</v>
      </c>
      <c r="F115" s="51" t="s">
        <v>79</v>
      </c>
      <c r="G115" s="51" t="n">
        <v>7</v>
      </c>
      <c r="H115" s="52" t="n">
        <v>45799.0844675926</v>
      </c>
      <c r="I115" s="7" t="n">
        <v>0</v>
      </c>
      <c r="J115" s="7" t="n">
        <v>114</v>
      </c>
      <c r="K115" s="7" t="n">
        <v>8</v>
      </c>
      <c r="L115" s="7" t="n">
        <v>13</v>
      </c>
    </row>
    <row r="116" customFormat="false" ht="14.25" hidden="false" customHeight="false" outlineLevel="0" collapsed="false">
      <c r="A116" s="7" t="n">
        <v>147</v>
      </c>
      <c r="B116" s="7" t="s">
        <v>131</v>
      </c>
      <c r="C116" s="7" t="s">
        <v>132</v>
      </c>
      <c r="D116" s="7" t="n">
        <v>91001</v>
      </c>
      <c r="E116" s="51" t="n">
        <v>200025888271</v>
      </c>
      <c r="F116" s="51" t="s">
        <v>89</v>
      </c>
      <c r="G116" s="51" t="n">
        <v>17</v>
      </c>
      <c r="H116" s="52" t="n">
        <v>45799.1014583333</v>
      </c>
      <c r="I116" s="7" t="n">
        <v>1</v>
      </c>
      <c r="J116" s="7" t="n">
        <v>115</v>
      </c>
      <c r="K116" s="7" t="n">
        <v>1</v>
      </c>
      <c r="L116" s="7" t="n">
        <v>19</v>
      </c>
    </row>
    <row r="117" customFormat="false" ht="14.25" hidden="false" customHeight="false" outlineLevel="0" collapsed="false">
      <c r="A117" s="7" t="n">
        <v>148</v>
      </c>
      <c r="B117" s="7" t="s">
        <v>131</v>
      </c>
      <c r="C117" s="7" t="s">
        <v>132</v>
      </c>
      <c r="D117" s="7" t="n">
        <v>91001</v>
      </c>
      <c r="E117" s="51" t="n">
        <v>200025888271</v>
      </c>
      <c r="F117" s="51" t="s">
        <v>89</v>
      </c>
      <c r="G117" s="51" t="n">
        <v>17</v>
      </c>
      <c r="H117" s="52" t="n">
        <v>45799.1014699074</v>
      </c>
      <c r="I117" s="7" t="n">
        <v>1</v>
      </c>
      <c r="J117" s="7" t="n">
        <v>116</v>
      </c>
      <c r="K117" s="7" t="n">
        <v>2</v>
      </c>
      <c r="L117" s="7" t="n">
        <v>19</v>
      </c>
    </row>
    <row r="118" customFormat="false" ht="14.25" hidden="false" customHeight="false" outlineLevel="0" collapsed="false">
      <c r="A118" s="7" t="n">
        <v>149</v>
      </c>
      <c r="B118" s="7" t="s">
        <v>131</v>
      </c>
      <c r="C118" s="7" t="s">
        <v>132</v>
      </c>
      <c r="D118" s="7" t="n">
        <v>91001</v>
      </c>
      <c r="E118" s="51" t="n">
        <v>200025888608</v>
      </c>
      <c r="F118" s="51" t="s">
        <v>102</v>
      </c>
      <c r="G118" s="51" t="n">
        <v>38</v>
      </c>
      <c r="H118" s="52" t="n">
        <v>45799.1296643519</v>
      </c>
      <c r="I118" s="7" t="n">
        <v>1</v>
      </c>
      <c r="J118" s="7" t="n">
        <v>117</v>
      </c>
      <c r="K118" s="7" t="n">
        <v>1</v>
      </c>
      <c r="L118" s="7" t="n">
        <v>20</v>
      </c>
    </row>
    <row r="119" customFormat="false" ht="14.25" hidden="false" customHeight="false" outlineLevel="0" collapsed="false">
      <c r="A119" s="7" t="n">
        <v>150</v>
      </c>
      <c r="B119" s="7" t="s">
        <v>131</v>
      </c>
      <c r="C119" s="7" t="s">
        <v>132</v>
      </c>
      <c r="D119" s="7" t="n">
        <v>91001</v>
      </c>
      <c r="E119" s="51" t="n">
        <v>200025888717</v>
      </c>
      <c r="F119" s="51" t="s">
        <v>107</v>
      </c>
      <c r="G119" s="51" t="n">
        <v>48</v>
      </c>
      <c r="H119" s="52" t="n">
        <v>45799.1828587963</v>
      </c>
      <c r="I119" s="7" t="n">
        <v>1</v>
      </c>
      <c r="J119" s="7" t="n">
        <v>118</v>
      </c>
      <c r="K119" s="7" t="n">
        <v>5</v>
      </c>
      <c r="L119" s="7" t="n">
        <v>10</v>
      </c>
    </row>
    <row r="120" customFormat="false" ht="14.25" hidden="false" customHeight="false" outlineLevel="0" collapsed="false">
      <c r="A120" s="7" t="n">
        <v>151</v>
      </c>
      <c r="B120" s="7" t="s">
        <v>131</v>
      </c>
      <c r="C120" s="7" t="s">
        <v>132</v>
      </c>
      <c r="D120" s="7" t="n">
        <v>91001</v>
      </c>
      <c r="E120" s="51" t="n">
        <v>200025888717</v>
      </c>
      <c r="F120" s="51" t="s">
        <v>107</v>
      </c>
      <c r="G120" s="51" t="n">
        <v>48</v>
      </c>
      <c r="H120" s="52" t="n">
        <v>45799.185</v>
      </c>
      <c r="I120" s="7" t="n">
        <v>195</v>
      </c>
      <c r="J120" s="7" t="n">
        <v>119</v>
      </c>
      <c r="K120" s="7" t="n">
        <v>6</v>
      </c>
      <c r="L120" s="7" t="n">
        <v>10</v>
      </c>
    </row>
    <row r="121" customFormat="false" ht="14.25" hidden="false" customHeight="false" outlineLevel="0" collapsed="false">
      <c r="A121" s="7" t="n">
        <v>152</v>
      </c>
      <c r="B121" s="7" t="s">
        <v>131</v>
      </c>
      <c r="C121" s="7" t="s">
        <v>132</v>
      </c>
      <c r="D121" s="7" t="n">
        <v>91001</v>
      </c>
      <c r="E121" s="51" t="n">
        <v>200025888808</v>
      </c>
      <c r="F121" s="51" t="s">
        <v>115</v>
      </c>
      <c r="G121" s="51" t="n">
        <v>43</v>
      </c>
      <c r="H121" s="52" t="n">
        <v>45799.1893402778</v>
      </c>
      <c r="I121" s="7" t="n">
        <v>1</v>
      </c>
      <c r="J121" s="7" t="n">
        <v>120</v>
      </c>
      <c r="K121" s="7" t="n">
        <v>2</v>
      </c>
      <c r="L121" s="7" t="n">
        <v>12</v>
      </c>
    </row>
    <row r="122" customFormat="false" ht="14.25" hidden="false" customHeight="false" outlineLevel="0" collapsed="false">
      <c r="A122" s="7" t="n">
        <v>153</v>
      </c>
      <c r="B122" s="7" t="s">
        <v>131</v>
      </c>
      <c r="C122" s="7" t="s">
        <v>132</v>
      </c>
      <c r="D122" s="7" t="n">
        <v>91001</v>
      </c>
      <c r="E122" s="51" t="n">
        <v>200025888808</v>
      </c>
      <c r="F122" s="51" t="s">
        <v>115</v>
      </c>
      <c r="G122" s="51" t="n">
        <v>43</v>
      </c>
      <c r="H122" s="52" t="n">
        <v>45799.189537037</v>
      </c>
      <c r="I122" s="7" t="n">
        <v>1</v>
      </c>
      <c r="J122" s="7" t="n">
        <v>121</v>
      </c>
      <c r="K122" s="7" t="n">
        <v>3</v>
      </c>
      <c r="L122" s="7" t="n">
        <v>12</v>
      </c>
    </row>
    <row r="123" customFormat="false" ht="14.25" hidden="false" customHeight="false" outlineLevel="0" collapsed="false">
      <c r="A123" s="7" t="n">
        <v>154</v>
      </c>
      <c r="B123" s="7" t="s">
        <v>131</v>
      </c>
      <c r="C123" s="7" t="s">
        <v>132</v>
      </c>
      <c r="D123" s="7" t="n">
        <v>91001</v>
      </c>
      <c r="E123" s="51" t="n">
        <v>200025888717</v>
      </c>
      <c r="F123" s="51" t="s">
        <v>107</v>
      </c>
      <c r="G123" s="51" t="n">
        <v>48</v>
      </c>
      <c r="H123" s="52" t="n">
        <v>45799.2080787037</v>
      </c>
      <c r="I123" s="7" t="n">
        <v>107</v>
      </c>
      <c r="J123" s="7" t="n">
        <v>122</v>
      </c>
      <c r="K123" s="7" t="n">
        <v>7</v>
      </c>
      <c r="L123" s="7" t="n">
        <v>10</v>
      </c>
    </row>
    <row r="124" customFormat="false" ht="14.25" hidden="false" customHeight="false" outlineLevel="0" collapsed="false">
      <c r="A124" s="7" t="n">
        <v>155</v>
      </c>
      <c r="B124" s="7" t="s">
        <v>131</v>
      </c>
      <c r="C124" s="7" t="s">
        <v>132</v>
      </c>
      <c r="D124" s="7" t="n">
        <v>91001</v>
      </c>
      <c r="E124" s="51" t="n">
        <v>200025888717</v>
      </c>
      <c r="F124" s="51" t="s">
        <v>107</v>
      </c>
      <c r="G124" s="51" t="n">
        <v>48</v>
      </c>
      <c r="H124" s="52" t="n">
        <v>45799.2100694444</v>
      </c>
      <c r="I124" s="7" t="n">
        <v>1</v>
      </c>
      <c r="J124" s="7" t="n">
        <v>123</v>
      </c>
      <c r="K124" s="7" t="n">
        <v>8</v>
      </c>
      <c r="L124" s="7" t="n">
        <v>10</v>
      </c>
    </row>
    <row r="125" customFormat="false" ht="14.25" hidden="false" customHeight="false" outlineLevel="0" collapsed="false">
      <c r="A125" s="7" t="n">
        <v>156</v>
      </c>
      <c r="B125" s="7" t="s">
        <v>131</v>
      </c>
      <c r="C125" s="7" t="s">
        <v>132</v>
      </c>
      <c r="D125" s="7" t="n">
        <v>91001</v>
      </c>
      <c r="E125" s="51" t="n">
        <v>200025888717</v>
      </c>
      <c r="F125" s="51" t="s">
        <v>107</v>
      </c>
      <c r="G125" s="51" t="n">
        <v>48</v>
      </c>
      <c r="H125" s="52" t="n">
        <v>45799.2100810185</v>
      </c>
      <c r="I125" s="7" t="n">
        <v>1</v>
      </c>
      <c r="J125" s="7" t="n">
        <v>124</v>
      </c>
      <c r="K125" s="7" t="n">
        <v>9</v>
      </c>
      <c r="L125" s="7" t="n">
        <v>10</v>
      </c>
    </row>
    <row r="126" customFormat="false" ht="14.25" hidden="false" customHeight="false" outlineLevel="0" collapsed="false">
      <c r="A126" s="7" t="n">
        <v>157</v>
      </c>
      <c r="B126" s="7" t="s">
        <v>131</v>
      </c>
      <c r="C126" s="7" t="s">
        <v>132</v>
      </c>
      <c r="D126" s="7" t="n">
        <v>91001</v>
      </c>
      <c r="E126" s="51" t="n">
        <v>200025888717</v>
      </c>
      <c r="F126" s="51" t="s">
        <v>107</v>
      </c>
      <c r="G126" s="51" t="n">
        <v>48</v>
      </c>
      <c r="H126" s="52" t="n">
        <v>45799.214212963</v>
      </c>
      <c r="I126" s="7" t="n">
        <v>1</v>
      </c>
      <c r="J126" s="7" t="n">
        <v>125</v>
      </c>
      <c r="K126" s="7" t="n">
        <v>10</v>
      </c>
      <c r="L126" s="7" t="n">
        <v>10</v>
      </c>
    </row>
    <row r="127" customFormat="false" ht="14.25" hidden="false" customHeight="false" outlineLevel="0" collapsed="false">
      <c r="A127" s="7" t="n">
        <v>158</v>
      </c>
      <c r="B127" s="7" t="s">
        <v>131</v>
      </c>
      <c r="C127" s="7" t="s">
        <v>132</v>
      </c>
      <c r="D127" s="7" t="n">
        <v>91001</v>
      </c>
      <c r="E127" s="51" t="n">
        <v>200025888717</v>
      </c>
      <c r="F127" s="51" t="s">
        <v>107</v>
      </c>
      <c r="G127" s="51" t="n">
        <v>48</v>
      </c>
      <c r="H127" s="52" t="n">
        <v>45799.215462963</v>
      </c>
      <c r="I127" s="7" t="n">
        <v>2</v>
      </c>
      <c r="J127" s="7" t="n">
        <v>126</v>
      </c>
      <c r="K127" s="7" t="n">
        <v>11</v>
      </c>
      <c r="L127" s="7" t="n">
        <v>10</v>
      </c>
    </row>
    <row r="128" customFormat="false" ht="14.25" hidden="false" customHeight="false" outlineLevel="0" collapsed="false">
      <c r="A128" s="7" t="n">
        <v>159</v>
      </c>
      <c r="B128" s="7" t="s">
        <v>131</v>
      </c>
      <c r="C128" s="7" t="s">
        <v>132</v>
      </c>
      <c r="D128" s="7" t="n">
        <v>91001</v>
      </c>
      <c r="E128" s="51" t="n">
        <v>200025888717</v>
      </c>
      <c r="F128" s="51" t="s">
        <v>107</v>
      </c>
      <c r="G128" s="51" t="n">
        <v>48</v>
      </c>
      <c r="H128" s="52" t="n">
        <v>45799.2156018519</v>
      </c>
      <c r="I128" s="7" t="n">
        <v>1</v>
      </c>
      <c r="J128" s="7" t="n">
        <v>127</v>
      </c>
      <c r="K128" s="7" t="n">
        <v>12</v>
      </c>
      <c r="L128" s="7" t="n">
        <v>10</v>
      </c>
    </row>
    <row r="129" customFormat="false" ht="14.25" hidden="false" customHeight="false" outlineLevel="0" collapsed="false">
      <c r="A129" s="7" t="n">
        <v>160</v>
      </c>
      <c r="B129" s="7" t="s">
        <v>131</v>
      </c>
      <c r="C129" s="7" t="s">
        <v>132</v>
      </c>
      <c r="D129" s="7" t="n">
        <v>91001</v>
      </c>
      <c r="E129" s="51" t="n">
        <v>200025888717</v>
      </c>
      <c r="F129" s="51" t="s">
        <v>107</v>
      </c>
      <c r="G129" s="51" t="n">
        <v>48</v>
      </c>
      <c r="H129" s="52" t="n">
        <v>45799.215625</v>
      </c>
      <c r="I129" s="7" t="n">
        <v>1</v>
      </c>
      <c r="J129" s="7" t="n">
        <v>128</v>
      </c>
      <c r="K129" s="7" t="n">
        <v>13</v>
      </c>
      <c r="L129" s="7" t="n">
        <v>10</v>
      </c>
    </row>
    <row r="130" customFormat="false" ht="14.25" hidden="false" customHeight="false" outlineLevel="0" collapsed="false">
      <c r="A130" s="7" t="n">
        <v>161</v>
      </c>
      <c r="B130" s="7" t="s">
        <v>131</v>
      </c>
      <c r="C130" s="7" t="s">
        <v>132</v>
      </c>
      <c r="D130" s="7" t="n">
        <v>91001</v>
      </c>
      <c r="E130" s="51" t="n">
        <v>200025888717</v>
      </c>
      <c r="F130" s="51" t="s">
        <v>107</v>
      </c>
      <c r="G130" s="51" t="n">
        <v>48</v>
      </c>
      <c r="H130" s="52" t="n">
        <v>45799.215775463</v>
      </c>
      <c r="I130" s="7" t="n">
        <v>291</v>
      </c>
      <c r="J130" s="7" t="n">
        <v>129</v>
      </c>
      <c r="K130" s="7" t="n">
        <v>14</v>
      </c>
      <c r="L130" s="7" t="n">
        <v>10</v>
      </c>
    </row>
    <row r="131" customFormat="false" ht="14.25" hidden="false" customHeight="false" outlineLevel="0" collapsed="false">
      <c r="A131" s="7" t="n">
        <v>162</v>
      </c>
      <c r="B131" s="7" t="s">
        <v>131</v>
      </c>
      <c r="C131" s="7" t="s">
        <v>132</v>
      </c>
      <c r="D131" s="7" t="n">
        <v>91001</v>
      </c>
      <c r="E131" s="51" t="n">
        <v>200025888717</v>
      </c>
      <c r="F131" s="51" t="s">
        <v>107</v>
      </c>
      <c r="G131" s="51" t="n">
        <v>48</v>
      </c>
      <c r="H131" s="52" t="n">
        <v>45799.2193287037</v>
      </c>
      <c r="I131" s="7" t="n">
        <v>0</v>
      </c>
      <c r="J131" s="7" t="n">
        <v>130</v>
      </c>
      <c r="K131" s="7" t="n">
        <v>15</v>
      </c>
      <c r="L131" s="7" t="n">
        <v>10</v>
      </c>
    </row>
    <row r="132" customFormat="false" ht="14.25" hidden="false" customHeight="false" outlineLevel="0" collapsed="false">
      <c r="A132" s="7" t="n">
        <v>163</v>
      </c>
      <c r="B132" s="7" t="s">
        <v>131</v>
      </c>
      <c r="C132" s="7" t="s">
        <v>132</v>
      </c>
      <c r="D132" s="7" t="n">
        <v>91001</v>
      </c>
      <c r="E132" s="51" t="n">
        <v>200025888808</v>
      </c>
      <c r="F132" s="51" t="s">
        <v>115</v>
      </c>
      <c r="G132" s="51" t="n">
        <v>43</v>
      </c>
      <c r="H132" s="52" t="n">
        <v>45799.2321527778</v>
      </c>
      <c r="I132" s="7" t="n">
        <v>345</v>
      </c>
      <c r="J132" s="7" t="n">
        <v>131</v>
      </c>
      <c r="K132" s="7" t="n">
        <v>4</v>
      </c>
      <c r="L132" s="7" t="n">
        <v>12</v>
      </c>
    </row>
    <row r="133" customFormat="false" ht="14.25" hidden="false" customHeight="false" outlineLevel="0" collapsed="false">
      <c r="A133" s="7" t="n">
        <v>164</v>
      </c>
      <c r="B133" s="7" t="s">
        <v>131</v>
      </c>
      <c r="C133" s="7" t="s">
        <v>132</v>
      </c>
      <c r="D133" s="7" t="n">
        <v>91001</v>
      </c>
      <c r="E133" s="51" t="n">
        <v>200025888271</v>
      </c>
      <c r="F133" s="51" t="s">
        <v>89</v>
      </c>
      <c r="G133" s="51" t="n">
        <v>17</v>
      </c>
      <c r="H133" s="52" t="n">
        <v>45799.2543865741</v>
      </c>
      <c r="I133" s="7" t="n">
        <v>1</v>
      </c>
      <c r="J133" s="7" t="n">
        <v>132</v>
      </c>
      <c r="K133" s="7" t="n">
        <v>3</v>
      </c>
      <c r="L133" s="7" t="n">
        <v>19</v>
      </c>
    </row>
    <row r="134" customFormat="false" ht="14.25" hidden="false" customHeight="false" outlineLevel="0" collapsed="false">
      <c r="A134" s="7" t="n">
        <v>165</v>
      </c>
      <c r="B134" s="7" t="s">
        <v>131</v>
      </c>
      <c r="C134" s="7" t="s">
        <v>132</v>
      </c>
      <c r="D134" s="7" t="n">
        <v>91001</v>
      </c>
      <c r="E134" s="51" t="n">
        <v>200025888863</v>
      </c>
      <c r="F134" s="51" t="s">
        <v>105</v>
      </c>
      <c r="G134" s="51" t="n">
        <v>26</v>
      </c>
      <c r="H134" s="52" t="n">
        <v>45799.2552314815</v>
      </c>
      <c r="I134" s="7" t="n">
        <v>2</v>
      </c>
      <c r="J134" s="7" t="n">
        <v>133</v>
      </c>
      <c r="K134" s="7" t="n">
        <v>15</v>
      </c>
      <c r="L134" s="7" t="n">
        <v>7</v>
      </c>
    </row>
    <row r="135" customFormat="false" ht="14.25" hidden="false" customHeight="false" outlineLevel="0" collapsed="false">
      <c r="A135" s="1" t="n">
        <v>166</v>
      </c>
      <c r="B135" s="7" t="s">
        <v>131</v>
      </c>
      <c r="C135" s="7" t="s">
        <v>132</v>
      </c>
      <c r="D135" s="7" t="n">
        <v>91001</v>
      </c>
      <c r="E135" s="51" t="n">
        <v>200025888868</v>
      </c>
      <c r="F135" s="51" t="s">
        <v>118</v>
      </c>
      <c r="G135" s="51" t="n">
        <v>44</v>
      </c>
      <c r="H135" s="52" t="n">
        <v>45799.2578819444</v>
      </c>
      <c r="I135" s="7" t="n">
        <v>1</v>
      </c>
      <c r="J135" s="7" t="n">
        <v>134</v>
      </c>
      <c r="K135" s="7" t="n">
        <v>4</v>
      </c>
      <c r="L135" s="7" t="n">
        <v>14</v>
      </c>
    </row>
    <row r="136" customFormat="false" ht="14.25" hidden="false" customHeight="false" outlineLevel="0" collapsed="false">
      <c r="A136" s="7" t="n">
        <v>167</v>
      </c>
      <c r="B136" s="7" t="s">
        <v>131</v>
      </c>
      <c r="C136" s="7" t="s">
        <v>132</v>
      </c>
      <c r="D136" s="7" t="n">
        <v>91001</v>
      </c>
      <c r="E136" s="51" t="n">
        <v>200025888824</v>
      </c>
      <c r="F136" s="51" t="s">
        <v>112</v>
      </c>
      <c r="G136" s="51" t="n">
        <v>32</v>
      </c>
      <c r="H136" s="52" t="n">
        <v>45799.2643055556</v>
      </c>
      <c r="I136" s="7" t="n">
        <v>0</v>
      </c>
      <c r="J136" s="7" t="n">
        <v>135</v>
      </c>
      <c r="K136" s="7" t="n">
        <v>15</v>
      </c>
      <c r="L136" s="7" t="n">
        <v>4</v>
      </c>
    </row>
    <row r="137" customFormat="false" ht="14.25" hidden="false" customHeight="false" outlineLevel="0" collapsed="false">
      <c r="A137" s="7" t="n">
        <v>168</v>
      </c>
      <c r="B137" s="7" t="s">
        <v>131</v>
      </c>
      <c r="C137" s="7" t="s">
        <v>132</v>
      </c>
      <c r="D137" s="7" t="n">
        <v>91001</v>
      </c>
      <c r="E137" s="51" t="n">
        <v>200025888824</v>
      </c>
      <c r="F137" s="51" t="s">
        <v>112</v>
      </c>
      <c r="G137" s="51" t="n">
        <v>32</v>
      </c>
      <c r="H137" s="52" t="n">
        <v>45799.2656944444</v>
      </c>
      <c r="I137" s="7" t="n">
        <v>1</v>
      </c>
      <c r="J137" s="7" t="n">
        <v>136</v>
      </c>
      <c r="K137" s="7" t="n">
        <v>16</v>
      </c>
      <c r="L137" s="7" t="n">
        <v>4</v>
      </c>
    </row>
    <row r="138" customFormat="false" ht="14.25" hidden="false" customHeight="false" outlineLevel="0" collapsed="false">
      <c r="A138" s="7" t="n">
        <v>169</v>
      </c>
      <c r="B138" s="7" t="s">
        <v>131</v>
      </c>
      <c r="C138" s="7" t="s">
        <v>132</v>
      </c>
      <c r="D138" s="7" t="n">
        <v>91001</v>
      </c>
      <c r="E138" s="51" t="n">
        <v>200025888824</v>
      </c>
      <c r="F138" s="51" t="s">
        <v>112</v>
      </c>
      <c r="G138" s="51" t="n">
        <v>32</v>
      </c>
      <c r="H138" s="52" t="n">
        <v>45799.2657060185</v>
      </c>
      <c r="I138" s="7" t="n">
        <v>1</v>
      </c>
      <c r="J138" s="7" t="n">
        <v>137</v>
      </c>
      <c r="K138" s="7" t="n">
        <v>17</v>
      </c>
      <c r="L138" s="7" t="n">
        <v>4</v>
      </c>
    </row>
    <row r="139" customFormat="false" ht="14.25" hidden="false" customHeight="false" outlineLevel="0" collapsed="false">
      <c r="A139" s="7" t="n">
        <v>170</v>
      </c>
      <c r="B139" s="7" t="s">
        <v>131</v>
      </c>
      <c r="C139" s="7" t="s">
        <v>132</v>
      </c>
      <c r="D139" s="7" t="n">
        <v>91001</v>
      </c>
      <c r="E139" s="51" t="n">
        <v>200025888824</v>
      </c>
      <c r="F139" s="51" t="s">
        <v>112</v>
      </c>
      <c r="G139" s="51" t="n">
        <v>32</v>
      </c>
      <c r="H139" s="52" t="n">
        <v>45799.2663425926</v>
      </c>
      <c r="I139" s="7" t="n">
        <v>2</v>
      </c>
      <c r="J139" s="7" t="n">
        <v>138</v>
      </c>
      <c r="K139" s="7" t="n">
        <v>18</v>
      </c>
      <c r="L139" s="7" t="n">
        <v>4</v>
      </c>
    </row>
    <row r="140" customFormat="false" ht="14.25" hidden="false" customHeight="false" outlineLevel="0" collapsed="false">
      <c r="A140" s="7" t="n">
        <v>171</v>
      </c>
      <c r="B140" s="7" t="s">
        <v>131</v>
      </c>
      <c r="C140" s="7" t="s">
        <v>132</v>
      </c>
      <c r="D140" s="7" t="n">
        <v>91001</v>
      </c>
      <c r="E140" s="51" t="n">
        <v>200025888808</v>
      </c>
      <c r="F140" s="51" t="s">
        <v>115</v>
      </c>
      <c r="G140" s="51" t="n">
        <v>43</v>
      </c>
      <c r="H140" s="52" t="n">
        <v>45799.2690740741</v>
      </c>
      <c r="I140" s="7" t="n">
        <v>1</v>
      </c>
      <c r="J140" s="7" t="n">
        <v>139</v>
      </c>
      <c r="K140" s="7" t="n">
        <v>5</v>
      </c>
      <c r="L140" s="7" t="n">
        <v>12</v>
      </c>
    </row>
    <row r="141" customFormat="false" ht="14.25" hidden="false" customHeight="false" outlineLevel="0" collapsed="false">
      <c r="A141" s="7" t="n">
        <v>172</v>
      </c>
      <c r="B141" s="7" t="s">
        <v>131</v>
      </c>
      <c r="C141" s="7" t="s">
        <v>132</v>
      </c>
      <c r="D141" s="7" t="n">
        <v>91001</v>
      </c>
      <c r="E141" s="51" t="n">
        <v>200025888235</v>
      </c>
      <c r="F141" s="51" t="s">
        <v>86</v>
      </c>
      <c r="G141" s="51" t="n">
        <v>22</v>
      </c>
      <c r="H141" s="52" t="n">
        <v>45799.3325</v>
      </c>
      <c r="I141" s="7" t="n">
        <v>1</v>
      </c>
      <c r="J141" s="7" t="n">
        <v>140</v>
      </c>
      <c r="K141" s="7" t="n">
        <v>1</v>
      </c>
      <c r="L141" s="7" t="n">
        <v>21</v>
      </c>
    </row>
    <row r="142" customFormat="false" ht="14.25" hidden="false" customHeight="false" outlineLevel="0" collapsed="false">
      <c r="A142" s="7" t="n">
        <v>173</v>
      </c>
      <c r="B142" s="7" t="s">
        <v>131</v>
      </c>
      <c r="C142" s="7" t="s">
        <v>132</v>
      </c>
      <c r="D142" s="7" t="n">
        <v>91001</v>
      </c>
      <c r="E142" s="51" t="n">
        <v>200025888791</v>
      </c>
      <c r="F142" s="51" t="s">
        <v>79</v>
      </c>
      <c r="G142" s="51" t="n">
        <v>7</v>
      </c>
      <c r="H142" s="52" t="n">
        <v>45799.4054050926</v>
      </c>
      <c r="I142" s="7" t="n">
        <v>0</v>
      </c>
      <c r="J142" s="7" t="n">
        <v>141</v>
      </c>
      <c r="K142" s="7" t="n">
        <v>9</v>
      </c>
      <c r="L142" s="7" t="n">
        <v>13</v>
      </c>
    </row>
    <row r="143" customFormat="false" ht="14.25" hidden="false" customHeight="false" outlineLevel="0" collapsed="false">
      <c r="A143" s="7" t="n">
        <v>174</v>
      </c>
      <c r="B143" s="7" t="s">
        <v>131</v>
      </c>
      <c r="C143" s="7" t="s">
        <v>132</v>
      </c>
      <c r="D143" s="7" t="n">
        <v>91001</v>
      </c>
      <c r="E143" s="51" t="n">
        <v>200025888791</v>
      </c>
      <c r="F143" s="51" t="s">
        <v>79</v>
      </c>
      <c r="G143" s="51" t="n">
        <v>7</v>
      </c>
      <c r="H143" s="52" t="n">
        <v>45799.4054050926</v>
      </c>
      <c r="I143" s="7" t="n">
        <v>1</v>
      </c>
      <c r="J143" s="7" t="n">
        <v>142</v>
      </c>
      <c r="K143" s="7" t="n">
        <v>10</v>
      </c>
      <c r="L143" s="7" t="n">
        <v>13</v>
      </c>
    </row>
    <row r="144" customFormat="false" ht="14.25" hidden="false" customHeight="false" outlineLevel="0" collapsed="false">
      <c r="A144" s="7" t="n">
        <v>175</v>
      </c>
      <c r="B144" s="7" t="s">
        <v>131</v>
      </c>
      <c r="C144" s="7" t="s">
        <v>132</v>
      </c>
      <c r="D144" s="7" t="n">
        <v>91001</v>
      </c>
      <c r="E144" s="51" t="n">
        <v>200025888791</v>
      </c>
      <c r="F144" s="51" t="s">
        <v>79</v>
      </c>
      <c r="G144" s="51" t="n">
        <v>7</v>
      </c>
      <c r="H144" s="52" t="n">
        <v>45799.4054166667</v>
      </c>
      <c r="I144" s="7" t="n">
        <v>1306</v>
      </c>
      <c r="J144" s="7" t="n">
        <v>143</v>
      </c>
      <c r="K144" s="7" t="n">
        <v>11</v>
      </c>
      <c r="L144" s="7" t="n">
        <v>13</v>
      </c>
    </row>
    <row r="145" customFormat="false" ht="14.25" hidden="false" customHeight="false" outlineLevel="0" collapsed="false">
      <c r="A145" s="7" t="n">
        <v>176</v>
      </c>
      <c r="B145" s="7" t="s">
        <v>131</v>
      </c>
      <c r="C145" s="7" t="s">
        <v>132</v>
      </c>
      <c r="D145" s="7" t="n">
        <v>91001</v>
      </c>
      <c r="E145" s="51" t="n">
        <v>200025888216</v>
      </c>
      <c r="F145" s="51" t="s">
        <v>84</v>
      </c>
      <c r="G145" s="51" t="n">
        <v>33</v>
      </c>
      <c r="H145" s="52" t="n">
        <v>45799.4205439815</v>
      </c>
      <c r="I145" s="7" t="n">
        <v>0</v>
      </c>
      <c r="J145" s="7" t="n">
        <v>144</v>
      </c>
      <c r="K145" s="7" t="n">
        <v>2</v>
      </c>
      <c r="L145" s="7" t="n">
        <v>16</v>
      </c>
    </row>
    <row r="146" customFormat="false" ht="14.25" hidden="false" customHeight="false" outlineLevel="0" collapsed="false">
      <c r="A146" s="7" t="n">
        <v>177</v>
      </c>
      <c r="B146" s="7" t="s">
        <v>131</v>
      </c>
      <c r="C146" s="7" t="s">
        <v>132</v>
      </c>
      <c r="D146" s="7" t="n">
        <v>91001</v>
      </c>
      <c r="E146" s="51" t="n">
        <v>200025888235</v>
      </c>
      <c r="F146" s="51" t="s">
        <v>86</v>
      </c>
      <c r="G146" s="51" t="n">
        <v>22</v>
      </c>
      <c r="H146" s="52" t="n">
        <v>45799.440474537</v>
      </c>
      <c r="I146" s="7" t="n">
        <v>0</v>
      </c>
      <c r="J146" s="7" t="n">
        <v>145</v>
      </c>
      <c r="K146" s="7" t="n">
        <v>2</v>
      </c>
      <c r="L146" s="7" t="n">
        <v>21</v>
      </c>
    </row>
    <row r="147" customFormat="false" ht="14.25" hidden="false" customHeight="false" outlineLevel="0" collapsed="false">
      <c r="A147" s="7" t="n">
        <v>178</v>
      </c>
      <c r="B147" s="7" t="s">
        <v>131</v>
      </c>
      <c r="C147" s="7" t="s">
        <v>132</v>
      </c>
      <c r="D147" s="7" t="n">
        <v>91001</v>
      </c>
      <c r="E147" s="51" t="n">
        <v>200025888235</v>
      </c>
      <c r="F147" s="51" t="s">
        <v>86</v>
      </c>
      <c r="G147" s="51" t="n">
        <v>22</v>
      </c>
      <c r="H147" s="52" t="n">
        <v>45799.4404861111</v>
      </c>
      <c r="I147" s="7" t="n">
        <v>0</v>
      </c>
      <c r="J147" s="7" t="n">
        <v>146</v>
      </c>
      <c r="K147" s="7" t="n">
        <v>3</v>
      </c>
      <c r="L147" s="7" t="n">
        <v>21</v>
      </c>
    </row>
    <row r="148" customFormat="false" ht="14.25" hidden="false" customHeight="false" outlineLevel="0" collapsed="false">
      <c r="A148" s="7" t="n">
        <v>179</v>
      </c>
      <c r="B148" s="7" t="s">
        <v>131</v>
      </c>
      <c r="C148" s="7" t="s">
        <v>132</v>
      </c>
      <c r="D148" s="7" t="n">
        <v>91001</v>
      </c>
      <c r="E148" s="51" t="n">
        <v>200025888235</v>
      </c>
      <c r="F148" s="51" t="s">
        <v>86</v>
      </c>
      <c r="G148" s="51" t="n">
        <v>22</v>
      </c>
      <c r="H148" s="52" t="n">
        <v>45799.4596990741</v>
      </c>
      <c r="I148" s="7" t="n">
        <v>0</v>
      </c>
      <c r="J148" s="7" t="n">
        <v>147</v>
      </c>
      <c r="K148" s="7" t="n">
        <v>4</v>
      </c>
      <c r="L148" s="7" t="n">
        <v>21</v>
      </c>
    </row>
    <row r="149" customFormat="false" ht="14.25" hidden="false" customHeight="false" outlineLevel="0" collapsed="false">
      <c r="A149" s="7" t="n">
        <v>180</v>
      </c>
      <c r="B149" s="7" t="s">
        <v>131</v>
      </c>
      <c r="C149" s="7" t="s">
        <v>132</v>
      </c>
      <c r="D149" s="7" t="n">
        <v>91001</v>
      </c>
      <c r="E149" s="51" t="n">
        <v>200025888163</v>
      </c>
      <c r="F149" s="51" t="s">
        <v>133</v>
      </c>
      <c r="G149" s="51" t="n">
        <v>3</v>
      </c>
      <c r="H149" s="52" t="n">
        <v>45799.4950810185</v>
      </c>
      <c r="I149" s="7" t="n">
        <v>3</v>
      </c>
      <c r="J149" s="7" t="n">
        <v>148</v>
      </c>
      <c r="K149" s="7" t="n">
        <v>8</v>
      </c>
      <c r="L149" s="7" t="n">
        <v>8</v>
      </c>
    </row>
    <row r="150" customFormat="false" ht="14.25" hidden="false" customHeight="false" outlineLevel="0" collapsed="false">
      <c r="A150" s="7" t="n">
        <v>181</v>
      </c>
      <c r="B150" s="7" t="s">
        <v>131</v>
      </c>
      <c r="C150" s="7" t="s">
        <v>132</v>
      </c>
      <c r="D150" s="7" t="n">
        <v>91001</v>
      </c>
      <c r="E150" s="51" t="n">
        <v>200025888812</v>
      </c>
      <c r="F150" s="51" t="s">
        <v>116</v>
      </c>
      <c r="G150" s="51" t="n">
        <v>49</v>
      </c>
      <c r="H150" s="52" t="n">
        <v>45799.4991435185</v>
      </c>
      <c r="I150" s="7" t="n">
        <v>1</v>
      </c>
      <c r="J150" s="7" t="n">
        <v>149</v>
      </c>
      <c r="K150" s="7" t="n">
        <v>3</v>
      </c>
      <c r="L150" s="7" t="n">
        <v>17</v>
      </c>
    </row>
    <row r="151" customFormat="false" ht="14.25" hidden="false" customHeight="false" outlineLevel="0" collapsed="false">
      <c r="A151" s="7" t="n">
        <v>182</v>
      </c>
      <c r="B151" s="7" t="s">
        <v>131</v>
      </c>
      <c r="C151" s="7" t="s">
        <v>132</v>
      </c>
      <c r="D151" s="7" t="n">
        <v>91001</v>
      </c>
      <c r="E151" s="51" t="n">
        <v>200025888812</v>
      </c>
      <c r="F151" s="51" t="s">
        <v>116</v>
      </c>
      <c r="G151" s="51" t="n">
        <v>49</v>
      </c>
      <c r="H151" s="52" t="n">
        <v>45799.4991550926</v>
      </c>
      <c r="I151" s="7" t="n">
        <v>0</v>
      </c>
      <c r="J151" s="7" t="n">
        <v>150</v>
      </c>
      <c r="K151" s="7" t="n">
        <v>4</v>
      </c>
      <c r="L151" s="7" t="n">
        <v>17</v>
      </c>
    </row>
    <row r="152" customFormat="false" ht="14.25" hidden="false" customHeight="false" outlineLevel="0" collapsed="false">
      <c r="A152" s="7" t="n">
        <v>183</v>
      </c>
      <c r="B152" s="7" t="s">
        <v>131</v>
      </c>
      <c r="C152" s="7" t="s">
        <v>132</v>
      </c>
      <c r="D152" s="7" t="n">
        <v>91001</v>
      </c>
      <c r="E152" s="51" t="n">
        <v>200025888808</v>
      </c>
      <c r="F152" s="51" t="s">
        <v>115</v>
      </c>
      <c r="G152" s="51" t="n">
        <v>43</v>
      </c>
      <c r="H152" s="52" t="n">
        <v>45799.5588888889</v>
      </c>
      <c r="I152" s="7" t="n">
        <v>2</v>
      </c>
      <c r="J152" s="7" t="n">
        <v>151</v>
      </c>
      <c r="K152" s="7" t="n">
        <v>6</v>
      </c>
      <c r="L152" s="7" t="n">
        <v>12</v>
      </c>
    </row>
    <row r="153" customFormat="false" ht="14.25" hidden="false" customHeight="false" outlineLevel="0" collapsed="false">
      <c r="A153" s="7" t="n">
        <v>184</v>
      </c>
      <c r="B153" s="7" t="s">
        <v>131</v>
      </c>
      <c r="C153" s="7" t="s">
        <v>132</v>
      </c>
      <c r="D153" s="7" t="n">
        <v>91001</v>
      </c>
      <c r="E153" s="51" t="n">
        <v>200025888808</v>
      </c>
      <c r="F153" s="51" t="s">
        <v>115</v>
      </c>
      <c r="G153" s="51" t="n">
        <v>43</v>
      </c>
      <c r="H153" s="52" t="n">
        <v>45799.5606018519</v>
      </c>
      <c r="I153" s="7" t="n">
        <v>1</v>
      </c>
      <c r="J153" s="7" t="n">
        <v>152</v>
      </c>
      <c r="K153" s="7" t="n">
        <v>7</v>
      </c>
      <c r="L153" s="7" t="n">
        <v>12</v>
      </c>
    </row>
    <row r="154" customFormat="false" ht="14.25" hidden="false" customHeight="false" outlineLevel="0" collapsed="false">
      <c r="A154" s="7" t="n">
        <v>185</v>
      </c>
      <c r="B154" s="7" t="s">
        <v>131</v>
      </c>
      <c r="C154" s="7" t="s">
        <v>132</v>
      </c>
      <c r="D154" s="7" t="n">
        <v>91001</v>
      </c>
      <c r="E154" s="51" t="n">
        <v>200025888808</v>
      </c>
      <c r="F154" s="51" t="s">
        <v>115</v>
      </c>
      <c r="G154" s="51" t="n">
        <v>43</v>
      </c>
      <c r="H154" s="52" t="n">
        <v>45799.5608912037</v>
      </c>
      <c r="I154" s="7" t="n">
        <v>0</v>
      </c>
      <c r="J154" s="7" t="n">
        <v>153</v>
      </c>
      <c r="K154" s="7" t="n">
        <v>8</v>
      </c>
      <c r="L154" s="7" t="n">
        <v>12</v>
      </c>
    </row>
    <row r="155" customFormat="false" ht="14.25" hidden="false" customHeight="false" outlineLevel="0" collapsed="false">
      <c r="A155" s="7" t="n">
        <v>186</v>
      </c>
      <c r="B155" s="7" t="s">
        <v>131</v>
      </c>
      <c r="C155" s="7" t="s">
        <v>132</v>
      </c>
      <c r="D155" s="7" t="n">
        <v>91001</v>
      </c>
      <c r="E155" s="51" t="n">
        <v>200025888808</v>
      </c>
      <c r="F155" s="51" t="s">
        <v>115</v>
      </c>
      <c r="G155" s="51" t="n">
        <v>43</v>
      </c>
      <c r="H155" s="52" t="n">
        <v>45799.5609027778</v>
      </c>
      <c r="I155" s="7" t="n">
        <v>23</v>
      </c>
      <c r="J155" s="7" t="n">
        <v>154</v>
      </c>
      <c r="K155" s="7" t="n">
        <v>9</v>
      </c>
      <c r="L155" s="7" t="n">
        <v>12</v>
      </c>
    </row>
    <row r="156" customFormat="false" ht="14.25" hidden="false" customHeight="false" outlineLevel="0" collapsed="false">
      <c r="A156" s="7" t="n">
        <v>187</v>
      </c>
      <c r="B156" s="7" t="s">
        <v>131</v>
      </c>
      <c r="C156" s="7" t="s">
        <v>132</v>
      </c>
      <c r="D156" s="7" t="n">
        <v>91001</v>
      </c>
      <c r="E156" s="51" t="n">
        <v>200025888808</v>
      </c>
      <c r="F156" s="51" t="s">
        <v>115</v>
      </c>
      <c r="G156" s="51" t="n">
        <v>43</v>
      </c>
      <c r="H156" s="52" t="n">
        <v>45799.5611805556</v>
      </c>
      <c r="I156" s="7" t="n">
        <v>0</v>
      </c>
      <c r="J156" s="7" t="n">
        <v>155</v>
      </c>
      <c r="K156" s="7" t="n">
        <v>10</v>
      </c>
      <c r="L156" s="7" t="n">
        <v>12</v>
      </c>
    </row>
    <row r="157" customFormat="false" ht="14.25" hidden="false" customHeight="false" outlineLevel="0" collapsed="false">
      <c r="A157" s="7" t="n">
        <v>188</v>
      </c>
      <c r="B157" s="7" t="s">
        <v>131</v>
      </c>
      <c r="C157" s="7" t="s">
        <v>132</v>
      </c>
      <c r="D157" s="7" t="n">
        <v>91001</v>
      </c>
      <c r="E157" s="51" t="n">
        <v>200025888808</v>
      </c>
      <c r="F157" s="51" t="s">
        <v>115</v>
      </c>
      <c r="G157" s="51" t="n">
        <v>43</v>
      </c>
      <c r="H157" s="52" t="n">
        <v>45799.5639236111</v>
      </c>
      <c r="I157" s="7" t="n">
        <v>0</v>
      </c>
      <c r="J157" s="7" t="n">
        <v>156</v>
      </c>
      <c r="K157" s="7" t="n">
        <v>11</v>
      </c>
      <c r="L157" s="7" t="n">
        <v>12</v>
      </c>
    </row>
    <row r="158" customFormat="false" ht="14.25" hidden="false" customHeight="false" outlineLevel="0" collapsed="false">
      <c r="A158" s="7" t="n">
        <v>189</v>
      </c>
      <c r="B158" s="7" t="s">
        <v>131</v>
      </c>
      <c r="C158" s="7" t="s">
        <v>132</v>
      </c>
      <c r="D158" s="7" t="n">
        <v>91001</v>
      </c>
      <c r="E158" s="51" t="n">
        <v>200025888808</v>
      </c>
      <c r="F158" s="51" t="s">
        <v>115</v>
      </c>
      <c r="G158" s="51" t="n">
        <v>43</v>
      </c>
      <c r="H158" s="52" t="n">
        <v>45799.5706481482</v>
      </c>
      <c r="I158" s="7" t="n">
        <v>1</v>
      </c>
      <c r="J158" s="7" t="n">
        <v>157</v>
      </c>
      <c r="K158" s="7" t="n">
        <v>12</v>
      </c>
      <c r="L158" s="7" t="n">
        <v>12</v>
      </c>
    </row>
    <row r="159" customFormat="false" ht="14.25" hidden="false" customHeight="false" outlineLevel="0" collapsed="false">
      <c r="A159" s="7" t="n">
        <v>190</v>
      </c>
      <c r="B159" s="7" t="s">
        <v>131</v>
      </c>
      <c r="C159" s="7" t="s">
        <v>132</v>
      </c>
      <c r="D159" s="7" t="n">
        <v>91001</v>
      </c>
      <c r="E159" s="51" t="n">
        <v>200025888812</v>
      </c>
      <c r="F159" s="51" t="s">
        <v>116</v>
      </c>
      <c r="G159" s="51" t="n">
        <v>49</v>
      </c>
      <c r="H159" s="52" t="n">
        <v>45799.5783912037</v>
      </c>
      <c r="I159" s="7" t="n">
        <v>1</v>
      </c>
      <c r="J159" s="7" t="n">
        <v>158</v>
      </c>
      <c r="K159" s="7" t="n">
        <v>5</v>
      </c>
      <c r="L159" s="7" t="n">
        <v>17</v>
      </c>
    </row>
    <row r="160" customFormat="false" ht="14.25" hidden="false" customHeight="false" outlineLevel="0" collapsed="false">
      <c r="A160" s="7" t="n">
        <v>191</v>
      </c>
      <c r="B160" s="7" t="s">
        <v>131</v>
      </c>
      <c r="C160" s="7" t="s">
        <v>132</v>
      </c>
      <c r="D160" s="7" t="n">
        <v>91001</v>
      </c>
      <c r="E160" s="51" t="n">
        <v>200025888812</v>
      </c>
      <c r="F160" s="51" t="s">
        <v>116</v>
      </c>
      <c r="G160" s="51" t="n">
        <v>49</v>
      </c>
      <c r="H160" s="52" t="n">
        <v>45799.5785532407</v>
      </c>
      <c r="I160" s="7" t="n">
        <v>0</v>
      </c>
      <c r="J160" s="7" t="n">
        <v>159</v>
      </c>
      <c r="K160" s="7" t="n">
        <v>6</v>
      </c>
      <c r="L160" s="7" t="n">
        <v>17</v>
      </c>
    </row>
    <row r="161" customFormat="false" ht="14.25" hidden="false" customHeight="false" outlineLevel="0" collapsed="false">
      <c r="A161" s="7" t="n">
        <v>192</v>
      </c>
      <c r="B161" s="7" t="s">
        <v>131</v>
      </c>
      <c r="C161" s="7" t="s">
        <v>132</v>
      </c>
      <c r="D161" s="7" t="n">
        <v>91001</v>
      </c>
      <c r="E161" s="51" t="n">
        <v>200025888812</v>
      </c>
      <c r="F161" s="51" t="s">
        <v>116</v>
      </c>
      <c r="G161" s="51" t="n">
        <v>49</v>
      </c>
      <c r="H161" s="52" t="n">
        <v>45799.5787268519</v>
      </c>
      <c r="I161" s="7" t="n">
        <v>0</v>
      </c>
      <c r="J161" s="7" t="n">
        <v>160</v>
      </c>
      <c r="K161" s="7" t="n">
        <v>7</v>
      </c>
      <c r="L161" s="7" t="n">
        <v>17</v>
      </c>
    </row>
    <row r="162" customFormat="false" ht="14.25" hidden="false" customHeight="false" outlineLevel="0" collapsed="false">
      <c r="A162" s="7" t="n">
        <v>193</v>
      </c>
      <c r="B162" s="7" t="s">
        <v>131</v>
      </c>
      <c r="C162" s="7" t="s">
        <v>132</v>
      </c>
      <c r="D162" s="7" t="n">
        <v>91001</v>
      </c>
      <c r="E162" s="51" t="n">
        <v>200025888812</v>
      </c>
      <c r="F162" s="51" t="s">
        <v>116</v>
      </c>
      <c r="G162" s="51" t="n">
        <v>49</v>
      </c>
      <c r="H162" s="52" t="n">
        <v>45799.5787384259</v>
      </c>
      <c r="I162" s="7" t="n">
        <v>0</v>
      </c>
      <c r="J162" s="7" t="n">
        <v>161</v>
      </c>
      <c r="K162" s="7" t="n">
        <v>8</v>
      </c>
      <c r="L162" s="7" t="n">
        <v>17</v>
      </c>
    </row>
    <row r="163" customFormat="false" ht="14.25" hidden="false" customHeight="false" outlineLevel="0" collapsed="false">
      <c r="A163" s="7" t="n">
        <v>194</v>
      </c>
      <c r="B163" s="7" t="s">
        <v>131</v>
      </c>
      <c r="C163" s="7" t="s">
        <v>132</v>
      </c>
      <c r="D163" s="7" t="n">
        <v>91001</v>
      </c>
      <c r="E163" s="51" t="n">
        <v>200025888808</v>
      </c>
      <c r="F163" s="51" t="s">
        <v>115</v>
      </c>
      <c r="G163" s="51" t="n">
        <v>43</v>
      </c>
      <c r="H163" s="52" t="n">
        <v>45799.5832523148</v>
      </c>
      <c r="I163" s="7" t="n">
        <v>1</v>
      </c>
      <c r="J163" s="7" t="n">
        <v>162</v>
      </c>
      <c r="K163" s="7" t="n">
        <v>13</v>
      </c>
      <c r="L163" s="7" t="n">
        <v>12</v>
      </c>
    </row>
    <row r="164" customFormat="false" ht="14.25" hidden="false" customHeight="false" outlineLevel="0" collapsed="false">
      <c r="A164" s="7" t="n">
        <v>195</v>
      </c>
      <c r="B164" s="7" t="s">
        <v>131</v>
      </c>
      <c r="C164" s="7" t="s">
        <v>132</v>
      </c>
      <c r="D164" s="7" t="n">
        <v>91001</v>
      </c>
      <c r="E164" s="51" t="n">
        <v>200025888509</v>
      </c>
      <c r="F164" s="51" t="s">
        <v>96</v>
      </c>
      <c r="G164" s="51" t="n">
        <v>35</v>
      </c>
      <c r="H164" s="52" t="n">
        <v>45799.6044212963</v>
      </c>
      <c r="I164" s="7" t="n">
        <v>0</v>
      </c>
      <c r="J164" s="7" t="n">
        <v>163</v>
      </c>
      <c r="K164" s="7" t="n">
        <v>1</v>
      </c>
      <c r="L164" s="7" t="n">
        <v>23</v>
      </c>
    </row>
    <row r="165" customFormat="false" ht="14.25" hidden="false" customHeight="false" outlineLevel="0" collapsed="false">
      <c r="A165" s="1" t="n">
        <v>196</v>
      </c>
      <c r="B165" s="1" t="s">
        <v>131</v>
      </c>
      <c r="C165" s="1" t="s">
        <v>132</v>
      </c>
      <c r="D165" s="1" t="n">
        <v>91001</v>
      </c>
      <c r="E165" s="51" t="n">
        <v>200025888663</v>
      </c>
      <c r="F165" s="51" t="s">
        <v>106</v>
      </c>
      <c r="G165" s="51" t="n">
        <v>29</v>
      </c>
      <c r="H165" s="52" t="n">
        <v>45799.6948842593</v>
      </c>
      <c r="I165" s="1" t="n">
        <v>0</v>
      </c>
      <c r="J165" s="7" t="n">
        <v>164</v>
      </c>
      <c r="K165" s="7" t="n">
        <v>1</v>
      </c>
      <c r="L165" s="7" t="n">
        <v>24</v>
      </c>
    </row>
    <row r="166" customFormat="false" ht="14.25" hidden="false" customHeight="false" outlineLevel="0" collapsed="false">
      <c r="A166" s="1" t="n">
        <v>197</v>
      </c>
      <c r="B166" s="1" t="s">
        <v>131</v>
      </c>
      <c r="C166" s="1" t="s">
        <v>132</v>
      </c>
      <c r="D166" s="1" t="n">
        <v>91001</v>
      </c>
      <c r="E166" s="51" t="n">
        <v>200025888216</v>
      </c>
      <c r="F166" s="51" t="s">
        <v>84</v>
      </c>
      <c r="G166" s="51" t="n">
        <v>33</v>
      </c>
      <c r="H166" s="52" t="n">
        <v>45799.7064814815</v>
      </c>
      <c r="I166" s="1" t="n">
        <v>0</v>
      </c>
      <c r="J166" s="7" t="n">
        <v>165</v>
      </c>
      <c r="K166" s="7" t="n">
        <v>3</v>
      </c>
      <c r="L166" s="7" t="n">
        <v>16</v>
      </c>
    </row>
    <row r="167" customFormat="false" ht="14.25" hidden="false" customHeight="false" outlineLevel="0" collapsed="false">
      <c r="A167" s="1" t="n">
        <v>198</v>
      </c>
      <c r="B167" s="1" t="s">
        <v>131</v>
      </c>
      <c r="C167" s="1" t="s">
        <v>132</v>
      </c>
      <c r="D167" s="1" t="n">
        <v>91001</v>
      </c>
      <c r="E167" s="51" t="n">
        <v>200025888663</v>
      </c>
      <c r="F167" s="51" t="s">
        <v>106</v>
      </c>
      <c r="G167" s="51" t="n">
        <v>29</v>
      </c>
      <c r="H167" s="52" t="n">
        <v>45799.7110185185</v>
      </c>
      <c r="I167" s="1" t="n">
        <v>2</v>
      </c>
      <c r="J167" s="7" t="n">
        <v>166</v>
      </c>
      <c r="K167" s="7" t="n">
        <v>2</v>
      </c>
      <c r="L167" s="7" t="n">
        <v>24</v>
      </c>
    </row>
    <row r="168" customFormat="false" ht="14.25" hidden="false" customHeight="false" outlineLevel="0" collapsed="false">
      <c r="A168" s="1" t="n">
        <v>199</v>
      </c>
      <c r="B168" s="1" t="s">
        <v>131</v>
      </c>
      <c r="C168" s="1" t="s">
        <v>132</v>
      </c>
      <c r="D168" s="1" t="n">
        <v>91001</v>
      </c>
      <c r="E168" s="51" t="n">
        <v>200025888663</v>
      </c>
      <c r="F168" s="51" t="s">
        <v>106</v>
      </c>
      <c r="G168" s="51" t="n">
        <v>29</v>
      </c>
      <c r="H168" s="52" t="n">
        <v>45799.712662037</v>
      </c>
      <c r="I168" s="1" t="n">
        <v>0</v>
      </c>
      <c r="J168" s="7" t="n">
        <v>167</v>
      </c>
      <c r="K168" s="7" t="n">
        <v>3</v>
      </c>
      <c r="L168" s="7" t="n">
        <v>24</v>
      </c>
    </row>
    <row r="169" customFormat="false" ht="14.25" hidden="false" customHeight="false" outlineLevel="0" collapsed="false">
      <c r="A169" s="1" t="n">
        <v>200</v>
      </c>
      <c r="B169" s="1" t="s">
        <v>131</v>
      </c>
      <c r="C169" s="1" t="s">
        <v>132</v>
      </c>
      <c r="D169" s="1" t="n">
        <v>91001</v>
      </c>
      <c r="E169" s="51" t="n">
        <v>200025888663</v>
      </c>
      <c r="F169" s="51" t="s">
        <v>106</v>
      </c>
      <c r="G169" s="51" t="n">
        <v>29</v>
      </c>
      <c r="H169" s="52" t="n">
        <v>45799.7126736111</v>
      </c>
      <c r="I169" s="1" t="n">
        <v>0</v>
      </c>
      <c r="J169" s="7" t="n">
        <v>168</v>
      </c>
      <c r="K169" s="7" t="n">
        <v>4</v>
      </c>
      <c r="L169" s="7" t="n">
        <v>24</v>
      </c>
    </row>
    <row r="170" customFormat="false" ht="14.25" hidden="false" customHeight="false" outlineLevel="0" collapsed="false">
      <c r="A170" s="1" t="n">
        <v>201</v>
      </c>
      <c r="B170" s="1" t="s">
        <v>131</v>
      </c>
      <c r="C170" s="1" t="s">
        <v>132</v>
      </c>
      <c r="D170" s="1" t="n">
        <v>91001</v>
      </c>
      <c r="E170" s="51" t="n">
        <v>200025888271</v>
      </c>
      <c r="F170" s="51" t="s">
        <v>89</v>
      </c>
      <c r="G170" s="51" t="n">
        <v>17</v>
      </c>
      <c r="H170" s="52" t="n">
        <v>45799.7504282407</v>
      </c>
      <c r="I170" s="1" t="n">
        <v>2</v>
      </c>
      <c r="J170" s="7" t="n">
        <v>169</v>
      </c>
      <c r="K170" s="7" t="n">
        <v>4</v>
      </c>
      <c r="L170" s="7" t="n">
        <v>19</v>
      </c>
    </row>
    <row r="171" customFormat="false" ht="14.25" hidden="false" customHeight="false" outlineLevel="0" collapsed="false">
      <c r="A171" s="1" t="n">
        <v>202</v>
      </c>
      <c r="B171" s="1" t="s">
        <v>131</v>
      </c>
      <c r="C171" s="1" t="s">
        <v>132</v>
      </c>
      <c r="D171" s="1" t="n">
        <v>91001</v>
      </c>
      <c r="E171" s="51" t="n">
        <v>200025888271</v>
      </c>
      <c r="F171" s="51" t="s">
        <v>89</v>
      </c>
      <c r="G171" s="51" t="n">
        <v>17</v>
      </c>
      <c r="H171" s="52" t="n">
        <v>45799.7506134259</v>
      </c>
      <c r="I171" s="1" t="n">
        <v>1</v>
      </c>
      <c r="J171" s="7" t="n">
        <v>170</v>
      </c>
      <c r="K171" s="7" t="n">
        <v>5</v>
      </c>
      <c r="L171" s="7" t="n">
        <v>19</v>
      </c>
    </row>
    <row r="172" customFormat="false" ht="14.25" hidden="false" customHeight="false" outlineLevel="0" collapsed="false">
      <c r="A172" s="1" t="n">
        <v>203</v>
      </c>
      <c r="B172" s="1" t="s">
        <v>131</v>
      </c>
      <c r="C172" s="1" t="s">
        <v>132</v>
      </c>
      <c r="D172" s="1" t="n">
        <v>91001</v>
      </c>
      <c r="E172" s="51" t="n">
        <v>200025888200</v>
      </c>
      <c r="F172" s="51" t="s">
        <v>74</v>
      </c>
      <c r="G172" s="51" t="n">
        <v>34</v>
      </c>
      <c r="H172" s="52" t="n">
        <v>45799.7532407407</v>
      </c>
      <c r="I172" s="1" t="n">
        <v>0</v>
      </c>
      <c r="J172" s="7" t="n">
        <v>171</v>
      </c>
      <c r="K172" s="7" t="n">
        <v>11</v>
      </c>
      <c r="L172" s="7" t="n">
        <v>3</v>
      </c>
    </row>
    <row r="173" customFormat="false" ht="14.25" hidden="false" customHeight="false" outlineLevel="0" collapsed="false">
      <c r="A173" s="1" t="n">
        <v>204</v>
      </c>
      <c r="B173" s="1" t="s">
        <v>131</v>
      </c>
      <c r="C173" s="1" t="s">
        <v>132</v>
      </c>
      <c r="D173" s="1" t="n">
        <v>91001</v>
      </c>
      <c r="E173" s="51" t="n">
        <v>200025888200</v>
      </c>
      <c r="F173" s="51" t="s">
        <v>74</v>
      </c>
      <c r="G173" s="51" t="n">
        <v>34</v>
      </c>
      <c r="H173" s="52" t="n">
        <v>45799.7532523148</v>
      </c>
      <c r="I173" s="1" t="n">
        <v>0</v>
      </c>
      <c r="J173" s="7" t="n">
        <v>172</v>
      </c>
      <c r="K173" s="7" t="n">
        <v>12</v>
      </c>
      <c r="L173" s="7" t="n">
        <v>3</v>
      </c>
    </row>
    <row r="174" customFormat="false" ht="14.25" hidden="false" customHeight="false" outlineLevel="0" collapsed="false">
      <c r="A174" s="1" t="n">
        <v>205</v>
      </c>
      <c r="B174" s="1" t="s">
        <v>131</v>
      </c>
      <c r="C174" s="1" t="s">
        <v>132</v>
      </c>
      <c r="D174" s="1" t="n">
        <v>91001</v>
      </c>
      <c r="E174" s="51" t="n">
        <v>200025888216</v>
      </c>
      <c r="F174" s="51" t="s">
        <v>84</v>
      </c>
      <c r="G174" s="51" t="n">
        <v>33</v>
      </c>
      <c r="H174" s="52" t="n">
        <v>45799.8016666667</v>
      </c>
      <c r="I174" s="1" t="n">
        <v>1</v>
      </c>
      <c r="J174" s="7" t="n">
        <v>173</v>
      </c>
      <c r="K174" s="7" t="n">
        <v>4</v>
      </c>
      <c r="L174" s="7" t="n">
        <v>16</v>
      </c>
    </row>
    <row r="175" customFormat="false" ht="14.25" hidden="false" customHeight="false" outlineLevel="0" collapsed="false">
      <c r="A175" s="1" t="n">
        <v>206</v>
      </c>
      <c r="B175" s="1" t="s">
        <v>131</v>
      </c>
      <c r="C175" s="1" t="s">
        <v>132</v>
      </c>
      <c r="D175" s="1" t="n">
        <v>91001</v>
      </c>
      <c r="E175" s="51" t="n">
        <v>200025888663</v>
      </c>
      <c r="F175" s="51" t="s">
        <v>106</v>
      </c>
      <c r="G175" s="51" t="n">
        <v>29</v>
      </c>
      <c r="H175" s="52" t="n">
        <v>45799.8175347222</v>
      </c>
      <c r="I175" s="1" t="n">
        <v>2</v>
      </c>
      <c r="J175" s="7" t="n">
        <v>174</v>
      </c>
      <c r="K175" s="7" t="n">
        <v>5</v>
      </c>
      <c r="L175" s="7" t="n">
        <v>24</v>
      </c>
    </row>
    <row r="176" customFormat="false" ht="14.25" hidden="false" customHeight="false" outlineLevel="0" collapsed="false">
      <c r="A176" s="1" t="n">
        <v>207</v>
      </c>
      <c r="B176" s="1" t="s">
        <v>131</v>
      </c>
      <c r="C176" s="1" t="s">
        <v>132</v>
      </c>
      <c r="D176" s="1" t="n">
        <v>91001</v>
      </c>
      <c r="E176" s="51" t="n">
        <v>200025888663</v>
      </c>
      <c r="F176" s="51" t="s">
        <v>106</v>
      </c>
      <c r="G176" s="51" t="n">
        <v>29</v>
      </c>
      <c r="H176" s="52" t="n">
        <v>45799.8177430556</v>
      </c>
      <c r="I176" s="1" t="n">
        <v>2</v>
      </c>
      <c r="J176" s="7" t="n">
        <v>175</v>
      </c>
      <c r="K176" s="7" t="n">
        <v>6</v>
      </c>
      <c r="L176" s="7" t="n">
        <v>24</v>
      </c>
    </row>
    <row r="177" customFormat="false" ht="14.25" hidden="false" customHeight="false" outlineLevel="0" collapsed="false">
      <c r="A177" s="1" t="n">
        <v>208</v>
      </c>
      <c r="B177" s="1" t="s">
        <v>131</v>
      </c>
      <c r="C177" s="1" t="s">
        <v>132</v>
      </c>
      <c r="D177" s="1" t="n">
        <v>91001</v>
      </c>
      <c r="E177" s="51" t="n">
        <v>200025888663</v>
      </c>
      <c r="F177" s="51" t="s">
        <v>106</v>
      </c>
      <c r="G177" s="51" t="n">
        <v>29</v>
      </c>
      <c r="H177" s="52" t="n">
        <v>45799.8181134259</v>
      </c>
      <c r="I177" s="1" t="n">
        <v>1</v>
      </c>
      <c r="J177" s="7" t="n">
        <v>176</v>
      </c>
      <c r="K177" s="7" t="n">
        <v>7</v>
      </c>
      <c r="L177" s="7" t="n">
        <v>24</v>
      </c>
    </row>
    <row r="178" customFormat="false" ht="14.25" hidden="false" customHeight="false" outlineLevel="0" collapsed="false">
      <c r="A178" s="1" t="n">
        <v>209</v>
      </c>
      <c r="B178" s="1" t="s">
        <v>131</v>
      </c>
      <c r="C178" s="1" t="s">
        <v>132</v>
      </c>
      <c r="D178" s="1" t="n">
        <v>91001</v>
      </c>
      <c r="E178" s="51" t="n">
        <v>200025888663</v>
      </c>
      <c r="F178" s="51" t="s">
        <v>106</v>
      </c>
      <c r="G178" s="51" t="n">
        <v>29</v>
      </c>
      <c r="H178" s="52" t="n">
        <v>45799.8182523148</v>
      </c>
      <c r="I178" s="1" t="n">
        <v>0</v>
      </c>
      <c r="J178" s="7" t="n">
        <v>177</v>
      </c>
      <c r="K178" s="7" t="n">
        <v>8</v>
      </c>
      <c r="L178" s="7" t="n">
        <v>24</v>
      </c>
    </row>
    <row r="179" customFormat="false" ht="14.25" hidden="false" customHeight="false" outlineLevel="0" collapsed="false">
      <c r="A179" s="1" t="n">
        <v>210</v>
      </c>
      <c r="B179" s="1" t="s">
        <v>131</v>
      </c>
      <c r="C179" s="1" t="s">
        <v>132</v>
      </c>
      <c r="D179" s="1" t="n">
        <v>91001</v>
      </c>
      <c r="E179" s="51" t="n">
        <v>200025888608</v>
      </c>
      <c r="F179" s="51" t="s">
        <v>102</v>
      </c>
      <c r="G179" s="51" t="n">
        <v>38</v>
      </c>
      <c r="H179" s="52" t="n">
        <v>45799.8260300926</v>
      </c>
      <c r="I179" s="1" t="n">
        <v>0</v>
      </c>
      <c r="J179" s="7" t="n">
        <v>178</v>
      </c>
      <c r="K179" s="7" t="n">
        <v>2</v>
      </c>
      <c r="L179" s="7" t="n">
        <v>20</v>
      </c>
    </row>
    <row r="180" customFormat="false" ht="14.25" hidden="false" customHeight="false" outlineLevel="0" collapsed="false">
      <c r="A180" s="1" t="n">
        <v>211</v>
      </c>
      <c r="B180" s="1" t="s">
        <v>131</v>
      </c>
      <c r="C180" s="1" t="s">
        <v>132</v>
      </c>
      <c r="D180" s="1" t="n">
        <v>91001</v>
      </c>
      <c r="E180" s="51" t="n">
        <v>200025888608</v>
      </c>
      <c r="F180" s="51" t="s">
        <v>102</v>
      </c>
      <c r="G180" s="51" t="n">
        <v>38</v>
      </c>
      <c r="H180" s="52" t="n">
        <v>45799.8313773148</v>
      </c>
      <c r="I180" s="1" t="n">
        <v>1</v>
      </c>
      <c r="J180" s="7" t="n">
        <v>179</v>
      </c>
      <c r="K180" s="7" t="n">
        <v>3</v>
      </c>
      <c r="L180" s="7" t="n">
        <v>20</v>
      </c>
    </row>
    <row r="181" customFormat="false" ht="14.25" hidden="false" customHeight="false" outlineLevel="0" collapsed="false">
      <c r="A181" s="1" t="n">
        <v>212</v>
      </c>
      <c r="B181" s="1" t="s">
        <v>131</v>
      </c>
      <c r="C181" s="1" t="s">
        <v>132</v>
      </c>
      <c r="D181" s="1" t="n">
        <v>91001</v>
      </c>
      <c r="E181" s="51" t="n">
        <v>200025888608</v>
      </c>
      <c r="F181" s="51" t="s">
        <v>102</v>
      </c>
      <c r="G181" s="51" t="n">
        <v>38</v>
      </c>
      <c r="H181" s="52" t="n">
        <v>45799.831400463</v>
      </c>
      <c r="I181" s="1" t="n">
        <v>1</v>
      </c>
      <c r="J181" s="7" t="n">
        <v>180</v>
      </c>
      <c r="K181" s="7" t="n">
        <v>4</v>
      </c>
      <c r="L181" s="7" t="n">
        <v>20</v>
      </c>
    </row>
    <row r="182" customFormat="false" ht="14.25" hidden="false" customHeight="false" outlineLevel="0" collapsed="false">
      <c r="A182" s="1" t="n">
        <v>213</v>
      </c>
      <c r="B182" s="1" t="s">
        <v>131</v>
      </c>
      <c r="C182" s="1" t="s">
        <v>132</v>
      </c>
      <c r="D182" s="1" t="n">
        <v>91001</v>
      </c>
      <c r="E182" s="51" t="n">
        <v>200025888608</v>
      </c>
      <c r="F182" s="51" t="s">
        <v>102</v>
      </c>
      <c r="G182" s="51" t="n">
        <v>38</v>
      </c>
      <c r="H182" s="52" t="n">
        <v>45799.8347453704</v>
      </c>
      <c r="I182" s="1" t="n">
        <v>0</v>
      </c>
      <c r="J182" s="7" t="n">
        <v>181</v>
      </c>
      <c r="K182" s="7" t="n">
        <v>5</v>
      </c>
      <c r="L182" s="7" t="n">
        <v>20</v>
      </c>
    </row>
    <row r="183" customFormat="false" ht="14.25" hidden="false" customHeight="false" outlineLevel="0" collapsed="false">
      <c r="A183" s="1" t="n">
        <v>214</v>
      </c>
      <c r="B183" s="1" t="s">
        <v>131</v>
      </c>
      <c r="C183" s="1" t="s">
        <v>132</v>
      </c>
      <c r="D183" s="1" t="n">
        <v>91001</v>
      </c>
      <c r="E183" s="51" t="n">
        <v>200025888201</v>
      </c>
      <c r="F183" s="51" t="s">
        <v>80</v>
      </c>
      <c r="G183" s="51" t="n">
        <v>20</v>
      </c>
      <c r="H183" s="52" t="n">
        <v>45799.8872569444</v>
      </c>
      <c r="I183" s="1" t="n">
        <v>0</v>
      </c>
      <c r="J183" s="7" t="n">
        <v>182</v>
      </c>
      <c r="K183" s="7" t="n">
        <v>2</v>
      </c>
      <c r="L183" s="7" t="n">
        <v>5</v>
      </c>
    </row>
    <row r="184" customFormat="false" ht="14.25" hidden="false" customHeight="false" outlineLevel="0" collapsed="false">
      <c r="A184" s="1" t="n">
        <v>215</v>
      </c>
      <c r="B184" s="1" t="s">
        <v>131</v>
      </c>
      <c r="C184" s="1" t="s">
        <v>132</v>
      </c>
      <c r="D184" s="1" t="n">
        <v>91001</v>
      </c>
      <c r="E184" s="51" t="n">
        <v>200025888201</v>
      </c>
      <c r="F184" s="51" t="s">
        <v>80</v>
      </c>
      <c r="G184" s="51" t="n">
        <v>20</v>
      </c>
      <c r="H184" s="52" t="n">
        <v>45799.8877314815</v>
      </c>
      <c r="I184" s="1" t="n">
        <v>0</v>
      </c>
      <c r="J184" s="7" t="n">
        <v>183</v>
      </c>
      <c r="K184" s="7" t="n">
        <v>3</v>
      </c>
      <c r="L184" s="7" t="n">
        <v>5</v>
      </c>
    </row>
    <row r="185" customFormat="false" ht="14.25" hidden="false" customHeight="false" outlineLevel="0" collapsed="false">
      <c r="A185" s="1" t="n">
        <v>216</v>
      </c>
      <c r="B185" s="1" t="s">
        <v>131</v>
      </c>
      <c r="C185" s="1" t="s">
        <v>132</v>
      </c>
      <c r="D185" s="1" t="n">
        <v>91001</v>
      </c>
      <c r="E185" s="51" t="n">
        <v>200025888834</v>
      </c>
      <c r="F185" s="51" t="s">
        <v>104</v>
      </c>
      <c r="G185" s="51" t="n">
        <v>25</v>
      </c>
      <c r="H185" s="52" t="n">
        <v>45800.0094560185</v>
      </c>
      <c r="I185" s="1" t="n">
        <v>0</v>
      </c>
      <c r="J185" s="7" t="n">
        <v>184</v>
      </c>
      <c r="K185" s="7" t="n">
        <v>1</v>
      </c>
      <c r="L185" s="7" t="n">
        <v>25</v>
      </c>
    </row>
    <row r="186" customFormat="false" ht="14.25" hidden="false" customHeight="false" outlineLevel="0" collapsed="false">
      <c r="A186" s="1" t="n">
        <v>217</v>
      </c>
      <c r="B186" s="1" t="s">
        <v>131</v>
      </c>
      <c r="C186" s="1" t="s">
        <v>132</v>
      </c>
      <c r="D186" s="1" t="n">
        <v>91001</v>
      </c>
      <c r="E186" s="51" t="n">
        <v>200025888834</v>
      </c>
      <c r="F186" s="51" t="s">
        <v>104</v>
      </c>
      <c r="G186" s="51" t="n">
        <v>25</v>
      </c>
      <c r="H186" s="52" t="n">
        <v>45800.0094675926</v>
      </c>
      <c r="I186" s="1" t="n">
        <v>1</v>
      </c>
      <c r="J186" s="7" t="n">
        <v>185</v>
      </c>
      <c r="K186" s="7" t="n">
        <v>2</v>
      </c>
      <c r="L186" s="7" t="n">
        <v>25</v>
      </c>
    </row>
    <row r="187" customFormat="false" ht="14.25" hidden="false" customHeight="false" outlineLevel="0" collapsed="false">
      <c r="A187" s="1" t="n">
        <v>218</v>
      </c>
      <c r="B187" s="1" t="s">
        <v>131</v>
      </c>
      <c r="C187" s="1" t="s">
        <v>132</v>
      </c>
      <c r="D187" s="1" t="n">
        <v>91001</v>
      </c>
      <c r="E187" s="51" t="n">
        <v>200025888834</v>
      </c>
      <c r="F187" s="51" t="s">
        <v>104</v>
      </c>
      <c r="G187" s="51" t="n">
        <v>25</v>
      </c>
      <c r="H187" s="52" t="n">
        <v>45800.0133101852</v>
      </c>
      <c r="I187" s="1" t="n">
        <v>1</v>
      </c>
      <c r="J187" s="7" t="n">
        <v>186</v>
      </c>
      <c r="K187" s="7" t="n">
        <v>3</v>
      </c>
      <c r="L187" s="7" t="n">
        <v>25</v>
      </c>
    </row>
    <row r="188" customFormat="false" ht="14.25" hidden="false" customHeight="false" outlineLevel="0" collapsed="false">
      <c r="A188" s="1" t="n">
        <v>219</v>
      </c>
      <c r="B188" s="1" t="s">
        <v>131</v>
      </c>
      <c r="C188" s="1" t="s">
        <v>132</v>
      </c>
      <c r="D188" s="1" t="n">
        <v>91001</v>
      </c>
      <c r="E188" s="51" t="n">
        <v>200025888834</v>
      </c>
      <c r="F188" s="51" t="s">
        <v>104</v>
      </c>
      <c r="G188" s="51" t="n">
        <v>25</v>
      </c>
      <c r="H188" s="52" t="n">
        <v>45800.0141666667</v>
      </c>
      <c r="I188" s="1" t="n">
        <v>0</v>
      </c>
      <c r="J188" s="7" t="n">
        <v>187</v>
      </c>
      <c r="K188" s="7" t="n">
        <v>4</v>
      </c>
      <c r="L188" s="7" t="n">
        <v>25</v>
      </c>
    </row>
    <row r="189" customFormat="false" ht="14.25" hidden="false" customHeight="false" outlineLevel="0" collapsed="false">
      <c r="A189" s="1" t="n">
        <v>220</v>
      </c>
      <c r="B189" s="1" t="s">
        <v>131</v>
      </c>
      <c r="C189" s="1" t="s">
        <v>132</v>
      </c>
      <c r="D189" s="1" t="n">
        <v>91001</v>
      </c>
      <c r="E189" s="51" t="n">
        <v>200025888834</v>
      </c>
      <c r="F189" s="51" t="s">
        <v>104</v>
      </c>
      <c r="G189" s="51" t="n">
        <v>25</v>
      </c>
      <c r="H189" s="52" t="n">
        <v>45800.0141782407</v>
      </c>
      <c r="I189" s="1" t="n">
        <v>0</v>
      </c>
      <c r="J189" s="7" t="n">
        <v>188</v>
      </c>
      <c r="K189" s="7" t="n">
        <v>5</v>
      </c>
      <c r="L189" s="7" t="n">
        <v>25</v>
      </c>
    </row>
    <row r="190" customFormat="false" ht="14.25" hidden="false" customHeight="false" outlineLevel="0" collapsed="false">
      <c r="A190" s="1" t="n">
        <v>221</v>
      </c>
      <c r="B190" s="1" t="s">
        <v>131</v>
      </c>
      <c r="C190" s="1" t="s">
        <v>132</v>
      </c>
      <c r="D190" s="1" t="n">
        <v>91001</v>
      </c>
      <c r="E190" s="51" t="n">
        <v>200025888834</v>
      </c>
      <c r="F190" s="51" t="s">
        <v>104</v>
      </c>
      <c r="G190" s="51" t="n">
        <v>25</v>
      </c>
      <c r="H190" s="52" t="n">
        <v>45800.1754166667</v>
      </c>
      <c r="I190" s="1" t="n">
        <v>0</v>
      </c>
      <c r="J190" s="7" t="n">
        <v>189</v>
      </c>
      <c r="K190" s="7" t="n">
        <v>6</v>
      </c>
      <c r="L190" s="7" t="n">
        <v>25</v>
      </c>
    </row>
    <row r="191" customFormat="false" ht="14.25" hidden="false" customHeight="false" outlineLevel="0" collapsed="false">
      <c r="A191" s="1" t="n">
        <v>222</v>
      </c>
      <c r="B191" s="1" t="s">
        <v>131</v>
      </c>
      <c r="C191" s="1" t="s">
        <v>132</v>
      </c>
      <c r="D191" s="1" t="n">
        <v>91001</v>
      </c>
      <c r="E191" s="51" t="n">
        <v>200025888834</v>
      </c>
      <c r="F191" s="51" t="s">
        <v>104</v>
      </c>
      <c r="G191" s="51" t="n">
        <v>25</v>
      </c>
      <c r="H191" s="52" t="n">
        <v>45800.1755671296</v>
      </c>
      <c r="I191" s="1" t="n">
        <v>1</v>
      </c>
      <c r="J191" s="7" t="n">
        <v>190</v>
      </c>
      <c r="K191" s="7" t="n">
        <v>7</v>
      </c>
      <c r="L191" s="7" t="n">
        <v>25</v>
      </c>
    </row>
    <row r="192" customFormat="false" ht="14.25" hidden="false" customHeight="false" outlineLevel="0" collapsed="false">
      <c r="A192" s="1" t="n">
        <v>223</v>
      </c>
      <c r="B192" s="1" t="s">
        <v>131</v>
      </c>
      <c r="C192" s="1" t="s">
        <v>132</v>
      </c>
      <c r="D192" s="1" t="n">
        <v>91001</v>
      </c>
      <c r="E192" s="51" t="n">
        <v>200025888834</v>
      </c>
      <c r="F192" s="51" t="s">
        <v>104</v>
      </c>
      <c r="G192" s="51" t="n">
        <v>25</v>
      </c>
      <c r="H192" s="52" t="n">
        <v>45800.1776388889</v>
      </c>
      <c r="I192" s="1" t="n">
        <v>0</v>
      </c>
      <c r="J192" s="7" t="n">
        <v>191</v>
      </c>
      <c r="K192" s="7" t="n">
        <v>8</v>
      </c>
      <c r="L192" s="7" t="n">
        <v>25</v>
      </c>
    </row>
    <row r="193" customFormat="false" ht="14.25" hidden="false" customHeight="false" outlineLevel="0" collapsed="false">
      <c r="A193" s="1" t="n">
        <v>224</v>
      </c>
      <c r="B193" s="1" t="s">
        <v>131</v>
      </c>
      <c r="C193" s="1" t="s">
        <v>132</v>
      </c>
      <c r="D193" s="1" t="n">
        <v>91001</v>
      </c>
      <c r="E193" s="51" t="n">
        <v>200025888863</v>
      </c>
      <c r="F193" s="51" t="s">
        <v>105</v>
      </c>
      <c r="G193" s="51" t="n">
        <v>26</v>
      </c>
      <c r="H193" s="52" t="n">
        <v>45800.3801273148</v>
      </c>
      <c r="I193" s="1" t="n">
        <v>0</v>
      </c>
      <c r="J193" s="7" t="n">
        <v>192</v>
      </c>
      <c r="K193" s="7" t="n">
        <v>16</v>
      </c>
      <c r="L193" s="7" t="n">
        <v>7</v>
      </c>
    </row>
    <row r="194" customFormat="false" ht="14.25" hidden="false" customHeight="false" outlineLevel="0" collapsed="false">
      <c r="A194" s="1" t="n">
        <v>225</v>
      </c>
      <c r="B194" s="1" t="s">
        <v>131</v>
      </c>
      <c r="C194" s="1" t="s">
        <v>132</v>
      </c>
      <c r="D194" s="1" t="n">
        <v>91001</v>
      </c>
      <c r="E194" s="51" t="n">
        <v>200025888863</v>
      </c>
      <c r="F194" s="51" t="s">
        <v>105</v>
      </c>
      <c r="G194" s="51" t="n">
        <v>26</v>
      </c>
      <c r="H194" s="52" t="n">
        <v>45800.3801388889</v>
      </c>
      <c r="I194" s="1" t="n">
        <v>1</v>
      </c>
      <c r="J194" s="7" t="n">
        <v>193</v>
      </c>
      <c r="K194" s="7" t="n">
        <v>17</v>
      </c>
      <c r="L194" s="7" t="n">
        <v>7</v>
      </c>
    </row>
    <row r="195" customFormat="false" ht="14.25" hidden="false" customHeight="false" outlineLevel="0" collapsed="false">
      <c r="A195" s="1" t="n">
        <v>226</v>
      </c>
      <c r="B195" s="1" t="s">
        <v>131</v>
      </c>
      <c r="C195" s="1" t="s">
        <v>132</v>
      </c>
      <c r="D195" s="1" t="n">
        <v>91001</v>
      </c>
      <c r="E195" s="51" t="n">
        <v>200025888982</v>
      </c>
      <c r="F195" s="51" t="s">
        <v>77</v>
      </c>
      <c r="G195" s="51" t="n">
        <v>6</v>
      </c>
      <c r="H195" s="52" t="n">
        <v>45801.2373842593</v>
      </c>
      <c r="I195" s="1" t="n">
        <v>0</v>
      </c>
      <c r="J195" s="7" t="n">
        <v>194</v>
      </c>
      <c r="K195" s="7" t="n">
        <v>6</v>
      </c>
      <c r="L195" s="7" t="n">
        <v>1</v>
      </c>
    </row>
    <row r="196" customFormat="false" ht="14.25" hidden="false" customHeight="false" outlineLevel="0" collapsed="false">
      <c r="A196" s="1" t="n">
        <v>227</v>
      </c>
      <c r="B196" s="1" t="s">
        <v>131</v>
      </c>
      <c r="C196" s="1" t="s">
        <v>132</v>
      </c>
      <c r="D196" s="1" t="n">
        <v>91001</v>
      </c>
      <c r="E196" s="51" t="n">
        <v>200025888982</v>
      </c>
      <c r="F196" s="51" t="s">
        <v>77</v>
      </c>
      <c r="G196" s="51" t="n">
        <v>6</v>
      </c>
      <c r="H196" s="52" t="n">
        <v>45801.2375231482</v>
      </c>
      <c r="I196" s="1" t="n">
        <v>1</v>
      </c>
      <c r="J196" s="7" t="n">
        <v>195</v>
      </c>
      <c r="K196" s="7" t="n">
        <v>7</v>
      </c>
      <c r="L196" s="7" t="n">
        <v>1</v>
      </c>
    </row>
    <row r="197" customFormat="false" ht="14.25" hidden="false" customHeight="false" outlineLevel="0" collapsed="false">
      <c r="A197" s="1" t="n">
        <v>228</v>
      </c>
      <c r="B197" s="1" t="s">
        <v>131</v>
      </c>
      <c r="C197" s="1" t="s">
        <v>132</v>
      </c>
      <c r="D197" s="1" t="n">
        <v>91001</v>
      </c>
      <c r="E197" s="51" t="n">
        <v>200025888982</v>
      </c>
      <c r="F197" s="51" t="s">
        <v>77</v>
      </c>
      <c r="G197" s="51" t="n">
        <v>6</v>
      </c>
      <c r="H197" s="52" t="n">
        <v>45801.2375347222</v>
      </c>
      <c r="I197" s="1" t="n">
        <v>1</v>
      </c>
      <c r="J197" s="7" t="n">
        <v>196</v>
      </c>
      <c r="K197" s="7" t="n">
        <v>8</v>
      </c>
      <c r="L197" s="7" t="n">
        <v>1</v>
      </c>
    </row>
    <row r="198" customFormat="false" ht="14.25" hidden="false" customHeight="false" outlineLevel="0" collapsed="false">
      <c r="A198" s="1" t="n">
        <v>229</v>
      </c>
      <c r="B198" s="1" t="s">
        <v>131</v>
      </c>
      <c r="C198" s="1" t="s">
        <v>132</v>
      </c>
      <c r="D198" s="1" t="n">
        <v>91001</v>
      </c>
      <c r="E198" s="51" t="n">
        <v>200025888982</v>
      </c>
      <c r="F198" s="51" t="s">
        <v>77</v>
      </c>
      <c r="G198" s="51" t="n">
        <v>6</v>
      </c>
      <c r="H198" s="52" t="n">
        <v>45801.2392361111</v>
      </c>
      <c r="I198" s="1" t="n">
        <v>0</v>
      </c>
      <c r="J198" s="7" t="n">
        <v>197</v>
      </c>
      <c r="K198" s="7" t="n">
        <v>9</v>
      </c>
      <c r="L198" s="7" t="n">
        <v>1</v>
      </c>
    </row>
    <row r="199" customFormat="false" ht="14.25" hidden="false" customHeight="false" outlineLevel="0" collapsed="false">
      <c r="A199" s="1" t="n">
        <v>230</v>
      </c>
      <c r="B199" s="1" t="s">
        <v>131</v>
      </c>
      <c r="C199" s="1" t="s">
        <v>132</v>
      </c>
      <c r="D199" s="1" t="n">
        <v>91001</v>
      </c>
      <c r="E199" s="51" t="n">
        <v>200025888982</v>
      </c>
      <c r="F199" s="51" t="s">
        <v>77</v>
      </c>
      <c r="G199" s="51" t="n">
        <v>6</v>
      </c>
      <c r="H199" s="52" t="n">
        <v>45801.313912037</v>
      </c>
      <c r="I199" s="1" t="n">
        <v>1</v>
      </c>
      <c r="J199" s="7" t="n">
        <v>198</v>
      </c>
      <c r="K199" s="7" t="n">
        <v>10</v>
      </c>
      <c r="L199" s="7" t="n">
        <v>1</v>
      </c>
    </row>
    <row r="200" customFormat="false" ht="14.25" hidden="false" customHeight="false" outlineLevel="0" collapsed="false">
      <c r="A200" s="1" t="n">
        <v>13</v>
      </c>
      <c r="B200" s="1" t="s">
        <v>134</v>
      </c>
      <c r="C200" s="7" t="s">
        <v>135</v>
      </c>
      <c r="D200" s="1" t="n">
        <v>91807</v>
      </c>
      <c r="E200" s="51" t="n">
        <v>200025888982</v>
      </c>
      <c r="F200" s="51" t="s">
        <v>77</v>
      </c>
      <c r="G200" s="51" t="n">
        <v>6</v>
      </c>
      <c r="H200" s="52" t="n">
        <v>45797.8131018519</v>
      </c>
      <c r="I200" s="1" t="n">
        <v>31</v>
      </c>
      <c r="J200" s="1" t="n">
        <v>1</v>
      </c>
      <c r="K200" s="7" t="n">
        <v>1</v>
      </c>
      <c r="L200" s="7" t="n">
        <v>1</v>
      </c>
    </row>
    <row r="201" customFormat="false" ht="14.25" hidden="false" customHeight="false" outlineLevel="0" collapsed="false">
      <c r="A201" s="7" t="n">
        <v>28</v>
      </c>
      <c r="B201" s="1" t="s">
        <v>136</v>
      </c>
      <c r="C201" s="7" t="s">
        <v>137</v>
      </c>
      <c r="D201" s="15" t="n">
        <v>93202</v>
      </c>
      <c r="E201" s="51" t="n">
        <v>200025888137</v>
      </c>
      <c r="F201" s="51" t="s">
        <v>68</v>
      </c>
      <c r="G201" s="51" t="n">
        <v>46</v>
      </c>
      <c r="H201" s="52" t="n">
        <v>45797.8432291667</v>
      </c>
      <c r="I201" s="1" t="n">
        <v>47</v>
      </c>
      <c r="J201" s="1" t="n">
        <v>1</v>
      </c>
      <c r="K201" s="7" t="n">
        <v>1</v>
      </c>
      <c r="L201" s="7" t="n">
        <v>2</v>
      </c>
    </row>
    <row r="202" customFormat="false" ht="14.25" hidden="false" customHeight="false" outlineLevel="0" collapsed="false">
      <c r="A202" s="7" t="n">
        <v>29</v>
      </c>
      <c r="B202" s="1" t="s">
        <v>136</v>
      </c>
      <c r="C202" s="7" t="s">
        <v>137</v>
      </c>
      <c r="D202" s="15" t="n">
        <v>93202</v>
      </c>
      <c r="E202" s="51" t="n">
        <v>200025888201</v>
      </c>
      <c r="F202" s="51" t="s">
        <v>80</v>
      </c>
      <c r="G202" s="51" t="n">
        <v>20</v>
      </c>
      <c r="H202" s="52" t="n">
        <v>45798.499212963</v>
      </c>
      <c r="I202" s="1" t="n">
        <v>4673</v>
      </c>
      <c r="J202" s="1" t="n">
        <v>2</v>
      </c>
      <c r="K202" s="7" t="n">
        <v>1</v>
      </c>
      <c r="L202" s="7" t="n">
        <v>5</v>
      </c>
    </row>
    <row r="203" customFormat="false" ht="14.25" hidden="false" customHeight="false" outlineLevel="0" collapsed="false">
      <c r="A203" s="7" t="n">
        <v>30</v>
      </c>
      <c r="B203" s="1" t="s">
        <v>136</v>
      </c>
      <c r="C203" s="7" t="s">
        <v>137</v>
      </c>
      <c r="D203" s="15" t="n">
        <v>93202</v>
      </c>
      <c r="E203" s="51" t="n">
        <v>200025888868</v>
      </c>
      <c r="F203" s="51" t="s">
        <v>118</v>
      </c>
      <c r="G203" s="51" t="n">
        <v>44</v>
      </c>
      <c r="H203" s="52" t="n">
        <v>45798.9082060185</v>
      </c>
      <c r="I203" s="1" t="n">
        <v>0</v>
      </c>
      <c r="J203" s="1" t="n">
        <v>3</v>
      </c>
      <c r="K203" s="7" t="n">
        <v>1</v>
      </c>
      <c r="L203" s="7" t="n">
        <v>14</v>
      </c>
    </row>
    <row r="204" customFormat="false" ht="14.25" hidden="false" customHeight="false" outlineLevel="0" collapsed="false">
      <c r="A204" s="7" t="n">
        <v>31</v>
      </c>
      <c r="B204" s="1" t="s">
        <v>136</v>
      </c>
      <c r="C204" s="7" t="s">
        <v>137</v>
      </c>
      <c r="D204" s="15" t="n">
        <v>93202</v>
      </c>
      <c r="E204" s="51" t="n">
        <v>200025888654</v>
      </c>
      <c r="F204" s="51" t="s">
        <v>67</v>
      </c>
      <c r="G204" s="51" t="n">
        <v>1</v>
      </c>
      <c r="H204" s="52" t="n">
        <v>45798.9140509259</v>
      </c>
      <c r="I204" s="1" t="n">
        <v>0</v>
      </c>
      <c r="J204" s="1" t="n">
        <v>4</v>
      </c>
      <c r="K204" s="7" t="n">
        <v>19</v>
      </c>
      <c r="L204" s="7" t="n">
        <v>6</v>
      </c>
    </row>
    <row r="205" customFormat="false" ht="14.25" hidden="false" customHeight="false" outlineLevel="0" collapsed="false">
      <c r="A205" s="7" t="n">
        <v>32</v>
      </c>
      <c r="B205" s="1" t="s">
        <v>136</v>
      </c>
      <c r="C205" s="7" t="s">
        <v>137</v>
      </c>
      <c r="D205" s="15" t="n">
        <v>93202</v>
      </c>
      <c r="E205" s="51" t="n">
        <v>200025888504</v>
      </c>
      <c r="F205" s="51" t="s">
        <v>95</v>
      </c>
      <c r="G205" s="51" t="n">
        <v>40</v>
      </c>
      <c r="H205" s="52" t="n">
        <v>45798.9312962963</v>
      </c>
      <c r="I205" s="1" t="n">
        <v>0</v>
      </c>
      <c r="J205" s="1" t="n">
        <v>5</v>
      </c>
      <c r="K205" s="7" t="n">
        <v>1</v>
      </c>
      <c r="L205" s="7" t="n">
        <v>15</v>
      </c>
    </row>
    <row r="206" customFormat="false" ht="14.25" hidden="false" customHeight="false" outlineLevel="0" collapsed="false">
      <c r="A206" s="1" t="n">
        <v>33</v>
      </c>
      <c r="B206" s="1" t="s">
        <v>136</v>
      </c>
      <c r="C206" s="7" t="s">
        <v>137</v>
      </c>
      <c r="D206" s="15" t="n">
        <v>93202</v>
      </c>
      <c r="E206" s="51" t="n">
        <v>200025888868</v>
      </c>
      <c r="F206" s="51" t="s">
        <v>118</v>
      </c>
      <c r="G206" s="51" t="n">
        <v>44</v>
      </c>
      <c r="H206" s="52" t="n">
        <v>45798.9450810185</v>
      </c>
      <c r="I206" s="1" t="n">
        <v>0</v>
      </c>
      <c r="J206" s="1" t="n">
        <v>6</v>
      </c>
      <c r="K206" s="7" t="n">
        <v>2</v>
      </c>
      <c r="L206" s="7" t="n">
        <v>14</v>
      </c>
    </row>
    <row r="207" customFormat="false" ht="14.25" hidden="false" customHeight="false" outlineLevel="0" collapsed="false">
      <c r="A207" s="1" t="n">
        <v>34</v>
      </c>
      <c r="B207" s="1" t="s">
        <v>136</v>
      </c>
      <c r="C207" s="7" t="s">
        <v>137</v>
      </c>
      <c r="D207" s="15" t="n">
        <v>93202</v>
      </c>
      <c r="E207" s="51" t="n">
        <v>200025888868</v>
      </c>
      <c r="F207" s="51" t="s">
        <v>118</v>
      </c>
      <c r="G207" s="51" t="n">
        <v>44</v>
      </c>
      <c r="H207" s="52" t="n">
        <v>45799.2275694445</v>
      </c>
      <c r="I207" s="1" t="n">
        <v>0</v>
      </c>
      <c r="J207" s="1" t="n">
        <v>7</v>
      </c>
      <c r="K207" s="7" t="n">
        <v>3</v>
      </c>
      <c r="L207" s="7" t="n">
        <v>14</v>
      </c>
    </row>
    <row r="208" customFormat="false" ht="14.25" hidden="false" customHeight="false" outlineLevel="0" collapsed="false">
      <c r="A208" s="1" t="n">
        <v>35</v>
      </c>
      <c r="B208" s="1" t="s">
        <v>136</v>
      </c>
      <c r="C208" s="1" t="s">
        <v>137</v>
      </c>
      <c r="D208" s="1" t="n">
        <v>93202</v>
      </c>
      <c r="E208" s="56" t="n">
        <v>200025888244</v>
      </c>
      <c r="F208" s="56" t="s">
        <v>88</v>
      </c>
      <c r="G208" s="56" t="n">
        <v>12</v>
      </c>
      <c r="H208" s="52" t="n">
        <v>45799.5332407407</v>
      </c>
      <c r="I208" s="1" t="n">
        <v>2</v>
      </c>
      <c r="J208" s="1" t="n">
        <v>8</v>
      </c>
      <c r="K208" s="7" t="n">
        <v>1</v>
      </c>
      <c r="L208" s="7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8"/>
  <sheetViews>
    <sheetView showFormulas="false" showGridLines="true" showRowColHeaders="true" showZeros="true" rightToLeft="false" tabSelected="false" showOutlineSymbols="true" defaultGridColor="true" view="normal" topLeftCell="L10" colorId="64" zoomScale="100" zoomScaleNormal="100" zoomScalePageLayoutView="100" workbookViewId="0">
      <selection pane="topLeft" activeCell="AD32" activeCellId="0" sqref="AD32"/>
    </sheetView>
  </sheetViews>
  <sheetFormatPr defaultColWidth="10.6796875" defaultRowHeight="14.25" zeroHeight="false" outlineLevelRow="0" outlineLevelCol="0"/>
  <cols>
    <col collapsed="false" customWidth="true" hidden="false" outlineLevel="0" max="1" min="1" style="7" width="4.88"/>
    <col collapsed="false" customWidth="true" hidden="false" outlineLevel="0" max="2" min="2" style="7" width="18.34"/>
    <col collapsed="false" customWidth="true" hidden="false" outlineLevel="0" max="4" min="3" style="7" width="9.44"/>
    <col collapsed="false" customWidth="true" hidden="false" outlineLevel="0" max="5" min="5" style="51" width="15.56"/>
    <col collapsed="false" customWidth="true" hidden="false" outlineLevel="0" max="6" min="6" style="51" width="9.33"/>
    <col collapsed="false" customWidth="true" hidden="false" outlineLevel="0" max="7" min="7" style="51" width="7.11"/>
    <col collapsed="false" customWidth="true" hidden="false" outlineLevel="0" max="8" min="8" style="52" width="21.44"/>
    <col collapsed="false" customWidth="true" hidden="false" outlineLevel="0" max="10" min="9" style="7" width="7.88"/>
    <col collapsed="false" customWidth="true" hidden="false" outlineLevel="0" max="11" min="11" style="7" width="8.34"/>
    <col collapsed="false" customWidth="true" hidden="false" outlineLevel="0" max="12" min="12" style="7" width="8.56"/>
    <col collapsed="false" customWidth="true" hidden="false" outlineLevel="0" max="13" min="13" style="7" width="7.44"/>
  </cols>
  <sheetData>
    <row r="1" customFormat="false" ht="68.65" hidden="false" customHeight="false" outlineLevel="0" collapsed="false">
      <c r="A1" s="53" t="s">
        <v>119</v>
      </c>
      <c r="B1" s="53" t="s">
        <v>120</v>
      </c>
      <c r="C1" s="53" t="s">
        <v>121</v>
      </c>
      <c r="D1" s="53" t="s">
        <v>122</v>
      </c>
      <c r="E1" s="54" t="s">
        <v>123</v>
      </c>
      <c r="F1" s="54" t="s">
        <v>124</v>
      </c>
      <c r="G1" s="54" t="s">
        <v>125</v>
      </c>
      <c r="H1" s="55" t="s">
        <v>126</v>
      </c>
      <c r="I1" s="53" t="s">
        <v>130</v>
      </c>
      <c r="J1" s="53" t="s">
        <v>130</v>
      </c>
      <c r="K1" s="53" t="s">
        <v>129</v>
      </c>
      <c r="L1" s="53" t="s">
        <v>128</v>
      </c>
      <c r="M1" s="53" t="s">
        <v>127</v>
      </c>
    </row>
    <row r="2" customFormat="false" ht="14.25" hidden="false" customHeight="false" outlineLevel="0" collapsed="false">
      <c r="A2" s="1" t="n">
        <v>13</v>
      </c>
      <c r="B2" s="1" t="s">
        <v>134</v>
      </c>
      <c r="C2" s="7" t="s">
        <v>135</v>
      </c>
      <c r="D2" s="1" t="n">
        <v>91807</v>
      </c>
      <c r="E2" s="51" t="n">
        <v>200025888982</v>
      </c>
      <c r="F2" s="51" t="s">
        <v>77</v>
      </c>
      <c r="G2" s="51" t="n">
        <v>6</v>
      </c>
      <c r="H2" s="52" t="n">
        <v>45797.8131018519</v>
      </c>
      <c r="I2" s="7" t="n">
        <v>1</v>
      </c>
      <c r="J2" s="7" t="n">
        <v>1</v>
      </c>
      <c r="K2" s="7" t="n">
        <v>1</v>
      </c>
      <c r="L2" s="1" t="n">
        <v>1</v>
      </c>
      <c r="M2" s="1" t="n">
        <v>31</v>
      </c>
    </row>
    <row r="3" customFormat="false" ht="14.25" hidden="false" customHeight="false" outlineLevel="0" collapsed="false">
      <c r="A3" s="1" t="n">
        <v>94</v>
      </c>
      <c r="B3" s="7" t="s">
        <v>131</v>
      </c>
      <c r="C3" s="7" t="s">
        <v>132</v>
      </c>
      <c r="D3" s="7" t="n">
        <v>91001</v>
      </c>
      <c r="E3" s="51" t="n">
        <v>200025888982</v>
      </c>
      <c r="F3" s="51" t="s">
        <v>77</v>
      </c>
      <c r="G3" s="51" t="n">
        <v>6</v>
      </c>
      <c r="H3" s="52" t="n">
        <v>45798.7506712963</v>
      </c>
      <c r="I3" s="7" t="n">
        <v>1</v>
      </c>
      <c r="J3" s="7" t="n">
        <v>1</v>
      </c>
      <c r="K3" s="7" t="n">
        <v>2</v>
      </c>
      <c r="L3" s="7" t="n">
        <v>62</v>
      </c>
      <c r="M3" s="7" t="n">
        <v>0</v>
      </c>
    </row>
    <row r="4" customFormat="false" ht="14.25" hidden="false" customHeight="false" outlineLevel="0" collapsed="false">
      <c r="A4" s="1" t="n">
        <v>95</v>
      </c>
      <c r="B4" s="7" t="s">
        <v>131</v>
      </c>
      <c r="C4" s="7" t="s">
        <v>132</v>
      </c>
      <c r="D4" s="7" t="n">
        <v>91001</v>
      </c>
      <c r="E4" s="51" t="n">
        <v>200025888982</v>
      </c>
      <c r="F4" s="51" t="s">
        <v>77</v>
      </c>
      <c r="G4" s="51" t="n">
        <v>6</v>
      </c>
      <c r="H4" s="52" t="n">
        <v>45798.7506828704</v>
      </c>
      <c r="I4" s="7" t="n">
        <v>1</v>
      </c>
      <c r="J4" s="7" t="n">
        <v>1</v>
      </c>
      <c r="K4" s="7" t="n">
        <v>3</v>
      </c>
      <c r="L4" s="7" t="n">
        <v>63</v>
      </c>
      <c r="M4" s="7" t="n">
        <v>0</v>
      </c>
    </row>
    <row r="5" customFormat="false" ht="14.25" hidden="false" customHeight="false" outlineLevel="0" collapsed="false">
      <c r="A5" s="1" t="n">
        <v>103</v>
      </c>
      <c r="B5" s="7" t="s">
        <v>131</v>
      </c>
      <c r="C5" s="7" t="s">
        <v>132</v>
      </c>
      <c r="D5" s="7" t="n">
        <v>91001</v>
      </c>
      <c r="E5" s="51" t="n">
        <v>200025888982</v>
      </c>
      <c r="F5" s="51" t="s">
        <v>77</v>
      </c>
      <c r="G5" s="51" t="n">
        <v>6</v>
      </c>
      <c r="H5" s="52" t="n">
        <v>45798.8075</v>
      </c>
      <c r="I5" s="7" t="n">
        <v>1</v>
      </c>
      <c r="J5" s="7" t="n">
        <v>1</v>
      </c>
      <c r="K5" s="7" t="n">
        <v>4</v>
      </c>
      <c r="L5" s="7" t="n">
        <v>71</v>
      </c>
      <c r="M5" s="7" t="n">
        <v>2</v>
      </c>
    </row>
    <row r="6" customFormat="false" ht="14.25" hidden="false" customHeight="false" outlineLevel="0" collapsed="false">
      <c r="A6" s="1" t="n">
        <v>104</v>
      </c>
      <c r="B6" s="7" t="s">
        <v>131</v>
      </c>
      <c r="C6" s="7" t="s">
        <v>132</v>
      </c>
      <c r="D6" s="7" t="n">
        <v>91001</v>
      </c>
      <c r="E6" s="51" t="n">
        <v>200025888982</v>
      </c>
      <c r="F6" s="51" t="s">
        <v>77</v>
      </c>
      <c r="G6" s="51" t="n">
        <v>6</v>
      </c>
      <c r="H6" s="52" t="n">
        <v>45798.807650463</v>
      </c>
      <c r="I6" s="7" t="n">
        <v>1</v>
      </c>
      <c r="J6" s="7" t="n">
        <v>1</v>
      </c>
      <c r="K6" s="7" t="n">
        <v>5</v>
      </c>
      <c r="L6" s="7" t="n">
        <v>72</v>
      </c>
      <c r="M6" s="7" t="n">
        <v>2</v>
      </c>
    </row>
    <row r="7" customFormat="false" ht="14.25" hidden="false" customHeight="false" outlineLevel="0" collapsed="false">
      <c r="A7" s="1" t="n">
        <v>226</v>
      </c>
      <c r="B7" s="1" t="s">
        <v>131</v>
      </c>
      <c r="C7" s="1" t="s">
        <v>132</v>
      </c>
      <c r="D7" s="1" t="n">
        <v>91001</v>
      </c>
      <c r="E7" s="51" t="n">
        <v>200025888982</v>
      </c>
      <c r="F7" s="51" t="s">
        <v>77</v>
      </c>
      <c r="G7" s="51" t="n">
        <v>6</v>
      </c>
      <c r="H7" s="52" t="n">
        <v>45801.2373842593</v>
      </c>
      <c r="I7" s="7" t="n">
        <v>1</v>
      </c>
      <c r="J7" s="7" t="n">
        <v>1</v>
      </c>
      <c r="K7" s="7" t="n">
        <v>6</v>
      </c>
      <c r="L7" s="7" t="n">
        <v>194</v>
      </c>
      <c r="M7" s="1" t="n">
        <v>0</v>
      </c>
    </row>
    <row r="8" customFormat="false" ht="14.25" hidden="false" customHeight="false" outlineLevel="0" collapsed="false">
      <c r="A8" s="1" t="n">
        <v>227</v>
      </c>
      <c r="B8" s="1" t="s">
        <v>131</v>
      </c>
      <c r="C8" s="1" t="s">
        <v>132</v>
      </c>
      <c r="D8" s="1" t="n">
        <v>91001</v>
      </c>
      <c r="E8" s="51" t="n">
        <v>200025888982</v>
      </c>
      <c r="F8" s="51" t="s">
        <v>77</v>
      </c>
      <c r="G8" s="51" t="n">
        <v>6</v>
      </c>
      <c r="H8" s="52" t="n">
        <v>45801.2375231482</v>
      </c>
      <c r="I8" s="7" t="n">
        <v>1</v>
      </c>
      <c r="J8" s="7" t="n">
        <v>1</v>
      </c>
      <c r="K8" s="7" t="n">
        <v>7</v>
      </c>
      <c r="L8" s="7" t="n">
        <v>195</v>
      </c>
      <c r="M8" s="1" t="n">
        <v>1</v>
      </c>
    </row>
    <row r="9" customFormat="false" ht="14.25" hidden="false" customHeight="false" outlineLevel="0" collapsed="false">
      <c r="A9" s="1" t="n">
        <v>228</v>
      </c>
      <c r="B9" s="1" t="s">
        <v>131</v>
      </c>
      <c r="C9" s="1" t="s">
        <v>132</v>
      </c>
      <c r="D9" s="1" t="n">
        <v>91001</v>
      </c>
      <c r="E9" s="51" t="n">
        <v>200025888982</v>
      </c>
      <c r="F9" s="51" t="s">
        <v>77</v>
      </c>
      <c r="G9" s="51" t="n">
        <v>6</v>
      </c>
      <c r="H9" s="52" t="n">
        <v>45801.2375347222</v>
      </c>
      <c r="I9" s="7" t="n">
        <v>1</v>
      </c>
      <c r="J9" s="7" t="n">
        <v>1</v>
      </c>
      <c r="K9" s="7" t="n">
        <v>8</v>
      </c>
      <c r="L9" s="7" t="n">
        <v>196</v>
      </c>
      <c r="M9" s="1" t="n">
        <v>1</v>
      </c>
    </row>
    <row r="10" customFormat="false" ht="14.25" hidden="false" customHeight="false" outlineLevel="0" collapsed="false">
      <c r="A10" s="1" t="n">
        <v>229</v>
      </c>
      <c r="B10" s="1" t="s">
        <v>131</v>
      </c>
      <c r="C10" s="1" t="s">
        <v>132</v>
      </c>
      <c r="D10" s="1" t="n">
        <v>91001</v>
      </c>
      <c r="E10" s="51" t="n">
        <v>200025888982</v>
      </c>
      <c r="F10" s="51" t="s">
        <v>77</v>
      </c>
      <c r="G10" s="51" t="n">
        <v>6</v>
      </c>
      <c r="H10" s="52" t="n">
        <v>45801.2392361111</v>
      </c>
      <c r="I10" s="7" t="n">
        <v>1</v>
      </c>
      <c r="J10" s="7" t="n">
        <v>1</v>
      </c>
      <c r="K10" s="7" t="n">
        <v>9</v>
      </c>
      <c r="L10" s="7" t="n">
        <v>197</v>
      </c>
      <c r="M10" s="1" t="n">
        <v>0</v>
      </c>
    </row>
    <row r="11" customFormat="false" ht="14.25" hidden="false" customHeight="false" outlineLevel="0" collapsed="false">
      <c r="A11" s="1" t="n">
        <v>230</v>
      </c>
      <c r="B11" s="1" t="s">
        <v>131</v>
      </c>
      <c r="C11" s="1" t="s">
        <v>132</v>
      </c>
      <c r="D11" s="1" t="n">
        <v>91001</v>
      </c>
      <c r="E11" s="51" t="n">
        <v>200025888982</v>
      </c>
      <c r="F11" s="51" t="s">
        <v>77</v>
      </c>
      <c r="G11" s="51" t="n">
        <v>6</v>
      </c>
      <c r="H11" s="52" t="n">
        <v>45801.313912037</v>
      </c>
      <c r="I11" s="7" t="n">
        <v>1</v>
      </c>
      <c r="J11" s="7" t="n">
        <v>1</v>
      </c>
      <c r="K11" s="7" t="n">
        <v>10</v>
      </c>
      <c r="L11" s="7" t="n">
        <v>198</v>
      </c>
      <c r="M11" s="1" t="n">
        <v>1</v>
      </c>
    </row>
    <row r="12" customFormat="false" ht="14.25" hidden="false" customHeight="false" outlineLevel="0" collapsed="false">
      <c r="A12" s="7" t="n">
        <v>28</v>
      </c>
      <c r="B12" s="1" t="s">
        <v>136</v>
      </c>
      <c r="C12" s="7" t="s">
        <v>137</v>
      </c>
      <c r="D12" s="15" t="n">
        <v>93202</v>
      </c>
      <c r="E12" s="51" t="n">
        <v>200025888137</v>
      </c>
      <c r="F12" s="51" t="s">
        <v>68</v>
      </c>
      <c r="G12" s="51" t="n">
        <v>46</v>
      </c>
      <c r="H12" s="52" t="n">
        <v>45797.8432291667</v>
      </c>
      <c r="I12" s="7" t="n">
        <v>2</v>
      </c>
      <c r="J12" s="7" t="n">
        <v>2</v>
      </c>
      <c r="K12" s="7" t="n">
        <v>1</v>
      </c>
      <c r="L12" s="1" t="n">
        <v>1</v>
      </c>
      <c r="M12" s="1" t="n">
        <v>47</v>
      </c>
    </row>
    <row r="13" customFormat="false" ht="14.25" hidden="false" customHeight="false" outlineLevel="0" collapsed="false">
      <c r="A13" s="7" t="n">
        <v>48</v>
      </c>
      <c r="B13" s="7" t="s">
        <v>131</v>
      </c>
      <c r="C13" s="7" t="s">
        <v>132</v>
      </c>
      <c r="D13" s="7" t="n">
        <v>91001</v>
      </c>
      <c r="E13" s="51" t="n">
        <v>200025888137</v>
      </c>
      <c r="F13" s="51" t="s">
        <v>68</v>
      </c>
      <c r="G13" s="51" t="n">
        <v>46</v>
      </c>
      <c r="H13" s="52" t="n">
        <v>45798.511724537</v>
      </c>
      <c r="I13" s="7" t="n">
        <v>2</v>
      </c>
      <c r="J13" s="7" t="n">
        <v>2</v>
      </c>
      <c r="K13" s="7" t="n">
        <v>2</v>
      </c>
      <c r="L13" s="7" t="n">
        <v>16</v>
      </c>
      <c r="M13" s="7" t="n">
        <v>2</v>
      </c>
    </row>
    <row r="14" customFormat="false" ht="14.25" hidden="false" customHeight="false" outlineLevel="0" collapsed="false">
      <c r="A14" s="7" t="n">
        <v>49</v>
      </c>
      <c r="B14" s="7" t="s">
        <v>131</v>
      </c>
      <c r="C14" s="7" t="s">
        <v>132</v>
      </c>
      <c r="D14" s="7" t="n">
        <v>91001</v>
      </c>
      <c r="E14" s="51" t="n">
        <v>200025888137</v>
      </c>
      <c r="F14" s="51" t="s">
        <v>68</v>
      </c>
      <c r="G14" s="51" t="n">
        <v>46</v>
      </c>
      <c r="H14" s="52" t="n">
        <v>45798.5119444444</v>
      </c>
      <c r="I14" s="7" t="n">
        <v>2</v>
      </c>
      <c r="J14" s="7" t="n">
        <v>2</v>
      </c>
      <c r="K14" s="7" t="n">
        <v>3</v>
      </c>
      <c r="L14" s="7" t="n">
        <v>17</v>
      </c>
      <c r="M14" s="7" t="n">
        <v>3</v>
      </c>
    </row>
    <row r="15" customFormat="false" ht="14.25" hidden="false" customHeight="false" outlineLevel="0" collapsed="false">
      <c r="A15" s="7" t="n">
        <v>50</v>
      </c>
      <c r="B15" s="7" t="s">
        <v>131</v>
      </c>
      <c r="C15" s="7" t="s">
        <v>132</v>
      </c>
      <c r="D15" s="7" t="n">
        <v>91001</v>
      </c>
      <c r="E15" s="51" t="n">
        <v>200025888137</v>
      </c>
      <c r="F15" s="51" t="s">
        <v>68</v>
      </c>
      <c r="G15" s="51" t="n">
        <v>46</v>
      </c>
      <c r="H15" s="52" t="n">
        <v>45798.5536574074</v>
      </c>
      <c r="I15" s="7" t="n">
        <v>2</v>
      </c>
      <c r="J15" s="7" t="n">
        <v>2</v>
      </c>
      <c r="K15" s="7" t="n">
        <v>4</v>
      </c>
      <c r="L15" s="7" t="n">
        <v>18</v>
      </c>
      <c r="M15" s="7" t="n">
        <v>0</v>
      </c>
    </row>
    <row r="16" customFormat="false" ht="14.25" hidden="false" customHeight="false" outlineLevel="0" collapsed="false">
      <c r="A16" s="7" t="n">
        <v>51</v>
      </c>
      <c r="B16" s="7" t="s">
        <v>131</v>
      </c>
      <c r="C16" s="7" t="s">
        <v>132</v>
      </c>
      <c r="D16" s="7" t="n">
        <v>91001</v>
      </c>
      <c r="E16" s="51" t="n">
        <v>200025888137</v>
      </c>
      <c r="F16" s="51" t="s">
        <v>68</v>
      </c>
      <c r="G16" s="51" t="n">
        <v>46</v>
      </c>
      <c r="H16" s="52" t="n">
        <v>45798.5536689815</v>
      </c>
      <c r="I16" s="7" t="n">
        <v>2</v>
      </c>
      <c r="J16" s="7" t="n">
        <v>2</v>
      </c>
      <c r="K16" s="7" t="n">
        <v>5</v>
      </c>
      <c r="L16" s="7" t="n">
        <v>19</v>
      </c>
      <c r="M16" s="7" t="n">
        <v>0</v>
      </c>
    </row>
    <row r="17" customFormat="false" ht="14.25" hidden="false" customHeight="false" outlineLevel="0" collapsed="false">
      <c r="A17" s="7" t="n">
        <v>52</v>
      </c>
      <c r="B17" s="7" t="s">
        <v>131</v>
      </c>
      <c r="C17" s="7" t="s">
        <v>132</v>
      </c>
      <c r="D17" s="7" t="n">
        <v>91001</v>
      </c>
      <c r="E17" s="51" t="n">
        <v>200025888137</v>
      </c>
      <c r="F17" s="51" t="s">
        <v>68</v>
      </c>
      <c r="G17" s="51" t="n">
        <v>46</v>
      </c>
      <c r="H17" s="52" t="n">
        <v>45798.5536921296</v>
      </c>
      <c r="I17" s="7" t="n">
        <v>2</v>
      </c>
      <c r="J17" s="7" t="n">
        <v>2</v>
      </c>
      <c r="K17" s="7" t="n">
        <v>6</v>
      </c>
      <c r="L17" s="7" t="n">
        <v>20</v>
      </c>
      <c r="M17" s="7" t="n">
        <v>0</v>
      </c>
    </row>
    <row r="18" customFormat="false" ht="14.25" hidden="false" customHeight="false" outlineLevel="0" collapsed="false">
      <c r="A18" s="7" t="n">
        <v>53</v>
      </c>
      <c r="B18" s="7" t="s">
        <v>131</v>
      </c>
      <c r="C18" s="7" t="s">
        <v>132</v>
      </c>
      <c r="D18" s="7" t="n">
        <v>91001</v>
      </c>
      <c r="E18" s="51" t="n">
        <v>200025888137</v>
      </c>
      <c r="F18" s="51" t="s">
        <v>68</v>
      </c>
      <c r="G18" s="51" t="n">
        <v>46</v>
      </c>
      <c r="H18" s="52" t="n">
        <v>45798.5893171296</v>
      </c>
      <c r="I18" s="7" t="n">
        <v>2</v>
      </c>
      <c r="J18" s="7" t="n">
        <v>2</v>
      </c>
      <c r="K18" s="7" t="n">
        <v>7</v>
      </c>
      <c r="L18" s="7" t="n">
        <v>21</v>
      </c>
      <c r="M18" s="7" t="n">
        <v>1</v>
      </c>
    </row>
    <row r="19" customFormat="false" ht="14.25" hidden="false" customHeight="false" outlineLevel="0" collapsed="false">
      <c r="A19" s="7" t="n">
        <v>54</v>
      </c>
      <c r="B19" s="7" t="s">
        <v>131</v>
      </c>
      <c r="C19" s="7" t="s">
        <v>132</v>
      </c>
      <c r="D19" s="7" t="n">
        <v>91001</v>
      </c>
      <c r="E19" s="51" t="n">
        <v>200025888137</v>
      </c>
      <c r="F19" s="51" t="s">
        <v>68</v>
      </c>
      <c r="G19" s="51" t="n">
        <v>46</v>
      </c>
      <c r="H19" s="52" t="n">
        <v>45798.5893287037</v>
      </c>
      <c r="I19" s="7" t="n">
        <v>2</v>
      </c>
      <c r="J19" s="7" t="n">
        <v>2</v>
      </c>
      <c r="K19" s="7" t="n">
        <v>8</v>
      </c>
      <c r="L19" s="7" t="n">
        <v>22</v>
      </c>
      <c r="M19" s="7" t="n">
        <v>1</v>
      </c>
    </row>
    <row r="20" customFormat="false" ht="14.25" hidden="false" customHeight="false" outlineLevel="0" collapsed="false">
      <c r="A20" s="7" t="n">
        <v>55</v>
      </c>
      <c r="B20" s="7" t="s">
        <v>131</v>
      </c>
      <c r="C20" s="7" t="s">
        <v>132</v>
      </c>
      <c r="D20" s="7" t="n">
        <v>91001</v>
      </c>
      <c r="E20" s="51" t="n">
        <v>200025888137</v>
      </c>
      <c r="F20" s="51" t="s">
        <v>68</v>
      </c>
      <c r="G20" s="51" t="n">
        <v>46</v>
      </c>
      <c r="H20" s="52" t="n">
        <v>45798.603599537</v>
      </c>
      <c r="I20" s="7" t="n">
        <v>2</v>
      </c>
      <c r="J20" s="7" t="n">
        <v>2</v>
      </c>
      <c r="K20" s="7" t="n">
        <v>9</v>
      </c>
      <c r="L20" s="7" t="n">
        <v>23</v>
      </c>
      <c r="M20" s="7" t="n">
        <v>1</v>
      </c>
    </row>
    <row r="21" customFormat="false" ht="14.25" hidden="false" customHeight="false" outlineLevel="0" collapsed="false">
      <c r="A21" s="7" t="n">
        <v>56</v>
      </c>
      <c r="B21" s="7" t="s">
        <v>131</v>
      </c>
      <c r="C21" s="7" t="s">
        <v>132</v>
      </c>
      <c r="D21" s="7" t="n">
        <v>91001</v>
      </c>
      <c r="E21" s="51" t="n">
        <v>200025888137</v>
      </c>
      <c r="F21" s="51" t="s">
        <v>68</v>
      </c>
      <c r="G21" s="51" t="n">
        <v>46</v>
      </c>
      <c r="H21" s="52" t="n">
        <v>45798.6036111111</v>
      </c>
      <c r="I21" s="7" t="n">
        <v>2</v>
      </c>
      <c r="J21" s="7" t="n">
        <v>2</v>
      </c>
      <c r="K21" s="7" t="n">
        <v>10</v>
      </c>
      <c r="L21" s="7" t="n">
        <v>24</v>
      </c>
      <c r="M21" s="7" t="n">
        <v>1</v>
      </c>
    </row>
    <row r="22" customFormat="false" ht="14.25" hidden="false" customHeight="false" outlineLevel="0" collapsed="false">
      <c r="A22" s="7" t="n">
        <v>57</v>
      </c>
      <c r="B22" s="7" t="s">
        <v>131</v>
      </c>
      <c r="C22" s="7" t="s">
        <v>132</v>
      </c>
      <c r="D22" s="7" t="n">
        <v>91001</v>
      </c>
      <c r="E22" s="51" t="n">
        <v>200025888137</v>
      </c>
      <c r="F22" s="51" t="s">
        <v>68</v>
      </c>
      <c r="G22" s="51" t="n">
        <v>46</v>
      </c>
      <c r="H22" s="52" t="n">
        <v>45798.6037731482</v>
      </c>
      <c r="I22" s="7" t="n">
        <v>2</v>
      </c>
      <c r="J22" s="7" t="n">
        <v>2</v>
      </c>
      <c r="K22" s="7" t="n">
        <v>11</v>
      </c>
      <c r="L22" s="7" t="n">
        <v>25</v>
      </c>
      <c r="M22" s="7" t="n">
        <v>1</v>
      </c>
    </row>
    <row r="23" customFormat="false" ht="14.25" hidden="false" customHeight="false" outlineLevel="0" collapsed="false">
      <c r="A23" s="7" t="n">
        <v>58</v>
      </c>
      <c r="B23" s="7" t="s">
        <v>131</v>
      </c>
      <c r="C23" s="7" t="s">
        <v>132</v>
      </c>
      <c r="D23" s="7" t="n">
        <v>91001</v>
      </c>
      <c r="E23" s="51" t="n">
        <v>200025888137</v>
      </c>
      <c r="F23" s="51" t="s">
        <v>68</v>
      </c>
      <c r="G23" s="51" t="n">
        <v>46</v>
      </c>
      <c r="H23" s="52" t="n">
        <v>45798.6042708333</v>
      </c>
      <c r="I23" s="7" t="n">
        <v>2</v>
      </c>
      <c r="J23" s="7" t="n">
        <v>2</v>
      </c>
      <c r="K23" s="7" t="n">
        <v>12</v>
      </c>
      <c r="L23" s="7" t="n">
        <v>26</v>
      </c>
      <c r="M23" s="7" t="n">
        <v>0</v>
      </c>
    </row>
    <row r="24" customFormat="false" ht="14.25" hidden="false" customHeight="false" outlineLevel="0" collapsed="false">
      <c r="A24" s="7" t="n">
        <v>59</v>
      </c>
      <c r="B24" s="7" t="s">
        <v>131</v>
      </c>
      <c r="C24" s="7" t="s">
        <v>132</v>
      </c>
      <c r="D24" s="7" t="n">
        <v>91001</v>
      </c>
      <c r="E24" s="51" t="n">
        <v>200025888137</v>
      </c>
      <c r="F24" s="51" t="s">
        <v>68</v>
      </c>
      <c r="G24" s="51" t="n">
        <v>46</v>
      </c>
      <c r="H24" s="52" t="n">
        <v>45798.6044097222</v>
      </c>
      <c r="I24" s="7" t="n">
        <v>2</v>
      </c>
      <c r="J24" s="7" t="n">
        <v>2</v>
      </c>
      <c r="K24" s="7" t="n">
        <v>13</v>
      </c>
      <c r="L24" s="7" t="n">
        <v>27</v>
      </c>
      <c r="M24" s="7" t="n">
        <v>0</v>
      </c>
    </row>
    <row r="25" customFormat="false" ht="14.25" hidden="false" customHeight="false" outlineLevel="0" collapsed="false">
      <c r="A25" s="7" t="n">
        <v>60</v>
      </c>
      <c r="B25" s="7" t="s">
        <v>131</v>
      </c>
      <c r="C25" s="7" t="s">
        <v>132</v>
      </c>
      <c r="D25" s="7" t="n">
        <v>91001</v>
      </c>
      <c r="E25" s="51" t="n">
        <v>200025888137</v>
      </c>
      <c r="F25" s="51" t="s">
        <v>68</v>
      </c>
      <c r="G25" s="51" t="n">
        <v>46</v>
      </c>
      <c r="H25" s="52" t="n">
        <v>45798.6044212963</v>
      </c>
      <c r="I25" s="7" t="n">
        <v>2</v>
      </c>
      <c r="J25" s="7" t="n">
        <v>2</v>
      </c>
      <c r="K25" s="7" t="n">
        <v>14</v>
      </c>
      <c r="L25" s="7" t="n">
        <v>28</v>
      </c>
      <c r="M25" s="7" t="n">
        <v>1</v>
      </c>
    </row>
    <row r="26" customFormat="false" ht="14.25" hidden="false" customHeight="false" outlineLevel="0" collapsed="false">
      <c r="A26" s="7" t="n">
        <v>61</v>
      </c>
      <c r="B26" s="7" t="s">
        <v>131</v>
      </c>
      <c r="C26" s="7" t="s">
        <v>132</v>
      </c>
      <c r="D26" s="7" t="n">
        <v>91001</v>
      </c>
      <c r="E26" s="51" t="n">
        <v>200025888137</v>
      </c>
      <c r="F26" s="51" t="s">
        <v>68</v>
      </c>
      <c r="G26" s="51" t="n">
        <v>46</v>
      </c>
      <c r="H26" s="52" t="n">
        <v>45798.6055092593</v>
      </c>
      <c r="I26" s="7" t="n">
        <v>2</v>
      </c>
      <c r="J26" s="7" t="n">
        <v>2</v>
      </c>
      <c r="K26" s="7" t="n">
        <v>15</v>
      </c>
      <c r="L26" s="7" t="n">
        <v>29</v>
      </c>
      <c r="M26" s="7" t="n">
        <v>1</v>
      </c>
    </row>
    <row r="27" customFormat="false" ht="14.25" hidden="false" customHeight="false" outlineLevel="0" collapsed="false">
      <c r="A27" s="7" t="n">
        <v>62</v>
      </c>
      <c r="B27" s="7" t="s">
        <v>131</v>
      </c>
      <c r="C27" s="7" t="s">
        <v>132</v>
      </c>
      <c r="D27" s="7" t="n">
        <v>91001</v>
      </c>
      <c r="E27" s="51" t="n">
        <v>200025888137</v>
      </c>
      <c r="F27" s="51" t="s">
        <v>68</v>
      </c>
      <c r="G27" s="51" t="n">
        <v>46</v>
      </c>
      <c r="H27" s="52" t="n">
        <v>45798.6056365741</v>
      </c>
      <c r="I27" s="7" t="n">
        <v>2</v>
      </c>
      <c r="J27" s="7" t="n">
        <v>2</v>
      </c>
      <c r="K27" s="7" t="n">
        <v>16</v>
      </c>
      <c r="L27" s="7" t="n">
        <v>30</v>
      </c>
      <c r="M27" s="7" t="n">
        <v>0</v>
      </c>
    </row>
    <row r="28" customFormat="false" ht="14.25" hidden="false" customHeight="false" outlineLevel="0" collapsed="false">
      <c r="A28" s="7" t="n">
        <v>63</v>
      </c>
      <c r="B28" s="7" t="s">
        <v>131</v>
      </c>
      <c r="C28" s="7" t="s">
        <v>132</v>
      </c>
      <c r="D28" s="7" t="n">
        <v>91001</v>
      </c>
      <c r="E28" s="51" t="n">
        <v>200025888137</v>
      </c>
      <c r="F28" s="51" t="s">
        <v>68</v>
      </c>
      <c r="G28" s="51" t="n">
        <v>46</v>
      </c>
      <c r="H28" s="52" t="n">
        <v>45798.6056481482</v>
      </c>
      <c r="I28" s="7" t="n">
        <v>2</v>
      </c>
      <c r="J28" s="7" t="n">
        <v>2</v>
      </c>
      <c r="K28" s="7" t="n">
        <v>17</v>
      </c>
      <c r="L28" s="7" t="n">
        <v>31</v>
      </c>
      <c r="M28" s="7" t="n">
        <v>12</v>
      </c>
    </row>
    <row r="29" customFormat="false" ht="14.25" hidden="false" customHeight="false" outlineLevel="0" collapsed="false">
      <c r="A29" s="7" t="n">
        <v>64</v>
      </c>
      <c r="B29" s="7" t="s">
        <v>131</v>
      </c>
      <c r="C29" s="7" t="s">
        <v>132</v>
      </c>
      <c r="D29" s="7" t="n">
        <v>91001</v>
      </c>
      <c r="E29" s="51" t="n">
        <v>200025888137</v>
      </c>
      <c r="F29" s="51" t="s">
        <v>68</v>
      </c>
      <c r="G29" s="51" t="n">
        <v>46</v>
      </c>
      <c r="H29" s="52" t="n">
        <v>45798.6060532407</v>
      </c>
      <c r="I29" s="7" t="n">
        <v>2</v>
      </c>
      <c r="J29" s="7" t="n">
        <v>2</v>
      </c>
      <c r="K29" s="7" t="n">
        <v>18</v>
      </c>
      <c r="L29" s="7" t="n">
        <v>32</v>
      </c>
      <c r="M29" s="7" t="n">
        <v>1</v>
      </c>
    </row>
    <row r="30" customFormat="false" ht="14.25" hidden="false" customHeight="false" outlineLevel="0" collapsed="false">
      <c r="A30" s="7" t="n">
        <v>74</v>
      </c>
      <c r="B30" s="7" t="s">
        <v>131</v>
      </c>
      <c r="C30" s="7" t="s">
        <v>132</v>
      </c>
      <c r="D30" s="7" t="n">
        <v>91001</v>
      </c>
      <c r="E30" s="51" t="n">
        <v>200025888137</v>
      </c>
      <c r="F30" s="51" t="s">
        <v>68</v>
      </c>
      <c r="G30" s="51" t="n">
        <v>46</v>
      </c>
      <c r="H30" s="52" t="n">
        <v>45798.6756712963</v>
      </c>
      <c r="I30" s="7" t="n">
        <v>2</v>
      </c>
      <c r="J30" s="7" t="n">
        <v>2</v>
      </c>
      <c r="K30" s="7" t="n">
        <v>19</v>
      </c>
      <c r="L30" s="7" t="n">
        <v>42</v>
      </c>
      <c r="M30" s="7" t="n">
        <v>1</v>
      </c>
    </row>
    <row r="31" customFormat="false" ht="14.25" hidden="false" customHeight="false" outlineLevel="0" collapsed="false">
      <c r="A31" s="7" t="n">
        <v>75</v>
      </c>
      <c r="B31" s="7" t="s">
        <v>131</v>
      </c>
      <c r="C31" s="7" t="s">
        <v>132</v>
      </c>
      <c r="D31" s="7" t="n">
        <v>91001</v>
      </c>
      <c r="E31" s="51" t="n">
        <v>200025888137</v>
      </c>
      <c r="F31" s="51" t="s">
        <v>68</v>
      </c>
      <c r="G31" s="51" t="n">
        <v>46</v>
      </c>
      <c r="H31" s="52" t="n">
        <v>45798.6756828704</v>
      </c>
      <c r="I31" s="7" t="n">
        <v>2</v>
      </c>
      <c r="J31" s="7" t="n">
        <v>2</v>
      </c>
      <c r="K31" s="7" t="n">
        <v>20</v>
      </c>
      <c r="L31" s="7" t="n">
        <v>43</v>
      </c>
      <c r="M31" s="7" t="n">
        <v>0</v>
      </c>
    </row>
    <row r="32" customFormat="false" ht="14.25" hidden="false" customHeight="false" outlineLevel="0" collapsed="false">
      <c r="A32" s="7" t="n">
        <v>76</v>
      </c>
      <c r="B32" s="7" t="s">
        <v>131</v>
      </c>
      <c r="C32" s="7" t="s">
        <v>132</v>
      </c>
      <c r="D32" s="7" t="n">
        <v>91001</v>
      </c>
      <c r="E32" s="51" t="n">
        <v>200025888137</v>
      </c>
      <c r="F32" s="51" t="s">
        <v>68</v>
      </c>
      <c r="G32" s="51" t="n">
        <v>46</v>
      </c>
      <c r="H32" s="52" t="n">
        <v>45798.6756828704</v>
      </c>
      <c r="I32" s="7" t="n">
        <v>2</v>
      </c>
      <c r="J32" s="7" t="n">
        <v>2</v>
      </c>
      <c r="K32" s="7" t="n">
        <v>21</v>
      </c>
      <c r="L32" s="7" t="n">
        <v>44</v>
      </c>
      <c r="M32" s="7" t="n">
        <v>1</v>
      </c>
    </row>
    <row r="33" customFormat="false" ht="14.25" hidden="false" customHeight="false" outlineLevel="0" collapsed="false">
      <c r="A33" s="7" t="n">
        <v>77</v>
      </c>
      <c r="B33" s="7" t="s">
        <v>131</v>
      </c>
      <c r="C33" s="7" t="s">
        <v>132</v>
      </c>
      <c r="D33" s="7" t="n">
        <v>91001</v>
      </c>
      <c r="E33" s="51" t="n">
        <v>200025888137</v>
      </c>
      <c r="F33" s="51" t="s">
        <v>68</v>
      </c>
      <c r="G33" s="51" t="n">
        <v>46</v>
      </c>
      <c r="H33" s="52" t="n">
        <v>45798.6763078704</v>
      </c>
      <c r="I33" s="7" t="n">
        <v>2</v>
      </c>
      <c r="J33" s="7" t="n">
        <v>2</v>
      </c>
      <c r="K33" s="7" t="n">
        <v>22</v>
      </c>
      <c r="L33" s="7" t="n">
        <v>45</v>
      </c>
      <c r="M33" s="7" t="n">
        <v>13</v>
      </c>
    </row>
    <row r="34" customFormat="false" ht="14.25" hidden="false" customHeight="false" outlineLevel="0" collapsed="false">
      <c r="A34" s="7" t="n">
        <v>78</v>
      </c>
      <c r="B34" s="7" t="s">
        <v>131</v>
      </c>
      <c r="C34" s="7" t="s">
        <v>132</v>
      </c>
      <c r="D34" s="7" t="n">
        <v>91001</v>
      </c>
      <c r="E34" s="51" t="n">
        <v>200025888137</v>
      </c>
      <c r="F34" s="51" t="s">
        <v>68</v>
      </c>
      <c r="G34" s="51" t="n">
        <v>46</v>
      </c>
      <c r="H34" s="52" t="n">
        <v>45798.6769791667</v>
      </c>
      <c r="I34" s="7" t="n">
        <v>2</v>
      </c>
      <c r="J34" s="7" t="n">
        <v>2</v>
      </c>
      <c r="K34" s="7" t="n">
        <v>23</v>
      </c>
      <c r="L34" s="7" t="n">
        <v>46</v>
      </c>
      <c r="M34" s="7" t="n">
        <v>0</v>
      </c>
    </row>
    <row r="35" customFormat="false" ht="14.25" hidden="false" customHeight="false" outlineLevel="0" collapsed="false">
      <c r="A35" s="7" t="n">
        <v>79</v>
      </c>
      <c r="B35" s="7" t="s">
        <v>131</v>
      </c>
      <c r="C35" s="7" t="s">
        <v>132</v>
      </c>
      <c r="D35" s="7" t="n">
        <v>91001</v>
      </c>
      <c r="E35" s="51" t="n">
        <v>200025888137</v>
      </c>
      <c r="F35" s="51" t="s">
        <v>68</v>
      </c>
      <c r="G35" s="51" t="n">
        <v>46</v>
      </c>
      <c r="H35" s="52" t="n">
        <v>45798.6769907407</v>
      </c>
      <c r="I35" s="7" t="n">
        <v>2</v>
      </c>
      <c r="J35" s="7" t="n">
        <v>2</v>
      </c>
      <c r="K35" s="7" t="n">
        <v>24</v>
      </c>
      <c r="L35" s="7" t="n">
        <v>47</v>
      </c>
      <c r="M35" s="7" t="n">
        <v>0</v>
      </c>
    </row>
    <row r="36" customFormat="false" ht="14.25" hidden="false" customHeight="false" outlineLevel="0" collapsed="false">
      <c r="A36" s="7" t="n">
        <v>80</v>
      </c>
      <c r="B36" s="7" t="s">
        <v>131</v>
      </c>
      <c r="C36" s="7" t="s">
        <v>132</v>
      </c>
      <c r="D36" s="7" t="n">
        <v>91001</v>
      </c>
      <c r="E36" s="51" t="n">
        <v>200025888137</v>
      </c>
      <c r="F36" s="51" t="s">
        <v>68</v>
      </c>
      <c r="G36" s="51" t="n">
        <v>46</v>
      </c>
      <c r="H36" s="52" t="n">
        <v>45798.6775925926</v>
      </c>
      <c r="I36" s="7" t="n">
        <v>2</v>
      </c>
      <c r="J36" s="7" t="n">
        <v>2</v>
      </c>
      <c r="K36" s="7" t="n">
        <v>25</v>
      </c>
      <c r="L36" s="7" t="n">
        <v>48</v>
      </c>
      <c r="M36" s="7" t="n">
        <v>1</v>
      </c>
    </row>
    <row r="37" customFormat="false" ht="14.25" hidden="false" customHeight="false" outlineLevel="0" collapsed="false">
      <c r="A37" s="7" t="n">
        <v>81</v>
      </c>
      <c r="B37" s="7" t="s">
        <v>131</v>
      </c>
      <c r="C37" s="7" t="s">
        <v>132</v>
      </c>
      <c r="D37" s="7" t="n">
        <v>91001</v>
      </c>
      <c r="E37" s="51" t="n">
        <v>200025888137</v>
      </c>
      <c r="F37" s="51" t="s">
        <v>68</v>
      </c>
      <c r="G37" s="51" t="n">
        <v>46</v>
      </c>
      <c r="H37" s="52" t="n">
        <v>45798.6777430556</v>
      </c>
      <c r="I37" s="7" t="n">
        <v>2</v>
      </c>
      <c r="J37" s="7" t="n">
        <v>2</v>
      </c>
      <c r="K37" s="7" t="n">
        <v>26</v>
      </c>
      <c r="L37" s="7" t="n">
        <v>49</v>
      </c>
      <c r="M37" s="7" t="n">
        <v>0</v>
      </c>
    </row>
    <row r="38" customFormat="false" ht="14.25" hidden="false" customHeight="false" outlineLevel="0" collapsed="false">
      <c r="A38" s="7" t="n">
        <v>33</v>
      </c>
      <c r="B38" s="7" t="s">
        <v>131</v>
      </c>
      <c r="C38" s="7" t="s">
        <v>132</v>
      </c>
      <c r="D38" s="7" t="n">
        <v>91001</v>
      </c>
      <c r="E38" s="51" t="n">
        <v>200025888173</v>
      </c>
      <c r="F38" s="51" t="s">
        <v>74</v>
      </c>
      <c r="G38" s="51" t="n">
        <v>34</v>
      </c>
      <c r="H38" s="52" t="n">
        <v>45798.2470023148</v>
      </c>
      <c r="I38" s="7" t="n">
        <v>3</v>
      </c>
      <c r="J38" s="7" t="n">
        <v>3</v>
      </c>
      <c r="K38" s="7" t="n">
        <v>1</v>
      </c>
      <c r="L38" s="7" t="n">
        <v>1</v>
      </c>
      <c r="M38" s="7" t="n">
        <v>0</v>
      </c>
    </row>
    <row r="39" customFormat="false" ht="14.25" hidden="false" customHeight="false" outlineLevel="0" collapsed="false">
      <c r="A39" s="7" t="n">
        <v>34</v>
      </c>
      <c r="B39" s="7" t="s">
        <v>131</v>
      </c>
      <c r="C39" s="7" t="s">
        <v>132</v>
      </c>
      <c r="D39" s="7" t="n">
        <v>91001</v>
      </c>
      <c r="E39" s="51" t="n">
        <v>200025888173</v>
      </c>
      <c r="F39" s="51" t="s">
        <v>74</v>
      </c>
      <c r="G39" s="51" t="n">
        <v>34</v>
      </c>
      <c r="H39" s="52" t="n">
        <v>45798.2470138889</v>
      </c>
      <c r="I39" s="7" t="n">
        <v>3</v>
      </c>
      <c r="J39" s="7" t="n">
        <v>3</v>
      </c>
      <c r="K39" s="7" t="n">
        <v>2</v>
      </c>
      <c r="L39" s="7" t="n">
        <v>2</v>
      </c>
      <c r="M39" s="7" t="n">
        <v>0</v>
      </c>
    </row>
    <row r="40" customFormat="false" ht="14.25" hidden="false" customHeight="false" outlineLevel="0" collapsed="false">
      <c r="A40" s="7" t="n">
        <v>35</v>
      </c>
      <c r="B40" s="7" t="s">
        <v>131</v>
      </c>
      <c r="C40" s="7" t="s">
        <v>132</v>
      </c>
      <c r="D40" s="7" t="n">
        <v>91001</v>
      </c>
      <c r="E40" s="51" t="n">
        <v>200025888173</v>
      </c>
      <c r="F40" s="51" t="s">
        <v>74</v>
      </c>
      <c r="G40" s="51" t="n">
        <v>34</v>
      </c>
      <c r="H40" s="52" t="n">
        <v>45798.2727546296</v>
      </c>
      <c r="I40" s="7" t="n">
        <v>3</v>
      </c>
      <c r="J40" s="7" t="n">
        <v>3</v>
      </c>
      <c r="K40" s="7" t="n">
        <v>3</v>
      </c>
      <c r="L40" s="7" t="n">
        <v>3</v>
      </c>
      <c r="M40" s="7" t="n">
        <v>0</v>
      </c>
    </row>
    <row r="41" customFormat="false" ht="14.25" hidden="false" customHeight="false" outlineLevel="0" collapsed="false">
      <c r="A41" s="7" t="n">
        <v>36</v>
      </c>
      <c r="B41" s="7" t="s">
        <v>131</v>
      </c>
      <c r="C41" s="7" t="s">
        <v>132</v>
      </c>
      <c r="D41" s="7" t="n">
        <v>91001</v>
      </c>
      <c r="E41" s="51" t="n">
        <v>200025888173</v>
      </c>
      <c r="F41" s="51" t="s">
        <v>74</v>
      </c>
      <c r="G41" s="51" t="n">
        <v>34</v>
      </c>
      <c r="H41" s="52" t="n">
        <v>45798.3022569444</v>
      </c>
      <c r="I41" s="7" t="n">
        <v>3</v>
      </c>
      <c r="J41" s="7" t="n">
        <v>3</v>
      </c>
      <c r="K41" s="7" t="n">
        <v>4</v>
      </c>
      <c r="L41" s="7" t="n">
        <v>4</v>
      </c>
      <c r="M41" s="7" t="n">
        <v>0</v>
      </c>
    </row>
    <row r="42" customFormat="false" ht="14.25" hidden="false" customHeight="false" outlineLevel="0" collapsed="false">
      <c r="A42" s="7" t="n">
        <v>37</v>
      </c>
      <c r="B42" s="7" t="s">
        <v>131</v>
      </c>
      <c r="C42" s="7" t="s">
        <v>132</v>
      </c>
      <c r="D42" s="7" t="n">
        <v>91001</v>
      </c>
      <c r="E42" s="51" t="n">
        <v>200025888173</v>
      </c>
      <c r="F42" s="51" t="s">
        <v>74</v>
      </c>
      <c r="G42" s="51" t="n">
        <v>34</v>
      </c>
      <c r="H42" s="52" t="n">
        <v>45798.3022685185</v>
      </c>
      <c r="I42" s="7" t="n">
        <v>3</v>
      </c>
      <c r="J42" s="7" t="n">
        <v>3</v>
      </c>
      <c r="K42" s="7" t="n">
        <v>5</v>
      </c>
      <c r="L42" s="7" t="n">
        <v>5</v>
      </c>
      <c r="M42" s="7" t="n">
        <v>0</v>
      </c>
    </row>
    <row r="43" customFormat="false" ht="14.25" hidden="false" customHeight="false" outlineLevel="0" collapsed="false">
      <c r="A43" s="7" t="n">
        <v>38</v>
      </c>
      <c r="B43" s="7" t="s">
        <v>131</v>
      </c>
      <c r="C43" s="7" t="s">
        <v>132</v>
      </c>
      <c r="D43" s="7" t="n">
        <v>91001</v>
      </c>
      <c r="E43" s="51" t="n">
        <v>200025888173</v>
      </c>
      <c r="F43" s="51" t="s">
        <v>74</v>
      </c>
      <c r="G43" s="51" t="n">
        <v>34</v>
      </c>
      <c r="H43" s="52" t="n">
        <v>45798.3022800926</v>
      </c>
      <c r="I43" s="7" t="n">
        <v>3</v>
      </c>
      <c r="J43" s="7" t="n">
        <v>3</v>
      </c>
      <c r="K43" s="7" t="n">
        <v>6</v>
      </c>
      <c r="L43" s="7" t="n">
        <v>6</v>
      </c>
      <c r="M43" s="7" t="n">
        <v>1</v>
      </c>
    </row>
    <row r="44" customFormat="false" ht="14.25" hidden="false" customHeight="false" outlineLevel="0" collapsed="false">
      <c r="A44" s="7" t="n">
        <v>39</v>
      </c>
      <c r="B44" s="7" t="s">
        <v>131</v>
      </c>
      <c r="C44" s="7" t="s">
        <v>132</v>
      </c>
      <c r="D44" s="7" t="n">
        <v>91001</v>
      </c>
      <c r="E44" s="51" t="n">
        <v>200025888173</v>
      </c>
      <c r="F44" s="51" t="s">
        <v>74</v>
      </c>
      <c r="G44" s="51" t="n">
        <v>34</v>
      </c>
      <c r="H44" s="52" t="n">
        <v>45798.3025347222</v>
      </c>
      <c r="I44" s="7" t="n">
        <v>3</v>
      </c>
      <c r="J44" s="7" t="n">
        <v>3</v>
      </c>
      <c r="K44" s="7" t="n">
        <v>7</v>
      </c>
      <c r="L44" s="7" t="n">
        <v>7</v>
      </c>
      <c r="M44" s="7" t="n">
        <v>1</v>
      </c>
    </row>
    <row r="45" customFormat="false" ht="14.25" hidden="false" customHeight="false" outlineLevel="0" collapsed="false">
      <c r="A45" s="7" t="n">
        <v>40</v>
      </c>
      <c r="B45" s="7" t="s">
        <v>131</v>
      </c>
      <c r="C45" s="7" t="s">
        <v>132</v>
      </c>
      <c r="D45" s="7" t="n">
        <v>91001</v>
      </c>
      <c r="E45" s="51" t="n">
        <v>200025888173</v>
      </c>
      <c r="F45" s="51" t="s">
        <v>74</v>
      </c>
      <c r="G45" s="51" t="n">
        <v>34</v>
      </c>
      <c r="H45" s="52" t="n">
        <v>45798.3025462963</v>
      </c>
      <c r="I45" s="7" t="n">
        <v>3</v>
      </c>
      <c r="J45" s="7" t="n">
        <v>3</v>
      </c>
      <c r="K45" s="7" t="n">
        <v>8</v>
      </c>
      <c r="L45" s="7" t="n">
        <v>8</v>
      </c>
      <c r="M45" s="7" t="n">
        <v>0</v>
      </c>
    </row>
    <row r="46" customFormat="false" ht="14.25" hidden="false" customHeight="false" outlineLevel="0" collapsed="false">
      <c r="A46" s="7" t="n">
        <v>41</v>
      </c>
      <c r="B46" s="7" t="s">
        <v>131</v>
      </c>
      <c r="C46" s="7" t="s">
        <v>132</v>
      </c>
      <c r="D46" s="7" t="n">
        <v>91001</v>
      </c>
      <c r="E46" s="51" t="n">
        <v>200025888173</v>
      </c>
      <c r="F46" s="51" t="s">
        <v>74</v>
      </c>
      <c r="G46" s="51" t="n">
        <v>34</v>
      </c>
      <c r="H46" s="52" t="n">
        <v>45798.322349537</v>
      </c>
      <c r="I46" s="7" t="n">
        <v>3</v>
      </c>
      <c r="J46" s="7" t="n">
        <v>3</v>
      </c>
      <c r="K46" s="7" t="n">
        <v>9</v>
      </c>
      <c r="L46" s="7" t="n">
        <v>9</v>
      </c>
      <c r="M46" s="7" t="n">
        <v>0</v>
      </c>
    </row>
    <row r="47" customFormat="false" ht="14.25" hidden="false" customHeight="false" outlineLevel="0" collapsed="false">
      <c r="A47" s="7" t="n">
        <v>42</v>
      </c>
      <c r="B47" s="7" t="s">
        <v>131</v>
      </c>
      <c r="C47" s="7" t="s">
        <v>132</v>
      </c>
      <c r="D47" s="7" t="n">
        <v>91001</v>
      </c>
      <c r="E47" s="51" t="n">
        <v>200025888173</v>
      </c>
      <c r="F47" s="51" t="s">
        <v>74</v>
      </c>
      <c r="G47" s="51" t="n">
        <v>34</v>
      </c>
      <c r="H47" s="52" t="n">
        <v>45798.3677314815</v>
      </c>
      <c r="I47" s="7" t="n">
        <v>3</v>
      </c>
      <c r="J47" s="7" t="n">
        <v>3</v>
      </c>
      <c r="K47" s="7" t="n">
        <v>10</v>
      </c>
      <c r="L47" s="7" t="n">
        <v>10</v>
      </c>
      <c r="M47" s="7" t="n">
        <v>0</v>
      </c>
    </row>
    <row r="48" customFormat="false" ht="14.25" hidden="false" customHeight="false" outlineLevel="0" collapsed="false">
      <c r="A48" s="1" t="n">
        <v>203</v>
      </c>
      <c r="B48" s="1" t="s">
        <v>131</v>
      </c>
      <c r="C48" s="1" t="s">
        <v>132</v>
      </c>
      <c r="D48" s="1" t="n">
        <v>91001</v>
      </c>
      <c r="E48" s="51" t="n">
        <v>200025888200</v>
      </c>
      <c r="F48" s="51" t="s">
        <v>74</v>
      </c>
      <c r="G48" s="51" t="n">
        <v>34</v>
      </c>
      <c r="H48" s="52" t="n">
        <v>45799.7532407407</v>
      </c>
      <c r="I48" s="7" t="n">
        <v>3</v>
      </c>
      <c r="J48" s="7" t="n">
        <v>3</v>
      </c>
      <c r="K48" s="7" t="n">
        <v>11</v>
      </c>
      <c r="L48" s="7" t="n">
        <v>171</v>
      </c>
      <c r="M48" s="1" t="n">
        <v>0</v>
      </c>
    </row>
    <row r="49" customFormat="false" ht="14.25" hidden="false" customHeight="false" outlineLevel="0" collapsed="false">
      <c r="A49" s="1" t="n">
        <v>204</v>
      </c>
      <c r="B49" s="1" t="s">
        <v>131</v>
      </c>
      <c r="C49" s="1" t="s">
        <v>132</v>
      </c>
      <c r="D49" s="1" t="n">
        <v>91001</v>
      </c>
      <c r="E49" s="51" t="n">
        <v>200025888200</v>
      </c>
      <c r="F49" s="51" t="s">
        <v>74</v>
      </c>
      <c r="G49" s="51" t="n">
        <v>34</v>
      </c>
      <c r="H49" s="52" t="n">
        <v>45799.7532523148</v>
      </c>
      <c r="I49" s="7" t="n">
        <v>3</v>
      </c>
      <c r="J49" s="7" t="n">
        <v>3</v>
      </c>
      <c r="K49" s="7" t="n">
        <v>12</v>
      </c>
      <c r="L49" s="7" t="n">
        <v>172</v>
      </c>
      <c r="M49" s="1" t="n">
        <v>0</v>
      </c>
    </row>
    <row r="50" customFormat="false" ht="14.25" hidden="false" customHeight="false" outlineLevel="0" collapsed="false">
      <c r="A50" s="7" t="n">
        <v>43</v>
      </c>
      <c r="B50" s="7" t="s">
        <v>131</v>
      </c>
      <c r="C50" s="7" t="s">
        <v>132</v>
      </c>
      <c r="D50" s="7" t="n">
        <v>91001</v>
      </c>
      <c r="E50" s="51" t="n">
        <v>200025888824</v>
      </c>
      <c r="F50" s="51" t="s">
        <v>112</v>
      </c>
      <c r="G50" s="51" t="n">
        <v>32</v>
      </c>
      <c r="H50" s="52" t="n">
        <v>45798.4532523148</v>
      </c>
      <c r="I50" s="7" t="n">
        <v>4</v>
      </c>
      <c r="J50" s="7" t="n">
        <v>4</v>
      </c>
      <c r="K50" s="7" t="n">
        <v>1</v>
      </c>
      <c r="L50" s="7" t="n">
        <v>11</v>
      </c>
      <c r="M50" s="7" t="n">
        <v>0</v>
      </c>
    </row>
    <row r="51" customFormat="false" ht="14.25" hidden="false" customHeight="false" outlineLevel="0" collapsed="false">
      <c r="A51" s="7" t="n">
        <v>44</v>
      </c>
      <c r="B51" s="7" t="s">
        <v>131</v>
      </c>
      <c r="C51" s="7" t="s">
        <v>132</v>
      </c>
      <c r="D51" s="7" t="n">
        <v>91001</v>
      </c>
      <c r="E51" s="51" t="n">
        <v>200025888824</v>
      </c>
      <c r="F51" s="51" t="s">
        <v>112</v>
      </c>
      <c r="G51" s="51" t="n">
        <v>32</v>
      </c>
      <c r="H51" s="52" t="n">
        <v>45798.4532638889</v>
      </c>
      <c r="I51" s="7" t="n">
        <v>4</v>
      </c>
      <c r="J51" s="7" t="n">
        <v>4</v>
      </c>
      <c r="K51" s="7" t="n">
        <v>2</v>
      </c>
      <c r="L51" s="7" t="n">
        <v>12</v>
      </c>
      <c r="M51" s="7" t="n">
        <v>0</v>
      </c>
    </row>
    <row r="52" customFormat="false" ht="14.25" hidden="false" customHeight="false" outlineLevel="0" collapsed="false">
      <c r="A52" s="7" t="n">
        <v>45</v>
      </c>
      <c r="B52" s="7" t="s">
        <v>131</v>
      </c>
      <c r="C52" s="7" t="s">
        <v>132</v>
      </c>
      <c r="D52" s="7" t="n">
        <v>91001</v>
      </c>
      <c r="E52" s="51" t="n">
        <v>200025888824</v>
      </c>
      <c r="F52" s="51" t="s">
        <v>112</v>
      </c>
      <c r="G52" s="51" t="n">
        <v>32</v>
      </c>
      <c r="H52" s="52" t="n">
        <v>45798.4546064815</v>
      </c>
      <c r="I52" s="7" t="n">
        <v>4</v>
      </c>
      <c r="J52" s="7" t="n">
        <v>4</v>
      </c>
      <c r="K52" s="7" t="n">
        <v>3</v>
      </c>
      <c r="L52" s="7" t="n">
        <v>13</v>
      </c>
      <c r="M52" s="7" t="n">
        <v>1</v>
      </c>
    </row>
    <row r="53" customFormat="false" ht="14.25" hidden="false" customHeight="false" outlineLevel="0" collapsed="false">
      <c r="A53" s="7" t="n">
        <v>46</v>
      </c>
      <c r="B53" s="7" t="s">
        <v>131</v>
      </c>
      <c r="C53" s="7" t="s">
        <v>132</v>
      </c>
      <c r="D53" s="7" t="n">
        <v>91001</v>
      </c>
      <c r="E53" s="51" t="n">
        <v>200025888824</v>
      </c>
      <c r="F53" s="51" t="s">
        <v>112</v>
      </c>
      <c r="G53" s="51" t="n">
        <v>32</v>
      </c>
      <c r="H53" s="52" t="n">
        <v>45798.4546180556</v>
      </c>
      <c r="I53" s="7" t="n">
        <v>4</v>
      </c>
      <c r="J53" s="7" t="n">
        <v>4</v>
      </c>
      <c r="K53" s="7" t="n">
        <v>4</v>
      </c>
      <c r="L53" s="7" t="n">
        <v>14</v>
      </c>
      <c r="M53" s="7" t="n">
        <v>0</v>
      </c>
    </row>
    <row r="54" customFormat="false" ht="14.25" hidden="false" customHeight="false" outlineLevel="0" collapsed="false">
      <c r="A54" s="7" t="n">
        <v>47</v>
      </c>
      <c r="B54" s="7" t="s">
        <v>131</v>
      </c>
      <c r="C54" s="7" t="s">
        <v>132</v>
      </c>
      <c r="D54" s="7" t="n">
        <v>91001</v>
      </c>
      <c r="E54" s="51" t="n">
        <v>200025888824</v>
      </c>
      <c r="F54" s="51" t="s">
        <v>112</v>
      </c>
      <c r="G54" s="51" t="n">
        <v>32</v>
      </c>
      <c r="H54" s="52" t="n">
        <v>45798.5034490741</v>
      </c>
      <c r="I54" s="7" t="n">
        <v>4</v>
      </c>
      <c r="J54" s="7" t="n">
        <v>4</v>
      </c>
      <c r="K54" s="7" t="n">
        <v>5</v>
      </c>
      <c r="L54" s="7" t="n">
        <v>15</v>
      </c>
      <c r="M54" s="7" t="n">
        <v>715</v>
      </c>
    </row>
    <row r="55" customFormat="false" ht="14.25" hidden="false" customHeight="false" outlineLevel="0" collapsed="false">
      <c r="A55" s="7" t="n">
        <v>105</v>
      </c>
      <c r="B55" s="7" t="s">
        <v>131</v>
      </c>
      <c r="C55" s="7" t="s">
        <v>132</v>
      </c>
      <c r="D55" s="7" t="n">
        <v>91001</v>
      </c>
      <c r="E55" s="51" t="n">
        <v>200025888824</v>
      </c>
      <c r="F55" s="51" t="s">
        <v>112</v>
      </c>
      <c r="G55" s="51" t="n">
        <v>32</v>
      </c>
      <c r="H55" s="52" t="n">
        <v>45798.8087847222</v>
      </c>
      <c r="I55" s="7" t="n">
        <v>4</v>
      </c>
      <c r="J55" s="7" t="n">
        <v>4</v>
      </c>
      <c r="K55" s="7" t="n">
        <v>6</v>
      </c>
      <c r="L55" s="7" t="n">
        <v>73</v>
      </c>
      <c r="M55" s="7" t="n">
        <v>0</v>
      </c>
    </row>
    <row r="56" customFormat="false" ht="14.25" hidden="false" customHeight="false" outlineLevel="0" collapsed="false">
      <c r="A56" s="7" t="n">
        <v>106</v>
      </c>
      <c r="B56" s="7" t="s">
        <v>131</v>
      </c>
      <c r="C56" s="7" t="s">
        <v>132</v>
      </c>
      <c r="D56" s="7" t="n">
        <v>91001</v>
      </c>
      <c r="E56" s="51" t="n">
        <v>200025888824</v>
      </c>
      <c r="F56" s="51" t="s">
        <v>112</v>
      </c>
      <c r="G56" s="51" t="n">
        <v>32</v>
      </c>
      <c r="H56" s="52" t="n">
        <v>45798.8087962963</v>
      </c>
      <c r="I56" s="7" t="n">
        <v>4</v>
      </c>
      <c r="J56" s="7" t="n">
        <v>4</v>
      </c>
      <c r="K56" s="7" t="n">
        <v>7</v>
      </c>
      <c r="L56" s="7" t="n">
        <v>74</v>
      </c>
      <c r="M56" s="7" t="n">
        <v>0</v>
      </c>
    </row>
    <row r="57" customFormat="false" ht="14.25" hidden="false" customHeight="false" outlineLevel="0" collapsed="false">
      <c r="A57" s="7" t="n">
        <v>107</v>
      </c>
      <c r="B57" s="7" t="s">
        <v>131</v>
      </c>
      <c r="C57" s="7" t="s">
        <v>132</v>
      </c>
      <c r="D57" s="7" t="n">
        <v>91001</v>
      </c>
      <c r="E57" s="51" t="n">
        <v>200025888824</v>
      </c>
      <c r="F57" s="51" t="s">
        <v>112</v>
      </c>
      <c r="G57" s="51" t="n">
        <v>32</v>
      </c>
      <c r="H57" s="52" t="n">
        <v>45798.809375</v>
      </c>
      <c r="I57" s="7" t="n">
        <v>4</v>
      </c>
      <c r="J57" s="7" t="n">
        <v>4</v>
      </c>
      <c r="K57" s="7" t="n">
        <v>8</v>
      </c>
      <c r="L57" s="7" t="n">
        <v>75</v>
      </c>
      <c r="M57" s="7" t="n">
        <v>2</v>
      </c>
    </row>
    <row r="58" customFormat="false" ht="14.25" hidden="false" customHeight="false" outlineLevel="0" collapsed="false">
      <c r="A58" s="7" t="n">
        <v>111</v>
      </c>
      <c r="B58" s="7" t="s">
        <v>131</v>
      </c>
      <c r="C58" s="7" t="s">
        <v>132</v>
      </c>
      <c r="D58" s="7" t="n">
        <v>91001</v>
      </c>
      <c r="E58" s="51" t="n">
        <v>200025888824</v>
      </c>
      <c r="F58" s="51" t="s">
        <v>112</v>
      </c>
      <c r="G58" s="51" t="n">
        <v>32</v>
      </c>
      <c r="H58" s="52" t="n">
        <v>45798.8449884259</v>
      </c>
      <c r="I58" s="7" t="n">
        <v>4</v>
      </c>
      <c r="J58" s="7" t="n">
        <v>4</v>
      </c>
      <c r="K58" s="7" t="n">
        <v>9</v>
      </c>
      <c r="L58" s="7" t="n">
        <v>79</v>
      </c>
      <c r="M58" s="7" t="n">
        <v>1</v>
      </c>
    </row>
    <row r="59" customFormat="false" ht="14.25" hidden="false" customHeight="false" outlineLevel="0" collapsed="false">
      <c r="A59" s="7" t="n">
        <v>112</v>
      </c>
      <c r="B59" s="7" t="s">
        <v>131</v>
      </c>
      <c r="C59" s="7" t="s">
        <v>132</v>
      </c>
      <c r="D59" s="7" t="n">
        <v>91001</v>
      </c>
      <c r="E59" s="51" t="n">
        <v>200025888824</v>
      </c>
      <c r="F59" s="51" t="s">
        <v>112</v>
      </c>
      <c r="G59" s="51" t="n">
        <v>32</v>
      </c>
      <c r="H59" s="52" t="n">
        <v>45798.8451157407</v>
      </c>
      <c r="I59" s="7" t="n">
        <v>4</v>
      </c>
      <c r="J59" s="7" t="n">
        <v>4</v>
      </c>
      <c r="K59" s="7" t="n">
        <v>10</v>
      </c>
      <c r="L59" s="7" t="n">
        <v>80</v>
      </c>
      <c r="M59" s="7" t="n">
        <v>0</v>
      </c>
    </row>
    <row r="60" customFormat="false" ht="14.25" hidden="false" customHeight="false" outlineLevel="0" collapsed="false">
      <c r="A60" s="7" t="n">
        <v>113</v>
      </c>
      <c r="B60" s="7" t="s">
        <v>131</v>
      </c>
      <c r="C60" s="7" t="s">
        <v>132</v>
      </c>
      <c r="D60" s="7" t="n">
        <v>91001</v>
      </c>
      <c r="E60" s="51" t="n">
        <v>200025888824</v>
      </c>
      <c r="F60" s="51" t="s">
        <v>112</v>
      </c>
      <c r="G60" s="51" t="n">
        <v>32</v>
      </c>
      <c r="H60" s="52" t="n">
        <v>45798.8452662037</v>
      </c>
      <c r="I60" s="7" t="n">
        <v>4</v>
      </c>
      <c r="J60" s="7" t="n">
        <v>4</v>
      </c>
      <c r="K60" s="7" t="n">
        <v>11</v>
      </c>
      <c r="L60" s="7" t="n">
        <v>81</v>
      </c>
      <c r="M60" s="7" t="n">
        <v>0</v>
      </c>
    </row>
    <row r="61" customFormat="false" ht="14.25" hidden="false" customHeight="false" outlineLevel="0" collapsed="false">
      <c r="A61" s="7" t="n">
        <v>119</v>
      </c>
      <c r="B61" s="7" t="s">
        <v>131</v>
      </c>
      <c r="C61" s="7" t="s">
        <v>132</v>
      </c>
      <c r="D61" s="7" t="n">
        <v>91001</v>
      </c>
      <c r="E61" s="51" t="n">
        <v>200025888824</v>
      </c>
      <c r="F61" s="51" t="s">
        <v>112</v>
      </c>
      <c r="G61" s="51" t="n">
        <v>32</v>
      </c>
      <c r="H61" s="52" t="n">
        <v>45798.8746180556</v>
      </c>
      <c r="I61" s="7" t="n">
        <v>4</v>
      </c>
      <c r="J61" s="7" t="n">
        <v>4</v>
      </c>
      <c r="K61" s="7" t="n">
        <v>12</v>
      </c>
      <c r="L61" s="7" t="n">
        <v>87</v>
      </c>
      <c r="M61" s="7" t="n">
        <v>0</v>
      </c>
    </row>
    <row r="62" customFormat="false" ht="14.25" hidden="false" customHeight="false" outlineLevel="0" collapsed="false">
      <c r="A62" s="7" t="n">
        <v>120</v>
      </c>
      <c r="B62" s="7" t="s">
        <v>131</v>
      </c>
      <c r="C62" s="7" t="s">
        <v>132</v>
      </c>
      <c r="D62" s="7" t="n">
        <v>91001</v>
      </c>
      <c r="E62" s="51" t="n">
        <v>200025888824</v>
      </c>
      <c r="F62" s="51" t="s">
        <v>112</v>
      </c>
      <c r="G62" s="51" t="n">
        <v>32</v>
      </c>
      <c r="H62" s="52" t="n">
        <v>45798.8748958333</v>
      </c>
      <c r="I62" s="7" t="n">
        <v>4</v>
      </c>
      <c r="J62" s="7" t="n">
        <v>4</v>
      </c>
      <c r="K62" s="7" t="n">
        <v>13</v>
      </c>
      <c r="L62" s="7" t="n">
        <v>88</v>
      </c>
      <c r="M62" s="7" t="n">
        <v>0</v>
      </c>
    </row>
    <row r="63" customFormat="false" ht="14.25" hidden="false" customHeight="false" outlineLevel="0" collapsed="false">
      <c r="A63" s="7" t="n">
        <v>121</v>
      </c>
      <c r="B63" s="7" t="s">
        <v>131</v>
      </c>
      <c r="C63" s="7" t="s">
        <v>132</v>
      </c>
      <c r="D63" s="7" t="n">
        <v>91001</v>
      </c>
      <c r="E63" s="51" t="n">
        <v>200025888824</v>
      </c>
      <c r="F63" s="51" t="s">
        <v>112</v>
      </c>
      <c r="G63" s="51" t="n">
        <v>32</v>
      </c>
      <c r="H63" s="52" t="n">
        <v>45798.875</v>
      </c>
      <c r="I63" s="7" t="n">
        <v>4</v>
      </c>
      <c r="J63" s="7" t="n">
        <v>4</v>
      </c>
      <c r="K63" s="7" t="n">
        <v>14</v>
      </c>
      <c r="L63" s="7" t="n">
        <v>89</v>
      </c>
      <c r="M63" s="7" t="n">
        <v>1</v>
      </c>
    </row>
    <row r="64" customFormat="false" ht="14.25" hidden="false" customHeight="false" outlineLevel="0" collapsed="false">
      <c r="A64" s="7" t="n">
        <v>167</v>
      </c>
      <c r="B64" s="7" t="s">
        <v>131</v>
      </c>
      <c r="C64" s="7" t="s">
        <v>132</v>
      </c>
      <c r="D64" s="7" t="n">
        <v>91001</v>
      </c>
      <c r="E64" s="51" t="n">
        <v>200025888824</v>
      </c>
      <c r="F64" s="51" t="s">
        <v>112</v>
      </c>
      <c r="G64" s="51" t="n">
        <v>32</v>
      </c>
      <c r="H64" s="52" t="n">
        <v>45799.2643055556</v>
      </c>
      <c r="I64" s="7" t="n">
        <v>4</v>
      </c>
      <c r="J64" s="7" t="n">
        <v>4</v>
      </c>
      <c r="K64" s="7" t="n">
        <v>15</v>
      </c>
      <c r="L64" s="7" t="n">
        <v>135</v>
      </c>
      <c r="M64" s="7" t="n">
        <v>0</v>
      </c>
    </row>
    <row r="65" customFormat="false" ht="14.25" hidden="false" customHeight="false" outlineLevel="0" collapsed="false">
      <c r="A65" s="7" t="n">
        <v>168</v>
      </c>
      <c r="B65" s="7" t="s">
        <v>131</v>
      </c>
      <c r="C65" s="7" t="s">
        <v>132</v>
      </c>
      <c r="D65" s="7" t="n">
        <v>91001</v>
      </c>
      <c r="E65" s="51" t="n">
        <v>200025888824</v>
      </c>
      <c r="F65" s="51" t="s">
        <v>112</v>
      </c>
      <c r="G65" s="51" t="n">
        <v>32</v>
      </c>
      <c r="H65" s="52" t="n">
        <v>45799.2656944444</v>
      </c>
      <c r="I65" s="7" t="n">
        <v>4</v>
      </c>
      <c r="J65" s="7" t="n">
        <v>4</v>
      </c>
      <c r="K65" s="7" t="n">
        <v>16</v>
      </c>
      <c r="L65" s="7" t="n">
        <v>136</v>
      </c>
      <c r="M65" s="7" t="n">
        <v>1</v>
      </c>
    </row>
    <row r="66" customFormat="false" ht="14.25" hidden="false" customHeight="false" outlineLevel="0" collapsed="false">
      <c r="A66" s="7" t="n">
        <v>169</v>
      </c>
      <c r="B66" s="7" t="s">
        <v>131</v>
      </c>
      <c r="C66" s="7" t="s">
        <v>132</v>
      </c>
      <c r="D66" s="7" t="n">
        <v>91001</v>
      </c>
      <c r="E66" s="51" t="n">
        <v>200025888824</v>
      </c>
      <c r="F66" s="51" t="s">
        <v>112</v>
      </c>
      <c r="G66" s="51" t="n">
        <v>32</v>
      </c>
      <c r="H66" s="52" t="n">
        <v>45799.2657060185</v>
      </c>
      <c r="I66" s="7" t="n">
        <v>4</v>
      </c>
      <c r="J66" s="7" t="n">
        <v>4</v>
      </c>
      <c r="K66" s="7" t="n">
        <v>17</v>
      </c>
      <c r="L66" s="7" t="n">
        <v>137</v>
      </c>
      <c r="M66" s="7" t="n">
        <v>1</v>
      </c>
    </row>
    <row r="67" customFormat="false" ht="14.25" hidden="false" customHeight="false" outlineLevel="0" collapsed="false">
      <c r="A67" s="7" t="n">
        <v>170</v>
      </c>
      <c r="B67" s="7" t="s">
        <v>131</v>
      </c>
      <c r="C67" s="7" t="s">
        <v>132</v>
      </c>
      <c r="D67" s="7" t="n">
        <v>91001</v>
      </c>
      <c r="E67" s="51" t="n">
        <v>200025888824</v>
      </c>
      <c r="F67" s="51" t="s">
        <v>112</v>
      </c>
      <c r="G67" s="51" t="n">
        <v>32</v>
      </c>
      <c r="H67" s="52" t="n">
        <v>45799.2663425926</v>
      </c>
      <c r="I67" s="7" t="n">
        <v>4</v>
      </c>
      <c r="J67" s="7" t="n">
        <v>4</v>
      </c>
      <c r="K67" s="7" t="n">
        <v>18</v>
      </c>
      <c r="L67" s="7" t="n">
        <v>138</v>
      </c>
      <c r="M67" s="7" t="n">
        <v>2</v>
      </c>
    </row>
    <row r="68" customFormat="false" ht="14.25" hidden="false" customHeight="false" outlineLevel="0" collapsed="false">
      <c r="A68" s="7" t="n">
        <v>29</v>
      </c>
      <c r="B68" s="1" t="s">
        <v>136</v>
      </c>
      <c r="C68" s="7" t="s">
        <v>137</v>
      </c>
      <c r="D68" s="15" t="n">
        <v>93202</v>
      </c>
      <c r="E68" s="51" t="n">
        <v>200025888201</v>
      </c>
      <c r="F68" s="51" t="s">
        <v>80</v>
      </c>
      <c r="G68" s="51" t="n">
        <v>20</v>
      </c>
      <c r="H68" s="52" t="n">
        <v>45798.499212963</v>
      </c>
      <c r="I68" s="7" t="n">
        <v>5</v>
      </c>
      <c r="J68" s="7" t="n">
        <v>5</v>
      </c>
      <c r="K68" s="7" t="n">
        <v>1</v>
      </c>
      <c r="L68" s="1" t="n">
        <v>2</v>
      </c>
      <c r="M68" s="1" t="n">
        <v>4673</v>
      </c>
    </row>
    <row r="69" customFormat="false" ht="14.25" hidden="false" customHeight="false" outlineLevel="0" collapsed="false">
      <c r="A69" s="1" t="n">
        <v>214</v>
      </c>
      <c r="B69" s="1" t="s">
        <v>131</v>
      </c>
      <c r="C69" s="1" t="s">
        <v>132</v>
      </c>
      <c r="D69" s="1" t="n">
        <v>91001</v>
      </c>
      <c r="E69" s="51" t="n">
        <v>200025888201</v>
      </c>
      <c r="F69" s="51" t="s">
        <v>80</v>
      </c>
      <c r="G69" s="51" t="n">
        <v>20</v>
      </c>
      <c r="H69" s="52" t="n">
        <v>45799.8872569444</v>
      </c>
      <c r="I69" s="7" t="n">
        <v>5</v>
      </c>
      <c r="J69" s="7" t="n">
        <v>5</v>
      </c>
      <c r="K69" s="7" t="n">
        <v>2</v>
      </c>
      <c r="L69" s="7" t="n">
        <v>182</v>
      </c>
      <c r="M69" s="1" t="n">
        <v>0</v>
      </c>
    </row>
    <row r="70" customFormat="false" ht="14.25" hidden="false" customHeight="false" outlineLevel="0" collapsed="false">
      <c r="A70" s="1" t="n">
        <v>215</v>
      </c>
      <c r="B70" s="1" t="s">
        <v>131</v>
      </c>
      <c r="C70" s="1" t="s">
        <v>132</v>
      </c>
      <c r="D70" s="1" t="n">
        <v>91001</v>
      </c>
      <c r="E70" s="51" t="n">
        <v>200025888201</v>
      </c>
      <c r="F70" s="51" t="s">
        <v>80</v>
      </c>
      <c r="G70" s="51" t="n">
        <v>20</v>
      </c>
      <c r="H70" s="52" t="n">
        <v>45799.8877314815</v>
      </c>
      <c r="I70" s="7" t="n">
        <v>5</v>
      </c>
      <c r="J70" s="7" t="n">
        <v>5</v>
      </c>
      <c r="K70" s="7" t="n">
        <v>3</v>
      </c>
      <c r="L70" s="7" t="n">
        <v>183</v>
      </c>
      <c r="M70" s="1" t="n">
        <v>0</v>
      </c>
    </row>
    <row r="71" customFormat="false" ht="14.25" hidden="false" customHeight="false" outlineLevel="0" collapsed="false">
      <c r="A71" s="7" t="n">
        <v>65</v>
      </c>
      <c r="B71" s="7" t="s">
        <v>131</v>
      </c>
      <c r="C71" s="7" t="s">
        <v>132</v>
      </c>
      <c r="D71" s="7" t="n">
        <v>91001</v>
      </c>
      <c r="E71" s="51" t="n">
        <v>200025888654</v>
      </c>
      <c r="F71" s="51" t="s">
        <v>67</v>
      </c>
      <c r="G71" s="51" t="n">
        <v>1</v>
      </c>
      <c r="H71" s="52" t="n">
        <v>45798.6543402778</v>
      </c>
      <c r="I71" s="7" t="n">
        <v>6</v>
      </c>
      <c r="J71" s="7" t="n">
        <v>6</v>
      </c>
      <c r="K71" s="7" t="n">
        <v>1</v>
      </c>
      <c r="L71" s="7" t="n">
        <v>33</v>
      </c>
      <c r="M71" s="7" t="n">
        <v>0</v>
      </c>
    </row>
    <row r="72" customFormat="false" ht="14.25" hidden="false" customHeight="false" outlineLevel="0" collapsed="false">
      <c r="A72" s="7" t="n">
        <v>66</v>
      </c>
      <c r="B72" s="7" t="s">
        <v>131</v>
      </c>
      <c r="C72" s="7" t="s">
        <v>132</v>
      </c>
      <c r="D72" s="7" t="n">
        <v>91001</v>
      </c>
      <c r="E72" s="51" t="n">
        <v>200025888654</v>
      </c>
      <c r="F72" s="51" t="s">
        <v>67</v>
      </c>
      <c r="G72" s="51" t="n">
        <v>1</v>
      </c>
      <c r="H72" s="52" t="n">
        <v>45798.6543518519</v>
      </c>
      <c r="I72" s="7" t="n">
        <v>6</v>
      </c>
      <c r="J72" s="7" t="n">
        <v>6</v>
      </c>
      <c r="K72" s="7" t="n">
        <v>2</v>
      </c>
      <c r="L72" s="7" t="n">
        <v>34</v>
      </c>
      <c r="M72" s="7" t="n">
        <v>0</v>
      </c>
    </row>
    <row r="73" customFormat="false" ht="14.25" hidden="false" customHeight="false" outlineLevel="0" collapsed="false">
      <c r="A73" s="7" t="n">
        <v>67</v>
      </c>
      <c r="B73" s="7" t="s">
        <v>131</v>
      </c>
      <c r="C73" s="7" t="s">
        <v>132</v>
      </c>
      <c r="D73" s="7" t="n">
        <v>91001</v>
      </c>
      <c r="E73" s="51" t="n">
        <v>200025888654</v>
      </c>
      <c r="F73" s="51" t="s">
        <v>67</v>
      </c>
      <c r="G73" s="51" t="n">
        <v>1</v>
      </c>
      <c r="H73" s="52" t="n">
        <v>45798.6543634259</v>
      </c>
      <c r="I73" s="7" t="n">
        <v>6</v>
      </c>
      <c r="J73" s="7" t="n">
        <v>6</v>
      </c>
      <c r="K73" s="7" t="n">
        <v>3</v>
      </c>
      <c r="L73" s="7" t="n">
        <v>35</v>
      </c>
      <c r="M73" s="7" t="n">
        <v>31</v>
      </c>
    </row>
    <row r="74" customFormat="false" ht="14.25" hidden="false" customHeight="false" outlineLevel="0" collapsed="false">
      <c r="A74" s="7" t="n">
        <v>68</v>
      </c>
      <c r="B74" s="7" t="s">
        <v>131</v>
      </c>
      <c r="C74" s="7" t="s">
        <v>132</v>
      </c>
      <c r="D74" s="7" t="n">
        <v>91001</v>
      </c>
      <c r="E74" s="51" t="n">
        <v>200025888654</v>
      </c>
      <c r="F74" s="51" t="s">
        <v>67</v>
      </c>
      <c r="G74" s="51" t="n">
        <v>1</v>
      </c>
      <c r="H74" s="52" t="n">
        <v>45798.6557986111</v>
      </c>
      <c r="I74" s="7" t="n">
        <v>6</v>
      </c>
      <c r="J74" s="7" t="n">
        <v>6</v>
      </c>
      <c r="K74" s="7" t="n">
        <v>4</v>
      </c>
      <c r="L74" s="7" t="n">
        <v>36</v>
      </c>
      <c r="M74" s="7" t="n">
        <v>1</v>
      </c>
    </row>
    <row r="75" customFormat="false" ht="14.25" hidden="false" customHeight="false" outlineLevel="0" collapsed="false">
      <c r="A75" s="7" t="n">
        <v>69</v>
      </c>
      <c r="B75" s="7" t="s">
        <v>131</v>
      </c>
      <c r="C75" s="7" t="s">
        <v>132</v>
      </c>
      <c r="D75" s="7" t="n">
        <v>91001</v>
      </c>
      <c r="E75" s="51" t="n">
        <v>200025888654</v>
      </c>
      <c r="F75" s="51" t="s">
        <v>67</v>
      </c>
      <c r="G75" s="51" t="n">
        <v>1</v>
      </c>
      <c r="H75" s="52" t="n">
        <v>45798.6558217593</v>
      </c>
      <c r="I75" s="7" t="n">
        <v>6</v>
      </c>
      <c r="J75" s="7" t="n">
        <v>6</v>
      </c>
      <c r="K75" s="7" t="n">
        <v>5</v>
      </c>
      <c r="L75" s="7" t="n">
        <v>37</v>
      </c>
      <c r="M75" s="7" t="n">
        <v>1</v>
      </c>
    </row>
    <row r="76" customFormat="false" ht="14.25" hidden="false" customHeight="false" outlineLevel="0" collapsed="false">
      <c r="A76" s="7" t="n">
        <v>70</v>
      </c>
      <c r="B76" s="7" t="s">
        <v>131</v>
      </c>
      <c r="C76" s="7" t="s">
        <v>132</v>
      </c>
      <c r="D76" s="7" t="n">
        <v>91001</v>
      </c>
      <c r="E76" s="51" t="n">
        <v>200025888654</v>
      </c>
      <c r="F76" s="51" t="s">
        <v>67</v>
      </c>
      <c r="G76" s="51" t="n">
        <v>1</v>
      </c>
      <c r="H76" s="52" t="n">
        <v>45798.6558333333</v>
      </c>
      <c r="I76" s="7" t="n">
        <v>6</v>
      </c>
      <c r="J76" s="7" t="n">
        <v>6</v>
      </c>
      <c r="K76" s="7" t="n">
        <v>6</v>
      </c>
      <c r="L76" s="7" t="n">
        <v>38</v>
      </c>
      <c r="M76" s="7" t="n">
        <v>0</v>
      </c>
    </row>
    <row r="77" customFormat="false" ht="14.25" hidden="false" customHeight="false" outlineLevel="0" collapsed="false">
      <c r="A77" s="7" t="n">
        <v>71</v>
      </c>
      <c r="B77" s="7" t="s">
        <v>131</v>
      </c>
      <c r="C77" s="7" t="s">
        <v>132</v>
      </c>
      <c r="D77" s="7" t="n">
        <v>91001</v>
      </c>
      <c r="E77" s="51" t="n">
        <v>200025888654</v>
      </c>
      <c r="F77" s="51" t="s">
        <v>67</v>
      </c>
      <c r="G77" s="51" t="n">
        <v>1</v>
      </c>
      <c r="H77" s="52" t="n">
        <v>45798.6558449074</v>
      </c>
      <c r="I77" s="7" t="n">
        <v>6</v>
      </c>
      <c r="J77" s="7" t="n">
        <v>6</v>
      </c>
      <c r="K77" s="7" t="n">
        <v>7</v>
      </c>
      <c r="L77" s="7" t="n">
        <v>39</v>
      </c>
      <c r="M77" s="7" t="n">
        <v>0</v>
      </c>
    </row>
    <row r="78" customFormat="false" ht="14.25" hidden="false" customHeight="false" outlineLevel="0" collapsed="false">
      <c r="A78" s="7" t="n">
        <v>72</v>
      </c>
      <c r="B78" s="7" t="s">
        <v>131</v>
      </c>
      <c r="C78" s="7" t="s">
        <v>132</v>
      </c>
      <c r="D78" s="7" t="n">
        <v>91001</v>
      </c>
      <c r="E78" s="51" t="n">
        <v>200025888654</v>
      </c>
      <c r="F78" s="51" t="s">
        <v>67</v>
      </c>
      <c r="G78" s="51" t="n">
        <v>1</v>
      </c>
      <c r="H78" s="52" t="n">
        <v>45798.6558449074</v>
      </c>
      <c r="I78" s="7" t="n">
        <v>6</v>
      </c>
      <c r="J78" s="7" t="n">
        <v>6</v>
      </c>
      <c r="K78" s="7" t="n">
        <v>8</v>
      </c>
      <c r="L78" s="7" t="n">
        <v>40</v>
      </c>
      <c r="M78" s="7" t="n">
        <v>1</v>
      </c>
    </row>
    <row r="79" customFormat="false" ht="14.25" hidden="false" customHeight="false" outlineLevel="0" collapsed="false">
      <c r="A79" s="7" t="n">
        <v>73</v>
      </c>
      <c r="B79" s="7" t="s">
        <v>131</v>
      </c>
      <c r="C79" s="7" t="s">
        <v>132</v>
      </c>
      <c r="D79" s="7" t="n">
        <v>91001</v>
      </c>
      <c r="E79" s="51" t="n">
        <v>200025888654</v>
      </c>
      <c r="F79" s="51" t="s">
        <v>67</v>
      </c>
      <c r="G79" s="51" t="n">
        <v>1</v>
      </c>
      <c r="H79" s="52" t="n">
        <v>45798.6559375</v>
      </c>
      <c r="I79" s="7" t="n">
        <v>6</v>
      </c>
      <c r="J79" s="7" t="n">
        <v>6</v>
      </c>
      <c r="K79" s="7" t="n">
        <v>9</v>
      </c>
      <c r="L79" s="7" t="n">
        <v>41</v>
      </c>
      <c r="M79" s="7" t="n">
        <v>1</v>
      </c>
    </row>
    <row r="80" customFormat="false" ht="14.25" hidden="false" customHeight="false" outlineLevel="0" collapsed="false">
      <c r="A80" s="7" t="n">
        <v>98</v>
      </c>
      <c r="B80" s="7" t="s">
        <v>131</v>
      </c>
      <c r="C80" s="7" t="s">
        <v>132</v>
      </c>
      <c r="D80" s="7" t="n">
        <v>91001</v>
      </c>
      <c r="E80" s="51" t="n">
        <v>200025888654</v>
      </c>
      <c r="F80" s="51" t="s">
        <v>67</v>
      </c>
      <c r="G80" s="51" t="n">
        <v>1</v>
      </c>
      <c r="H80" s="52" t="n">
        <v>45798.7984375</v>
      </c>
      <c r="I80" s="7" t="n">
        <v>6</v>
      </c>
      <c r="J80" s="7" t="n">
        <v>6</v>
      </c>
      <c r="K80" s="7" t="n">
        <v>10</v>
      </c>
      <c r="L80" s="7" t="n">
        <v>66</v>
      </c>
      <c r="M80" s="7" t="n">
        <v>0</v>
      </c>
    </row>
    <row r="81" customFormat="false" ht="14.25" hidden="false" customHeight="false" outlineLevel="0" collapsed="false">
      <c r="A81" s="7" t="n">
        <v>99</v>
      </c>
      <c r="B81" s="7" t="s">
        <v>131</v>
      </c>
      <c r="C81" s="7" t="s">
        <v>132</v>
      </c>
      <c r="D81" s="7" t="n">
        <v>91001</v>
      </c>
      <c r="E81" s="51" t="n">
        <v>200025888654</v>
      </c>
      <c r="F81" s="51" t="s">
        <v>67</v>
      </c>
      <c r="G81" s="51" t="n">
        <v>1</v>
      </c>
      <c r="H81" s="52" t="n">
        <v>45798.7985648148</v>
      </c>
      <c r="I81" s="7" t="n">
        <v>6</v>
      </c>
      <c r="J81" s="7" t="n">
        <v>6</v>
      </c>
      <c r="K81" s="7" t="n">
        <v>11</v>
      </c>
      <c r="L81" s="7" t="n">
        <v>67</v>
      </c>
      <c r="M81" s="7" t="n">
        <v>1</v>
      </c>
    </row>
    <row r="82" customFormat="false" ht="14.25" hidden="false" customHeight="false" outlineLevel="0" collapsed="false">
      <c r="A82" s="7" t="n">
        <v>100</v>
      </c>
      <c r="B82" s="7" t="s">
        <v>131</v>
      </c>
      <c r="C82" s="7" t="s">
        <v>132</v>
      </c>
      <c r="D82" s="7" t="n">
        <v>91001</v>
      </c>
      <c r="E82" s="51" t="n">
        <v>200025888654</v>
      </c>
      <c r="F82" s="51" t="s">
        <v>67</v>
      </c>
      <c r="G82" s="51" t="n">
        <v>1</v>
      </c>
      <c r="H82" s="52" t="n">
        <v>45798.8001736111</v>
      </c>
      <c r="I82" s="7" t="n">
        <v>6</v>
      </c>
      <c r="J82" s="7" t="n">
        <v>6</v>
      </c>
      <c r="K82" s="7" t="n">
        <v>12</v>
      </c>
      <c r="L82" s="7" t="n">
        <v>68</v>
      </c>
      <c r="M82" s="7" t="n">
        <v>1</v>
      </c>
    </row>
    <row r="83" customFormat="false" ht="14.25" hidden="false" customHeight="false" outlineLevel="0" collapsed="false">
      <c r="A83" s="7" t="n">
        <v>101</v>
      </c>
      <c r="B83" s="7" t="s">
        <v>131</v>
      </c>
      <c r="C83" s="7" t="s">
        <v>132</v>
      </c>
      <c r="D83" s="7" t="n">
        <v>91001</v>
      </c>
      <c r="E83" s="51" t="n">
        <v>200025888654</v>
      </c>
      <c r="F83" s="51" t="s">
        <v>67</v>
      </c>
      <c r="G83" s="51" t="n">
        <v>1</v>
      </c>
      <c r="H83" s="52" t="n">
        <v>45798.8003819444</v>
      </c>
      <c r="I83" s="7" t="n">
        <v>6</v>
      </c>
      <c r="J83" s="7" t="n">
        <v>6</v>
      </c>
      <c r="K83" s="7" t="n">
        <v>13</v>
      </c>
      <c r="L83" s="7" t="n">
        <v>69</v>
      </c>
      <c r="M83" s="7" t="n">
        <v>0</v>
      </c>
    </row>
    <row r="84" customFormat="false" ht="14.25" hidden="false" customHeight="false" outlineLevel="0" collapsed="false">
      <c r="A84" s="7" t="n">
        <v>102</v>
      </c>
      <c r="B84" s="7" t="s">
        <v>131</v>
      </c>
      <c r="C84" s="7" t="s">
        <v>132</v>
      </c>
      <c r="D84" s="7" t="n">
        <v>91001</v>
      </c>
      <c r="E84" s="51" t="n">
        <v>200025888654</v>
      </c>
      <c r="F84" s="51" t="s">
        <v>67</v>
      </c>
      <c r="G84" s="51" t="n">
        <v>1</v>
      </c>
      <c r="H84" s="52" t="n">
        <v>45798.8003819444</v>
      </c>
      <c r="I84" s="7" t="n">
        <v>6</v>
      </c>
      <c r="J84" s="7" t="n">
        <v>6</v>
      </c>
      <c r="K84" s="7" t="n">
        <v>14</v>
      </c>
      <c r="L84" s="7" t="n">
        <v>70</v>
      </c>
      <c r="M84" s="7" t="n">
        <v>1</v>
      </c>
    </row>
    <row r="85" customFormat="false" ht="14.25" hidden="false" customHeight="false" outlineLevel="0" collapsed="false">
      <c r="A85" s="7" t="n">
        <v>122</v>
      </c>
      <c r="B85" s="7" t="s">
        <v>131</v>
      </c>
      <c r="C85" s="7" t="s">
        <v>132</v>
      </c>
      <c r="D85" s="7" t="n">
        <v>91001</v>
      </c>
      <c r="E85" s="51" t="n">
        <v>200025888654</v>
      </c>
      <c r="F85" s="51" t="s">
        <v>67</v>
      </c>
      <c r="G85" s="51" t="n">
        <v>1</v>
      </c>
      <c r="H85" s="52" t="n">
        <v>45798.8762152778</v>
      </c>
      <c r="I85" s="7" t="n">
        <v>6</v>
      </c>
      <c r="J85" s="7" t="n">
        <v>6</v>
      </c>
      <c r="K85" s="7" t="n">
        <v>15</v>
      </c>
      <c r="L85" s="7" t="n">
        <v>90</v>
      </c>
      <c r="M85" s="7" t="n">
        <v>0</v>
      </c>
    </row>
    <row r="86" customFormat="false" ht="14.25" hidden="false" customHeight="false" outlineLevel="0" collapsed="false">
      <c r="A86" s="7" t="n">
        <v>123</v>
      </c>
      <c r="B86" s="7" t="s">
        <v>131</v>
      </c>
      <c r="C86" s="7" t="s">
        <v>132</v>
      </c>
      <c r="D86" s="7" t="n">
        <v>91001</v>
      </c>
      <c r="E86" s="51" t="n">
        <v>200025888654</v>
      </c>
      <c r="F86" s="51" t="s">
        <v>67</v>
      </c>
      <c r="G86" s="51" t="n">
        <v>1</v>
      </c>
      <c r="H86" s="52" t="n">
        <v>45798.8762268519</v>
      </c>
      <c r="I86" s="7" t="n">
        <v>6</v>
      </c>
      <c r="J86" s="7" t="n">
        <v>6</v>
      </c>
      <c r="K86" s="7" t="n">
        <v>16</v>
      </c>
      <c r="L86" s="7" t="n">
        <v>91</v>
      </c>
      <c r="M86" s="7" t="n">
        <v>33</v>
      </c>
    </row>
    <row r="87" customFormat="false" ht="14.25" hidden="false" customHeight="false" outlineLevel="0" collapsed="false">
      <c r="A87" s="7" t="n">
        <v>124</v>
      </c>
      <c r="B87" s="7" t="s">
        <v>131</v>
      </c>
      <c r="C87" s="7" t="s">
        <v>132</v>
      </c>
      <c r="D87" s="7" t="n">
        <v>91001</v>
      </c>
      <c r="E87" s="51" t="n">
        <v>200025888654</v>
      </c>
      <c r="F87" s="51" t="s">
        <v>67</v>
      </c>
      <c r="G87" s="51" t="n">
        <v>1</v>
      </c>
      <c r="H87" s="52" t="n">
        <v>45798.8773263889</v>
      </c>
      <c r="I87" s="7" t="n">
        <v>6</v>
      </c>
      <c r="J87" s="7" t="n">
        <v>6</v>
      </c>
      <c r="K87" s="7" t="n">
        <v>17</v>
      </c>
      <c r="L87" s="7" t="n">
        <v>92</v>
      </c>
      <c r="M87" s="7" t="n">
        <v>0</v>
      </c>
    </row>
    <row r="88" customFormat="false" ht="14.25" hidden="false" customHeight="false" outlineLevel="0" collapsed="false">
      <c r="A88" s="7" t="n">
        <v>125</v>
      </c>
      <c r="B88" s="7" t="s">
        <v>131</v>
      </c>
      <c r="C88" s="7" t="s">
        <v>132</v>
      </c>
      <c r="D88" s="7" t="n">
        <v>91001</v>
      </c>
      <c r="E88" s="51" t="n">
        <v>200025888654</v>
      </c>
      <c r="F88" s="51" t="s">
        <v>67</v>
      </c>
      <c r="G88" s="51" t="n">
        <v>1</v>
      </c>
      <c r="H88" s="52" t="n">
        <v>45798.8774074074</v>
      </c>
      <c r="I88" s="7" t="n">
        <v>6</v>
      </c>
      <c r="J88" s="7" t="n">
        <v>6</v>
      </c>
      <c r="K88" s="7" t="n">
        <v>18</v>
      </c>
      <c r="L88" s="7" t="n">
        <v>93</v>
      </c>
      <c r="M88" s="7" t="n">
        <v>1</v>
      </c>
    </row>
    <row r="89" customFormat="false" ht="14.25" hidden="false" customHeight="false" outlineLevel="0" collapsed="false">
      <c r="A89" s="7" t="n">
        <v>31</v>
      </c>
      <c r="B89" s="1" t="s">
        <v>136</v>
      </c>
      <c r="C89" s="7" t="s">
        <v>137</v>
      </c>
      <c r="D89" s="15" t="n">
        <v>93202</v>
      </c>
      <c r="E89" s="51" t="n">
        <v>200025888654</v>
      </c>
      <c r="F89" s="51" t="s">
        <v>67</v>
      </c>
      <c r="G89" s="51" t="n">
        <v>1</v>
      </c>
      <c r="H89" s="52" t="n">
        <v>45798.9140509259</v>
      </c>
      <c r="I89" s="7" t="n">
        <v>6</v>
      </c>
      <c r="J89" s="7" t="n">
        <v>6</v>
      </c>
      <c r="K89" s="7" t="n">
        <v>19</v>
      </c>
      <c r="L89" s="1" t="n">
        <v>4</v>
      </c>
      <c r="M89" s="1" t="n">
        <v>0</v>
      </c>
    </row>
    <row r="90" customFormat="false" ht="14.25" hidden="false" customHeight="false" outlineLevel="0" collapsed="false">
      <c r="A90" s="7" t="n">
        <v>82</v>
      </c>
      <c r="B90" s="7" t="s">
        <v>131</v>
      </c>
      <c r="C90" s="7" t="s">
        <v>132</v>
      </c>
      <c r="D90" s="7" t="n">
        <v>91001</v>
      </c>
      <c r="E90" s="51" t="n">
        <v>200025888863</v>
      </c>
      <c r="F90" s="51" t="s">
        <v>105</v>
      </c>
      <c r="G90" s="51" t="n">
        <v>26</v>
      </c>
      <c r="H90" s="52" t="n">
        <v>45798.7045023148</v>
      </c>
      <c r="I90" s="7" t="n">
        <v>7</v>
      </c>
      <c r="J90" s="7" t="n">
        <v>7</v>
      </c>
      <c r="K90" s="7" t="n">
        <v>1</v>
      </c>
      <c r="L90" s="7" t="n">
        <v>50</v>
      </c>
      <c r="M90" s="7" t="n">
        <v>1</v>
      </c>
    </row>
    <row r="91" customFormat="false" ht="14.25" hidden="false" customHeight="false" outlineLevel="0" collapsed="false">
      <c r="A91" s="7" t="n">
        <v>83</v>
      </c>
      <c r="B91" s="7" t="s">
        <v>131</v>
      </c>
      <c r="C91" s="7" t="s">
        <v>132</v>
      </c>
      <c r="D91" s="7" t="n">
        <v>91001</v>
      </c>
      <c r="E91" s="51" t="n">
        <v>200025888863</v>
      </c>
      <c r="F91" s="51" t="s">
        <v>105</v>
      </c>
      <c r="G91" s="51" t="n">
        <v>26</v>
      </c>
      <c r="H91" s="52" t="n">
        <v>45798.7048726852</v>
      </c>
      <c r="I91" s="7" t="n">
        <v>7</v>
      </c>
      <c r="J91" s="7" t="n">
        <v>7</v>
      </c>
      <c r="K91" s="7" t="n">
        <v>2</v>
      </c>
      <c r="L91" s="7" t="n">
        <v>51</v>
      </c>
      <c r="M91" s="7" t="n">
        <v>0</v>
      </c>
    </row>
    <row r="92" customFormat="false" ht="14.25" hidden="false" customHeight="false" outlineLevel="0" collapsed="false">
      <c r="A92" s="7" t="n">
        <v>84</v>
      </c>
      <c r="B92" s="7" t="s">
        <v>131</v>
      </c>
      <c r="C92" s="7" t="s">
        <v>132</v>
      </c>
      <c r="D92" s="7" t="n">
        <v>91001</v>
      </c>
      <c r="E92" s="51" t="n">
        <v>200025888863</v>
      </c>
      <c r="F92" s="51" t="s">
        <v>105</v>
      </c>
      <c r="G92" s="51" t="n">
        <v>26</v>
      </c>
      <c r="H92" s="52" t="n">
        <v>45798.7048726852</v>
      </c>
      <c r="I92" s="7" t="n">
        <v>7</v>
      </c>
      <c r="J92" s="7" t="n">
        <v>7</v>
      </c>
      <c r="K92" s="7" t="n">
        <v>3</v>
      </c>
      <c r="L92" s="7" t="n">
        <v>52</v>
      </c>
      <c r="M92" s="7" t="n">
        <v>1</v>
      </c>
    </row>
    <row r="93" customFormat="false" ht="14.25" hidden="false" customHeight="false" outlineLevel="0" collapsed="false">
      <c r="A93" s="7" t="n">
        <v>85</v>
      </c>
      <c r="B93" s="7" t="s">
        <v>131</v>
      </c>
      <c r="C93" s="7" t="s">
        <v>132</v>
      </c>
      <c r="D93" s="7" t="n">
        <v>91001</v>
      </c>
      <c r="E93" s="51" t="n">
        <v>200025888863</v>
      </c>
      <c r="F93" s="51" t="s">
        <v>105</v>
      </c>
      <c r="G93" s="51" t="n">
        <v>26</v>
      </c>
      <c r="H93" s="52" t="n">
        <v>45798.7048842593</v>
      </c>
      <c r="I93" s="7" t="n">
        <v>7</v>
      </c>
      <c r="J93" s="7" t="n">
        <v>7</v>
      </c>
      <c r="K93" s="7" t="n">
        <v>4</v>
      </c>
      <c r="L93" s="7" t="n">
        <v>53</v>
      </c>
      <c r="M93" s="7" t="n">
        <v>13</v>
      </c>
    </row>
    <row r="94" customFormat="false" ht="14.25" hidden="false" customHeight="false" outlineLevel="0" collapsed="false">
      <c r="A94" s="7" t="n">
        <v>114</v>
      </c>
      <c r="B94" s="7" t="s">
        <v>131</v>
      </c>
      <c r="C94" s="7" t="s">
        <v>132</v>
      </c>
      <c r="D94" s="7" t="n">
        <v>91001</v>
      </c>
      <c r="E94" s="51" t="n">
        <v>200025888863</v>
      </c>
      <c r="F94" s="51" t="s">
        <v>105</v>
      </c>
      <c r="G94" s="51" t="n">
        <v>26</v>
      </c>
      <c r="H94" s="52" t="n">
        <v>45798.8666087963</v>
      </c>
      <c r="I94" s="7" t="n">
        <v>7</v>
      </c>
      <c r="J94" s="7" t="n">
        <v>7</v>
      </c>
      <c r="K94" s="7" t="n">
        <v>5</v>
      </c>
      <c r="L94" s="7" t="n">
        <v>82</v>
      </c>
      <c r="M94" s="7" t="n">
        <v>18</v>
      </c>
    </row>
    <row r="95" customFormat="false" ht="14.25" hidden="false" customHeight="false" outlineLevel="0" collapsed="false">
      <c r="A95" s="7" t="n">
        <v>115</v>
      </c>
      <c r="B95" s="7" t="s">
        <v>131</v>
      </c>
      <c r="C95" s="7" t="s">
        <v>132</v>
      </c>
      <c r="D95" s="7" t="n">
        <v>91001</v>
      </c>
      <c r="E95" s="51" t="n">
        <v>200025888863</v>
      </c>
      <c r="F95" s="51" t="s">
        <v>105</v>
      </c>
      <c r="G95" s="51" t="n">
        <v>26</v>
      </c>
      <c r="H95" s="52" t="n">
        <v>45798.8669791667</v>
      </c>
      <c r="I95" s="7" t="n">
        <v>7</v>
      </c>
      <c r="J95" s="7" t="n">
        <v>7</v>
      </c>
      <c r="K95" s="7" t="n">
        <v>6</v>
      </c>
      <c r="L95" s="7" t="n">
        <v>83</v>
      </c>
      <c r="M95" s="7" t="n">
        <v>2</v>
      </c>
    </row>
    <row r="96" customFormat="false" ht="14.25" hidden="false" customHeight="false" outlineLevel="0" collapsed="false">
      <c r="A96" s="7" t="n">
        <v>116</v>
      </c>
      <c r="B96" s="7" t="s">
        <v>131</v>
      </c>
      <c r="C96" s="7" t="s">
        <v>132</v>
      </c>
      <c r="D96" s="7" t="n">
        <v>91001</v>
      </c>
      <c r="E96" s="51" t="n">
        <v>200025888863</v>
      </c>
      <c r="F96" s="51" t="s">
        <v>105</v>
      </c>
      <c r="G96" s="51" t="n">
        <v>26</v>
      </c>
      <c r="H96" s="52" t="n">
        <v>45798.8686111111</v>
      </c>
      <c r="I96" s="7" t="n">
        <v>7</v>
      </c>
      <c r="J96" s="7" t="n">
        <v>7</v>
      </c>
      <c r="K96" s="7" t="n">
        <v>7</v>
      </c>
      <c r="L96" s="7" t="n">
        <v>84</v>
      </c>
      <c r="M96" s="7" t="n">
        <v>1</v>
      </c>
    </row>
    <row r="97" customFormat="false" ht="14.25" hidden="false" customHeight="false" outlineLevel="0" collapsed="false">
      <c r="A97" s="7" t="n">
        <v>133</v>
      </c>
      <c r="B97" s="7" t="s">
        <v>131</v>
      </c>
      <c r="C97" s="7" t="s">
        <v>132</v>
      </c>
      <c r="D97" s="7" t="n">
        <v>91001</v>
      </c>
      <c r="E97" s="51" t="n">
        <v>200025888863</v>
      </c>
      <c r="F97" s="51" t="s">
        <v>105</v>
      </c>
      <c r="G97" s="51" t="n">
        <v>26</v>
      </c>
      <c r="H97" s="52" t="n">
        <v>45798.9670486111</v>
      </c>
      <c r="I97" s="7" t="n">
        <v>7</v>
      </c>
      <c r="J97" s="7" t="n">
        <v>7</v>
      </c>
      <c r="K97" s="7" t="n">
        <v>8</v>
      </c>
      <c r="L97" s="7" t="n">
        <v>101</v>
      </c>
      <c r="M97" s="7" t="n">
        <v>1</v>
      </c>
    </row>
    <row r="98" customFormat="false" ht="14.25" hidden="false" customHeight="false" outlineLevel="0" collapsed="false">
      <c r="A98" s="7" t="n">
        <v>134</v>
      </c>
      <c r="B98" s="7" t="s">
        <v>131</v>
      </c>
      <c r="C98" s="7" t="s">
        <v>132</v>
      </c>
      <c r="D98" s="7" t="n">
        <v>91001</v>
      </c>
      <c r="E98" s="51" t="n">
        <v>200025888863</v>
      </c>
      <c r="F98" s="51" t="s">
        <v>105</v>
      </c>
      <c r="G98" s="51" t="n">
        <v>26</v>
      </c>
      <c r="H98" s="52" t="n">
        <v>45798.9672800926</v>
      </c>
      <c r="I98" s="7" t="n">
        <v>7</v>
      </c>
      <c r="J98" s="7" t="n">
        <v>7</v>
      </c>
      <c r="K98" s="7" t="n">
        <v>9</v>
      </c>
      <c r="L98" s="7" t="n">
        <v>102</v>
      </c>
      <c r="M98" s="7" t="n">
        <v>2</v>
      </c>
    </row>
    <row r="99" customFormat="false" ht="14.25" hidden="false" customHeight="false" outlineLevel="0" collapsed="false">
      <c r="A99" s="7" t="n">
        <v>135</v>
      </c>
      <c r="B99" s="7" t="s">
        <v>131</v>
      </c>
      <c r="C99" s="7" t="s">
        <v>132</v>
      </c>
      <c r="D99" s="7" t="n">
        <v>91001</v>
      </c>
      <c r="E99" s="51" t="n">
        <v>200025888863</v>
      </c>
      <c r="F99" s="51" t="s">
        <v>105</v>
      </c>
      <c r="G99" s="51" t="n">
        <v>26</v>
      </c>
      <c r="H99" s="52" t="n">
        <v>45798.9675578704</v>
      </c>
      <c r="I99" s="7" t="n">
        <v>7</v>
      </c>
      <c r="J99" s="7" t="n">
        <v>7</v>
      </c>
      <c r="K99" s="7" t="n">
        <v>10</v>
      </c>
      <c r="L99" s="7" t="n">
        <v>103</v>
      </c>
      <c r="M99" s="7" t="n">
        <v>0</v>
      </c>
    </row>
    <row r="100" customFormat="false" ht="14.25" hidden="false" customHeight="false" outlineLevel="0" collapsed="false">
      <c r="A100" s="7" t="n">
        <v>136</v>
      </c>
      <c r="B100" s="7" t="s">
        <v>131</v>
      </c>
      <c r="C100" s="7" t="s">
        <v>132</v>
      </c>
      <c r="D100" s="7" t="n">
        <v>91001</v>
      </c>
      <c r="E100" s="51" t="n">
        <v>200025888863</v>
      </c>
      <c r="F100" s="51" t="s">
        <v>105</v>
      </c>
      <c r="G100" s="51" t="n">
        <v>26</v>
      </c>
      <c r="H100" s="52" t="n">
        <v>45798.9675578704</v>
      </c>
      <c r="I100" s="7" t="n">
        <v>7</v>
      </c>
      <c r="J100" s="7" t="n">
        <v>7</v>
      </c>
      <c r="K100" s="7" t="n">
        <v>11</v>
      </c>
      <c r="L100" s="7" t="n">
        <v>104</v>
      </c>
      <c r="M100" s="7" t="n">
        <v>2</v>
      </c>
    </row>
    <row r="101" customFormat="false" ht="14.25" hidden="false" customHeight="false" outlineLevel="0" collapsed="false">
      <c r="A101" s="7" t="n">
        <v>137</v>
      </c>
      <c r="B101" s="7" t="s">
        <v>131</v>
      </c>
      <c r="C101" s="7" t="s">
        <v>132</v>
      </c>
      <c r="D101" s="7" t="n">
        <v>91001</v>
      </c>
      <c r="E101" s="51" t="n">
        <v>200025888863</v>
      </c>
      <c r="F101" s="51" t="s">
        <v>105</v>
      </c>
      <c r="G101" s="51" t="n">
        <v>26</v>
      </c>
      <c r="H101" s="52" t="n">
        <v>45798.9677546296</v>
      </c>
      <c r="I101" s="7" t="n">
        <v>7</v>
      </c>
      <c r="J101" s="7" t="n">
        <v>7</v>
      </c>
      <c r="K101" s="7" t="n">
        <v>12</v>
      </c>
      <c r="L101" s="7" t="n">
        <v>105</v>
      </c>
      <c r="M101" s="7" t="n">
        <v>2</v>
      </c>
    </row>
    <row r="102" customFormat="false" ht="14.25" hidden="false" customHeight="false" outlineLevel="0" collapsed="false">
      <c r="A102" s="7" t="n">
        <v>138</v>
      </c>
      <c r="B102" s="7" t="s">
        <v>131</v>
      </c>
      <c r="C102" s="7" t="s">
        <v>132</v>
      </c>
      <c r="D102" s="7" t="n">
        <v>91001</v>
      </c>
      <c r="E102" s="51" t="n">
        <v>200025888863</v>
      </c>
      <c r="F102" s="51" t="s">
        <v>105</v>
      </c>
      <c r="G102" s="51" t="n">
        <v>26</v>
      </c>
      <c r="H102" s="52" t="n">
        <v>45798.9680439815</v>
      </c>
      <c r="I102" s="7" t="n">
        <v>7</v>
      </c>
      <c r="J102" s="7" t="n">
        <v>7</v>
      </c>
      <c r="K102" s="7" t="n">
        <v>13</v>
      </c>
      <c r="L102" s="7" t="n">
        <v>106</v>
      </c>
      <c r="M102" s="7" t="n">
        <v>0</v>
      </c>
    </row>
    <row r="103" customFormat="false" ht="14.25" hidden="false" customHeight="false" outlineLevel="0" collapsed="false">
      <c r="A103" s="7" t="n">
        <v>139</v>
      </c>
      <c r="B103" s="7" t="s">
        <v>131</v>
      </c>
      <c r="C103" s="7" t="s">
        <v>132</v>
      </c>
      <c r="D103" s="7" t="n">
        <v>91001</v>
      </c>
      <c r="E103" s="51" t="n">
        <v>200025888863</v>
      </c>
      <c r="F103" s="51" t="s">
        <v>105</v>
      </c>
      <c r="G103" s="51" t="n">
        <v>26</v>
      </c>
      <c r="H103" s="52" t="n">
        <v>45798.9680555556</v>
      </c>
      <c r="I103" s="7" t="n">
        <v>7</v>
      </c>
      <c r="J103" s="7" t="n">
        <v>7</v>
      </c>
      <c r="K103" s="7" t="n">
        <v>14</v>
      </c>
      <c r="L103" s="7" t="n">
        <v>107</v>
      </c>
      <c r="M103" s="7" t="n">
        <v>4924</v>
      </c>
    </row>
    <row r="104" customFormat="false" ht="14.25" hidden="false" customHeight="false" outlineLevel="0" collapsed="false">
      <c r="A104" s="7" t="n">
        <v>165</v>
      </c>
      <c r="B104" s="7" t="s">
        <v>131</v>
      </c>
      <c r="C104" s="7" t="s">
        <v>132</v>
      </c>
      <c r="D104" s="7" t="n">
        <v>91001</v>
      </c>
      <c r="E104" s="51" t="n">
        <v>200025888863</v>
      </c>
      <c r="F104" s="51" t="s">
        <v>105</v>
      </c>
      <c r="G104" s="51" t="n">
        <v>26</v>
      </c>
      <c r="H104" s="52" t="n">
        <v>45799.2552314815</v>
      </c>
      <c r="I104" s="7" t="n">
        <v>7</v>
      </c>
      <c r="J104" s="7" t="n">
        <v>7</v>
      </c>
      <c r="K104" s="7" t="n">
        <v>15</v>
      </c>
      <c r="L104" s="7" t="n">
        <v>133</v>
      </c>
      <c r="M104" s="7" t="n">
        <v>2</v>
      </c>
    </row>
    <row r="105" customFormat="false" ht="14.25" hidden="false" customHeight="false" outlineLevel="0" collapsed="false">
      <c r="A105" s="1" t="n">
        <v>224</v>
      </c>
      <c r="B105" s="1" t="s">
        <v>131</v>
      </c>
      <c r="C105" s="1" t="s">
        <v>132</v>
      </c>
      <c r="D105" s="1" t="n">
        <v>91001</v>
      </c>
      <c r="E105" s="51" t="n">
        <v>200025888863</v>
      </c>
      <c r="F105" s="51" t="s">
        <v>105</v>
      </c>
      <c r="G105" s="51" t="n">
        <v>26</v>
      </c>
      <c r="H105" s="52" t="n">
        <v>45800.3801273148</v>
      </c>
      <c r="I105" s="7" t="n">
        <v>7</v>
      </c>
      <c r="J105" s="7" t="n">
        <v>7</v>
      </c>
      <c r="K105" s="7" t="n">
        <v>16</v>
      </c>
      <c r="L105" s="7" t="n">
        <v>192</v>
      </c>
      <c r="M105" s="1" t="n">
        <v>0</v>
      </c>
    </row>
    <row r="106" customFormat="false" ht="14.25" hidden="false" customHeight="false" outlineLevel="0" collapsed="false">
      <c r="A106" s="1" t="n">
        <v>225</v>
      </c>
      <c r="B106" s="1" t="s">
        <v>131</v>
      </c>
      <c r="C106" s="1" t="s">
        <v>132</v>
      </c>
      <c r="D106" s="1" t="n">
        <v>91001</v>
      </c>
      <c r="E106" s="51" t="n">
        <v>200025888863</v>
      </c>
      <c r="F106" s="51" t="s">
        <v>105</v>
      </c>
      <c r="G106" s="51" t="n">
        <v>26</v>
      </c>
      <c r="H106" s="52" t="n">
        <v>45800.3801388889</v>
      </c>
      <c r="I106" s="7" t="n">
        <v>7</v>
      </c>
      <c r="J106" s="7" t="n">
        <v>7</v>
      </c>
      <c r="K106" s="7" t="n">
        <v>17</v>
      </c>
      <c r="L106" s="7" t="n">
        <v>193</v>
      </c>
      <c r="M106" s="1" t="n">
        <v>1</v>
      </c>
    </row>
    <row r="107" customFormat="false" ht="14.25" hidden="false" customHeight="false" outlineLevel="0" collapsed="false">
      <c r="A107" s="7" t="n">
        <v>86</v>
      </c>
      <c r="B107" s="7" t="s">
        <v>131</v>
      </c>
      <c r="C107" s="7" t="s">
        <v>132</v>
      </c>
      <c r="D107" s="7" t="n">
        <v>91001</v>
      </c>
      <c r="E107" s="51" t="n">
        <v>200025888163</v>
      </c>
      <c r="F107" s="51" t="s">
        <v>70</v>
      </c>
      <c r="G107" s="51" t="n">
        <v>2</v>
      </c>
      <c r="H107" s="52" t="n">
        <v>45798.7156365741</v>
      </c>
      <c r="I107" s="7" t="n">
        <v>8</v>
      </c>
      <c r="J107" s="7" t="n">
        <v>8</v>
      </c>
      <c r="K107" s="7" t="n">
        <v>1</v>
      </c>
      <c r="L107" s="7" t="n">
        <v>54</v>
      </c>
      <c r="M107" s="7" t="n">
        <v>0</v>
      </c>
    </row>
    <row r="108" customFormat="false" ht="14.25" hidden="false" customHeight="false" outlineLevel="0" collapsed="false">
      <c r="A108" s="7" t="n">
        <v>87</v>
      </c>
      <c r="B108" s="7" t="s">
        <v>131</v>
      </c>
      <c r="C108" s="7" t="s">
        <v>132</v>
      </c>
      <c r="D108" s="7" t="n">
        <v>91001</v>
      </c>
      <c r="E108" s="51" t="n">
        <v>200025888163</v>
      </c>
      <c r="F108" s="51" t="s">
        <v>70</v>
      </c>
      <c r="G108" s="51" t="n">
        <v>2</v>
      </c>
      <c r="H108" s="52" t="n">
        <v>45798.7156365741</v>
      </c>
      <c r="I108" s="7" t="n">
        <v>8</v>
      </c>
      <c r="J108" s="7" t="n">
        <v>8</v>
      </c>
      <c r="K108" s="7" t="n">
        <v>2</v>
      </c>
      <c r="L108" s="7" t="n">
        <v>55</v>
      </c>
      <c r="M108" s="7" t="n">
        <v>2</v>
      </c>
    </row>
    <row r="109" customFormat="false" ht="14.25" hidden="false" customHeight="false" outlineLevel="0" collapsed="false">
      <c r="A109" s="7" t="n">
        <v>88</v>
      </c>
      <c r="B109" s="7" t="s">
        <v>131</v>
      </c>
      <c r="C109" s="7" t="s">
        <v>132</v>
      </c>
      <c r="D109" s="7" t="n">
        <v>91001</v>
      </c>
      <c r="E109" s="51" t="n">
        <v>200025888163</v>
      </c>
      <c r="F109" s="51" t="s">
        <v>70</v>
      </c>
      <c r="G109" s="51" t="n">
        <v>2</v>
      </c>
      <c r="H109" s="52" t="n">
        <v>45798.7161342593</v>
      </c>
      <c r="I109" s="7" t="n">
        <v>8</v>
      </c>
      <c r="J109" s="7" t="n">
        <v>8</v>
      </c>
      <c r="K109" s="7" t="n">
        <v>3</v>
      </c>
      <c r="L109" s="7" t="n">
        <v>56</v>
      </c>
      <c r="M109" s="7" t="n">
        <v>1</v>
      </c>
    </row>
    <row r="110" customFormat="false" ht="14.25" hidden="false" customHeight="false" outlineLevel="0" collapsed="false">
      <c r="A110" s="7" t="n">
        <v>89</v>
      </c>
      <c r="B110" s="7" t="s">
        <v>131</v>
      </c>
      <c r="C110" s="7" t="s">
        <v>132</v>
      </c>
      <c r="D110" s="7" t="n">
        <v>91001</v>
      </c>
      <c r="E110" s="51" t="n">
        <v>200025888163</v>
      </c>
      <c r="F110" s="51" t="s">
        <v>70</v>
      </c>
      <c r="G110" s="51" t="n">
        <v>2</v>
      </c>
      <c r="H110" s="52" t="n">
        <v>45798.7161574074</v>
      </c>
      <c r="I110" s="7" t="n">
        <v>8</v>
      </c>
      <c r="J110" s="7" t="n">
        <v>8</v>
      </c>
      <c r="K110" s="7" t="n">
        <v>4</v>
      </c>
      <c r="L110" s="7" t="n">
        <v>57</v>
      </c>
      <c r="M110" s="7" t="n">
        <v>22</v>
      </c>
    </row>
    <row r="111" customFormat="false" ht="14.25" hidden="false" customHeight="false" outlineLevel="0" collapsed="false">
      <c r="A111" s="7" t="n">
        <v>90</v>
      </c>
      <c r="B111" s="7" t="s">
        <v>131</v>
      </c>
      <c r="C111" s="7" t="s">
        <v>132</v>
      </c>
      <c r="D111" s="7" t="n">
        <v>91001</v>
      </c>
      <c r="E111" s="51" t="n">
        <v>200025888163</v>
      </c>
      <c r="F111" s="51" t="s">
        <v>70</v>
      </c>
      <c r="G111" s="51" t="n">
        <v>2</v>
      </c>
      <c r="H111" s="52" t="n">
        <v>45798.716412037</v>
      </c>
      <c r="I111" s="7" t="n">
        <v>8</v>
      </c>
      <c r="J111" s="7" t="n">
        <v>8</v>
      </c>
      <c r="K111" s="7" t="n">
        <v>5</v>
      </c>
      <c r="L111" s="7" t="n">
        <v>58</v>
      </c>
      <c r="M111" s="7" t="n">
        <v>0</v>
      </c>
    </row>
    <row r="112" customFormat="false" ht="14.25" hidden="false" customHeight="false" outlineLevel="0" collapsed="false">
      <c r="A112" s="7" t="n">
        <v>91</v>
      </c>
      <c r="B112" s="7" t="s">
        <v>131</v>
      </c>
      <c r="C112" s="7" t="s">
        <v>132</v>
      </c>
      <c r="D112" s="7" t="n">
        <v>91001</v>
      </c>
      <c r="E112" s="51" t="n">
        <v>200025888163</v>
      </c>
      <c r="F112" s="51" t="s">
        <v>70</v>
      </c>
      <c r="G112" s="51" t="n">
        <v>2</v>
      </c>
      <c r="H112" s="52" t="n">
        <v>45798.7164236111</v>
      </c>
      <c r="I112" s="7" t="n">
        <v>8</v>
      </c>
      <c r="J112" s="7" t="n">
        <v>8</v>
      </c>
      <c r="K112" s="7" t="n">
        <v>6</v>
      </c>
      <c r="L112" s="7" t="n">
        <v>59</v>
      </c>
      <c r="M112" s="7" t="n">
        <v>1</v>
      </c>
    </row>
    <row r="113" customFormat="false" ht="14.25" hidden="false" customHeight="false" outlineLevel="0" collapsed="false">
      <c r="A113" s="7" t="n">
        <v>93</v>
      </c>
      <c r="B113" s="7" t="s">
        <v>131</v>
      </c>
      <c r="C113" s="7" t="s">
        <v>132</v>
      </c>
      <c r="D113" s="7" t="n">
        <v>91001</v>
      </c>
      <c r="E113" s="51" t="n">
        <v>200025888163</v>
      </c>
      <c r="F113" s="51" t="s">
        <v>70</v>
      </c>
      <c r="G113" s="51" t="n">
        <v>2</v>
      </c>
      <c r="H113" s="52" t="n">
        <v>45798.7272106482</v>
      </c>
      <c r="I113" s="7" t="n">
        <v>8</v>
      </c>
      <c r="J113" s="7" t="n">
        <v>8</v>
      </c>
      <c r="K113" s="7" t="n">
        <v>7</v>
      </c>
      <c r="L113" s="7" t="n">
        <v>61</v>
      </c>
      <c r="M113" s="7" t="n">
        <v>1</v>
      </c>
    </row>
    <row r="114" customFormat="false" ht="14.25" hidden="false" customHeight="false" outlineLevel="0" collapsed="false">
      <c r="A114" s="7" t="n">
        <v>180</v>
      </c>
      <c r="B114" s="7" t="s">
        <v>131</v>
      </c>
      <c r="C114" s="7" t="s">
        <v>132</v>
      </c>
      <c r="D114" s="7" t="n">
        <v>91001</v>
      </c>
      <c r="E114" s="51" t="n">
        <v>200025888163</v>
      </c>
      <c r="F114" s="51" t="s">
        <v>133</v>
      </c>
      <c r="G114" s="51" t="n">
        <v>3</v>
      </c>
      <c r="H114" s="52" t="n">
        <v>45799.4950810185</v>
      </c>
      <c r="I114" s="7" t="n">
        <v>8</v>
      </c>
      <c r="J114" s="7" t="n">
        <v>8</v>
      </c>
      <c r="K114" s="7" t="n">
        <v>8</v>
      </c>
      <c r="L114" s="7" t="n">
        <v>148</v>
      </c>
      <c r="M114" s="7" t="n">
        <v>3</v>
      </c>
    </row>
    <row r="115" customFormat="false" ht="14.25" hidden="false" customHeight="false" outlineLevel="0" collapsed="false">
      <c r="A115" s="7" t="n">
        <v>92</v>
      </c>
      <c r="B115" s="7" t="s">
        <v>131</v>
      </c>
      <c r="C115" s="7" t="s">
        <v>132</v>
      </c>
      <c r="D115" s="7" t="n">
        <v>91001</v>
      </c>
      <c r="E115" s="51" t="n">
        <v>200025888740</v>
      </c>
      <c r="F115" s="51" t="s">
        <v>109</v>
      </c>
      <c r="G115" s="51" t="n">
        <v>50</v>
      </c>
      <c r="H115" s="52" t="n">
        <v>45798.7252430556</v>
      </c>
      <c r="I115" s="7" t="n">
        <v>9</v>
      </c>
      <c r="J115" s="7" t="n">
        <v>9</v>
      </c>
      <c r="K115" s="7" t="n">
        <v>1</v>
      </c>
      <c r="L115" s="7" t="n">
        <v>60</v>
      </c>
      <c r="M115" s="7" t="n">
        <v>0</v>
      </c>
    </row>
    <row r="116" customFormat="false" ht="14.25" hidden="false" customHeight="false" outlineLevel="0" collapsed="false">
      <c r="A116" s="7" t="n">
        <v>96</v>
      </c>
      <c r="B116" s="7" t="s">
        <v>131</v>
      </c>
      <c r="C116" s="7" t="s">
        <v>132</v>
      </c>
      <c r="D116" s="7" t="n">
        <v>91001</v>
      </c>
      <c r="E116" s="51" t="n">
        <v>200025888717</v>
      </c>
      <c r="F116" s="51" t="s">
        <v>107</v>
      </c>
      <c r="G116" s="51" t="n">
        <v>48</v>
      </c>
      <c r="H116" s="52" t="n">
        <v>45798.7746990741</v>
      </c>
      <c r="I116" s="7" t="n">
        <v>10</v>
      </c>
      <c r="J116" s="7" t="n">
        <v>10</v>
      </c>
      <c r="K116" s="7" t="n">
        <v>1</v>
      </c>
      <c r="L116" s="7" t="n">
        <v>64</v>
      </c>
      <c r="M116" s="7" t="n">
        <v>1</v>
      </c>
    </row>
    <row r="117" customFormat="false" ht="14.25" hidden="false" customHeight="false" outlineLevel="0" collapsed="false">
      <c r="A117" s="7" t="n">
        <v>97</v>
      </c>
      <c r="B117" s="7" t="s">
        <v>131</v>
      </c>
      <c r="C117" s="7" t="s">
        <v>132</v>
      </c>
      <c r="D117" s="7" t="n">
        <v>91001</v>
      </c>
      <c r="E117" s="51" t="n">
        <v>200025888717</v>
      </c>
      <c r="F117" s="51" t="s">
        <v>107</v>
      </c>
      <c r="G117" s="51" t="n">
        <v>48</v>
      </c>
      <c r="H117" s="52" t="n">
        <v>45798.7747222222</v>
      </c>
      <c r="I117" s="7" t="n">
        <v>10</v>
      </c>
      <c r="J117" s="7" t="n">
        <v>10</v>
      </c>
      <c r="K117" s="7" t="n">
        <v>2</v>
      </c>
      <c r="L117" s="7" t="n">
        <v>65</v>
      </c>
      <c r="M117" s="7" t="n">
        <v>0</v>
      </c>
    </row>
    <row r="118" customFormat="false" ht="14.25" hidden="false" customHeight="false" outlineLevel="0" collapsed="false">
      <c r="A118" s="7" t="n">
        <v>117</v>
      </c>
      <c r="B118" s="7" t="s">
        <v>131</v>
      </c>
      <c r="C118" s="7" t="s">
        <v>132</v>
      </c>
      <c r="D118" s="7" t="n">
        <v>91001</v>
      </c>
      <c r="E118" s="51" t="n">
        <v>200025888717</v>
      </c>
      <c r="F118" s="51" t="s">
        <v>107</v>
      </c>
      <c r="G118" s="51" t="n">
        <v>48</v>
      </c>
      <c r="H118" s="52" t="n">
        <v>45798.8704166667</v>
      </c>
      <c r="I118" s="7" t="n">
        <v>10</v>
      </c>
      <c r="J118" s="7" t="n">
        <v>10</v>
      </c>
      <c r="K118" s="7" t="n">
        <v>3</v>
      </c>
      <c r="L118" s="7" t="n">
        <v>85</v>
      </c>
      <c r="M118" s="7" t="n">
        <v>0</v>
      </c>
    </row>
    <row r="119" customFormat="false" ht="14.25" hidden="false" customHeight="false" outlineLevel="0" collapsed="false">
      <c r="A119" s="7" t="n">
        <v>118</v>
      </c>
      <c r="B119" s="7" t="s">
        <v>131</v>
      </c>
      <c r="C119" s="7" t="s">
        <v>132</v>
      </c>
      <c r="D119" s="7" t="n">
        <v>91001</v>
      </c>
      <c r="E119" s="51" t="n">
        <v>200025888717</v>
      </c>
      <c r="F119" s="51" t="s">
        <v>107</v>
      </c>
      <c r="G119" s="51" t="n">
        <v>48</v>
      </c>
      <c r="H119" s="52" t="n">
        <v>45798.8705439815</v>
      </c>
      <c r="I119" s="7" t="n">
        <v>10</v>
      </c>
      <c r="J119" s="7" t="n">
        <v>10</v>
      </c>
      <c r="K119" s="7" t="n">
        <v>4</v>
      </c>
      <c r="L119" s="7" t="n">
        <v>86</v>
      </c>
      <c r="M119" s="7" t="n">
        <v>0</v>
      </c>
    </row>
    <row r="120" customFormat="false" ht="14.25" hidden="false" customHeight="false" outlineLevel="0" collapsed="false">
      <c r="A120" s="7" t="n">
        <v>150</v>
      </c>
      <c r="B120" s="7" t="s">
        <v>131</v>
      </c>
      <c r="C120" s="7" t="s">
        <v>132</v>
      </c>
      <c r="D120" s="7" t="n">
        <v>91001</v>
      </c>
      <c r="E120" s="51" t="n">
        <v>200025888717</v>
      </c>
      <c r="F120" s="51" t="s">
        <v>107</v>
      </c>
      <c r="G120" s="51" t="n">
        <v>48</v>
      </c>
      <c r="H120" s="52" t="n">
        <v>45799.1828587963</v>
      </c>
      <c r="I120" s="7" t="n">
        <v>10</v>
      </c>
      <c r="J120" s="7" t="n">
        <v>10</v>
      </c>
      <c r="K120" s="7" t="n">
        <v>5</v>
      </c>
      <c r="L120" s="7" t="n">
        <v>118</v>
      </c>
      <c r="M120" s="7" t="n">
        <v>1</v>
      </c>
    </row>
    <row r="121" customFormat="false" ht="14.25" hidden="false" customHeight="false" outlineLevel="0" collapsed="false">
      <c r="A121" s="7" t="n">
        <v>151</v>
      </c>
      <c r="B121" s="7" t="s">
        <v>131</v>
      </c>
      <c r="C121" s="7" t="s">
        <v>132</v>
      </c>
      <c r="D121" s="7" t="n">
        <v>91001</v>
      </c>
      <c r="E121" s="51" t="n">
        <v>200025888717</v>
      </c>
      <c r="F121" s="51" t="s">
        <v>107</v>
      </c>
      <c r="G121" s="51" t="n">
        <v>48</v>
      </c>
      <c r="H121" s="52" t="n">
        <v>45799.185</v>
      </c>
      <c r="I121" s="7" t="n">
        <v>10</v>
      </c>
      <c r="J121" s="7" t="n">
        <v>10</v>
      </c>
      <c r="K121" s="7" t="n">
        <v>6</v>
      </c>
      <c r="L121" s="7" t="n">
        <v>119</v>
      </c>
      <c r="M121" s="7" t="n">
        <v>195</v>
      </c>
    </row>
    <row r="122" customFormat="false" ht="14.25" hidden="false" customHeight="false" outlineLevel="0" collapsed="false">
      <c r="A122" s="7" t="n">
        <v>154</v>
      </c>
      <c r="B122" s="7" t="s">
        <v>131</v>
      </c>
      <c r="C122" s="7" t="s">
        <v>132</v>
      </c>
      <c r="D122" s="7" t="n">
        <v>91001</v>
      </c>
      <c r="E122" s="51" t="n">
        <v>200025888717</v>
      </c>
      <c r="F122" s="51" t="s">
        <v>107</v>
      </c>
      <c r="G122" s="51" t="n">
        <v>48</v>
      </c>
      <c r="H122" s="52" t="n">
        <v>45799.2080787037</v>
      </c>
      <c r="I122" s="7" t="n">
        <v>10</v>
      </c>
      <c r="J122" s="7" t="n">
        <v>10</v>
      </c>
      <c r="K122" s="7" t="n">
        <v>7</v>
      </c>
      <c r="L122" s="7" t="n">
        <v>122</v>
      </c>
      <c r="M122" s="7" t="n">
        <v>107</v>
      </c>
    </row>
    <row r="123" customFormat="false" ht="14.25" hidden="false" customHeight="false" outlineLevel="0" collapsed="false">
      <c r="A123" s="7" t="n">
        <v>155</v>
      </c>
      <c r="B123" s="7" t="s">
        <v>131</v>
      </c>
      <c r="C123" s="7" t="s">
        <v>132</v>
      </c>
      <c r="D123" s="7" t="n">
        <v>91001</v>
      </c>
      <c r="E123" s="51" t="n">
        <v>200025888717</v>
      </c>
      <c r="F123" s="51" t="s">
        <v>107</v>
      </c>
      <c r="G123" s="51" t="n">
        <v>48</v>
      </c>
      <c r="H123" s="52" t="n">
        <v>45799.2100694444</v>
      </c>
      <c r="I123" s="7" t="n">
        <v>10</v>
      </c>
      <c r="J123" s="7" t="n">
        <v>10</v>
      </c>
      <c r="K123" s="7" t="n">
        <v>8</v>
      </c>
      <c r="L123" s="7" t="n">
        <v>123</v>
      </c>
      <c r="M123" s="7" t="n">
        <v>1</v>
      </c>
    </row>
    <row r="124" customFormat="false" ht="14.25" hidden="false" customHeight="false" outlineLevel="0" collapsed="false">
      <c r="A124" s="7" t="n">
        <v>156</v>
      </c>
      <c r="B124" s="7" t="s">
        <v>131</v>
      </c>
      <c r="C124" s="7" t="s">
        <v>132</v>
      </c>
      <c r="D124" s="7" t="n">
        <v>91001</v>
      </c>
      <c r="E124" s="51" t="n">
        <v>200025888717</v>
      </c>
      <c r="F124" s="51" t="s">
        <v>107</v>
      </c>
      <c r="G124" s="51" t="n">
        <v>48</v>
      </c>
      <c r="H124" s="52" t="n">
        <v>45799.2100810185</v>
      </c>
      <c r="I124" s="7" t="n">
        <v>10</v>
      </c>
      <c r="J124" s="7" t="n">
        <v>10</v>
      </c>
      <c r="K124" s="7" t="n">
        <v>9</v>
      </c>
      <c r="L124" s="7" t="n">
        <v>124</v>
      </c>
      <c r="M124" s="7" t="n">
        <v>1</v>
      </c>
    </row>
    <row r="125" customFormat="false" ht="14.25" hidden="false" customHeight="false" outlineLevel="0" collapsed="false">
      <c r="A125" s="7" t="n">
        <v>157</v>
      </c>
      <c r="B125" s="7" t="s">
        <v>131</v>
      </c>
      <c r="C125" s="7" t="s">
        <v>132</v>
      </c>
      <c r="D125" s="7" t="n">
        <v>91001</v>
      </c>
      <c r="E125" s="51" t="n">
        <v>200025888717</v>
      </c>
      <c r="F125" s="51" t="s">
        <v>107</v>
      </c>
      <c r="G125" s="51" t="n">
        <v>48</v>
      </c>
      <c r="H125" s="52" t="n">
        <v>45799.214212963</v>
      </c>
      <c r="I125" s="7" t="n">
        <v>10</v>
      </c>
      <c r="J125" s="7" t="n">
        <v>10</v>
      </c>
      <c r="K125" s="7" t="n">
        <v>10</v>
      </c>
      <c r="L125" s="7" t="n">
        <v>125</v>
      </c>
      <c r="M125" s="7" t="n">
        <v>1</v>
      </c>
    </row>
    <row r="126" customFormat="false" ht="14.25" hidden="false" customHeight="false" outlineLevel="0" collapsed="false">
      <c r="A126" s="7" t="n">
        <v>158</v>
      </c>
      <c r="B126" s="7" t="s">
        <v>131</v>
      </c>
      <c r="C126" s="7" t="s">
        <v>132</v>
      </c>
      <c r="D126" s="7" t="n">
        <v>91001</v>
      </c>
      <c r="E126" s="51" t="n">
        <v>200025888717</v>
      </c>
      <c r="F126" s="51" t="s">
        <v>107</v>
      </c>
      <c r="G126" s="51" t="n">
        <v>48</v>
      </c>
      <c r="H126" s="52" t="n">
        <v>45799.215462963</v>
      </c>
      <c r="I126" s="7" t="n">
        <v>10</v>
      </c>
      <c r="J126" s="7" t="n">
        <v>10</v>
      </c>
      <c r="K126" s="7" t="n">
        <v>11</v>
      </c>
      <c r="L126" s="7" t="n">
        <v>126</v>
      </c>
      <c r="M126" s="7" t="n">
        <v>2</v>
      </c>
    </row>
    <row r="127" customFormat="false" ht="14.25" hidden="false" customHeight="false" outlineLevel="0" collapsed="false">
      <c r="A127" s="7" t="n">
        <v>159</v>
      </c>
      <c r="B127" s="7" t="s">
        <v>131</v>
      </c>
      <c r="C127" s="7" t="s">
        <v>132</v>
      </c>
      <c r="D127" s="7" t="n">
        <v>91001</v>
      </c>
      <c r="E127" s="51" t="n">
        <v>200025888717</v>
      </c>
      <c r="F127" s="51" t="s">
        <v>107</v>
      </c>
      <c r="G127" s="51" t="n">
        <v>48</v>
      </c>
      <c r="H127" s="52" t="n">
        <v>45799.2156018519</v>
      </c>
      <c r="I127" s="7" t="n">
        <v>10</v>
      </c>
      <c r="J127" s="7" t="n">
        <v>10</v>
      </c>
      <c r="K127" s="7" t="n">
        <v>12</v>
      </c>
      <c r="L127" s="7" t="n">
        <v>127</v>
      </c>
      <c r="M127" s="7" t="n">
        <v>1</v>
      </c>
    </row>
    <row r="128" customFormat="false" ht="14.25" hidden="false" customHeight="false" outlineLevel="0" collapsed="false">
      <c r="A128" s="7" t="n">
        <v>160</v>
      </c>
      <c r="B128" s="7" t="s">
        <v>131</v>
      </c>
      <c r="C128" s="7" t="s">
        <v>132</v>
      </c>
      <c r="D128" s="7" t="n">
        <v>91001</v>
      </c>
      <c r="E128" s="51" t="n">
        <v>200025888717</v>
      </c>
      <c r="F128" s="51" t="s">
        <v>107</v>
      </c>
      <c r="G128" s="51" t="n">
        <v>48</v>
      </c>
      <c r="H128" s="52" t="n">
        <v>45799.215625</v>
      </c>
      <c r="I128" s="7" t="n">
        <v>10</v>
      </c>
      <c r="J128" s="7" t="n">
        <v>10</v>
      </c>
      <c r="K128" s="7" t="n">
        <v>13</v>
      </c>
      <c r="L128" s="7" t="n">
        <v>128</v>
      </c>
      <c r="M128" s="7" t="n">
        <v>1</v>
      </c>
    </row>
    <row r="129" customFormat="false" ht="14.25" hidden="false" customHeight="false" outlineLevel="0" collapsed="false">
      <c r="A129" s="7" t="n">
        <v>161</v>
      </c>
      <c r="B129" s="7" t="s">
        <v>131</v>
      </c>
      <c r="C129" s="7" t="s">
        <v>132</v>
      </c>
      <c r="D129" s="7" t="n">
        <v>91001</v>
      </c>
      <c r="E129" s="51" t="n">
        <v>200025888717</v>
      </c>
      <c r="F129" s="51" t="s">
        <v>107</v>
      </c>
      <c r="G129" s="51" t="n">
        <v>48</v>
      </c>
      <c r="H129" s="52" t="n">
        <v>45799.215775463</v>
      </c>
      <c r="I129" s="7" t="n">
        <v>10</v>
      </c>
      <c r="J129" s="7" t="n">
        <v>10</v>
      </c>
      <c r="K129" s="7" t="n">
        <v>14</v>
      </c>
      <c r="L129" s="7" t="n">
        <v>129</v>
      </c>
      <c r="M129" s="7" t="n">
        <v>291</v>
      </c>
    </row>
    <row r="130" customFormat="false" ht="14.25" hidden="false" customHeight="false" outlineLevel="0" collapsed="false">
      <c r="A130" s="7" t="n">
        <v>162</v>
      </c>
      <c r="B130" s="7" t="s">
        <v>131</v>
      </c>
      <c r="C130" s="7" t="s">
        <v>132</v>
      </c>
      <c r="D130" s="7" t="n">
        <v>91001</v>
      </c>
      <c r="E130" s="51" t="n">
        <v>200025888717</v>
      </c>
      <c r="F130" s="51" t="s">
        <v>107</v>
      </c>
      <c r="G130" s="51" t="n">
        <v>48</v>
      </c>
      <c r="H130" s="52" t="n">
        <v>45799.2193287037</v>
      </c>
      <c r="I130" s="7" t="n">
        <v>10</v>
      </c>
      <c r="J130" s="7" t="n">
        <v>10</v>
      </c>
      <c r="K130" s="7" t="n">
        <v>15</v>
      </c>
      <c r="L130" s="7" t="n">
        <v>130</v>
      </c>
      <c r="M130" s="7" t="n">
        <v>0</v>
      </c>
    </row>
    <row r="131" customFormat="false" ht="14.25" hidden="false" customHeight="false" outlineLevel="0" collapsed="false">
      <c r="A131" s="7" t="n">
        <v>108</v>
      </c>
      <c r="B131" s="7" t="s">
        <v>131</v>
      </c>
      <c r="C131" s="7" t="s">
        <v>132</v>
      </c>
      <c r="D131" s="7" t="n">
        <v>91001</v>
      </c>
      <c r="E131" s="51" t="n">
        <v>200025888839</v>
      </c>
      <c r="F131" s="51" t="s">
        <v>94</v>
      </c>
      <c r="G131" s="51" t="n">
        <v>16</v>
      </c>
      <c r="H131" s="52" t="n">
        <v>45798.8103240741</v>
      </c>
      <c r="I131" s="7" t="n">
        <v>11</v>
      </c>
      <c r="J131" s="7" t="n">
        <v>11</v>
      </c>
      <c r="K131" s="7" t="n">
        <v>1</v>
      </c>
      <c r="L131" s="7" t="n">
        <v>76</v>
      </c>
      <c r="M131" s="7" t="n">
        <v>0</v>
      </c>
    </row>
    <row r="132" customFormat="false" ht="14.25" hidden="false" customHeight="false" outlineLevel="0" collapsed="false">
      <c r="A132" s="7" t="n">
        <v>109</v>
      </c>
      <c r="B132" s="7" t="s">
        <v>131</v>
      </c>
      <c r="C132" s="7" t="s">
        <v>132</v>
      </c>
      <c r="D132" s="7" t="n">
        <v>91001</v>
      </c>
      <c r="E132" s="51" t="n">
        <v>200025888839</v>
      </c>
      <c r="F132" s="51" t="s">
        <v>94</v>
      </c>
      <c r="G132" s="51" t="n">
        <v>16</v>
      </c>
      <c r="H132" s="52" t="n">
        <v>45798.8103240741</v>
      </c>
      <c r="I132" s="7" t="n">
        <v>11</v>
      </c>
      <c r="J132" s="7" t="n">
        <v>11</v>
      </c>
      <c r="K132" s="7" t="n">
        <v>2</v>
      </c>
      <c r="L132" s="7" t="n">
        <v>77</v>
      </c>
      <c r="M132" s="7" t="n">
        <v>0</v>
      </c>
    </row>
    <row r="133" customFormat="false" ht="14.25" hidden="false" customHeight="false" outlineLevel="0" collapsed="false">
      <c r="A133" s="7" t="n">
        <v>110</v>
      </c>
      <c r="B133" s="7" t="s">
        <v>131</v>
      </c>
      <c r="C133" s="7" t="s">
        <v>132</v>
      </c>
      <c r="D133" s="7" t="n">
        <v>91001</v>
      </c>
      <c r="E133" s="51" t="n">
        <v>200025888839</v>
      </c>
      <c r="F133" s="51" t="s">
        <v>94</v>
      </c>
      <c r="G133" s="51" t="n">
        <v>16</v>
      </c>
      <c r="H133" s="52" t="n">
        <v>45798.8103356482</v>
      </c>
      <c r="I133" s="7" t="n">
        <v>11</v>
      </c>
      <c r="J133" s="7" t="n">
        <v>11</v>
      </c>
      <c r="K133" s="7" t="n">
        <v>3</v>
      </c>
      <c r="L133" s="7" t="n">
        <v>78</v>
      </c>
      <c r="M133" s="7" t="n">
        <v>0</v>
      </c>
    </row>
    <row r="134" customFormat="false" ht="14.25" hidden="false" customHeight="false" outlineLevel="0" collapsed="false">
      <c r="A134" s="7" t="n">
        <v>126</v>
      </c>
      <c r="B134" s="7" t="s">
        <v>131</v>
      </c>
      <c r="C134" s="7" t="s">
        <v>132</v>
      </c>
      <c r="D134" s="7" t="n">
        <v>91001</v>
      </c>
      <c r="E134" s="51" t="n">
        <v>200025888808</v>
      </c>
      <c r="F134" s="51" t="s">
        <v>115</v>
      </c>
      <c r="G134" s="51" t="n">
        <v>43</v>
      </c>
      <c r="H134" s="52" t="n">
        <v>45798.9019675926</v>
      </c>
      <c r="I134" s="7" t="n">
        <v>12</v>
      </c>
      <c r="J134" s="7" t="n">
        <v>12</v>
      </c>
      <c r="K134" s="7" t="n">
        <v>1</v>
      </c>
      <c r="L134" s="7" t="n">
        <v>94</v>
      </c>
      <c r="M134" s="7" t="n">
        <v>1</v>
      </c>
    </row>
    <row r="135" customFormat="false" ht="14.25" hidden="false" customHeight="false" outlineLevel="0" collapsed="false">
      <c r="A135" s="7" t="n">
        <v>152</v>
      </c>
      <c r="B135" s="7" t="s">
        <v>131</v>
      </c>
      <c r="C135" s="7" t="s">
        <v>132</v>
      </c>
      <c r="D135" s="7" t="n">
        <v>91001</v>
      </c>
      <c r="E135" s="51" t="n">
        <v>200025888808</v>
      </c>
      <c r="F135" s="51" t="s">
        <v>115</v>
      </c>
      <c r="G135" s="51" t="n">
        <v>43</v>
      </c>
      <c r="H135" s="52" t="n">
        <v>45799.1893402778</v>
      </c>
      <c r="I135" s="7" t="n">
        <v>12</v>
      </c>
      <c r="J135" s="7" t="n">
        <v>12</v>
      </c>
      <c r="K135" s="7" t="n">
        <v>2</v>
      </c>
      <c r="L135" s="7" t="n">
        <v>120</v>
      </c>
      <c r="M135" s="7" t="n">
        <v>1</v>
      </c>
    </row>
    <row r="136" customFormat="false" ht="14.25" hidden="false" customHeight="false" outlineLevel="0" collapsed="false">
      <c r="A136" s="7" t="n">
        <v>153</v>
      </c>
      <c r="B136" s="7" t="s">
        <v>131</v>
      </c>
      <c r="C136" s="7" t="s">
        <v>132</v>
      </c>
      <c r="D136" s="7" t="n">
        <v>91001</v>
      </c>
      <c r="E136" s="51" t="n">
        <v>200025888808</v>
      </c>
      <c r="F136" s="51" t="s">
        <v>115</v>
      </c>
      <c r="G136" s="51" t="n">
        <v>43</v>
      </c>
      <c r="H136" s="52" t="n">
        <v>45799.189537037</v>
      </c>
      <c r="I136" s="7" t="n">
        <v>12</v>
      </c>
      <c r="J136" s="7" t="n">
        <v>12</v>
      </c>
      <c r="K136" s="7" t="n">
        <v>3</v>
      </c>
      <c r="L136" s="7" t="n">
        <v>121</v>
      </c>
      <c r="M136" s="7" t="n">
        <v>1</v>
      </c>
    </row>
    <row r="137" customFormat="false" ht="14.25" hidden="false" customHeight="false" outlineLevel="0" collapsed="false">
      <c r="A137" s="7" t="n">
        <v>163</v>
      </c>
      <c r="B137" s="7" t="s">
        <v>131</v>
      </c>
      <c r="C137" s="7" t="s">
        <v>132</v>
      </c>
      <c r="D137" s="7" t="n">
        <v>91001</v>
      </c>
      <c r="E137" s="51" t="n">
        <v>200025888808</v>
      </c>
      <c r="F137" s="51" t="s">
        <v>115</v>
      </c>
      <c r="G137" s="51" t="n">
        <v>43</v>
      </c>
      <c r="H137" s="52" t="n">
        <v>45799.2321527778</v>
      </c>
      <c r="I137" s="7" t="n">
        <v>12</v>
      </c>
      <c r="J137" s="7" t="n">
        <v>12</v>
      </c>
      <c r="K137" s="7" t="n">
        <v>4</v>
      </c>
      <c r="L137" s="7" t="n">
        <v>131</v>
      </c>
      <c r="M137" s="7" t="n">
        <v>345</v>
      </c>
    </row>
    <row r="138" customFormat="false" ht="14.25" hidden="false" customHeight="false" outlineLevel="0" collapsed="false">
      <c r="A138" s="7" t="n">
        <v>171</v>
      </c>
      <c r="B138" s="7" t="s">
        <v>131</v>
      </c>
      <c r="C138" s="7" t="s">
        <v>132</v>
      </c>
      <c r="D138" s="7" t="n">
        <v>91001</v>
      </c>
      <c r="E138" s="51" t="n">
        <v>200025888808</v>
      </c>
      <c r="F138" s="51" t="s">
        <v>115</v>
      </c>
      <c r="G138" s="51" t="n">
        <v>43</v>
      </c>
      <c r="H138" s="52" t="n">
        <v>45799.2690740741</v>
      </c>
      <c r="I138" s="7" t="n">
        <v>12</v>
      </c>
      <c r="J138" s="7" t="n">
        <v>12</v>
      </c>
      <c r="K138" s="7" t="n">
        <v>5</v>
      </c>
      <c r="L138" s="7" t="n">
        <v>139</v>
      </c>
      <c r="M138" s="7" t="n">
        <v>1</v>
      </c>
    </row>
    <row r="139" customFormat="false" ht="14.25" hidden="false" customHeight="false" outlineLevel="0" collapsed="false">
      <c r="A139" s="7" t="n">
        <v>183</v>
      </c>
      <c r="B139" s="7" t="s">
        <v>131</v>
      </c>
      <c r="C139" s="7" t="s">
        <v>132</v>
      </c>
      <c r="D139" s="7" t="n">
        <v>91001</v>
      </c>
      <c r="E139" s="51" t="n">
        <v>200025888808</v>
      </c>
      <c r="F139" s="51" t="s">
        <v>115</v>
      </c>
      <c r="G139" s="51" t="n">
        <v>43</v>
      </c>
      <c r="H139" s="52" t="n">
        <v>45799.5588888889</v>
      </c>
      <c r="I139" s="7" t="n">
        <v>12</v>
      </c>
      <c r="J139" s="7" t="n">
        <v>12</v>
      </c>
      <c r="K139" s="7" t="n">
        <v>6</v>
      </c>
      <c r="L139" s="7" t="n">
        <v>151</v>
      </c>
      <c r="M139" s="7" t="n">
        <v>2</v>
      </c>
    </row>
    <row r="140" customFormat="false" ht="14.25" hidden="false" customHeight="false" outlineLevel="0" collapsed="false">
      <c r="A140" s="7" t="n">
        <v>184</v>
      </c>
      <c r="B140" s="7" t="s">
        <v>131</v>
      </c>
      <c r="C140" s="7" t="s">
        <v>132</v>
      </c>
      <c r="D140" s="7" t="n">
        <v>91001</v>
      </c>
      <c r="E140" s="51" t="n">
        <v>200025888808</v>
      </c>
      <c r="F140" s="51" t="s">
        <v>115</v>
      </c>
      <c r="G140" s="51" t="n">
        <v>43</v>
      </c>
      <c r="H140" s="52" t="n">
        <v>45799.5606018519</v>
      </c>
      <c r="I140" s="7" t="n">
        <v>12</v>
      </c>
      <c r="J140" s="7" t="n">
        <v>12</v>
      </c>
      <c r="K140" s="7" t="n">
        <v>7</v>
      </c>
      <c r="L140" s="7" t="n">
        <v>152</v>
      </c>
      <c r="M140" s="7" t="n">
        <v>1</v>
      </c>
    </row>
    <row r="141" customFormat="false" ht="14.25" hidden="false" customHeight="false" outlineLevel="0" collapsed="false">
      <c r="A141" s="7" t="n">
        <v>185</v>
      </c>
      <c r="B141" s="7" t="s">
        <v>131</v>
      </c>
      <c r="C141" s="7" t="s">
        <v>132</v>
      </c>
      <c r="D141" s="7" t="n">
        <v>91001</v>
      </c>
      <c r="E141" s="51" t="n">
        <v>200025888808</v>
      </c>
      <c r="F141" s="51" t="s">
        <v>115</v>
      </c>
      <c r="G141" s="51" t="n">
        <v>43</v>
      </c>
      <c r="H141" s="52" t="n">
        <v>45799.5608912037</v>
      </c>
      <c r="I141" s="7" t="n">
        <v>12</v>
      </c>
      <c r="J141" s="7" t="n">
        <v>12</v>
      </c>
      <c r="K141" s="7" t="n">
        <v>8</v>
      </c>
      <c r="L141" s="7" t="n">
        <v>153</v>
      </c>
      <c r="M141" s="7" t="n">
        <v>0</v>
      </c>
    </row>
    <row r="142" customFormat="false" ht="14.25" hidden="false" customHeight="false" outlineLevel="0" collapsed="false">
      <c r="A142" s="7" t="n">
        <v>186</v>
      </c>
      <c r="B142" s="7" t="s">
        <v>131</v>
      </c>
      <c r="C142" s="7" t="s">
        <v>132</v>
      </c>
      <c r="D142" s="7" t="n">
        <v>91001</v>
      </c>
      <c r="E142" s="51" t="n">
        <v>200025888808</v>
      </c>
      <c r="F142" s="51" t="s">
        <v>115</v>
      </c>
      <c r="G142" s="51" t="n">
        <v>43</v>
      </c>
      <c r="H142" s="52" t="n">
        <v>45799.5609027778</v>
      </c>
      <c r="I142" s="7" t="n">
        <v>12</v>
      </c>
      <c r="J142" s="7" t="n">
        <v>12</v>
      </c>
      <c r="K142" s="7" t="n">
        <v>9</v>
      </c>
      <c r="L142" s="7" t="n">
        <v>154</v>
      </c>
      <c r="M142" s="7" t="n">
        <v>23</v>
      </c>
    </row>
    <row r="143" customFormat="false" ht="14.25" hidden="false" customHeight="false" outlineLevel="0" collapsed="false">
      <c r="A143" s="7" t="n">
        <v>187</v>
      </c>
      <c r="B143" s="7" t="s">
        <v>131</v>
      </c>
      <c r="C143" s="7" t="s">
        <v>132</v>
      </c>
      <c r="D143" s="7" t="n">
        <v>91001</v>
      </c>
      <c r="E143" s="51" t="n">
        <v>200025888808</v>
      </c>
      <c r="F143" s="51" t="s">
        <v>115</v>
      </c>
      <c r="G143" s="51" t="n">
        <v>43</v>
      </c>
      <c r="H143" s="52" t="n">
        <v>45799.5611805556</v>
      </c>
      <c r="I143" s="7" t="n">
        <v>12</v>
      </c>
      <c r="J143" s="7" t="n">
        <v>12</v>
      </c>
      <c r="K143" s="7" t="n">
        <v>10</v>
      </c>
      <c r="L143" s="7" t="n">
        <v>155</v>
      </c>
      <c r="M143" s="7" t="n">
        <v>0</v>
      </c>
    </row>
    <row r="144" customFormat="false" ht="14.25" hidden="false" customHeight="false" outlineLevel="0" collapsed="false">
      <c r="A144" s="7" t="n">
        <v>188</v>
      </c>
      <c r="B144" s="7" t="s">
        <v>131</v>
      </c>
      <c r="C144" s="7" t="s">
        <v>132</v>
      </c>
      <c r="D144" s="7" t="n">
        <v>91001</v>
      </c>
      <c r="E144" s="51" t="n">
        <v>200025888808</v>
      </c>
      <c r="F144" s="51" t="s">
        <v>115</v>
      </c>
      <c r="G144" s="51" t="n">
        <v>43</v>
      </c>
      <c r="H144" s="52" t="n">
        <v>45799.5639236111</v>
      </c>
      <c r="I144" s="7" t="n">
        <v>12</v>
      </c>
      <c r="J144" s="7" t="n">
        <v>12</v>
      </c>
      <c r="K144" s="7" t="n">
        <v>11</v>
      </c>
      <c r="L144" s="7" t="n">
        <v>156</v>
      </c>
      <c r="M144" s="7" t="n">
        <v>0</v>
      </c>
    </row>
    <row r="145" customFormat="false" ht="14.25" hidden="false" customHeight="false" outlineLevel="0" collapsed="false">
      <c r="A145" s="7" t="n">
        <v>189</v>
      </c>
      <c r="B145" s="7" t="s">
        <v>131</v>
      </c>
      <c r="C145" s="7" t="s">
        <v>132</v>
      </c>
      <c r="D145" s="7" t="n">
        <v>91001</v>
      </c>
      <c r="E145" s="51" t="n">
        <v>200025888808</v>
      </c>
      <c r="F145" s="51" t="s">
        <v>115</v>
      </c>
      <c r="G145" s="51" t="n">
        <v>43</v>
      </c>
      <c r="H145" s="52" t="n">
        <v>45799.5706481482</v>
      </c>
      <c r="I145" s="7" t="n">
        <v>12</v>
      </c>
      <c r="J145" s="7" t="n">
        <v>12</v>
      </c>
      <c r="K145" s="7" t="n">
        <v>12</v>
      </c>
      <c r="L145" s="7" t="n">
        <v>157</v>
      </c>
      <c r="M145" s="7" t="n">
        <v>1</v>
      </c>
    </row>
    <row r="146" customFormat="false" ht="14.25" hidden="false" customHeight="false" outlineLevel="0" collapsed="false">
      <c r="A146" s="7" t="n">
        <v>194</v>
      </c>
      <c r="B146" s="7" t="s">
        <v>131</v>
      </c>
      <c r="C146" s="7" t="s">
        <v>132</v>
      </c>
      <c r="D146" s="7" t="n">
        <v>91001</v>
      </c>
      <c r="E146" s="51" t="n">
        <v>200025888808</v>
      </c>
      <c r="F146" s="51" t="s">
        <v>115</v>
      </c>
      <c r="G146" s="51" t="n">
        <v>43</v>
      </c>
      <c r="H146" s="52" t="n">
        <v>45799.5832523148</v>
      </c>
      <c r="I146" s="7" t="n">
        <v>12</v>
      </c>
      <c r="J146" s="7" t="n">
        <v>12</v>
      </c>
      <c r="K146" s="7" t="n">
        <v>13</v>
      </c>
      <c r="L146" s="7" t="n">
        <v>162</v>
      </c>
      <c r="M146" s="7" t="n">
        <v>1</v>
      </c>
    </row>
    <row r="147" customFormat="false" ht="14.25" hidden="false" customHeight="false" outlineLevel="0" collapsed="false">
      <c r="A147" s="7" t="n">
        <v>127</v>
      </c>
      <c r="B147" s="7" t="s">
        <v>131</v>
      </c>
      <c r="C147" s="7" t="s">
        <v>132</v>
      </c>
      <c r="D147" s="7" t="n">
        <v>91001</v>
      </c>
      <c r="E147" s="51" t="n">
        <v>200025888791</v>
      </c>
      <c r="F147" s="51" t="s">
        <v>79</v>
      </c>
      <c r="G147" s="51" t="n">
        <v>7</v>
      </c>
      <c r="H147" s="52" t="n">
        <v>45798.9043171296</v>
      </c>
      <c r="I147" s="7" t="n">
        <v>13</v>
      </c>
      <c r="J147" s="7" t="n">
        <v>13</v>
      </c>
      <c r="K147" s="7" t="n">
        <v>1</v>
      </c>
      <c r="L147" s="7" t="n">
        <v>95</v>
      </c>
      <c r="M147" s="7" t="n">
        <v>0</v>
      </c>
    </row>
    <row r="148" customFormat="false" ht="14.25" hidden="false" customHeight="false" outlineLevel="0" collapsed="false">
      <c r="A148" s="7" t="n">
        <v>128</v>
      </c>
      <c r="B148" s="7" t="s">
        <v>131</v>
      </c>
      <c r="C148" s="7" t="s">
        <v>132</v>
      </c>
      <c r="D148" s="7" t="n">
        <v>91001</v>
      </c>
      <c r="E148" s="51" t="n">
        <v>200025888791</v>
      </c>
      <c r="F148" s="51" t="s">
        <v>79</v>
      </c>
      <c r="G148" s="51" t="n">
        <v>7</v>
      </c>
      <c r="H148" s="52" t="n">
        <v>45798.9043287037</v>
      </c>
      <c r="I148" s="7" t="n">
        <v>13</v>
      </c>
      <c r="J148" s="7" t="n">
        <v>13</v>
      </c>
      <c r="K148" s="7" t="n">
        <v>2</v>
      </c>
      <c r="L148" s="7" t="n">
        <v>96</v>
      </c>
      <c r="M148" s="7" t="n">
        <v>15</v>
      </c>
    </row>
    <row r="149" customFormat="false" ht="14.25" hidden="false" customHeight="false" outlineLevel="0" collapsed="false">
      <c r="A149" s="7" t="n">
        <v>129</v>
      </c>
      <c r="B149" s="7" t="s">
        <v>131</v>
      </c>
      <c r="C149" s="7" t="s">
        <v>132</v>
      </c>
      <c r="D149" s="7" t="n">
        <v>91001</v>
      </c>
      <c r="E149" s="51" t="n">
        <v>200025888791</v>
      </c>
      <c r="F149" s="51" t="s">
        <v>79</v>
      </c>
      <c r="G149" s="51" t="n">
        <v>7</v>
      </c>
      <c r="H149" s="52" t="n">
        <v>45798.9045138889</v>
      </c>
      <c r="I149" s="7" t="n">
        <v>13</v>
      </c>
      <c r="J149" s="7" t="n">
        <v>13</v>
      </c>
      <c r="K149" s="7" t="n">
        <v>3</v>
      </c>
      <c r="L149" s="7" t="n">
        <v>97</v>
      </c>
      <c r="M149" s="7" t="n">
        <v>0</v>
      </c>
    </row>
    <row r="150" customFormat="false" ht="14.25" hidden="false" customHeight="false" outlineLevel="0" collapsed="false">
      <c r="A150" s="7" t="n">
        <v>130</v>
      </c>
      <c r="B150" s="7" t="s">
        <v>131</v>
      </c>
      <c r="C150" s="7" t="s">
        <v>132</v>
      </c>
      <c r="D150" s="7" t="n">
        <v>91001</v>
      </c>
      <c r="E150" s="51" t="n">
        <v>200025888791</v>
      </c>
      <c r="F150" s="51" t="s">
        <v>79</v>
      </c>
      <c r="G150" s="51" t="n">
        <v>7</v>
      </c>
      <c r="H150" s="52" t="n">
        <v>45798.904525463</v>
      </c>
      <c r="I150" s="7" t="n">
        <v>13</v>
      </c>
      <c r="J150" s="7" t="n">
        <v>13</v>
      </c>
      <c r="K150" s="7" t="n">
        <v>4</v>
      </c>
      <c r="L150" s="7" t="n">
        <v>98</v>
      </c>
      <c r="M150" s="7" t="n">
        <v>24</v>
      </c>
    </row>
    <row r="151" customFormat="false" ht="14.25" hidden="false" customHeight="false" outlineLevel="0" collapsed="false">
      <c r="A151" s="7" t="n">
        <v>131</v>
      </c>
      <c r="B151" s="7" t="s">
        <v>131</v>
      </c>
      <c r="C151" s="7" t="s">
        <v>132</v>
      </c>
      <c r="D151" s="7" t="n">
        <v>91001</v>
      </c>
      <c r="E151" s="51" t="n">
        <v>200025888791</v>
      </c>
      <c r="F151" s="51" t="s">
        <v>79</v>
      </c>
      <c r="G151" s="51" t="n">
        <v>7</v>
      </c>
      <c r="H151" s="52" t="n">
        <v>45798.9048148148</v>
      </c>
      <c r="I151" s="7" t="n">
        <v>13</v>
      </c>
      <c r="J151" s="7" t="n">
        <v>13</v>
      </c>
      <c r="K151" s="7" t="n">
        <v>5</v>
      </c>
      <c r="L151" s="7" t="n">
        <v>99</v>
      </c>
      <c r="M151" s="7" t="n">
        <v>2</v>
      </c>
    </row>
    <row r="152" customFormat="false" ht="14.25" hidden="false" customHeight="false" outlineLevel="0" collapsed="false">
      <c r="A152" s="7" t="n">
        <v>132</v>
      </c>
      <c r="B152" s="7" t="s">
        <v>131</v>
      </c>
      <c r="C152" s="7" t="s">
        <v>132</v>
      </c>
      <c r="D152" s="7" t="n">
        <v>91001</v>
      </c>
      <c r="E152" s="51" t="n">
        <v>200025888791</v>
      </c>
      <c r="F152" s="51" t="s">
        <v>79</v>
      </c>
      <c r="G152" s="51" t="n">
        <v>7</v>
      </c>
      <c r="H152" s="52" t="n">
        <v>45798.9053356481</v>
      </c>
      <c r="I152" s="7" t="n">
        <v>13</v>
      </c>
      <c r="J152" s="7" t="n">
        <v>13</v>
      </c>
      <c r="K152" s="7" t="n">
        <v>6</v>
      </c>
      <c r="L152" s="7" t="n">
        <v>100</v>
      </c>
      <c r="M152" s="7" t="n">
        <v>158</v>
      </c>
    </row>
    <row r="153" customFormat="false" ht="14.25" hidden="false" customHeight="false" outlineLevel="0" collapsed="false">
      <c r="A153" s="7" t="n">
        <v>140</v>
      </c>
      <c r="B153" s="7" t="s">
        <v>131</v>
      </c>
      <c r="C153" s="7" t="s">
        <v>132</v>
      </c>
      <c r="D153" s="7" t="n">
        <v>91001</v>
      </c>
      <c r="E153" s="51" t="n">
        <v>200025888791</v>
      </c>
      <c r="F153" s="51" t="s">
        <v>79</v>
      </c>
      <c r="G153" s="51" t="n">
        <v>7</v>
      </c>
      <c r="H153" s="52" t="n">
        <v>45799.0273958333</v>
      </c>
      <c r="I153" s="7" t="n">
        <v>13</v>
      </c>
      <c r="J153" s="7" t="n">
        <v>13</v>
      </c>
      <c r="K153" s="7" t="n">
        <v>7</v>
      </c>
      <c r="L153" s="7" t="n">
        <v>108</v>
      </c>
      <c r="M153" s="7" t="n">
        <v>1</v>
      </c>
    </row>
    <row r="154" customFormat="false" ht="14.25" hidden="false" customHeight="false" outlineLevel="0" collapsed="false">
      <c r="A154" s="7" t="n">
        <v>146</v>
      </c>
      <c r="B154" s="7" t="s">
        <v>131</v>
      </c>
      <c r="C154" s="7" t="s">
        <v>132</v>
      </c>
      <c r="D154" s="7" t="n">
        <v>91001</v>
      </c>
      <c r="E154" s="51" t="n">
        <v>200025888791</v>
      </c>
      <c r="F154" s="51" t="s">
        <v>79</v>
      </c>
      <c r="G154" s="51" t="n">
        <v>7</v>
      </c>
      <c r="H154" s="52" t="n">
        <v>45799.0844675926</v>
      </c>
      <c r="I154" s="7" t="n">
        <v>13</v>
      </c>
      <c r="J154" s="7" t="n">
        <v>13</v>
      </c>
      <c r="K154" s="7" t="n">
        <v>8</v>
      </c>
      <c r="L154" s="7" t="n">
        <v>114</v>
      </c>
      <c r="M154" s="7" t="n">
        <v>0</v>
      </c>
    </row>
    <row r="155" customFormat="false" ht="14.25" hidden="false" customHeight="false" outlineLevel="0" collapsed="false">
      <c r="A155" s="7" t="n">
        <v>173</v>
      </c>
      <c r="B155" s="7" t="s">
        <v>131</v>
      </c>
      <c r="C155" s="7" t="s">
        <v>132</v>
      </c>
      <c r="D155" s="7" t="n">
        <v>91001</v>
      </c>
      <c r="E155" s="51" t="n">
        <v>200025888791</v>
      </c>
      <c r="F155" s="51" t="s">
        <v>79</v>
      </c>
      <c r="G155" s="51" t="n">
        <v>7</v>
      </c>
      <c r="H155" s="52" t="n">
        <v>45799.4054050926</v>
      </c>
      <c r="I155" s="7" t="n">
        <v>13</v>
      </c>
      <c r="J155" s="7" t="n">
        <v>13</v>
      </c>
      <c r="K155" s="7" t="n">
        <v>9</v>
      </c>
      <c r="L155" s="7" t="n">
        <v>141</v>
      </c>
      <c r="M155" s="7" t="n">
        <v>0</v>
      </c>
    </row>
    <row r="156" customFormat="false" ht="14.25" hidden="false" customHeight="false" outlineLevel="0" collapsed="false">
      <c r="A156" s="7" t="n">
        <v>174</v>
      </c>
      <c r="B156" s="7" t="s">
        <v>131</v>
      </c>
      <c r="C156" s="7" t="s">
        <v>132</v>
      </c>
      <c r="D156" s="7" t="n">
        <v>91001</v>
      </c>
      <c r="E156" s="51" t="n">
        <v>200025888791</v>
      </c>
      <c r="F156" s="51" t="s">
        <v>79</v>
      </c>
      <c r="G156" s="51" t="n">
        <v>7</v>
      </c>
      <c r="H156" s="52" t="n">
        <v>45799.4054050926</v>
      </c>
      <c r="I156" s="7" t="n">
        <v>13</v>
      </c>
      <c r="J156" s="7" t="n">
        <v>13</v>
      </c>
      <c r="K156" s="7" t="n">
        <v>10</v>
      </c>
      <c r="L156" s="7" t="n">
        <v>142</v>
      </c>
      <c r="M156" s="7" t="n">
        <v>1</v>
      </c>
    </row>
    <row r="157" customFormat="false" ht="14.25" hidden="false" customHeight="false" outlineLevel="0" collapsed="false">
      <c r="A157" s="7" t="n">
        <v>175</v>
      </c>
      <c r="B157" s="7" t="s">
        <v>131</v>
      </c>
      <c r="C157" s="7" t="s">
        <v>132</v>
      </c>
      <c r="D157" s="7" t="n">
        <v>91001</v>
      </c>
      <c r="E157" s="51" t="n">
        <v>200025888791</v>
      </c>
      <c r="F157" s="51" t="s">
        <v>79</v>
      </c>
      <c r="G157" s="51" t="n">
        <v>7</v>
      </c>
      <c r="H157" s="52" t="n">
        <v>45799.4054166667</v>
      </c>
      <c r="I157" s="7" t="n">
        <v>13</v>
      </c>
      <c r="J157" s="7" t="n">
        <v>13</v>
      </c>
      <c r="K157" s="7" t="n">
        <v>11</v>
      </c>
      <c r="L157" s="7" t="n">
        <v>143</v>
      </c>
      <c r="M157" s="7" t="n">
        <v>1306</v>
      </c>
    </row>
    <row r="158" customFormat="false" ht="14.25" hidden="false" customHeight="false" outlineLevel="0" collapsed="false">
      <c r="A158" s="7" t="n">
        <v>30</v>
      </c>
      <c r="B158" s="1" t="s">
        <v>136</v>
      </c>
      <c r="C158" s="7" t="s">
        <v>137</v>
      </c>
      <c r="D158" s="15" t="n">
        <v>93202</v>
      </c>
      <c r="E158" s="51" t="n">
        <v>200025888868</v>
      </c>
      <c r="F158" s="51" t="s">
        <v>118</v>
      </c>
      <c r="G158" s="51" t="n">
        <v>44</v>
      </c>
      <c r="H158" s="52" t="n">
        <v>45798.9082060185</v>
      </c>
      <c r="I158" s="7" t="n">
        <v>14</v>
      </c>
      <c r="J158" s="7" t="n">
        <v>14</v>
      </c>
      <c r="K158" s="7" t="n">
        <v>1</v>
      </c>
      <c r="L158" s="1" t="n">
        <v>3</v>
      </c>
      <c r="M158" s="1" t="n">
        <v>0</v>
      </c>
    </row>
    <row r="159" customFormat="false" ht="14.25" hidden="false" customHeight="false" outlineLevel="0" collapsed="false">
      <c r="A159" s="1" t="n">
        <v>33</v>
      </c>
      <c r="B159" s="1" t="s">
        <v>136</v>
      </c>
      <c r="C159" s="7" t="s">
        <v>137</v>
      </c>
      <c r="D159" s="15" t="n">
        <v>93202</v>
      </c>
      <c r="E159" s="51" t="n">
        <v>200025888868</v>
      </c>
      <c r="F159" s="51" t="s">
        <v>118</v>
      </c>
      <c r="G159" s="51" t="n">
        <v>44</v>
      </c>
      <c r="H159" s="52" t="n">
        <v>45798.9450810185</v>
      </c>
      <c r="I159" s="7" t="n">
        <v>14</v>
      </c>
      <c r="J159" s="7" t="n">
        <v>14</v>
      </c>
      <c r="K159" s="7" t="n">
        <v>2</v>
      </c>
      <c r="L159" s="1" t="n">
        <v>6</v>
      </c>
      <c r="M159" s="1" t="n">
        <v>0</v>
      </c>
    </row>
    <row r="160" customFormat="false" ht="14.25" hidden="false" customHeight="false" outlineLevel="0" collapsed="false">
      <c r="A160" s="1" t="n">
        <v>34</v>
      </c>
      <c r="B160" s="1" t="s">
        <v>136</v>
      </c>
      <c r="C160" s="7" t="s">
        <v>137</v>
      </c>
      <c r="D160" s="15" t="n">
        <v>93202</v>
      </c>
      <c r="E160" s="51" t="n">
        <v>200025888868</v>
      </c>
      <c r="F160" s="51" t="s">
        <v>118</v>
      </c>
      <c r="G160" s="51" t="n">
        <v>44</v>
      </c>
      <c r="H160" s="52" t="n">
        <v>45799.2275694445</v>
      </c>
      <c r="I160" s="7" t="n">
        <v>14</v>
      </c>
      <c r="J160" s="7" t="n">
        <v>14</v>
      </c>
      <c r="K160" s="7" t="n">
        <v>3</v>
      </c>
      <c r="L160" s="1" t="n">
        <v>7</v>
      </c>
      <c r="M160" s="1" t="n">
        <v>0</v>
      </c>
    </row>
    <row r="161" customFormat="false" ht="14.25" hidden="false" customHeight="false" outlineLevel="0" collapsed="false">
      <c r="A161" s="1" t="n">
        <v>166</v>
      </c>
      <c r="B161" s="7" t="s">
        <v>131</v>
      </c>
      <c r="C161" s="7" t="s">
        <v>132</v>
      </c>
      <c r="D161" s="7" t="n">
        <v>91001</v>
      </c>
      <c r="E161" s="51" t="n">
        <v>200025888868</v>
      </c>
      <c r="F161" s="51" t="s">
        <v>118</v>
      </c>
      <c r="G161" s="51" t="n">
        <v>44</v>
      </c>
      <c r="H161" s="52" t="n">
        <v>45799.2578819444</v>
      </c>
      <c r="I161" s="7" t="n">
        <v>14</v>
      </c>
      <c r="J161" s="7" t="n">
        <v>14</v>
      </c>
      <c r="K161" s="7" t="n">
        <v>4</v>
      </c>
      <c r="L161" s="7" t="n">
        <v>134</v>
      </c>
      <c r="M161" s="7" t="n">
        <v>1</v>
      </c>
    </row>
    <row r="162" customFormat="false" ht="14.25" hidden="false" customHeight="false" outlineLevel="0" collapsed="false">
      <c r="A162" s="7" t="n">
        <v>32</v>
      </c>
      <c r="B162" s="1" t="s">
        <v>136</v>
      </c>
      <c r="C162" s="7" t="s">
        <v>137</v>
      </c>
      <c r="D162" s="15" t="n">
        <v>93202</v>
      </c>
      <c r="E162" s="51" t="n">
        <v>200025888504</v>
      </c>
      <c r="F162" s="51" t="s">
        <v>95</v>
      </c>
      <c r="G162" s="51" t="n">
        <v>40</v>
      </c>
      <c r="H162" s="52" t="n">
        <v>45798.9312962963</v>
      </c>
      <c r="I162" s="7" t="n">
        <v>15</v>
      </c>
      <c r="J162" s="7" t="n">
        <v>15</v>
      </c>
      <c r="K162" s="7" t="n">
        <v>1</v>
      </c>
      <c r="L162" s="1" t="n">
        <v>5</v>
      </c>
      <c r="M162" s="1" t="n">
        <v>0</v>
      </c>
    </row>
    <row r="163" customFormat="false" ht="14.25" hidden="false" customHeight="false" outlineLevel="0" collapsed="false">
      <c r="A163" s="7" t="n">
        <v>141</v>
      </c>
      <c r="B163" s="7" t="s">
        <v>131</v>
      </c>
      <c r="C163" s="7" t="s">
        <v>132</v>
      </c>
      <c r="D163" s="7" t="n">
        <v>91001</v>
      </c>
      <c r="E163" s="51" t="n">
        <v>200025888216</v>
      </c>
      <c r="F163" s="51" t="s">
        <v>84</v>
      </c>
      <c r="G163" s="51" t="n">
        <v>33</v>
      </c>
      <c r="H163" s="52" t="n">
        <v>45799.0405902778</v>
      </c>
      <c r="I163" s="7" t="n">
        <v>16</v>
      </c>
      <c r="J163" s="7" t="n">
        <v>16</v>
      </c>
      <c r="K163" s="7" t="n">
        <v>1</v>
      </c>
      <c r="L163" s="7" t="n">
        <v>109</v>
      </c>
      <c r="M163" s="7" t="n">
        <v>0</v>
      </c>
    </row>
    <row r="164" customFormat="false" ht="14.25" hidden="false" customHeight="false" outlineLevel="0" collapsed="false">
      <c r="A164" s="7" t="n">
        <v>176</v>
      </c>
      <c r="B164" s="7" t="s">
        <v>131</v>
      </c>
      <c r="C164" s="7" t="s">
        <v>132</v>
      </c>
      <c r="D164" s="7" t="n">
        <v>91001</v>
      </c>
      <c r="E164" s="51" t="n">
        <v>200025888216</v>
      </c>
      <c r="F164" s="51" t="s">
        <v>84</v>
      </c>
      <c r="G164" s="51" t="n">
        <v>33</v>
      </c>
      <c r="H164" s="52" t="n">
        <v>45799.4205439815</v>
      </c>
      <c r="I164" s="7" t="n">
        <v>16</v>
      </c>
      <c r="J164" s="7" t="n">
        <v>16</v>
      </c>
      <c r="K164" s="7" t="n">
        <v>2</v>
      </c>
      <c r="L164" s="7" t="n">
        <v>144</v>
      </c>
      <c r="M164" s="7" t="n">
        <v>0</v>
      </c>
    </row>
    <row r="165" customFormat="false" ht="14.25" hidden="false" customHeight="false" outlineLevel="0" collapsed="false">
      <c r="A165" s="1" t="n">
        <v>197</v>
      </c>
      <c r="B165" s="1" t="s">
        <v>131</v>
      </c>
      <c r="C165" s="1" t="s">
        <v>132</v>
      </c>
      <c r="D165" s="1" t="n">
        <v>91001</v>
      </c>
      <c r="E165" s="51" t="n">
        <v>200025888216</v>
      </c>
      <c r="F165" s="51" t="s">
        <v>84</v>
      </c>
      <c r="G165" s="51" t="n">
        <v>33</v>
      </c>
      <c r="H165" s="52" t="n">
        <v>45799.7064814815</v>
      </c>
      <c r="I165" s="7" t="n">
        <v>16</v>
      </c>
      <c r="J165" s="7" t="n">
        <v>16</v>
      </c>
      <c r="K165" s="7" t="n">
        <v>3</v>
      </c>
      <c r="L165" s="7" t="n">
        <v>165</v>
      </c>
      <c r="M165" s="1" t="n">
        <v>0</v>
      </c>
    </row>
    <row r="166" customFormat="false" ht="14.25" hidden="false" customHeight="false" outlineLevel="0" collapsed="false">
      <c r="A166" s="1" t="n">
        <v>205</v>
      </c>
      <c r="B166" s="1" t="s">
        <v>131</v>
      </c>
      <c r="C166" s="1" t="s">
        <v>132</v>
      </c>
      <c r="D166" s="1" t="n">
        <v>91001</v>
      </c>
      <c r="E166" s="51" t="n">
        <v>200025888216</v>
      </c>
      <c r="F166" s="51" t="s">
        <v>84</v>
      </c>
      <c r="G166" s="51" t="n">
        <v>33</v>
      </c>
      <c r="H166" s="52" t="n">
        <v>45799.8016666667</v>
      </c>
      <c r="I166" s="7" t="n">
        <v>16</v>
      </c>
      <c r="J166" s="7" t="n">
        <v>16</v>
      </c>
      <c r="K166" s="7" t="n">
        <v>4</v>
      </c>
      <c r="L166" s="7" t="n">
        <v>173</v>
      </c>
      <c r="M166" s="1" t="n">
        <v>1</v>
      </c>
    </row>
    <row r="167" customFormat="false" ht="14.25" hidden="false" customHeight="false" outlineLevel="0" collapsed="false">
      <c r="A167" s="7" t="n">
        <v>142</v>
      </c>
      <c r="B167" s="7" t="s">
        <v>131</v>
      </c>
      <c r="C167" s="7" t="s">
        <v>132</v>
      </c>
      <c r="D167" s="7" t="n">
        <v>91001</v>
      </c>
      <c r="E167" s="51" t="n">
        <v>200025888812</v>
      </c>
      <c r="F167" s="51" t="s">
        <v>116</v>
      </c>
      <c r="G167" s="51" t="n">
        <v>49</v>
      </c>
      <c r="H167" s="52" t="n">
        <v>45799.0463310185</v>
      </c>
      <c r="I167" s="7" t="n">
        <v>17</v>
      </c>
      <c r="J167" s="7" t="n">
        <v>17</v>
      </c>
      <c r="K167" s="7" t="n">
        <v>1</v>
      </c>
      <c r="L167" s="7" t="n">
        <v>110</v>
      </c>
      <c r="M167" s="7" t="n">
        <v>0</v>
      </c>
    </row>
    <row r="168" customFormat="false" ht="14.25" hidden="false" customHeight="false" outlineLevel="0" collapsed="false">
      <c r="A168" s="7" t="n">
        <v>143</v>
      </c>
      <c r="B168" s="7" t="s">
        <v>131</v>
      </c>
      <c r="C168" s="7" t="s">
        <v>132</v>
      </c>
      <c r="D168" s="7" t="n">
        <v>91001</v>
      </c>
      <c r="E168" s="51" t="n">
        <v>200025888812</v>
      </c>
      <c r="F168" s="51" t="s">
        <v>116</v>
      </c>
      <c r="G168" s="51" t="n">
        <v>49</v>
      </c>
      <c r="H168" s="52" t="n">
        <v>45799.0466898148</v>
      </c>
      <c r="I168" s="7" t="n">
        <v>17</v>
      </c>
      <c r="J168" s="7" t="n">
        <v>17</v>
      </c>
      <c r="K168" s="7" t="n">
        <v>2</v>
      </c>
      <c r="L168" s="7" t="n">
        <v>111</v>
      </c>
      <c r="M168" s="7" t="n">
        <v>0</v>
      </c>
    </row>
    <row r="169" customFormat="false" ht="14.25" hidden="false" customHeight="false" outlineLevel="0" collapsed="false">
      <c r="A169" s="7" t="n">
        <v>181</v>
      </c>
      <c r="B169" s="7" t="s">
        <v>131</v>
      </c>
      <c r="C169" s="7" t="s">
        <v>132</v>
      </c>
      <c r="D169" s="7" t="n">
        <v>91001</v>
      </c>
      <c r="E169" s="51" t="n">
        <v>200025888812</v>
      </c>
      <c r="F169" s="51" t="s">
        <v>116</v>
      </c>
      <c r="G169" s="51" t="n">
        <v>49</v>
      </c>
      <c r="H169" s="52" t="n">
        <v>45799.4991435185</v>
      </c>
      <c r="I169" s="7" t="n">
        <v>17</v>
      </c>
      <c r="J169" s="7" t="n">
        <v>17</v>
      </c>
      <c r="K169" s="7" t="n">
        <v>3</v>
      </c>
      <c r="L169" s="7" t="n">
        <v>149</v>
      </c>
      <c r="M169" s="7" t="n">
        <v>1</v>
      </c>
    </row>
    <row r="170" customFormat="false" ht="14.25" hidden="false" customHeight="false" outlineLevel="0" collapsed="false">
      <c r="A170" s="7" t="n">
        <v>182</v>
      </c>
      <c r="B170" s="7" t="s">
        <v>131</v>
      </c>
      <c r="C170" s="7" t="s">
        <v>132</v>
      </c>
      <c r="D170" s="7" t="n">
        <v>91001</v>
      </c>
      <c r="E170" s="51" t="n">
        <v>200025888812</v>
      </c>
      <c r="F170" s="51" t="s">
        <v>116</v>
      </c>
      <c r="G170" s="51" t="n">
        <v>49</v>
      </c>
      <c r="H170" s="52" t="n">
        <v>45799.4991550926</v>
      </c>
      <c r="I170" s="7" t="n">
        <v>17</v>
      </c>
      <c r="J170" s="7" t="n">
        <v>17</v>
      </c>
      <c r="K170" s="7" t="n">
        <v>4</v>
      </c>
      <c r="L170" s="7" t="n">
        <v>150</v>
      </c>
      <c r="M170" s="7" t="n">
        <v>0</v>
      </c>
    </row>
    <row r="171" customFormat="false" ht="14.25" hidden="false" customHeight="false" outlineLevel="0" collapsed="false">
      <c r="A171" s="7" t="n">
        <v>190</v>
      </c>
      <c r="B171" s="7" t="s">
        <v>131</v>
      </c>
      <c r="C171" s="7" t="s">
        <v>132</v>
      </c>
      <c r="D171" s="7" t="n">
        <v>91001</v>
      </c>
      <c r="E171" s="51" t="n">
        <v>200025888812</v>
      </c>
      <c r="F171" s="51" t="s">
        <v>116</v>
      </c>
      <c r="G171" s="51" t="n">
        <v>49</v>
      </c>
      <c r="H171" s="52" t="n">
        <v>45799.5783912037</v>
      </c>
      <c r="I171" s="7" t="n">
        <v>17</v>
      </c>
      <c r="J171" s="7" t="n">
        <v>17</v>
      </c>
      <c r="K171" s="7" t="n">
        <v>5</v>
      </c>
      <c r="L171" s="7" t="n">
        <v>158</v>
      </c>
      <c r="M171" s="7" t="n">
        <v>1</v>
      </c>
    </row>
    <row r="172" customFormat="false" ht="14.25" hidden="false" customHeight="false" outlineLevel="0" collapsed="false">
      <c r="A172" s="7" t="n">
        <v>191</v>
      </c>
      <c r="B172" s="7" t="s">
        <v>131</v>
      </c>
      <c r="C172" s="7" t="s">
        <v>132</v>
      </c>
      <c r="D172" s="7" t="n">
        <v>91001</v>
      </c>
      <c r="E172" s="51" t="n">
        <v>200025888812</v>
      </c>
      <c r="F172" s="51" t="s">
        <v>116</v>
      </c>
      <c r="G172" s="51" t="n">
        <v>49</v>
      </c>
      <c r="H172" s="52" t="n">
        <v>45799.5785532407</v>
      </c>
      <c r="I172" s="7" t="n">
        <v>17</v>
      </c>
      <c r="J172" s="7" t="n">
        <v>17</v>
      </c>
      <c r="K172" s="7" t="n">
        <v>6</v>
      </c>
      <c r="L172" s="7" t="n">
        <v>159</v>
      </c>
      <c r="M172" s="7" t="n">
        <v>0</v>
      </c>
    </row>
    <row r="173" customFormat="false" ht="14.25" hidden="false" customHeight="false" outlineLevel="0" collapsed="false">
      <c r="A173" s="7" t="n">
        <v>192</v>
      </c>
      <c r="B173" s="7" t="s">
        <v>131</v>
      </c>
      <c r="C173" s="7" t="s">
        <v>132</v>
      </c>
      <c r="D173" s="7" t="n">
        <v>91001</v>
      </c>
      <c r="E173" s="51" t="n">
        <v>200025888812</v>
      </c>
      <c r="F173" s="51" t="s">
        <v>116</v>
      </c>
      <c r="G173" s="51" t="n">
        <v>49</v>
      </c>
      <c r="H173" s="52" t="n">
        <v>45799.5787268519</v>
      </c>
      <c r="I173" s="7" t="n">
        <v>17</v>
      </c>
      <c r="J173" s="7" t="n">
        <v>17</v>
      </c>
      <c r="K173" s="7" t="n">
        <v>7</v>
      </c>
      <c r="L173" s="7" t="n">
        <v>160</v>
      </c>
      <c r="M173" s="7" t="n">
        <v>0</v>
      </c>
    </row>
    <row r="174" customFormat="false" ht="14.25" hidden="false" customHeight="false" outlineLevel="0" collapsed="false">
      <c r="A174" s="7" t="n">
        <v>193</v>
      </c>
      <c r="B174" s="7" t="s">
        <v>131</v>
      </c>
      <c r="C174" s="7" t="s">
        <v>132</v>
      </c>
      <c r="D174" s="7" t="n">
        <v>91001</v>
      </c>
      <c r="E174" s="51" t="n">
        <v>200025888812</v>
      </c>
      <c r="F174" s="51" t="s">
        <v>116</v>
      </c>
      <c r="G174" s="51" t="n">
        <v>49</v>
      </c>
      <c r="H174" s="52" t="n">
        <v>45799.5787384259</v>
      </c>
      <c r="I174" s="7" t="n">
        <v>17</v>
      </c>
      <c r="J174" s="7" t="n">
        <v>17</v>
      </c>
      <c r="K174" s="7" t="n">
        <v>8</v>
      </c>
      <c r="L174" s="7" t="n">
        <v>161</v>
      </c>
      <c r="M174" s="7" t="n">
        <v>0</v>
      </c>
    </row>
    <row r="175" customFormat="false" ht="14.25" hidden="false" customHeight="false" outlineLevel="0" collapsed="false">
      <c r="A175" s="7" t="n">
        <v>144</v>
      </c>
      <c r="B175" s="7" t="s">
        <v>131</v>
      </c>
      <c r="C175" s="7" t="s">
        <v>132</v>
      </c>
      <c r="D175" s="7" t="n">
        <v>91001</v>
      </c>
      <c r="E175" s="51" t="n">
        <v>200025888272</v>
      </c>
      <c r="F175" s="51" t="s">
        <v>87</v>
      </c>
      <c r="G175" s="51" t="n">
        <v>11</v>
      </c>
      <c r="H175" s="52" t="n">
        <v>45799.0767013889</v>
      </c>
      <c r="I175" s="7" t="n">
        <v>18</v>
      </c>
      <c r="J175" s="7" t="n">
        <v>18</v>
      </c>
      <c r="K175" s="7" t="n">
        <v>1</v>
      </c>
      <c r="L175" s="7" t="n">
        <v>112</v>
      </c>
      <c r="M175" s="7" t="n">
        <v>0</v>
      </c>
    </row>
    <row r="176" customFormat="false" ht="14.25" hidden="false" customHeight="false" outlineLevel="0" collapsed="false">
      <c r="A176" s="7" t="n">
        <v>145</v>
      </c>
      <c r="B176" s="7" t="s">
        <v>131</v>
      </c>
      <c r="C176" s="7" t="s">
        <v>132</v>
      </c>
      <c r="D176" s="7" t="n">
        <v>91001</v>
      </c>
      <c r="E176" s="51" t="n">
        <v>200025888272</v>
      </c>
      <c r="F176" s="51" t="s">
        <v>87</v>
      </c>
      <c r="G176" s="51" t="n">
        <v>11</v>
      </c>
      <c r="H176" s="52" t="n">
        <v>45799.0767013889</v>
      </c>
      <c r="I176" s="7" t="n">
        <v>18</v>
      </c>
      <c r="J176" s="7" t="n">
        <v>18</v>
      </c>
      <c r="K176" s="7" t="n">
        <v>2</v>
      </c>
      <c r="L176" s="7" t="n">
        <v>113</v>
      </c>
      <c r="M176" s="7" t="n">
        <v>1</v>
      </c>
    </row>
    <row r="177" customFormat="false" ht="14.25" hidden="false" customHeight="false" outlineLevel="0" collapsed="false">
      <c r="A177" s="7" t="n">
        <v>147</v>
      </c>
      <c r="B177" s="7" t="s">
        <v>131</v>
      </c>
      <c r="C177" s="7" t="s">
        <v>132</v>
      </c>
      <c r="D177" s="7" t="n">
        <v>91001</v>
      </c>
      <c r="E177" s="51" t="n">
        <v>200025888271</v>
      </c>
      <c r="F177" s="51" t="s">
        <v>89</v>
      </c>
      <c r="G177" s="51" t="n">
        <v>17</v>
      </c>
      <c r="H177" s="52" t="n">
        <v>45799.1014583333</v>
      </c>
      <c r="I177" s="7" t="n">
        <v>19</v>
      </c>
      <c r="J177" s="7" t="n">
        <v>19</v>
      </c>
      <c r="K177" s="7" t="n">
        <v>1</v>
      </c>
      <c r="L177" s="7" t="n">
        <v>115</v>
      </c>
      <c r="M177" s="7" t="n">
        <v>1</v>
      </c>
    </row>
    <row r="178" customFormat="false" ht="14.25" hidden="false" customHeight="false" outlineLevel="0" collapsed="false">
      <c r="A178" s="7" t="n">
        <v>148</v>
      </c>
      <c r="B178" s="7" t="s">
        <v>131</v>
      </c>
      <c r="C178" s="7" t="s">
        <v>132</v>
      </c>
      <c r="D178" s="7" t="n">
        <v>91001</v>
      </c>
      <c r="E178" s="51" t="n">
        <v>200025888271</v>
      </c>
      <c r="F178" s="51" t="s">
        <v>89</v>
      </c>
      <c r="G178" s="51" t="n">
        <v>17</v>
      </c>
      <c r="H178" s="52" t="n">
        <v>45799.1014699074</v>
      </c>
      <c r="I178" s="7" t="n">
        <v>19</v>
      </c>
      <c r="J178" s="7" t="n">
        <v>19</v>
      </c>
      <c r="K178" s="7" t="n">
        <v>2</v>
      </c>
      <c r="L178" s="7" t="n">
        <v>116</v>
      </c>
      <c r="M178" s="7" t="n">
        <v>1</v>
      </c>
    </row>
    <row r="179" customFormat="false" ht="14.25" hidden="false" customHeight="false" outlineLevel="0" collapsed="false">
      <c r="A179" s="7" t="n">
        <v>164</v>
      </c>
      <c r="B179" s="7" t="s">
        <v>131</v>
      </c>
      <c r="C179" s="7" t="s">
        <v>132</v>
      </c>
      <c r="D179" s="7" t="n">
        <v>91001</v>
      </c>
      <c r="E179" s="51" t="n">
        <v>200025888271</v>
      </c>
      <c r="F179" s="51" t="s">
        <v>89</v>
      </c>
      <c r="G179" s="51" t="n">
        <v>17</v>
      </c>
      <c r="H179" s="52" t="n">
        <v>45799.2543865741</v>
      </c>
      <c r="I179" s="7" t="n">
        <v>19</v>
      </c>
      <c r="J179" s="7" t="n">
        <v>19</v>
      </c>
      <c r="K179" s="7" t="n">
        <v>3</v>
      </c>
      <c r="L179" s="7" t="n">
        <v>132</v>
      </c>
      <c r="M179" s="7" t="n">
        <v>1</v>
      </c>
    </row>
    <row r="180" customFormat="false" ht="14.25" hidden="false" customHeight="false" outlineLevel="0" collapsed="false">
      <c r="A180" s="1" t="n">
        <v>201</v>
      </c>
      <c r="B180" s="1" t="s">
        <v>131</v>
      </c>
      <c r="C180" s="1" t="s">
        <v>132</v>
      </c>
      <c r="D180" s="1" t="n">
        <v>91001</v>
      </c>
      <c r="E180" s="51" t="n">
        <v>200025888271</v>
      </c>
      <c r="F180" s="51" t="s">
        <v>89</v>
      </c>
      <c r="G180" s="51" t="n">
        <v>17</v>
      </c>
      <c r="H180" s="52" t="n">
        <v>45799.7504282407</v>
      </c>
      <c r="I180" s="7" t="n">
        <v>19</v>
      </c>
      <c r="J180" s="7" t="n">
        <v>19</v>
      </c>
      <c r="K180" s="7" t="n">
        <v>4</v>
      </c>
      <c r="L180" s="7" t="n">
        <v>169</v>
      </c>
      <c r="M180" s="1" t="n">
        <v>2</v>
      </c>
    </row>
    <row r="181" customFormat="false" ht="14.25" hidden="false" customHeight="false" outlineLevel="0" collapsed="false">
      <c r="A181" s="1" t="n">
        <v>202</v>
      </c>
      <c r="B181" s="1" t="s">
        <v>131</v>
      </c>
      <c r="C181" s="1" t="s">
        <v>132</v>
      </c>
      <c r="D181" s="1" t="n">
        <v>91001</v>
      </c>
      <c r="E181" s="51" t="n">
        <v>200025888271</v>
      </c>
      <c r="F181" s="51" t="s">
        <v>89</v>
      </c>
      <c r="G181" s="51" t="n">
        <v>17</v>
      </c>
      <c r="H181" s="52" t="n">
        <v>45799.7506134259</v>
      </c>
      <c r="I181" s="7" t="n">
        <v>19</v>
      </c>
      <c r="J181" s="7" t="n">
        <v>19</v>
      </c>
      <c r="K181" s="7" t="n">
        <v>5</v>
      </c>
      <c r="L181" s="7" t="n">
        <v>170</v>
      </c>
      <c r="M181" s="1" t="n">
        <v>1</v>
      </c>
    </row>
    <row r="182" customFormat="false" ht="14.25" hidden="false" customHeight="false" outlineLevel="0" collapsed="false">
      <c r="A182" s="7" t="n">
        <v>149</v>
      </c>
      <c r="B182" s="7" t="s">
        <v>131</v>
      </c>
      <c r="C182" s="7" t="s">
        <v>132</v>
      </c>
      <c r="D182" s="7" t="n">
        <v>91001</v>
      </c>
      <c r="E182" s="51" t="n">
        <v>200025888608</v>
      </c>
      <c r="F182" s="51" t="s">
        <v>102</v>
      </c>
      <c r="G182" s="51" t="n">
        <v>38</v>
      </c>
      <c r="H182" s="52" t="n">
        <v>45799.1296643519</v>
      </c>
      <c r="I182" s="7" t="n">
        <v>20</v>
      </c>
      <c r="J182" s="7" t="n">
        <v>20</v>
      </c>
      <c r="K182" s="7" t="n">
        <v>1</v>
      </c>
      <c r="L182" s="7" t="n">
        <v>117</v>
      </c>
      <c r="M182" s="7" t="n">
        <v>1</v>
      </c>
    </row>
    <row r="183" customFormat="false" ht="14.25" hidden="false" customHeight="false" outlineLevel="0" collapsed="false">
      <c r="A183" s="1" t="n">
        <v>210</v>
      </c>
      <c r="B183" s="1" t="s">
        <v>131</v>
      </c>
      <c r="C183" s="1" t="s">
        <v>132</v>
      </c>
      <c r="D183" s="1" t="n">
        <v>91001</v>
      </c>
      <c r="E183" s="51" t="n">
        <v>200025888608</v>
      </c>
      <c r="F183" s="51" t="s">
        <v>102</v>
      </c>
      <c r="G183" s="51" t="n">
        <v>38</v>
      </c>
      <c r="H183" s="52" t="n">
        <v>45799.8260300926</v>
      </c>
      <c r="I183" s="7" t="n">
        <v>20</v>
      </c>
      <c r="J183" s="7" t="n">
        <v>20</v>
      </c>
      <c r="K183" s="7" t="n">
        <v>2</v>
      </c>
      <c r="L183" s="7" t="n">
        <v>178</v>
      </c>
      <c r="M183" s="1" t="n">
        <v>0</v>
      </c>
    </row>
    <row r="184" customFormat="false" ht="14.25" hidden="false" customHeight="false" outlineLevel="0" collapsed="false">
      <c r="A184" s="1" t="n">
        <v>211</v>
      </c>
      <c r="B184" s="1" t="s">
        <v>131</v>
      </c>
      <c r="C184" s="1" t="s">
        <v>132</v>
      </c>
      <c r="D184" s="1" t="n">
        <v>91001</v>
      </c>
      <c r="E184" s="51" t="n">
        <v>200025888608</v>
      </c>
      <c r="F184" s="51" t="s">
        <v>102</v>
      </c>
      <c r="G184" s="51" t="n">
        <v>38</v>
      </c>
      <c r="H184" s="52" t="n">
        <v>45799.8313773148</v>
      </c>
      <c r="I184" s="7" t="n">
        <v>20</v>
      </c>
      <c r="J184" s="7" t="n">
        <v>20</v>
      </c>
      <c r="K184" s="7" t="n">
        <v>3</v>
      </c>
      <c r="L184" s="7" t="n">
        <v>179</v>
      </c>
      <c r="M184" s="1" t="n">
        <v>1</v>
      </c>
    </row>
    <row r="185" customFormat="false" ht="14.25" hidden="false" customHeight="false" outlineLevel="0" collapsed="false">
      <c r="A185" s="1" t="n">
        <v>212</v>
      </c>
      <c r="B185" s="1" t="s">
        <v>131</v>
      </c>
      <c r="C185" s="1" t="s">
        <v>132</v>
      </c>
      <c r="D185" s="1" t="n">
        <v>91001</v>
      </c>
      <c r="E185" s="51" t="n">
        <v>200025888608</v>
      </c>
      <c r="F185" s="51" t="s">
        <v>102</v>
      </c>
      <c r="G185" s="51" t="n">
        <v>38</v>
      </c>
      <c r="H185" s="52" t="n">
        <v>45799.831400463</v>
      </c>
      <c r="I185" s="7" t="n">
        <v>20</v>
      </c>
      <c r="J185" s="7" t="n">
        <v>20</v>
      </c>
      <c r="K185" s="7" t="n">
        <v>4</v>
      </c>
      <c r="L185" s="7" t="n">
        <v>180</v>
      </c>
      <c r="M185" s="1" t="n">
        <v>1</v>
      </c>
    </row>
    <row r="186" customFormat="false" ht="14.25" hidden="false" customHeight="false" outlineLevel="0" collapsed="false">
      <c r="A186" s="1" t="n">
        <v>213</v>
      </c>
      <c r="B186" s="1" t="s">
        <v>131</v>
      </c>
      <c r="C186" s="1" t="s">
        <v>132</v>
      </c>
      <c r="D186" s="1" t="n">
        <v>91001</v>
      </c>
      <c r="E186" s="51" t="n">
        <v>200025888608</v>
      </c>
      <c r="F186" s="51" t="s">
        <v>102</v>
      </c>
      <c r="G186" s="51" t="n">
        <v>38</v>
      </c>
      <c r="H186" s="52" t="n">
        <v>45799.8347453704</v>
      </c>
      <c r="I186" s="7" t="n">
        <v>20</v>
      </c>
      <c r="J186" s="7" t="n">
        <v>20</v>
      </c>
      <c r="K186" s="7" t="n">
        <v>5</v>
      </c>
      <c r="L186" s="7" t="n">
        <v>181</v>
      </c>
      <c r="M186" s="1" t="n">
        <v>0</v>
      </c>
    </row>
    <row r="187" customFormat="false" ht="14.25" hidden="false" customHeight="false" outlineLevel="0" collapsed="false">
      <c r="A187" s="7" t="n">
        <v>172</v>
      </c>
      <c r="B187" s="7" t="s">
        <v>131</v>
      </c>
      <c r="C187" s="7" t="s">
        <v>132</v>
      </c>
      <c r="D187" s="7" t="n">
        <v>91001</v>
      </c>
      <c r="E187" s="51" t="n">
        <v>200025888235</v>
      </c>
      <c r="F187" s="51" t="s">
        <v>86</v>
      </c>
      <c r="G187" s="51" t="n">
        <v>22</v>
      </c>
      <c r="H187" s="52" t="n">
        <v>45799.3325</v>
      </c>
      <c r="I187" s="7" t="n">
        <v>21</v>
      </c>
      <c r="J187" s="7" t="n">
        <v>21</v>
      </c>
      <c r="K187" s="7" t="n">
        <v>1</v>
      </c>
      <c r="L187" s="7" t="n">
        <v>140</v>
      </c>
      <c r="M187" s="7" t="n">
        <v>1</v>
      </c>
    </row>
    <row r="188" customFormat="false" ht="14.25" hidden="false" customHeight="false" outlineLevel="0" collapsed="false">
      <c r="A188" s="7" t="n">
        <v>177</v>
      </c>
      <c r="B188" s="7" t="s">
        <v>131</v>
      </c>
      <c r="C188" s="7" t="s">
        <v>132</v>
      </c>
      <c r="D188" s="7" t="n">
        <v>91001</v>
      </c>
      <c r="E188" s="51" t="n">
        <v>200025888235</v>
      </c>
      <c r="F188" s="51" t="s">
        <v>86</v>
      </c>
      <c r="G188" s="51" t="n">
        <v>22</v>
      </c>
      <c r="H188" s="52" t="n">
        <v>45799.440474537</v>
      </c>
      <c r="I188" s="7" t="n">
        <v>21</v>
      </c>
      <c r="J188" s="7" t="n">
        <v>21</v>
      </c>
      <c r="K188" s="7" t="n">
        <v>2</v>
      </c>
      <c r="L188" s="7" t="n">
        <v>145</v>
      </c>
      <c r="M188" s="7" t="n">
        <v>0</v>
      </c>
    </row>
    <row r="189" customFormat="false" ht="14.25" hidden="false" customHeight="false" outlineLevel="0" collapsed="false">
      <c r="A189" s="7" t="n">
        <v>178</v>
      </c>
      <c r="B189" s="7" t="s">
        <v>131</v>
      </c>
      <c r="C189" s="7" t="s">
        <v>132</v>
      </c>
      <c r="D189" s="7" t="n">
        <v>91001</v>
      </c>
      <c r="E189" s="51" t="n">
        <v>200025888235</v>
      </c>
      <c r="F189" s="51" t="s">
        <v>86</v>
      </c>
      <c r="G189" s="51" t="n">
        <v>22</v>
      </c>
      <c r="H189" s="52" t="n">
        <v>45799.4404861111</v>
      </c>
      <c r="I189" s="7" t="n">
        <v>21</v>
      </c>
      <c r="J189" s="7" t="n">
        <v>21</v>
      </c>
      <c r="K189" s="7" t="n">
        <v>3</v>
      </c>
      <c r="L189" s="7" t="n">
        <v>146</v>
      </c>
      <c r="M189" s="7" t="n">
        <v>0</v>
      </c>
    </row>
    <row r="190" customFormat="false" ht="14.25" hidden="false" customHeight="false" outlineLevel="0" collapsed="false">
      <c r="A190" s="7" t="n">
        <v>179</v>
      </c>
      <c r="B190" s="7" t="s">
        <v>131</v>
      </c>
      <c r="C190" s="7" t="s">
        <v>132</v>
      </c>
      <c r="D190" s="7" t="n">
        <v>91001</v>
      </c>
      <c r="E190" s="51" t="n">
        <v>200025888235</v>
      </c>
      <c r="F190" s="51" t="s">
        <v>86</v>
      </c>
      <c r="G190" s="51" t="n">
        <v>22</v>
      </c>
      <c r="H190" s="52" t="n">
        <v>45799.4596990741</v>
      </c>
      <c r="I190" s="7" t="n">
        <v>21</v>
      </c>
      <c r="J190" s="7" t="n">
        <v>21</v>
      </c>
      <c r="K190" s="7" t="n">
        <v>4</v>
      </c>
      <c r="L190" s="7" t="n">
        <v>147</v>
      </c>
      <c r="M190" s="7" t="n">
        <v>0</v>
      </c>
    </row>
    <row r="191" customFormat="false" ht="14.25" hidden="false" customHeight="false" outlineLevel="0" collapsed="false">
      <c r="A191" s="1" t="n">
        <v>35</v>
      </c>
      <c r="B191" s="1" t="s">
        <v>136</v>
      </c>
      <c r="C191" s="1" t="s">
        <v>137</v>
      </c>
      <c r="D191" s="1" t="n">
        <v>93202</v>
      </c>
      <c r="E191" s="56" t="n">
        <v>200025888244</v>
      </c>
      <c r="F191" s="56" t="s">
        <v>88</v>
      </c>
      <c r="G191" s="56" t="n">
        <v>12</v>
      </c>
      <c r="H191" s="52" t="n">
        <v>45799.5332407407</v>
      </c>
      <c r="I191" s="7" t="n">
        <v>22</v>
      </c>
      <c r="J191" s="7" t="n">
        <v>22</v>
      </c>
      <c r="K191" s="7" t="n">
        <v>1</v>
      </c>
      <c r="L191" s="1" t="n">
        <v>8</v>
      </c>
      <c r="M191" s="1" t="n">
        <v>2</v>
      </c>
    </row>
    <row r="192" customFormat="false" ht="14.25" hidden="false" customHeight="false" outlineLevel="0" collapsed="false">
      <c r="A192" s="7" t="n">
        <v>195</v>
      </c>
      <c r="B192" s="7" t="s">
        <v>131</v>
      </c>
      <c r="C192" s="7" t="s">
        <v>132</v>
      </c>
      <c r="D192" s="7" t="n">
        <v>91001</v>
      </c>
      <c r="E192" s="51" t="n">
        <v>200025888509</v>
      </c>
      <c r="F192" s="51" t="s">
        <v>96</v>
      </c>
      <c r="G192" s="51" t="n">
        <v>35</v>
      </c>
      <c r="H192" s="52" t="n">
        <v>45799.6044212963</v>
      </c>
      <c r="I192" s="7" t="n">
        <v>23</v>
      </c>
      <c r="J192" s="7" t="n">
        <v>23</v>
      </c>
      <c r="K192" s="7" t="n">
        <v>1</v>
      </c>
      <c r="L192" s="7" t="n">
        <v>163</v>
      </c>
      <c r="M192" s="7" t="n">
        <v>0</v>
      </c>
    </row>
    <row r="193" customFormat="false" ht="14.25" hidden="false" customHeight="false" outlineLevel="0" collapsed="false">
      <c r="A193" s="1" t="n">
        <v>196</v>
      </c>
      <c r="B193" s="1" t="s">
        <v>131</v>
      </c>
      <c r="C193" s="1" t="s">
        <v>132</v>
      </c>
      <c r="D193" s="1" t="n">
        <v>91001</v>
      </c>
      <c r="E193" s="51" t="n">
        <v>200025888663</v>
      </c>
      <c r="F193" s="51" t="s">
        <v>106</v>
      </c>
      <c r="G193" s="51" t="n">
        <v>29</v>
      </c>
      <c r="H193" s="52" t="n">
        <v>45799.6948842593</v>
      </c>
      <c r="I193" s="7" t="n">
        <v>24</v>
      </c>
      <c r="J193" s="7" t="n">
        <v>24</v>
      </c>
      <c r="K193" s="7" t="n">
        <v>1</v>
      </c>
      <c r="L193" s="7" t="n">
        <v>164</v>
      </c>
      <c r="M193" s="1" t="n">
        <v>0</v>
      </c>
    </row>
    <row r="194" customFormat="false" ht="14.25" hidden="false" customHeight="false" outlineLevel="0" collapsed="false">
      <c r="A194" s="1" t="n">
        <v>198</v>
      </c>
      <c r="B194" s="1" t="s">
        <v>131</v>
      </c>
      <c r="C194" s="1" t="s">
        <v>132</v>
      </c>
      <c r="D194" s="1" t="n">
        <v>91001</v>
      </c>
      <c r="E194" s="51" t="n">
        <v>200025888663</v>
      </c>
      <c r="F194" s="51" t="s">
        <v>106</v>
      </c>
      <c r="G194" s="51" t="n">
        <v>29</v>
      </c>
      <c r="H194" s="52" t="n">
        <v>45799.7110185185</v>
      </c>
      <c r="I194" s="7" t="n">
        <v>24</v>
      </c>
      <c r="J194" s="7" t="n">
        <v>24</v>
      </c>
      <c r="K194" s="7" t="n">
        <v>2</v>
      </c>
      <c r="L194" s="7" t="n">
        <v>166</v>
      </c>
      <c r="M194" s="1" t="n">
        <v>2</v>
      </c>
    </row>
    <row r="195" customFormat="false" ht="14.25" hidden="false" customHeight="false" outlineLevel="0" collapsed="false">
      <c r="A195" s="1" t="n">
        <v>199</v>
      </c>
      <c r="B195" s="1" t="s">
        <v>131</v>
      </c>
      <c r="C195" s="1" t="s">
        <v>132</v>
      </c>
      <c r="D195" s="1" t="n">
        <v>91001</v>
      </c>
      <c r="E195" s="51" t="n">
        <v>200025888663</v>
      </c>
      <c r="F195" s="51" t="s">
        <v>106</v>
      </c>
      <c r="G195" s="51" t="n">
        <v>29</v>
      </c>
      <c r="H195" s="52" t="n">
        <v>45799.712662037</v>
      </c>
      <c r="I195" s="7" t="n">
        <v>24</v>
      </c>
      <c r="J195" s="7" t="n">
        <v>24</v>
      </c>
      <c r="K195" s="7" t="n">
        <v>3</v>
      </c>
      <c r="L195" s="7" t="n">
        <v>167</v>
      </c>
      <c r="M195" s="1" t="n">
        <v>0</v>
      </c>
    </row>
    <row r="196" customFormat="false" ht="14.25" hidden="false" customHeight="false" outlineLevel="0" collapsed="false">
      <c r="A196" s="1" t="n">
        <v>200</v>
      </c>
      <c r="B196" s="1" t="s">
        <v>131</v>
      </c>
      <c r="C196" s="1" t="s">
        <v>132</v>
      </c>
      <c r="D196" s="1" t="n">
        <v>91001</v>
      </c>
      <c r="E196" s="51" t="n">
        <v>200025888663</v>
      </c>
      <c r="F196" s="51" t="s">
        <v>106</v>
      </c>
      <c r="G196" s="51" t="n">
        <v>29</v>
      </c>
      <c r="H196" s="52" t="n">
        <v>45799.7126736111</v>
      </c>
      <c r="I196" s="7" t="n">
        <v>24</v>
      </c>
      <c r="J196" s="7" t="n">
        <v>24</v>
      </c>
      <c r="K196" s="7" t="n">
        <v>4</v>
      </c>
      <c r="L196" s="7" t="n">
        <v>168</v>
      </c>
      <c r="M196" s="1" t="n">
        <v>0</v>
      </c>
    </row>
    <row r="197" customFormat="false" ht="14.25" hidden="false" customHeight="false" outlineLevel="0" collapsed="false">
      <c r="A197" s="1" t="n">
        <v>206</v>
      </c>
      <c r="B197" s="1" t="s">
        <v>131</v>
      </c>
      <c r="C197" s="1" t="s">
        <v>132</v>
      </c>
      <c r="D197" s="1" t="n">
        <v>91001</v>
      </c>
      <c r="E197" s="51" t="n">
        <v>200025888663</v>
      </c>
      <c r="F197" s="51" t="s">
        <v>106</v>
      </c>
      <c r="G197" s="51" t="n">
        <v>29</v>
      </c>
      <c r="H197" s="52" t="n">
        <v>45799.8175347222</v>
      </c>
      <c r="I197" s="7" t="n">
        <v>24</v>
      </c>
      <c r="J197" s="7" t="n">
        <v>24</v>
      </c>
      <c r="K197" s="7" t="n">
        <v>5</v>
      </c>
      <c r="L197" s="7" t="n">
        <v>174</v>
      </c>
      <c r="M197" s="1" t="n">
        <v>2</v>
      </c>
    </row>
    <row r="198" customFormat="false" ht="14.25" hidden="false" customHeight="false" outlineLevel="0" collapsed="false">
      <c r="A198" s="1" t="n">
        <v>207</v>
      </c>
      <c r="B198" s="1" t="s">
        <v>131</v>
      </c>
      <c r="C198" s="1" t="s">
        <v>132</v>
      </c>
      <c r="D198" s="1" t="n">
        <v>91001</v>
      </c>
      <c r="E198" s="51" t="n">
        <v>200025888663</v>
      </c>
      <c r="F198" s="51" t="s">
        <v>106</v>
      </c>
      <c r="G198" s="51" t="n">
        <v>29</v>
      </c>
      <c r="H198" s="52" t="n">
        <v>45799.8177430556</v>
      </c>
      <c r="I198" s="7" t="n">
        <v>24</v>
      </c>
      <c r="J198" s="7" t="n">
        <v>24</v>
      </c>
      <c r="K198" s="7" t="n">
        <v>6</v>
      </c>
      <c r="L198" s="7" t="n">
        <v>175</v>
      </c>
      <c r="M198" s="1" t="n">
        <v>2</v>
      </c>
    </row>
    <row r="199" customFormat="false" ht="14.25" hidden="false" customHeight="false" outlineLevel="0" collapsed="false">
      <c r="A199" s="1" t="n">
        <v>208</v>
      </c>
      <c r="B199" s="1" t="s">
        <v>131</v>
      </c>
      <c r="C199" s="1" t="s">
        <v>132</v>
      </c>
      <c r="D199" s="1" t="n">
        <v>91001</v>
      </c>
      <c r="E199" s="51" t="n">
        <v>200025888663</v>
      </c>
      <c r="F199" s="51" t="s">
        <v>106</v>
      </c>
      <c r="G199" s="51" t="n">
        <v>29</v>
      </c>
      <c r="H199" s="52" t="n">
        <v>45799.8181134259</v>
      </c>
      <c r="I199" s="7" t="n">
        <v>24</v>
      </c>
      <c r="J199" s="7" t="n">
        <v>24</v>
      </c>
      <c r="K199" s="7" t="n">
        <v>7</v>
      </c>
      <c r="L199" s="7" t="n">
        <v>176</v>
      </c>
      <c r="M199" s="1" t="n">
        <v>1</v>
      </c>
    </row>
    <row r="200" customFormat="false" ht="14.25" hidden="false" customHeight="false" outlineLevel="0" collapsed="false">
      <c r="A200" s="1" t="n">
        <v>209</v>
      </c>
      <c r="B200" s="1" t="s">
        <v>131</v>
      </c>
      <c r="C200" s="1" t="s">
        <v>132</v>
      </c>
      <c r="D200" s="1" t="n">
        <v>91001</v>
      </c>
      <c r="E200" s="51" t="n">
        <v>200025888663</v>
      </c>
      <c r="F200" s="51" t="s">
        <v>106</v>
      </c>
      <c r="G200" s="51" t="n">
        <v>29</v>
      </c>
      <c r="H200" s="52" t="n">
        <v>45799.8182523148</v>
      </c>
      <c r="I200" s="7" t="n">
        <v>24</v>
      </c>
      <c r="J200" s="7" t="n">
        <v>24</v>
      </c>
      <c r="K200" s="7" t="n">
        <v>8</v>
      </c>
      <c r="L200" s="7" t="n">
        <v>177</v>
      </c>
      <c r="M200" s="1" t="n">
        <v>0</v>
      </c>
    </row>
    <row r="201" customFormat="false" ht="14.25" hidden="false" customHeight="false" outlineLevel="0" collapsed="false">
      <c r="A201" s="1" t="n">
        <v>216</v>
      </c>
      <c r="B201" s="1" t="s">
        <v>131</v>
      </c>
      <c r="C201" s="1" t="s">
        <v>132</v>
      </c>
      <c r="D201" s="1" t="n">
        <v>91001</v>
      </c>
      <c r="E201" s="51" t="n">
        <v>200025888834</v>
      </c>
      <c r="F201" s="51" t="s">
        <v>104</v>
      </c>
      <c r="G201" s="51" t="n">
        <v>25</v>
      </c>
      <c r="H201" s="52" t="n">
        <v>45800.0094560185</v>
      </c>
      <c r="I201" s="7" t="n">
        <v>25</v>
      </c>
      <c r="J201" s="7" t="n">
        <v>25</v>
      </c>
      <c r="K201" s="7" t="n">
        <v>1</v>
      </c>
      <c r="L201" s="7" t="n">
        <v>184</v>
      </c>
      <c r="M201" s="1" t="n">
        <v>0</v>
      </c>
    </row>
    <row r="202" customFormat="false" ht="14.25" hidden="false" customHeight="false" outlineLevel="0" collapsed="false">
      <c r="A202" s="1" t="n">
        <v>217</v>
      </c>
      <c r="B202" s="1" t="s">
        <v>131</v>
      </c>
      <c r="C202" s="1" t="s">
        <v>132</v>
      </c>
      <c r="D202" s="1" t="n">
        <v>91001</v>
      </c>
      <c r="E202" s="51" t="n">
        <v>200025888834</v>
      </c>
      <c r="F202" s="51" t="s">
        <v>104</v>
      </c>
      <c r="G202" s="51" t="n">
        <v>25</v>
      </c>
      <c r="H202" s="52" t="n">
        <v>45800.0094675926</v>
      </c>
      <c r="I202" s="7" t="n">
        <v>25</v>
      </c>
      <c r="J202" s="7" t="n">
        <v>25</v>
      </c>
      <c r="K202" s="7" t="n">
        <v>2</v>
      </c>
      <c r="L202" s="7" t="n">
        <v>185</v>
      </c>
      <c r="M202" s="1" t="n">
        <v>1</v>
      </c>
    </row>
    <row r="203" customFormat="false" ht="14.25" hidden="false" customHeight="false" outlineLevel="0" collapsed="false">
      <c r="A203" s="1" t="n">
        <v>218</v>
      </c>
      <c r="B203" s="1" t="s">
        <v>131</v>
      </c>
      <c r="C203" s="1" t="s">
        <v>132</v>
      </c>
      <c r="D203" s="1" t="n">
        <v>91001</v>
      </c>
      <c r="E203" s="51" t="n">
        <v>200025888834</v>
      </c>
      <c r="F203" s="51" t="s">
        <v>104</v>
      </c>
      <c r="G203" s="51" t="n">
        <v>25</v>
      </c>
      <c r="H203" s="52" t="n">
        <v>45800.0133101852</v>
      </c>
      <c r="I203" s="7" t="n">
        <v>25</v>
      </c>
      <c r="J203" s="7" t="n">
        <v>25</v>
      </c>
      <c r="K203" s="7" t="n">
        <v>3</v>
      </c>
      <c r="L203" s="7" t="n">
        <v>186</v>
      </c>
      <c r="M203" s="1" t="n">
        <v>1</v>
      </c>
    </row>
    <row r="204" customFormat="false" ht="14.25" hidden="false" customHeight="false" outlineLevel="0" collapsed="false">
      <c r="A204" s="1" t="n">
        <v>219</v>
      </c>
      <c r="B204" s="1" t="s">
        <v>131</v>
      </c>
      <c r="C204" s="1" t="s">
        <v>132</v>
      </c>
      <c r="D204" s="1" t="n">
        <v>91001</v>
      </c>
      <c r="E204" s="51" t="n">
        <v>200025888834</v>
      </c>
      <c r="F204" s="51" t="s">
        <v>104</v>
      </c>
      <c r="G204" s="51" t="n">
        <v>25</v>
      </c>
      <c r="H204" s="52" t="n">
        <v>45800.0141666667</v>
      </c>
      <c r="I204" s="7" t="n">
        <v>25</v>
      </c>
      <c r="J204" s="7" t="n">
        <v>25</v>
      </c>
      <c r="K204" s="7" t="n">
        <v>4</v>
      </c>
      <c r="L204" s="7" t="n">
        <v>187</v>
      </c>
      <c r="M204" s="1" t="n">
        <v>0</v>
      </c>
    </row>
    <row r="205" customFormat="false" ht="14.25" hidden="false" customHeight="false" outlineLevel="0" collapsed="false">
      <c r="A205" s="1" t="n">
        <v>220</v>
      </c>
      <c r="B205" s="1" t="s">
        <v>131</v>
      </c>
      <c r="C205" s="1" t="s">
        <v>132</v>
      </c>
      <c r="D205" s="1" t="n">
        <v>91001</v>
      </c>
      <c r="E205" s="51" t="n">
        <v>200025888834</v>
      </c>
      <c r="F205" s="51" t="s">
        <v>104</v>
      </c>
      <c r="G205" s="51" t="n">
        <v>25</v>
      </c>
      <c r="H205" s="52" t="n">
        <v>45800.0141782407</v>
      </c>
      <c r="I205" s="7" t="n">
        <v>25</v>
      </c>
      <c r="J205" s="7" t="n">
        <v>25</v>
      </c>
      <c r="K205" s="7" t="n">
        <v>5</v>
      </c>
      <c r="L205" s="7" t="n">
        <v>188</v>
      </c>
      <c r="M205" s="1" t="n">
        <v>0</v>
      </c>
    </row>
    <row r="206" customFormat="false" ht="14.25" hidden="false" customHeight="false" outlineLevel="0" collapsed="false">
      <c r="A206" s="1" t="n">
        <v>221</v>
      </c>
      <c r="B206" s="1" t="s">
        <v>131</v>
      </c>
      <c r="C206" s="1" t="s">
        <v>132</v>
      </c>
      <c r="D206" s="1" t="n">
        <v>91001</v>
      </c>
      <c r="E206" s="51" t="n">
        <v>200025888834</v>
      </c>
      <c r="F206" s="51" t="s">
        <v>104</v>
      </c>
      <c r="G206" s="51" t="n">
        <v>25</v>
      </c>
      <c r="H206" s="52" t="n">
        <v>45800.1754166667</v>
      </c>
      <c r="I206" s="7" t="n">
        <v>25</v>
      </c>
      <c r="J206" s="7" t="n">
        <v>25</v>
      </c>
      <c r="K206" s="7" t="n">
        <v>6</v>
      </c>
      <c r="L206" s="7" t="n">
        <v>189</v>
      </c>
      <c r="M206" s="1" t="n">
        <v>0</v>
      </c>
    </row>
    <row r="207" customFormat="false" ht="14.25" hidden="false" customHeight="false" outlineLevel="0" collapsed="false">
      <c r="A207" s="1" t="n">
        <v>222</v>
      </c>
      <c r="B207" s="1" t="s">
        <v>131</v>
      </c>
      <c r="C207" s="1" t="s">
        <v>132</v>
      </c>
      <c r="D207" s="1" t="n">
        <v>91001</v>
      </c>
      <c r="E207" s="51" t="n">
        <v>200025888834</v>
      </c>
      <c r="F207" s="51" t="s">
        <v>104</v>
      </c>
      <c r="G207" s="51" t="n">
        <v>25</v>
      </c>
      <c r="H207" s="52" t="n">
        <v>45800.1755671296</v>
      </c>
      <c r="I207" s="7" t="n">
        <v>25</v>
      </c>
      <c r="J207" s="7" t="n">
        <v>25</v>
      </c>
      <c r="K207" s="7" t="n">
        <v>7</v>
      </c>
      <c r="L207" s="7" t="n">
        <v>190</v>
      </c>
      <c r="M207" s="1" t="n">
        <v>1</v>
      </c>
    </row>
    <row r="208" customFormat="false" ht="14.25" hidden="false" customHeight="false" outlineLevel="0" collapsed="false">
      <c r="A208" s="1" t="n">
        <v>223</v>
      </c>
      <c r="B208" s="1" t="s">
        <v>131</v>
      </c>
      <c r="C208" s="1" t="s">
        <v>132</v>
      </c>
      <c r="D208" s="1" t="n">
        <v>91001</v>
      </c>
      <c r="E208" s="51" t="n">
        <v>200025888834</v>
      </c>
      <c r="F208" s="51" t="s">
        <v>104</v>
      </c>
      <c r="G208" s="51" t="n">
        <v>25</v>
      </c>
      <c r="H208" s="52" t="n">
        <v>45800.1776388889</v>
      </c>
      <c r="I208" s="7" t="n">
        <v>25</v>
      </c>
      <c r="J208" s="7" t="n">
        <v>25</v>
      </c>
      <c r="K208" s="7" t="n">
        <v>8</v>
      </c>
      <c r="L208" s="7" t="n">
        <v>191</v>
      </c>
      <c r="M208" s="1" t="n">
        <v>0</v>
      </c>
    </row>
  </sheetData>
  <autoFilter ref="A1:O93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AP5" activePane="bottomRight" state="frozen"/>
      <selection pane="topLeft" activeCell="A1" activeCellId="0" sqref="A1"/>
      <selection pane="topRight" activeCell="AP1" activeCellId="0" sqref="AP1"/>
      <selection pane="bottomLeft" activeCell="A5" activeCellId="0" sqref="A5"/>
      <selection pane="bottomRight" activeCell="AT5" activeCellId="0" sqref="AT5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3" min="3" style="1" width="6.67"/>
    <col collapsed="false" customWidth="true" hidden="false" outlineLevel="0" max="4" min="4" style="1" width="7.33"/>
    <col collapsed="false" customWidth="true" hidden="false" outlineLevel="0" max="6" min="6" style="13" width="7.88"/>
    <col collapsed="false" customWidth="true" hidden="false" outlineLevel="0" max="8" min="8" style="1" width="8.11"/>
    <col collapsed="false" customWidth="true" hidden="false" outlineLevel="0" max="9" min="9" style="1" width="9.44"/>
    <col collapsed="false" customWidth="true" hidden="false" outlineLevel="0" max="11" min="11" style="1" width="7.33"/>
    <col collapsed="false" customWidth="true" hidden="false" outlineLevel="0" max="12" min="12" style="1" width="5.56"/>
    <col collapsed="false" customWidth="true" hidden="false" outlineLevel="0" max="13" min="13" style="1" width="6.88"/>
    <col collapsed="false" customWidth="true" hidden="false" outlineLevel="0" max="14" min="14" style="1" width="7.11"/>
    <col collapsed="false" customWidth="true" hidden="false" outlineLevel="0" max="15" min="15" style="1" width="6.67"/>
    <col collapsed="false" customWidth="true" hidden="false" outlineLevel="0" max="16" min="16" style="1" width="7.11"/>
    <col collapsed="false" customWidth="true" hidden="false" outlineLevel="0" max="17" min="17" style="1" width="9"/>
    <col collapsed="false" customWidth="true" hidden="false" outlineLevel="0" max="18" min="18" style="1" width="7.44"/>
    <col collapsed="false" customWidth="true" hidden="false" outlineLevel="0" max="19" min="19" style="1" width="8"/>
    <col collapsed="false" customWidth="true" hidden="false" outlineLevel="0" max="21" min="20" style="1" width="7.88"/>
    <col collapsed="false" customWidth="true" hidden="false" outlineLevel="0" max="23" min="22" style="1" width="7.67"/>
    <col collapsed="false" customWidth="true" hidden="false" outlineLevel="0" max="24" min="24" style="1" width="7.44"/>
    <col collapsed="false" customWidth="true" hidden="false" outlineLevel="0" max="25" min="25" style="1" width="8.56"/>
    <col collapsed="false" customWidth="true" hidden="false" outlineLevel="0" max="26" min="26" style="1" width="16.33"/>
    <col collapsed="false" customWidth="true" hidden="false" outlineLevel="0" max="29" min="28" style="1" width="16.67"/>
    <col collapsed="false" customWidth="true" hidden="false" outlineLevel="0" max="30" min="30" style="1" width="7.56"/>
    <col collapsed="false" customWidth="true" hidden="false" outlineLevel="0" max="33" min="32" style="1" width="16.67"/>
    <col collapsed="false" customWidth="true" hidden="false" outlineLevel="0" max="34" min="34" style="1" width="13.88"/>
    <col collapsed="false" customWidth="true" hidden="false" outlineLevel="0" max="36" min="36" style="1" width="7.56"/>
    <col collapsed="false" customWidth="true" hidden="false" outlineLevel="0" max="40" min="39" style="1" width="6.88"/>
    <col collapsed="false" customWidth="true" hidden="false" outlineLevel="0" max="42" min="42" style="7" width="17.44"/>
    <col collapsed="false" customWidth="true" hidden="false" outlineLevel="0" max="43" min="43" style="7" width="7.67"/>
    <col collapsed="false" customWidth="true" hidden="false" outlineLevel="0" max="44" min="44" style="7" width="11.56"/>
    <col collapsed="false" customWidth="true" hidden="false" outlineLevel="0" max="46" min="46" style="13" width="11.44"/>
    <col collapsed="false" customWidth="true" hidden="false" outlineLevel="0" max="51" min="49" style="1" width="7.44"/>
    <col collapsed="false" customWidth="true" hidden="false" outlineLevel="0" max="52" min="52" style="57" width="11.56"/>
    <col collapsed="false" customWidth="true" hidden="false" outlineLevel="0" max="55" min="55" style="1" width="12.44"/>
    <col collapsed="false" customWidth="true" hidden="false" outlineLevel="0" max="56" min="56" style="13" width="7.67"/>
    <col collapsed="false" customWidth="true" hidden="false" outlineLevel="0" max="57" min="57" style="1" width="13.34"/>
    <col collapsed="false" customWidth="true" hidden="false" outlineLevel="0" max="58" min="58" style="1" width="8.88"/>
  </cols>
  <sheetData>
    <row r="1" customFormat="false" ht="15" hidden="false" customHeight="false" outlineLevel="0" collapsed="false">
      <c r="A1" s="2" t="s">
        <v>0</v>
      </c>
      <c r="B1" s="2"/>
      <c r="AH1" s="58" t="n">
        <v>45797.3013888889</v>
      </c>
      <c r="BF1" s="2"/>
      <c r="BG1" s="2"/>
    </row>
    <row r="2" customFormat="false" ht="14.25" hidden="false" customHeight="false" outlineLevel="0" collapsed="false">
      <c r="A2" s="1" t="s">
        <v>138</v>
      </c>
      <c r="S2" s="59" t="n">
        <v>45275</v>
      </c>
      <c r="T2" s="59" t="n">
        <v>45306</v>
      </c>
      <c r="U2" s="59" t="n">
        <v>45337</v>
      </c>
      <c r="V2" s="59" t="n">
        <v>45365</v>
      </c>
      <c r="W2" s="59" t="n">
        <v>45397</v>
      </c>
      <c r="X2" s="59" t="n">
        <v>45429</v>
      </c>
      <c r="Y2" s="59" t="n">
        <v>45457</v>
      </c>
      <c r="Z2" s="60"/>
      <c r="AB2" s="61" t="n">
        <f aca="false">SUBTOTAL(3,AB5:AB53)</f>
        <v>7</v>
      </c>
      <c r="AF2" s="61" t="n">
        <f aca="false">SUBTOTAL(3,AF5:AF53)</f>
        <v>25</v>
      </c>
      <c r="AH2" s="58" t="n">
        <v>45797.2895833333</v>
      </c>
      <c r="AI2" s="61" t="n">
        <f aca="false">SUBTOTAL(3,AI5:AI53)</f>
        <v>25</v>
      </c>
      <c r="AS2" s="10" t="n">
        <v>45845</v>
      </c>
      <c r="AT2" s="61" t="n">
        <f aca="false">SUBTOTAL(3,AT5:AT53)</f>
        <v>49</v>
      </c>
      <c r="AV2" s="7"/>
      <c r="AZ2" s="61" t="n">
        <f aca="false">SUBTOTAL(3,AZ5:AZ53)</f>
        <v>43</v>
      </c>
      <c r="BB2" s="61" t="n">
        <f aca="false">SUBTOTAL(3,BB5:BB53)</f>
        <v>49</v>
      </c>
      <c r="BD2" s="61" t="n">
        <f aca="false">SUBTOTAL(3,BD5:BD53)</f>
        <v>24</v>
      </c>
    </row>
    <row r="3" customFormat="false" ht="15" hidden="false" customHeight="true" outlineLevel="0" collapsed="false">
      <c r="E3" s="62"/>
      <c r="F3" s="62"/>
      <c r="G3" s="63"/>
      <c r="H3" s="63"/>
      <c r="I3" s="63" t="n">
        <v>45799</v>
      </c>
      <c r="J3" s="63" t="n">
        <v>45797</v>
      </c>
      <c r="K3" s="63"/>
      <c r="L3" s="63"/>
      <c r="M3" s="63"/>
      <c r="N3" s="63"/>
      <c r="O3" s="64" t="s">
        <v>139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0"/>
      <c r="AA3" s="65" t="s">
        <v>140</v>
      </c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6" t="s">
        <v>13</v>
      </c>
      <c r="AP3" s="66"/>
      <c r="AQ3" s="66"/>
      <c r="AR3" s="66"/>
      <c r="AS3" s="67" t="s">
        <v>141</v>
      </c>
      <c r="AT3" s="67"/>
      <c r="AU3" s="67"/>
      <c r="AV3" s="67"/>
    </row>
    <row r="4" customFormat="false" ht="38.25" hidden="false" customHeight="true" outlineLevel="0" collapsed="false">
      <c r="A4" s="64" t="s">
        <v>142</v>
      </c>
      <c r="B4" s="64" t="s">
        <v>143</v>
      </c>
      <c r="C4" s="64" t="s">
        <v>144</v>
      </c>
      <c r="D4" s="64" t="s">
        <v>145</v>
      </c>
      <c r="E4" s="64" t="s">
        <v>146</v>
      </c>
      <c r="F4" s="64" t="s">
        <v>147</v>
      </c>
      <c r="G4" s="64" t="s">
        <v>148</v>
      </c>
      <c r="H4" s="64" t="s">
        <v>149</v>
      </c>
      <c r="I4" s="64" t="s">
        <v>150</v>
      </c>
      <c r="J4" s="64" t="s">
        <v>151</v>
      </c>
      <c r="K4" s="64" t="s">
        <v>152</v>
      </c>
      <c r="L4" s="64" t="s">
        <v>153</v>
      </c>
      <c r="M4" s="64" t="s">
        <v>154</v>
      </c>
      <c r="N4" s="64" t="s">
        <v>155</v>
      </c>
      <c r="O4" s="64" t="s">
        <v>156</v>
      </c>
      <c r="P4" s="64" t="s">
        <v>157</v>
      </c>
      <c r="Q4" s="64" t="s">
        <v>158</v>
      </c>
      <c r="R4" s="64" t="s">
        <v>159</v>
      </c>
      <c r="S4" s="64" t="s">
        <v>160</v>
      </c>
      <c r="T4" s="64" t="s">
        <v>161</v>
      </c>
      <c r="U4" s="64" t="s">
        <v>162</v>
      </c>
      <c r="V4" s="64" t="s">
        <v>163</v>
      </c>
      <c r="W4" s="64" t="s">
        <v>164</v>
      </c>
      <c r="X4" s="64" t="s">
        <v>165</v>
      </c>
      <c r="Y4" s="64" t="s">
        <v>166</v>
      </c>
      <c r="Z4" s="64" t="s">
        <v>167</v>
      </c>
      <c r="AA4" s="64" t="s">
        <v>168</v>
      </c>
      <c r="AB4" s="64" t="s">
        <v>169</v>
      </c>
      <c r="AC4" s="64" t="s">
        <v>170</v>
      </c>
      <c r="AD4" s="64" t="s">
        <v>171</v>
      </c>
      <c r="AE4" s="64" t="s">
        <v>172</v>
      </c>
      <c r="AF4" s="64" t="s">
        <v>169</v>
      </c>
      <c r="AG4" s="64" t="s">
        <v>170</v>
      </c>
      <c r="AH4" s="64" t="s">
        <v>173</v>
      </c>
      <c r="AI4" s="64" t="s">
        <v>174</v>
      </c>
      <c r="AJ4" s="64" t="s">
        <v>171</v>
      </c>
      <c r="AK4" s="64" t="s">
        <v>172</v>
      </c>
      <c r="AL4" s="64" t="s">
        <v>175</v>
      </c>
      <c r="AM4" s="64" t="s">
        <v>176</v>
      </c>
      <c r="AN4" s="64" t="s">
        <v>177</v>
      </c>
      <c r="AO4" s="68" t="s">
        <v>178</v>
      </c>
      <c r="AP4" s="68" t="s">
        <v>179</v>
      </c>
      <c r="AQ4" s="67" t="s">
        <v>180</v>
      </c>
      <c r="AR4" s="67" t="s">
        <v>181</v>
      </c>
      <c r="AS4" s="67" t="s">
        <v>182</v>
      </c>
      <c r="AT4" s="67" t="s">
        <v>183</v>
      </c>
      <c r="AU4" s="64" t="s">
        <v>168</v>
      </c>
      <c r="AV4" s="67" t="s">
        <v>184</v>
      </c>
      <c r="AW4" s="64" t="s">
        <v>185</v>
      </c>
      <c r="AX4" s="64" t="s">
        <v>186</v>
      </c>
      <c r="AY4" s="64" t="s">
        <v>187</v>
      </c>
      <c r="AZ4" s="69" t="s">
        <v>188</v>
      </c>
      <c r="BA4" s="64" t="s">
        <v>189</v>
      </c>
      <c r="BB4" s="64" t="s">
        <v>190</v>
      </c>
      <c r="BC4" s="64" t="s">
        <v>191</v>
      </c>
      <c r="BD4" s="64" t="s">
        <v>192</v>
      </c>
      <c r="BE4" s="68" t="s">
        <v>193</v>
      </c>
      <c r="BF4" s="64" t="s">
        <v>142</v>
      </c>
      <c r="BG4" s="64" t="s">
        <v>143</v>
      </c>
    </row>
    <row r="5" customFormat="false" ht="14.25" hidden="false" customHeight="false" outlineLevel="0" collapsed="false">
      <c r="A5" s="70" t="n">
        <v>1</v>
      </c>
      <c r="B5" s="70" t="s">
        <v>67</v>
      </c>
      <c r="C5" s="71" t="s">
        <v>194</v>
      </c>
      <c r="D5" s="72" t="n">
        <v>654</v>
      </c>
      <c r="E5" s="73"/>
      <c r="F5" s="74" t="n">
        <v>6</v>
      </c>
      <c r="G5" s="75" t="n">
        <v>45600</v>
      </c>
      <c r="H5" s="76"/>
      <c r="I5" s="77" t="n">
        <v>199</v>
      </c>
      <c r="J5" s="78" t="n">
        <f aca="false">$J$3-G5</f>
        <v>197</v>
      </c>
      <c r="K5" s="79"/>
      <c r="L5" s="79"/>
      <c r="M5" s="79"/>
      <c r="N5" s="79"/>
      <c r="O5" s="80" t="n">
        <v>78</v>
      </c>
      <c r="P5" s="80" t="n">
        <v>210</v>
      </c>
      <c r="Q5" s="80" t="n">
        <v>210.7</v>
      </c>
      <c r="R5" s="80" t="n">
        <v>214</v>
      </c>
      <c r="S5" s="80" t="n">
        <v>1500</v>
      </c>
      <c r="T5" s="80" t="n">
        <v>1740</v>
      </c>
      <c r="U5" s="80" t="n">
        <v>1400</v>
      </c>
      <c r="V5" s="80" t="n">
        <v>1140</v>
      </c>
      <c r="W5" s="80" t="n">
        <v>1100</v>
      </c>
      <c r="X5" s="81"/>
      <c r="Y5" s="81"/>
      <c r="Z5" s="82" t="n">
        <v>45797.2944444444</v>
      </c>
      <c r="AA5" s="76" t="n">
        <v>6</v>
      </c>
      <c r="AB5" s="83"/>
      <c r="AC5" s="83"/>
      <c r="AD5" s="84"/>
      <c r="AE5" s="84"/>
      <c r="AF5" s="83" t="n">
        <v>45798.6543402778</v>
      </c>
      <c r="AG5" s="83" t="n">
        <v>45798.9140509259</v>
      </c>
      <c r="AH5" s="85" t="n">
        <f aca="false">(AF5-Z5)*24</f>
        <v>32.6375</v>
      </c>
      <c r="AI5" s="85" t="n">
        <f aca="false">AH5+35</f>
        <v>67.6375</v>
      </c>
      <c r="AJ5" s="84" t="n">
        <v>6.23305555555271</v>
      </c>
      <c r="AK5" s="84" t="n">
        <v>6.23305555555271</v>
      </c>
      <c r="AL5" s="84" t="n">
        <v>19</v>
      </c>
      <c r="AM5" s="84" t="n">
        <v>2</v>
      </c>
      <c r="AN5" s="76" t="s">
        <v>195</v>
      </c>
      <c r="AO5" s="86" t="n">
        <v>45799</v>
      </c>
      <c r="AP5" s="82" t="n">
        <v>45799.6708333333</v>
      </c>
      <c r="AQ5" s="87" t="n">
        <v>2072</v>
      </c>
      <c r="AR5" s="85" t="n">
        <f aca="false">(AP5-AF5)*24</f>
        <v>24.3958333333333</v>
      </c>
      <c r="AS5" s="88" t="n">
        <f aca="false">AS$2-AO5</f>
        <v>46</v>
      </c>
      <c r="AT5" s="76" t="s">
        <v>13</v>
      </c>
      <c r="AU5" s="76" t="n">
        <v>6</v>
      </c>
      <c r="AV5" s="89"/>
      <c r="AW5" s="76" t="n">
        <v>2</v>
      </c>
      <c r="AX5" s="76" t="n">
        <v>2</v>
      </c>
      <c r="AY5" s="76" t="n">
        <v>0</v>
      </c>
      <c r="AZ5" s="90" t="n">
        <v>45964</v>
      </c>
      <c r="BA5" s="86" t="n">
        <f aca="false">AO5+145</f>
        <v>45944</v>
      </c>
      <c r="BB5" s="89" t="s">
        <v>196</v>
      </c>
      <c r="BC5" s="89" t="n">
        <f aca="false">AZ5-AO5</f>
        <v>165</v>
      </c>
      <c r="BD5" s="76"/>
      <c r="BE5" s="89"/>
      <c r="BF5" s="70" t="n">
        <v>1</v>
      </c>
      <c r="BG5" s="70" t="s">
        <v>67</v>
      </c>
    </row>
    <row r="6" customFormat="false" ht="14.25" hidden="false" customHeight="false" outlineLevel="0" collapsed="false">
      <c r="A6" s="91" t="n">
        <v>2</v>
      </c>
      <c r="B6" s="91" t="s">
        <v>70</v>
      </c>
      <c r="C6" s="92" t="s">
        <v>194</v>
      </c>
      <c r="D6" s="72" t="n">
        <v>163</v>
      </c>
      <c r="E6" s="93"/>
      <c r="F6" s="94" t="n">
        <v>6</v>
      </c>
      <c r="G6" s="95" t="n">
        <v>45586</v>
      </c>
      <c r="H6" s="96"/>
      <c r="I6" s="77" t="n">
        <v>213</v>
      </c>
      <c r="J6" s="78" t="n">
        <f aca="false">$J$3-G6</f>
        <v>211</v>
      </c>
      <c r="K6" s="97"/>
      <c r="L6" s="97"/>
      <c r="M6" s="97"/>
      <c r="N6" s="97"/>
      <c r="O6" s="98" t="n">
        <v>159</v>
      </c>
      <c r="P6" s="98" t="n">
        <v>178</v>
      </c>
      <c r="Q6" s="98" t="n">
        <v>181</v>
      </c>
      <c r="R6" s="98" t="n">
        <v>221</v>
      </c>
      <c r="S6" s="98" t="n">
        <v>1600</v>
      </c>
      <c r="T6" s="98" t="n">
        <v>1460</v>
      </c>
      <c r="U6" s="98" t="n">
        <v>1060</v>
      </c>
      <c r="V6" s="98" t="n">
        <v>1240</v>
      </c>
      <c r="W6" s="98" t="n">
        <v>1320</v>
      </c>
      <c r="X6" s="99"/>
      <c r="Y6" s="99"/>
      <c r="Z6" s="82" t="n">
        <v>45797.2916666667</v>
      </c>
      <c r="AA6" s="96"/>
      <c r="AB6" s="100"/>
      <c r="AC6" s="100"/>
      <c r="AD6" s="101"/>
      <c r="AE6" s="101"/>
      <c r="AF6" s="100"/>
      <c r="AG6" s="100"/>
      <c r="AH6" s="85"/>
      <c r="AI6" s="85"/>
      <c r="AJ6" s="101"/>
      <c r="AK6" s="101"/>
      <c r="AL6" s="101"/>
      <c r="AM6" s="101"/>
      <c r="AN6" s="96"/>
      <c r="AO6" s="86" t="n">
        <v>45799</v>
      </c>
      <c r="AP6" s="82" t="n">
        <v>45799.6736111111</v>
      </c>
      <c r="AQ6" s="87" t="n">
        <v>1040</v>
      </c>
      <c r="AR6" s="85"/>
      <c r="AS6" s="85" t="n">
        <f aca="false">AS$2-AO6</f>
        <v>46</v>
      </c>
      <c r="AT6" s="96" t="s">
        <v>13</v>
      </c>
      <c r="AU6" s="96"/>
      <c r="AV6" s="72"/>
      <c r="AW6" s="96" t="n">
        <v>1</v>
      </c>
      <c r="AX6" s="96" t="n">
        <v>1</v>
      </c>
      <c r="AY6" s="96" t="n">
        <v>0</v>
      </c>
      <c r="AZ6" s="102" t="n">
        <v>45945</v>
      </c>
      <c r="BA6" s="103" t="n">
        <f aca="false">AO6+145</f>
        <v>45944</v>
      </c>
      <c r="BB6" s="72" t="s">
        <v>197</v>
      </c>
      <c r="BC6" s="72" t="n">
        <f aca="false">AZ6-AO6</f>
        <v>146</v>
      </c>
      <c r="BD6" s="76" t="s">
        <v>198</v>
      </c>
      <c r="BE6" s="72"/>
      <c r="BF6" s="91" t="n">
        <v>2</v>
      </c>
      <c r="BG6" s="91" t="s">
        <v>70</v>
      </c>
    </row>
    <row r="7" customFormat="false" ht="14.25" hidden="false" customHeight="false" outlineLevel="0" collapsed="false">
      <c r="A7" s="91" t="n">
        <v>3</v>
      </c>
      <c r="B7" s="91" t="s">
        <v>72</v>
      </c>
      <c r="C7" s="92" t="s">
        <v>194</v>
      </c>
      <c r="D7" s="72" t="n">
        <v>980</v>
      </c>
      <c r="E7" s="93"/>
      <c r="F7" s="94" t="n">
        <v>5</v>
      </c>
      <c r="G7" s="95" t="n">
        <v>45585</v>
      </c>
      <c r="H7" s="96"/>
      <c r="I7" s="77" t="n">
        <v>214</v>
      </c>
      <c r="J7" s="78" t="n">
        <f aca="false">$J$3-G7</f>
        <v>212</v>
      </c>
      <c r="K7" s="97"/>
      <c r="L7" s="97"/>
      <c r="M7" s="97"/>
      <c r="N7" s="97"/>
      <c r="O7" s="98" t="n">
        <v>116</v>
      </c>
      <c r="P7" s="98" t="n">
        <v>87</v>
      </c>
      <c r="Q7" s="98" t="n">
        <v>182.5</v>
      </c>
      <c r="R7" s="98" t="n">
        <v>191</v>
      </c>
      <c r="S7" s="98" t="n">
        <v>1460</v>
      </c>
      <c r="T7" s="98" t="n">
        <v>700</v>
      </c>
      <c r="U7" s="98" t="n">
        <v>920</v>
      </c>
      <c r="V7" s="98" t="n">
        <v>1100</v>
      </c>
      <c r="W7" s="98" t="n">
        <v>1000</v>
      </c>
      <c r="X7" s="99"/>
      <c r="Y7" s="99"/>
      <c r="Z7" s="82" t="n">
        <v>45797.2965277778</v>
      </c>
      <c r="AA7" s="96" t="n">
        <v>8</v>
      </c>
      <c r="AB7" s="100" t="n">
        <v>45798.7156365741</v>
      </c>
      <c r="AC7" s="100" t="n">
        <v>45799.4950810185</v>
      </c>
      <c r="AD7" s="101" t="n">
        <v>18.7066666666651</v>
      </c>
      <c r="AE7" s="101" t="n">
        <v>18.7066666666651</v>
      </c>
      <c r="AF7" s="100" t="n">
        <v>45798.7156365741</v>
      </c>
      <c r="AG7" s="100" t="n">
        <v>45798.7272106482</v>
      </c>
      <c r="AH7" s="85" t="n">
        <f aca="false">(AF7-Z7)*24</f>
        <v>34.0586111111111</v>
      </c>
      <c r="AI7" s="85" t="n">
        <f aca="false">AH7+35</f>
        <v>69.0586111111111</v>
      </c>
      <c r="AJ7" s="101" t="n">
        <v>0.277777777751908</v>
      </c>
      <c r="AK7" s="101" t="n">
        <v>1</v>
      </c>
      <c r="AL7" s="101" t="n">
        <v>8</v>
      </c>
      <c r="AM7" s="101" t="n">
        <v>1</v>
      </c>
      <c r="AN7" s="96" t="s">
        <v>199</v>
      </c>
      <c r="AO7" s="86" t="n">
        <v>45799</v>
      </c>
      <c r="AP7" s="82" t="n">
        <v>45799.6756944444</v>
      </c>
      <c r="AQ7" s="87" t="n">
        <v>1040</v>
      </c>
      <c r="AR7" s="85" t="n">
        <f aca="false">(AP7-AF7)*24</f>
        <v>23.0413888888889</v>
      </c>
      <c r="AS7" s="85" t="n">
        <f aca="false">AS$2-AO7</f>
        <v>46</v>
      </c>
      <c r="AT7" s="96" t="s">
        <v>13</v>
      </c>
      <c r="AU7" s="96" t="n">
        <v>8</v>
      </c>
      <c r="AV7" s="72"/>
      <c r="AW7" s="96" t="n">
        <v>1</v>
      </c>
      <c r="AX7" s="96" t="n">
        <v>1</v>
      </c>
      <c r="AY7" s="96" t="n">
        <v>0</v>
      </c>
      <c r="AZ7" s="102" t="n">
        <v>45947</v>
      </c>
      <c r="BA7" s="103" t="n">
        <f aca="false">AO7+145</f>
        <v>45944</v>
      </c>
      <c r="BB7" s="72" t="s">
        <v>197</v>
      </c>
      <c r="BC7" s="72" t="n">
        <f aca="false">AZ7-AO7</f>
        <v>148</v>
      </c>
      <c r="BD7" s="96"/>
      <c r="BE7" s="72"/>
      <c r="BF7" s="91" t="n">
        <v>3</v>
      </c>
      <c r="BG7" s="91" t="s">
        <v>72</v>
      </c>
    </row>
    <row r="8" customFormat="false" ht="14.25" hidden="false" customHeight="false" outlineLevel="0" collapsed="false">
      <c r="A8" s="91" t="n">
        <v>4</v>
      </c>
      <c r="B8" s="91" t="s">
        <v>73</v>
      </c>
      <c r="C8" s="92" t="s">
        <v>194</v>
      </c>
      <c r="D8" s="72" t="n">
        <v>818</v>
      </c>
      <c r="E8" s="93"/>
      <c r="F8" s="94" t="n">
        <v>5</v>
      </c>
      <c r="G8" s="95" t="n">
        <v>45586</v>
      </c>
      <c r="H8" s="96"/>
      <c r="I8" s="77" t="n">
        <v>213</v>
      </c>
      <c r="J8" s="78" t="n">
        <f aca="false">$J$3-G8</f>
        <v>211</v>
      </c>
      <c r="K8" s="97"/>
      <c r="L8" s="97"/>
      <c r="M8" s="97"/>
      <c r="N8" s="97"/>
      <c r="O8" s="98"/>
      <c r="P8" s="98" t="n">
        <v>96</v>
      </c>
      <c r="Q8" s="98" t="n">
        <v>194.7</v>
      </c>
      <c r="R8" s="98" t="n">
        <v>182</v>
      </c>
      <c r="S8" s="98" t="n">
        <v>1260</v>
      </c>
      <c r="T8" s="98" t="n">
        <v>1700</v>
      </c>
      <c r="U8" s="98" t="n">
        <v>960</v>
      </c>
      <c r="V8" s="98" t="n">
        <v>700</v>
      </c>
      <c r="W8" s="98" t="n">
        <v>1040</v>
      </c>
      <c r="X8" s="99"/>
      <c r="Y8" s="99"/>
      <c r="Z8" s="82" t="n">
        <v>45797.2930555556</v>
      </c>
      <c r="AA8" s="96"/>
      <c r="AB8" s="100"/>
      <c r="AC8" s="100"/>
      <c r="AD8" s="101"/>
      <c r="AE8" s="101"/>
      <c r="AF8" s="100"/>
      <c r="AG8" s="100"/>
      <c r="AH8" s="85"/>
      <c r="AI8" s="85"/>
      <c r="AJ8" s="101"/>
      <c r="AK8" s="101"/>
      <c r="AL8" s="101"/>
      <c r="AM8" s="101"/>
      <c r="AN8" s="96"/>
      <c r="AO8" s="86" t="n">
        <v>45799</v>
      </c>
      <c r="AP8" s="82" t="n">
        <v>45799.6694444444</v>
      </c>
      <c r="AQ8" s="87" t="n">
        <v>4062</v>
      </c>
      <c r="AR8" s="85"/>
      <c r="AS8" s="85" t="n">
        <f aca="false">AS$2-AO8</f>
        <v>46</v>
      </c>
      <c r="AT8" s="96" t="s">
        <v>196</v>
      </c>
      <c r="AU8" s="96"/>
      <c r="AV8" s="72"/>
      <c r="AW8" s="96"/>
      <c r="AX8" s="96"/>
      <c r="AY8" s="96"/>
      <c r="AZ8" s="102"/>
      <c r="BA8" s="103" t="n">
        <f aca="false">AO8+145</f>
        <v>45944</v>
      </c>
      <c r="BB8" s="72" t="s">
        <v>200</v>
      </c>
      <c r="BC8" s="72"/>
      <c r="BD8" s="76" t="s">
        <v>198</v>
      </c>
      <c r="BE8" s="72"/>
      <c r="BF8" s="91" t="n">
        <v>4</v>
      </c>
      <c r="BG8" s="91" t="s">
        <v>73</v>
      </c>
    </row>
    <row r="9" customFormat="false" ht="14.25" hidden="false" customHeight="false" outlineLevel="0" collapsed="false">
      <c r="A9" s="91" t="n">
        <v>5</v>
      </c>
      <c r="B9" s="91" t="s">
        <v>75</v>
      </c>
      <c r="C9" s="92" t="s">
        <v>194</v>
      </c>
      <c r="D9" s="72" t="n">
        <v>609</v>
      </c>
      <c r="E9" s="93"/>
      <c r="F9" s="94" t="n">
        <v>4</v>
      </c>
      <c r="G9" s="95" t="n">
        <v>45583</v>
      </c>
      <c r="H9" s="96"/>
      <c r="I9" s="77" t="n">
        <v>216</v>
      </c>
      <c r="J9" s="78" t="n">
        <f aca="false">$J$3-G9</f>
        <v>214</v>
      </c>
      <c r="K9" s="97"/>
      <c r="L9" s="97"/>
      <c r="M9" s="97"/>
      <c r="N9" s="97"/>
      <c r="O9" s="98"/>
      <c r="P9" s="98" t="n">
        <v>66</v>
      </c>
      <c r="Q9" s="98" t="n">
        <v>195.8</v>
      </c>
      <c r="R9" s="98" t="n">
        <v>219</v>
      </c>
      <c r="S9" s="98" t="n">
        <v>1440</v>
      </c>
      <c r="T9" s="98" t="n">
        <v>1340</v>
      </c>
      <c r="U9" s="98" t="n">
        <v>980</v>
      </c>
      <c r="V9" s="98" t="n">
        <v>920</v>
      </c>
      <c r="W9" s="98" t="n">
        <v>1100</v>
      </c>
      <c r="X9" s="99"/>
      <c r="Y9" s="99"/>
      <c r="Z9" s="82" t="n">
        <v>45797.2902777778</v>
      </c>
      <c r="AA9" s="96"/>
      <c r="AB9" s="100"/>
      <c r="AC9" s="100"/>
      <c r="AD9" s="101"/>
      <c r="AE9" s="101"/>
      <c r="AF9" s="100"/>
      <c r="AG9" s="100"/>
      <c r="AH9" s="85"/>
      <c r="AI9" s="85"/>
      <c r="AJ9" s="101"/>
      <c r="AK9" s="101"/>
      <c r="AL9" s="101"/>
      <c r="AM9" s="101"/>
      <c r="AN9" s="96"/>
      <c r="AO9" s="86" t="n">
        <v>45799</v>
      </c>
      <c r="AP9" s="82" t="n">
        <v>45799.68125</v>
      </c>
      <c r="AQ9" s="87" t="n">
        <v>4055</v>
      </c>
      <c r="AR9" s="85"/>
      <c r="AS9" s="85" t="n">
        <f aca="false">AS$2-AO9</f>
        <v>46</v>
      </c>
      <c r="AT9" s="96" t="s">
        <v>196</v>
      </c>
      <c r="AU9" s="96"/>
      <c r="AV9" s="72"/>
      <c r="AW9" s="96" t="n">
        <v>1</v>
      </c>
      <c r="AX9" s="96" t="n">
        <v>1</v>
      </c>
      <c r="AY9" s="96" t="n">
        <v>0</v>
      </c>
      <c r="AZ9" s="102" t="n">
        <v>45964</v>
      </c>
      <c r="BA9" s="103" t="n">
        <f aca="false">AO9+145</f>
        <v>45944</v>
      </c>
      <c r="BB9" s="89" t="s">
        <v>196</v>
      </c>
      <c r="BC9" s="72" t="n">
        <f aca="false">AZ9-AO9</f>
        <v>165</v>
      </c>
      <c r="BD9" s="76" t="s">
        <v>198</v>
      </c>
      <c r="BE9" s="72"/>
      <c r="BF9" s="91" t="n">
        <v>5</v>
      </c>
      <c r="BG9" s="91" t="s">
        <v>75</v>
      </c>
    </row>
    <row r="10" customFormat="false" ht="14.25" hidden="false" customHeight="false" outlineLevel="0" collapsed="false">
      <c r="A10" s="91" t="n">
        <v>6</v>
      </c>
      <c r="B10" s="91" t="s">
        <v>77</v>
      </c>
      <c r="C10" s="92" t="s">
        <v>194</v>
      </c>
      <c r="D10" s="72" t="n">
        <v>982</v>
      </c>
      <c r="E10" s="93"/>
      <c r="F10" s="94" t="n">
        <v>4</v>
      </c>
      <c r="G10" s="95" t="n">
        <v>45584</v>
      </c>
      <c r="H10" s="96"/>
      <c r="I10" s="77" t="n">
        <v>215</v>
      </c>
      <c r="J10" s="78" t="n">
        <f aca="false">$J$3-G10</f>
        <v>213</v>
      </c>
      <c r="K10" s="97"/>
      <c r="L10" s="97"/>
      <c r="M10" s="97"/>
      <c r="N10" s="97"/>
      <c r="O10" s="98"/>
      <c r="P10" s="98" t="n">
        <v>148</v>
      </c>
      <c r="Q10" s="98" t="n">
        <v>235.5</v>
      </c>
      <c r="R10" s="98" t="n">
        <v>219</v>
      </c>
      <c r="S10" s="98" t="n">
        <v>1640</v>
      </c>
      <c r="T10" s="98" t="n">
        <v>940</v>
      </c>
      <c r="U10" s="98" t="n">
        <v>900</v>
      </c>
      <c r="V10" s="98" t="n">
        <v>940</v>
      </c>
      <c r="W10" s="98" t="n">
        <v>1300</v>
      </c>
      <c r="X10" s="99"/>
      <c r="Y10" s="99"/>
      <c r="Z10" s="82" t="n">
        <v>45797.2958333333</v>
      </c>
      <c r="AA10" s="96" t="n">
        <v>1</v>
      </c>
      <c r="AB10" s="100" t="n">
        <v>45797.8131018519</v>
      </c>
      <c r="AC10" s="100" t="n">
        <v>45801.313912037</v>
      </c>
      <c r="AD10" s="101" t="n">
        <v>84.0194444444496</v>
      </c>
      <c r="AE10" s="101" t="n">
        <v>84.0194444444496</v>
      </c>
      <c r="AF10" s="100" t="n">
        <v>45798.7506712963</v>
      </c>
      <c r="AG10" s="100" t="n">
        <v>45801.313912037</v>
      </c>
      <c r="AH10" s="85" t="n">
        <f aca="false">(AF10-Z10)*24</f>
        <v>34.9161111111111</v>
      </c>
      <c r="AI10" s="85" t="n">
        <f aca="false">AH10+35</f>
        <v>69.9161111111111</v>
      </c>
      <c r="AJ10" s="101" t="n">
        <v>61.5177777779172</v>
      </c>
      <c r="AK10" s="101" t="n">
        <v>61.5177777779172</v>
      </c>
      <c r="AL10" s="101" t="n">
        <v>10</v>
      </c>
      <c r="AM10" s="101" t="n">
        <v>2</v>
      </c>
      <c r="AN10" s="96" t="s">
        <v>201</v>
      </c>
      <c r="AO10" s="86" t="n">
        <v>45799</v>
      </c>
      <c r="AP10" s="82" t="n">
        <v>45799.6826388889</v>
      </c>
      <c r="AQ10" s="87" t="n">
        <v>4064</v>
      </c>
      <c r="AR10" s="85" t="n">
        <f aca="false">(AP10-AF10)*24</f>
        <v>22.3672222222222</v>
      </c>
      <c r="AS10" s="85" t="n">
        <f aca="false">AS$2-AO10</f>
        <v>46</v>
      </c>
      <c r="AT10" s="96" t="s">
        <v>196</v>
      </c>
      <c r="AU10" s="96" t="n">
        <v>1</v>
      </c>
      <c r="AV10" s="72"/>
      <c r="AW10" s="96" t="n">
        <v>1</v>
      </c>
      <c r="AX10" s="96" t="n">
        <v>1</v>
      </c>
      <c r="AY10" s="96" t="n">
        <v>0</v>
      </c>
      <c r="AZ10" s="102" t="n">
        <v>45965</v>
      </c>
      <c r="BA10" s="103" t="n">
        <f aca="false">AO10+145</f>
        <v>45944</v>
      </c>
      <c r="BB10" s="89" t="s">
        <v>196</v>
      </c>
      <c r="BC10" s="72" t="n">
        <f aca="false">AZ10-AO10</f>
        <v>166</v>
      </c>
      <c r="BD10" s="76"/>
      <c r="BE10" s="72"/>
      <c r="BF10" s="91" t="n">
        <v>6</v>
      </c>
      <c r="BG10" s="91" t="s">
        <v>77</v>
      </c>
    </row>
    <row r="11" customFormat="false" ht="14.25" hidden="false" customHeight="false" outlineLevel="0" collapsed="false">
      <c r="A11" s="91" t="n">
        <v>7</v>
      </c>
      <c r="B11" s="91" t="s">
        <v>79</v>
      </c>
      <c r="C11" s="92" t="s">
        <v>194</v>
      </c>
      <c r="D11" s="72" t="n">
        <v>791</v>
      </c>
      <c r="E11" s="93"/>
      <c r="F11" s="94" t="n">
        <v>4</v>
      </c>
      <c r="G11" s="95" t="n">
        <v>45584</v>
      </c>
      <c r="H11" s="96"/>
      <c r="I11" s="77" t="n">
        <v>215</v>
      </c>
      <c r="J11" s="78" t="n">
        <f aca="false">$J$3-G11</f>
        <v>213</v>
      </c>
      <c r="K11" s="97"/>
      <c r="L11" s="97"/>
      <c r="M11" s="97"/>
      <c r="N11" s="97"/>
      <c r="O11" s="98"/>
      <c r="P11" s="98" t="n">
        <v>116</v>
      </c>
      <c r="Q11" s="98" t="n">
        <v>209</v>
      </c>
      <c r="R11" s="98" t="n">
        <v>169</v>
      </c>
      <c r="S11" s="104" t="n">
        <v>1760</v>
      </c>
      <c r="T11" s="104" t="n">
        <v>820</v>
      </c>
      <c r="U11" s="104" t="n">
        <v>760</v>
      </c>
      <c r="V11" s="104" t="n">
        <v>760</v>
      </c>
      <c r="W11" s="104" t="n">
        <v>900</v>
      </c>
      <c r="X11" s="99"/>
      <c r="Y11" s="99"/>
      <c r="Z11" s="82" t="n">
        <v>45797.2972222222</v>
      </c>
      <c r="AA11" s="96" t="n">
        <v>13</v>
      </c>
      <c r="AB11" s="100"/>
      <c r="AC11" s="100"/>
      <c r="AD11" s="101"/>
      <c r="AE11" s="101"/>
      <c r="AF11" s="100" t="n">
        <v>45798.9043171296</v>
      </c>
      <c r="AG11" s="100" t="n">
        <v>45799.4054166667</v>
      </c>
      <c r="AH11" s="85" t="n">
        <f aca="false">(AF11-Z11)*24</f>
        <v>38.5702777777778</v>
      </c>
      <c r="AI11" s="85" t="n">
        <f aca="false">AH11+35</f>
        <v>73.5702777777778</v>
      </c>
      <c r="AJ11" s="101" t="n">
        <v>12.0263888889458</v>
      </c>
      <c r="AK11" s="101" t="n">
        <v>12.0263888889458</v>
      </c>
      <c r="AL11" s="101" t="n">
        <v>11</v>
      </c>
      <c r="AM11" s="101" t="n">
        <v>1</v>
      </c>
      <c r="AN11" s="96" t="s">
        <v>199</v>
      </c>
      <c r="AO11" s="86" t="n">
        <v>45799</v>
      </c>
      <c r="AP11" s="82" t="n">
        <v>45799.6840277778</v>
      </c>
      <c r="AQ11" s="87" t="n">
        <v>4062</v>
      </c>
      <c r="AR11" s="85" t="n">
        <f aca="false">(AP11-AF11)*24</f>
        <v>18.7130555555556</v>
      </c>
      <c r="AS11" s="85" t="n">
        <f aca="false">AS$2-AO11</f>
        <v>46</v>
      </c>
      <c r="AT11" s="96" t="s">
        <v>196</v>
      </c>
      <c r="AU11" s="96" t="n">
        <v>13</v>
      </c>
      <c r="AV11" s="72"/>
      <c r="AW11" s="96" t="n">
        <v>1</v>
      </c>
      <c r="AX11" s="96" t="n">
        <v>1</v>
      </c>
      <c r="AY11" s="96" t="n">
        <v>0</v>
      </c>
      <c r="AZ11" s="102" t="n">
        <v>45964</v>
      </c>
      <c r="BA11" s="103" t="n">
        <f aca="false">AO11+145</f>
        <v>45944</v>
      </c>
      <c r="BB11" s="89" t="s">
        <v>196</v>
      </c>
      <c r="BC11" s="72" t="n">
        <f aca="false">AZ11-AO11</f>
        <v>165</v>
      </c>
      <c r="BD11" s="96"/>
      <c r="BE11" s="72"/>
      <c r="BF11" s="91" t="n">
        <v>7</v>
      </c>
      <c r="BG11" s="91" t="s">
        <v>79</v>
      </c>
    </row>
    <row r="12" customFormat="false" ht="14.25" hidden="false" customHeight="false" outlineLevel="0" collapsed="false">
      <c r="A12" s="91" t="n">
        <v>8</v>
      </c>
      <c r="B12" s="91" t="s">
        <v>81</v>
      </c>
      <c r="C12" s="92" t="s">
        <v>194</v>
      </c>
      <c r="D12" s="72" t="n">
        <v>837</v>
      </c>
      <c r="E12" s="93"/>
      <c r="F12" s="94" t="n">
        <v>4</v>
      </c>
      <c r="G12" s="95" t="n">
        <v>45583</v>
      </c>
      <c r="H12" s="96"/>
      <c r="I12" s="77" t="n">
        <v>216</v>
      </c>
      <c r="J12" s="78" t="n">
        <f aca="false">$J$3-G12</f>
        <v>214</v>
      </c>
      <c r="K12" s="97"/>
      <c r="L12" s="97"/>
      <c r="M12" s="97"/>
      <c r="N12" s="97"/>
      <c r="O12" s="98" t="n">
        <v>60</v>
      </c>
      <c r="P12" s="98" t="n">
        <v>97</v>
      </c>
      <c r="Q12" s="98" t="n">
        <v>134.1</v>
      </c>
      <c r="R12" s="98" t="n">
        <v>176</v>
      </c>
      <c r="S12" s="98" t="n">
        <v>1200</v>
      </c>
      <c r="T12" s="98" t="n">
        <v>1700</v>
      </c>
      <c r="U12" s="98" t="n">
        <v>1200</v>
      </c>
      <c r="V12" s="98" t="n">
        <v>1140</v>
      </c>
      <c r="W12" s="98" t="n">
        <v>900</v>
      </c>
      <c r="X12" s="99"/>
      <c r="Y12" s="99"/>
      <c r="Z12" s="82" t="n">
        <v>45797.2944444444</v>
      </c>
      <c r="AA12" s="96"/>
      <c r="AB12" s="100"/>
      <c r="AC12" s="100"/>
      <c r="AD12" s="101"/>
      <c r="AE12" s="101"/>
      <c r="AF12" s="100"/>
      <c r="AG12" s="100"/>
      <c r="AH12" s="85"/>
      <c r="AI12" s="85"/>
      <c r="AJ12" s="101"/>
      <c r="AK12" s="101"/>
      <c r="AL12" s="101"/>
      <c r="AM12" s="101"/>
      <c r="AN12" s="96"/>
      <c r="AO12" s="86" t="n">
        <v>45799</v>
      </c>
      <c r="AP12" s="82" t="n">
        <v>45799.6673611111</v>
      </c>
      <c r="AQ12" s="87" t="n">
        <v>2072</v>
      </c>
      <c r="AR12" s="85"/>
      <c r="AS12" s="85" t="n">
        <f aca="false">AS$2-AO12</f>
        <v>46</v>
      </c>
      <c r="AT12" s="96" t="s">
        <v>13</v>
      </c>
      <c r="AU12" s="96"/>
      <c r="AV12" s="72"/>
      <c r="AW12" s="96" t="n">
        <v>2</v>
      </c>
      <c r="AX12" s="96" t="n">
        <v>2</v>
      </c>
      <c r="AY12" s="96" t="n">
        <v>0</v>
      </c>
      <c r="AZ12" s="102" t="n">
        <v>45949</v>
      </c>
      <c r="BA12" s="103" t="n">
        <f aca="false">AO12+145</f>
        <v>45944</v>
      </c>
      <c r="BB12" s="72" t="s">
        <v>197</v>
      </c>
      <c r="BC12" s="72" t="n">
        <f aca="false">AZ12-AO12</f>
        <v>150</v>
      </c>
      <c r="BD12" s="76" t="s">
        <v>198</v>
      </c>
      <c r="BE12" s="72"/>
      <c r="BF12" s="91" t="n">
        <v>8</v>
      </c>
      <c r="BG12" s="91" t="s">
        <v>81</v>
      </c>
    </row>
    <row r="13" customFormat="false" ht="14.25" hidden="false" customHeight="false" outlineLevel="0" collapsed="false">
      <c r="A13" s="91" t="n">
        <v>9</v>
      </c>
      <c r="B13" s="91" t="s">
        <v>83</v>
      </c>
      <c r="C13" s="92" t="s">
        <v>194</v>
      </c>
      <c r="D13" s="72" t="n">
        <v>786</v>
      </c>
      <c r="E13" s="93"/>
      <c r="F13" s="94" t="n">
        <v>4</v>
      </c>
      <c r="G13" s="95" t="n">
        <v>45585</v>
      </c>
      <c r="H13" s="96"/>
      <c r="I13" s="77" t="n">
        <v>214</v>
      </c>
      <c r="J13" s="78" t="n">
        <f aca="false">$J$3-G13</f>
        <v>212</v>
      </c>
      <c r="K13" s="97"/>
      <c r="L13" s="97"/>
      <c r="M13" s="97"/>
      <c r="N13" s="97"/>
      <c r="O13" s="98" t="n">
        <v>122</v>
      </c>
      <c r="P13" s="98" t="n">
        <v>106</v>
      </c>
      <c r="Q13" s="98" t="n">
        <v>132.5</v>
      </c>
      <c r="R13" s="98" t="n">
        <v>133</v>
      </c>
      <c r="S13" s="98" t="n">
        <v>1700</v>
      </c>
      <c r="T13" s="98" t="n">
        <v>560</v>
      </c>
      <c r="U13" s="98" t="n">
        <v>1000</v>
      </c>
      <c r="V13" s="98" t="n">
        <v>1100</v>
      </c>
      <c r="W13" s="98" t="n">
        <v>1000</v>
      </c>
      <c r="X13" s="99"/>
      <c r="Y13" s="99"/>
      <c r="Z13" s="82" t="n">
        <v>45797.2902777778</v>
      </c>
      <c r="AA13" s="96"/>
      <c r="AB13" s="100"/>
      <c r="AC13" s="100"/>
      <c r="AD13" s="101"/>
      <c r="AE13" s="101"/>
      <c r="AF13" s="100"/>
      <c r="AG13" s="100"/>
      <c r="AH13" s="85"/>
      <c r="AI13" s="85"/>
      <c r="AJ13" s="101"/>
      <c r="AK13" s="101"/>
      <c r="AL13" s="101"/>
      <c r="AM13" s="101"/>
      <c r="AN13" s="96"/>
      <c r="AO13" s="86" t="n">
        <v>45799</v>
      </c>
      <c r="AP13" s="82" t="n">
        <v>45799.66875</v>
      </c>
      <c r="AQ13" s="87" t="n">
        <v>2068</v>
      </c>
      <c r="AR13" s="85"/>
      <c r="AS13" s="85" t="n">
        <f aca="false">AS$2-AO13</f>
        <v>46</v>
      </c>
      <c r="AT13" s="96" t="s">
        <v>200</v>
      </c>
      <c r="AU13" s="96"/>
      <c r="AV13" s="72"/>
      <c r="AW13" s="96"/>
      <c r="AX13" s="96"/>
      <c r="AY13" s="96"/>
      <c r="AZ13" s="102"/>
      <c r="BA13" s="103" t="n">
        <f aca="false">AO13+145</f>
        <v>45944</v>
      </c>
      <c r="BB13" s="72" t="s">
        <v>200</v>
      </c>
      <c r="BC13" s="72"/>
      <c r="BD13" s="76" t="s">
        <v>198</v>
      </c>
      <c r="BE13" s="72"/>
      <c r="BF13" s="91" t="n">
        <v>9</v>
      </c>
      <c r="BG13" s="91" t="s">
        <v>83</v>
      </c>
    </row>
    <row r="14" customFormat="false" ht="14.25" hidden="false" customHeight="false" outlineLevel="0" collapsed="false">
      <c r="A14" s="91" t="n">
        <v>11</v>
      </c>
      <c r="B14" s="91" t="s">
        <v>87</v>
      </c>
      <c r="C14" s="92" t="s">
        <v>194</v>
      </c>
      <c r="D14" s="72" t="n">
        <v>272</v>
      </c>
      <c r="E14" s="93"/>
      <c r="F14" s="94" t="n">
        <v>4</v>
      </c>
      <c r="G14" s="95" t="n">
        <v>45584</v>
      </c>
      <c r="H14" s="96"/>
      <c r="I14" s="77" t="n">
        <v>215</v>
      </c>
      <c r="J14" s="78" t="n">
        <f aca="false">$J$3-G14</f>
        <v>213</v>
      </c>
      <c r="K14" s="97"/>
      <c r="L14" s="97"/>
      <c r="M14" s="97"/>
      <c r="N14" s="97"/>
      <c r="O14" s="98" t="n">
        <v>54</v>
      </c>
      <c r="P14" s="98" t="n">
        <v>58</v>
      </c>
      <c r="Q14" s="98" t="n">
        <v>176.3</v>
      </c>
      <c r="R14" s="98" t="n">
        <v>208</v>
      </c>
      <c r="S14" s="98" t="n">
        <v>1420</v>
      </c>
      <c r="T14" s="98" t="n">
        <v>1400</v>
      </c>
      <c r="U14" s="98" t="n">
        <v>1000</v>
      </c>
      <c r="V14" s="98" t="n">
        <v>940</v>
      </c>
      <c r="W14" s="98" t="n">
        <v>900</v>
      </c>
      <c r="X14" s="99"/>
      <c r="Y14" s="99"/>
      <c r="Z14" s="82" t="n">
        <v>45797.2930555556</v>
      </c>
      <c r="AA14" s="96" t="n">
        <v>18</v>
      </c>
      <c r="AB14" s="100"/>
      <c r="AC14" s="100"/>
      <c r="AD14" s="101"/>
      <c r="AE14" s="101"/>
      <c r="AF14" s="100" t="n">
        <v>45799.0767013889</v>
      </c>
      <c r="AG14" s="100" t="n">
        <v>45799.0767013889</v>
      </c>
      <c r="AH14" s="85" t="n">
        <f aca="false">(AF14-Z14)*24</f>
        <v>42.8075</v>
      </c>
      <c r="AI14" s="85" t="n">
        <f aca="false">AH14+35</f>
        <v>77.8075</v>
      </c>
      <c r="AJ14" s="101" t="n">
        <v>0</v>
      </c>
      <c r="AK14" s="101" t="n">
        <v>1</v>
      </c>
      <c r="AL14" s="101" t="n">
        <v>2</v>
      </c>
      <c r="AM14" s="101" t="n">
        <v>1</v>
      </c>
      <c r="AN14" s="96" t="s">
        <v>199</v>
      </c>
      <c r="AO14" s="86" t="n">
        <v>45799</v>
      </c>
      <c r="AP14" s="82" t="n">
        <v>45799.6756944444</v>
      </c>
      <c r="AQ14" s="87" t="n">
        <v>2072</v>
      </c>
      <c r="AR14" s="85" t="n">
        <f aca="false">(AP14-AF14)*24</f>
        <v>14.3758333333333</v>
      </c>
      <c r="AS14" s="85" t="n">
        <f aca="false">AS$2-AO14</f>
        <v>46</v>
      </c>
      <c r="AT14" s="96" t="s">
        <v>196</v>
      </c>
      <c r="AU14" s="96" t="n">
        <v>18</v>
      </c>
      <c r="AV14" s="72"/>
      <c r="AW14" s="96" t="n">
        <v>2</v>
      </c>
      <c r="AX14" s="96" t="n">
        <v>2</v>
      </c>
      <c r="AY14" s="96" t="n">
        <v>0</v>
      </c>
      <c r="AZ14" s="102" t="n">
        <v>45965</v>
      </c>
      <c r="BA14" s="103" t="n">
        <f aca="false">AO14+145</f>
        <v>45944</v>
      </c>
      <c r="BB14" s="89" t="s">
        <v>196</v>
      </c>
      <c r="BC14" s="72" t="n">
        <f aca="false">AZ14-AO14</f>
        <v>166</v>
      </c>
      <c r="BD14" s="96"/>
      <c r="BE14" s="72"/>
      <c r="BF14" s="91" t="n">
        <v>11</v>
      </c>
      <c r="BG14" s="91" t="s">
        <v>87</v>
      </c>
    </row>
    <row r="15" customFormat="false" ht="14.25" hidden="false" customHeight="false" outlineLevel="0" collapsed="false">
      <c r="A15" s="91" t="n">
        <v>12</v>
      </c>
      <c r="B15" s="91" t="s">
        <v>88</v>
      </c>
      <c r="C15" s="92" t="s">
        <v>194</v>
      </c>
      <c r="D15" s="72" t="n">
        <v>244</v>
      </c>
      <c r="E15" s="93"/>
      <c r="F15" s="94" t="n">
        <v>4</v>
      </c>
      <c r="G15" s="95" t="n">
        <v>45599</v>
      </c>
      <c r="H15" s="96"/>
      <c r="I15" s="77" t="n">
        <v>200</v>
      </c>
      <c r="J15" s="78" t="n">
        <f aca="false">$J$3-G15</f>
        <v>198</v>
      </c>
      <c r="K15" s="97"/>
      <c r="L15" s="97"/>
      <c r="M15" s="97"/>
      <c r="N15" s="97"/>
      <c r="O15" s="98" t="n">
        <v>79</v>
      </c>
      <c r="P15" s="98" t="n">
        <v>117</v>
      </c>
      <c r="Q15" s="98" t="n">
        <v>122.5</v>
      </c>
      <c r="R15" s="98" t="n">
        <v>127</v>
      </c>
      <c r="S15" s="98" t="n">
        <v>1580</v>
      </c>
      <c r="T15" s="98" t="n">
        <v>1760</v>
      </c>
      <c r="U15" s="98" t="n">
        <v>1260</v>
      </c>
      <c r="V15" s="98" t="n">
        <v>700</v>
      </c>
      <c r="W15" s="98" t="n">
        <v>800</v>
      </c>
      <c r="X15" s="99"/>
      <c r="Y15" s="99"/>
      <c r="Z15" s="82" t="n">
        <v>45797.2902777778</v>
      </c>
      <c r="AA15" s="96" t="n">
        <v>22</v>
      </c>
      <c r="AB15" s="100"/>
      <c r="AC15" s="100"/>
      <c r="AD15" s="101"/>
      <c r="AE15" s="101"/>
      <c r="AF15" s="100" t="n">
        <v>45799.5332407407</v>
      </c>
      <c r="AG15" s="100" t="n">
        <v>45799.5332407407</v>
      </c>
      <c r="AH15" s="85" t="n">
        <f aca="false">(AF15-Z15)*24</f>
        <v>53.8311111111111</v>
      </c>
      <c r="AI15" s="85" t="n">
        <f aca="false">AH15+35</f>
        <v>88.8311111111111</v>
      </c>
      <c r="AJ15" s="101" t="n">
        <v>0</v>
      </c>
      <c r="AK15" s="101" t="n">
        <v>1</v>
      </c>
      <c r="AL15" s="101" t="n">
        <v>1</v>
      </c>
      <c r="AM15" s="101" t="n">
        <v>1</v>
      </c>
      <c r="AN15" s="96" t="s">
        <v>202</v>
      </c>
      <c r="AO15" s="86" t="n">
        <v>45799</v>
      </c>
      <c r="AP15" s="82" t="n">
        <v>45799.6743055556</v>
      </c>
      <c r="AQ15" s="87" t="n">
        <v>2068</v>
      </c>
      <c r="AR15" s="85" t="n">
        <f aca="false">(AP15-AF15)*24</f>
        <v>3.38555555555556</v>
      </c>
      <c r="AS15" s="85" t="n">
        <f aca="false">AS$2-AO15</f>
        <v>46</v>
      </c>
      <c r="AT15" s="96" t="s">
        <v>196</v>
      </c>
      <c r="AU15" s="96" t="n">
        <v>22</v>
      </c>
      <c r="AV15" s="72"/>
      <c r="AW15" s="96" t="n">
        <v>1</v>
      </c>
      <c r="AX15" s="96" t="n">
        <v>1</v>
      </c>
      <c r="AY15" s="96" t="n">
        <v>0</v>
      </c>
      <c r="AZ15" s="102" t="n">
        <v>45964</v>
      </c>
      <c r="BA15" s="103" t="n">
        <f aca="false">AO15+145</f>
        <v>45944</v>
      </c>
      <c r="BB15" s="89" t="s">
        <v>196</v>
      </c>
      <c r="BC15" s="72" t="n">
        <f aca="false">AZ15-AO15</f>
        <v>165</v>
      </c>
      <c r="BD15" s="96"/>
      <c r="BE15" s="72"/>
      <c r="BF15" s="91" t="n">
        <v>12</v>
      </c>
      <c r="BG15" s="91" t="s">
        <v>88</v>
      </c>
    </row>
    <row r="16" customFormat="false" ht="14.25" hidden="false" customHeight="false" outlineLevel="0" collapsed="false">
      <c r="A16" s="91" t="n">
        <v>13</v>
      </c>
      <c r="B16" s="91" t="s">
        <v>90</v>
      </c>
      <c r="C16" s="92" t="s">
        <v>194</v>
      </c>
      <c r="D16" s="72" t="n">
        <v>771</v>
      </c>
      <c r="E16" s="93"/>
      <c r="F16" s="94" t="n">
        <v>4</v>
      </c>
      <c r="G16" s="95" t="n">
        <v>45603</v>
      </c>
      <c r="H16" s="96"/>
      <c r="I16" s="77" t="n">
        <v>196</v>
      </c>
      <c r="J16" s="78" t="n">
        <f aca="false">$J$3-G16</f>
        <v>194</v>
      </c>
      <c r="K16" s="97"/>
      <c r="L16" s="97"/>
      <c r="M16" s="97"/>
      <c r="N16" s="97"/>
      <c r="O16" s="98" t="n">
        <v>136</v>
      </c>
      <c r="P16" s="98" t="n">
        <v>95</v>
      </c>
      <c r="Q16" s="98" t="n">
        <v>217.4</v>
      </c>
      <c r="R16" s="98" t="n">
        <v>218</v>
      </c>
      <c r="S16" s="98" t="n">
        <v>500</v>
      </c>
      <c r="T16" s="98" t="n">
        <v>1860</v>
      </c>
      <c r="U16" s="98" t="n">
        <v>1100</v>
      </c>
      <c r="V16" s="98" t="n">
        <v>1100</v>
      </c>
      <c r="W16" s="98" t="n">
        <v>1500</v>
      </c>
      <c r="X16" s="99"/>
      <c r="Y16" s="99"/>
      <c r="Z16" s="82" t="n">
        <v>45797.29375</v>
      </c>
      <c r="AA16" s="96"/>
      <c r="AB16" s="100"/>
      <c r="AC16" s="100"/>
      <c r="AD16" s="101"/>
      <c r="AE16" s="101"/>
      <c r="AF16" s="100"/>
      <c r="AG16" s="100"/>
      <c r="AH16" s="85"/>
      <c r="AI16" s="85"/>
      <c r="AJ16" s="101"/>
      <c r="AK16" s="101"/>
      <c r="AL16" s="101"/>
      <c r="AM16" s="101"/>
      <c r="AN16" s="96"/>
      <c r="AO16" s="86" t="n">
        <v>45799</v>
      </c>
      <c r="AP16" s="82" t="n">
        <v>45799.6763888889</v>
      </c>
      <c r="AQ16" s="87" t="n">
        <v>2072</v>
      </c>
      <c r="AR16" s="85"/>
      <c r="AS16" s="85" t="n">
        <f aca="false">AS$2-AO16</f>
        <v>46</v>
      </c>
      <c r="AT16" s="96" t="s">
        <v>13</v>
      </c>
      <c r="AU16" s="96"/>
      <c r="AV16" s="72"/>
      <c r="AW16" s="96" t="n">
        <v>2</v>
      </c>
      <c r="AX16" s="96" t="n">
        <v>2</v>
      </c>
      <c r="AY16" s="96" t="n">
        <v>0</v>
      </c>
      <c r="AZ16" s="102" t="n">
        <v>45947</v>
      </c>
      <c r="BA16" s="103" t="n">
        <f aca="false">AO16+145</f>
        <v>45944</v>
      </c>
      <c r="BB16" s="72" t="s">
        <v>197</v>
      </c>
      <c r="BC16" s="72" t="n">
        <f aca="false">AZ16-AO16</f>
        <v>148</v>
      </c>
      <c r="BD16" s="76" t="s">
        <v>198</v>
      </c>
      <c r="BE16" s="72"/>
      <c r="BF16" s="91" t="n">
        <v>13</v>
      </c>
      <c r="BG16" s="91" t="s">
        <v>90</v>
      </c>
    </row>
    <row r="17" customFormat="false" ht="14.25" hidden="false" customHeight="false" outlineLevel="0" collapsed="false">
      <c r="A17" s="91" t="n">
        <v>14</v>
      </c>
      <c r="B17" s="91" t="s">
        <v>91</v>
      </c>
      <c r="C17" s="92" t="s">
        <v>194</v>
      </c>
      <c r="D17" s="72" t="n">
        <v>527</v>
      </c>
      <c r="E17" s="93"/>
      <c r="F17" s="94" t="n">
        <v>3</v>
      </c>
      <c r="G17" s="95" t="n">
        <v>45582</v>
      </c>
      <c r="H17" s="96"/>
      <c r="I17" s="77" t="n">
        <v>217</v>
      </c>
      <c r="J17" s="78" t="n">
        <f aca="false">$J$3-G17</f>
        <v>215</v>
      </c>
      <c r="K17" s="97"/>
      <c r="L17" s="97"/>
      <c r="M17" s="97"/>
      <c r="N17" s="97"/>
      <c r="O17" s="98" t="n">
        <v>62</v>
      </c>
      <c r="P17" s="98" t="n">
        <v>34</v>
      </c>
      <c r="Q17" s="98" t="n">
        <v>160.4</v>
      </c>
      <c r="R17" s="98" t="n">
        <v>166</v>
      </c>
      <c r="S17" s="98" t="n">
        <v>1600</v>
      </c>
      <c r="T17" s="98" t="n">
        <v>740</v>
      </c>
      <c r="U17" s="98" t="n">
        <v>940</v>
      </c>
      <c r="V17" s="98" t="n">
        <v>1100</v>
      </c>
      <c r="W17" s="98" t="n">
        <v>1160</v>
      </c>
      <c r="X17" s="99"/>
      <c r="Y17" s="99"/>
      <c r="Z17" s="82" t="n">
        <v>45797.2895833333</v>
      </c>
      <c r="AA17" s="96"/>
      <c r="AB17" s="100"/>
      <c r="AC17" s="100"/>
      <c r="AD17" s="101"/>
      <c r="AE17" s="101"/>
      <c r="AF17" s="100"/>
      <c r="AG17" s="100"/>
      <c r="AH17" s="85"/>
      <c r="AI17" s="85"/>
      <c r="AJ17" s="101"/>
      <c r="AK17" s="101"/>
      <c r="AL17" s="101"/>
      <c r="AM17" s="101"/>
      <c r="AN17" s="96"/>
      <c r="AO17" s="86" t="n">
        <v>45799</v>
      </c>
      <c r="AP17" s="82" t="n">
        <v>45799.6791666667</v>
      </c>
      <c r="AQ17" s="87" t="n">
        <v>4062</v>
      </c>
      <c r="AR17" s="85"/>
      <c r="AS17" s="85" t="n">
        <f aca="false">AS$2-AO17</f>
        <v>46</v>
      </c>
      <c r="AT17" s="96" t="s">
        <v>13</v>
      </c>
      <c r="AU17" s="96"/>
      <c r="AV17" s="72"/>
      <c r="AW17" s="96" t="n">
        <v>1</v>
      </c>
      <c r="AX17" s="96" t="n">
        <v>1</v>
      </c>
      <c r="AY17" s="96" t="n">
        <v>0</v>
      </c>
      <c r="AZ17" s="102" t="n">
        <v>45946</v>
      </c>
      <c r="BA17" s="103" t="n">
        <f aca="false">AO17+145</f>
        <v>45944</v>
      </c>
      <c r="BB17" s="72" t="s">
        <v>197</v>
      </c>
      <c r="BC17" s="72" t="n">
        <f aca="false">AZ17-AO17</f>
        <v>147</v>
      </c>
      <c r="BD17" s="76" t="s">
        <v>198</v>
      </c>
      <c r="BE17" s="72"/>
      <c r="BF17" s="91" t="n">
        <v>14</v>
      </c>
      <c r="BG17" s="91" t="s">
        <v>91</v>
      </c>
    </row>
    <row r="18" customFormat="false" ht="14.25" hidden="false" customHeight="false" outlineLevel="0" collapsed="false">
      <c r="A18" s="91" t="n">
        <v>15</v>
      </c>
      <c r="B18" s="91" t="s">
        <v>82</v>
      </c>
      <c r="C18" s="92" t="s">
        <v>194</v>
      </c>
      <c r="D18" s="72" t="n">
        <v>205</v>
      </c>
      <c r="E18" s="93"/>
      <c r="F18" s="94" t="n">
        <v>3</v>
      </c>
      <c r="G18" s="95" t="n">
        <v>45581</v>
      </c>
      <c r="H18" s="96"/>
      <c r="I18" s="77" t="n">
        <v>218</v>
      </c>
      <c r="J18" s="78" t="n">
        <f aca="false">$J$3-G18</f>
        <v>216</v>
      </c>
      <c r="K18" s="97"/>
      <c r="L18" s="97"/>
      <c r="M18" s="97"/>
      <c r="N18" s="97"/>
      <c r="O18" s="98" t="n">
        <v>138</v>
      </c>
      <c r="P18" s="98" t="n">
        <v>58</v>
      </c>
      <c r="Q18" s="98" t="n">
        <v>202</v>
      </c>
      <c r="R18" s="98" t="n">
        <v>217</v>
      </c>
      <c r="S18" s="98" t="n">
        <v>1460</v>
      </c>
      <c r="T18" s="98" t="n">
        <v>520</v>
      </c>
      <c r="U18" s="98" t="n">
        <v>1100</v>
      </c>
      <c r="V18" s="98" t="n">
        <v>360</v>
      </c>
      <c r="W18" s="98" t="n">
        <v>740</v>
      </c>
      <c r="X18" s="99"/>
      <c r="Y18" s="99"/>
      <c r="Z18" s="82" t="n">
        <v>45797.2944444444</v>
      </c>
      <c r="AA18" s="96"/>
      <c r="AB18" s="100"/>
      <c r="AC18" s="100"/>
      <c r="AD18" s="101"/>
      <c r="AE18" s="101"/>
      <c r="AF18" s="100"/>
      <c r="AG18" s="100"/>
      <c r="AH18" s="85"/>
      <c r="AI18" s="85"/>
      <c r="AJ18" s="101"/>
      <c r="AK18" s="101"/>
      <c r="AL18" s="101"/>
      <c r="AM18" s="101"/>
      <c r="AN18" s="96"/>
      <c r="AO18" s="86" t="n">
        <v>45799</v>
      </c>
      <c r="AP18" s="82" t="n">
        <v>45799.6701388889</v>
      </c>
      <c r="AQ18" s="87" t="n">
        <v>3109</v>
      </c>
      <c r="AR18" s="85"/>
      <c r="AS18" s="85" t="n">
        <f aca="false">AS$2-AO18</f>
        <v>46</v>
      </c>
      <c r="AT18" s="96" t="s">
        <v>13</v>
      </c>
      <c r="AU18" s="96"/>
      <c r="AV18" s="72"/>
      <c r="AW18" s="96" t="n">
        <v>2</v>
      </c>
      <c r="AX18" s="96" t="n">
        <v>2</v>
      </c>
      <c r="AY18" s="96" t="n">
        <v>0</v>
      </c>
      <c r="AZ18" s="102" t="n">
        <v>45948</v>
      </c>
      <c r="BA18" s="103" t="n">
        <f aca="false">AO18+145</f>
        <v>45944</v>
      </c>
      <c r="BB18" s="72" t="s">
        <v>197</v>
      </c>
      <c r="BC18" s="72" t="n">
        <f aca="false">AZ18-AO18</f>
        <v>149</v>
      </c>
      <c r="BD18" s="76" t="s">
        <v>198</v>
      </c>
      <c r="BE18" s="72"/>
      <c r="BF18" s="91" t="n">
        <v>15</v>
      </c>
      <c r="BG18" s="91" t="s">
        <v>82</v>
      </c>
    </row>
    <row r="19" customFormat="false" ht="24.6" hidden="false" customHeight="true" outlineLevel="0" collapsed="false">
      <c r="A19" s="91" t="n">
        <v>16</v>
      </c>
      <c r="B19" s="91" t="s">
        <v>94</v>
      </c>
      <c r="C19" s="92" t="s">
        <v>194</v>
      </c>
      <c r="D19" s="72" t="n">
        <v>839</v>
      </c>
      <c r="E19" s="93"/>
      <c r="F19" s="94" t="n">
        <v>3</v>
      </c>
      <c r="G19" s="95" t="n">
        <v>45598</v>
      </c>
      <c r="H19" s="96"/>
      <c r="I19" s="77" t="n">
        <v>201</v>
      </c>
      <c r="J19" s="78" t="n">
        <f aca="false">$J$3-G19</f>
        <v>199</v>
      </c>
      <c r="K19" s="97"/>
      <c r="L19" s="97"/>
      <c r="M19" s="97"/>
      <c r="N19" s="97"/>
      <c r="O19" s="98" t="n">
        <v>23</v>
      </c>
      <c r="P19" s="98" t="n">
        <v>127</v>
      </c>
      <c r="Q19" s="98" t="n">
        <v>158.3</v>
      </c>
      <c r="R19" s="98" t="n">
        <v>182</v>
      </c>
      <c r="S19" s="98" t="n">
        <v>1400</v>
      </c>
      <c r="T19" s="98" t="n">
        <v>1800</v>
      </c>
      <c r="U19" s="98" t="n">
        <v>1000</v>
      </c>
      <c r="V19" s="98" t="n">
        <v>1160</v>
      </c>
      <c r="W19" s="98" t="n">
        <v>1100</v>
      </c>
      <c r="X19" s="99"/>
      <c r="Y19" s="99"/>
      <c r="Z19" s="82" t="n">
        <v>45797.2965277778</v>
      </c>
      <c r="AA19" s="96" t="n">
        <v>11</v>
      </c>
      <c r="AB19" s="100"/>
      <c r="AC19" s="100"/>
      <c r="AD19" s="101"/>
      <c r="AE19" s="101"/>
      <c r="AF19" s="100" t="n">
        <v>45798.8103240741</v>
      </c>
      <c r="AG19" s="100" t="n">
        <v>45798.8103356482</v>
      </c>
      <c r="AH19" s="85" t="n">
        <f aca="false">(AF19-Z19)*24</f>
        <v>36.3311111111111</v>
      </c>
      <c r="AI19" s="85" t="n">
        <f aca="false">AH19+35</f>
        <v>71.3311111111111</v>
      </c>
      <c r="AJ19" s="101" t="n">
        <v>0.000277777842711657</v>
      </c>
      <c r="AK19" s="101" t="n">
        <v>1</v>
      </c>
      <c r="AL19" s="101" t="n">
        <v>3</v>
      </c>
      <c r="AM19" s="101"/>
      <c r="AN19" s="96"/>
      <c r="AO19" s="86" t="n">
        <v>45799</v>
      </c>
      <c r="AP19" s="82" t="n">
        <v>45799.675</v>
      </c>
      <c r="AQ19" s="87" t="n">
        <v>4062</v>
      </c>
      <c r="AR19" s="85" t="n">
        <f aca="false">(AP19-AF19)*24</f>
        <v>20.7522222222222</v>
      </c>
      <c r="AS19" s="85" t="n">
        <f aca="false">AS$2-AO19</f>
        <v>46</v>
      </c>
      <c r="AT19" s="96" t="s">
        <v>196</v>
      </c>
      <c r="AU19" s="96" t="n">
        <v>11</v>
      </c>
      <c r="AV19" s="72"/>
      <c r="AW19" s="96"/>
      <c r="AX19" s="96"/>
      <c r="AY19" s="96"/>
      <c r="AZ19" s="102"/>
      <c r="BA19" s="103" t="n">
        <f aca="false">AO19+145</f>
        <v>45944</v>
      </c>
      <c r="BB19" s="72" t="s">
        <v>200</v>
      </c>
      <c r="BC19" s="72"/>
      <c r="BD19" s="96"/>
      <c r="BE19" s="72"/>
      <c r="BF19" s="91" t="n">
        <v>16</v>
      </c>
      <c r="BG19" s="91" t="s">
        <v>94</v>
      </c>
    </row>
    <row r="20" customFormat="false" ht="14.25" hidden="false" customHeight="false" outlineLevel="0" collapsed="false">
      <c r="A20" s="91" t="n">
        <v>17</v>
      </c>
      <c r="B20" s="91" t="s">
        <v>89</v>
      </c>
      <c r="C20" s="92" t="s">
        <v>194</v>
      </c>
      <c r="D20" s="72" t="n">
        <v>271</v>
      </c>
      <c r="E20" s="93"/>
      <c r="F20" s="94" t="n">
        <v>3</v>
      </c>
      <c r="G20" s="95" t="n">
        <v>45583</v>
      </c>
      <c r="H20" s="96"/>
      <c r="I20" s="77" t="n">
        <v>216</v>
      </c>
      <c r="J20" s="78" t="n">
        <f aca="false">$J$3-G20</f>
        <v>214</v>
      </c>
      <c r="K20" s="97"/>
      <c r="L20" s="97"/>
      <c r="M20" s="97"/>
      <c r="N20" s="97"/>
      <c r="O20" s="104" t="n">
        <v>-14</v>
      </c>
      <c r="P20" s="98" t="n">
        <v>121</v>
      </c>
      <c r="Q20" s="98" t="n">
        <v>142.7</v>
      </c>
      <c r="R20" s="98" t="n">
        <v>151</v>
      </c>
      <c r="S20" s="98" t="n">
        <v>1860</v>
      </c>
      <c r="T20" s="98" t="n">
        <v>1700</v>
      </c>
      <c r="U20" s="98" t="n">
        <v>1100</v>
      </c>
      <c r="V20" s="98" t="n">
        <v>1140</v>
      </c>
      <c r="W20" s="98" t="n">
        <v>1000</v>
      </c>
      <c r="X20" s="99"/>
      <c r="Y20" s="99"/>
      <c r="Z20" s="82" t="n">
        <v>45797.2944444444</v>
      </c>
      <c r="AA20" s="96" t="n">
        <v>19</v>
      </c>
      <c r="AB20" s="100"/>
      <c r="AC20" s="100"/>
      <c r="AD20" s="101"/>
      <c r="AE20" s="101"/>
      <c r="AF20" s="100" t="n">
        <v>45799.1014583333</v>
      </c>
      <c r="AG20" s="100" t="n">
        <v>45799.7506134259</v>
      </c>
      <c r="AH20" s="85" t="n">
        <f aca="false">(AF20-Z20)*24</f>
        <v>43.3683333333333</v>
      </c>
      <c r="AI20" s="85" t="n">
        <f aca="false">AH20+35</f>
        <v>78.3683333333333</v>
      </c>
      <c r="AJ20" s="101" t="n">
        <v>15.5797222222318</v>
      </c>
      <c r="AK20" s="101" t="n">
        <v>15.5797222222318</v>
      </c>
      <c r="AL20" s="101" t="n">
        <v>5</v>
      </c>
      <c r="AM20" s="101" t="n">
        <v>1</v>
      </c>
      <c r="AN20" s="96" t="s">
        <v>199</v>
      </c>
      <c r="AO20" s="86" t="n">
        <v>45799</v>
      </c>
      <c r="AP20" s="82" t="n">
        <v>45799.6819444444</v>
      </c>
      <c r="AQ20" s="87" t="n">
        <v>4062</v>
      </c>
      <c r="AR20" s="85" t="n">
        <f aca="false">(AP20-AF20)*24</f>
        <v>13.9316666666667</v>
      </c>
      <c r="AS20" s="85" t="n">
        <f aca="false">AS$2-AO20</f>
        <v>46</v>
      </c>
      <c r="AT20" s="96" t="s">
        <v>13</v>
      </c>
      <c r="AU20" s="96" t="n">
        <v>19</v>
      </c>
      <c r="AV20" s="72"/>
      <c r="AW20" s="96" t="n">
        <v>2</v>
      </c>
      <c r="AX20" s="96" t="n">
        <v>2</v>
      </c>
      <c r="AY20" s="96" t="n">
        <v>0</v>
      </c>
      <c r="AZ20" s="102" t="n">
        <v>45947</v>
      </c>
      <c r="BA20" s="103" t="n">
        <f aca="false">AO20+145</f>
        <v>45944</v>
      </c>
      <c r="BB20" s="72" t="s">
        <v>197</v>
      </c>
      <c r="BC20" s="72" t="n">
        <f aca="false">AZ20-AO20</f>
        <v>148</v>
      </c>
      <c r="BD20" s="96"/>
      <c r="BE20" s="72"/>
      <c r="BF20" s="91" t="n">
        <v>17</v>
      </c>
      <c r="BG20" s="91" t="s">
        <v>89</v>
      </c>
    </row>
    <row r="21" customFormat="false" ht="14.25" hidden="false" customHeight="false" outlineLevel="0" collapsed="false">
      <c r="A21" s="91" t="n">
        <v>18</v>
      </c>
      <c r="B21" s="91" t="s">
        <v>98</v>
      </c>
      <c r="C21" s="92" t="s">
        <v>194</v>
      </c>
      <c r="D21" s="72" t="n">
        <v>519</v>
      </c>
      <c r="E21" s="93"/>
      <c r="F21" s="94" t="n">
        <v>3</v>
      </c>
      <c r="G21" s="95" t="n">
        <v>45593</v>
      </c>
      <c r="H21" s="96"/>
      <c r="I21" s="77" t="n">
        <v>206</v>
      </c>
      <c r="J21" s="78" t="n">
        <f aca="false">$J$3-G21</f>
        <v>204</v>
      </c>
      <c r="K21" s="97"/>
      <c r="L21" s="97"/>
      <c r="M21" s="97"/>
      <c r="N21" s="97"/>
      <c r="O21" s="98" t="n">
        <v>53</v>
      </c>
      <c r="P21" s="98" t="n">
        <v>85</v>
      </c>
      <c r="Q21" s="98" t="n">
        <v>206.4</v>
      </c>
      <c r="R21" s="98" t="n">
        <v>214</v>
      </c>
      <c r="S21" s="98" t="n">
        <v>1220</v>
      </c>
      <c r="T21" s="98" t="n">
        <v>1640</v>
      </c>
      <c r="U21" s="98" t="n">
        <v>1400</v>
      </c>
      <c r="V21" s="98" t="n">
        <v>600</v>
      </c>
      <c r="W21" s="98" t="n">
        <v>700</v>
      </c>
      <c r="X21" s="99"/>
      <c r="Y21" s="99"/>
      <c r="Z21" s="82" t="n">
        <v>45797.29375</v>
      </c>
      <c r="AA21" s="96"/>
      <c r="AB21" s="100"/>
      <c r="AC21" s="100"/>
      <c r="AD21" s="101"/>
      <c r="AE21" s="101"/>
      <c r="AF21" s="100"/>
      <c r="AG21" s="100"/>
      <c r="AH21" s="85"/>
      <c r="AI21" s="85"/>
      <c r="AJ21" s="101"/>
      <c r="AK21" s="101"/>
      <c r="AL21" s="101"/>
      <c r="AM21" s="101"/>
      <c r="AN21" s="96"/>
      <c r="AO21" s="86" t="n">
        <v>45799</v>
      </c>
      <c r="AP21" s="82" t="n">
        <v>45799.6673611111</v>
      </c>
      <c r="AQ21" s="87" t="n">
        <v>3109</v>
      </c>
      <c r="AR21" s="85"/>
      <c r="AS21" s="85" t="n">
        <f aca="false">AS$2-AO21</f>
        <v>46</v>
      </c>
      <c r="AT21" s="96" t="s">
        <v>13</v>
      </c>
      <c r="AU21" s="96"/>
      <c r="AV21" s="72"/>
      <c r="AW21" s="96" t="n">
        <v>2</v>
      </c>
      <c r="AX21" s="96" t="n">
        <v>2</v>
      </c>
      <c r="AY21" s="96" t="n">
        <v>0</v>
      </c>
      <c r="AZ21" s="102" t="n">
        <v>45947</v>
      </c>
      <c r="BA21" s="103" t="n">
        <f aca="false">AO21+145</f>
        <v>45944</v>
      </c>
      <c r="BB21" s="72" t="s">
        <v>197</v>
      </c>
      <c r="BC21" s="72" t="n">
        <f aca="false">AZ21-AO21</f>
        <v>148</v>
      </c>
      <c r="BD21" s="76" t="s">
        <v>198</v>
      </c>
      <c r="BE21" s="72"/>
      <c r="BF21" s="91" t="n">
        <v>18</v>
      </c>
      <c r="BG21" s="91" t="s">
        <v>98</v>
      </c>
    </row>
    <row r="22" customFormat="false" ht="14.25" hidden="false" customHeight="false" outlineLevel="0" collapsed="false">
      <c r="A22" s="91" t="n">
        <v>19</v>
      </c>
      <c r="B22" s="91" t="s">
        <v>92</v>
      </c>
      <c r="C22" s="92" t="s">
        <v>194</v>
      </c>
      <c r="D22" s="72" t="n">
        <v>291</v>
      </c>
      <c r="E22" s="93"/>
      <c r="F22" s="94" t="n">
        <v>3</v>
      </c>
      <c r="G22" s="95" t="n">
        <v>45583</v>
      </c>
      <c r="H22" s="96"/>
      <c r="I22" s="77" t="n">
        <v>216</v>
      </c>
      <c r="J22" s="78" t="n">
        <f aca="false">$J$3-G22</f>
        <v>214</v>
      </c>
      <c r="K22" s="97"/>
      <c r="L22" s="97"/>
      <c r="M22" s="97"/>
      <c r="N22" s="97"/>
      <c r="O22" s="98" t="n">
        <v>1</v>
      </c>
      <c r="P22" s="98" t="n">
        <v>34</v>
      </c>
      <c r="Q22" s="98" t="n">
        <v>132.7</v>
      </c>
      <c r="R22" s="98" t="n">
        <v>174</v>
      </c>
      <c r="S22" s="104" t="n">
        <v>760</v>
      </c>
      <c r="T22" s="98" t="n">
        <v>1240</v>
      </c>
      <c r="U22" s="98" t="n">
        <v>820</v>
      </c>
      <c r="V22" s="98" t="n">
        <v>860</v>
      </c>
      <c r="W22" s="98" t="n">
        <v>1000</v>
      </c>
      <c r="X22" s="99"/>
      <c r="Y22" s="99"/>
      <c r="Z22" s="82" t="n">
        <v>45797.2895833333</v>
      </c>
      <c r="AA22" s="96"/>
      <c r="AB22" s="100"/>
      <c r="AC22" s="100"/>
      <c r="AD22" s="101"/>
      <c r="AE22" s="101"/>
      <c r="AF22" s="100"/>
      <c r="AG22" s="100"/>
      <c r="AH22" s="85"/>
      <c r="AI22" s="85"/>
      <c r="AJ22" s="101"/>
      <c r="AK22" s="101"/>
      <c r="AL22" s="101"/>
      <c r="AM22" s="101"/>
      <c r="AN22" s="96"/>
      <c r="AO22" s="86" t="n">
        <v>45799</v>
      </c>
      <c r="AP22" s="82" t="n">
        <v>45799.6715277778</v>
      </c>
      <c r="AQ22" s="87" t="n">
        <v>4055</v>
      </c>
      <c r="AR22" s="85"/>
      <c r="AS22" s="85" t="n">
        <f aca="false">AS$2-AO22</f>
        <v>46</v>
      </c>
      <c r="AT22" s="96" t="s">
        <v>13</v>
      </c>
      <c r="AU22" s="96"/>
      <c r="AV22" s="72"/>
      <c r="AW22" s="96" t="n">
        <v>2</v>
      </c>
      <c r="AX22" s="96" t="n">
        <v>2</v>
      </c>
      <c r="AY22" s="96" t="n">
        <v>0</v>
      </c>
      <c r="AZ22" s="102" t="n">
        <v>45947</v>
      </c>
      <c r="BA22" s="103" t="n">
        <f aca="false">AO22+145</f>
        <v>45944</v>
      </c>
      <c r="BB22" s="72" t="s">
        <v>197</v>
      </c>
      <c r="BC22" s="72" t="n">
        <f aca="false">AZ22-AO22</f>
        <v>148</v>
      </c>
      <c r="BD22" s="76" t="s">
        <v>198</v>
      </c>
      <c r="BE22" s="72"/>
      <c r="BF22" s="91" t="n">
        <v>19</v>
      </c>
      <c r="BG22" s="91" t="s">
        <v>92</v>
      </c>
    </row>
    <row r="23" customFormat="false" ht="14.25" hidden="false" customHeight="false" outlineLevel="0" collapsed="false">
      <c r="A23" s="91" t="n">
        <v>20</v>
      </c>
      <c r="B23" s="91" t="s">
        <v>80</v>
      </c>
      <c r="C23" s="92" t="s">
        <v>194</v>
      </c>
      <c r="D23" s="72" t="n">
        <v>201</v>
      </c>
      <c r="E23" s="93"/>
      <c r="F23" s="94" t="n">
        <v>3</v>
      </c>
      <c r="G23" s="95" t="n">
        <v>45582</v>
      </c>
      <c r="H23" s="96"/>
      <c r="I23" s="77" t="n">
        <v>217</v>
      </c>
      <c r="J23" s="78" t="n">
        <f aca="false">$J$3-G23</f>
        <v>215</v>
      </c>
      <c r="K23" s="97"/>
      <c r="L23" s="97"/>
      <c r="M23" s="97"/>
      <c r="N23" s="97"/>
      <c r="O23" s="98" t="n">
        <v>-78</v>
      </c>
      <c r="P23" s="98" t="n">
        <v>-8</v>
      </c>
      <c r="Q23" s="98" t="n">
        <v>117.1</v>
      </c>
      <c r="R23" s="98" t="n">
        <v>166</v>
      </c>
      <c r="S23" s="104" t="n">
        <v>1600</v>
      </c>
      <c r="T23" s="104" t="n">
        <v>1500</v>
      </c>
      <c r="U23" s="104" t="n">
        <v>1000</v>
      </c>
      <c r="V23" s="104" t="n">
        <v>700</v>
      </c>
      <c r="W23" s="104" t="n">
        <v>800</v>
      </c>
      <c r="X23" s="99"/>
      <c r="Y23" s="99"/>
      <c r="Z23" s="82" t="n">
        <v>45797.29375</v>
      </c>
      <c r="AA23" s="96" t="n">
        <v>5</v>
      </c>
      <c r="AB23" s="100" t="n">
        <v>45798.499212963</v>
      </c>
      <c r="AC23" s="100" t="n">
        <v>45799.8877314815</v>
      </c>
      <c r="AD23" s="101" t="n">
        <v>33.3244444445008</v>
      </c>
      <c r="AE23" s="101" t="n">
        <v>33.3244444445008</v>
      </c>
      <c r="AF23" s="100" t="n">
        <v>45799.8872569444</v>
      </c>
      <c r="AG23" s="100" t="n">
        <v>45799.8877314815</v>
      </c>
      <c r="AH23" s="85" t="n">
        <f aca="false">(AF23-Z23)*24</f>
        <v>62.2441666666667</v>
      </c>
      <c r="AI23" s="85" t="n">
        <f aca="false">AH23+35</f>
        <v>97.2441666666667</v>
      </c>
      <c r="AJ23" s="101" t="n">
        <v>0.0113888889318332</v>
      </c>
      <c r="AK23" s="101" t="n">
        <v>1</v>
      </c>
      <c r="AL23" s="101" t="n">
        <v>3</v>
      </c>
      <c r="AM23" s="101" t="n">
        <v>2</v>
      </c>
      <c r="AN23" s="96" t="s">
        <v>195</v>
      </c>
      <c r="AO23" s="86" t="n">
        <v>45799</v>
      </c>
      <c r="AP23" s="82" t="n">
        <v>45799.6763888889</v>
      </c>
      <c r="AQ23" s="87" t="n">
        <v>4062</v>
      </c>
      <c r="AR23" s="85" t="n">
        <f aca="false">(AP23-AF23)*24</f>
        <v>-5.06083333333333</v>
      </c>
      <c r="AS23" s="85" t="n">
        <f aca="false">AS$2-AO23</f>
        <v>46</v>
      </c>
      <c r="AT23" s="96" t="s">
        <v>196</v>
      </c>
      <c r="AU23" s="96" t="n">
        <v>5</v>
      </c>
      <c r="AV23" s="72"/>
      <c r="AW23" s="96" t="n">
        <v>1</v>
      </c>
      <c r="AX23" s="96" t="n">
        <v>1</v>
      </c>
      <c r="AY23" s="96" t="n">
        <v>0</v>
      </c>
      <c r="AZ23" s="102" t="n">
        <v>45965</v>
      </c>
      <c r="BA23" s="103" t="n">
        <f aca="false">AO23+145</f>
        <v>45944</v>
      </c>
      <c r="BB23" s="89" t="s">
        <v>196</v>
      </c>
      <c r="BC23" s="72" t="n">
        <f aca="false">AZ23-AO23</f>
        <v>166</v>
      </c>
      <c r="BD23" s="96"/>
      <c r="BE23" s="72"/>
      <c r="BF23" s="91" t="n">
        <v>20</v>
      </c>
      <c r="BG23" s="91" t="s">
        <v>80</v>
      </c>
    </row>
    <row r="24" customFormat="false" ht="14.25" hidden="false" customHeight="false" outlineLevel="0" collapsed="false">
      <c r="A24" s="91" t="n">
        <v>21</v>
      </c>
      <c r="B24" s="91" t="s">
        <v>100</v>
      </c>
      <c r="C24" s="92" t="s">
        <v>194</v>
      </c>
      <c r="D24" s="72" t="n">
        <v>995</v>
      </c>
      <c r="E24" s="93"/>
      <c r="F24" s="94" t="n">
        <v>3</v>
      </c>
      <c r="G24" s="95" t="n">
        <v>45600</v>
      </c>
      <c r="H24" s="96"/>
      <c r="I24" s="77" t="n">
        <v>199</v>
      </c>
      <c r="J24" s="78" t="n">
        <f aca="false">$J$3-G24</f>
        <v>197</v>
      </c>
      <c r="K24" s="97"/>
      <c r="L24" s="97"/>
      <c r="M24" s="97"/>
      <c r="N24" s="97"/>
      <c r="O24" s="98" t="n">
        <v>5</v>
      </c>
      <c r="P24" s="98" t="n">
        <v>-22</v>
      </c>
      <c r="Q24" s="98" t="n">
        <v>122.7</v>
      </c>
      <c r="R24" s="98" t="n">
        <v>151</v>
      </c>
      <c r="S24" s="98" t="n">
        <v>1700</v>
      </c>
      <c r="T24" s="98" t="n">
        <v>820</v>
      </c>
      <c r="U24" s="98" t="n">
        <v>1100</v>
      </c>
      <c r="V24" s="98" t="n">
        <v>1300</v>
      </c>
      <c r="W24" s="98" t="n">
        <v>1400</v>
      </c>
      <c r="X24" s="99"/>
      <c r="Y24" s="99"/>
      <c r="Z24" s="82" t="n">
        <v>45797.2979166667</v>
      </c>
      <c r="AA24" s="96"/>
      <c r="AB24" s="100"/>
      <c r="AC24" s="100"/>
      <c r="AD24" s="101"/>
      <c r="AE24" s="101"/>
      <c r="AF24" s="100"/>
      <c r="AG24" s="100"/>
      <c r="AH24" s="85"/>
      <c r="AI24" s="85"/>
      <c r="AJ24" s="101"/>
      <c r="AK24" s="101"/>
      <c r="AL24" s="101"/>
      <c r="AM24" s="101"/>
      <c r="AN24" s="96"/>
      <c r="AO24" s="86" t="n">
        <v>45799</v>
      </c>
      <c r="AP24" s="82" t="n">
        <v>45799.675</v>
      </c>
      <c r="AQ24" s="87" t="n">
        <v>4064</v>
      </c>
      <c r="AR24" s="85"/>
      <c r="AS24" s="85" t="n">
        <f aca="false">AS$2-AO24</f>
        <v>46</v>
      </c>
      <c r="AT24" s="96" t="s">
        <v>13</v>
      </c>
      <c r="AU24" s="96"/>
      <c r="AV24" s="72"/>
      <c r="AW24" s="96" t="n">
        <v>1</v>
      </c>
      <c r="AX24" s="96" t="n">
        <v>1</v>
      </c>
      <c r="AY24" s="96" t="n">
        <v>0</v>
      </c>
      <c r="AZ24" s="102" t="n">
        <v>45947</v>
      </c>
      <c r="BA24" s="103" t="n">
        <f aca="false">AO24+145</f>
        <v>45944</v>
      </c>
      <c r="BB24" s="72" t="s">
        <v>197</v>
      </c>
      <c r="BC24" s="72" t="n">
        <f aca="false">AZ24-AO24</f>
        <v>148</v>
      </c>
      <c r="BD24" s="76" t="s">
        <v>198</v>
      </c>
      <c r="BE24" s="72"/>
      <c r="BF24" s="91" t="n">
        <v>21</v>
      </c>
      <c r="BG24" s="91" t="s">
        <v>100</v>
      </c>
    </row>
    <row r="25" customFormat="false" ht="14.25" hidden="false" customHeight="false" outlineLevel="0" collapsed="false">
      <c r="A25" s="91" t="n">
        <v>22</v>
      </c>
      <c r="B25" s="91" t="s">
        <v>86</v>
      </c>
      <c r="C25" s="92" t="s">
        <v>194</v>
      </c>
      <c r="D25" s="72" t="n">
        <v>235</v>
      </c>
      <c r="E25" s="93"/>
      <c r="F25" s="94" t="n">
        <v>3</v>
      </c>
      <c r="G25" s="95" t="n">
        <v>45643</v>
      </c>
      <c r="H25" s="96"/>
      <c r="I25" s="77" t="n">
        <v>156</v>
      </c>
      <c r="J25" s="78" t="n">
        <f aca="false">$J$3-G25</f>
        <v>154</v>
      </c>
      <c r="K25" s="97"/>
      <c r="L25" s="97"/>
      <c r="M25" s="97"/>
      <c r="N25" s="97"/>
      <c r="O25" s="98" t="n">
        <v>79</v>
      </c>
      <c r="P25" s="98" t="n">
        <v>18</v>
      </c>
      <c r="Q25" s="98" t="n">
        <v>184.6</v>
      </c>
      <c r="R25" s="98" t="n">
        <v>216</v>
      </c>
      <c r="S25" s="98"/>
      <c r="T25" s="98"/>
      <c r="U25" s="98" t="n">
        <v>1040</v>
      </c>
      <c r="V25" s="98" t="n">
        <v>1120</v>
      </c>
      <c r="W25" s="98" t="n">
        <v>1100</v>
      </c>
      <c r="X25" s="99"/>
      <c r="Y25" s="99"/>
      <c r="Z25" s="82" t="n">
        <v>45797.2916666667</v>
      </c>
      <c r="AA25" s="96" t="n">
        <v>21</v>
      </c>
      <c r="AB25" s="100"/>
      <c r="AC25" s="100"/>
      <c r="AD25" s="101"/>
      <c r="AE25" s="101"/>
      <c r="AF25" s="100" t="n">
        <v>45799.3325</v>
      </c>
      <c r="AG25" s="100" t="n">
        <v>45799.4596990741</v>
      </c>
      <c r="AH25" s="85" t="n">
        <f aca="false">(AF25-Z25)*24</f>
        <v>48.98</v>
      </c>
      <c r="AI25" s="85" t="n">
        <f aca="false">AH25+35</f>
        <v>83.98</v>
      </c>
      <c r="AJ25" s="101" t="n">
        <v>3.05277777789161</v>
      </c>
      <c r="AK25" s="101" t="n">
        <v>3.05277777789161</v>
      </c>
      <c r="AL25" s="101" t="n">
        <v>4</v>
      </c>
      <c r="AM25" s="101" t="n">
        <v>1</v>
      </c>
      <c r="AN25" s="96" t="s">
        <v>199</v>
      </c>
      <c r="AO25" s="86" t="n">
        <v>45799</v>
      </c>
      <c r="AP25" s="82" t="n">
        <v>45799.6777777778</v>
      </c>
      <c r="AQ25" s="87" t="n">
        <v>2072</v>
      </c>
      <c r="AR25" s="85" t="n">
        <f aca="false">(AP25-AF25)*24</f>
        <v>8.28666666666667</v>
      </c>
      <c r="AS25" s="85" t="n">
        <f aca="false">AS$2-AO25</f>
        <v>46</v>
      </c>
      <c r="AT25" s="96" t="s">
        <v>196</v>
      </c>
      <c r="AU25" s="96" t="n">
        <v>21</v>
      </c>
      <c r="AV25" s="72"/>
      <c r="AW25" s="96" t="n">
        <v>2</v>
      </c>
      <c r="AX25" s="96" t="n">
        <v>2</v>
      </c>
      <c r="AY25" s="96" t="n">
        <v>0</v>
      </c>
      <c r="AZ25" s="102" t="n">
        <v>45964</v>
      </c>
      <c r="BA25" s="103" t="n">
        <f aca="false">AO25+145</f>
        <v>45944</v>
      </c>
      <c r="BB25" s="89" t="s">
        <v>196</v>
      </c>
      <c r="BC25" s="72" t="n">
        <f aca="false">AZ25-AO25</f>
        <v>165</v>
      </c>
      <c r="BD25" s="96"/>
      <c r="BE25" s="72"/>
      <c r="BF25" s="91" t="n">
        <v>22</v>
      </c>
      <c r="BG25" s="91" t="s">
        <v>86</v>
      </c>
    </row>
    <row r="26" customFormat="false" ht="14.25" hidden="false" customHeight="false" outlineLevel="0" collapsed="false">
      <c r="A26" s="91" t="n">
        <v>23</v>
      </c>
      <c r="B26" s="91" t="s">
        <v>76</v>
      </c>
      <c r="C26" s="92" t="s">
        <v>194</v>
      </c>
      <c r="D26" s="72" t="n">
        <v>199</v>
      </c>
      <c r="E26" s="93"/>
      <c r="F26" s="94" t="n">
        <v>3</v>
      </c>
      <c r="G26" s="95" t="n">
        <v>45583</v>
      </c>
      <c r="H26" s="96"/>
      <c r="I26" s="77" t="n">
        <v>216</v>
      </c>
      <c r="J26" s="78" t="n">
        <f aca="false">$J$3-G26</f>
        <v>214</v>
      </c>
      <c r="K26" s="97"/>
      <c r="L26" s="97"/>
      <c r="M26" s="97"/>
      <c r="N26" s="97"/>
      <c r="O26" s="98" t="n">
        <v>224</v>
      </c>
      <c r="P26" s="98" t="n">
        <v>237</v>
      </c>
      <c r="Q26" s="98" t="n">
        <v>84.6</v>
      </c>
      <c r="R26" s="98" t="n">
        <v>71</v>
      </c>
      <c r="S26" s="98" t="n">
        <v>1840</v>
      </c>
      <c r="T26" s="98" t="n">
        <v>2000</v>
      </c>
      <c r="U26" s="98" t="n">
        <v>1300</v>
      </c>
      <c r="V26" s="98" t="n">
        <v>1320</v>
      </c>
      <c r="W26" s="98" t="n">
        <v>1600</v>
      </c>
      <c r="X26" s="99"/>
      <c r="Y26" s="99"/>
      <c r="Z26" s="82" t="n">
        <v>45797.2909722222</v>
      </c>
      <c r="AA26" s="96"/>
      <c r="AB26" s="100"/>
      <c r="AC26" s="100"/>
      <c r="AD26" s="101"/>
      <c r="AE26" s="101"/>
      <c r="AF26" s="100"/>
      <c r="AG26" s="100"/>
      <c r="AH26" s="85"/>
      <c r="AI26" s="85"/>
      <c r="AJ26" s="101"/>
      <c r="AK26" s="101"/>
      <c r="AL26" s="101"/>
      <c r="AM26" s="101"/>
      <c r="AN26" s="96"/>
      <c r="AO26" s="86" t="n">
        <v>45799</v>
      </c>
      <c r="AP26" s="82" t="n">
        <v>45799.6784722222</v>
      </c>
      <c r="AQ26" s="87" t="n">
        <v>2068</v>
      </c>
      <c r="AR26" s="85"/>
      <c r="AS26" s="85" t="n">
        <f aca="false">AS$2-AO26</f>
        <v>46</v>
      </c>
      <c r="AT26" s="96" t="s">
        <v>196</v>
      </c>
      <c r="AU26" s="96"/>
      <c r="AV26" s="72"/>
      <c r="AW26" s="96"/>
      <c r="AX26" s="96"/>
      <c r="AY26" s="96"/>
      <c r="AZ26" s="102"/>
      <c r="BA26" s="103" t="n">
        <f aca="false">AO26+145</f>
        <v>45944</v>
      </c>
      <c r="BB26" s="72" t="s">
        <v>200</v>
      </c>
      <c r="BC26" s="72"/>
      <c r="BD26" s="76" t="s">
        <v>198</v>
      </c>
      <c r="BE26" s="72"/>
      <c r="BF26" s="91" t="n">
        <v>23</v>
      </c>
      <c r="BG26" s="91" t="s">
        <v>76</v>
      </c>
    </row>
    <row r="27" customFormat="false" ht="14.25" hidden="false" customHeight="false" outlineLevel="0" collapsed="false">
      <c r="A27" s="91" t="n">
        <v>24</v>
      </c>
      <c r="B27" s="91" t="s">
        <v>101</v>
      </c>
      <c r="C27" s="92" t="s">
        <v>194</v>
      </c>
      <c r="D27" s="72" t="n">
        <v>599</v>
      </c>
      <c r="E27" s="93"/>
      <c r="F27" s="94" t="n">
        <v>3</v>
      </c>
      <c r="G27" s="95" t="n">
        <v>45585</v>
      </c>
      <c r="H27" s="96"/>
      <c r="I27" s="77" t="n">
        <v>214</v>
      </c>
      <c r="J27" s="78" t="n">
        <f aca="false">$J$3-G27</f>
        <v>212</v>
      </c>
      <c r="K27" s="97"/>
      <c r="L27" s="97"/>
      <c r="M27" s="97"/>
      <c r="N27" s="97"/>
      <c r="O27" s="98" t="n">
        <v>-93</v>
      </c>
      <c r="P27" s="98" t="n">
        <v>51</v>
      </c>
      <c r="Q27" s="104" t="n">
        <v>124.1</v>
      </c>
      <c r="R27" s="104" t="n">
        <v>157</v>
      </c>
      <c r="S27" s="98" t="n">
        <v>1120</v>
      </c>
      <c r="T27" s="98" t="n">
        <v>460</v>
      </c>
      <c r="U27" s="98" t="n">
        <v>500</v>
      </c>
      <c r="V27" s="98" t="n">
        <v>840</v>
      </c>
      <c r="W27" s="98" t="n">
        <v>820</v>
      </c>
      <c r="X27" s="99"/>
      <c r="Y27" s="99"/>
      <c r="Z27" s="82" t="n">
        <v>45797.2951388889</v>
      </c>
      <c r="AA27" s="96"/>
      <c r="AB27" s="100"/>
      <c r="AC27" s="100"/>
      <c r="AD27" s="101"/>
      <c r="AE27" s="101"/>
      <c r="AF27" s="100"/>
      <c r="AG27" s="100"/>
      <c r="AH27" s="85"/>
      <c r="AI27" s="85"/>
      <c r="AJ27" s="101"/>
      <c r="AK27" s="101"/>
      <c r="AL27" s="101"/>
      <c r="AM27" s="101"/>
      <c r="AN27" s="96"/>
      <c r="AO27" s="86" t="n">
        <v>45799</v>
      </c>
      <c r="AP27" s="82" t="n">
        <v>45799.6826388889</v>
      </c>
      <c r="AQ27" s="87" t="n">
        <v>4055</v>
      </c>
      <c r="AR27" s="85"/>
      <c r="AS27" s="85" t="n">
        <f aca="false">AS$2-AO27</f>
        <v>46</v>
      </c>
      <c r="AT27" s="96" t="s">
        <v>196</v>
      </c>
      <c r="AU27" s="96"/>
      <c r="AV27" s="72"/>
      <c r="AW27" s="96" t="n">
        <v>1</v>
      </c>
      <c r="AX27" s="96" t="n">
        <v>1</v>
      </c>
      <c r="AY27" s="96" t="n">
        <v>0</v>
      </c>
      <c r="AZ27" s="102" t="n">
        <v>45965</v>
      </c>
      <c r="BA27" s="103" t="n">
        <f aca="false">AO27+145</f>
        <v>45944</v>
      </c>
      <c r="BB27" s="72" t="s">
        <v>196</v>
      </c>
      <c r="BC27" s="89" t="n">
        <f aca="false">AZ27-AO27</f>
        <v>166</v>
      </c>
      <c r="BD27" s="76" t="s">
        <v>198</v>
      </c>
      <c r="BE27" s="72"/>
      <c r="BF27" s="91" t="n">
        <v>24</v>
      </c>
      <c r="BG27" s="91" t="s">
        <v>101</v>
      </c>
    </row>
    <row r="28" customFormat="false" ht="14.25" hidden="false" customHeight="false" outlineLevel="0" collapsed="false">
      <c r="A28" s="91" t="n">
        <v>25</v>
      </c>
      <c r="B28" s="91" t="s">
        <v>104</v>
      </c>
      <c r="C28" s="92" t="s">
        <v>194</v>
      </c>
      <c r="D28" s="72" t="n">
        <v>834</v>
      </c>
      <c r="E28" s="93"/>
      <c r="F28" s="94" t="n">
        <v>3</v>
      </c>
      <c r="G28" s="95" t="n">
        <v>45598</v>
      </c>
      <c r="H28" s="96"/>
      <c r="I28" s="77" t="n">
        <v>201</v>
      </c>
      <c r="J28" s="78" t="n">
        <f aca="false">$J$3-G28</f>
        <v>199</v>
      </c>
      <c r="K28" s="97"/>
      <c r="L28" s="97"/>
      <c r="M28" s="97"/>
      <c r="N28" s="97"/>
      <c r="O28" s="98" t="n">
        <v>106</v>
      </c>
      <c r="P28" s="98" t="n">
        <v>77</v>
      </c>
      <c r="Q28" s="98" t="n">
        <v>112</v>
      </c>
      <c r="R28" s="98" t="n">
        <v>111</v>
      </c>
      <c r="S28" s="98" t="n">
        <v>1060</v>
      </c>
      <c r="T28" s="98" t="n">
        <v>2000</v>
      </c>
      <c r="U28" s="98" t="n">
        <v>940</v>
      </c>
      <c r="V28" s="98" t="n">
        <v>1340</v>
      </c>
      <c r="W28" s="98" t="n">
        <v>1300</v>
      </c>
      <c r="X28" s="99"/>
      <c r="Y28" s="99"/>
      <c r="Z28" s="82" t="n">
        <v>45797.2951388889</v>
      </c>
      <c r="AA28" s="96" t="n">
        <v>25</v>
      </c>
      <c r="AB28" s="100"/>
      <c r="AC28" s="100"/>
      <c r="AD28" s="101"/>
      <c r="AE28" s="101"/>
      <c r="AF28" s="100" t="n">
        <v>45800.0094560185</v>
      </c>
      <c r="AG28" s="100" t="n">
        <v>45800.1776388889</v>
      </c>
      <c r="AH28" s="85" t="n">
        <f aca="false">(AF28-Z28)*24</f>
        <v>65.1436111111111</v>
      </c>
      <c r="AI28" s="85" t="n">
        <f aca="false">AH28+35</f>
        <v>100.143611111111</v>
      </c>
      <c r="AJ28" s="101" t="n">
        <v>4.03638888895512</v>
      </c>
      <c r="AK28" s="101" t="n">
        <v>4.03638888895512</v>
      </c>
      <c r="AL28" s="101" t="n">
        <v>8</v>
      </c>
      <c r="AM28" s="101" t="n">
        <v>1</v>
      </c>
      <c r="AN28" s="96" t="s">
        <v>199</v>
      </c>
      <c r="AO28" s="86" t="n">
        <v>45799</v>
      </c>
      <c r="AP28" s="82" t="n">
        <v>45799.6694444444</v>
      </c>
      <c r="AQ28" s="87" t="n">
        <v>2068</v>
      </c>
      <c r="AR28" s="85" t="n">
        <f aca="false">(AP28-AF28)*24</f>
        <v>-8.16027777777778</v>
      </c>
      <c r="AS28" s="85" t="n">
        <f aca="false">AS$2-AO28</f>
        <v>46</v>
      </c>
      <c r="AT28" s="96" t="s">
        <v>13</v>
      </c>
      <c r="AU28" s="96" t="n">
        <v>25</v>
      </c>
      <c r="AV28" s="72"/>
      <c r="AW28" s="96" t="n">
        <v>2</v>
      </c>
      <c r="AX28" s="96" t="n">
        <v>2</v>
      </c>
      <c r="AY28" s="96" t="n">
        <v>0</v>
      </c>
      <c r="AZ28" s="102" t="n">
        <v>45946</v>
      </c>
      <c r="BA28" s="103" t="n">
        <f aca="false">AO28+145</f>
        <v>45944</v>
      </c>
      <c r="BB28" s="72" t="s">
        <v>197</v>
      </c>
      <c r="BC28" s="72" t="n">
        <f aca="false">AZ28-AO28</f>
        <v>147</v>
      </c>
      <c r="BD28" s="76"/>
      <c r="BE28" s="72"/>
      <c r="BF28" s="91" t="n">
        <v>25</v>
      </c>
      <c r="BG28" s="91" t="s">
        <v>104</v>
      </c>
    </row>
    <row r="29" customFormat="false" ht="14.25" hidden="false" customHeight="false" outlineLevel="0" collapsed="false">
      <c r="A29" s="91" t="n">
        <v>26</v>
      </c>
      <c r="B29" s="91" t="s">
        <v>105</v>
      </c>
      <c r="C29" s="92" t="s">
        <v>194</v>
      </c>
      <c r="D29" s="72" t="n">
        <v>863</v>
      </c>
      <c r="E29" s="93"/>
      <c r="F29" s="94" t="n">
        <v>3</v>
      </c>
      <c r="G29" s="95" t="n">
        <v>45581</v>
      </c>
      <c r="H29" s="96"/>
      <c r="I29" s="77" t="n">
        <v>218</v>
      </c>
      <c r="J29" s="78" t="n">
        <f aca="false">$J$3-G29</f>
        <v>216</v>
      </c>
      <c r="K29" s="97"/>
      <c r="L29" s="97"/>
      <c r="M29" s="97"/>
      <c r="N29" s="97"/>
      <c r="O29" s="98" t="n">
        <v>22</v>
      </c>
      <c r="P29" s="98" t="n">
        <v>76</v>
      </c>
      <c r="Q29" s="98" t="n">
        <v>116.7</v>
      </c>
      <c r="R29" s="98" t="n">
        <v>167</v>
      </c>
      <c r="S29" s="98" t="n">
        <v>980</v>
      </c>
      <c r="T29" s="98" t="n">
        <v>400</v>
      </c>
      <c r="U29" s="98" t="n">
        <v>600</v>
      </c>
      <c r="V29" s="98" t="n">
        <v>840</v>
      </c>
      <c r="W29" s="98" t="n">
        <v>760</v>
      </c>
      <c r="X29" s="99"/>
      <c r="Y29" s="99"/>
      <c r="Z29" s="82" t="n">
        <v>45797.2958333333</v>
      </c>
      <c r="AA29" s="96" t="n">
        <v>7</v>
      </c>
      <c r="AB29" s="100" t="n">
        <v>45798.7045023148</v>
      </c>
      <c r="AC29" s="100" t="n">
        <v>45800.3801388889</v>
      </c>
      <c r="AD29" s="101" t="n">
        <v>40.2152777777519</v>
      </c>
      <c r="AE29" s="101" t="n">
        <v>40.2152777777519</v>
      </c>
      <c r="AF29" s="100" t="n">
        <v>45798.7045023148</v>
      </c>
      <c r="AG29" s="100" t="n">
        <v>45799.2552314815</v>
      </c>
      <c r="AH29" s="85" t="n">
        <f aca="false">(AF29-Z29)*24</f>
        <v>33.8080555555556</v>
      </c>
      <c r="AI29" s="85" t="n">
        <f aca="false">AH29+35</f>
        <v>68.8080555555556</v>
      </c>
      <c r="AJ29" s="101" t="n">
        <v>13.2174999999697</v>
      </c>
      <c r="AK29" s="101" t="n">
        <v>13.2174999999697</v>
      </c>
      <c r="AL29" s="101" t="n">
        <v>17</v>
      </c>
      <c r="AM29" s="101" t="n">
        <v>1</v>
      </c>
      <c r="AN29" s="96" t="s">
        <v>199</v>
      </c>
      <c r="AO29" s="86" t="n">
        <v>45799</v>
      </c>
      <c r="AP29" s="82" t="n">
        <v>45799.6833333333</v>
      </c>
      <c r="AQ29" s="87" t="n">
        <v>4064</v>
      </c>
      <c r="AR29" s="85" t="n">
        <f aca="false">(AP29-AF29)*24</f>
        <v>23.4919444444444</v>
      </c>
      <c r="AS29" s="85" t="n">
        <f aca="false">AS$2-AO29</f>
        <v>46</v>
      </c>
      <c r="AT29" s="96" t="s">
        <v>13</v>
      </c>
      <c r="AU29" s="96" t="n">
        <v>7</v>
      </c>
      <c r="AV29" s="72"/>
      <c r="AW29" s="96" t="n">
        <v>1</v>
      </c>
      <c r="AX29" s="96" t="n">
        <v>1</v>
      </c>
      <c r="AY29" s="96" t="n">
        <v>0</v>
      </c>
      <c r="AZ29" s="102" t="n">
        <v>45945</v>
      </c>
      <c r="BA29" s="103" t="n">
        <f aca="false">AO29+145</f>
        <v>45944</v>
      </c>
      <c r="BB29" s="72" t="s">
        <v>197</v>
      </c>
      <c r="BC29" s="72" t="n">
        <f aca="false">AZ29-AO29</f>
        <v>146</v>
      </c>
      <c r="BD29" s="96"/>
      <c r="BE29" s="72"/>
      <c r="BF29" s="91" t="n">
        <v>26</v>
      </c>
      <c r="BG29" s="91" t="s">
        <v>105</v>
      </c>
    </row>
    <row r="30" customFormat="false" ht="14.25" hidden="false" customHeight="false" outlineLevel="0" collapsed="false">
      <c r="A30" s="91" t="n">
        <v>27</v>
      </c>
      <c r="B30" s="91" t="s">
        <v>99</v>
      </c>
      <c r="C30" s="92" t="s">
        <v>194</v>
      </c>
      <c r="D30" s="72" t="n">
        <v>512</v>
      </c>
      <c r="E30" s="93"/>
      <c r="F30" s="94" t="n">
        <v>3</v>
      </c>
      <c r="G30" s="95" t="n">
        <v>45583</v>
      </c>
      <c r="H30" s="96"/>
      <c r="I30" s="77" t="n">
        <v>216</v>
      </c>
      <c r="J30" s="78" t="n">
        <f aca="false">$J$3-G30</f>
        <v>214</v>
      </c>
      <c r="K30" s="97"/>
      <c r="L30" s="97"/>
      <c r="M30" s="97"/>
      <c r="N30" s="97"/>
      <c r="O30" s="98" t="n">
        <v>57</v>
      </c>
      <c r="P30" s="98" t="n">
        <v>-8</v>
      </c>
      <c r="Q30" s="98" t="n">
        <v>118.3</v>
      </c>
      <c r="R30" s="98" t="n">
        <v>166</v>
      </c>
      <c r="S30" s="98" t="n">
        <v>1180</v>
      </c>
      <c r="T30" s="98" t="n">
        <v>440</v>
      </c>
      <c r="U30" s="98" t="n">
        <v>740</v>
      </c>
      <c r="V30" s="98" t="n">
        <v>1040</v>
      </c>
      <c r="W30" s="98" t="n">
        <v>900</v>
      </c>
      <c r="X30" s="99"/>
      <c r="Y30" s="99"/>
      <c r="Z30" s="82" t="n">
        <v>45797.2979166667</v>
      </c>
      <c r="AA30" s="96"/>
      <c r="AB30" s="100"/>
      <c r="AC30" s="100"/>
      <c r="AD30" s="101"/>
      <c r="AE30" s="101"/>
      <c r="AF30" s="100"/>
      <c r="AG30" s="100"/>
      <c r="AH30" s="85"/>
      <c r="AI30" s="85"/>
      <c r="AJ30" s="101"/>
      <c r="AK30" s="101"/>
      <c r="AL30" s="101"/>
      <c r="AM30" s="101"/>
      <c r="AN30" s="96"/>
      <c r="AO30" s="86" t="n">
        <v>45799</v>
      </c>
      <c r="AP30" s="82" t="n">
        <v>45799.6819444444</v>
      </c>
      <c r="AQ30" s="87" t="n">
        <v>3109</v>
      </c>
      <c r="AR30" s="85"/>
      <c r="AS30" s="85" t="n">
        <f aca="false">AS$2-AO30</f>
        <v>46</v>
      </c>
      <c r="AT30" s="96" t="s">
        <v>203</v>
      </c>
      <c r="AU30" s="96"/>
      <c r="AV30" s="72"/>
      <c r="AW30" s="96"/>
      <c r="AX30" s="96"/>
      <c r="AY30" s="96"/>
      <c r="AZ30" s="102"/>
      <c r="BA30" s="103" t="n">
        <f aca="false">AO30+145</f>
        <v>45944</v>
      </c>
      <c r="BB30" s="72" t="s">
        <v>200</v>
      </c>
      <c r="BC30" s="72"/>
      <c r="BD30" s="76" t="s">
        <v>198</v>
      </c>
      <c r="BE30" s="72"/>
      <c r="BF30" s="91" t="n">
        <v>27</v>
      </c>
      <c r="BG30" s="91" t="s">
        <v>99</v>
      </c>
    </row>
    <row r="31" customFormat="false" ht="14.25" hidden="false" customHeight="false" outlineLevel="0" collapsed="false">
      <c r="A31" s="91" t="n">
        <v>28</v>
      </c>
      <c r="B31" s="91" t="s">
        <v>103</v>
      </c>
      <c r="C31" s="92" t="s">
        <v>194</v>
      </c>
      <c r="D31" s="72" t="n">
        <v>614</v>
      </c>
      <c r="E31" s="93"/>
      <c r="F31" s="94" t="n">
        <v>3</v>
      </c>
      <c r="G31" s="95" t="n">
        <v>45583</v>
      </c>
      <c r="H31" s="96"/>
      <c r="I31" s="77" t="n">
        <v>216</v>
      </c>
      <c r="J31" s="78" t="n">
        <f aca="false">$J$3-G31</f>
        <v>214</v>
      </c>
      <c r="K31" s="97"/>
      <c r="L31" s="97"/>
      <c r="M31" s="97"/>
      <c r="N31" s="97"/>
      <c r="O31" s="98" t="n">
        <v>189</v>
      </c>
      <c r="P31" s="98" t="n">
        <v>126</v>
      </c>
      <c r="Q31" s="104" t="n">
        <v>131.3</v>
      </c>
      <c r="R31" s="104" t="n">
        <v>127</v>
      </c>
      <c r="S31" s="98" t="n">
        <v>1700</v>
      </c>
      <c r="T31" s="98" t="n">
        <v>800</v>
      </c>
      <c r="U31" s="98" t="n">
        <v>1500</v>
      </c>
      <c r="V31" s="98" t="n">
        <v>1300</v>
      </c>
      <c r="W31" s="98" t="n">
        <v>1360</v>
      </c>
      <c r="X31" s="99"/>
      <c r="Y31" s="99"/>
      <c r="Z31" s="82" t="n">
        <v>45797.2895833333</v>
      </c>
      <c r="AA31" s="96"/>
      <c r="AB31" s="100"/>
      <c r="AC31" s="100"/>
      <c r="AD31" s="101"/>
      <c r="AE31" s="101"/>
      <c r="AF31" s="100"/>
      <c r="AG31" s="100"/>
      <c r="AH31" s="85"/>
      <c r="AI31" s="85"/>
      <c r="AJ31" s="101"/>
      <c r="AK31" s="101"/>
      <c r="AL31" s="101"/>
      <c r="AM31" s="101"/>
      <c r="AN31" s="96"/>
      <c r="AO31" s="86" t="n">
        <v>45799</v>
      </c>
      <c r="AP31" s="82" t="n">
        <v>45799.6666666667</v>
      </c>
      <c r="AQ31" s="87" t="n">
        <v>2072</v>
      </c>
      <c r="AR31" s="85"/>
      <c r="AS31" s="85" t="n">
        <f aca="false">AS$2-AO31</f>
        <v>46</v>
      </c>
      <c r="AT31" s="96" t="s">
        <v>13</v>
      </c>
      <c r="AU31" s="96"/>
      <c r="AV31" s="72"/>
      <c r="AW31" s="96" t="n">
        <v>2</v>
      </c>
      <c r="AX31" s="96" t="n">
        <v>2</v>
      </c>
      <c r="AY31" s="96" t="n">
        <v>0</v>
      </c>
      <c r="AZ31" s="102" t="n">
        <v>45945</v>
      </c>
      <c r="BA31" s="103" t="n">
        <f aca="false">AO31+145</f>
        <v>45944</v>
      </c>
      <c r="BB31" s="72" t="s">
        <v>197</v>
      </c>
      <c r="BC31" s="72" t="n">
        <f aca="false">AZ31-AO31</f>
        <v>146</v>
      </c>
      <c r="BD31" s="76" t="s">
        <v>198</v>
      </c>
      <c r="BE31" s="72"/>
      <c r="BF31" s="91" t="n">
        <v>28</v>
      </c>
      <c r="BG31" s="91" t="s">
        <v>103</v>
      </c>
    </row>
    <row r="32" customFormat="false" ht="14.25" hidden="false" customHeight="false" outlineLevel="0" collapsed="false">
      <c r="A32" s="91" t="n">
        <v>29</v>
      </c>
      <c r="B32" s="91" t="s">
        <v>106</v>
      </c>
      <c r="C32" s="92" t="s">
        <v>194</v>
      </c>
      <c r="D32" s="72" t="n">
        <v>663</v>
      </c>
      <c r="E32" s="93"/>
      <c r="F32" s="94" t="n">
        <v>2</v>
      </c>
      <c r="G32" s="95" t="n">
        <v>45603</v>
      </c>
      <c r="H32" s="96"/>
      <c r="I32" s="77" t="n">
        <v>196</v>
      </c>
      <c r="J32" s="78" t="n">
        <f aca="false">$J$3-G32</f>
        <v>194</v>
      </c>
      <c r="K32" s="97"/>
      <c r="L32" s="97"/>
      <c r="M32" s="97"/>
      <c r="N32" s="97"/>
      <c r="O32" s="98" t="n">
        <v>49</v>
      </c>
      <c r="P32" s="98" t="n">
        <v>21</v>
      </c>
      <c r="Q32" s="98" t="n">
        <v>98</v>
      </c>
      <c r="R32" s="98" t="n">
        <v>134</v>
      </c>
      <c r="S32" s="98" t="n">
        <v>200</v>
      </c>
      <c r="T32" s="98" t="n">
        <v>1700</v>
      </c>
      <c r="U32" s="98" t="n">
        <v>1160</v>
      </c>
      <c r="V32" s="98" t="n">
        <v>1260</v>
      </c>
      <c r="W32" s="98" t="n">
        <v>1040</v>
      </c>
      <c r="X32" s="99"/>
      <c r="Y32" s="99"/>
      <c r="Z32" s="82" t="n">
        <v>45797.2951388889</v>
      </c>
      <c r="AA32" s="96" t="n">
        <v>24</v>
      </c>
      <c r="AB32" s="100"/>
      <c r="AC32" s="100"/>
      <c r="AD32" s="101"/>
      <c r="AE32" s="101"/>
      <c r="AF32" s="100" t="n">
        <v>45799.6948842593</v>
      </c>
      <c r="AG32" s="100" t="n">
        <v>45799.8182523148</v>
      </c>
      <c r="AH32" s="85" t="n">
        <f aca="false">(AF32-Z32)*24</f>
        <v>57.5938888888889</v>
      </c>
      <c r="AI32" s="85" t="n">
        <f aca="false">AH32+35</f>
        <v>92.5938888888889</v>
      </c>
      <c r="AJ32" s="101" t="n">
        <v>2.96083333325805</v>
      </c>
      <c r="AK32" s="101" t="n">
        <v>2.96083333325805</v>
      </c>
      <c r="AL32" s="101" t="n">
        <v>8</v>
      </c>
      <c r="AM32" s="101" t="n">
        <v>1</v>
      </c>
      <c r="AN32" s="96" t="s">
        <v>199</v>
      </c>
      <c r="AO32" s="86" t="n">
        <v>45799</v>
      </c>
      <c r="AP32" s="82" t="n">
        <v>45799.6722222222</v>
      </c>
      <c r="AQ32" s="87" t="n">
        <v>3109</v>
      </c>
      <c r="AR32" s="85" t="n">
        <f aca="false">(AP32-AF32)*24</f>
        <v>-0.543888888919444</v>
      </c>
      <c r="AS32" s="85" t="n">
        <f aca="false">AS$2-AO32</f>
        <v>46</v>
      </c>
      <c r="AT32" s="96" t="s">
        <v>13</v>
      </c>
      <c r="AU32" s="96" t="n">
        <v>24</v>
      </c>
      <c r="AV32" s="72"/>
      <c r="AW32" s="96" t="n">
        <v>1</v>
      </c>
      <c r="AX32" s="96" t="n">
        <v>1</v>
      </c>
      <c r="AY32" s="96" t="n">
        <v>0</v>
      </c>
      <c r="AZ32" s="102" t="n">
        <v>45947</v>
      </c>
      <c r="BA32" s="103" t="n">
        <f aca="false">AO32+145</f>
        <v>45944</v>
      </c>
      <c r="BB32" s="72" t="s">
        <v>197</v>
      </c>
      <c r="BC32" s="72" t="n">
        <f aca="false">AZ32-AO32</f>
        <v>148</v>
      </c>
      <c r="BD32" s="96"/>
      <c r="BE32" s="72"/>
      <c r="BF32" s="91" t="n">
        <v>29</v>
      </c>
      <c r="BG32" s="91" t="s">
        <v>106</v>
      </c>
    </row>
    <row r="33" customFormat="false" ht="14.25" hidden="false" customHeight="false" outlineLevel="0" collapsed="false">
      <c r="A33" s="91" t="n">
        <v>30</v>
      </c>
      <c r="B33" s="91" t="s">
        <v>71</v>
      </c>
      <c r="C33" s="92" t="s">
        <v>194</v>
      </c>
      <c r="D33" s="72" t="n">
        <v>140</v>
      </c>
      <c r="E33" s="93"/>
      <c r="F33" s="94" t="n">
        <v>2</v>
      </c>
      <c r="G33" s="95" t="n">
        <v>45601</v>
      </c>
      <c r="H33" s="96"/>
      <c r="I33" s="77" t="n">
        <v>198</v>
      </c>
      <c r="J33" s="78" t="n">
        <f aca="false">$J$3-G33</f>
        <v>196</v>
      </c>
      <c r="K33" s="97"/>
      <c r="L33" s="97"/>
      <c r="M33" s="97"/>
      <c r="N33" s="97"/>
      <c r="O33" s="98" t="n">
        <v>31</v>
      </c>
      <c r="P33" s="98" t="n">
        <v>40</v>
      </c>
      <c r="Q33" s="98" t="n">
        <v>116.5</v>
      </c>
      <c r="R33" s="98" t="n">
        <v>163</v>
      </c>
      <c r="S33" s="98" t="n">
        <v>1460</v>
      </c>
      <c r="T33" s="98" t="n">
        <v>1600</v>
      </c>
      <c r="U33" s="98" t="n">
        <v>1100</v>
      </c>
      <c r="V33" s="98" t="n">
        <v>1040</v>
      </c>
      <c r="W33" s="98" t="n">
        <v>1100</v>
      </c>
      <c r="X33" s="99"/>
      <c r="Y33" s="99"/>
      <c r="Z33" s="82" t="n">
        <v>45797.2972222222</v>
      </c>
      <c r="AA33" s="96"/>
      <c r="AB33" s="100"/>
      <c r="AC33" s="100"/>
      <c r="AD33" s="101"/>
      <c r="AE33" s="101"/>
      <c r="AF33" s="100"/>
      <c r="AG33" s="100"/>
      <c r="AH33" s="85"/>
      <c r="AI33" s="85"/>
      <c r="AJ33" s="101"/>
      <c r="AK33" s="101"/>
      <c r="AL33" s="101"/>
      <c r="AM33" s="101"/>
      <c r="AN33" s="96"/>
      <c r="AO33" s="86" t="n">
        <v>45799</v>
      </c>
      <c r="AP33" s="82" t="n">
        <v>45799.6701388889</v>
      </c>
      <c r="AQ33" s="87" t="n">
        <v>4064</v>
      </c>
      <c r="AR33" s="85"/>
      <c r="AS33" s="85" t="n">
        <f aca="false">AS$2-AO33</f>
        <v>46</v>
      </c>
      <c r="AT33" s="96" t="s">
        <v>196</v>
      </c>
      <c r="AU33" s="96"/>
      <c r="AV33" s="72"/>
      <c r="AW33" s="96" t="n">
        <v>1</v>
      </c>
      <c r="AX33" s="96" t="n">
        <v>1</v>
      </c>
      <c r="AY33" s="96" t="n">
        <v>0</v>
      </c>
      <c r="AZ33" s="102" t="n">
        <v>45964</v>
      </c>
      <c r="BA33" s="103" t="n">
        <f aca="false">AO33+145</f>
        <v>45944</v>
      </c>
      <c r="BB33" s="89" t="s">
        <v>196</v>
      </c>
      <c r="BC33" s="72" t="n">
        <f aca="false">AZ33-AO33</f>
        <v>165</v>
      </c>
      <c r="BD33" s="76" t="s">
        <v>198</v>
      </c>
      <c r="BE33" s="72"/>
      <c r="BF33" s="91" t="n">
        <v>30</v>
      </c>
      <c r="BG33" s="91" t="s">
        <v>71</v>
      </c>
    </row>
    <row r="34" customFormat="false" ht="14.25" hidden="false" customHeight="false" outlineLevel="0" collapsed="false">
      <c r="A34" s="91" t="n">
        <v>31</v>
      </c>
      <c r="B34" s="91" t="s">
        <v>111</v>
      </c>
      <c r="C34" s="92" t="s">
        <v>194</v>
      </c>
      <c r="D34" s="72" t="n">
        <v>797</v>
      </c>
      <c r="E34" s="93"/>
      <c r="F34" s="94" t="n">
        <v>2</v>
      </c>
      <c r="G34" s="95" t="n">
        <v>45583</v>
      </c>
      <c r="H34" s="96"/>
      <c r="I34" s="77" t="n">
        <v>216</v>
      </c>
      <c r="J34" s="78" t="n">
        <f aca="false">$J$3-G34</f>
        <v>214</v>
      </c>
      <c r="K34" s="97"/>
      <c r="L34" s="97"/>
      <c r="M34" s="97"/>
      <c r="N34" s="97"/>
      <c r="O34" s="98" t="n">
        <v>119</v>
      </c>
      <c r="P34" s="98" t="n">
        <v>-35</v>
      </c>
      <c r="Q34" s="98" t="n">
        <v>85.9</v>
      </c>
      <c r="R34" s="98" t="n">
        <v>161</v>
      </c>
      <c r="S34" s="98" t="n">
        <v>800</v>
      </c>
      <c r="T34" s="98" t="n">
        <v>1260</v>
      </c>
      <c r="U34" s="98" t="n">
        <v>960</v>
      </c>
      <c r="V34" s="98" t="n">
        <v>940</v>
      </c>
      <c r="W34" s="98" t="n">
        <v>1060</v>
      </c>
      <c r="X34" s="99"/>
      <c r="Y34" s="99"/>
      <c r="Z34" s="82" t="n">
        <v>45797.2895833333</v>
      </c>
      <c r="AA34" s="96"/>
      <c r="AB34" s="100"/>
      <c r="AC34" s="100"/>
      <c r="AD34" s="101"/>
      <c r="AE34" s="101"/>
      <c r="AF34" s="100"/>
      <c r="AG34" s="100"/>
      <c r="AH34" s="85"/>
      <c r="AI34" s="85"/>
      <c r="AJ34" s="101"/>
      <c r="AK34" s="101"/>
      <c r="AL34" s="101"/>
      <c r="AM34" s="101"/>
      <c r="AN34" s="96"/>
      <c r="AO34" s="86" t="n">
        <v>45799</v>
      </c>
      <c r="AP34" s="82" t="n">
        <v>45799.6770833333</v>
      </c>
      <c r="AQ34" s="87" t="n">
        <v>2072</v>
      </c>
      <c r="AR34" s="85"/>
      <c r="AS34" s="85" t="n">
        <f aca="false">AS$2-AO34</f>
        <v>46</v>
      </c>
      <c r="AT34" s="96" t="s">
        <v>13</v>
      </c>
      <c r="AU34" s="96"/>
      <c r="AV34" s="72"/>
      <c r="AW34" s="96" t="n">
        <v>1</v>
      </c>
      <c r="AX34" s="96" t="n">
        <v>1</v>
      </c>
      <c r="AY34" s="96" t="n">
        <v>0</v>
      </c>
      <c r="AZ34" s="102" t="n">
        <v>45946</v>
      </c>
      <c r="BA34" s="103" t="n">
        <f aca="false">AO34+145</f>
        <v>45944</v>
      </c>
      <c r="BB34" s="72" t="s">
        <v>197</v>
      </c>
      <c r="BC34" s="72" t="n">
        <f aca="false">AZ34-AO34</f>
        <v>147</v>
      </c>
      <c r="BD34" s="76" t="s">
        <v>198</v>
      </c>
      <c r="BE34" s="72"/>
      <c r="BF34" s="91" t="n">
        <v>31</v>
      </c>
      <c r="BG34" s="91" t="s">
        <v>111</v>
      </c>
    </row>
    <row r="35" customFormat="false" ht="14.25" hidden="false" customHeight="false" outlineLevel="0" collapsed="false">
      <c r="A35" s="91" t="n">
        <v>32</v>
      </c>
      <c r="B35" s="91" t="s">
        <v>112</v>
      </c>
      <c r="C35" s="92" t="s">
        <v>194</v>
      </c>
      <c r="D35" s="72" t="n">
        <v>824</v>
      </c>
      <c r="E35" s="93"/>
      <c r="F35" s="94" t="n">
        <v>2</v>
      </c>
      <c r="G35" s="95" t="n">
        <v>45601</v>
      </c>
      <c r="H35" s="96"/>
      <c r="I35" s="77" t="n">
        <v>198</v>
      </c>
      <c r="J35" s="78" t="n">
        <f aca="false">$J$3-G35</f>
        <v>196</v>
      </c>
      <c r="K35" s="97"/>
      <c r="L35" s="97"/>
      <c r="M35" s="97"/>
      <c r="N35" s="97"/>
      <c r="O35" s="104" t="n">
        <v>22</v>
      </c>
      <c r="P35" s="98" t="n">
        <v>154</v>
      </c>
      <c r="Q35" s="104" t="n">
        <v>132.5</v>
      </c>
      <c r="R35" s="104" t="n">
        <v>158</v>
      </c>
      <c r="S35" s="98" t="n">
        <v>1360</v>
      </c>
      <c r="T35" s="98" t="n">
        <v>1600</v>
      </c>
      <c r="U35" s="98" t="n">
        <v>900</v>
      </c>
      <c r="V35" s="98" t="n">
        <v>1000</v>
      </c>
      <c r="W35" s="98" t="n">
        <v>1040</v>
      </c>
      <c r="X35" s="99"/>
      <c r="Y35" s="99"/>
      <c r="Z35" s="82" t="n">
        <v>45797.2909722222</v>
      </c>
      <c r="AA35" s="96" t="n">
        <v>4</v>
      </c>
      <c r="AB35" s="100"/>
      <c r="AC35" s="100"/>
      <c r="AD35" s="101"/>
      <c r="AE35" s="101"/>
      <c r="AF35" s="100" t="n">
        <v>45798.4532523148</v>
      </c>
      <c r="AG35" s="100" t="n">
        <v>45799.2663425926</v>
      </c>
      <c r="AH35" s="85" t="n">
        <f aca="false">(AF35-Z35)*24</f>
        <v>27.8947222222222</v>
      </c>
      <c r="AI35" s="85" t="n">
        <f aca="false">AH35+35</f>
        <v>62.8947222222222</v>
      </c>
      <c r="AJ35" s="101" t="n">
        <v>19.5141666666605</v>
      </c>
      <c r="AK35" s="101" t="n">
        <v>19.5141666666605</v>
      </c>
      <c r="AL35" s="101" t="n">
        <v>18</v>
      </c>
      <c r="AM35" s="101" t="n">
        <v>1</v>
      </c>
      <c r="AN35" s="96" t="s">
        <v>199</v>
      </c>
      <c r="AO35" s="86" t="n">
        <v>45799</v>
      </c>
      <c r="AP35" s="82" t="n">
        <v>45799.6673611111</v>
      </c>
      <c r="AQ35" s="87" t="n">
        <v>4062</v>
      </c>
      <c r="AR35" s="85" t="n">
        <f aca="false">(AP35-AF35)*24</f>
        <v>29.1386111111111</v>
      </c>
      <c r="AS35" s="85" t="n">
        <f aca="false">AS$2-AO35</f>
        <v>46</v>
      </c>
      <c r="AT35" s="96" t="s">
        <v>13</v>
      </c>
      <c r="AU35" s="96" t="n">
        <v>4</v>
      </c>
      <c r="AV35" s="72"/>
      <c r="AW35" s="96" t="n">
        <v>1</v>
      </c>
      <c r="AX35" s="96" t="n">
        <v>1</v>
      </c>
      <c r="AY35" s="96" t="n">
        <v>0</v>
      </c>
      <c r="AZ35" s="102" t="n">
        <v>45947</v>
      </c>
      <c r="BA35" s="103" t="n">
        <f aca="false">AO35+145</f>
        <v>45944</v>
      </c>
      <c r="BB35" s="72" t="s">
        <v>197</v>
      </c>
      <c r="BC35" s="72" t="n">
        <f aca="false">AZ35-AO35</f>
        <v>148</v>
      </c>
      <c r="BD35" s="96"/>
      <c r="BE35" s="72"/>
      <c r="BF35" s="91" t="n">
        <v>32</v>
      </c>
      <c r="BG35" s="91" t="s">
        <v>112</v>
      </c>
    </row>
    <row r="36" customFormat="false" ht="14.25" hidden="false" customHeight="false" outlineLevel="0" collapsed="false">
      <c r="A36" s="91" t="n">
        <v>33</v>
      </c>
      <c r="B36" s="91" t="s">
        <v>84</v>
      </c>
      <c r="C36" s="92" t="s">
        <v>194</v>
      </c>
      <c r="D36" s="72" t="n">
        <v>216</v>
      </c>
      <c r="E36" s="93"/>
      <c r="F36" s="94" t="n">
        <v>2</v>
      </c>
      <c r="G36" s="95" t="n">
        <v>45584</v>
      </c>
      <c r="H36" s="96"/>
      <c r="I36" s="77" t="n">
        <v>215</v>
      </c>
      <c r="J36" s="78" t="n">
        <f aca="false">$J$3-G36</f>
        <v>213</v>
      </c>
      <c r="K36" s="97"/>
      <c r="L36" s="97"/>
      <c r="M36" s="97"/>
      <c r="N36" s="97"/>
      <c r="O36" s="98" t="n">
        <v>35</v>
      </c>
      <c r="P36" s="98" t="n">
        <v>131</v>
      </c>
      <c r="Q36" s="98" t="n">
        <v>131.7</v>
      </c>
      <c r="R36" s="98" t="n">
        <v>160</v>
      </c>
      <c r="S36" s="98" t="n">
        <v>1200</v>
      </c>
      <c r="T36" s="98" t="n">
        <v>1360</v>
      </c>
      <c r="U36" s="98" t="n">
        <v>1000</v>
      </c>
      <c r="V36" s="98" t="n">
        <v>780</v>
      </c>
      <c r="W36" s="98" t="n">
        <v>840</v>
      </c>
      <c r="X36" s="99"/>
      <c r="Y36" s="99"/>
      <c r="Z36" s="82" t="n">
        <v>45797.2958333333</v>
      </c>
      <c r="AA36" s="96" t="n">
        <v>16</v>
      </c>
      <c r="AB36" s="100"/>
      <c r="AC36" s="100"/>
      <c r="AD36" s="101"/>
      <c r="AE36" s="101"/>
      <c r="AF36" s="100" t="n">
        <v>45799.0405902778</v>
      </c>
      <c r="AG36" s="100" t="n">
        <v>45799.8016666667</v>
      </c>
      <c r="AH36" s="85" t="n">
        <f aca="false">(AF36-Z36)*24</f>
        <v>41.8741666666667</v>
      </c>
      <c r="AI36" s="85" t="n">
        <f aca="false">AH36+35</f>
        <v>76.8741666666667</v>
      </c>
      <c r="AJ36" s="101" t="n">
        <v>18.2658333333093</v>
      </c>
      <c r="AK36" s="101" t="n">
        <v>18.2658333333093</v>
      </c>
      <c r="AL36" s="101" t="n">
        <v>4</v>
      </c>
      <c r="AM36" s="101" t="n">
        <v>2</v>
      </c>
      <c r="AN36" s="96" t="s">
        <v>195</v>
      </c>
      <c r="AO36" s="86" t="n">
        <v>45799</v>
      </c>
      <c r="AP36" s="82" t="n">
        <v>45799.6743055556</v>
      </c>
      <c r="AQ36" s="87" t="n">
        <v>3109</v>
      </c>
      <c r="AR36" s="85" t="n">
        <f aca="false">(AP36-AF36)*24</f>
        <v>15.2091666666667</v>
      </c>
      <c r="AS36" s="85" t="n">
        <f aca="false">AS$2-AO36</f>
        <v>46</v>
      </c>
      <c r="AT36" s="96" t="s">
        <v>196</v>
      </c>
      <c r="AU36" s="96" t="n">
        <v>16</v>
      </c>
      <c r="AV36" s="72"/>
      <c r="AW36" s="96" t="n">
        <v>1</v>
      </c>
      <c r="AX36" s="96" t="n">
        <v>1</v>
      </c>
      <c r="AY36" s="96" t="n">
        <v>0</v>
      </c>
      <c r="AZ36" s="102" t="n">
        <v>45964</v>
      </c>
      <c r="BA36" s="103" t="n">
        <f aca="false">AO36+145</f>
        <v>45944</v>
      </c>
      <c r="BB36" s="89" t="s">
        <v>196</v>
      </c>
      <c r="BC36" s="72" t="n">
        <f aca="false">AZ36-AO36</f>
        <v>165</v>
      </c>
      <c r="BD36" s="96"/>
      <c r="BE36" s="72"/>
      <c r="BF36" s="91" t="n">
        <v>33</v>
      </c>
      <c r="BG36" s="91" t="s">
        <v>84</v>
      </c>
    </row>
    <row r="37" customFormat="false" ht="14.25" hidden="false" customHeight="false" outlineLevel="0" collapsed="false">
      <c r="A37" s="91" t="n">
        <v>34</v>
      </c>
      <c r="B37" s="91" t="s">
        <v>74</v>
      </c>
      <c r="C37" s="92" t="s">
        <v>194</v>
      </c>
      <c r="D37" s="72" t="n">
        <v>173</v>
      </c>
      <c r="E37" s="93"/>
      <c r="F37" s="94" t="n">
        <v>2</v>
      </c>
      <c r="G37" s="95" t="n">
        <v>45593</v>
      </c>
      <c r="H37" s="96"/>
      <c r="I37" s="77" t="n">
        <v>206</v>
      </c>
      <c r="J37" s="78" t="n">
        <f aca="false">$J$3-G37</f>
        <v>204</v>
      </c>
      <c r="K37" s="97"/>
      <c r="L37" s="97"/>
      <c r="M37" s="97"/>
      <c r="N37" s="97"/>
      <c r="O37" s="98" t="n">
        <v>53</v>
      </c>
      <c r="P37" s="98" t="n">
        <v>45</v>
      </c>
      <c r="Q37" s="98" t="n">
        <v>114.4</v>
      </c>
      <c r="R37" s="98" t="n">
        <v>165</v>
      </c>
      <c r="S37" s="98" t="n">
        <v>1300</v>
      </c>
      <c r="T37" s="98" t="n">
        <v>1700</v>
      </c>
      <c r="U37" s="98" t="n">
        <v>1000</v>
      </c>
      <c r="V37" s="98" t="n">
        <v>1020</v>
      </c>
      <c r="W37" s="98" t="n">
        <v>1000</v>
      </c>
      <c r="X37" s="99"/>
      <c r="Y37" s="99"/>
      <c r="Z37" s="82" t="n">
        <v>45797.2951388889</v>
      </c>
      <c r="AA37" s="96" t="n">
        <v>3</v>
      </c>
      <c r="AB37" s="100" t="n">
        <v>45798.2470023148</v>
      </c>
      <c r="AC37" s="100" t="n">
        <v>45799.7532523148</v>
      </c>
      <c r="AD37" s="101" t="n">
        <v>36.1500000001397</v>
      </c>
      <c r="AE37" s="101" t="n">
        <v>36.1500000001397</v>
      </c>
      <c r="AF37" s="100" t="n">
        <v>45798.2470023148</v>
      </c>
      <c r="AG37" s="100" t="n">
        <v>45798.3677314815</v>
      </c>
      <c r="AH37" s="85" t="n">
        <f aca="false">(AF37-Z37)*24</f>
        <v>22.8447222222222</v>
      </c>
      <c r="AI37" s="85" t="n">
        <f aca="false">AH37+35</f>
        <v>57.8447222222222</v>
      </c>
      <c r="AJ37" s="101" t="n">
        <v>2.89750000013737</v>
      </c>
      <c r="AK37" s="101" t="n">
        <v>2.89750000013737</v>
      </c>
      <c r="AL37" s="101" t="n">
        <v>12</v>
      </c>
      <c r="AM37" s="101" t="n">
        <v>1</v>
      </c>
      <c r="AN37" s="96" t="s">
        <v>199</v>
      </c>
      <c r="AO37" s="86" t="n">
        <v>45799</v>
      </c>
      <c r="AP37" s="82" t="n">
        <v>45799.6715277778</v>
      </c>
      <c r="AQ37" s="87" t="n">
        <v>3109</v>
      </c>
      <c r="AR37" s="85" t="n">
        <f aca="false">(AP37-AF37)*24</f>
        <v>34.1886111111111</v>
      </c>
      <c r="AS37" s="85" t="n">
        <f aca="false">AS$2-AO37</f>
        <v>46</v>
      </c>
      <c r="AT37" s="96" t="s">
        <v>196</v>
      </c>
      <c r="AU37" s="96" t="n">
        <v>3</v>
      </c>
      <c r="AV37" s="72"/>
      <c r="AW37" s="96" t="n">
        <v>1</v>
      </c>
      <c r="AX37" s="96" t="n">
        <v>1</v>
      </c>
      <c r="AY37" s="96" t="n">
        <v>0</v>
      </c>
      <c r="AZ37" s="102" t="n">
        <v>45964</v>
      </c>
      <c r="BA37" s="103" t="n">
        <f aca="false">AO37+145</f>
        <v>45944</v>
      </c>
      <c r="BB37" s="89" t="s">
        <v>196</v>
      </c>
      <c r="BC37" s="72" t="n">
        <f aca="false">AZ37-AO37</f>
        <v>165</v>
      </c>
      <c r="BD37" s="96"/>
      <c r="BE37" s="72"/>
      <c r="BF37" s="91" t="n">
        <v>34</v>
      </c>
      <c r="BG37" s="91" t="s">
        <v>74</v>
      </c>
    </row>
    <row r="38" customFormat="false" ht="14.25" hidden="false" customHeight="false" outlineLevel="0" collapsed="false">
      <c r="A38" s="91" t="n">
        <v>35</v>
      </c>
      <c r="B38" s="91" t="s">
        <v>96</v>
      </c>
      <c r="C38" s="92" t="s">
        <v>194</v>
      </c>
      <c r="D38" s="72" t="n">
        <v>509</v>
      </c>
      <c r="E38" s="93"/>
      <c r="F38" s="94" t="n">
        <v>2</v>
      </c>
      <c r="G38" s="95" t="n">
        <v>45582</v>
      </c>
      <c r="H38" s="96"/>
      <c r="I38" s="77" t="n">
        <v>217</v>
      </c>
      <c r="J38" s="78" t="n">
        <f aca="false">$J$3-G38</f>
        <v>215</v>
      </c>
      <c r="K38" s="97"/>
      <c r="L38" s="97"/>
      <c r="M38" s="97"/>
      <c r="N38" s="97"/>
      <c r="O38" s="98" t="n">
        <v>-37</v>
      </c>
      <c r="P38" s="98" t="n">
        <v>-25</v>
      </c>
      <c r="Q38" s="98" t="n">
        <v>121.2</v>
      </c>
      <c r="R38" s="98" t="n">
        <v>161</v>
      </c>
      <c r="S38" s="98" t="n">
        <v>0</v>
      </c>
      <c r="T38" s="98" t="n">
        <v>900</v>
      </c>
      <c r="U38" s="98" t="n">
        <v>800</v>
      </c>
      <c r="V38" s="98" t="n">
        <v>960</v>
      </c>
      <c r="W38" s="98" t="n">
        <v>1100</v>
      </c>
      <c r="X38" s="99"/>
      <c r="Y38" s="99"/>
      <c r="Z38" s="82" t="n">
        <v>45797.29375</v>
      </c>
      <c r="AA38" s="96" t="n">
        <v>23</v>
      </c>
      <c r="AB38" s="100"/>
      <c r="AC38" s="100"/>
      <c r="AD38" s="101"/>
      <c r="AE38" s="101"/>
      <c r="AF38" s="100" t="n">
        <v>45799.6044212963</v>
      </c>
      <c r="AG38" s="100" t="n">
        <v>45799.6044212963</v>
      </c>
      <c r="AH38" s="85" t="n">
        <f aca="false">(AF38-Z38)*24</f>
        <v>55.4561111111111</v>
      </c>
      <c r="AI38" s="85" t="n">
        <f aca="false">AH38+35</f>
        <v>90.4561111111111</v>
      </c>
      <c r="AJ38" s="101" t="n">
        <v>0</v>
      </c>
      <c r="AK38" s="101" t="n">
        <v>1</v>
      </c>
      <c r="AL38" s="101" t="n">
        <v>1</v>
      </c>
      <c r="AM38" s="101" t="n">
        <v>1</v>
      </c>
      <c r="AN38" s="96" t="s">
        <v>199</v>
      </c>
      <c r="AO38" s="86" t="n">
        <v>45799</v>
      </c>
      <c r="AP38" s="82" t="n">
        <v>45799.6722222222</v>
      </c>
      <c r="AQ38" s="87" t="n">
        <v>4062</v>
      </c>
      <c r="AR38" s="85" t="n">
        <f aca="false">(AP38-AF38)*24</f>
        <v>1.62722222222222</v>
      </c>
      <c r="AS38" s="85" t="n">
        <f aca="false">AS$2-AO38</f>
        <v>46</v>
      </c>
      <c r="AT38" s="96" t="s">
        <v>196</v>
      </c>
      <c r="AU38" s="96" t="n">
        <v>23</v>
      </c>
      <c r="AV38" s="72"/>
      <c r="AW38" s="96"/>
      <c r="AX38" s="96"/>
      <c r="AY38" s="96"/>
      <c r="AZ38" s="102"/>
      <c r="BA38" s="103" t="n">
        <f aca="false">AO38+145</f>
        <v>45944</v>
      </c>
      <c r="BB38" s="72" t="s">
        <v>200</v>
      </c>
      <c r="BC38" s="72"/>
      <c r="BD38" s="96"/>
      <c r="BE38" s="72"/>
      <c r="BF38" s="91" t="n">
        <v>35</v>
      </c>
      <c r="BG38" s="91" t="s">
        <v>96</v>
      </c>
    </row>
    <row r="39" customFormat="false" ht="14.25" hidden="false" customHeight="false" outlineLevel="0" collapsed="false">
      <c r="A39" s="91" t="n">
        <v>36</v>
      </c>
      <c r="B39" s="91" t="s">
        <v>114</v>
      </c>
      <c r="C39" s="92" t="s">
        <v>194</v>
      </c>
      <c r="D39" s="72" t="n">
        <v>991</v>
      </c>
      <c r="E39" s="93"/>
      <c r="F39" s="94" t="n">
        <v>2</v>
      </c>
      <c r="G39" s="95" t="n">
        <v>45598</v>
      </c>
      <c r="H39" s="96"/>
      <c r="I39" s="77" t="n">
        <v>201</v>
      </c>
      <c r="J39" s="78" t="n">
        <f aca="false">$J$3-G39</f>
        <v>199</v>
      </c>
      <c r="K39" s="97"/>
      <c r="L39" s="97"/>
      <c r="M39" s="97"/>
      <c r="N39" s="97"/>
      <c r="O39" s="98" t="n">
        <v>-68</v>
      </c>
      <c r="P39" s="98" t="n">
        <v>47</v>
      </c>
      <c r="Q39" s="98" t="n">
        <v>124.2</v>
      </c>
      <c r="R39" s="98" t="n">
        <v>124</v>
      </c>
      <c r="S39" s="98" t="n">
        <v>200</v>
      </c>
      <c r="T39" s="98" t="n">
        <v>1540</v>
      </c>
      <c r="U39" s="98" t="n">
        <v>960</v>
      </c>
      <c r="V39" s="98" t="n">
        <v>1240</v>
      </c>
      <c r="W39" s="98" t="n">
        <v>1360</v>
      </c>
      <c r="X39" s="99"/>
      <c r="Y39" s="99"/>
      <c r="Z39" s="82" t="n">
        <v>45797.2923611111</v>
      </c>
      <c r="AA39" s="96"/>
      <c r="AB39" s="100"/>
      <c r="AC39" s="100"/>
      <c r="AD39" s="101"/>
      <c r="AE39" s="101"/>
      <c r="AF39" s="100"/>
      <c r="AG39" s="100"/>
      <c r="AH39" s="85"/>
      <c r="AI39" s="85"/>
      <c r="AJ39" s="101"/>
      <c r="AK39" s="101"/>
      <c r="AL39" s="101"/>
      <c r="AM39" s="101"/>
      <c r="AN39" s="96"/>
      <c r="AO39" s="86" t="n">
        <v>45799</v>
      </c>
      <c r="AP39" s="82" t="n">
        <v>45799.6680555556</v>
      </c>
      <c r="AQ39" s="87" t="n">
        <v>4045</v>
      </c>
      <c r="AR39" s="85"/>
      <c r="AS39" s="85" t="n">
        <f aca="false">AS$2-AO39</f>
        <v>46</v>
      </c>
      <c r="AT39" s="96" t="s">
        <v>13</v>
      </c>
      <c r="AU39" s="96"/>
      <c r="AV39" s="72"/>
      <c r="AW39" s="96" t="n">
        <v>2</v>
      </c>
      <c r="AX39" s="96" t="n">
        <v>2</v>
      </c>
      <c r="AY39" s="96" t="n">
        <v>0</v>
      </c>
      <c r="AZ39" s="102" t="n">
        <v>45945</v>
      </c>
      <c r="BA39" s="103" t="n">
        <f aca="false">AO39+145</f>
        <v>45944</v>
      </c>
      <c r="BB39" s="72" t="s">
        <v>197</v>
      </c>
      <c r="BC39" s="72" t="n">
        <f aca="false">AZ39-AO39</f>
        <v>146</v>
      </c>
      <c r="BD39" s="76" t="s">
        <v>198</v>
      </c>
      <c r="BE39" s="72"/>
      <c r="BF39" s="91" t="n">
        <v>36</v>
      </c>
      <c r="BG39" s="91" t="s">
        <v>114</v>
      </c>
    </row>
    <row r="40" customFormat="false" ht="14.25" hidden="false" customHeight="false" outlineLevel="0" collapsed="false">
      <c r="A40" s="91" t="n">
        <v>37</v>
      </c>
      <c r="B40" s="91" t="s">
        <v>93</v>
      </c>
      <c r="C40" s="92" t="s">
        <v>194</v>
      </c>
      <c r="D40" s="72" t="n">
        <v>481</v>
      </c>
      <c r="E40" s="93"/>
      <c r="F40" s="94" t="n">
        <v>2</v>
      </c>
      <c r="G40" s="95" t="n">
        <v>45581</v>
      </c>
      <c r="H40" s="96"/>
      <c r="I40" s="77" t="n">
        <v>218</v>
      </c>
      <c r="J40" s="78" t="n">
        <f aca="false">$J$3-G40</f>
        <v>216</v>
      </c>
      <c r="K40" s="97"/>
      <c r="L40" s="97"/>
      <c r="M40" s="97"/>
      <c r="N40" s="97"/>
      <c r="O40" s="98" t="n">
        <v>124</v>
      </c>
      <c r="P40" s="98" t="n">
        <v>39</v>
      </c>
      <c r="Q40" s="98" t="n">
        <v>109.2</v>
      </c>
      <c r="R40" s="98" t="n">
        <v>124</v>
      </c>
      <c r="S40" s="104" t="n">
        <v>1460</v>
      </c>
      <c r="T40" s="98" t="n">
        <v>1500</v>
      </c>
      <c r="U40" s="98" t="n">
        <v>1040</v>
      </c>
      <c r="V40" s="98" t="n">
        <v>720</v>
      </c>
      <c r="W40" s="98" t="n">
        <v>900</v>
      </c>
      <c r="X40" s="99"/>
      <c r="Y40" s="99"/>
      <c r="Z40" s="82" t="n">
        <v>45797.2923611111</v>
      </c>
      <c r="AA40" s="96"/>
      <c r="AB40" s="100"/>
      <c r="AC40" s="100"/>
      <c r="AD40" s="101"/>
      <c r="AE40" s="101"/>
      <c r="AF40" s="100"/>
      <c r="AG40" s="100"/>
      <c r="AH40" s="85"/>
      <c r="AI40" s="85"/>
      <c r="AJ40" s="101"/>
      <c r="AK40" s="101"/>
      <c r="AL40" s="101"/>
      <c r="AM40" s="101"/>
      <c r="AN40" s="96"/>
      <c r="AO40" s="86" t="n">
        <v>45799</v>
      </c>
      <c r="AP40" s="82" t="n">
        <v>45799.6770833333</v>
      </c>
      <c r="AQ40" s="87" t="n">
        <v>2068</v>
      </c>
      <c r="AR40" s="85"/>
      <c r="AS40" s="85" t="n">
        <f aca="false">AS$2-AO40</f>
        <v>46</v>
      </c>
      <c r="AT40" s="96" t="s">
        <v>196</v>
      </c>
      <c r="AU40" s="96"/>
      <c r="AV40" s="72"/>
      <c r="AW40" s="96" t="n">
        <v>1</v>
      </c>
      <c r="AX40" s="96" t="n">
        <v>1</v>
      </c>
      <c r="AY40" s="96" t="n">
        <v>0</v>
      </c>
      <c r="AZ40" s="102" t="n">
        <v>45964</v>
      </c>
      <c r="BA40" s="103" t="n">
        <f aca="false">AO40+145</f>
        <v>45944</v>
      </c>
      <c r="BB40" s="89" t="s">
        <v>196</v>
      </c>
      <c r="BC40" s="72" t="n">
        <f aca="false">AZ40-AO40</f>
        <v>165</v>
      </c>
      <c r="BD40" s="76" t="s">
        <v>198</v>
      </c>
      <c r="BE40" s="72"/>
      <c r="BF40" s="91" t="n">
        <v>37</v>
      </c>
      <c r="BG40" s="91" t="s">
        <v>93</v>
      </c>
    </row>
    <row r="41" customFormat="false" ht="14.25" hidden="false" customHeight="false" outlineLevel="0" collapsed="false">
      <c r="A41" s="91" t="n">
        <v>38</v>
      </c>
      <c r="B41" s="91" t="s">
        <v>102</v>
      </c>
      <c r="C41" s="92" t="s">
        <v>194</v>
      </c>
      <c r="D41" s="72" t="n">
        <v>608</v>
      </c>
      <c r="E41" s="93"/>
      <c r="F41" s="94" t="n">
        <v>2</v>
      </c>
      <c r="G41" s="95" t="n">
        <v>45583</v>
      </c>
      <c r="H41" s="96"/>
      <c r="I41" s="77" t="n">
        <v>216</v>
      </c>
      <c r="J41" s="78" t="n">
        <f aca="false">$J$3-G41</f>
        <v>214</v>
      </c>
      <c r="K41" s="97"/>
      <c r="L41" s="97"/>
      <c r="M41" s="97"/>
      <c r="N41" s="97"/>
      <c r="O41" s="98" t="n">
        <v>-30</v>
      </c>
      <c r="P41" s="98" t="n">
        <v>-7</v>
      </c>
      <c r="Q41" s="98" t="n">
        <v>93.8</v>
      </c>
      <c r="R41" s="98" t="n">
        <v>161</v>
      </c>
      <c r="S41" s="98" t="n">
        <v>1100</v>
      </c>
      <c r="T41" s="98" t="n">
        <v>1060</v>
      </c>
      <c r="U41" s="98" t="n">
        <v>900</v>
      </c>
      <c r="V41" s="98" t="n">
        <v>480</v>
      </c>
      <c r="W41" s="98" t="n">
        <v>720</v>
      </c>
      <c r="X41" s="99"/>
      <c r="Y41" s="99"/>
      <c r="Z41" s="82" t="n">
        <v>45797.2923611111</v>
      </c>
      <c r="AA41" s="96" t="n">
        <v>20</v>
      </c>
      <c r="AB41" s="100" t="n">
        <v>45799.1296643519</v>
      </c>
      <c r="AC41" s="100" t="n">
        <v>45799.8347453704</v>
      </c>
      <c r="AD41" s="101" t="n">
        <v>16.921944444417</v>
      </c>
      <c r="AE41" s="101" t="n">
        <v>16.921944444417</v>
      </c>
      <c r="AF41" s="100" t="n">
        <v>45799.8260300926</v>
      </c>
      <c r="AG41" s="100" t="n">
        <v>45799.8347453704</v>
      </c>
      <c r="AH41" s="85" t="n">
        <f aca="false">(AF41-Z41)*24</f>
        <v>60.8080555555556</v>
      </c>
      <c r="AI41" s="85" t="n">
        <f aca="false">AH41+35</f>
        <v>95.8080555555556</v>
      </c>
      <c r="AJ41" s="101" t="n">
        <v>0.209166666667443</v>
      </c>
      <c r="AK41" s="101" t="n">
        <v>1</v>
      </c>
      <c r="AL41" s="101" t="n">
        <v>5</v>
      </c>
      <c r="AM41" s="101" t="n">
        <v>1</v>
      </c>
      <c r="AN41" s="96" t="s">
        <v>199</v>
      </c>
      <c r="AO41" s="86" t="n">
        <v>45799</v>
      </c>
      <c r="AP41" s="82" t="n">
        <v>45799.6701388889</v>
      </c>
      <c r="AQ41" s="87" t="n">
        <v>4064</v>
      </c>
      <c r="AR41" s="85" t="n">
        <f aca="false">(AP41-AF41)*24</f>
        <v>-3.74138888888889</v>
      </c>
      <c r="AS41" s="85" t="n">
        <f aca="false">AS$2-AO41</f>
        <v>46</v>
      </c>
      <c r="AT41" s="96" t="s">
        <v>13</v>
      </c>
      <c r="AU41" s="96" t="n">
        <v>20</v>
      </c>
      <c r="AV41" s="72"/>
      <c r="AW41" s="96" t="n">
        <v>2</v>
      </c>
      <c r="AX41" s="96" t="n">
        <v>2</v>
      </c>
      <c r="AY41" s="96" t="n">
        <v>0</v>
      </c>
      <c r="AZ41" s="102" t="n">
        <v>45944</v>
      </c>
      <c r="BA41" s="103" t="n">
        <f aca="false">AO41+145</f>
        <v>45944</v>
      </c>
      <c r="BB41" s="72" t="s">
        <v>197</v>
      </c>
      <c r="BC41" s="72" t="n">
        <f aca="false">AZ41-AO41</f>
        <v>145</v>
      </c>
      <c r="BD41" s="76"/>
      <c r="BE41" s="72"/>
      <c r="BF41" s="91" t="n">
        <v>38</v>
      </c>
      <c r="BG41" s="91" t="s">
        <v>102</v>
      </c>
    </row>
    <row r="42" customFormat="false" ht="14.25" hidden="false" customHeight="false" outlineLevel="0" collapsed="false">
      <c r="A42" s="91" t="n">
        <v>39</v>
      </c>
      <c r="B42" s="91" t="s">
        <v>110</v>
      </c>
      <c r="C42" s="92" t="s">
        <v>194</v>
      </c>
      <c r="D42" s="72" t="n">
        <v>761</v>
      </c>
      <c r="E42" s="93"/>
      <c r="F42" s="94" t="n">
        <v>2</v>
      </c>
      <c r="G42" s="95" t="n">
        <v>45603</v>
      </c>
      <c r="H42" s="96"/>
      <c r="I42" s="77" t="n">
        <v>196</v>
      </c>
      <c r="J42" s="78" t="n">
        <f aca="false">$J$3-G42</f>
        <v>194</v>
      </c>
      <c r="K42" s="97"/>
      <c r="L42" s="97"/>
      <c r="M42" s="97"/>
      <c r="N42" s="97"/>
      <c r="O42" s="98" t="n">
        <v>299</v>
      </c>
      <c r="P42" s="98" t="n">
        <v>302</v>
      </c>
      <c r="Q42" s="98"/>
      <c r="R42" s="98"/>
      <c r="S42" s="98" t="n">
        <v>2000</v>
      </c>
      <c r="T42" s="98" t="n">
        <v>2000</v>
      </c>
      <c r="U42" s="98" t="n">
        <v>1500</v>
      </c>
      <c r="V42" s="98" t="n">
        <v>1260</v>
      </c>
      <c r="W42" s="98" t="n">
        <v>1300</v>
      </c>
      <c r="X42" s="99"/>
      <c r="Y42" s="99"/>
      <c r="Z42" s="82" t="n">
        <v>45797.2909722222</v>
      </c>
      <c r="AA42" s="96"/>
      <c r="AB42" s="100"/>
      <c r="AC42" s="100"/>
      <c r="AD42" s="101"/>
      <c r="AE42" s="101"/>
      <c r="AF42" s="100"/>
      <c r="AG42" s="100"/>
      <c r="AH42" s="85"/>
      <c r="AI42" s="85"/>
      <c r="AJ42" s="101"/>
      <c r="AK42" s="101"/>
      <c r="AL42" s="101"/>
      <c r="AM42" s="101"/>
      <c r="AN42" s="96"/>
      <c r="AO42" s="86" t="n">
        <v>45799</v>
      </c>
      <c r="AP42" s="82" t="n">
        <v>45799.6763888889</v>
      </c>
      <c r="AQ42" s="87" t="n">
        <v>2072</v>
      </c>
      <c r="AR42" s="85"/>
      <c r="AS42" s="85" t="n">
        <f aca="false">AS$2-AO42</f>
        <v>46</v>
      </c>
      <c r="AT42" s="96" t="s">
        <v>13</v>
      </c>
      <c r="AU42" s="96"/>
      <c r="AV42" s="72"/>
      <c r="AW42" s="96" t="n">
        <v>2</v>
      </c>
      <c r="AX42" s="96" t="n">
        <v>2</v>
      </c>
      <c r="AY42" s="96" t="n">
        <v>0</v>
      </c>
      <c r="AZ42" s="102" t="n">
        <v>45948</v>
      </c>
      <c r="BA42" s="103" t="n">
        <f aca="false">AO42+145</f>
        <v>45944</v>
      </c>
      <c r="BB42" s="72" t="s">
        <v>197</v>
      </c>
      <c r="BC42" s="72" t="n">
        <f aca="false">AZ42-AO42</f>
        <v>149</v>
      </c>
      <c r="BD42" s="76" t="s">
        <v>198</v>
      </c>
      <c r="BE42" s="72"/>
      <c r="BF42" s="91" t="n">
        <v>39</v>
      </c>
      <c r="BG42" s="91" t="s">
        <v>110</v>
      </c>
    </row>
    <row r="43" customFormat="false" ht="14.25" hidden="false" customHeight="false" outlineLevel="0" collapsed="false">
      <c r="A43" s="91" t="n">
        <v>40</v>
      </c>
      <c r="B43" s="91" t="s">
        <v>95</v>
      </c>
      <c r="C43" s="92" t="s">
        <v>194</v>
      </c>
      <c r="D43" s="72" t="n">
        <v>504</v>
      </c>
      <c r="E43" s="93"/>
      <c r="F43" s="94" t="n">
        <v>2</v>
      </c>
      <c r="G43" s="95" t="n">
        <v>45583</v>
      </c>
      <c r="H43" s="96"/>
      <c r="I43" s="77" t="n">
        <v>216</v>
      </c>
      <c r="J43" s="78" t="n">
        <f aca="false">$J$3-G43</f>
        <v>214</v>
      </c>
      <c r="K43" s="97"/>
      <c r="L43" s="97"/>
      <c r="M43" s="97"/>
      <c r="N43" s="97"/>
      <c r="O43" s="104" t="n">
        <v>-97</v>
      </c>
      <c r="P43" s="98" t="n">
        <v>-48</v>
      </c>
      <c r="Q43" s="104" t="n">
        <v>83.2</v>
      </c>
      <c r="R43" s="104" t="n">
        <v>124</v>
      </c>
      <c r="S43" s="104" t="n">
        <v>1200</v>
      </c>
      <c r="T43" s="104" t="n">
        <v>1300</v>
      </c>
      <c r="U43" s="104" t="n">
        <v>940</v>
      </c>
      <c r="V43" s="98" t="n">
        <v>840</v>
      </c>
      <c r="W43" s="98" t="n">
        <v>620</v>
      </c>
      <c r="X43" s="99"/>
      <c r="Y43" s="99"/>
      <c r="Z43" s="82" t="n">
        <v>45797.2909722222</v>
      </c>
      <c r="AA43" s="96" t="n">
        <v>15</v>
      </c>
      <c r="AB43" s="100"/>
      <c r="AC43" s="100"/>
      <c r="AD43" s="101"/>
      <c r="AE43" s="101"/>
      <c r="AF43" s="100" t="n">
        <v>45798.9312962963</v>
      </c>
      <c r="AG43" s="100" t="n">
        <v>45798.9312962963</v>
      </c>
      <c r="AH43" s="85" t="n">
        <f aca="false">(AF43-Z43)*24</f>
        <v>39.3677777777778</v>
      </c>
      <c r="AI43" s="85" t="n">
        <f aca="false">AH43+35</f>
        <v>74.3677777777778</v>
      </c>
      <c r="AJ43" s="101" t="n">
        <v>0</v>
      </c>
      <c r="AK43" s="101" t="n">
        <v>1</v>
      </c>
      <c r="AL43" s="101" t="n">
        <v>1</v>
      </c>
      <c r="AM43" s="101"/>
      <c r="AN43" s="96"/>
      <c r="AO43" s="86" t="n">
        <v>45799</v>
      </c>
      <c r="AP43" s="82" t="n">
        <v>45799.66875</v>
      </c>
      <c r="AQ43" s="87" t="n">
        <v>4055</v>
      </c>
      <c r="AR43" s="85" t="n">
        <f aca="false">(AP43-AF43)*24</f>
        <v>17.6988888888889</v>
      </c>
      <c r="AS43" s="85" t="n">
        <f aca="false">AS$2-AO43</f>
        <v>46</v>
      </c>
      <c r="AT43" s="96" t="s">
        <v>13</v>
      </c>
      <c r="AU43" s="96" t="n">
        <v>15</v>
      </c>
      <c r="AV43" s="72"/>
      <c r="AW43" s="96" t="n">
        <v>1</v>
      </c>
      <c r="AX43" s="96" t="n">
        <v>1</v>
      </c>
      <c r="AY43" s="96" t="n">
        <v>0</v>
      </c>
      <c r="AZ43" s="102" t="n">
        <v>45948</v>
      </c>
      <c r="BA43" s="103" t="n">
        <f aca="false">AO43+145</f>
        <v>45944</v>
      </c>
      <c r="BB43" s="72" t="s">
        <v>197</v>
      </c>
      <c r="BC43" s="72" t="n">
        <f aca="false">AZ43-AO43</f>
        <v>149</v>
      </c>
      <c r="BD43" s="96"/>
      <c r="BE43" s="72"/>
      <c r="BF43" s="91" t="n">
        <v>40</v>
      </c>
      <c r="BG43" s="91" t="s">
        <v>95</v>
      </c>
    </row>
    <row r="44" customFormat="false" ht="14.25" hidden="false" customHeight="false" outlineLevel="0" collapsed="false">
      <c r="A44" s="91" t="n">
        <v>41</v>
      </c>
      <c r="B44" s="91" t="s">
        <v>117</v>
      </c>
      <c r="C44" s="92" t="s">
        <v>194</v>
      </c>
      <c r="D44" s="72" t="n">
        <v>915</v>
      </c>
      <c r="E44" s="93"/>
      <c r="F44" s="94" t="n">
        <v>2</v>
      </c>
      <c r="G44" s="95" t="n">
        <v>45599</v>
      </c>
      <c r="H44" s="96"/>
      <c r="I44" s="77" t="n">
        <v>200</v>
      </c>
      <c r="J44" s="78" t="n">
        <f aca="false">$J$3-G44</f>
        <v>198</v>
      </c>
      <c r="K44" s="97"/>
      <c r="L44" s="97"/>
      <c r="M44" s="97"/>
      <c r="N44" s="97"/>
      <c r="O44" s="104" t="n">
        <v>-27</v>
      </c>
      <c r="P44" s="98" t="n">
        <v>-65</v>
      </c>
      <c r="Q44" s="104" t="n">
        <v>102.1</v>
      </c>
      <c r="R44" s="104" t="n">
        <v>158</v>
      </c>
      <c r="S44" s="104" t="n">
        <v>120</v>
      </c>
      <c r="T44" s="104" t="n">
        <v>1300</v>
      </c>
      <c r="U44" s="104" t="n">
        <v>1000</v>
      </c>
      <c r="V44" s="98" t="n">
        <v>720</v>
      </c>
      <c r="W44" s="98" t="n">
        <v>940</v>
      </c>
      <c r="X44" s="99"/>
      <c r="Y44" s="99"/>
      <c r="Z44" s="82" t="n">
        <v>45797.2944444444</v>
      </c>
      <c r="AA44" s="96"/>
      <c r="AB44" s="100"/>
      <c r="AC44" s="100"/>
      <c r="AD44" s="101"/>
      <c r="AE44" s="101"/>
      <c r="AF44" s="100"/>
      <c r="AG44" s="100"/>
      <c r="AH44" s="85"/>
      <c r="AI44" s="85"/>
      <c r="AJ44" s="101"/>
      <c r="AK44" s="101"/>
      <c r="AL44" s="101"/>
      <c r="AM44" s="101"/>
      <c r="AN44" s="96"/>
      <c r="AO44" s="86" t="n">
        <v>45799</v>
      </c>
      <c r="AP44" s="82" t="n">
        <v>45799.6833333333</v>
      </c>
      <c r="AQ44" s="87" t="n">
        <v>4055</v>
      </c>
      <c r="AR44" s="85"/>
      <c r="AS44" s="85" t="n">
        <f aca="false">AS$2-AO44</f>
        <v>46</v>
      </c>
      <c r="AT44" s="96" t="s">
        <v>196</v>
      </c>
      <c r="AU44" s="96"/>
      <c r="AV44" s="72"/>
      <c r="AW44" s="96" t="n">
        <v>1</v>
      </c>
      <c r="AX44" s="96" t="n">
        <v>1</v>
      </c>
      <c r="AY44" s="96" t="n">
        <v>0</v>
      </c>
      <c r="AZ44" s="102" t="n">
        <v>45964</v>
      </c>
      <c r="BA44" s="103" t="n">
        <f aca="false">AO44+145</f>
        <v>45944</v>
      </c>
      <c r="BB44" s="89" t="s">
        <v>196</v>
      </c>
      <c r="BC44" s="72" t="n">
        <f aca="false">AZ44-AO44</f>
        <v>165</v>
      </c>
      <c r="BD44" s="76" t="s">
        <v>198</v>
      </c>
      <c r="BE44" s="72"/>
      <c r="BF44" s="91" t="n">
        <v>41</v>
      </c>
      <c r="BG44" s="91" t="s">
        <v>117</v>
      </c>
    </row>
    <row r="45" customFormat="false" ht="14.25" hidden="false" customHeight="false" outlineLevel="0" collapsed="false">
      <c r="A45" s="91" t="n">
        <v>42</v>
      </c>
      <c r="B45" s="91" t="s">
        <v>108</v>
      </c>
      <c r="C45" s="92" t="s">
        <v>194</v>
      </c>
      <c r="D45" s="72" t="n">
        <v>719</v>
      </c>
      <c r="E45" s="93"/>
      <c r="F45" s="94" t="n">
        <v>2</v>
      </c>
      <c r="G45" s="95" t="n">
        <v>45585</v>
      </c>
      <c r="H45" s="96"/>
      <c r="I45" s="77" t="n">
        <v>214</v>
      </c>
      <c r="J45" s="78" t="n">
        <f aca="false">$J$3-G45</f>
        <v>212</v>
      </c>
      <c r="K45" s="97"/>
      <c r="L45" s="97"/>
      <c r="M45" s="97"/>
      <c r="N45" s="97"/>
      <c r="O45" s="104" t="n">
        <v>21</v>
      </c>
      <c r="P45" s="104" t="n">
        <v>-66</v>
      </c>
      <c r="Q45" s="104" t="n">
        <v>88.3</v>
      </c>
      <c r="R45" s="104" t="n">
        <v>161</v>
      </c>
      <c r="S45" s="104" t="n">
        <v>800</v>
      </c>
      <c r="T45" s="104" t="n">
        <v>900</v>
      </c>
      <c r="U45" s="104" t="n">
        <v>860</v>
      </c>
      <c r="V45" s="104" t="n">
        <v>620</v>
      </c>
      <c r="W45" s="104" t="n">
        <v>700</v>
      </c>
      <c r="X45" s="99"/>
      <c r="Y45" s="99"/>
      <c r="Z45" s="82" t="n">
        <v>45797.2965277778</v>
      </c>
      <c r="AA45" s="96"/>
      <c r="AB45" s="100"/>
      <c r="AC45" s="100"/>
      <c r="AD45" s="101"/>
      <c r="AE45" s="101"/>
      <c r="AF45" s="100"/>
      <c r="AG45" s="100"/>
      <c r="AH45" s="85"/>
      <c r="AI45" s="85"/>
      <c r="AJ45" s="101"/>
      <c r="AK45" s="101"/>
      <c r="AL45" s="101"/>
      <c r="AM45" s="101"/>
      <c r="AN45" s="96"/>
      <c r="AO45" s="86" t="n">
        <v>45799</v>
      </c>
      <c r="AP45" s="82" t="n">
        <v>45799.6680555556</v>
      </c>
      <c r="AQ45" s="87" t="n">
        <v>4055</v>
      </c>
      <c r="AR45" s="85"/>
      <c r="AS45" s="85" t="n">
        <f aca="false">AS$2-AO45</f>
        <v>46</v>
      </c>
      <c r="AT45" s="96" t="s">
        <v>13</v>
      </c>
      <c r="AU45" s="96"/>
      <c r="AV45" s="72"/>
      <c r="AW45" s="96" t="n">
        <v>1</v>
      </c>
      <c r="AX45" s="96" t="n">
        <v>1</v>
      </c>
      <c r="AY45" s="96" t="n">
        <v>0</v>
      </c>
      <c r="AZ45" s="102" t="n">
        <v>45946</v>
      </c>
      <c r="BA45" s="103" t="n">
        <f aca="false">AO45+145</f>
        <v>45944</v>
      </c>
      <c r="BB45" s="72" t="s">
        <v>197</v>
      </c>
      <c r="BC45" s="72" t="n">
        <f aca="false">AZ45-AO45</f>
        <v>147</v>
      </c>
      <c r="BD45" s="76" t="s">
        <v>198</v>
      </c>
      <c r="BE45" s="72"/>
      <c r="BF45" s="91" t="n">
        <v>42</v>
      </c>
      <c r="BG45" s="91" t="s">
        <v>108</v>
      </c>
    </row>
    <row r="46" customFormat="false" ht="14.25" hidden="false" customHeight="false" outlineLevel="0" collapsed="false">
      <c r="A46" s="91" t="n">
        <v>43</v>
      </c>
      <c r="B46" s="91" t="s">
        <v>115</v>
      </c>
      <c r="C46" s="92" t="s">
        <v>194</v>
      </c>
      <c r="D46" s="72" t="n">
        <v>808</v>
      </c>
      <c r="E46" s="93"/>
      <c r="F46" s="94" t="n">
        <v>1</v>
      </c>
      <c r="G46" s="95"/>
      <c r="H46" s="96"/>
      <c r="I46" s="77"/>
      <c r="J46" s="78"/>
      <c r="K46" s="97"/>
      <c r="L46" s="97"/>
      <c r="M46" s="97"/>
      <c r="N46" s="97"/>
      <c r="O46" s="98"/>
      <c r="P46" s="98"/>
      <c r="Q46" s="104"/>
      <c r="R46" s="104"/>
      <c r="S46" s="104"/>
      <c r="T46" s="104"/>
      <c r="U46" s="98"/>
      <c r="V46" s="98"/>
      <c r="W46" s="98"/>
      <c r="X46" s="99"/>
      <c r="Y46" s="99"/>
      <c r="Z46" s="82" t="n">
        <v>45797.2979166667</v>
      </c>
      <c r="AA46" s="96" t="n">
        <v>12</v>
      </c>
      <c r="AB46" s="100"/>
      <c r="AC46" s="100"/>
      <c r="AD46" s="101"/>
      <c r="AE46" s="101"/>
      <c r="AF46" s="100" t="n">
        <v>45798.9019675926</v>
      </c>
      <c r="AG46" s="100" t="n">
        <v>45799.5832523148</v>
      </c>
      <c r="AH46" s="85" t="n">
        <f aca="false">(AF46-Z46)*24</f>
        <v>38.4972222222222</v>
      </c>
      <c r="AI46" s="85" t="n">
        <f aca="false">AH46+35</f>
        <v>73.4972222222222</v>
      </c>
      <c r="AJ46" s="101" t="n">
        <v>16.3508333332138</v>
      </c>
      <c r="AK46" s="101" t="n">
        <v>16.3508333332138</v>
      </c>
      <c r="AL46" s="101" t="n">
        <v>13</v>
      </c>
      <c r="AM46" s="101" t="n">
        <v>1</v>
      </c>
      <c r="AN46" s="96" t="s">
        <v>199</v>
      </c>
      <c r="AO46" s="86" t="n">
        <v>45799</v>
      </c>
      <c r="AP46" s="82" t="n">
        <v>45799.6847222222</v>
      </c>
      <c r="AQ46" s="87" t="n">
        <v>4064</v>
      </c>
      <c r="AR46" s="85" t="n">
        <f aca="false">(AP46-AF46)*24</f>
        <v>18.7861111111111</v>
      </c>
      <c r="AS46" s="85" t="n">
        <f aca="false">AS$2-AO46</f>
        <v>46</v>
      </c>
      <c r="AT46" s="96" t="s">
        <v>196</v>
      </c>
      <c r="AU46" s="96" t="n">
        <v>12</v>
      </c>
      <c r="AV46" s="72"/>
      <c r="AW46" s="96" t="n">
        <v>1</v>
      </c>
      <c r="AX46" s="96" t="n">
        <v>1</v>
      </c>
      <c r="AY46" s="96" t="n">
        <v>0</v>
      </c>
      <c r="AZ46" s="102" t="n">
        <v>45964</v>
      </c>
      <c r="BA46" s="103" t="n">
        <f aca="false">AO46+145</f>
        <v>45944</v>
      </c>
      <c r="BB46" s="89" t="s">
        <v>196</v>
      </c>
      <c r="BC46" s="72" t="n">
        <f aca="false">AZ46-AO46</f>
        <v>165</v>
      </c>
      <c r="BD46" s="96"/>
      <c r="BE46" s="72"/>
      <c r="BF46" s="91" t="n">
        <v>43</v>
      </c>
      <c r="BG46" s="91" t="s">
        <v>115</v>
      </c>
    </row>
    <row r="47" customFormat="false" ht="14.25" hidden="false" customHeight="false" outlineLevel="0" collapsed="false">
      <c r="A47" s="91" t="n">
        <v>44</v>
      </c>
      <c r="B47" s="91" t="s">
        <v>118</v>
      </c>
      <c r="C47" s="92" t="s">
        <v>194</v>
      </c>
      <c r="D47" s="72" t="n">
        <v>868</v>
      </c>
      <c r="E47" s="93"/>
      <c r="F47" s="94" t="n">
        <v>1</v>
      </c>
      <c r="G47" s="95" t="n">
        <v>45638</v>
      </c>
      <c r="H47" s="96"/>
      <c r="I47" s="77" t="n">
        <v>161</v>
      </c>
      <c r="J47" s="78" t="n">
        <f aca="false">$J$3-G47</f>
        <v>159</v>
      </c>
      <c r="K47" s="97"/>
      <c r="L47" s="97"/>
      <c r="M47" s="97"/>
      <c r="N47" s="97"/>
      <c r="O47" s="104" t="n">
        <v>133</v>
      </c>
      <c r="P47" s="98" t="n">
        <v>194</v>
      </c>
      <c r="Q47" s="104"/>
      <c r="R47" s="104"/>
      <c r="S47" s="104"/>
      <c r="T47" s="104"/>
      <c r="U47" s="104" t="n">
        <v>1020</v>
      </c>
      <c r="V47" s="98" t="n">
        <v>960</v>
      </c>
      <c r="W47" s="98" t="n">
        <v>820</v>
      </c>
      <c r="X47" s="99"/>
      <c r="Y47" s="99"/>
      <c r="Z47" s="82" t="n">
        <v>45797.2930555556</v>
      </c>
      <c r="AA47" s="96" t="n">
        <v>14</v>
      </c>
      <c r="AB47" s="100"/>
      <c r="AC47" s="100"/>
      <c r="AD47" s="101"/>
      <c r="AE47" s="101"/>
      <c r="AF47" s="100" t="n">
        <v>45798.9082060185</v>
      </c>
      <c r="AG47" s="100" t="n">
        <v>45799.2578819444</v>
      </c>
      <c r="AH47" s="85" t="n">
        <f aca="false">(AF47-Z47)*24</f>
        <v>38.7636111111111</v>
      </c>
      <c r="AI47" s="85" t="n">
        <f aca="false">AH47+35</f>
        <v>73.7636111111111</v>
      </c>
      <c r="AJ47" s="101" t="n">
        <v>8.39222222229</v>
      </c>
      <c r="AK47" s="101" t="n">
        <v>8.39222222229</v>
      </c>
      <c r="AL47" s="101" t="n">
        <v>4</v>
      </c>
      <c r="AM47" s="101" t="n">
        <v>2</v>
      </c>
      <c r="AN47" s="96" t="s">
        <v>195</v>
      </c>
      <c r="AO47" s="86" t="n">
        <v>45799</v>
      </c>
      <c r="AP47" s="82" t="n">
        <v>45799.6791666667</v>
      </c>
      <c r="AQ47" s="87" t="n">
        <v>2072</v>
      </c>
      <c r="AR47" s="85" t="n">
        <f aca="false">(AP47-AF47)*24</f>
        <v>18.5030555555556</v>
      </c>
      <c r="AS47" s="85" t="n">
        <f aca="false">AS$2-AO47</f>
        <v>46</v>
      </c>
      <c r="AT47" s="96" t="s">
        <v>13</v>
      </c>
      <c r="AU47" s="96" t="n">
        <v>14</v>
      </c>
      <c r="AV47" s="72"/>
      <c r="AW47" s="96" t="n">
        <v>2</v>
      </c>
      <c r="AX47" s="96" t="n">
        <v>2</v>
      </c>
      <c r="AY47" s="96" t="n">
        <v>0</v>
      </c>
      <c r="AZ47" s="102" t="n">
        <v>45945</v>
      </c>
      <c r="BA47" s="103" t="n">
        <f aca="false">AO47+145</f>
        <v>45944</v>
      </c>
      <c r="BB47" s="72" t="s">
        <v>197</v>
      </c>
      <c r="BC47" s="72" t="n">
        <f aca="false">AZ47-AO47</f>
        <v>146</v>
      </c>
      <c r="BD47" s="76"/>
      <c r="BE47" s="72"/>
      <c r="BF47" s="91" t="n">
        <v>44</v>
      </c>
      <c r="BG47" s="91" t="s">
        <v>118</v>
      </c>
    </row>
    <row r="48" customFormat="false" ht="14.25" hidden="false" customHeight="false" outlineLevel="0" collapsed="false">
      <c r="A48" s="91" t="n">
        <v>45</v>
      </c>
      <c r="B48" s="91" t="s">
        <v>113</v>
      </c>
      <c r="C48" s="92" t="s">
        <v>194</v>
      </c>
      <c r="D48" s="72" t="n">
        <v>798</v>
      </c>
      <c r="E48" s="93"/>
      <c r="F48" s="94" t="n">
        <v>1</v>
      </c>
      <c r="G48" s="95"/>
      <c r="H48" s="96"/>
      <c r="I48" s="77"/>
      <c r="J48" s="78"/>
      <c r="K48" s="97"/>
      <c r="L48" s="97"/>
      <c r="M48" s="97"/>
      <c r="N48" s="97"/>
      <c r="O48" s="104"/>
      <c r="P48" s="98"/>
      <c r="Q48" s="104"/>
      <c r="R48" s="104"/>
      <c r="S48" s="104"/>
      <c r="T48" s="104"/>
      <c r="U48" s="104"/>
      <c r="V48" s="98"/>
      <c r="W48" s="98"/>
      <c r="X48" s="99"/>
      <c r="Y48" s="99"/>
      <c r="Z48" s="82" t="n">
        <v>45797.2930555556</v>
      </c>
      <c r="AA48" s="96"/>
      <c r="AB48" s="100"/>
      <c r="AC48" s="100"/>
      <c r="AD48" s="101"/>
      <c r="AE48" s="101"/>
      <c r="AF48" s="100"/>
      <c r="AG48" s="100"/>
      <c r="AH48" s="85"/>
      <c r="AI48" s="85"/>
      <c r="AJ48" s="101"/>
      <c r="AK48" s="101"/>
      <c r="AL48" s="101"/>
      <c r="AM48" s="101"/>
      <c r="AN48" s="96"/>
      <c r="AO48" s="86" t="n">
        <v>45799</v>
      </c>
      <c r="AP48" s="82" t="n">
        <v>45799.6708333333</v>
      </c>
      <c r="AQ48" s="87" t="n">
        <v>4064</v>
      </c>
      <c r="AR48" s="85"/>
      <c r="AS48" s="85" t="n">
        <f aca="false">AS$2-AO48</f>
        <v>46</v>
      </c>
      <c r="AT48" s="96" t="s">
        <v>13</v>
      </c>
      <c r="AU48" s="96"/>
      <c r="AV48" s="72"/>
      <c r="AW48" s="96" t="n">
        <v>1</v>
      </c>
      <c r="AX48" s="96" t="n">
        <v>1</v>
      </c>
      <c r="AY48" s="96" t="n">
        <v>0</v>
      </c>
      <c r="AZ48" s="102" t="n">
        <v>45950</v>
      </c>
      <c r="BA48" s="103" t="n">
        <f aca="false">AO48+145</f>
        <v>45944</v>
      </c>
      <c r="BB48" s="72" t="s">
        <v>197</v>
      </c>
      <c r="BC48" s="72" t="n">
        <f aca="false">AZ48-AO48</f>
        <v>151</v>
      </c>
      <c r="BD48" s="76" t="s">
        <v>198</v>
      </c>
      <c r="BE48" s="72"/>
      <c r="BF48" s="91" t="n">
        <v>45</v>
      </c>
      <c r="BG48" s="91" t="s">
        <v>113</v>
      </c>
    </row>
    <row r="49" customFormat="false" ht="14.25" hidden="false" customHeight="false" outlineLevel="0" collapsed="false">
      <c r="A49" s="91" t="n">
        <v>46</v>
      </c>
      <c r="B49" s="91" t="s">
        <v>68</v>
      </c>
      <c r="C49" s="92" t="s">
        <v>194</v>
      </c>
      <c r="D49" s="72" t="n">
        <v>137</v>
      </c>
      <c r="E49" s="93"/>
      <c r="F49" s="94" t="n">
        <v>1</v>
      </c>
      <c r="G49" s="95" t="n">
        <v>45638</v>
      </c>
      <c r="H49" s="96"/>
      <c r="I49" s="77" t="n">
        <v>161</v>
      </c>
      <c r="J49" s="78" t="n">
        <f aca="false">$J$3-G49</f>
        <v>159</v>
      </c>
      <c r="K49" s="97"/>
      <c r="L49" s="97"/>
      <c r="M49" s="97"/>
      <c r="N49" s="97"/>
      <c r="O49" s="104" t="n">
        <v>26</v>
      </c>
      <c r="P49" s="98" t="n">
        <v>130</v>
      </c>
      <c r="Q49" s="104"/>
      <c r="R49" s="104"/>
      <c r="S49" s="104"/>
      <c r="T49" s="104"/>
      <c r="U49" s="104" t="n">
        <v>500</v>
      </c>
      <c r="V49" s="98" t="n">
        <v>960</v>
      </c>
      <c r="W49" s="98" t="n">
        <v>1240</v>
      </c>
      <c r="X49" s="99"/>
      <c r="Y49" s="99"/>
      <c r="Z49" s="82" t="n">
        <v>45797.2916666667</v>
      </c>
      <c r="AA49" s="96" t="n">
        <v>2</v>
      </c>
      <c r="AB49" s="100" t="n">
        <v>45797.8432291667</v>
      </c>
      <c r="AC49" s="100" t="n">
        <v>45798.6777430556</v>
      </c>
      <c r="AD49" s="101" t="n">
        <v>20.0283333332045</v>
      </c>
      <c r="AE49" s="101" t="n">
        <v>20.0283333332045</v>
      </c>
      <c r="AF49" s="100" t="n">
        <v>45798.511724537</v>
      </c>
      <c r="AG49" s="100" t="n">
        <v>45798.6777430556</v>
      </c>
      <c r="AH49" s="85" t="n">
        <f aca="false">(AF49-Z49)*24</f>
        <v>29.2813888888889</v>
      </c>
      <c r="AI49" s="85" t="n">
        <f aca="false">AH49+35</f>
        <v>64.2813888888889</v>
      </c>
      <c r="AJ49" s="101" t="n">
        <v>3.98444444441702</v>
      </c>
      <c r="AK49" s="101" t="n">
        <v>3.98444444441702</v>
      </c>
      <c r="AL49" s="101" t="n">
        <v>26</v>
      </c>
      <c r="AM49" s="101" t="n">
        <v>2</v>
      </c>
      <c r="AN49" s="96" t="s">
        <v>195</v>
      </c>
      <c r="AO49" s="86" t="n">
        <v>45799</v>
      </c>
      <c r="AP49" s="82" t="n">
        <v>45799.6777777778</v>
      </c>
      <c r="AQ49" s="87" t="n">
        <v>4062</v>
      </c>
      <c r="AR49" s="85" t="n">
        <f aca="false">(AP49-AF49)*24</f>
        <v>27.9852777777778</v>
      </c>
      <c r="AS49" s="85" t="n">
        <f aca="false">AS$2-AO49</f>
        <v>46</v>
      </c>
      <c r="AT49" s="96" t="s">
        <v>196</v>
      </c>
      <c r="AU49" s="96" t="n">
        <v>2</v>
      </c>
      <c r="AV49" s="72"/>
      <c r="AW49" s="96" t="n">
        <v>1</v>
      </c>
      <c r="AX49" s="96" t="n">
        <v>1</v>
      </c>
      <c r="AY49" s="96" t="n">
        <v>0</v>
      </c>
      <c r="AZ49" s="102" t="n">
        <v>45964</v>
      </c>
      <c r="BA49" s="103" t="n">
        <f aca="false">AO49+145</f>
        <v>45944</v>
      </c>
      <c r="BB49" s="89" t="s">
        <v>196</v>
      </c>
      <c r="BC49" s="72" t="n">
        <f aca="false">AZ49-AO49</f>
        <v>165</v>
      </c>
      <c r="BD49" s="96"/>
      <c r="BE49" s="72"/>
      <c r="BF49" s="91" t="n">
        <v>46</v>
      </c>
      <c r="BG49" s="91" t="s">
        <v>68</v>
      </c>
    </row>
    <row r="50" s="4" customFormat="true" ht="14.25" hidden="false" customHeight="false" outlineLevel="0" collapsed="false">
      <c r="A50" s="91" t="n">
        <v>47</v>
      </c>
      <c r="B50" s="91" t="s">
        <v>78</v>
      </c>
      <c r="C50" s="92" t="s">
        <v>194</v>
      </c>
      <c r="D50" s="72" t="n">
        <v>200</v>
      </c>
      <c r="E50" s="93"/>
      <c r="F50" s="94" t="n">
        <v>1</v>
      </c>
      <c r="G50" s="95"/>
      <c r="H50" s="96"/>
      <c r="I50" s="77"/>
      <c r="J50" s="78"/>
      <c r="K50" s="97"/>
      <c r="L50" s="97"/>
      <c r="M50" s="97"/>
      <c r="N50" s="97"/>
      <c r="O50" s="98"/>
      <c r="P50" s="98"/>
      <c r="Q50" s="104"/>
      <c r="R50" s="104"/>
      <c r="S50" s="104"/>
      <c r="T50" s="104"/>
      <c r="U50" s="98"/>
      <c r="V50" s="98"/>
      <c r="W50" s="98"/>
      <c r="X50" s="99"/>
      <c r="Y50" s="99"/>
      <c r="Z50" s="82" t="n">
        <v>45797.2923611111</v>
      </c>
      <c r="AA50" s="96"/>
      <c r="AB50" s="100"/>
      <c r="AC50" s="100"/>
      <c r="AD50" s="101"/>
      <c r="AE50" s="101"/>
      <c r="AF50" s="100"/>
      <c r="AG50" s="100"/>
      <c r="AH50" s="85"/>
      <c r="AI50" s="85"/>
      <c r="AJ50" s="101"/>
      <c r="AK50" s="101"/>
      <c r="AL50" s="101"/>
      <c r="AM50" s="101"/>
      <c r="AN50" s="96"/>
      <c r="AO50" s="86" t="n">
        <v>45799</v>
      </c>
      <c r="AP50" s="82" t="n">
        <v>45799.6736111111</v>
      </c>
      <c r="AQ50" s="87" t="n">
        <v>4064</v>
      </c>
      <c r="AR50" s="85"/>
      <c r="AS50" s="85" t="n">
        <f aca="false">AS$2-AO50</f>
        <v>46</v>
      </c>
      <c r="AT50" s="96" t="s">
        <v>13</v>
      </c>
      <c r="AU50" s="96"/>
      <c r="AV50" s="72"/>
      <c r="AW50" s="96" t="n">
        <v>1</v>
      </c>
      <c r="AX50" s="96" t="n">
        <v>1</v>
      </c>
      <c r="AY50" s="96" t="n">
        <v>0</v>
      </c>
      <c r="AZ50" s="102" t="n">
        <v>45947</v>
      </c>
      <c r="BA50" s="103" t="n">
        <f aca="false">AO50+145</f>
        <v>45944</v>
      </c>
      <c r="BB50" s="72" t="s">
        <v>197</v>
      </c>
      <c r="BC50" s="72" t="n">
        <f aca="false">AZ50-AO50</f>
        <v>148</v>
      </c>
      <c r="BD50" s="76" t="s">
        <v>198</v>
      </c>
      <c r="BE50" s="72"/>
      <c r="BF50" s="91" t="n">
        <v>47</v>
      </c>
      <c r="BG50" s="91" t="s">
        <v>78</v>
      </c>
      <c r="BH50" s="0"/>
    </row>
    <row r="51" s="7" customFormat="true" ht="14.25" hidden="false" customHeight="false" outlineLevel="0" collapsed="false">
      <c r="A51" s="91" t="n">
        <v>48</v>
      </c>
      <c r="B51" s="91" t="s">
        <v>107</v>
      </c>
      <c r="C51" s="92" t="s">
        <v>194</v>
      </c>
      <c r="D51" s="72" t="n">
        <v>717</v>
      </c>
      <c r="E51" s="93"/>
      <c r="F51" s="94" t="n">
        <v>1</v>
      </c>
      <c r="G51" s="95"/>
      <c r="H51" s="96"/>
      <c r="I51" s="77"/>
      <c r="J51" s="78"/>
      <c r="K51" s="97"/>
      <c r="L51" s="97"/>
      <c r="M51" s="97"/>
      <c r="N51" s="97"/>
      <c r="O51" s="104"/>
      <c r="P51" s="104"/>
      <c r="Q51" s="104"/>
      <c r="R51" s="104"/>
      <c r="S51" s="104"/>
      <c r="T51" s="104"/>
      <c r="U51" s="104"/>
      <c r="V51" s="104"/>
      <c r="W51" s="104"/>
      <c r="X51" s="99"/>
      <c r="Y51" s="99"/>
      <c r="Z51" s="82" t="n">
        <v>45797.2972222222</v>
      </c>
      <c r="AA51" s="96" t="n">
        <v>10</v>
      </c>
      <c r="AB51" s="100"/>
      <c r="AC51" s="100"/>
      <c r="AD51" s="101"/>
      <c r="AE51" s="101"/>
      <c r="AF51" s="100" t="n">
        <v>45798.7746990741</v>
      </c>
      <c r="AG51" s="100" t="n">
        <v>45799.2193287037</v>
      </c>
      <c r="AH51" s="85" t="n">
        <f aca="false">(AF51-Z51)*24</f>
        <v>35.4594444444444</v>
      </c>
      <c r="AI51" s="85" t="n">
        <f aca="false">AH51+35</f>
        <v>70.4594444444444</v>
      </c>
      <c r="AJ51" s="101" t="n">
        <v>10.6711111111217</v>
      </c>
      <c r="AK51" s="101" t="n">
        <v>10.6711111111217</v>
      </c>
      <c r="AL51" s="101" t="n">
        <v>15</v>
      </c>
      <c r="AM51" s="101" t="n">
        <v>1</v>
      </c>
      <c r="AN51" s="96" t="s">
        <v>199</v>
      </c>
      <c r="AO51" s="86" t="n">
        <v>45799</v>
      </c>
      <c r="AP51" s="82" t="n">
        <v>45799.6847222222</v>
      </c>
      <c r="AQ51" s="87" t="n">
        <v>4062</v>
      </c>
      <c r="AR51" s="85" t="n">
        <f aca="false">(AP51-AF51)*24</f>
        <v>21.8405555555556</v>
      </c>
      <c r="AS51" s="85" t="n">
        <f aca="false">AS$2-AO51</f>
        <v>46</v>
      </c>
      <c r="AT51" s="96" t="s">
        <v>196</v>
      </c>
      <c r="AU51" s="96" t="n">
        <v>10</v>
      </c>
      <c r="AV51" s="72"/>
      <c r="AW51" s="96" t="n">
        <v>1</v>
      </c>
      <c r="AX51" s="96" t="n">
        <v>1</v>
      </c>
      <c r="AY51" s="96" t="n">
        <v>0</v>
      </c>
      <c r="AZ51" s="102" t="n">
        <v>45964</v>
      </c>
      <c r="BA51" s="103" t="n">
        <f aca="false">AO51+145</f>
        <v>45944</v>
      </c>
      <c r="BB51" s="89" t="s">
        <v>196</v>
      </c>
      <c r="BC51" s="72" t="n">
        <f aca="false">AZ51-AO51</f>
        <v>165</v>
      </c>
      <c r="BD51" s="96"/>
      <c r="BE51" s="72"/>
      <c r="BF51" s="91" t="n">
        <v>48</v>
      </c>
      <c r="BG51" s="91" t="s">
        <v>107</v>
      </c>
      <c r="BH51" s="0"/>
    </row>
    <row r="52" s="7" customFormat="true" ht="14.25" hidden="false" customHeight="false" outlineLevel="0" collapsed="false">
      <c r="A52" s="91" t="n">
        <v>49</v>
      </c>
      <c r="B52" s="91" t="s">
        <v>116</v>
      </c>
      <c r="C52" s="92" t="s">
        <v>194</v>
      </c>
      <c r="D52" s="72" t="n">
        <v>812</v>
      </c>
      <c r="E52" s="93"/>
      <c r="F52" s="94" t="n">
        <v>1</v>
      </c>
      <c r="G52" s="95" t="n">
        <v>45639</v>
      </c>
      <c r="H52" s="96"/>
      <c r="I52" s="77" t="n">
        <v>160</v>
      </c>
      <c r="J52" s="78" t="n">
        <f aca="false">$J$3-G52</f>
        <v>158</v>
      </c>
      <c r="K52" s="97"/>
      <c r="L52" s="97"/>
      <c r="M52" s="97"/>
      <c r="N52" s="97"/>
      <c r="O52" s="104" t="n">
        <v>-37</v>
      </c>
      <c r="P52" s="98" t="n">
        <v>-13</v>
      </c>
      <c r="Q52" s="104"/>
      <c r="R52" s="104"/>
      <c r="S52" s="104"/>
      <c r="T52" s="104"/>
      <c r="U52" s="104" t="n">
        <v>360</v>
      </c>
      <c r="V52" s="98" t="n">
        <v>580</v>
      </c>
      <c r="W52" s="98" t="n">
        <v>560</v>
      </c>
      <c r="X52" s="99"/>
      <c r="Y52" s="99"/>
      <c r="Z52" s="82" t="n">
        <v>45797.2916666667</v>
      </c>
      <c r="AA52" s="96" t="n">
        <v>17</v>
      </c>
      <c r="AB52" s="100"/>
      <c r="AC52" s="100"/>
      <c r="AD52" s="101"/>
      <c r="AE52" s="101"/>
      <c r="AF52" s="100" t="n">
        <v>45799.0463310185</v>
      </c>
      <c r="AG52" s="100" t="n">
        <v>45799.5787384259</v>
      </c>
      <c r="AH52" s="85" t="n">
        <f aca="false">(AF52-Z52)*24</f>
        <v>42.1119444444445</v>
      </c>
      <c r="AI52" s="85" t="n">
        <f aca="false">AH52+35</f>
        <v>77.1119444444445</v>
      </c>
      <c r="AJ52" s="101" t="n">
        <v>12.7777777778101</v>
      </c>
      <c r="AK52" s="101" t="n">
        <v>12.7777777778101</v>
      </c>
      <c r="AL52" s="101" t="n">
        <v>8</v>
      </c>
      <c r="AM52" s="101" t="n">
        <v>1</v>
      </c>
      <c r="AN52" s="96" t="s">
        <v>199</v>
      </c>
      <c r="AO52" s="86" t="n">
        <v>45799</v>
      </c>
      <c r="AP52" s="82" t="n">
        <v>45799.6729166667</v>
      </c>
      <c r="AQ52" s="87" t="n">
        <v>4062</v>
      </c>
      <c r="AR52" s="85" t="n">
        <f aca="false">(AP52-AF52)*24</f>
        <v>15.0380555555556</v>
      </c>
      <c r="AS52" s="85" t="n">
        <f aca="false">AS$2-AO52</f>
        <v>46</v>
      </c>
      <c r="AT52" s="96" t="s">
        <v>196</v>
      </c>
      <c r="AU52" s="96" t="n">
        <v>17</v>
      </c>
      <c r="AV52" s="72"/>
      <c r="AW52" s="96" t="n">
        <v>1</v>
      </c>
      <c r="AX52" s="96" t="n">
        <v>1</v>
      </c>
      <c r="AY52" s="96" t="n">
        <v>0</v>
      </c>
      <c r="AZ52" s="102" t="n">
        <v>45965</v>
      </c>
      <c r="BA52" s="103" t="n">
        <f aca="false">AO52+145</f>
        <v>45944</v>
      </c>
      <c r="BB52" s="89" t="s">
        <v>196</v>
      </c>
      <c r="BC52" s="72" t="n">
        <f aca="false">AZ52-AO52</f>
        <v>166</v>
      </c>
      <c r="BD52" s="96"/>
      <c r="BE52" s="72"/>
      <c r="BF52" s="91" t="n">
        <v>49</v>
      </c>
      <c r="BG52" s="91" t="s">
        <v>116</v>
      </c>
      <c r="BH52" s="0"/>
    </row>
    <row r="53" s="7" customFormat="true" ht="14.25" hidden="false" customHeight="false" outlineLevel="0" collapsed="false">
      <c r="A53" s="91" t="n">
        <v>50</v>
      </c>
      <c r="B53" s="91" t="s">
        <v>109</v>
      </c>
      <c r="C53" s="92" t="s">
        <v>194</v>
      </c>
      <c r="D53" s="72" t="n">
        <v>740</v>
      </c>
      <c r="E53" s="93"/>
      <c r="F53" s="94" t="n">
        <v>1</v>
      </c>
      <c r="G53" s="95" t="n">
        <v>45639</v>
      </c>
      <c r="H53" s="96"/>
      <c r="I53" s="77" t="n">
        <v>160</v>
      </c>
      <c r="J53" s="78" t="n">
        <f aca="false">$J$3-G53</f>
        <v>158</v>
      </c>
      <c r="K53" s="97"/>
      <c r="L53" s="97"/>
      <c r="M53" s="97"/>
      <c r="N53" s="97"/>
      <c r="O53" s="98" t="n">
        <v>63</v>
      </c>
      <c r="P53" s="98" t="n">
        <v>133</v>
      </c>
      <c r="Q53" s="104"/>
      <c r="R53" s="104"/>
      <c r="S53" s="104"/>
      <c r="T53" s="104"/>
      <c r="U53" s="98" t="n">
        <v>820</v>
      </c>
      <c r="V53" s="98" t="n">
        <v>900</v>
      </c>
      <c r="W53" s="98" t="n">
        <v>1100</v>
      </c>
      <c r="X53" s="99"/>
      <c r="Y53" s="99"/>
      <c r="Z53" s="82" t="n">
        <v>45797.2909722222</v>
      </c>
      <c r="AA53" s="96" t="n">
        <v>9</v>
      </c>
      <c r="AB53" s="100"/>
      <c r="AC53" s="100"/>
      <c r="AD53" s="101"/>
      <c r="AE53" s="101"/>
      <c r="AF53" s="100" t="n">
        <v>45798.7252430556</v>
      </c>
      <c r="AG53" s="100" t="n">
        <v>45798.7252430556</v>
      </c>
      <c r="AH53" s="85" t="n">
        <f aca="false">(AF53-Z53)*24</f>
        <v>34.4225</v>
      </c>
      <c r="AI53" s="85" t="n">
        <f aca="false">AH53+35</f>
        <v>69.4225</v>
      </c>
      <c r="AJ53" s="101" t="n">
        <v>0</v>
      </c>
      <c r="AK53" s="101" t="n">
        <v>1</v>
      </c>
      <c r="AL53" s="101" t="n">
        <v>1</v>
      </c>
      <c r="AM53" s="101" t="n">
        <v>1</v>
      </c>
      <c r="AN53" s="96" t="s">
        <v>199</v>
      </c>
      <c r="AO53" s="86" t="n">
        <v>45799</v>
      </c>
      <c r="AP53" s="82" t="n">
        <v>45799.6784722222</v>
      </c>
      <c r="AQ53" s="87" t="n">
        <v>1040</v>
      </c>
      <c r="AR53" s="85" t="n">
        <f aca="false">(AP53-AF53)*24</f>
        <v>22.8775</v>
      </c>
      <c r="AS53" s="85" t="n">
        <f aca="false">AS$2-AO53</f>
        <v>46</v>
      </c>
      <c r="AT53" s="96" t="s">
        <v>13</v>
      </c>
      <c r="AU53" s="96" t="n">
        <v>9</v>
      </c>
      <c r="AV53" s="72"/>
      <c r="AW53" s="96" t="n">
        <v>1</v>
      </c>
      <c r="AX53" s="96" t="n">
        <v>1</v>
      </c>
      <c r="AY53" s="96" t="n">
        <v>0</v>
      </c>
      <c r="AZ53" s="102" t="n">
        <v>45946</v>
      </c>
      <c r="BA53" s="103" t="n">
        <f aca="false">AO53+145</f>
        <v>45944</v>
      </c>
      <c r="BB53" s="72" t="s">
        <v>197</v>
      </c>
      <c r="BC53" s="72" t="n">
        <f aca="false">AZ53-AO53</f>
        <v>147</v>
      </c>
      <c r="BD53" s="96"/>
      <c r="BE53" s="72"/>
      <c r="BF53" s="91" t="n">
        <v>50</v>
      </c>
      <c r="BG53" s="91" t="s">
        <v>109</v>
      </c>
      <c r="BH53" s="0"/>
    </row>
    <row r="54" s="7" customFormat="true" ht="7.5" hidden="false" customHeight="true" outlineLevel="0" collapsed="false">
      <c r="A54" s="105"/>
      <c r="B54" s="106"/>
      <c r="C54" s="107"/>
      <c r="D54" s="108"/>
      <c r="E54" s="109"/>
      <c r="F54" s="110"/>
      <c r="G54" s="111"/>
      <c r="H54" s="112"/>
      <c r="I54" s="113"/>
      <c r="J54" s="114"/>
      <c r="K54" s="114"/>
      <c r="L54" s="114"/>
      <c r="M54" s="114"/>
      <c r="N54" s="115"/>
      <c r="O54" s="116"/>
      <c r="P54" s="115"/>
      <c r="Q54" s="115"/>
      <c r="R54" s="115"/>
      <c r="S54" s="115"/>
      <c r="T54" s="115"/>
      <c r="U54" s="116"/>
      <c r="V54" s="116"/>
      <c r="W54" s="117"/>
      <c r="X54" s="117"/>
      <c r="Y54" s="118"/>
      <c r="Z54" s="119"/>
      <c r="AA54" s="120"/>
      <c r="AB54" s="121"/>
      <c r="AC54" s="121"/>
      <c r="AD54" s="121"/>
      <c r="AE54" s="121"/>
      <c r="AF54" s="111"/>
      <c r="AG54" s="122"/>
      <c r="AH54" s="123"/>
      <c r="AI54" s="124"/>
      <c r="AJ54" s="123"/>
      <c r="AK54" s="123"/>
      <c r="AL54" s="123"/>
      <c r="AM54" s="105"/>
      <c r="AN54" s="106"/>
      <c r="AO54" s="4"/>
      <c r="AP54" s="4"/>
      <c r="AQ54" s="4"/>
      <c r="AR54" s="4"/>
      <c r="AS54" s="4"/>
      <c r="AT54" s="125"/>
      <c r="AU54" s="120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</row>
    <row r="55" s="7" customFormat="true" ht="14.25" hidden="false" customHeight="false" outlineLevel="0" collapsed="false">
      <c r="A55" s="91" t="n">
        <v>10</v>
      </c>
      <c r="B55" s="91" t="s">
        <v>85</v>
      </c>
      <c r="C55" s="92" t="s">
        <v>194</v>
      </c>
      <c r="D55" s="72" t="n">
        <v>986</v>
      </c>
      <c r="E55" s="93"/>
      <c r="F55" s="94" t="n">
        <v>4</v>
      </c>
      <c r="G55" s="95" t="n">
        <v>45601</v>
      </c>
      <c r="H55" s="96"/>
      <c r="I55" s="77" t="n">
        <v>198</v>
      </c>
      <c r="J55" s="78" t="n">
        <f aca="false">$J$3-G55</f>
        <v>196</v>
      </c>
      <c r="K55" s="97"/>
      <c r="L55" s="97"/>
      <c r="M55" s="97"/>
      <c r="N55" s="97"/>
      <c r="O55" s="104" t="n">
        <v>71</v>
      </c>
      <c r="P55" s="98" t="n">
        <v>25</v>
      </c>
      <c r="Q55" s="98" t="n">
        <v>143.8</v>
      </c>
      <c r="R55" s="98" t="n">
        <v>185</v>
      </c>
      <c r="S55" s="98" t="n">
        <v>1500</v>
      </c>
      <c r="T55" s="98" t="n">
        <v>960</v>
      </c>
      <c r="U55" s="98" t="n">
        <v>1700</v>
      </c>
      <c r="V55" s="98" t="n">
        <v>1120</v>
      </c>
      <c r="W55" s="98" t="n">
        <v>1040</v>
      </c>
      <c r="X55" s="99"/>
      <c r="Y55" s="99"/>
      <c r="Z55" s="82" t="n">
        <v>45797.2902777778</v>
      </c>
      <c r="AA55" s="96"/>
      <c r="AB55" s="100"/>
      <c r="AC55" s="100"/>
      <c r="AD55" s="101"/>
      <c r="AE55" s="101"/>
      <c r="AF55" s="100"/>
      <c r="AG55" s="100"/>
      <c r="AH55" s="85"/>
      <c r="AI55" s="85"/>
      <c r="AJ55" s="101"/>
      <c r="AK55" s="101"/>
      <c r="AL55" s="101"/>
      <c r="AM55" s="101"/>
      <c r="AN55" s="96"/>
      <c r="AO55" s="96" t="s">
        <v>204</v>
      </c>
      <c r="AP55" s="96" t="s">
        <v>204</v>
      </c>
      <c r="AQ55" s="87"/>
      <c r="AR55" s="85"/>
      <c r="AS55" s="85"/>
      <c r="AT55" s="96"/>
      <c r="AU55" s="96"/>
      <c r="AV55" s="72"/>
      <c r="AW55" s="96"/>
      <c r="AX55" s="96"/>
      <c r="AY55" s="96"/>
      <c r="AZ55" s="102"/>
      <c r="BA55" s="103"/>
      <c r="BB55" s="72"/>
      <c r="BC55" s="72"/>
      <c r="BD55" s="96"/>
      <c r="BE55" s="126" t="s">
        <v>205</v>
      </c>
      <c r="BF55" s="91" t="n">
        <v>10</v>
      </c>
      <c r="BG55" s="91" t="s">
        <v>85</v>
      </c>
    </row>
    <row r="56" s="7" customFormat="true" ht="14.25" hidden="false" customHeight="false" outlineLevel="0" collapsed="false">
      <c r="F56" s="13"/>
      <c r="AB56" s="127"/>
      <c r="AC56" s="127"/>
      <c r="AD56" s="128"/>
      <c r="AE56" s="128"/>
      <c r="AF56" s="127"/>
      <c r="AG56" s="127"/>
      <c r="AH56" s="129"/>
      <c r="AI56" s="129"/>
      <c r="AJ56" s="128"/>
      <c r="AK56" s="128"/>
      <c r="AL56" s="128"/>
      <c r="AM56" s="128"/>
      <c r="AN56" s="125"/>
      <c r="AT56" s="13"/>
      <c r="AW56" s="4"/>
      <c r="AX56" s="4"/>
      <c r="AY56" s="4"/>
      <c r="AZ56" s="57"/>
      <c r="BD56" s="13"/>
    </row>
    <row r="57" s="7" customFormat="true" ht="14.25" hidden="false" customHeight="true" outlineLevel="0" collapsed="false">
      <c r="E57" s="130" t="e">
        <f aca="false">SUBTOTAL(1,E5:E53)</f>
        <v>#DIV/0!</v>
      </c>
      <c r="F57" s="131" t="n">
        <f aca="false">SUBTOTAL(1,F5:F53)</f>
        <v>2.75510204081633</v>
      </c>
      <c r="G57" s="130" t="n">
        <f aca="false">SUBTOTAL(1,G5:G53)</f>
        <v>45594.5111111111</v>
      </c>
      <c r="H57" s="131" t="e">
        <f aca="false">SUBTOTAL(1,H5:H53)</f>
        <v>#DIV/0!</v>
      </c>
      <c r="I57" s="131" t="n">
        <f aca="false">SUBTOTAL(1,I5:I53)</f>
        <v>204.488888888889</v>
      </c>
      <c r="J57" s="131" t="n">
        <f aca="false">SUBTOTAL(1,J5:J53)</f>
        <v>202.488888888889</v>
      </c>
      <c r="K57" s="131" t="e">
        <f aca="false">SUBTOTAL(1,K5:K53)</f>
        <v>#DIV/0!</v>
      </c>
      <c r="L57" s="131" t="e">
        <f aca="false">SUBTOTAL(1,L5:L53)</f>
        <v>#DIV/0!</v>
      </c>
      <c r="M57" s="131" t="e">
        <f aca="false">SUBTOTAL(1,M5:M53)</f>
        <v>#DIV/0!</v>
      </c>
      <c r="N57" s="131" t="e">
        <f aca="false">SUBTOTAL(1,N5:N53)</f>
        <v>#DIV/0!</v>
      </c>
      <c r="O57" s="131" t="n">
        <f aca="false">SUBTOTAL(1,O5:O53)</f>
        <v>55.0487804878049</v>
      </c>
      <c r="P57" s="131" t="n">
        <f aca="false">SUBTOTAL(1,P5:P53)</f>
        <v>74.6</v>
      </c>
      <c r="Q57" s="131" t="n">
        <f aca="false">SUBTOTAL(1,Q5:Q53)</f>
        <v>142.6725</v>
      </c>
      <c r="R57" s="131" t="n">
        <f aca="false">SUBTOTAL(1,R5:R53)</f>
        <v>166.675</v>
      </c>
      <c r="S57" s="131" t="n">
        <f aca="false">SUBTOTAL(1,S5:S53)</f>
        <v>1243.5</v>
      </c>
      <c r="T57" s="131" t="n">
        <f aca="false">SUBTOTAL(1,T5:T53)</f>
        <v>1294</v>
      </c>
      <c r="U57" s="131" t="n">
        <f aca="false">SUBTOTAL(1,U5:U53)</f>
        <v>987.555555555556</v>
      </c>
      <c r="V57" s="131" t="n">
        <f aca="false">SUBTOTAL(1,V5:V53)</f>
        <v>957.333333333333</v>
      </c>
      <c r="W57" s="131" t="n">
        <f aca="false">SUBTOTAL(1,W5:W53)</f>
        <v>1023.11111111111</v>
      </c>
      <c r="X57" s="131" t="e">
        <f aca="false">SUBTOTAL(1,X5:X53)</f>
        <v>#DIV/0!</v>
      </c>
      <c r="Y57" s="131" t="e">
        <f aca="false">SUBTOTAL(1,Y5:Y53)</f>
        <v>#DIV/0!</v>
      </c>
      <c r="Z57" s="130" t="n">
        <f aca="false">SUBTOTAL(1,Z5:Z53)</f>
        <v>45797.2935232426</v>
      </c>
      <c r="AA57" s="131" t="n">
        <f aca="false">SUBTOTAL(1,AA5:AA53)</f>
        <v>13</v>
      </c>
      <c r="AB57" s="132" t="n">
        <f aca="false">SUBTOTAL(1,AB5:AB53)</f>
        <v>45798.4217642196</v>
      </c>
      <c r="AC57" s="132" t="n">
        <f aca="false">SUBTOTAL(1,AC5:AC53)</f>
        <v>45799.9060863095</v>
      </c>
      <c r="AD57" s="131" t="n">
        <f aca="false">SUBTOTAL(1,AD5:AD53)</f>
        <v>35.6237301587327</v>
      </c>
      <c r="AE57" s="131" t="n">
        <f aca="false">SUBTOTAL(1,AE5:AE53)</f>
        <v>35.6237301587327</v>
      </c>
      <c r="AF57" s="132" t="n">
        <f aca="false">SUBTOTAL(1,AF5:AF53)</f>
        <v>45799.0458421296</v>
      </c>
      <c r="AG57" s="132" t="n">
        <f aca="false">SUBTOTAL(1,AG5:AG53)</f>
        <v>45799.399137037</v>
      </c>
      <c r="AH57" s="131" t="n">
        <f aca="false">SUBTOTAL(1,AH5:AH53)</f>
        <v>42.0428777777778</v>
      </c>
      <c r="AI57" s="131" t="n">
        <f aca="false">SUBTOTAL(1,AI5:AI53)</f>
        <v>77.0428777777778</v>
      </c>
      <c r="AJ57" s="131" t="n">
        <f aca="false">SUBTOTAL(1,AJ5:AJ53)</f>
        <v>8.47907777779503</v>
      </c>
      <c r="AK57" s="131" t="n">
        <f aca="false">SUBTOTAL(1,AK5:AK53)</f>
        <v>8.81913333334727</v>
      </c>
      <c r="AL57" s="131"/>
      <c r="AM57" s="131" t="n">
        <f aca="false">SUBTOTAL(1,AM5:AM53)</f>
        <v>1.26086956521739</v>
      </c>
      <c r="AN57" s="131"/>
      <c r="AO57" s="130" t="n">
        <f aca="false">SUBTOTAL(1,AO5:AO53)</f>
        <v>45799</v>
      </c>
      <c r="AP57" s="132" t="n">
        <f aca="false">SUBTOTAL(1,AP5:AP53)</f>
        <v>45799.6750141723</v>
      </c>
      <c r="AR57" s="131" t="n">
        <f aca="false">SUBTOTAL(1,AR5:AR53)</f>
        <v>15.125122222221</v>
      </c>
      <c r="AT57" s="13"/>
      <c r="AU57" s="131" t="n">
        <f aca="false">SUBTOTAL(1,AU5:AU53)</f>
        <v>13</v>
      </c>
      <c r="AW57" s="131" t="n">
        <f aca="false">SUBTOTAL(1,AW5:AW53)</f>
        <v>1.34883720930233</v>
      </c>
      <c r="AX57" s="131" t="n">
        <f aca="false">SUBTOTAL(1,AX5:AX53)</f>
        <v>1.34883720930233</v>
      </c>
      <c r="AY57" s="131" t="n">
        <f aca="false">SUBTOTAL(1,AY5:AY53)</f>
        <v>0</v>
      </c>
      <c r="AZ57" s="130" t="n">
        <f aca="false">SUBTOTAL(1,AZ5:AZ53)</f>
        <v>45954</v>
      </c>
      <c r="BA57" s="130" t="n">
        <f aca="false">SUBTOTAL(1,BA5:BA53)</f>
        <v>45944</v>
      </c>
      <c r="BC57" s="131" t="n">
        <f aca="false">SUBTOTAL(1,BC5:BC53)</f>
        <v>155</v>
      </c>
      <c r="BD57" s="13"/>
    </row>
    <row r="58" s="7" customFormat="true" ht="14.25" hidden="false" customHeight="false" outlineLevel="0" collapsed="false">
      <c r="E58" s="131" t="e">
        <f aca="false">SUBTOTAL(7,E5:E53)</f>
        <v>#DIV/0!</v>
      </c>
      <c r="F58" s="131" t="n">
        <f aca="false">SUBTOTAL(7,F5:F53)</f>
        <v>1.26706044720477</v>
      </c>
      <c r="G58" s="131" t="n">
        <f aca="false">SUBTOTAL(7,G5:G53)</f>
        <v>17.7259724982891</v>
      </c>
      <c r="H58" s="131" t="e">
        <f aca="false">SUBTOTAL(7,H5:H53)</f>
        <v>#DIV/0!</v>
      </c>
      <c r="I58" s="131" t="n">
        <f aca="false">SUBTOTAL(7,I5:I53)</f>
        <v>17.7259724982891</v>
      </c>
      <c r="J58" s="131" t="n">
        <f aca="false">SUBTOTAL(7,J5:J53)</f>
        <v>17.7259724982891</v>
      </c>
      <c r="K58" s="131" t="e">
        <f aca="false">SUBTOTAL(7,K5:K53)</f>
        <v>#DIV/0!</v>
      </c>
      <c r="L58" s="131" t="e">
        <f aca="false">SUBTOTAL(7,L5:L53)</f>
        <v>#DIV/0!</v>
      </c>
      <c r="M58" s="131" t="e">
        <f aca="false">SUBTOTAL(7,M5:M53)</f>
        <v>#DIV/0!</v>
      </c>
      <c r="N58" s="131" t="e">
        <f aca="false">SUBTOTAL(7,N5:N53)</f>
        <v>#DIV/0!</v>
      </c>
      <c r="O58" s="131" t="n">
        <f aca="false">SUBTOTAL(7,O5:O53)</f>
        <v>84.11211304548</v>
      </c>
      <c r="P58" s="131" t="n">
        <f aca="false">SUBTOTAL(7,P5:P53)</f>
        <v>80.4234249005057</v>
      </c>
      <c r="Q58" s="131" t="n">
        <f aca="false">SUBTOTAL(7,Q5:Q53)</f>
        <v>42.3692376764328</v>
      </c>
      <c r="R58" s="131" t="n">
        <f aca="false">SUBTOTAL(7,R5:R53)</f>
        <v>34.8677997805778</v>
      </c>
      <c r="S58" s="131" t="n">
        <f aca="false">SUBTOTAL(7,S5:S53)</f>
        <v>494.376322974663</v>
      </c>
      <c r="T58" s="131" t="n">
        <f aca="false">SUBTOTAL(7,T5:T53)</f>
        <v>480.900864030874</v>
      </c>
      <c r="U58" s="131" t="n">
        <f aca="false">SUBTOTAL(7,U5:U53)</f>
        <v>236.692700232674</v>
      </c>
      <c r="V58" s="131" t="n">
        <f aca="false">SUBTOTAL(7,V5:V53)</f>
        <v>239.83327542274</v>
      </c>
      <c r="W58" s="131" t="n">
        <f aca="false">SUBTOTAL(7,W5:W53)</f>
        <v>237.638210715195</v>
      </c>
      <c r="X58" s="131" t="e">
        <f aca="false">SUBTOTAL(7,X5:X53)</f>
        <v>#DIV/0!</v>
      </c>
      <c r="Y58" s="131" t="e">
        <f aca="false">SUBTOTAL(7,Y5:Y53)</f>
        <v>#DIV/0!</v>
      </c>
      <c r="Z58" s="131" t="n">
        <f aca="false">SUBTOTAL(7,Z5:Z53)</f>
        <v>0.00251341786939127</v>
      </c>
      <c r="AA58" s="131" t="n">
        <f aca="false">SUBTOTAL(7,AA5:AA53)</f>
        <v>7.35980072193987</v>
      </c>
      <c r="AB58" s="131" t="n">
        <f aca="false">SUBTOTAL(7,AB5:AB53)</f>
        <v>0.484619628341772</v>
      </c>
      <c r="AC58" s="131" t="n">
        <f aca="false">SUBTOTAL(7,AC5:AC53)</f>
        <v>0.80759274855596</v>
      </c>
      <c r="AD58" s="131" t="n">
        <f aca="false">SUBTOTAL(7,AD5:AD53)</f>
        <v>23.2663969913286</v>
      </c>
      <c r="AE58" s="131" t="n">
        <f aca="false">SUBTOTAL(7,AE5:AE53)</f>
        <v>23.2663969913286</v>
      </c>
      <c r="AF58" s="131" t="n">
        <f aca="false">SUBTOTAL(7,AF5:AF53)</f>
        <v>0.472025592377543</v>
      </c>
      <c r="AG58" s="131" t="n">
        <f aca="false">SUBTOTAL(7,AG5:AG53)</f>
        <v>0.604752224390336</v>
      </c>
      <c r="AH58" s="131" t="n">
        <f aca="false">SUBTOTAL(7,AH5:AH53)</f>
        <v>11.3358974047464</v>
      </c>
      <c r="AI58" s="131" t="n">
        <f aca="false">SUBTOTAL(7,AI5:AI53)</f>
        <v>11.3358974047464</v>
      </c>
      <c r="AJ58" s="131" t="n">
        <f aca="false">SUBTOTAL(7,AJ5:AJ53)</f>
        <v>12.8713514924084</v>
      </c>
      <c r="AK58" s="131" t="n">
        <f aca="false">SUBTOTAL(7,AK5:AK53)</f>
        <v>12.6457184471634</v>
      </c>
      <c r="AL58" s="131"/>
      <c r="AM58" s="131" t="n">
        <f aca="false">SUBTOTAL(7,AM5:AM53)</f>
        <v>0.44897775854488</v>
      </c>
      <c r="AN58" s="131"/>
      <c r="AO58" s="131" t="n">
        <f aca="false">SUBTOTAL(7,AO5:AO53)</f>
        <v>0</v>
      </c>
      <c r="AP58" s="131" t="n">
        <f aca="false">SUBTOTAL(7,AP5:AP53)</f>
        <v>0.00537445303720086</v>
      </c>
      <c r="AR58" s="131" t="n">
        <f aca="false">SUBTOTAL(7,AR5:AR53)</f>
        <v>11.3602671393392</v>
      </c>
      <c r="AT58" s="13"/>
      <c r="AU58" s="131" t="n">
        <f aca="false">SUBTOTAL(7,AU5:AU53)</f>
        <v>7.35980072193987</v>
      </c>
      <c r="AW58" s="131" t="n">
        <f aca="false">SUBTOTAL(7,AW5:AW53)</f>
        <v>0.482242822170412</v>
      </c>
      <c r="AX58" s="131" t="n">
        <f aca="false">SUBTOTAL(7,AX5:AX53)</f>
        <v>0.482242822170412</v>
      </c>
      <c r="AY58" s="131" t="n">
        <f aca="false">SUBTOTAL(7,AY5:AY53)</f>
        <v>0</v>
      </c>
      <c r="AZ58" s="131" t="n">
        <f aca="false">SUBTOTAL(7,AZ5:AZ53)</f>
        <v>8.89087279447969</v>
      </c>
      <c r="BA58" s="131" t="n">
        <f aca="false">SUBTOTAL(7,BA5:BA53)</f>
        <v>0</v>
      </c>
      <c r="BC58" s="131" t="n">
        <f aca="false">SUBTOTAL(7,BC5:BC53)</f>
        <v>8.89087279447969</v>
      </c>
      <c r="BD58" s="13"/>
    </row>
    <row r="59" s="7" customFormat="true" ht="14.25" hidden="false" customHeight="true" outlineLevel="0" collapsed="false">
      <c r="E59" s="131" t="n">
        <f aca="false">SUBTOTAL(3,E5:E53)</f>
        <v>0</v>
      </c>
      <c r="F59" s="131" t="n">
        <f aca="false">SUBTOTAL(3,F5:F53)</f>
        <v>49</v>
      </c>
      <c r="G59" s="131" t="n">
        <f aca="false">SUBTOTAL(3,G5:G53)</f>
        <v>45</v>
      </c>
      <c r="H59" s="131" t="n">
        <f aca="false">SUBTOTAL(3,H5:H53)</f>
        <v>0</v>
      </c>
      <c r="I59" s="131" t="n">
        <f aca="false">SUBTOTAL(3,I5:I53)</f>
        <v>45</v>
      </c>
      <c r="J59" s="131" t="n">
        <f aca="false">SUBTOTAL(3,J5:J53)</f>
        <v>45</v>
      </c>
      <c r="K59" s="131" t="n">
        <f aca="false">SUBTOTAL(3,K5:K53)</f>
        <v>0</v>
      </c>
      <c r="L59" s="131" t="n">
        <f aca="false">SUBTOTAL(3,L5:L53)</f>
        <v>0</v>
      </c>
      <c r="M59" s="131" t="n">
        <f aca="false">SUBTOTAL(3,M5:M53)</f>
        <v>0</v>
      </c>
      <c r="N59" s="131" t="n">
        <f aca="false">SUBTOTAL(3,N5:N53)</f>
        <v>0</v>
      </c>
      <c r="O59" s="131" t="n">
        <f aca="false">SUBTOTAL(3,O5:O53)</f>
        <v>41</v>
      </c>
      <c r="P59" s="131" t="n">
        <f aca="false">SUBTOTAL(3,P5:P53)</f>
        <v>45</v>
      </c>
      <c r="Q59" s="131" t="n">
        <f aca="false">SUBTOTAL(3,Q5:Q53)</f>
        <v>40</v>
      </c>
      <c r="R59" s="131" t="n">
        <f aca="false">SUBTOTAL(3,R5:R53)</f>
        <v>40</v>
      </c>
      <c r="S59" s="131" t="n">
        <f aca="false">SUBTOTAL(3,S5:S53)</f>
        <v>40</v>
      </c>
      <c r="T59" s="131" t="n">
        <f aca="false">SUBTOTAL(3,T5:T53)</f>
        <v>40</v>
      </c>
      <c r="U59" s="131" t="n">
        <f aca="false">SUBTOTAL(3,U5:U53)</f>
        <v>45</v>
      </c>
      <c r="V59" s="131" t="n">
        <f aca="false">SUBTOTAL(3,V5:V53)</f>
        <v>45</v>
      </c>
      <c r="W59" s="131" t="n">
        <f aca="false">SUBTOTAL(3,W5:W53)</f>
        <v>45</v>
      </c>
      <c r="X59" s="131" t="n">
        <f aca="false">SUBTOTAL(3,X5:X53)</f>
        <v>0</v>
      </c>
      <c r="Y59" s="131" t="n">
        <f aca="false">SUBTOTAL(3,Y5:Y53)</f>
        <v>0</v>
      </c>
      <c r="Z59" s="131" t="n">
        <f aca="false">SUBTOTAL(3,Z5:Z53)</f>
        <v>49</v>
      </c>
      <c r="AA59" s="131" t="n">
        <f aca="false">SUBTOTAL(3,AA5:AA53)</f>
        <v>25</v>
      </c>
      <c r="AB59" s="131" t="n">
        <f aca="false">SUBTOTAL(3,AB5:AB53)</f>
        <v>7</v>
      </c>
      <c r="AC59" s="131" t="n">
        <f aca="false">SUBTOTAL(3,AC5:AC53)</f>
        <v>7</v>
      </c>
      <c r="AD59" s="131" t="n">
        <f aca="false">SUBTOTAL(3,AD5:AD53)</f>
        <v>7</v>
      </c>
      <c r="AE59" s="131" t="n">
        <f aca="false">SUBTOTAL(3,AE5:AE53)</f>
        <v>7</v>
      </c>
      <c r="AF59" s="131" t="n">
        <f aca="false">SUBTOTAL(3,AF5:AF53)</f>
        <v>25</v>
      </c>
      <c r="AG59" s="131" t="n">
        <f aca="false">SUBTOTAL(3,AG5:AG53)</f>
        <v>25</v>
      </c>
      <c r="AH59" s="131" t="n">
        <f aca="false">SUBTOTAL(3,AH5:AH53)</f>
        <v>25</v>
      </c>
      <c r="AI59" s="131" t="n">
        <f aca="false">SUBTOTAL(3,AI5:AI53)</f>
        <v>25</v>
      </c>
      <c r="AJ59" s="131" t="n">
        <f aca="false">SUBTOTAL(3,AJ5:AJ53)</f>
        <v>25</v>
      </c>
      <c r="AK59" s="131" t="n">
        <f aca="false">SUBTOTAL(3,AK5:AK53)</f>
        <v>25</v>
      </c>
      <c r="AL59" s="131"/>
      <c r="AM59" s="131" t="n">
        <f aca="false">SUBTOTAL(3,AM5:AM53)</f>
        <v>23</v>
      </c>
      <c r="AN59" s="131"/>
      <c r="AO59" s="131" t="n">
        <f aca="false">SUBTOTAL(3,AO5:AO53)</f>
        <v>49</v>
      </c>
      <c r="AP59" s="131" t="n">
        <f aca="false">SUBTOTAL(3,AP5:AP53)</f>
        <v>49</v>
      </c>
      <c r="AR59" s="131" t="n">
        <f aca="false">SUBTOTAL(3,AR5:AR53)</f>
        <v>25</v>
      </c>
      <c r="AT59" s="13"/>
      <c r="AU59" s="131" t="n">
        <f aca="false">SUBTOTAL(3,AU5:AU53)</f>
        <v>25</v>
      </c>
      <c r="AW59" s="131" t="n">
        <f aca="false">SUBTOTAL(3,AW5:AW53)</f>
        <v>43</v>
      </c>
      <c r="AX59" s="131" t="n">
        <f aca="false">SUBTOTAL(3,AX5:AX53)</f>
        <v>43</v>
      </c>
      <c r="AY59" s="131" t="n">
        <f aca="false">SUBTOTAL(3,AY5:AY53)</f>
        <v>43</v>
      </c>
      <c r="AZ59" s="131" t="n">
        <f aca="false">SUBTOTAL(3,AZ5:AZ53)</f>
        <v>43</v>
      </c>
      <c r="BA59" s="131" t="n">
        <f aca="false">SUBTOTAL(3,BA5:BA53)</f>
        <v>49</v>
      </c>
      <c r="BC59" s="131" t="n">
        <f aca="false">SUBTOTAL(3,BC5:BC53)</f>
        <v>43</v>
      </c>
      <c r="BD59" s="13"/>
    </row>
    <row r="60" s="7" customFormat="true" ht="14.25" hidden="false" customHeight="false" outlineLevel="0" collapsed="false">
      <c r="F60" s="13"/>
      <c r="J60" s="131"/>
      <c r="K60" s="131"/>
      <c r="L60" s="133"/>
      <c r="M60" s="133"/>
      <c r="N60" s="133"/>
      <c r="AB60" s="127"/>
      <c r="AC60" s="127"/>
      <c r="AD60" s="128"/>
      <c r="AE60" s="128"/>
      <c r="AF60" s="127"/>
      <c r="AG60" s="127"/>
      <c r="AH60" s="129"/>
      <c r="AI60" s="129"/>
      <c r="AJ60" s="128"/>
      <c r="AK60" s="128"/>
      <c r="AL60" s="128"/>
      <c r="AM60" s="128"/>
      <c r="AN60" s="125"/>
      <c r="AT60" s="13"/>
      <c r="AW60" s="4"/>
      <c r="AX60" s="4"/>
      <c r="AY60" s="4"/>
      <c r="AZ60" s="57"/>
      <c r="BD60" s="13"/>
    </row>
    <row r="61" s="7" customFormat="true" ht="14.25" hidden="false" customHeight="true" outlineLevel="0" collapsed="false">
      <c r="D61" s="14" t="s">
        <v>206</v>
      </c>
      <c r="E61" s="134" t="e">
        <f aca="false">#DIV/0!</f>
        <v>#DIV/0!</v>
      </c>
      <c r="F61" s="133" t="n">
        <v>2.75510204081633</v>
      </c>
      <c r="G61" s="134" t="n">
        <v>45594.5111111111</v>
      </c>
      <c r="H61" s="133" t="e">
        <f aca="false">#DIV/0!</f>
        <v>#DIV/0!</v>
      </c>
      <c r="I61" s="133" t="n">
        <v>204.488888888889</v>
      </c>
      <c r="J61" s="133" t="n">
        <v>202.488888888889</v>
      </c>
      <c r="K61" s="133" t="e">
        <f aca="false">#DIV/0!</f>
        <v>#DIV/0!</v>
      </c>
      <c r="L61" s="133" t="e">
        <f aca="false">#DIV/0!</f>
        <v>#DIV/0!</v>
      </c>
      <c r="M61" s="133" t="e">
        <f aca="false">#DIV/0!</f>
        <v>#DIV/0!</v>
      </c>
      <c r="N61" s="133" t="e">
        <f aca="false">#DIV/0!</f>
        <v>#DIV/0!</v>
      </c>
      <c r="O61" s="133" t="n">
        <v>55.0487804878049</v>
      </c>
      <c r="P61" s="133" t="n">
        <v>74.6</v>
      </c>
      <c r="Q61" s="133" t="n">
        <v>142.6725</v>
      </c>
      <c r="R61" s="133" t="n">
        <v>166.675</v>
      </c>
      <c r="S61" s="133" t="n">
        <v>1243.5</v>
      </c>
      <c r="T61" s="133" t="n">
        <v>1294</v>
      </c>
      <c r="U61" s="133" t="n">
        <v>987.555555555556</v>
      </c>
      <c r="V61" s="133" t="n">
        <v>957.333333333333</v>
      </c>
      <c r="W61" s="133" t="n">
        <v>1023.11111111111</v>
      </c>
      <c r="X61" s="133" t="e">
        <f aca="false">#DIV/0!</f>
        <v>#DIV/0!</v>
      </c>
      <c r="Y61" s="133" t="e">
        <f aca="false">#DIV/0!</f>
        <v>#DIV/0!</v>
      </c>
      <c r="Z61" s="133" t="n">
        <v>45797.2935232426</v>
      </c>
      <c r="AA61" s="133" t="n">
        <v>13</v>
      </c>
      <c r="AB61" s="135" t="n">
        <v>45798.4217642196</v>
      </c>
      <c r="AC61" s="135" t="n">
        <v>45799.9060863095</v>
      </c>
      <c r="AD61" s="133" t="n">
        <v>35.6237301587327</v>
      </c>
      <c r="AE61" s="133" t="n">
        <v>35.6237301587327</v>
      </c>
      <c r="AF61" s="135" t="n">
        <v>45799.0458421296</v>
      </c>
      <c r="AG61" s="135" t="n">
        <v>45799.399137037</v>
      </c>
      <c r="AH61" s="133" t="n">
        <v>42.0428777777567</v>
      </c>
      <c r="AI61" s="133" t="n">
        <v>77.0428777777567</v>
      </c>
      <c r="AJ61" s="133" t="n">
        <v>8.47907777779503</v>
      </c>
      <c r="AK61" s="133" t="n">
        <v>8.81913333334727</v>
      </c>
      <c r="AL61" s="133"/>
      <c r="AM61" s="133" t="n">
        <v>1.26086956521739</v>
      </c>
      <c r="AN61" s="133"/>
      <c r="AO61" s="134" t="n">
        <v>45799</v>
      </c>
      <c r="AP61" s="135" t="n">
        <v>45799.6750141723</v>
      </c>
      <c r="AR61" s="133" t="n">
        <v>15.1251222222392</v>
      </c>
      <c r="AT61" s="13"/>
      <c r="AU61" s="133" t="n">
        <v>13</v>
      </c>
      <c r="AW61" s="133" t="n">
        <v>1.34883720930233</v>
      </c>
      <c r="AX61" s="133" t="n">
        <v>1.34883720930233</v>
      </c>
      <c r="AY61" s="133" t="n">
        <v>0</v>
      </c>
      <c r="AZ61" s="134" t="n">
        <v>45954</v>
      </c>
      <c r="BA61" s="134" t="n">
        <v>45944</v>
      </c>
      <c r="BC61" s="133" t="n">
        <v>155</v>
      </c>
      <c r="BD61" s="13"/>
    </row>
    <row r="62" s="7" customFormat="true" ht="14.25" hidden="false" customHeight="true" outlineLevel="0" collapsed="false">
      <c r="D62" s="14"/>
      <c r="E62" s="133" t="e">
        <f aca="false">#DIV/0!</f>
        <v>#DIV/0!</v>
      </c>
      <c r="F62" s="133" t="n">
        <v>1.26706044720477</v>
      </c>
      <c r="G62" s="133" t="n">
        <v>17.7259724982891</v>
      </c>
      <c r="H62" s="133" t="e">
        <f aca="false">#DIV/0!</f>
        <v>#DIV/0!</v>
      </c>
      <c r="I62" s="133" t="n">
        <v>17.7259724982891</v>
      </c>
      <c r="J62" s="133" t="n">
        <v>17.7259724982891</v>
      </c>
      <c r="K62" s="133" t="e">
        <f aca="false">#DIV/0!</f>
        <v>#DIV/0!</v>
      </c>
      <c r="L62" s="133" t="e">
        <f aca="false">#DIV/0!</f>
        <v>#DIV/0!</v>
      </c>
      <c r="M62" s="133" t="e">
        <f aca="false">#DIV/0!</f>
        <v>#DIV/0!</v>
      </c>
      <c r="N62" s="133" t="e">
        <f aca="false">#DIV/0!</f>
        <v>#DIV/0!</v>
      </c>
      <c r="O62" s="133" t="n">
        <v>84.11211304548</v>
      </c>
      <c r="P62" s="133" t="n">
        <v>80.4234249005057</v>
      </c>
      <c r="Q62" s="133" t="n">
        <v>42.369237676433</v>
      </c>
      <c r="R62" s="133" t="n">
        <v>34.8677997805778</v>
      </c>
      <c r="S62" s="133" t="n">
        <v>494.376322974663</v>
      </c>
      <c r="T62" s="133" t="n">
        <v>480.900864030874</v>
      </c>
      <c r="U62" s="133" t="n">
        <v>236.692700232674</v>
      </c>
      <c r="V62" s="133" t="n">
        <v>239.83327542274</v>
      </c>
      <c r="W62" s="133" t="n">
        <v>237.638210715195</v>
      </c>
      <c r="X62" s="133" t="e">
        <f aca="false">#DIV/0!</f>
        <v>#DIV/0!</v>
      </c>
      <c r="Y62" s="133" t="e">
        <f aca="false">#DIV/0!</f>
        <v>#DIV/0!</v>
      </c>
      <c r="Z62" s="133" t="n">
        <v>0.00251341786939127</v>
      </c>
      <c r="AA62" s="133" t="n">
        <v>7.35980072193987</v>
      </c>
      <c r="AB62" s="133" t="n">
        <v>0.484619628341772</v>
      </c>
      <c r="AC62" s="133" t="n">
        <v>0.80759274855596</v>
      </c>
      <c r="AD62" s="133" t="n">
        <v>23.2663969913286</v>
      </c>
      <c r="AE62" s="133" t="n">
        <v>23.2663969913286</v>
      </c>
      <c r="AF62" s="133" t="n">
        <v>0.472025592377543</v>
      </c>
      <c r="AG62" s="133" t="n">
        <v>0.604752224390336</v>
      </c>
      <c r="AH62" s="133" t="n">
        <v>11.3358974047541</v>
      </c>
      <c r="AI62" s="133" t="n">
        <v>11.3358974047541</v>
      </c>
      <c r="AJ62" s="133" t="n">
        <v>12.8713514924084</v>
      </c>
      <c r="AK62" s="133" t="n">
        <v>12.6457184471634</v>
      </c>
      <c r="AL62" s="133"/>
      <c r="AM62" s="133" t="n">
        <v>0.448977758544879</v>
      </c>
      <c r="AN62" s="133"/>
      <c r="AO62" s="133" t="n">
        <v>0</v>
      </c>
      <c r="AP62" s="133" t="n">
        <v>0.00537445303720086</v>
      </c>
      <c r="AR62" s="133" t="n">
        <v>11.360267139327</v>
      </c>
      <c r="AT62" s="13"/>
      <c r="AU62" s="133" t="n">
        <v>7.35980072193987</v>
      </c>
      <c r="AW62" s="133" t="n">
        <v>0.482242822170412</v>
      </c>
      <c r="AX62" s="133" t="n">
        <v>0.482242822170412</v>
      </c>
      <c r="AY62" s="133" t="n">
        <v>0</v>
      </c>
      <c r="AZ62" s="133" t="n">
        <v>8.89087279447969</v>
      </c>
      <c r="BA62" s="133" t="n">
        <v>0</v>
      </c>
      <c r="BC62" s="133" t="n">
        <v>8.89087279447969</v>
      </c>
      <c r="BD62" s="13"/>
    </row>
    <row r="63" s="7" customFormat="true" ht="14.25" hidden="false" customHeight="true" outlineLevel="0" collapsed="false">
      <c r="D63" s="14"/>
      <c r="E63" s="133" t="n">
        <v>0</v>
      </c>
      <c r="F63" s="133" t="n">
        <v>49</v>
      </c>
      <c r="G63" s="133" t="n">
        <v>45</v>
      </c>
      <c r="H63" s="133" t="n">
        <v>0</v>
      </c>
      <c r="I63" s="133" t="n">
        <v>45</v>
      </c>
      <c r="J63" s="133" t="n">
        <v>45</v>
      </c>
      <c r="K63" s="133" t="n">
        <v>0</v>
      </c>
      <c r="L63" s="133" t="n">
        <v>0</v>
      </c>
      <c r="M63" s="133" t="n">
        <v>0</v>
      </c>
      <c r="N63" s="133" t="n">
        <v>0</v>
      </c>
      <c r="O63" s="133" t="n">
        <v>41</v>
      </c>
      <c r="P63" s="133" t="n">
        <v>45</v>
      </c>
      <c r="Q63" s="133" t="n">
        <v>40</v>
      </c>
      <c r="R63" s="133" t="n">
        <v>40</v>
      </c>
      <c r="S63" s="133" t="n">
        <v>40</v>
      </c>
      <c r="T63" s="133" t="n">
        <v>40</v>
      </c>
      <c r="U63" s="133" t="n">
        <v>45</v>
      </c>
      <c r="V63" s="133" t="n">
        <v>45</v>
      </c>
      <c r="W63" s="133" t="n">
        <v>45</v>
      </c>
      <c r="X63" s="133" t="n">
        <v>0</v>
      </c>
      <c r="Y63" s="133" t="n">
        <v>0</v>
      </c>
      <c r="Z63" s="133" t="n">
        <v>49</v>
      </c>
      <c r="AA63" s="133" t="n">
        <v>25</v>
      </c>
      <c r="AB63" s="133" t="n">
        <v>7</v>
      </c>
      <c r="AC63" s="133" t="n">
        <v>7</v>
      </c>
      <c r="AD63" s="133" t="n">
        <v>7</v>
      </c>
      <c r="AE63" s="133" t="n">
        <v>7</v>
      </c>
      <c r="AF63" s="133" t="n">
        <v>25</v>
      </c>
      <c r="AG63" s="133" t="n">
        <v>25</v>
      </c>
      <c r="AH63" s="133" t="n">
        <v>25</v>
      </c>
      <c r="AI63" s="133" t="n">
        <v>25</v>
      </c>
      <c r="AJ63" s="133" t="n">
        <v>25</v>
      </c>
      <c r="AK63" s="133" t="n">
        <v>25</v>
      </c>
      <c r="AL63" s="133"/>
      <c r="AM63" s="133" t="n">
        <v>23</v>
      </c>
      <c r="AN63" s="133"/>
      <c r="AO63" s="133" t="n">
        <v>49</v>
      </c>
      <c r="AP63" s="133" t="n">
        <v>49</v>
      </c>
      <c r="AR63" s="133" t="n">
        <v>25</v>
      </c>
      <c r="AT63" s="13"/>
      <c r="AU63" s="133" t="n">
        <v>25</v>
      </c>
      <c r="AW63" s="133" t="n">
        <v>43</v>
      </c>
      <c r="AX63" s="133" t="n">
        <v>43</v>
      </c>
      <c r="AY63" s="133" t="n">
        <v>43</v>
      </c>
      <c r="AZ63" s="133" t="n">
        <v>43</v>
      </c>
      <c r="BA63" s="133" t="n">
        <v>49</v>
      </c>
      <c r="BC63" s="133" t="n">
        <v>43</v>
      </c>
      <c r="BD63" s="13"/>
    </row>
    <row r="64" s="7" customFormat="true" ht="14.25" hidden="false" customHeight="true" outlineLevel="0" collapsed="false">
      <c r="D64" s="14"/>
      <c r="E64" s="133" t="e">
        <f aca="false">E62/(SQRT(E63))</f>
        <v>#DIV/0!</v>
      </c>
      <c r="F64" s="133" t="n">
        <f aca="false">F62/(SQRT(F63))</f>
        <v>0.181008635314967</v>
      </c>
      <c r="G64" s="133" t="n">
        <f aca="false">G62/(SQRT(G63))</f>
        <v>2.64243196489774</v>
      </c>
      <c r="H64" s="133" t="e">
        <f aca="false">H62/(SQRT(H63))</f>
        <v>#DIV/0!</v>
      </c>
      <c r="I64" s="133" t="n">
        <f aca="false">I62/(SQRT(I63))</f>
        <v>2.64243196489775</v>
      </c>
      <c r="J64" s="133" t="n">
        <f aca="false">J62/(SQRT(J63))</f>
        <v>2.64243196489775</v>
      </c>
      <c r="K64" s="133" t="e">
        <f aca="false">K62/(SQRT(K63))</f>
        <v>#DIV/0!</v>
      </c>
      <c r="L64" s="133" t="e">
        <f aca="false">L62/(SQRT(L63))</f>
        <v>#DIV/0!</v>
      </c>
      <c r="M64" s="133" t="e">
        <f aca="false">M62/(SQRT(M63))</f>
        <v>#DIV/0!</v>
      </c>
      <c r="N64" s="133" t="e">
        <f aca="false">N62/(SQRT(N63))</f>
        <v>#DIV/0!</v>
      </c>
      <c r="O64" s="133" t="n">
        <f aca="false">O62/(SQRT(O63))</f>
        <v>13.1361051147123</v>
      </c>
      <c r="P64" s="133" t="n">
        <f aca="false">P62/(SQRT(P63))</f>
        <v>11.988816337392</v>
      </c>
      <c r="Q64" s="133" t="n">
        <f aca="false">Q62/(SQRT(Q63))</f>
        <v>6.69916468912742</v>
      </c>
      <c r="R64" s="133" t="n">
        <f aca="false">R62/(SQRT(R63))</f>
        <v>5.51308321526725</v>
      </c>
      <c r="S64" s="133" t="n">
        <f aca="false">S62/(SQRT(S63))</f>
        <v>78.1677600929483</v>
      </c>
      <c r="T64" s="133" t="n">
        <f aca="false">T62/(SQRT(T63))</f>
        <v>76.0371029540252</v>
      </c>
      <c r="U64" s="133" t="n">
        <f aca="false">U62/(SQRT(U63))</f>
        <v>35.2840644998826</v>
      </c>
      <c r="V64" s="133" t="n">
        <f aca="false">V62/(SQRT(V63))</f>
        <v>35.7522338074451</v>
      </c>
      <c r="W64" s="133" t="n">
        <f aca="false">W62/(SQRT(W63))</f>
        <v>35.4250128807063</v>
      </c>
      <c r="X64" s="133" t="e">
        <f aca="false">X62/(SQRT(X63))</f>
        <v>#DIV/0!</v>
      </c>
      <c r="Y64" s="133" t="e">
        <f aca="false">Y62/(SQRT(Y63))</f>
        <v>#DIV/0!</v>
      </c>
      <c r="Z64" s="133"/>
      <c r="AA64" s="133" t="n">
        <f aca="false">AA62/(SQRT(AA63))</f>
        <v>1.47196014438797</v>
      </c>
      <c r="AB64" s="133" t="n">
        <f aca="false">AB62/(SQRT(AB63))</f>
        <v>0.183169002436125</v>
      </c>
      <c r="AC64" s="133" t="n">
        <f aca="false">AC62/(SQRT(AC63))</f>
        <v>0.305241367614027</v>
      </c>
      <c r="AD64" s="133" t="n">
        <f aca="false">AD62/(SQRT(AD63))</f>
        <v>8.79387147765099</v>
      </c>
      <c r="AE64" s="133" t="n">
        <f aca="false">AE62/(SQRT(AE63))</f>
        <v>8.79387147765099</v>
      </c>
      <c r="AF64" s="133" t="n">
        <f aca="false">AF62/(SQRT(AF63))</f>
        <v>0.0944051184755086</v>
      </c>
      <c r="AG64" s="133" t="n">
        <f aca="false">AG62/(SQRT(AG63))</f>
        <v>0.120950444878067</v>
      </c>
      <c r="AH64" s="133" t="n">
        <f aca="false">AH62/(SQRT(AH63))</f>
        <v>2.26717948095083</v>
      </c>
      <c r="AI64" s="133" t="n">
        <f aca="false">AI62/(SQRT(AI63))</f>
        <v>2.26717948095082</v>
      </c>
      <c r="AJ64" s="133" t="n">
        <f aca="false">AJ62/(SQRT(AJ63))</f>
        <v>2.57427029848168</v>
      </c>
      <c r="AK64" s="133" t="n">
        <f aca="false">AK62/(SQRT(AK63))</f>
        <v>2.52914368943267</v>
      </c>
      <c r="AL64" s="133"/>
      <c r="AM64" s="133"/>
      <c r="AN64" s="133" t="e">
        <f aca="false">AN62/(SQRT(AN63))</f>
        <v>#DIV/0!</v>
      </c>
      <c r="AO64" s="133" t="n">
        <f aca="false">AO62/(SQRT(AO63))</f>
        <v>0</v>
      </c>
      <c r="AP64" s="133" t="n">
        <f aca="false">AP62/(SQRT(AP63))</f>
        <v>0.000767779005314408</v>
      </c>
      <c r="AR64" s="133" t="n">
        <f aca="false">AR62/(SQRT(AR63))</f>
        <v>2.27205342786539</v>
      </c>
      <c r="AT64" s="13"/>
      <c r="AU64" s="133" t="n">
        <f aca="false">AU62/(SQRT(AU63))</f>
        <v>1.47196014438797</v>
      </c>
      <c r="AW64" s="133" t="n">
        <f aca="false">AW62/(SQRT(AW63))</f>
        <v>0.0735413409341484</v>
      </c>
      <c r="AX64" s="133"/>
      <c r="AY64" s="133"/>
      <c r="AZ64" s="133" t="n">
        <f aca="false">AZ62/(SQRT(AZ63))</f>
        <v>1.3558453901672</v>
      </c>
      <c r="BA64" s="133" t="n">
        <f aca="false">BA62/(SQRT(BA63))</f>
        <v>0</v>
      </c>
      <c r="BC64" s="133" t="n">
        <f aca="false">BC62/(SQRT(BC63))</f>
        <v>1.3558453901672</v>
      </c>
      <c r="BD64" s="13"/>
    </row>
    <row r="65" s="7" customFormat="true" ht="14.25" hidden="false" customHeight="true" outlineLevel="0" collapsed="false">
      <c r="D65" s="14"/>
      <c r="E65" s="136"/>
      <c r="F65" s="136"/>
      <c r="G65" s="136"/>
      <c r="H65" s="136"/>
      <c r="I65" s="136"/>
      <c r="J65" s="136"/>
      <c r="K65" s="133"/>
      <c r="L65" s="133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R65" s="136"/>
      <c r="AT65" s="13"/>
      <c r="AU65" s="136"/>
      <c r="AW65" s="136"/>
      <c r="AX65" s="136"/>
      <c r="AY65" s="136"/>
      <c r="AZ65" s="136"/>
      <c r="BA65" s="136"/>
      <c r="BC65" s="136"/>
      <c r="BD65" s="13"/>
    </row>
    <row r="66" s="7" customFormat="true" ht="14.25" hidden="false" customHeight="true" outlineLevel="0" collapsed="false">
      <c r="D66" s="14" t="s">
        <v>207</v>
      </c>
      <c r="E66" s="134" t="e">
        <f aca="false">#DIV/0!</f>
        <v>#DIV/0!</v>
      </c>
      <c r="F66" s="133" t="n">
        <v>2.61904761904762</v>
      </c>
      <c r="G66" s="134" t="n">
        <v>45602</v>
      </c>
      <c r="H66" s="133" t="e">
        <f aca="false">#DIV/0!</f>
        <v>#DIV/0!</v>
      </c>
      <c r="I66" s="133" t="n">
        <v>197</v>
      </c>
      <c r="J66" s="133" t="n">
        <v>195</v>
      </c>
      <c r="K66" s="133" t="e">
        <f aca="false">#DIV/0!</f>
        <v>#DIV/0!</v>
      </c>
      <c r="L66" s="133" t="e">
        <f aca="false">#DIV/0!</f>
        <v>#DIV/0!</v>
      </c>
      <c r="M66" s="133" t="e">
        <f aca="false">#DIV/0!</f>
        <v>#DIV/0!</v>
      </c>
      <c r="N66" s="133" t="e">
        <f aca="false">#DIV/0!</f>
        <v>#DIV/0!</v>
      </c>
      <c r="O66" s="133" t="n">
        <v>35.1764705882353</v>
      </c>
      <c r="P66" s="133" t="n">
        <v>93.6315789473684</v>
      </c>
      <c r="Q66" s="133" t="n">
        <v>154.786666666667</v>
      </c>
      <c r="R66" s="133" t="n">
        <v>174.133333333333</v>
      </c>
      <c r="S66" s="133" t="n">
        <v>1332.85714285714</v>
      </c>
      <c r="T66" s="133" t="n">
        <v>1294.28571428571</v>
      </c>
      <c r="U66" s="133" t="n">
        <v>911.578947368421</v>
      </c>
      <c r="V66" s="133" t="n">
        <v>938.947368421053</v>
      </c>
      <c r="W66" s="133" t="n">
        <v>962.105263157895</v>
      </c>
      <c r="X66" s="133" t="e">
        <f aca="false">#DIV/0!</f>
        <v>#DIV/0!</v>
      </c>
      <c r="Y66" s="133" t="e">
        <f aca="false">#DIV/0!</f>
        <v>#DIV/0!</v>
      </c>
      <c r="Z66" s="133" t="n">
        <v>45797.294047619</v>
      </c>
      <c r="AA66" s="133" t="n">
        <v>11.952380952381</v>
      </c>
      <c r="AB66" s="135" t="n">
        <v>45798.2646944444</v>
      </c>
      <c r="AC66" s="135" t="n">
        <v>45799.924025463</v>
      </c>
      <c r="AD66" s="133" t="n">
        <v>39.8239444444422</v>
      </c>
      <c r="AE66" s="133" t="n">
        <v>39.8239444444422</v>
      </c>
      <c r="AF66" s="135" t="n">
        <v>45798.891829806</v>
      </c>
      <c r="AG66" s="135" t="n">
        <v>45799.2980979938</v>
      </c>
      <c r="AH66" s="133" t="n">
        <v>38.3467724867514</v>
      </c>
      <c r="AI66" s="133" t="n">
        <v>73.3467724867514</v>
      </c>
      <c r="AJ66" s="133" t="n">
        <v>9.75043650795539</v>
      </c>
      <c r="AK66" s="133" t="n">
        <v>10.0705291005461</v>
      </c>
      <c r="AL66" s="133"/>
      <c r="AM66" s="133" t="n">
        <v>1.26315789473684</v>
      </c>
      <c r="AN66" s="133"/>
      <c r="AO66" s="134" t="n">
        <v>45799</v>
      </c>
      <c r="AP66" s="135" t="n">
        <v>45799.6768187831</v>
      </c>
      <c r="AR66" s="133" t="n">
        <v>18.8397354497491</v>
      </c>
      <c r="AT66" s="13"/>
      <c r="AU66" s="133" t="n">
        <v>11.952380952381</v>
      </c>
      <c r="AW66" s="133" t="n">
        <v>1.26315789473684</v>
      </c>
      <c r="AX66" s="133" t="n">
        <v>1.26315789473684</v>
      </c>
      <c r="AY66" s="133" t="n">
        <v>0</v>
      </c>
      <c r="AZ66" s="133" t="n">
        <v>45957.6842105263</v>
      </c>
      <c r="BA66" s="134" t="n">
        <v>45944</v>
      </c>
      <c r="BC66" s="133" t="n">
        <v>158.684210526316</v>
      </c>
      <c r="BD66" s="13"/>
    </row>
    <row r="67" s="7" customFormat="true" ht="14.25" hidden="false" customHeight="true" outlineLevel="0" collapsed="false">
      <c r="D67" s="14"/>
      <c r="E67" s="133" t="e">
        <f aca="false">#DIV/0!</f>
        <v>#DIV/0!</v>
      </c>
      <c r="F67" s="133" t="n">
        <v>1.46547570693582</v>
      </c>
      <c r="G67" s="133" t="n">
        <v>23.8863047697955</v>
      </c>
      <c r="H67" s="133" t="e">
        <f aca="false">#DIV/0!</f>
        <v>#DIV/0!</v>
      </c>
      <c r="I67" s="133" t="n">
        <v>23.8863047697955</v>
      </c>
      <c r="J67" s="133" t="n">
        <v>23.8863047697955</v>
      </c>
      <c r="K67" s="133" t="e">
        <f aca="false">#DIV/0!</f>
        <v>#DIV/0!</v>
      </c>
      <c r="L67" s="133" t="e">
        <f aca="false">#DIV/0!</f>
        <v>#DIV/0!</v>
      </c>
      <c r="M67" s="133" t="e">
        <f aca="false">#DIV/0!</f>
        <v>#DIV/0!</v>
      </c>
      <c r="N67" s="133" t="e">
        <f aca="false">#DIV/0!</f>
        <v>#DIV/0!</v>
      </c>
      <c r="O67" s="133" t="n">
        <v>58.1541435476846</v>
      </c>
      <c r="P67" s="133" t="n">
        <v>71.7272693582479</v>
      </c>
      <c r="Q67" s="133" t="n">
        <v>43.3133576669018</v>
      </c>
      <c r="R67" s="133" t="n">
        <v>30.3688436833981</v>
      </c>
      <c r="S67" s="133" t="n">
        <v>448.080153740181</v>
      </c>
      <c r="T67" s="133" t="n">
        <v>461.464462932359</v>
      </c>
      <c r="U67" s="133" t="n">
        <v>243.886657598127</v>
      </c>
      <c r="V67" s="133" t="n">
        <v>160.620143224182</v>
      </c>
      <c r="W67" s="133" t="n">
        <v>195.151762806068</v>
      </c>
      <c r="X67" s="133" t="e">
        <f aca="false">#DIV/0!</f>
        <v>#DIV/0!</v>
      </c>
      <c r="Y67" s="133" t="e">
        <f aca="false">#DIV/0!</f>
        <v>#DIV/0!</v>
      </c>
      <c r="Z67" s="133" t="n">
        <v>0.00245101929602751</v>
      </c>
      <c r="AA67" s="133" t="n">
        <v>6.70429855000648</v>
      </c>
      <c r="AB67" s="133" t="n">
        <v>0.441209028868378</v>
      </c>
      <c r="AC67" s="133" t="n">
        <v>0.988205544114972</v>
      </c>
      <c r="AD67" s="133" t="n">
        <v>26.4797038777787</v>
      </c>
      <c r="AE67" s="133" t="n">
        <v>26.4797038777787</v>
      </c>
      <c r="AF67" s="133" t="n">
        <v>0.330363478848671</v>
      </c>
      <c r="AG67" s="133" t="n">
        <v>0.606333963909241</v>
      </c>
      <c r="AH67" s="133" t="n">
        <v>7.9418977631968</v>
      </c>
      <c r="AI67" s="133" t="n">
        <v>7.94189776319692</v>
      </c>
      <c r="AJ67" s="133" t="n">
        <v>13.6965240793675</v>
      </c>
      <c r="AK67" s="133" t="n">
        <v>13.4639942938715</v>
      </c>
      <c r="AL67" s="133"/>
      <c r="AM67" s="133" t="n">
        <v>0.452413928358864</v>
      </c>
      <c r="AN67" s="133"/>
      <c r="AO67" s="133" t="n">
        <v>0</v>
      </c>
      <c r="AP67" s="133" t="n">
        <v>0.00530455647263231</v>
      </c>
      <c r="AR67" s="133" t="n">
        <v>7.92598537048014</v>
      </c>
      <c r="AT67" s="13"/>
      <c r="AU67" s="133" t="n">
        <v>6.70429855000648</v>
      </c>
      <c r="AW67" s="133" t="n">
        <v>0.452413928358864</v>
      </c>
      <c r="AX67" s="133" t="n">
        <v>0.452413928358864</v>
      </c>
      <c r="AY67" s="133" t="n">
        <v>0</v>
      </c>
      <c r="AZ67" s="133" t="n">
        <v>8.86348709644076</v>
      </c>
      <c r="BA67" s="133" t="n">
        <v>0</v>
      </c>
      <c r="BC67" s="133" t="n">
        <v>8.86348709644077</v>
      </c>
      <c r="BD67" s="13"/>
    </row>
    <row r="68" s="7" customFormat="true" ht="14.25" hidden="false" customHeight="true" outlineLevel="0" collapsed="false">
      <c r="D68" s="14"/>
      <c r="E68" s="133" t="n">
        <v>0</v>
      </c>
      <c r="F68" s="133" t="n">
        <v>21</v>
      </c>
      <c r="G68" s="133" t="n">
        <v>19</v>
      </c>
      <c r="H68" s="133" t="n">
        <v>0</v>
      </c>
      <c r="I68" s="133" t="n">
        <v>19</v>
      </c>
      <c r="J68" s="133" t="n">
        <v>19</v>
      </c>
      <c r="K68" s="133" t="n">
        <v>0</v>
      </c>
      <c r="L68" s="133" t="n">
        <v>0</v>
      </c>
      <c r="M68" s="133" t="n">
        <v>0</v>
      </c>
      <c r="N68" s="133" t="n">
        <v>0</v>
      </c>
      <c r="O68" s="133" t="n">
        <v>17</v>
      </c>
      <c r="P68" s="133" t="n">
        <v>19</v>
      </c>
      <c r="Q68" s="133" t="n">
        <v>15</v>
      </c>
      <c r="R68" s="133" t="n">
        <v>15</v>
      </c>
      <c r="S68" s="133" t="n">
        <v>14</v>
      </c>
      <c r="T68" s="133" t="n">
        <v>14</v>
      </c>
      <c r="U68" s="133" t="n">
        <v>19</v>
      </c>
      <c r="V68" s="133" t="n">
        <v>19</v>
      </c>
      <c r="W68" s="133" t="n">
        <v>19</v>
      </c>
      <c r="X68" s="133" t="n">
        <v>0</v>
      </c>
      <c r="Y68" s="133" t="n">
        <v>0</v>
      </c>
      <c r="Z68" s="133" t="n">
        <v>21</v>
      </c>
      <c r="AA68" s="133" t="n">
        <v>21</v>
      </c>
      <c r="AB68" s="133" t="n">
        <v>5</v>
      </c>
      <c r="AC68" s="133" t="n">
        <v>5</v>
      </c>
      <c r="AD68" s="133" t="n">
        <v>5</v>
      </c>
      <c r="AE68" s="133" t="n">
        <v>5</v>
      </c>
      <c r="AF68" s="133" t="n">
        <v>21</v>
      </c>
      <c r="AG68" s="133" t="n">
        <v>21</v>
      </c>
      <c r="AH68" s="133" t="n">
        <v>21</v>
      </c>
      <c r="AI68" s="133" t="n">
        <v>21</v>
      </c>
      <c r="AJ68" s="133" t="n">
        <v>21</v>
      </c>
      <c r="AK68" s="133" t="n">
        <v>21</v>
      </c>
      <c r="AL68" s="133"/>
      <c r="AM68" s="133" t="n">
        <v>19</v>
      </c>
      <c r="AN68" s="133"/>
      <c r="AO68" s="133" t="n">
        <v>21</v>
      </c>
      <c r="AP68" s="133" t="n">
        <v>21</v>
      </c>
      <c r="AR68" s="133" t="n">
        <v>21</v>
      </c>
      <c r="AT68" s="13"/>
      <c r="AU68" s="133" t="n">
        <v>21</v>
      </c>
      <c r="AW68" s="133" t="n">
        <v>19</v>
      </c>
      <c r="AX68" s="133" t="n">
        <v>19</v>
      </c>
      <c r="AY68" s="133" t="n">
        <v>19</v>
      </c>
      <c r="AZ68" s="133" t="n">
        <v>19</v>
      </c>
      <c r="BA68" s="133" t="n">
        <v>21</v>
      </c>
      <c r="BC68" s="133" t="n">
        <v>19</v>
      </c>
      <c r="BD68" s="13"/>
    </row>
    <row r="69" s="7" customFormat="true" ht="14.25" hidden="false" customHeight="true" outlineLevel="0" collapsed="false">
      <c r="D69" s="14"/>
      <c r="E69" s="133" t="e">
        <f aca="false">E67/(SQRT(E68))</f>
        <v>#DIV/0!</v>
      </c>
      <c r="F69" s="133" t="n">
        <f aca="false">F67/(SQRT(F68))</f>
        <v>0.319793016959635</v>
      </c>
      <c r="G69" s="133" t="n">
        <f aca="false">G67/(SQRT(G68))</f>
        <v>5.47989413821854</v>
      </c>
      <c r="H69" s="133" t="e">
        <f aca="false">H67/(SQRT(H68))</f>
        <v>#DIV/0!</v>
      </c>
      <c r="I69" s="133" t="n">
        <f aca="false">I67/(SQRT(I68))</f>
        <v>5.47989413821854</v>
      </c>
      <c r="J69" s="133" t="n">
        <f aca="false">J67/(SQRT(J68))</f>
        <v>5.47989413821854</v>
      </c>
      <c r="K69" s="133" t="e">
        <f aca="false">K67/(SQRT(K68))</f>
        <v>#DIV/0!</v>
      </c>
      <c r="L69" s="133" t="e">
        <f aca="false">L67/(SQRT(L68))</f>
        <v>#DIV/0!</v>
      </c>
      <c r="M69" s="133" t="e">
        <f aca="false">M67/(SQRT(M68))</f>
        <v>#DIV/0!</v>
      </c>
      <c r="N69" s="133" t="e">
        <f aca="false">N67/(SQRT(N68))</f>
        <v>#DIV/0!</v>
      </c>
      <c r="O69" s="133" t="n">
        <f aca="false">O67/(SQRT(O68))</f>
        <v>14.1044515537903</v>
      </c>
      <c r="P69" s="133" t="n">
        <f aca="false">P67/(SQRT(P68))</f>
        <v>16.4553641383539</v>
      </c>
      <c r="Q69" s="133" t="n">
        <f aca="false">Q67/(SQRT(Q68))</f>
        <v>11.1834608608157</v>
      </c>
      <c r="R69" s="133" t="n">
        <f aca="false">R67/(SQRT(R68))</f>
        <v>7.84120172195847</v>
      </c>
      <c r="S69" s="133" t="n">
        <f aca="false">S67/(SQRT(S68))</f>
        <v>119.754458364911</v>
      </c>
      <c r="T69" s="133" t="n">
        <f aca="false">T67/(SQRT(T68))</f>
        <v>123.331565461752</v>
      </c>
      <c r="U69" s="133" t="n">
        <f aca="false">U67/(SQRT(U68))</f>
        <v>55.9514365341127</v>
      </c>
      <c r="V69" s="133" t="n">
        <f aca="false">V67/(SQRT(V68))</f>
        <v>36.8487880321704</v>
      </c>
      <c r="W69" s="133" t="n">
        <f aca="false">W67/(SQRT(W68))</f>
        <v>44.7708848802878</v>
      </c>
      <c r="X69" s="133" t="e">
        <f aca="false">X67/(SQRT(X68))</f>
        <v>#DIV/0!</v>
      </c>
      <c r="Y69" s="133" t="e">
        <f aca="false">Y67/(SQRT(Y68))</f>
        <v>#DIV/0!</v>
      </c>
      <c r="Z69" s="133"/>
      <c r="AA69" s="133" t="n">
        <f aca="false">AA67/(SQRT(AA68))</f>
        <v>1.46299788509464</v>
      </c>
      <c r="AB69" s="133" t="n">
        <f aca="false">AB67/(SQRT(AB68))</f>
        <v>0.197314676167272</v>
      </c>
      <c r="AC69" s="133" t="n">
        <f aca="false">AC67/(SQRT(AC68))</f>
        <v>0.441938954476649</v>
      </c>
      <c r="AD69" s="133" t="n">
        <f aca="false">AD67/(SQRT(AD68))</f>
        <v>11.8420835789556</v>
      </c>
      <c r="AE69" s="133" t="n">
        <f aca="false">AE67/(SQRT(AE68))</f>
        <v>11.8420835789556</v>
      </c>
      <c r="AF69" s="133" t="n">
        <f aca="false">AF67/(SQRT(AF68))</f>
        <v>0.0720912213653799</v>
      </c>
      <c r="AG69" s="133" t="n">
        <f aca="false">AG67/(SQRT(AG68))</f>
        <v>0.132312918382701</v>
      </c>
      <c r="AH69" s="133" t="n">
        <f aca="false">AH67/(SQRT(AH68))</f>
        <v>1.73306417435475</v>
      </c>
      <c r="AI69" s="133" t="n">
        <f aca="false">AI67/(SQRT(AI68))</f>
        <v>1.73306417435478</v>
      </c>
      <c r="AJ69" s="133" t="n">
        <f aca="false">AJ67/(SQRT(AJ68))</f>
        <v>2.98882658816605</v>
      </c>
      <c r="AK69" s="133" t="n">
        <f aca="false">AK67/(SQRT(AK68))</f>
        <v>2.93808442895809</v>
      </c>
      <c r="AL69" s="133"/>
      <c r="AM69" s="133"/>
      <c r="AN69" s="133" t="e">
        <f aca="false">AN67/(SQRT(AN68))</f>
        <v>#DIV/0!</v>
      </c>
      <c r="AO69" s="133" t="n">
        <f aca="false">AO67/(SQRT(AO68))</f>
        <v>0</v>
      </c>
      <c r="AP69" s="133" t="n">
        <f aca="false">AP67/(SQRT(AP68))</f>
        <v>0.0011575491220955</v>
      </c>
      <c r="AR69" s="133" t="n">
        <f aca="false">AR67/(SQRT(AR68))</f>
        <v>1.72959180558752</v>
      </c>
      <c r="AT69" s="13"/>
      <c r="AU69" s="133" t="n">
        <f aca="false">AU67/(SQRT(AU68))</f>
        <v>1.46299788509464</v>
      </c>
      <c r="AW69" s="133" t="n">
        <f aca="false">AW67/(SQRT(AW68))</f>
        <v>0.103790873387713</v>
      </c>
      <c r="AX69" s="133"/>
      <c r="AY69" s="133"/>
      <c r="AZ69" s="133" t="n">
        <f aca="false">AZ67/(SQRT(AZ68))</f>
        <v>2.03342339688221</v>
      </c>
      <c r="BA69" s="133" t="n">
        <f aca="false">BA67/(SQRT(BA68))</f>
        <v>0</v>
      </c>
      <c r="BC69" s="133" t="n">
        <f aca="false">BC67/(SQRT(BC68))</f>
        <v>2.03342339688221</v>
      </c>
      <c r="BD69" s="13"/>
    </row>
    <row r="70" s="7" customFormat="true" ht="14.25" hidden="false" customHeight="true" outlineLevel="0" collapsed="false">
      <c r="D70" s="14"/>
      <c r="E70" s="136"/>
      <c r="F70" s="136"/>
      <c r="G70" s="136"/>
      <c r="H70" s="136"/>
      <c r="I70" s="136"/>
      <c r="J70" s="136"/>
      <c r="K70" s="136"/>
      <c r="L70" s="133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R70" s="136"/>
      <c r="AT70" s="13"/>
      <c r="AU70" s="136"/>
      <c r="AW70" s="136"/>
      <c r="AX70" s="136"/>
      <c r="AY70" s="136"/>
      <c r="AZ70" s="136"/>
      <c r="BA70" s="136"/>
      <c r="BC70" s="136"/>
      <c r="BD70" s="13"/>
    </row>
    <row r="71" s="7" customFormat="true" ht="14.25" hidden="false" customHeight="true" outlineLevel="0" collapsed="false">
      <c r="D71" s="14" t="s">
        <v>208</v>
      </c>
      <c r="E71" s="134" t="e">
        <f aca="false">#DIV/0!</f>
        <v>#DIV/0!</v>
      </c>
      <c r="F71" s="133" t="n">
        <v>2.85714285714286</v>
      </c>
      <c r="G71" s="134" t="n">
        <v>45589.0384615385</v>
      </c>
      <c r="H71" s="133" t="e">
        <f aca="false">#DIV/0!</f>
        <v>#DIV/0!</v>
      </c>
      <c r="I71" s="133" t="n">
        <v>209.961538461538</v>
      </c>
      <c r="J71" s="133" t="n">
        <v>207.961538461538</v>
      </c>
      <c r="K71" s="133" t="e">
        <f aca="false">#DIV/0!</f>
        <v>#DIV/0!</v>
      </c>
      <c r="L71" s="133" t="e">
        <f aca="false">#DIV/0!</f>
        <v>#DIV/0!</v>
      </c>
      <c r="M71" s="133" t="e">
        <f aca="false">#DIV/0!</f>
        <v>#DIV/0!</v>
      </c>
      <c r="N71" s="133" t="e">
        <f aca="false">#DIV/0!</f>
        <v>#DIV/0!</v>
      </c>
      <c r="O71" s="133" t="n">
        <v>69.125</v>
      </c>
      <c r="P71" s="133" t="n">
        <v>60.6923076923077</v>
      </c>
      <c r="Q71" s="133" t="n">
        <v>135.404</v>
      </c>
      <c r="R71" s="133" t="n">
        <v>162.2</v>
      </c>
      <c r="S71" s="133" t="n">
        <v>1195.38461538462</v>
      </c>
      <c r="T71" s="133" t="n">
        <v>1293.84615384615</v>
      </c>
      <c r="U71" s="133" t="n">
        <v>1043.07692307692</v>
      </c>
      <c r="V71" s="133" t="n">
        <v>970.769230769231</v>
      </c>
      <c r="W71" s="133" t="n">
        <v>1067.69230769231</v>
      </c>
      <c r="X71" s="133" t="e">
        <f aca="false">#DIV/0!</f>
        <v>#DIV/0!</v>
      </c>
      <c r="Y71" s="133" t="e">
        <f aca="false">#DIV/0!</f>
        <v>#DIV/0!</v>
      </c>
      <c r="Z71" s="133" t="n">
        <v>45797.2931299603</v>
      </c>
      <c r="AA71" s="133" t="n">
        <v>18.5</v>
      </c>
      <c r="AB71" s="135" t="n">
        <v>45798.8144386574</v>
      </c>
      <c r="AC71" s="135" t="n">
        <v>45799.8612384259</v>
      </c>
      <c r="AD71" s="133" t="n">
        <v>25.1231944444589</v>
      </c>
      <c r="AE71" s="133" t="n">
        <v>25.1231944444589</v>
      </c>
      <c r="AF71" s="135" t="n">
        <v>45799.8544068287</v>
      </c>
      <c r="AG71" s="135" t="n">
        <v>45799.9295920139</v>
      </c>
      <c r="AH71" s="133" t="n">
        <v>61.4474305555341</v>
      </c>
      <c r="AI71" s="133" t="n">
        <v>96.4474305555341</v>
      </c>
      <c r="AJ71" s="133" t="n">
        <v>1.80444444445311</v>
      </c>
      <c r="AK71" s="133" t="n">
        <v>2.24930555555329</v>
      </c>
      <c r="AL71" s="133"/>
      <c r="AM71" s="133" t="n">
        <v>1.25</v>
      </c>
      <c r="AN71" s="133"/>
      <c r="AO71" s="134" t="n">
        <v>45799</v>
      </c>
      <c r="AP71" s="135" t="n">
        <v>45799.6736607143</v>
      </c>
      <c r="AR71" s="133" t="n">
        <v>-4.37659722218814</v>
      </c>
      <c r="AT71" s="13"/>
      <c r="AU71" s="133" t="n">
        <v>18.5</v>
      </c>
      <c r="AW71" s="133" t="n">
        <v>1.41666666666667</v>
      </c>
      <c r="AX71" s="133" t="n">
        <v>1.41666666666667</v>
      </c>
      <c r="AY71" s="133" t="n">
        <v>0</v>
      </c>
      <c r="AZ71" s="133" t="n">
        <v>45951.0833333333</v>
      </c>
      <c r="BA71" s="134" t="n">
        <v>45944</v>
      </c>
      <c r="BC71" s="133" t="n">
        <v>152.083333333333</v>
      </c>
      <c r="BD71" s="13"/>
    </row>
    <row r="72" s="7" customFormat="true" ht="14.25" hidden="false" customHeight="true" outlineLevel="0" collapsed="false">
      <c r="D72" s="14" t="s">
        <v>209</v>
      </c>
      <c r="E72" s="133" t="e">
        <f aca="false">#DIV/0!</f>
        <v>#DIV/0!</v>
      </c>
      <c r="F72" s="133" t="n">
        <v>1.11269728052837</v>
      </c>
      <c r="G72" s="133" t="n">
        <v>8.27275416886429</v>
      </c>
      <c r="H72" s="133" t="e">
        <f aca="false">#DIV/0!</f>
        <v>#DIV/0!</v>
      </c>
      <c r="I72" s="133" t="n">
        <v>8.27275416886429</v>
      </c>
      <c r="J72" s="133" t="n">
        <v>8.27275416886429</v>
      </c>
      <c r="K72" s="133" t="e">
        <f aca="false">#DIV/0!</f>
        <v>#DIV/0!</v>
      </c>
      <c r="L72" s="133" t="e">
        <f aca="false">#DIV/0!</f>
        <v>#DIV/0!</v>
      </c>
      <c r="M72" s="133" t="e">
        <f aca="false">#DIV/0!</f>
        <v>#DIV/0!</v>
      </c>
      <c r="N72" s="133" t="e">
        <f aca="false">#DIV/0!</f>
        <v>#DIV/0!</v>
      </c>
      <c r="O72" s="133" t="n">
        <v>97.2255613643279</v>
      </c>
      <c r="P72" s="133" t="n">
        <v>84.8696738444395</v>
      </c>
      <c r="Q72" s="133" t="n">
        <v>40.9390856435916</v>
      </c>
      <c r="R72" s="133" t="n">
        <v>37.1752605908822</v>
      </c>
      <c r="S72" s="133" t="n">
        <v>519.609320695699</v>
      </c>
      <c r="T72" s="133" t="n">
        <v>500.04061373514</v>
      </c>
      <c r="U72" s="133" t="n">
        <v>219.504336736553</v>
      </c>
      <c r="V72" s="133" t="n">
        <v>286.732252485458</v>
      </c>
      <c r="W72" s="133" t="n">
        <v>258.98737717978</v>
      </c>
      <c r="X72" s="133" t="e">
        <f aca="false">#DIV/0!</f>
        <v>#DIV/0!</v>
      </c>
      <c r="Y72" s="133" t="e">
        <f aca="false">#DIV/0!</f>
        <v>#DIV/0!</v>
      </c>
      <c r="Z72" s="133" t="n">
        <v>0.00253109439227749</v>
      </c>
      <c r="AA72" s="133" t="n">
        <v>9.25562891794322</v>
      </c>
      <c r="AB72" s="133" t="n">
        <v>0.445796452292542</v>
      </c>
      <c r="AC72" s="133" t="n">
        <v>0.0374668384771084</v>
      </c>
      <c r="AD72" s="133" t="n">
        <v>11.5983189784716</v>
      </c>
      <c r="AE72" s="133" t="n">
        <v>11.5983189784716</v>
      </c>
      <c r="AF72" s="133" t="n">
        <v>0.130858792444259</v>
      </c>
      <c r="AG72" s="133" t="n">
        <v>0.16799997098084</v>
      </c>
      <c r="AH72" s="133" t="n">
        <v>3.13874300195295</v>
      </c>
      <c r="AI72" s="133" t="n">
        <v>3.13874300195295</v>
      </c>
      <c r="AJ72" s="133" t="n">
        <v>2.00655348620276</v>
      </c>
      <c r="AK72" s="133" t="n">
        <v>1.50791990959298</v>
      </c>
      <c r="AL72" s="133"/>
      <c r="AM72" s="133" t="n">
        <v>0.5</v>
      </c>
      <c r="AN72" s="133"/>
      <c r="AO72" s="133" t="n">
        <v>0</v>
      </c>
      <c r="AP72" s="133" t="n">
        <v>0.00510635266264327</v>
      </c>
      <c r="AR72" s="133" t="n">
        <v>3.15581792869299</v>
      </c>
      <c r="AT72" s="13"/>
      <c r="AU72" s="133" t="n">
        <v>9.25562891794322</v>
      </c>
      <c r="AW72" s="133" t="n">
        <v>0.503610155185335</v>
      </c>
      <c r="AX72" s="133" t="n">
        <v>0.503610155185335</v>
      </c>
      <c r="AY72" s="133" t="n">
        <v>0</v>
      </c>
      <c r="AZ72" s="133" t="n">
        <v>7.9230904525217</v>
      </c>
      <c r="BA72" s="133" t="n">
        <v>0</v>
      </c>
      <c r="BC72" s="133" t="n">
        <v>7.92309045252171</v>
      </c>
      <c r="BD72" s="13"/>
    </row>
    <row r="73" s="7" customFormat="true" ht="14.25" hidden="false" customHeight="true" outlineLevel="0" collapsed="false">
      <c r="D73" s="14"/>
      <c r="E73" s="133" t="n">
        <v>0</v>
      </c>
      <c r="F73" s="133" t="n">
        <v>28</v>
      </c>
      <c r="G73" s="133" t="n">
        <v>26</v>
      </c>
      <c r="H73" s="133" t="n">
        <v>0</v>
      </c>
      <c r="I73" s="133" t="n">
        <v>26</v>
      </c>
      <c r="J73" s="133" t="n">
        <v>26</v>
      </c>
      <c r="K73" s="133" t="n">
        <v>0</v>
      </c>
      <c r="L73" s="133" t="n">
        <v>0</v>
      </c>
      <c r="M73" s="133" t="n">
        <v>0</v>
      </c>
      <c r="N73" s="133" t="n">
        <v>0</v>
      </c>
      <c r="O73" s="133" t="n">
        <v>24</v>
      </c>
      <c r="P73" s="133" t="n">
        <v>26</v>
      </c>
      <c r="Q73" s="133" t="n">
        <v>25</v>
      </c>
      <c r="R73" s="133" t="n">
        <v>25</v>
      </c>
      <c r="S73" s="133" t="n">
        <v>26</v>
      </c>
      <c r="T73" s="133" t="n">
        <v>26</v>
      </c>
      <c r="U73" s="133" t="n">
        <v>26</v>
      </c>
      <c r="V73" s="133" t="n">
        <v>26</v>
      </c>
      <c r="W73" s="133" t="n">
        <v>26</v>
      </c>
      <c r="X73" s="133" t="n">
        <v>0</v>
      </c>
      <c r="Y73" s="133" t="n">
        <v>0</v>
      </c>
      <c r="Z73" s="133" t="n">
        <v>28</v>
      </c>
      <c r="AA73" s="133" t="n">
        <v>4</v>
      </c>
      <c r="AB73" s="133" t="n">
        <v>2</v>
      </c>
      <c r="AC73" s="133" t="n">
        <v>2</v>
      </c>
      <c r="AD73" s="133" t="n">
        <v>2</v>
      </c>
      <c r="AE73" s="133" t="n">
        <v>2</v>
      </c>
      <c r="AF73" s="133" t="n">
        <v>4</v>
      </c>
      <c r="AG73" s="133" t="n">
        <v>4</v>
      </c>
      <c r="AH73" s="133" t="n">
        <v>4</v>
      </c>
      <c r="AI73" s="133" t="n">
        <v>4</v>
      </c>
      <c r="AJ73" s="133" t="n">
        <v>4</v>
      </c>
      <c r="AK73" s="133" t="n">
        <v>4</v>
      </c>
      <c r="AL73" s="133"/>
      <c r="AM73" s="133" t="n">
        <v>4</v>
      </c>
      <c r="AN73" s="133"/>
      <c r="AO73" s="133" t="n">
        <v>28</v>
      </c>
      <c r="AP73" s="133" t="n">
        <v>28</v>
      </c>
      <c r="AR73" s="133" t="n">
        <v>4</v>
      </c>
      <c r="AT73" s="13"/>
      <c r="AU73" s="133" t="n">
        <v>4</v>
      </c>
      <c r="AW73" s="133" t="n">
        <v>24</v>
      </c>
      <c r="AX73" s="133" t="n">
        <v>24</v>
      </c>
      <c r="AY73" s="133" t="n">
        <v>24</v>
      </c>
      <c r="AZ73" s="133" t="n">
        <v>24</v>
      </c>
      <c r="BA73" s="133" t="n">
        <v>28</v>
      </c>
      <c r="BC73" s="133" t="n">
        <v>24</v>
      </c>
      <c r="BD73" s="13"/>
    </row>
    <row r="74" s="7" customFormat="true" ht="14.25" hidden="false" customHeight="true" outlineLevel="0" collapsed="false">
      <c r="D74" s="14"/>
      <c r="E74" s="133" t="e">
        <f aca="false">E72/(SQRT(E73))</f>
        <v>#DIV/0!</v>
      </c>
      <c r="F74" s="133" t="n">
        <f aca="false">F72/(SQRT(F73))</f>
        <v>0.210280020626853</v>
      </c>
      <c r="G74" s="133" t="n">
        <f aca="false">G72/(SQRT(G73))</f>
        <v>1.62242057454597</v>
      </c>
      <c r="H74" s="133" t="e">
        <f aca="false">H72/(SQRT(H73))</f>
        <v>#DIV/0!</v>
      </c>
      <c r="I74" s="133" t="n">
        <f aca="false">I72/(SQRT(I73))</f>
        <v>1.62242057454596</v>
      </c>
      <c r="J74" s="133" t="n">
        <f aca="false">J72/(SQRT(J73))</f>
        <v>1.62242057454596</v>
      </c>
      <c r="K74" s="133" t="e">
        <f aca="false">K72/(SQRT(K73))</f>
        <v>#DIV/0!</v>
      </c>
      <c r="L74" s="133" t="e">
        <f aca="false">L72/(SQRT(L73))</f>
        <v>#DIV/0!</v>
      </c>
      <c r="M74" s="133" t="e">
        <f aca="false">M72/(SQRT(M73))</f>
        <v>#DIV/0!</v>
      </c>
      <c r="N74" s="133" t="e">
        <f aca="false">N72/(SQRT(N73))</f>
        <v>#DIV/0!</v>
      </c>
      <c r="O74" s="133" t="n">
        <f aca="false">O72/(SQRT(O73))</f>
        <v>19.8460846081881</v>
      </c>
      <c r="P74" s="133" t="n">
        <f aca="false">P72/(SQRT(P73))</f>
        <v>16.6443124248097</v>
      </c>
      <c r="Q74" s="133" t="n">
        <f aca="false">Q72/(SQRT(Q73))</f>
        <v>8.18781712871832</v>
      </c>
      <c r="R74" s="133" t="n">
        <f aca="false">R72/(SQRT(R73))</f>
        <v>7.43505211817644</v>
      </c>
      <c r="S74" s="133" t="n">
        <f aca="false">S72/(SQRT(S73))</f>
        <v>101.903771756618</v>
      </c>
      <c r="T74" s="133" t="n">
        <f aca="false">T72/(SQRT(T73))</f>
        <v>98.0660325778612</v>
      </c>
      <c r="U74" s="133" t="n">
        <f aca="false">U72/(SQRT(U73))</f>
        <v>43.0483421668432</v>
      </c>
      <c r="V74" s="133" t="n">
        <f aca="false">V72/(SQRT(V73))</f>
        <v>56.2328211769141</v>
      </c>
      <c r="W74" s="133" t="n">
        <f aca="false">W72/(SQRT(W73))</f>
        <v>50.7916034620736</v>
      </c>
      <c r="X74" s="133" t="e">
        <f aca="false">X72/(SQRT(X73))</f>
        <v>#DIV/0!</v>
      </c>
      <c r="Y74" s="133" t="e">
        <f aca="false">Y72/(SQRT(Y73))</f>
        <v>#DIV/0!</v>
      </c>
      <c r="Z74" s="133"/>
      <c r="AA74" s="133" t="n">
        <f aca="false">AA72/(SQRT(AA73))</f>
        <v>4.62781445897161</v>
      </c>
      <c r="AB74" s="133" t="n">
        <f aca="false">AB72/(SQRT(AB73))</f>
        <v>0.315225694444962</v>
      </c>
      <c r="AC74" s="133" t="n">
        <f aca="false">AC72/(SQRT(AC73))</f>
        <v>0.0264930555567844</v>
      </c>
      <c r="AD74" s="133" t="n">
        <f aca="false">AD72/(SQRT(AD73))</f>
        <v>8.20125000004192</v>
      </c>
      <c r="AE74" s="133" t="n">
        <f aca="false">AE72/(SQRT(AE73))</f>
        <v>8.20125000004192</v>
      </c>
      <c r="AF74" s="133" t="n">
        <f aca="false">AF72/(SQRT(AF73))</f>
        <v>0.0654293962221294</v>
      </c>
      <c r="AG74" s="133" t="n">
        <f aca="false">AG72/(SQRT(AG73))</f>
        <v>0.0839999854904199</v>
      </c>
      <c r="AH74" s="133" t="n">
        <f aca="false">AH72/(SQRT(AH73))</f>
        <v>1.56937150097647</v>
      </c>
      <c r="AI74" s="133" t="n">
        <f aca="false">AI72/(SQRT(AI73))</f>
        <v>1.56937150097647</v>
      </c>
      <c r="AJ74" s="133" t="n">
        <f aca="false">AJ72/(SQRT(AJ73))</f>
        <v>1.00327674310138</v>
      </c>
      <c r="AK74" s="133" t="n">
        <f aca="false">AK72/(SQRT(AK73))</f>
        <v>0.753959954796489</v>
      </c>
      <c r="AL74" s="133"/>
      <c r="AM74" s="133"/>
      <c r="AN74" s="133" t="e">
        <f aca="false">AN72/(SQRT(AN73))</f>
        <v>#DIV/0!</v>
      </c>
      <c r="AO74" s="133" t="n">
        <f aca="false">AO72/(SQRT(AO73))</f>
        <v>0</v>
      </c>
      <c r="AP74" s="133" t="n">
        <f aca="false">AP72/(SQRT(AP73))</f>
        <v>0.000965009946567613</v>
      </c>
      <c r="AR74" s="133" t="n">
        <f aca="false">AR72/(SQRT(AR73))</f>
        <v>1.5779089643465</v>
      </c>
      <c r="AT74" s="13"/>
      <c r="AU74" s="133" t="n">
        <f aca="false">AU72/(SQRT(AU73))</f>
        <v>4.62781445897161</v>
      </c>
      <c r="AW74" s="133" t="n">
        <f aca="false">AW72/(SQRT(AW73))</f>
        <v>0.102798992457327</v>
      </c>
      <c r="AX74" s="133"/>
      <c r="AY74" s="133"/>
      <c r="AZ74" s="133" t="n">
        <f aca="false">AZ72/(SQRT(AZ73))</f>
        <v>1.61729406621627</v>
      </c>
      <c r="BA74" s="133" t="n">
        <f aca="false">BA72/(SQRT(BA73))</f>
        <v>0</v>
      </c>
      <c r="BC74" s="133" t="n">
        <f aca="false">BC72/(SQRT(BC73))</f>
        <v>1.61729406621627</v>
      </c>
      <c r="BD74" s="13"/>
    </row>
    <row r="75" s="7" customFormat="true" ht="14.25" hidden="false" customHeight="true" outlineLevel="0" collapsed="false">
      <c r="D75" s="14"/>
      <c r="E75" s="136"/>
      <c r="F75" s="136"/>
      <c r="G75" s="136"/>
      <c r="H75" s="136"/>
      <c r="I75" s="136"/>
      <c r="J75" s="136"/>
      <c r="K75" s="136"/>
      <c r="L75" s="133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R75" s="136"/>
      <c r="AT75" s="13"/>
      <c r="AU75" s="136"/>
      <c r="AW75" s="136"/>
      <c r="AX75" s="136"/>
      <c r="AY75" s="136"/>
      <c r="AZ75" s="136"/>
      <c r="BA75" s="136"/>
      <c r="BC75" s="136"/>
      <c r="BD75" s="13"/>
    </row>
    <row r="76" s="7" customFormat="true" ht="14.25" hidden="false" customHeight="true" outlineLevel="0" collapsed="false">
      <c r="C76" s="7" t="s">
        <v>183</v>
      </c>
      <c r="D76" s="14" t="s">
        <v>210</v>
      </c>
      <c r="E76" s="134" t="e">
        <f aca="false">#DIV/0!</f>
        <v>#DIV/0!</v>
      </c>
      <c r="F76" s="133" t="n">
        <v>2.76923076923077</v>
      </c>
      <c r="G76" s="134" t="n">
        <v>45594.0416666667</v>
      </c>
      <c r="H76" s="133" t="e">
        <f aca="false">#DIV/0!</f>
        <v>#DIV/0!</v>
      </c>
      <c r="I76" s="133" t="n">
        <v>204.958333333333</v>
      </c>
      <c r="J76" s="133" t="n">
        <v>202.958333333333</v>
      </c>
      <c r="K76" s="133" t="e">
        <f aca="false">#DIV/0!</f>
        <v>#DIV/0!</v>
      </c>
      <c r="L76" s="133" t="e">
        <f aca="false">#DIV/0!</f>
        <v>#DIV/0!</v>
      </c>
      <c r="M76" s="133" t="e">
        <f aca="false">#DIV/0!</f>
        <v>#DIV/0!</v>
      </c>
      <c r="N76" s="133" t="e">
        <f aca="false">#DIV/0!</f>
        <v>#DIV/0!</v>
      </c>
      <c r="O76" s="133" t="n">
        <v>67.5833333333333</v>
      </c>
      <c r="P76" s="133" t="n">
        <v>81.2916666666667</v>
      </c>
      <c r="Q76" s="133" t="n">
        <v>140.880952380952</v>
      </c>
      <c r="R76" s="133" t="n">
        <v>167.666666666667</v>
      </c>
      <c r="S76" s="133" t="n">
        <v>1193.63636363636</v>
      </c>
      <c r="T76" s="133" t="n">
        <v>1303.63636363636</v>
      </c>
      <c r="U76" s="133" t="n">
        <v>1050</v>
      </c>
      <c r="V76" s="133" t="n">
        <v>1002.5</v>
      </c>
      <c r="W76" s="133" t="n">
        <v>1041.66666666667</v>
      </c>
      <c r="X76" s="133" t="e">
        <f aca="false">#DIV/0!</f>
        <v>#DIV/0!</v>
      </c>
      <c r="Y76" s="133" t="e">
        <f aca="false">#DIV/0!</f>
        <v>#DIV/0!</v>
      </c>
      <c r="Z76" s="133" t="n">
        <v>45797.2930555556</v>
      </c>
      <c r="AA76" s="133" t="n">
        <v>13.7272727272727</v>
      </c>
      <c r="AB76" s="135" t="n">
        <v>45798.8499344136</v>
      </c>
      <c r="AC76" s="135" t="n">
        <v>45799.9033217593</v>
      </c>
      <c r="AD76" s="133" t="n">
        <v>25.281296296278</v>
      </c>
      <c r="AE76" s="133" t="n">
        <v>25.281296296278</v>
      </c>
      <c r="AF76" s="135" t="n">
        <v>45799.0658459596</v>
      </c>
      <c r="AG76" s="135" t="n">
        <v>45799.3325915404</v>
      </c>
      <c r="AH76" s="133" t="n">
        <v>42.5333333332938</v>
      </c>
      <c r="AI76" s="133" t="n">
        <v>77.5333333332938</v>
      </c>
      <c r="AJ76" s="133" t="n">
        <v>6.40189393939429</v>
      </c>
      <c r="AK76" s="133" t="n">
        <v>6.72126262626526</v>
      </c>
      <c r="AL76" s="133"/>
      <c r="AM76" s="133" t="n">
        <v>1.2</v>
      </c>
      <c r="AN76" s="133"/>
      <c r="AO76" s="134" t="n">
        <v>45799</v>
      </c>
      <c r="AP76" s="135" t="n">
        <v>45799.6730235043</v>
      </c>
      <c r="AR76" s="133" t="n">
        <v>14.6030303030381</v>
      </c>
      <c r="AT76" s="13"/>
      <c r="AU76" s="133" t="n">
        <v>13.7272727272727</v>
      </c>
      <c r="AW76" s="133" t="n">
        <v>1.5</v>
      </c>
      <c r="AX76" s="133" t="n">
        <v>1.5</v>
      </c>
      <c r="AY76" s="133" t="n">
        <v>0</v>
      </c>
      <c r="AZ76" s="133" t="n">
        <v>45947.2692307692</v>
      </c>
      <c r="BA76" s="134" t="n">
        <v>45944</v>
      </c>
      <c r="BC76" s="133" t="n">
        <v>148.269230769231</v>
      </c>
      <c r="BD76" s="13"/>
    </row>
    <row r="77" s="7" customFormat="true" ht="14.25" hidden="false" customHeight="true" outlineLevel="0" collapsed="false">
      <c r="D77" s="14"/>
      <c r="E77" s="133" t="e">
        <f aca="false">#DIV/0!</f>
        <v>#DIV/0!</v>
      </c>
      <c r="F77" s="133" t="n">
        <v>1.36550920341658</v>
      </c>
      <c r="G77" s="133" t="n">
        <v>16.0338749192931</v>
      </c>
      <c r="H77" s="133" t="e">
        <f aca="false">#DIV/0!</f>
        <v>#DIV/0!</v>
      </c>
      <c r="I77" s="133" t="n">
        <v>16.0338749192931</v>
      </c>
      <c r="J77" s="133" t="n">
        <v>16.0338749192931</v>
      </c>
      <c r="K77" s="133" t="e">
        <f aca="false">#DIV/0!</f>
        <v>#DIV/0!</v>
      </c>
      <c r="L77" s="133" t="e">
        <f aca="false">#DIV/0!</f>
        <v>#DIV/0!</v>
      </c>
      <c r="M77" s="133" t="e">
        <f aca="false">#DIV/0!</f>
        <v>#DIV/0!</v>
      </c>
      <c r="N77" s="133" t="e">
        <f aca="false">#DIV/0!</f>
        <v>#DIV/0!</v>
      </c>
      <c r="O77" s="133" t="n">
        <v>87.0122013766219</v>
      </c>
      <c r="P77" s="133" t="n">
        <v>88.3724721877787</v>
      </c>
      <c r="Q77" s="133" t="n">
        <v>43.5642355499051</v>
      </c>
      <c r="R77" s="133" t="n">
        <v>34.1735765370459</v>
      </c>
      <c r="S77" s="133" t="n">
        <v>498.927854833747</v>
      </c>
      <c r="T77" s="133" t="n">
        <v>490.427854550984</v>
      </c>
      <c r="U77" s="133" t="n">
        <v>224.034158886153</v>
      </c>
      <c r="V77" s="133" t="n">
        <v>272.273040706663</v>
      </c>
      <c r="W77" s="133" t="n">
        <v>258.148367630215</v>
      </c>
      <c r="X77" s="133" t="e">
        <f aca="false">#DIV/0!</f>
        <v>#DIV/0!</v>
      </c>
      <c r="Y77" s="133" t="e">
        <f aca="false">#DIV/0!</f>
        <v>#DIV/0!</v>
      </c>
      <c r="Z77" s="133" t="n">
        <v>0.00238144836116367</v>
      </c>
      <c r="AA77" s="133" t="n">
        <v>7.45775983913278</v>
      </c>
      <c r="AB77" s="133" t="n">
        <v>0.242317192344786</v>
      </c>
      <c r="AC77" s="133" t="n">
        <v>0.446496247813494</v>
      </c>
      <c r="AD77" s="133" t="n">
        <v>12.9639562063207</v>
      </c>
      <c r="AE77" s="133" t="n">
        <v>12.9639562063207</v>
      </c>
      <c r="AF77" s="133" t="n">
        <v>0.531227383259667</v>
      </c>
      <c r="AG77" s="133" t="n">
        <v>0.496427187602762</v>
      </c>
      <c r="AH77" s="133" t="n">
        <v>12.7392805870799</v>
      </c>
      <c r="AI77" s="133" t="n">
        <v>12.7392805870799</v>
      </c>
      <c r="AJ77" s="133" t="n">
        <v>6.94165903229835</v>
      </c>
      <c r="AK77" s="133" t="n">
        <v>6.63055813592559</v>
      </c>
      <c r="AL77" s="133"/>
      <c r="AM77" s="133" t="n">
        <v>0.421637021355784</v>
      </c>
      <c r="AN77" s="133"/>
      <c r="AO77" s="133" t="n">
        <v>0</v>
      </c>
      <c r="AP77" s="133" t="n">
        <v>0.00484995667757045</v>
      </c>
      <c r="AR77" s="133" t="n">
        <v>12.7876032835736</v>
      </c>
      <c r="AT77" s="13"/>
      <c r="AU77" s="133" t="n">
        <v>7.45775983913278</v>
      </c>
      <c r="AW77" s="133" t="n">
        <v>0.509901951359279</v>
      </c>
      <c r="AX77" s="133" t="n">
        <v>0.509901951359279</v>
      </c>
      <c r="AY77" s="133" t="n">
        <v>0</v>
      </c>
      <c r="AZ77" s="133" t="n">
        <v>3.6721404363961</v>
      </c>
      <c r="BA77" s="133" t="n">
        <v>0</v>
      </c>
      <c r="BC77" s="133" t="n">
        <v>3.67214043639611</v>
      </c>
      <c r="BD77" s="13"/>
    </row>
    <row r="78" s="7" customFormat="true" ht="14.25" hidden="false" customHeight="true" outlineLevel="0" collapsed="false">
      <c r="D78" s="14"/>
      <c r="E78" s="133" t="n">
        <v>0</v>
      </c>
      <c r="F78" s="133" t="n">
        <v>26</v>
      </c>
      <c r="G78" s="133" t="n">
        <v>24</v>
      </c>
      <c r="H78" s="133" t="n">
        <v>0</v>
      </c>
      <c r="I78" s="133" t="n">
        <v>24</v>
      </c>
      <c r="J78" s="133" t="n">
        <v>24</v>
      </c>
      <c r="K78" s="133" t="n">
        <v>0</v>
      </c>
      <c r="L78" s="133" t="n">
        <v>0</v>
      </c>
      <c r="M78" s="133" t="n">
        <v>0</v>
      </c>
      <c r="N78" s="133" t="n">
        <v>0</v>
      </c>
      <c r="O78" s="133" t="n">
        <v>24</v>
      </c>
      <c r="P78" s="133" t="n">
        <v>24</v>
      </c>
      <c r="Q78" s="133" t="n">
        <v>21</v>
      </c>
      <c r="R78" s="133" t="n">
        <v>21</v>
      </c>
      <c r="S78" s="133" t="n">
        <v>22</v>
      </c>
      <c r="T78" s="133" t="n">
        <v>22</v>
      </c>
      <c r="U78" s="133" t="n">
        <v>24</v>
      </c>
      <c r="V78" s="133" t="n">
        <v>24</v>
      </c>
      <c r="W78" s="133" t="n">
        <v>24</v>
      </c>
      <c r="X78" s="133" t="n">
        <v>0</v>
      </c>
      <c r="Y78" s="133" t="n">
        <v>0</v>
      </c>
      <c r="Z78" s="133" t="n">
        <v>26</v>
      </c>
      <c r="AA78" s="133" t="n">
        <v>11</v>
      </c>
      <c r="AB78" s="133" t="n">
        <v>3</v>
      </c>
      <c r="AC78" s="133" t="n">
        <v>3</v>
      </c>
      <c r="AD78" s="133" t="n">
        <v>3</v>
      </c>
      <c r="AE78" s="133" t="n">
        <v>3</v>
      </c>
      <c r="AF78" s="133" t="n">
        <v>11</v>
      </c>
      <c r="AG78" s="133" t="n">
        <v>11</v>
      </c>
      <c r="AH78" s="133" t="n">
        <v>11</v>
      </c>
      <c r="AI78" s="133" t="n">
        <v>11</v>
      </c>
      <c r="AJ78" s="133" t="n">
        <v>11</v>
      </c>
      <c r="AK78" s="133" t="n">
        <v>11</v>
      </c>
      <c r="AL78" s="133"/>
      <c r="AM78" s="133" t="n">
        <v>10</v>
      </c>
      <c r="AN78" s="133"/>
      <c r="AO78" s="133" t="n">
        <v>26</v>
      </c>
      <c r="AP78" s="133" t="n">
        <v>26</v>
      </c>
      <c r="AR78" s="133" t="n">
        <v>11</v>
      </c>
      <c r="AT78" s="13"/>
      <c r="AU78" s="133" t="n">
        <v>11</v>
      </c>
      <c r="AW78" s="133" t="n">
        <v>26</v>
      </c>
      <c r="AX78" s="133" t="n">
        <v>26</v>
      </c>
      <c r="AY78" s="133" t="n">
        <v>26</v>
      </c>
      <c r="AZ78" s="133" t="n">
        <v>26</v>
      </c>
      <c r="BA78" s="133" t="n">
        <v>26</v>
      </c>
      <c r="BC78" s="133" t="n">
        <v>26</v>
      </c>
      <c r="BD78" s="13"/>
    </row>
    <row r="79" s="7" customFormat="true" ht="14.25" hidden="false" customHeight="true" outlineLevel="0" collapsed="false">
      <c r="D79" s="14"/>
      <c r="E79" s="133" t="e">
        <f aca="false">E77/(SQRT(E78))</f>
        <v>#DIV/0!</v>
      </c>
      <c r="F79" s="133" t="n">
        <f aca="false">F77/(SQRT(F78))</f>
        <v>0.26779838746968</v>
      </c>
      <c r="G79" s="133" t="n">
        <f aca="false">G77/(SQRT(G78))</f>
        <v>3.27290101265641</v>
      </c>
      <c r="H79" s="133" t="e">
        <f aca="false">H77/(SQRT(H78))</f>
        <v>#DIV/0!</v>
      </c>
      <c r="I79" s="133" t="n">
        <f aca="false">I77/(SQRT(I78))</f>
        <v>3.27290101265641</v>
      </c>
      <c r="J79" s="133" t="n">
        <f aca="false">J77/(SQRT(J78))</f>
        <v>3.27290101265641</v>
      </c>
      <c r="K79" s="133" t="e">
        <f aca="false">K77/(SQRT(K78))</f>
        <v>#DIV/0!</v>
      </c>
      <c r="L79" s="133" t="e">
        <f aca="false">L77/(SQRT(L78))</f>
        <v>#DIV/0!</v>
      </c>
      <c r="M79" s="133" t="e">
        <f aca="false">M77/(SQRT(M78))</f>
        <v>#DIV/0!</v>
      </c>
      <c r="N79" s="133" t="e">
        <f aca="false">N77/(SQRT(N78))</f>
        <v>#DIV/0!</v>
      </c>
      <c r="O79" s="133" t="n">
        <f aca="false">O77/(SQRT(O78))</f>
        <v>17.7612912307516</v>
      </c>
      <c r="P79" s="133" t="n">
        <f aca="false">P77/(SQRT(P78))</f>
        <v>18.038955347363</v>
      </c>
      <c r="Q79" s="133" t="n">
        <f aca="false">Q77/(SQRT(Q78))</f>
        <v>9.50649557144411</v>
      </c>
      <c r="R79" s="133" t="n">
        <f aca="false">R77/(SQRT(R78))</f>
        <v>7.45728577373236</v>
      </c>
      <c r="S79" s="133" t="n">
        <f aca="false">S77/(SQRT(S78))</f>
        <v>106.371776060323</v>
      </c>
      <c r="T79" s="133" t="n">
        <f aca="false">T77/(SQRT(T78))</f>
        <v>104.559569911015</v>
      </c>
      <c r="U79" s="133" t="n">
        <f aca="false">U77/(SQRT(U78))</f>
        <v>45.7307811853907</v>
      </c>
      <c r="V79" s="133" t="n">
        <f aca="false">V77/(SQRT(V78))</f>
        <v>55.5775017039465</v>
      </c>
      <c r="W79" s="133" t="n">
        <f aca="false">W77/(SQRT(W78))</f>
        <v>52.6943148855361</v>
      </c>
      <c r="X79" s="133" t="e">
        <f aca="false">X77/(SQRT(X78))</f>
        <v>#DIV/0!</v>
      </c>
      <c r="Y79" s="133" t="e">
        <f aca="false">Y77/(SQRT(Y78))</f>
        <v>#DIV/0!</v>
      </c>
      <c r="Z79" s="133"/>
      <c r="AA79" s="133" t="n">
        <f aca="false">AA77/(SQRT(AA78))</f>
        <v>2.24859919663497</v>
      </c>
      <c r="AB79" s="133" t="n">
        <f aca="false">AB77/(SQRT(AB78))</f>
        <v>0.139901896229537</v>
      </c>
      <c r="AC79" s="133" t="n">
        <f aca="false">AC77/(SQRT(AC78))</f>
        <v>0.257784728867278</v>
      </c>
      <c r="AD79" s="133" t="n">
        <f aca="false">AD77/(SQRT(AD78))</f>
        <v>7.48474360548176</v>
      </c>
      <c r="AE79" s="133" t="n">
        <f aca="false">AE77/(SQRT(AE78))</f>
        <v>7.48474360548176</v>
      </c>
      <c r="AF79" s="133" t="n">
        <f aca="false">AF77/(SQRT(AF78))</f>
        <v>0.160171082603149</v>
      </c>
      <c r="AG79" s="133" t="n">
        <f aca="false">AG77/(SQRT(AG78))</f>
        <v>0.149678428819067</v>
      </c>
      <c r="AH79" s="133" t="n">
        <f aca="false">AH77/(SQRT(AH78))</f>
        <v>3.84103761876385</v>
      </c>
      <c r="AI79" s="133" t="n">
        <f aca="false">AI77/(SQRT(AI78))</f>
        <v>3.84103761876386</v>
      </c>
      <c r="AJ79" s="133" t="n">
        <f aca="false">AJ77/(SQRT(AJ78))</f>
        <v>2.09298894842865</v>
      </c>
      <c r="AK79" s="133" t="n">
        <f aca="false">AK77/(SQRT(AK78))</f>
        <v>1.99918849886395</v>
      </c>
      <c r="AL79" s="133"/>
      <c r="AM79" s="133"/>
      <c r="AN79" s="133" t="e">
        <f aca="false">AN77/(SQRT(AN78))</f>
        <v>#DIV/0!</v>
      </c>
      <c r="AO79" s="133" t="n">
        <f aca="false">AO77/(SQRT(AO78))</f>
        <v>0</v>
      </c>
      <c r="AP79" s="133" t="n">
        <f aca="false">AP77/(SQRT(AP78))</f>
        <v>0.000951154759192745</v>
      </c>
      <c r="AR79" s="133" t="n">
        <f aca="false">AR77/(SQRT(AR78))</f>
        <v>3.85560745995729</v>
      </c>
      <c r="AT79" s="13"/>
      <c r="AU79" s="133" t="n">
        <f aca="false">AU77/(SQRT(AU78))</f>
        <v>2.24859919663497</v>
      </c>
      <c r="AW79" s="133" t="n">
        <f aca="false">AW77/(SQRT(AW78))</f>
        <v>0.1</v>
      </c>
      <c r="AX79" s="133"/>
      <c r="AY79" s="133"/>
      <c r="AZ79" s="133" t="n">
        <f aca="false">AZ77/(SQRT(AZ78))</f>
        <v>0.720165990070648</v>
      </c>
      <c r="BA79" s="133" t="n">
        <f aca="false">BA77/(SQRT(BA78))</f>
        <v>0</v>
      </c>
      <c r="BC79" s="133" t="n">
        <f aca="false">BC77/(SQRT(BC78))</f>
        <v>0.720165990070649</v>
      </c>
      <c r="BD79" s="13"/>
    </row>
    <row r="80" s="7" customFormat="true" ht="14.25" hidden="false" customHeight="true" outlineLevel="0" collapsed="false">
      <c r="D80" s="14"/>
      <c r="E80" s="136"/>
      <c r="F80" s="136"/>
      <c r="G80" s="136"/>
      <c r="H80" s="136"/>
      <c r="I80" s="136"/>
      <c r="J80" s="136"/>
      <c r="K80" s="136"/>
      <c r="L80" s="133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R80" s="136"/>
      <c r="AT80" s="13"/>
      <c r="AU80" s="136"/>
      <c r="AW80" s="136"/>
      <c r="AX80" s="136"/>
      <c r="AY80" s="136"/>
      <c r="AZ80" s="136"/>
      <c r="BA80" s="136"/>
      <c r="BC80" s="136"/>
      <c r="BD80" s="13"/>
    </row>
    <row r="81" s="7" customFormat="true" ht="14.25" hidden="false" customHeight="true" outlineLevel="0" collapsed="false">
      <c r="D81" s="14" t="s">
        <v>211</v>
      </c>
      <c r="E81" s="134" t="e">
        <f aca="false">#DIV/0!</f>
        <v>#DIV/0!</v>
      </c>
      <c r="F81" s="133" t="n">
        <v>2.68181818181818</v>
      </c>
      <c r="G81" s="134" t="n">
        <v>45595.55</v>
      </c>
      <c r="H81" s="133" t="e">
        <f aca="false">#DIV/0!</f>
        <v>#DIV/0!</v>
      </c>
      <c r="I81" s="133" t="n">
        <v>203.45</v>
      </c>
      <c r="J81" s="133" t="n">
        <v>201.45</v>
      </c>
      <c r="K81" s="133" t="e">
        <f aca="false">#DIV/0!</f>
        <v>#DIV/0!</v>
      </c>
      <c r="L81" s="133" t="e">
        <f aca="false">#DIV/0!</f>
        <v>#DIV/0!</v>
      </c>
      <c r="M81" s="133" t="e">
        <f aca="false">#DIV/0!</f>
        <v>#DIV/0!</v>
      </c>
      <c r="N81" s="133" t="e">
        <f aca="false">#DIV/0!</f>
        <v>#DIV/0!</v>
      </c>
      <c r="O81" s="133" t="n">
        <v>32.0625</v>
      </c>
      <c r="P81" s="133" t="n">
        <v>65</v>
      </c>
      <c r="Q81" s="133" t="n">
        <v>145.327777777778</v>
      </c>
      <c r="R81" s="133" t="n">
        <v>167.388888888889</v>
      </c>
      <c r="S81" s="133" t="n">
        <v>1281.17647058824</v>
      </c>
      <c r="T81" s="133" t="n">
        <v>1324.70588235294</v>
      </c>
      <c r="U81" s="133" t="n">
        <v>912</v>
      </c>
      <c r="V81" s="133" t="n">
        <v>896</v>
      </c>
      <c r="W81" s="133" t="n">
        <v>1002</v>
      </c>
      <c r="X81" s="133" t="e">
        <f aca="false">#DIV/0!</f>
        <v>#DIV/0!</v>
      </c>
      <c r="Y81" s="133" t="e">
        <f aca="false">#DIV/0!</f>
        <v>#DIV/0!</v>
      </c>
      <c r="Z81" s="133" t="n">
        <v>45797.2942234848</v>
      </c>
      <c r="AA81" s="133" t="n">
        <v>12.4285714285714</v>
      </c>
      <c r="AB81" s="135" t="n">
        <v>45798.1006365741</v>
      </c>
      <c r="AC81" s="135" t="n">
        <v>45799.9081597222</v>
      </c>
      <c r="AD81" s="133" t="n">
        <v>43.3805555555737</v>
      </c>
      <c r="AE81" s="133" t="n">
        <v>43.3805555555737</v>
      </c>
      <c r="AF81" s="135" t="n">
        <v>45799.0301248347</v>
      </c>
      <c r="AG81" s="135" t="n">
        <v>45799.4514227844</v>
      </c>
      <c r="AH81" s="133" t="n">
        <v>41.6575198412632</v>
      </c>
      <c r="AI81" s="133" t="n">
        <v>76.6575198412632</v>
      </c>
      <c r="AJ81" s="133" t="n">
        <v>10.1111507936813</v>
      </c>
      <c r="AK81" s="133" t="n">
        <v>10.4674603174831</v>
      </c>
      <c r="AL81" s="133"/>
      <c r="AM81" s="133" t="n">
        <v>1.30769230769231</v>
      </c>
      <c r="AN81" s="133"/>
      <c r="AO81" s="134" t="n">
        <v>45799</v>
      </c>
      <c r="AP81" s="135" t="n">
        <v>45799.6776515152</v>
      </c>
      <c r="AR81" s="133" t="n">
        <v>15.5353373016114</v>
      </c>
      <c r="AT81" s="13"/>
      <c r="AU81" s="133" t="n">
        <v>12.4285714285714</v>
      </c>
      <c r="AW81" s="133" t="n">
        <v>1.11764705882353</v>
      </c>
      <c r="AX81" s="133" t="n">
        <v>1.11764705882353</v>
      </c>
      <c r="AY81" s="133" t="n">
        <v>0</v>
      </c>
      <c r="AZ81" s="133" t="n">
        <v>45964.2941176471</v>
      </c>
      <c r="BA81" s="134" t="n">
        <v>45944</v>
      </c>
      <c r="BC81" s="133" t="n">
        <v>165.294117647059</v>
      </c>
      <c r="BD81" s="13"/>
    </row>
    <row r="82" s="7" customFormat="true" ht="14.25" hidden="false" customHeight="true" outlineLevel="0" collapsed="false">
      <c r="D82" s="14"/>
      <c r="E82" s="133" t="e">
        <f aca="false">#DIV/0!</f>
        <v>#DIV/0!</v>
      </c>
      <c r="F82" s="133" t="n">
        <v>1.17052546752724</v>
      </c>
      <c r="G82" s="133" t="n">
        <v>20.2548889484931</v>
      </c>
      <c r="H82" s="133" t="e">
        <f aca="false">#DIV/0!</f>
        <v>#DIV/0!</v>
      </c>
      <c r="I82" s="133" t="n">
        <v>20.2548889484931</v>
      </c>
      <c r="J82" s="133" t="n">
        <v>20.2548889484931</v>
      </c>
      <c r="K82" s="133" t="e">
        <f aca="false">#DIV/0!</f>
        <v>#DIV/0!</v>
      </c>
      <c r="L82" s="133" t="e">
        <f aca="false">#DIV/0!</f>
        <v>#DIV/0!</v>
      </c>
      <c r="M82" s="133" t="e">
        <f aca="false">#DIV/0!</f>
        <v>#DIV/0!</v>
      </c>
      <c r="N82" s="133" t="e">
        <f aca="false">#DIV/0!</f>
        <v>#DIV/0!</v>
      </c>
      <c r="O82" s="133" t="n">
        <v>78.3798177679263</v>
      </c>
      <c r="P82" s="133" t="n">
        <v>72.9318355149447</v>
      </c>
      <c r="Q82" s="133" t="n">
        <v>43.2205670751861</v>
      </c>
      <c r="R82" s="133" t="n">
        <v>36.6977141280247</v>
      </c>
      <c r="S82" s="133" t="n">
        <v>501.072379414157</v>
      </c>
      <c r="T82" s="133" t="n">
        <v>461.764518546234</v>
      </c>
      <c r="U82" s="133" t="n">
        <v>240.910553394496</v>
      </c>
      <c r="V82" s="133" t="n">
        <v>189.35902963752</v>
      </c>
      <c r="W82" s="133" t="n">
        <v>221.753775260096</v>
      </c>
      <c r="X82" s="133" t="e">
        <f aca="false">#DIV/0!</f>
        <v>#DIV/0!</v>
      </c>
      <c r="Y82" s="133" t="e">
        <f aca="false">#DIV/0!</f>
        <v>#DIV/0!</v>
      </c>
      <c r="Z82" s="133" t="n">
        <v>0.00253018922873725</v>
      </c>
      <c r="AA82" s="133" t="n">
        <v>7.5111638523988</v>
      </c>
      <c r="AB82" s="133" t="n">
        <v>0.33127071392301</v>
      </c>
      <c r="AC82" s="133" t="n">
        <v>1.08235520388373</v>
      </c>
      <c r="AD82" s="133" t="n">
        <v>27.989592572739</v>
      </c>
      <c r="AE82" s="133" t="n">
        <v>27.989592572739</v>
      </c>
      <c r="AF82" s="133" t="n">
        <v>0.440062089759998</v>
      </c>
      <c r="AG82" s="133" t="n">
        <v>0.692043908021989</v>
      </c>
      <c r="AH82" s="133" t="n">
        <v>10.5846185826509</v>
      </c>
      <c r="AI82" s="133" t="n">
        <v>10.584618582651</v>
      </c>
      <c r="AJ82" s="133" t="n">
        <v>16.1947316891537</v>
      </c>
      <c r="AK82" s="133" t="n">
        <v>15.9611264465277</v>
      </c>
      <c r="AL82" s="133"/>
      <c r="AM82" s="133" t="n">
        <v>0.480384461415262</v>
      </c>
      <c r="AN82" s="133"/>
      <c r="AO82" s="133" t="n">
        <v>0</v>
      </c>
      <c r="AP82" s="133" t="n">
        <v>0.00489470799068598</v>
      </c>
      <c r="AR82" s="133" t="n">
        <v>10.5857445529079</v>
      </c>
      <c r="AT82" s="13"/>
      <c r="AU82" s="133" t="n">
        <v>7.5111638523988</v>
      </c>
      <c r="AW82" s="133" t="n">
        <v>0.332105582077536</v>
      </c>
      <c r="AX82" s="133" t="n">
        <v>0.332105582077536</v>
      </c>
      <c r="AY82" s="133" t="n">
        <v>0</v>
      </c>
      <c r="AZ82" s="133" t="n">
        <v>0.469668218313862</v>
      </c>
      <c r="BA82" s="133" t="n">
        <v>0</v>
      </c>
      <c r="BC82" s="133" t="n">
        <v>0.469668218313862</v>
      </c>
      <c r="BD82" s="13"/>
    </row>
    <row r="83" s="7" customFormat="true" ht="14.25" hidden="false" customHeight="true" outlineLevel="0" collapsed="false">
      <c r="D83" s="14"/>
      <c r="E83" s="133" t="n">
        <v>0</v>
      </c>
      <c r="F83" s="133" t="n">
        <v>22</v>
      </c>
      <c r="G83" s="133" t="n">
        <v>20</v>
      </c>
      <c r="H83" s="133" t="n">
        <v>0</v>
      </c>
      <c r="I83" s="133" t="n">
        <v>20</v>
      </c>
      <c r="J83" s="133" t="n">
        <v>20</v>
      </c>
      <c r="K83" s="133" t="n">
        <v>0</v>
      </c>
      <c r="L83" s="133" t="n">
        <v>0</v>
      </c>
      <c r="M83" s="133" t="n">
        <v>0</v>
      </c>
      <c r="N83" s="133" t="n">
        <v>0</v>
      </c>
      <c r="O83" s="133" t="n">
        <v>16</v>
      </c>
      <c r="P83" s="133" t="n">
        <v>20</v>
      </c>
      <c r="Q83" s="133" t="n">
        <v>18</v>
      </c>
      <c r="R83" s="133" t="n">
        <v>18</v>
      </c>
      <c r="S83" s="133" t="n">
        <v>17</v>
      </c>
      <c r="T83" s="133" t="n">
        <v>17</v>
      </c>
      <c r="U83" s="133" t="n">
        <v>20</v>
      </c>
      <c r="V83" s="133" t="n">
        <v>20</v>
      </c>
      <c r="W83" s="133" t="n">
        <v>20</v>
      </c>
      <c r="X83" s="133" t="n">
        <v>0</v>
      </c>
      <c r="Y83" s="133" t="n">
        <v>0</v>
      </c>
      <c r="Z83" s="133" t="n">
        <v>22</v>
      </c>
      <c r="AA83" s="133" t="n">
        <v>14</v>
      </c>
      <c r="AB83" s="133" t="n">
        <v>4</v>
      </c>
      <c r="AC83" s="133" t="n">
        <v>4</v>
      </c>
      <c r="AD83" s="133" t="n">
        <v>4</v>
      </c>
      <c r="AE83" s="133" t="n">
        <v>4</v>
      </c>
      <c r="AF83" s="133" t="n">
        <v>14</v>
      </c>
      <c r="AG83" s="133" t="n">
        <v>14</v>
      </c>
      <c r="AH83" s="133" t="n">
        <v>14</v>
      </c>
      <c r="AI83" s="133" t="n">
        <v>14</v>
      </c>
      <c r="AJ83" s="133" t="n">
        <v>14</v>
      </c>
      <c r="AK83" s="133" t="n">
        <v>14</v>
      </c>
      <c r="AL83" s="133"/>
      <c r="AM83" s="133" t="n">
        <v>13</v>
      </c>
      <c r="AN83" s="133"/>
      <c r="AO83" s="133" t="n">
        <v>22</v>
      </c>
      <c r="AP83" s="133" t="n">
        <v>22</v>
      </c>
      <c r="AR83" s="133" t="n">
        <v>14</v>
      </c>
      <c r="AT83" s="13"/>
      <c r="AU83" s="133" t="n">
        <v>14</v>
      </c>
      <c r="AW83" s="133" t="n">
        <v>17</v>
      </c>
      <c r="AX83" s="133" t="n">
        <v>17</v>
      </c>
      <c r="AY83" s="133" t="n">
        <v>17</v>
      </c>
      <c r="AZ83" s="133" t="n">
        <v>17</v>
      </c>
      <c r="BA83" s="133" t="n">
        <v>22</v>
      </c>
      <c r="BC83" s="133" t="n">
        <v>17</v>
      </c>
      <c r="BD83" s="13"/>
    </row>
    <row r="84" s="7" customFormat="true" ht="14.25" hidden="false" customHeight="true" outlineLevel="0" collapsed="false">
      <c r="D84" s="14"/>
      <c r="E84" s="133" t="e">
        <f aca="false">E82/(SQRT(E83))</f>
        <v>#DIV/0!</v>
      </c>
      <c r="F84" s="133" t="n">
        <f aca="false">F82/(SQRT(F83))</f>
        <v>0.249556868189294</v>
      </c>
      <c r="G84" s="133" t="n">
        <f aca="false">G82/(SQRT(G83))</f>
        <v>4.52913085655399</v>
      </c>
      <c r="H84" s="133" t="e">
        <f aca="false">H82/(SQRT(H83))</f>
        <v>#DIV/0!</v>
      </c>
      <c r="I84" s="133" t="n">
        <f aca="false">I82/(SQRT(I83))</f>
        <v>4.52913085655399</v>
      </c>
      <c r="J84" s="133" t="n">
        <f aca="false">J82/(SQRT(J83))</f>
        <v>4.52913085655399</v>
      </c>
      <c r="K84" s="133" t="e">
        <f aca="false">K82/(SQRT(K83))</f>
        <v>#DIV/0!</v>
      </c>
      <c r="L84" s="133" t="e">
        <f aca="false">L82/(SQRT(L83))</f>
        <v>#DIV/0!</v>
      </c>
      <c r="M84" s="133" t="e">
        <f aca="false">M82/(SQRT(M83))</f>
        <v>#DIV/0!</v>
      </c>
      <c r="N84" s="133" t="e">
        <f aca="false">N82/(SQRT(N83))</f>
        <v>#DIV/0!</v>
      </c>
      <c r="O84" s="133" t="n">
        <f aca="false">O82/(SQRT(O83))</f>
        <v>19.5949544419816</v>
      </c>
      <c r="P84" s="133" t="n">
        <f aca="false">P82/(SQRT(P83))</f>
        <v>16.308054193525</v>
      </c>
      <c r="Q84" s="133" t="n">
        <f aca="false">Q82/(SQRT(Q83))</f>
        <v>10.1871853551974</v>
      </c>
      <c r="R84" s="133" t="n">
        <f aca="false">R82/(SQRT(R83))</f>
        <v>8.64973417132387</v>
      </c>
      <c r="S84" s="133" t="n">
        <f aca="false">S82/(SQRT(S83))</f>
        <v>121.527902729655</v>
      </c>
      <c r="T84" s="133" t="n">
        <f aca="false">T82/(SQRT(T83))</f>
        <v>111.994346125212</v>
      </c>
      <c r="U84" s="133" t="n">
        <f aca="false">U82/(SQRT(U83))</f>
        <v>53.8692373887185</v>
      </c>
      <c r="V84" s="133" t="n">
        <f aca="false">V82/(SQRT(V83))</f>
        <v>42.3419662422892</v>
      </c>
      <c r="W84" s="133" t="n">
        <f aca="false">W82/(SQRT(W83))</f>
        <v>49.5856515748786</v>
      </c>
      <c r="X84" s="133" t="e">
        <f aca="false">X82/(SQRT(X83))</f>
        <v>#DIV/0!</v>
      </c>
      <c r="Y84" s="133" t="e">
        <f aca="false">Y82/(SQRT(Y83))</f>
        <v>#DIV/0!</v>
      </c>
      <c r="Z84" s="133"/>
      <c r="AA84" s="133" t="n">
        <f aca="false">AA82/(SQRT(AA83))</f>
        <v>2.00744297939981</v>
      </c>
      <c r="AB84" s="133" t="n">
        <f aca="false">AB82/(SQRT(AB83))</f>
        <v>0.165635356961505</v>
      </c>
      <c r="AC84" s="133" t="n">
        <f aca="false">AC82/(SQRT(AC83))</f>
        <v>0.541177601941865</v>
      </c>
      <c r="AD84" s="133" t="n">
        <f aca="false">AD82/(SQRT(AD83))</f>
        <v>13.9947962863695</v>
      </c>
      <c r="AE84" s="133" t="n">
        <f aca="false">AE82/(SQRT(AE83))</f>
        <v>13.9947962863695</v>
      </c>
      <c r="AF84" s="133" t="n">
        <f aca="false">AF82/(SQRT(AF83))</f>
        <v>0.117611540627834</v>
      </c>
      <c r="AG84" s="133" t="n">
        <f aca="false">AG82/(SQRT(AG83))</f>
        <v>0.184956514315884</v>
      </c>
      <c r="AH84" s="133" t="n">
        <f aca="false">AH82/(SQRT(AH83))</f>
        <v>2.82885830756859</v>
      </c>
      <c r="AI84" s="133" t="n">
        <f aca="false">AI82/(SQRT(AI83))</f>
        <v>2.82885830756863</v>
      </c>
      <c r="AJ84" s="133" t="n">
        <f aca="false">AJ82/(SQRT(AJ83))</f>
        <v>4.32822410368172</v>
      </c>
      <c r="AK84" s="133" t="n">
        <f aca="false">AK82/(SQRT(AK83))</f>
        <v>4.26579047642023</v>
      </c>
      <c r="AL84" s="133"/>
      <c r="AM84" s="133"/>
      <c r="AN84" s="133" t="e">
        <f aca="false">AN82/(SQRT(AN83))</f>
        <v>#DIV/0!</v>
      </c>
      <c r="AO84" s="133" t="n">
        <f aca="false">AO82/(SQRT(AO83))</f>
        <v>0</v>
      </c>
      <c r="AP84" s="133" t="n">
        <f aca="false">AP82/(SQRT(AP83))</f>
        <v>0.00104355524996578</v>
      </c>
      <c r="AR84" s="133" t="n">
        <f aca="false">AR82/(SQRT(AR83))</f>
        <v>2.82915923577785</v>
      </c>
      <c r="AT84" s="13"/>
      <c r="AU84" s="133" t="n">
        <f aca="false">AU82/(SQRT(AU83))</f>
        <v>2.00744297939981</v>
      </c>
      <c r="AW84" s="133" t="n">
        <f aca="false">AW82/(SQRT(AW83))</f>
        <v>0.0805474349272303</v>
      </c>
      <c r="AX84" s="133"/>
      <c r="AY84" s="133"/>
      <c r="AZ84" s="133" t="n">
        <f aca="false">AZ82/(SQRT(AZ83))</f>
        <v>0.113911274888453</v>
      </c>
      <c r="BA84" s="133" t="n">
        <f aca="false">BA82/(SQRT(BA83))</f>
        <v>0</v>
      </c>
      <c r="BC84" s="133" t="n">
        <f aca="false">BC82/(SQRT(BC83))</f>
        <v>0.113911274888453</v>
      </c>
      <c r="BD84" s="13"/>
    </row>
    <row r="85" s="7" customFormat="true" ht="14.25" hidden="false" customHeight="true" outlineLevel="0" collapsed="false">
      <c r="D85" s="14"/>
      <c r="AT85" s="13"/>
      <c r="BD85" s="13"/>
    </row>
    <row r="86" s="7" customFormat="true" ht="14.25" hidden="false" customHeight="true" outlineLevel="0" collapsed="false">
      <c r="D86" s="14" t="s">
        <v>212</v>
      </c>
      <c r="E86" s="134" t="e">
        <f aca="false">#DIV/0!</f>
        <v>#DIV/0!</v>
      </c>
      <c r="F86" s="133" t="n">
        <v>3.5</v>
      </c>
      <c r="G86" s="134" t="n">
        <v>45584</v>
      </c>
      <c r="H86" s="133" t="e">
        <f aca="false">#DIV/0!</f>
        <v>#DIV/0!</v>
      </c>
      <c r="I86" s="133" t="n">
        <v>215</v>
      </c>
      <c r="J86" s="133" t="n">
        <v>213</v>
      </c>
      <c r="K86" s="133" t="e">
        <f aca="false">#DIV/0!</f>
        <v>#DIV/0!</v>
      </c>
      <c r="L86" s="133" t="e">
        <f aca="false">#DIV/0!</f>
        <v>#DIV/0!</v>
      </c>
      <c r="M86" s="133" t="e">
        <f aca="false">#DIV/0!</f>
        <v>#DIV/0!</v>
      </c>
      <c r="N86" s="133" t="e">
        <f aca="false">#DIV/0!</f>
        <v>#DIV/0!</v>
      </c>
      <c r="O86" s="133" t="n">
        <v>89.5</v>
      </c>
      <c r="P86" s="133" t="n">
        <v>49</v>
      </c>
      <c r="Q86" s="133" t="n">
        <v>125.4</v>
      </c>
      <c r="R86" s="133" t="n">
        <v>149.5</v>
      </c>
      <c r="S86" s="133" t="n">
        <v>1440</v>
      </c>
      <c r="T86" s="133" t="n">
        <v>500</v>
      </c>
      <c r="U86" s="133" t="n">
        <v>870</v>
      </c>
      <c r="V86" s="133" t="n">
        <v>1070</v>
      </c>
      <c r="W86" s="133" t="n">
        <v>950</v>
      </c>
      <c r="X86" s="133" t="e">
        <f aca="false">#DIV/0!</f>
        <v>#DIV/0!</v>
      </c>
      <c r="Y86" s="133" t="e">
        <f aca="false">#DIV/0!</f>
        <v>#DIV/0!</v>
      </c>
      <c r="Z86" s="133" t="n">
        <v>45797.2940972222</v>
      </c>
      <c r="AA86" s="133" t="e">
        <f aca="false">#DIV/0!</f>
        <v>#DIV/0!</v>
      </c>
      <c r="AB86" s="135" t="e">
        <f aca="false">#DIV/0!</f>
        <v>#DIV/0!</v>
      </c>
      <c r="AC86" s="135" t="e">
        <f aca="false">#DIV/0!</f>
        <v>#DIV/0!</v>
      </c>
      <c r="AD86" s="133" t="e">
        <f aca="false">#DIV/0!</f>
        <v>#DIV/0!</v>
      </c>
      <c r="AE86" s="133" t="e">
        <f aca="false">#DIV/0!</f>
        <v>#DIV/0!</v>
      </c>
      <c r="AF86" s="135" t="e">
        <f aca="false">#DIV/0!</f>
        <v>#DIV/0!</v>
      </c>
      <c r="AG86" s="135" t="e">
        <f aca="false">#DIV/0!</f>
        <v>#DIV/0!</v>
      </c>
      <c r="AH86" s="133" t="e">
        <f aca="false">#DIV/0!</f>
        <v>#DIV/0!</v>
      </c>
      <c r="AI86" s="133" t="e">
        <f aca="false">#DIV/0!</f>
        <v>#DIV/0!</v>
      </c>
      <c r="AJ86" s="133" t="e">
        <f aca="false">#DIV/0!</f>
        <v>#DIV/0!</v>
      </c>
      <c r="AK86" s="133" t="e">
        <f aca="false">#DIV/0!</f>
        <v>#DIV/0!</v>
      </c>
      <c r="AL86" s="133"/>
      <c r="AM86" s="133" t="e">
        <f aca="false">#DIV/0!</f>
        <v>#DIV/0!</v>
      </c>
      <c r="AN86" s="133"/>
      <c r="AO86" s="134" t="n">
        <v>45799</v>
      </c>
      <c r="AP86" s="135" t="n">
        <v>45799.6753472222</v>
      </c>
      <c r="AR86" s="133" t="e">
        <f aca="false">#DIV/0!</f>
        <v>#DIV/0!</v>
      </c>
      <c r="AT86" s="13"/>
      <c r="AU86" s="133" t="e">
        <f aca="false">#DIV/0!</f>
        <v>#DIV/0!</v>
      </c>
      <c r="AW86" s="133" t="e">
        <f aca="false">#DIV/0!</f>
        <v>#DIV/0!</v>
      </c>
      <c r="AX86" s="133" t="e">
        <f aca="false">#DIV/0!</f>
        <v>#DIV/0!</v>
      </c>
      <c r="AY86" s="133" t="e">
        <f aca="false">#DIV/0!</f>
        <v>#DIV/0!</v>
      </c>
      <c r="AZ86" s="133" t="e">
        <f aca="false">#DIV/0!</f>
        <v>#DIV/0!</v>
      </c>
      <c r="BA86" s="134" t="n">
        <v>45944</v>
      </c>
      <c r="BC86" s="133" t="e">
        <f aca="false">#DIV/0!</f>
        <v>#DIV/0!</v>
      </c>
      <c r="BD86" s="13"/>
    </row>
    <row r="87" s="7" customFormat="true" ht="14.25" hidden="false" customHeight="true" outlineLevel="0" collapsed="false">
      <c r="D87" s="14"/>
      <c r="E87" s="133" t="e">
        <f aca="false">#DIV/0!</f>
        <v>#DIV/0!</v>
      </c>
      <c r="F87" s="133" t="n">
        <v>0.707106781186548</v>
      </c>
      <c r="G87" s="133" t="n">
        <v>1.4142135623731</v>
      </c>
      <c r="H87" s="133" t="e">
        <f aca="false">#DIV/0!</f>
        <v>#DIV/0!</v>
      </c>
      <c r="I87" s="133" t="n">
        <v>1.4142135623731</v>
      </c>
      <c r="J87" s="133" t="n">
        <v>1.4142135623731</v>
      </c>
      <c r="K87" s="133" t="e">
        <f aca="false">#DIV/0!</f>
        <v>#DIV/0!</v>
      </c>
      <c r="L87" s="133" t="e">
        <f aca="false">#DIV/0!</f>
        <v>#DIV/0!</v>
      </c>
      <c r="M87" s="133" t="e">
        <f aca="false">#DIV/0!</f>
        <v>#DIV/0!</v>
      </c>
      <c r="N87" s="133" t="e">
        <f aca="false">#DIV/0!</f>
        <v>#DIV/0!</v>
      </c>
      <c r="O87" s="133" t="n">
        <v>45.9619407771256</v>
      </c>
      <c r="P87" s="133" t="n">
        <v>80.6101730552664</v>
      </c>
      <c r="Q87" s="133" t="n">
        <v>10.040916292849</v>
      </c>
      <c r="R87" s="133" t="n">
        <v>23.3345237791561</v>
      </c>
      <c r="S87" s="133" t="n">
        <v>367.695526217005</v>
      </c>
      <c r="T87" s="133" t="n">
        <v>84.8528137423857</v>
      </c>
      <c r="U87" s="133" t="n">
        <v>183.847763108502</v>
      </c>
      <c r="V87" s="133" t="n">
        <v>42.4264068711929</v>
      </c>
      <c r="W87" s="133" t="n">
        <v>70.7106781186548</v>
      </c>
      <c r="X87" s="133" t="e">
        <f aca="false">#DIV/0!</f>
        <v>#DIV/0!</v>
      </c>
      <c r="Y87" s="133" t="e">
        <f aca="false">#DIV/0!</f>
        <v>#DIV/0!</v>
      </c>
      <c r="Z87" s="133" t="n">
        <v>0.00540151013623619</v>
      </c>
      <c r="AA87" s="133" t="e">
        <f aca="false">#DIV/0!</f>
        <v>#DIV/0!</v>
      </c>
      <c r="AB87" s="133" t="e">
        <f aca="false">#DIV/0!</f>
        <v>#DIV/0!</v>
      </c>
      <c r="AC87" s="133" t="e">
        <f aca="false">#DIV/0!</f>
        <v>#DIV/0!</v>
      </c>
      <c r="AD87" s="133" t="e">
        <f aca="false">#DIV/0!</f>
        <v>#DIV/0!</v>
      </c>
      <c r="AE87" s="133" t="e">
        <f aca="false">#DIV/0!</f>
        <v>#DIV/0!</v>
      </c>
      <c r="AF87" s="133" t="e">
        <f aca="false">#DIV/0!</f>
        <v>#DIV/0!</v>
      </c>
      <c r="AG87" s="133" t="e">
        <f aca="false">#DIV/0!</f>
        <v>#DIV/0!</v>
      </c>
      <c r="AH87" s="133" t="e">
        <f aca="false">#DIV/0!</f>
        <v>#DIV/0!</v>
      </c>
      <c r="AI87" s="133" t="e">
        <f aca="false">#DIV/0!</f>
        <v>#DIV/0!</v>
      </c>
      <c r="AJ87" s="133" t="e">
        <f aca="false">#DIV/0!</f>
        <v>#DIV/0!</v>
      </c>
      <c r="AK87" s="133" t="e">
        <f aca="false">#DIV/0!</f>
        <v>#DIV/0!</v>
      </c>
      <c r="AL87" s="133"/>
      <c r="AM87" s="133" t="e">
        <f aca="false">#DIV/0!</f>
        <v>#DIV/0!</v>
      </c>
      <c r="AN87" s="133"/>
      <c r="AO87" s="133" t="n">
        <v>0</v>
      </c>
      <c r="AP87" s="133" t="n">
        <v>0.00932988114019851</v>
      </c>
      <c r="AR87" s="133" t="e">
        <f aca="false">#DIV/0!</f>
        <v>#DIV/0!</v>
      </c>
      <c r="AT87" s="13"/>
      <c r="AU87" s="133" t="e">
        <f aca="false">#DIV/0!</f>
        <v>#DIV/0!</v>
      </c>
      <c r="AW87" s="133" t="e">
        <f aca="false">#DIV/0!</f>
        <v>#DIV/0!</v>
      </c>
      <c r="AX87" s="133" t="e">
        <f aca="false">#DIV/0!</f>
        <v>#DIV/0!</v>
      </c>
      <c r="AY87" s="133" t="e">
        <f aca="false">#DIV/0!</f>
        <v>#DIV/0!</v>
      </c>
      <c r="AZ87" s="133" t="e">
        <f aca="false">#DIV/0!</f>
        <v>#DIV/0!</v>
      </c>
      <c r="BA87" s="133" t="n">
        <v>0</v>
      </c>
      <c r="BC87" s="133" t="e">
        <f aca="false">#DIV/0!</f>
        <v>#DIV/0!</v>
      </c>
      <c r="BD87" s="13"/>
    </row>
    <row r="88" s="7" customFormat="true" ht="14.25" hidden="false" customHeight="true" outlineLevel="0" collapsed="false">
      <c r="D88" s="14"/>
      <c r="E88" s="133" t="n">
        <v>0</v>
      </c>
      <c r="F88" s="133" t="n">
        <v>2</v>
      </c>
      <c r="G88" s="133" t="n">
        <v>2</v>
      </c>
      <c r="H88" s="133" t="n">
        <v>0</v>
      </c>
      <c r="I88" s="133" t="n">
        <v>2</v>
      </c>
      <c r="J88" s="133" t="n">
        <v>2</v>
      </c>
      <c r="K88" s="133" t="n">
        <v>0</v>
      </c>
      <c r="L88" s="133" t="n">
        <v>0</v>
      </c>
      <c r="M88" s="133" t="n">
        <v>0</v>
      </c>
      <c r="N88" s="133" t="n">
        <v>0</v>
      </c>
      <c r="O88" s="133" t="n">
        <v>2</v>
      </c>
      <c r="P88" s="133" t="n">
        <v>2</v>
      </c>
      <c r="Q88" s="133" t="n">
        <v>2</v>
      </c>
      <c r="R88" s="133" t="n">
        <v>2</v>
      </c>
      <c r="S88" s="133" t="n">
        <v>2</v>
      </c>
      <c r="T88" s="133" t="n">
        <v>2</v>
      </c>
      <c r="U88" s="133" t="n">
        <v>2</v>
      </c>
      <c r="V88" s="133" t="n">
        <v>2</v>
      </c>
      <c r="W88" s="133" t="n">
        <v>2</v>
      </c>
      <c r="X88" s="133" t="n">
        <v>0</v>
      </c>
      <c r="Y88" s="133" t="n">
        <v>0</v>
      </c>
      <c r="Z88" s="133" t="n">
        <v>2</v>
      </c>
      <c r="AA88" s="133" t="n">
        <v>0</v>
      </c>
      <c r="AB88" s="133" t="n">
        <v>0</v>
      </c>
      <c r="AC88" s="133" t="n">
        <v>0</v>
      </c>
      <c r="AD88" s="133" t="n">
        <v>0</v>
      </c>
      <c r="AE88" s="133" t="n">
        <v>0</v>
      </c>
      <c r="AF88" s="133" t="n">
        <v>0</v>
      </c>
      <c r="AG88" s="133" t="n">
        <v>0</v>
      </c>
      <c r="AH88" s="133" t="n">
        <v>0</v>
      </c>
      <c r="AI88" s="133" t="n">
        <v>0</v>
      </c>
      <c r="AJ88" s="133" t="n">
        <v>0</v>
      </c>
      <c r="AK88" s="133" t="n">
        <v>0</v>
      </c>
      <c r="AL88" s="133"/>
      <c r="AM88" s="133" t="n">
        <v>0</v>
      </c>
      <c r="AN88" s="133"/>
      <c r="AO88" s="133" t="n">
        <v>2</v>
      </c>
      <c r="AP88" s="133" t="n">
        <v>2</v>
      </c>
      <c r="AR88" s="133" t="n">
        <v>0</v>
      </c>
      <c r="AT88" s="13"/>
      <c r="AU88" s="133" t="n">
        <v>0</v>
      </c>
      <c r="AW88" s="133" t="n">
        <v>0</v>
      </c>
      <c r="AX88" s="133" t="n">
        <v>0</v>
      </c>
      <c r="AY88" s="133" t="n">
        <v>0</v>
      </c>
      <c r="AZ88" s="133" t="n">
        <v>0</v>
      </c>
      <c r="BA88" s="133" t="n">
        <v>2</v>
      </c>
      <c r="BC88" s="133" t="n">
        <v>0</v>
      </c>
      <c r="BD88" s="13"/>
    </row>
    <row r="89" customFormat="false" ht="14.25" hidden="false" customHeight="true" outlineLevel="0" collapsed="false">
      <c r="A89" s="7"/>
      <c r="B89" s="7"/>
      <c r="C89" s="7"/>
      <c r="D89" s="14"/>
      <c r="E89" s="133" t="e">
        <f aca="false">E87/(SQRT(E88))</f>
        <v>#DIV/0!</v>
      </c>
      <c r="F89" s="133" t="n">
        <f aca="false">F87/(SQRT(F88))</f>
        <v>0.5</v>
      </c>
      <c r="G89" s="133" t="n">
        <f aca="false">G87/(SQRT(G88))</f>
        <v>1</v>
      </c>
      <c r="H89" s="133" t="e">
        <f aca="false">H87/(SQRT(H88))</f>
        <v>#DIV/0!</v>
      </c>
      <c r="I89" s="133" t="n">
        <f aca="false">I87/(SQRT(I88))</f>
        <v>1</v>
      </c>
      <c r="J89" s="133" t="n">
        <f aca="false">J87/(SQRT(J88))</f>
        <v>1</v>
      </c>
      <c r="K89" s="133" t="e">
        <f aca="false">K87/(SQRT(K88))</f>
        <v>#DIV/0!</v>
      </c>
      <c r="L89" s="133" t="e">
        <f aca="false">L87/(SQRT(L88))</f>
        <v>#DIV/0!</v>
      </c>
      <c r="M89" s="133" t="e">
        <f aca="false">M87/(SQRT(M88))</f>
        <v>#DIV/0!</v>
      </c>
      <c r="N89" s="133" t="e">
        <f aca="false">N87/(SQRT(N88))</f>
        <v>#DIV/0!</v>
      </c>
      <c r="O89" s="133" t="n">
        <f aca="false">O87/(SQRT(O88))</f>
        <v>32.5</v>
      </c>
      <c r="P89" s="133" t="n">
        <f aca="false">P87/(SQRT(P88))</f>
        <v>57</v>
      </c>
      <c r="Q89" s="133" t="n">
        <f aca="false">Q87/(SQRT(Q88))</f>
        <v>7.1</v>
      </c>
      <c r="R89" s="133" t="n">
        <f aca="false">R87/(SQRT(R88))</f>
        <v>16.5</v>
      </c>
      <c r="S89" s="133" t="n">
        <f aca="false">S87/(SQRT(S88))</f>
        <v>260</v>
      </c>
      <c r="T89" s="133" t="n">
        <f aca="false">T87/(SQRT(T88))</f>
        <v>60</v>
      </c>
      <c r="U89" s="133" t="n">
        <f aca="false">U87/(SQRT(U88))</f>
        <v>130</v>
      </c>
      <c r="V89" s="133" t="n">
        <f aca="false">V87/(SQRT(V88))</f>
        <v>30</v>
      </c>
      <c r="W89" s="133" t="n">
        <f aca="false">W87/(SQRT(W88))</f>
        <v>50</v>
      </c>
      <c r="X89" s="133" t="e">
        <f aca="false">X87/(SQRT(X88))</f>
        <v>#DIV/0!</v>
      </c>
      <c r="Y89" s="133" t="e">
        <f aca="false">Y87/(SQRT(Y88))</f>
        <v>#DIV/0!</v>
      </c>
      <c r="Z89" s="133"/>
      <c r="AA89" s="133" t="e">
        <f aca="false">AA87/(SQRT(AA88))</f>
        <v>#DIV/0!</v>
      </c>
      <c r="AB89" s="133" t="e">
        <f aca="false">AB87/(SQRT(AB88))</f>
        <v>#DIV/0!</v>
      </c>
      <c r="AC89" s="133" t="e">
        <f aca="false">AC87/(SQRT(AC88))</f>
        <v>#DIV/0!</v>
      </c>
      <c r="AD89" s="133" t="e">
        <f aca="false">AD87/(SQRT(AD88))</f>
        <v>#DIV/0!</v>
      </c>
      <c r="AE89" s="133" t="e">
        <f aca="false">AE87/(SQRT(AE88))</f>
        <v>#DIV/0!</v>
      </c>
      <c r="AF89" s="133" t="e">
        <f aca="false">AF87/(SQRT(AF88))</f>
        <v>#DIV/0!</v>
      </c>
      <c r="AG89" s="133" t="e">
        <f aca="false">AG87/(SQRT(AG88))</f>
        <v>#DIV/0!</v>
      </c>
      <c r="AH89" s="133" t="e">
        <f aca="false">AH87/(SQRT(AH88))</f>
        <v>#DIV/0!</v>
      </c>
      <c r="AI89" s="133" t="e">
        <f aca="false">AI87/(SQRT(AI88))</f>
        <v>#DIV/0!</v>
      </c>
      <c r="AJ89" s="133" t="e">
        <f aca="false">AJ87/(SQRT(AJ88))</f>
        <v>#DIV/0!</v>
      </c>
      <c r="AK89" s="133" t="e">
        <f aca="false">AK87/(SQRT(AK88))</f>
        <v>#DIV/0!</v>
      </c>
      <c r="AL89" s="133"/>
      <c r="AM89" s="133"/>
      <c r="AN89" s="133" t="e">
        <f aca="false">AN87/(SQRT(AN88))</f>
        <v>#DIV/0!</v>
      </c>
      <c r="AO89" s="133" t="n">
        <f aca="false">AO87/(SQRT(AO88))</f>
        <v>0</v>
      </c>
      <c r="AP89" s="133" t="n">
        <f aca="false">AP87/(SQRT(AP88))</f>
        <v>0.00659722222189885</v>
      </c>
      <c r="AR89" s="133" t="e">
        <f aca="false">AR87/(SQRT(AR88))</f>
        <v>#DIV/0!</v>
      </c>
      <c r="AS89" s="7"/>
      <c r="AU89" s="133" t="e">
        <f aca="false">AU87/(SQRT(AU88))</f>
        <v>#DIV/0!</v>
      </c>
      <c r="AV89" s="7"/>
      <c r="AW89" s="133" t="e">
        <f aca="false">AW87/(SQRT(AW88))</f>
        <v>#DIV/0!</v>
      </c>
      <c r="AX89" s="133"/>
      <c r="AY89" s="133"/>
      <c r="AZ89" s="133" t="e">
        <f aca="false">AZ87/(SQRT(AZ88))</f>
        <v>#DIV/0!</v>
      </c>
      <c r="BA89" s="133" t="n">
        <f aca="false">BA87/(SQRT(BA88))</f>
        <v>0</v>
      </c>
      <c r="BB89" s="7"/>
      <c r="BC89" s="133" t="e">
        <f aca="false">BC87/(SQRT(BC88))</f>
        <v>#DIV/0!</v>
      </c>
      <c r="BE89" s="7"/>
      <c r="BF89" s="7"/>
      <c r="BG89" s="7"/>
      <c r="BH89" s="7"/>
    </row>
    <row r="90" customFormat="false" ht="14.25" hidden="false" customHeight="true" outlineLevel="0" collapsed="false">
      <c r="A90" s="7"/>
      <c r="B90" s="7"/>
      <c r="C90" s="7"/>
      <c r="D90" s="7"/>
      <c r="E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127"/>
      <c r="AC90" s="127"/>
      <c r="AD90" s="128"/>
      <c r="AE90" s="128"/>
      <c r="AF90" s="127"/>
      <c r="AG90" s="127"/>
      <c r="AH90" s="129"/>
      <c r="AI90" s="129"/>
      <c r="AJ90" s="128"/>
      <c r="AK90" s="128"/>
      <c r="AL90" s="128"/>
      <c r="AM90" s="128"/>
      <c r="AN90" s="125"/>
      <c r="AO90" s="7"/>
      <c r="AS90" s="7"/>
      <c r="AU90" s="7"/>
      <c r="AV90" s="7"/>
      <c r="AW90" s="4"/>
      <c r="AX90" s="4"/>
      <c r="AY90" s="4"/>
      <c r="BA90" s="7"/>
      <c r="BB90" s="7"/>
      <c r="BC90" s="7"/>
      <c r="BE90" s="7"/>
      <c r="BF90" s="7"/>
      <c r="BG90" s="7"/>
      <c r="BH90" s="7"/>
    </row>
    <row r="91" customFormat="false" ht="14.25" hidden="false" customHeight="true" outlineLevel="0" collapsed="false">
      <c r="A91" s="7"/>
      <c r="B91" s="7"/>
      <c r="C91" s="7"/>
      <c r="D91" s="7"/>
      <c r="E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127"/>
      <c r="AC91" s="127"/>
      <c r="AD91" s="128"/>
      <c r="AE91" s="128"/>
      <c r="AF91" s="127"/>
      <c r="AG91" s="127"/>
      <c r="AH91" s="129"/>
      <c r="AI91" s="129"/>
      <c r="AJ91" s="128"/>
      <c r="AK91" s="128"/>
      <c r="AL91" s="128"/>
      <c r="AM91" s="128"/>
      <c r="AN91" s="125"/>
      <c r="AO91" s="7"/>
      <c r="AS91" s="7"/>
      <c r="AU91" s="7"/>
      <c r="AV91" s="7"/>
      <c r="AW91" s="4"/>
      <c r="AX91" s="4"/>
      <c r="AY91" s="4"/>
      <c r="BA91" s="7"/>
      <c r="BB91" s="7"/>
      <c r="BC91" s="7"/>
      <c r="BE91" s="7"/>
      <c r="BF91" s="7"/>
      <c r="BG91" s="7"/>
      <c r="BH91" s="7"/>
    </row>
    <row r="92" customFormat="false" ht="14.25" hidden="false" customHeight="true" outlineLevel="0" collapsed="false">
      <c r="A92" s="7"/>
      <c r="B92" s="7"/>
      <c r="C92" s="7"/>
      <c r="D92" s="7"/>
      <c r="E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127"/>
      <c r="AC92" s="127"/>
      <c r="AD92" s="128"/>
      <c r="AE92" s="128"/>
      <c r="AF92" s="127"/>
      <c r="AG92" s="127"/>
      <c r="AH92" s="129"/>
      <c r="AI92" s="129"/>
      <c r="AJ92" s="128"/>
      <c r="AK92" s="128"/>
      <c r="AL92" s="128"/>
      <c r="AM92" s="128"/>
      <c r="AN92" s="125"/>
      <c r="AO92" s="7"/>
      <c r="AS92" s="7"/>
      <c r="AU92" s="7"/>
      <c r="AV92" s="7"/>
      <c r="AW92" s="4"/>
      <c r="AX92" s="4"/>
      <c r="AY92" s="4"/>
      <c r="BA92" s="7"/>
      <c r="BB92" s="7"/>
      <c r="BC92" s="7"/>
      <c r="BE92" s="7"/>
      <c r="BF92" s="7"/>
      <c r="BG92" s="7"/>
      <c r="BH92" s="7"/>
    </row>
    <row r="93" customFormat="false" ht="14.25" hidden="false" customHeight="true" outlineLevel="0" collapsed="false">
      <c r="AB93" s="137"/>
      <c r="AC93" s="137"/>
      <c r="AD93" s="137"/>
      <c r="AE93" s="7"/>
      <c r="AF93" s="137" t="s">
        <v>213</v>
      </c>
      <c r="AG93" s="137"/>
      <c r="AH93" s="137"/>
      <c r="AI93" s="7"/>
      <c r="AJ93" s="137"/>
      <c r="AK93" s="7"/>
      <c r="AL93" s="7"/>
      <c r="AM93" s="7"/>
      <c r="AN93" s="7"/>
      <c r="AO93" s="7"/>
      <c r="AS93" s="137" t="s">
        <v>214</v>
      </c>
      <c r="AT93" s="138"/>
      <c r="AU93" s="7"/>
      <c r="AV93" s="7"/>
      <c r="AW93" s="131"/>
      <c r="AX93" s="131"/>
      <c r="AY93" s="131"/>
      <c r="BA93" s="137" t="s">
        <v>215</v>
      </c>
      <c r="BB93" s="7"/>
      <c r="BC93" s="7"/>
      <c r="BE93" s="7"/>
      <c r="BF93" s="7"/>
      <c r="BG93" s="7"/>
    </row>
    <row r="94" customFormat="false" ht="14.25" hidden="false" customHeight="true" outlineLevel="0" collapsed="false">
      <c r="AC94" s="53"/>
      <c r="AE94" s="53"/>
      <c r="AF94" s="1" t="s">
        <v>216</v>
      </c>
      <c r="AG94" s="53"/>
      <c r="AH94" s="53"/>
      <c r="AI94" s="53"/>
      <c r="AK94" s="53"/>
      <c r="AL94" s="53"/>
      <c r="AM94" s="53"/>
      <c r="AN94" s="7"/>
      <c r="AO94" s="7"/>
      <c r="AS94" s="139" t="s">
        <v>217</v>
      </c>
      <c r="AT94" s="139"/>
      <c r="AU94" s="139"/>
      <c r="AV94" s="139"/>
      <c r="AW94" s="139"/>
      <c r="AX94" s="139"/>
      <c r="AY94" s="139"/>
      <c r="AZ94" s="139"/>
      <c r="BA94" s="7" t="s">
        <v>218</v>
      </c>
      <c r="BB94" s="7"/>
      <c r="BC94" s="7"/>
      <c r="BE94" s="7"/>
      <c r="BF94" s="7"/>
      <c r="BG94" s="7"/>
    </row>
    <row r="95" customFormat="false" ht="14.25" hidden="false" customHeight="true" outlineLevel="0" collapsed="false">
      <c r="AB95" s="7"/>
      <c r="AC95" s="7"/>
      <c r="AD95" s="7"/>
      <c r="AE95" s="7"/>
      <c r="AF95" s="7" t="s">
        <v>219</v>
      </c>
      <c r="AG95" s="7"/>
      <c r="AH95" s="7"/>
      <c r="AI95" s="7"/>
      <c r="AJ95" s="7"/>
      <c r="AK95" s="7"/>
      <c r="AL95" s="7"/>
      <c r="AM95" s="7"/>
      <c r="AN95" s="7"/>
      <c r="AO95" s="7"/>
      <c r="AS95" s="140" t="s">
        <v>220</v>
      </c>
      <c r="AT95" s="140"/>
      <c r="AU95" s="140"/>
      <c r="AV95" s="140"/>
      <c r="AW95" s="140"/>
      <c r="AX95" s="140"/>
      <c r="AY95" s="140"/>
      <c r="AZ95" s="140"/>
      <c r="BA95" s="7" t="s">
        <v>221</v>
      </c>
      <c r="BB95" s="7"/>
      <c r="BC95" s="7"/>
      <c r="BE95" s="7"/>
      <c r="BF95" s="7"/>
      <c r="BG95" s="7"/>
    </row>
    <row r="96" customFormat="false" ht="14.25" hidden="false" customHeight="true" outlineLevel="0" collapsed="false">
      <c r="AB96" s="7"/>
      <c r="AC96" s="7"/>
      <c r="AD96" s="7"/>
      <c r="AE96" s="7"/>
      <c r="AF96" s="7" t="s">
        <v>222</v>
      </c>
      <c r="AG96" s="7" t="s">
        <v>223</v>
      </c>
      <c r="AH96" s="7"/>
      <c r="AI96" s="7"/>
      <c r="AJ96" s="7"/>
      <c r="AK96" s="7"/>
      <c r="AL96" s="7"/>
      <c r="AM96" s="7"/>
      <c r="AN96" s="7"/>
      <c r="AO96" s="7"/>
      <c r="AS96" s="139" t="s">
        <v>224</v>
      </c>
      <c r="AT96" s="139"/>
      <c r="AU96" s="139"/>
      <c r="AV96" s="139"/>
      <c r="AW96" s="139"/>
      <c r="AX96" s="139"/>
      <c r="AY96" s="139"/>
      <c r="AZ96" s="139"/>
      <c r="BA96" s="141" t="s">
        <v>225</v>
      </c>
      <c r="BB96" s="141"/>
      <c r="BC96" s="141"/>
      <c r="BD96" s="142"/>
      <c r="BE96" s="141"/>
      <c r="BF96" s="141"/>
      <c r="BG96" s="141"/>
    </row>
    <row r="97" customFormat="false" ht="14.25" hidden="false" customHeight="true" outlineLevel="0" collapsed="false"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S97" s="140" t="s">
        <v>226</v>
      </c>
      <c r="AT97" s="140"/>
      <c r="AU97" s="140"/>
      <c r="AV97" s="140"/>
      <c r="AW97" s="140"/>
      <c r="AX97" s="140"/>
      <c r="AY97" s="140"/>
      <c r="AZ97" s="140"/>
      <c r="BA97" s="141" t="s">
        <v>227</v>
      </c>
      <c r="BB97" s="141"/>
      <c r="BC97" s="141"/>
      <c r="BD97" s="142"/>
      <c r="BE97" s="141"/>
      <c r="BF97" s="141"/>
      <c r="BG97" s="141"/>
    </row>
    <row r="98" customFormat="false" ht="14.25" hidden="false" customHeight="true" outlineLevel="0" collapsed="false"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S98" s="139" t="s">
        <v>228</v>
      </c>
      <c r="AT98" s="139"/>
      <c r="AU98" s="139"/>
      <c r="AV98" s="139"/>
      <c r="AW98" s="139"/>
      <c r="AX98" s="139"/>
      <c r="AY98" s="139"/>
      <c r="AZ98" s="139"/>
      <c r="BA98" s="141" t="s">
        <v>229</v>
      </c>
      <c r="BB98" s="141"/>
      <c r="BC98" s="141"/>
      <c r="BD98" s="142"/>
      <c r="BE98" s="141"/>
      <c r="BF98" s="141"/>
      <c r="BG98" s="141"/>
    </row>
    <row r="99" customFormat="false" ht="14.25" hidden="false" customHeight="true" outlineLevel="0" collapsed="false">
      <c r="AB99" s="137"/>
      <c r="AC99" s="7"/>
      <c r="AD99" s="7"/>
      <c r="AE99" s="7"/>
      <c r="AF99" s="137" t="s">
        <v>230</v>
      </c>
      <c r="AG99" s="7"/>
      <c r="AH99" s="7"/>
      <c r="AI99" s="7"/>
      <c r="AJ99" s="7"/>
      <c r="AK99" s="7"/>
      <c r="AL99" s="7"/>
      <c r="AM99" s="7"/>
      <c r="AN99" s="7"/>
      <c r="AO99" s="7"/>
      <c r="AS99" s="7"/>
      <c r="AV99" s="7"/>
      <c r="AW99" s="7"/>
      <c r="AX99" s="7"/>
      <c r="AY99" s="7"/>
      <c r="BA99" s="7"/>
      <c r="BB99" s="7"/>
      <c r="BC99" s="7"/>
      <c r="BE99" s="7"/>
    </row>
    <row r="100" customFormat="false" ht="14.25" hidden="false" customHeight="false" outlineLevel="0" collapsed="false">
      <c r="AC100" s="7"/>
      <c r="AD100" s="7"/>
      <c r="AE100" s="7"/>
      <c r="AF100" s="1" t="s">
        <v>231</v>
      </c>
      <c r="AG100" s="7"/>
      <c r="AH100" s="7"/>
      <c r="AI100" s="7"/>
      <c r="AJ100" s="7"/>
      <c r="AK100" s="7"/>
      <c r="AL100" s="7"/>
      <c r="AM100" s="7"/>
      <c r="AN100" s="7"/>
      <c r="AO100" s="7"/>
      <c r="AS100" s="7"/>
      <c r="AV100" s="7"/>
      <c r="AW100" s="7"/>
      <c r="AX100" s="7"/>
      <c r="AY100" s="7"/>
      <c r="BA100" s="7"/>
      <c r="BB100" s="7"/>
      <c r="BC100" s="7"/>
      <c r="BE100" s="7"/>
      <c r="BH100" s="7"/>
    </row>
    <row r="101" customFormat="false" ht="14.25" hidden="false" customHeight="false" outlineLevel="0" collapsed="false">
      <c r="AB101" s="7"/>
      <c r="AC101" s="7"/>
      <c r="AD101" s="7"/>
      <c r="AE101" s="7"/>
      <c r="AF101" s="7" t="s">
        <v>219</v>
      </c>
      <c r="AG101" s="7"/>
      <c r="AH101" s="7"/>
      <c r="AI101" s="7"/>
      <c r="AJ101" s="7"/>
      <c r="AK101" s="7"/>
      <c r="AL101" s="7"/>
      <c r="AM101" s="7"/>
      <c r="AN101" s="7"/>
      <c r="AO101" s="7"/>
      <c r="AS101" s="1" t="s">
        <v>232</v>
      </c>
      <c r="AT101" s="13" t="n">
        <v>26</v>
      </c>
      <c r="AU101" s="143" t="n">
        <f aca="false">AT101/$AT$104</f>
        <v>0.530612244897959</v>
      </c>
      <c r="AV101" s="7"/>
      <c r="AW101" s="7"/>
      <c r="AX101" s="7"/>
      <c r="AY101" s="7"/>
      <c r="BA101" s="1" t="s">
        <v>13</v>
      </c>
      <c r="BB101" s="1" t="n">
        <v>25</v>
      </c>
      <c r="BC101" s="143" t="n">
        <f aca="false">BB101/$BB$104</f>
        <v>0.510204081632653</v>
      </c>
      <c r="BE101" s="7"/>
      <c r="BH101" s="7"/>
    </row>
    <row r="102" customFormat="false" ht="14.25" hidden="false" customHeight="false" outlineLevel="0" collapsed="false">
      <c r="AB102" s="7"/>
      <c r="AC102" s="7"/>
      <c r="AD102" s="7"/>
      <c r="AE102" s="7"/>
      <c r="AF102" s="7" t="s">
        <v>233</v>
      </c>
      <c r="AG102" s="7" t="s">
        <v>234</v>
      </c>
      <c r="AH102" s="7"/>
      <c r="AI102" s="7"/>
      <c r="AJ102" s="7"/>
      <c r="AK102" s="7"/>
      <c r="AL102" s="7"/>
      <c r="AM102" s="7"/>
      <c r="AN102" s="7"/>
      <c r="AO102" s="7"/>
      <c r="AS102" s="1" t="s">
        <v>196</v>
      </c>
      <c r="AT102" s="13" t="n">
        <v>22</v>
      </c>
      <c r="AU102" s="143" t="n">
        <f aca="false">AT102/$AT$104</f>
        <v>0.448979591836735</v>
      </c>
      <c r="AV102" s="7"/>
      <c r="AW102" s="7"/>
      <c r="AX102" s="7"/>
      <c r="AY102" s="7"/>
      <c r="BA102" s="1" t="s">
        <v>196</v>
      </c>
      <c r="BB102" s="1" t="n">
        <v>18</v>
      </c>
      <c r="BC102" s="143" t="n">
        <f aca="false">BB102/$BB$104</f>
        <v>0.36734693877551</v>
      </c>
      <c r="BE102" s="7"/>
      <c r="BH102" s="7"/>
    </row>
    <row r="103" customFormat="false" ht="14.25" hidden="false" customHeight="false" outlineLevel="0" collapsed="false"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S103" s="1" t="s">
        <v>200</v>
      </c>
      <c r="AT103" s="13" t="n">
        <v>1</v>
      </c>
      <c r="AU103" s="143" t="n">
        <f aca="false">AT103/$AT$104</f>
        <v>0.0204081632653061</v>
      </c>
      <c r="BA103" s="1" t="s">
        <v>200</v>
      </c>
      <c r="BB103" s="1" t="n">
        <v>6</v>
      </c>
      <c r="BC103" s="143" t="n">
        <f aca="false">BB103/$BB$104</f>
        <v>0.122448979591837</v>
      </c>
    </row>
    <row r="104" customFormat="false" ht="14.25" hidden="false" customHeight="false" outlineLevel="0" collapsed="false"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T104" s="13" t="n">
        <f aca="false">AT101+AT102+AT103</f>
        <v>49</v>
      </c>
      <c r="BB104" s="1" t="n">
        <f aca="false">BB101+BB102+BB103</f>
        <v>49</v>
      </c>
    </row>
    <row r="105" customFormat="false" ht="17.35" hidden="false" customHeight="false" outlineLevel="0" collapsed="false">
      <c r="AB105" s="137"/>
      <c r="AC105" s="7"/>
      <c r="AD105" s="7"/>
      <c r="AE105" s="7"/>
      <c r="AF105" s="137" t="s">
        <v>235</v>
      </c>
      <c r="AG105" s="7"/>
      <c r="AH105" s="7"/>
      <c r="AI105" s="7"/>
      <c r="AJ105" s="7"/>
      <c r="AK105" s="7"/>
      <c r="AL105" s="7"/>
      <c r="AM105" s="7"/>
      <c r="AN105" s="7"/>
      <c r="AO105" s="7"/>
      <c r="BA105" s="7" t="s">
        <v>236</v>
      </c>
      <c r="BB105" s="1" t="n">
        <v>25</v>
      </c>
      <c r="BC105" s="143" t="n">
        <f aca="false">BB105/$BB$104</f>
        <v>0.510204081632653</v>
      </c>
    </row>
    <row r="106" customFormat="false" ht="14.25" hidden="false" customHeight="false" outlineLevel="0" collapsed="false">
      <c r="AC106" s="7"/>
      <c r="AD106" s="7"/>
      <c r="AE106" s="7"/>
      <c r="AF106" s="1" t="s">
        <v>237</v>
      </c>
      <c r="AG106" s="7"/>
      <c r="AH106" s="7"/>
      <c r="AI106" s="7"/>
      <c r="AJ106" s="7"/>
      <c r="AK106" s="7"/>
      <c r="AL106" s="7"/>
      <c r="AM106" s="7"/>
      <c r="AN106" s="7"/>
      <c r="AO106" s="7"/>
      <c r="BA106" s="7" t="s">
        <v>238</v>
      </c>
      <c r="BB106" s="1" t="n">
        <f aca="false">BB101+BB102</f>
        <v>43</v>
      </c>
      <c r="BC106" s="143" t="n">
        <f aca="false">BB106/$BB$104</f>
        <v>0.877551020408163</v>
      </c>
    </row>
    <row r="107" customFormat="false" ht="14.25" hidden="false" customHeight="false" outlineLevel="0" collapsed="false">
      <c r="AB107" s="7"/>
      <c r="AC107" s="7"/>
      <c r="AD107" s="7"/>
      <c r="AE107" s="7"/>
      <c r="AF107" s="7" t="s">
        <v>219</v>
      </c>
      <c r="AG107" s="7"/>
      <c r="AH107" s="7"/>
      <c r="AI107" s="7"/>
      <c r="AJ107" s="7"/>
      <c r="AK107" s="7"/>
      <c r="AL107" s="7"/>
      <c r="AM107" s="7"/>
      <c r="AN107" s="7"/>
      <c r="AO107" s="7"/>
    </row>
    <row r="108" customFormat="false" ht="17.35" hidden="false" customHeight="false" outlineLevel="0" collapsed="false">
      <c r="AB108" s="7"/>
      <c r="AC108" s="7"/>
      <c r="AD108" s="7"/>
      <c r="AE108" s="7"/>
      <c r="AF108" s="7" t="s">
        <v>233</v>
      </c>
      <c r="AG108" s="7" t="s">
        <v>234</v>
      </c>
      <c r="AH108" s="7"/>
      <c r="AI108" s="7"/>
      <c r="AJ108" s="7"/>
      <c r="AK108" s="7"/>
      <c r="AL108" s="7"/>
      <c r="AM108" s="7"/>
      <c r="AN108" s="7"/>
      <c r="AO108" s="7"/>
      <c r="BA108" s="144" t="s">
        <v>239</v>
      </c>
    </row>
    <row r="109" customFormat="false" ht="14.25" hidden="false" customHeight="false" outlineLevel="0" collapsed="false">
      <c r="AB109" s="7"/>
      <c r="AC109" s="7"/>
      <c r="AD109" s="7"/>
      <c r="AE109" s="7"/>
      <c r="AF109" s="7" t="s">
        <v>240</v>
      </c>
      <c r="AG109" s="7"/>
      <c r="AH109" s="7"/>
      <c r="AI109" s="7"/>
      <c r="AJ109" s="7"/>
      <c r="AK109" s="7"/>
      <c r="AL109" s="7"/>
      <c r="AM109" s="7"/>
      <c r="AN109" s="7"/>
      <c r="AO109" s="7"/>
    </row>
    <row r="110" customFormat="false" ht="14.25" hidden="false" customHeight="false" outlineLevel="0" collapsed="false"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customFormat="false" ht="17.35" hidden="false" customHeight="false" outlineLevel="0" collapsed="false">
      <c r="AB111" s="137"/>
      <c r="AC111" s="7"/>
      <c r="AD111" s="7"/>
      <c r="AE111" s="7"/>
      <c r="AF111" s="137" t="s">
        <v>241</v>
      </c>
      <c r="AG111" s="7"/>
      <c r="AH111" s="7"/>
      <c r="AI111" s="7"/>
      <c r="AJ111" s="7"/>
      <c r="AK111" s="7"/>
      <c r="AL111" s="7"/>
      <c r="AM111" s="7"/>
      <c r="AN111" s="7"/>
      <c r="AO111" s="7"/>
    </row>
    <row r="112" customFormat="false" ht="14.25" hidden="false" customHeight="false" outlineLevel="0" collapsed="false">
      <c r="AC112" s="7"/>
      <c r="AD112" s="7"/>
      <c r="AE112" s="7"/>
      <c r="AF112" s="1" t="s">
        <v>242</v>
      </c>
      <c r="AG112" s="7"/>
      <c r="AH112" s="7"/>
      <c r="AI112" s="7"/>
      <c r="AJ112" s="7"/>
      <c r="AK112" s="7"/>
      <c r="AL112" s="7"/>
      <c r="AM112" s="7"/>
      <c r="AN112" s="7"/>
      <c r="AO112" s="7"/>
    </row>
    <row r="113" customFormat="false" ht="14.25" hidden="false" customHeight="false" outlineLevel="0" collapsed="false">
      <c r="AB113" s="7"/>
      <c r="AC113" s="7"/>
      <c r="AD113" s="7"/>
      <c r="AE113" s="7"/>
      <c r="AF113" s="7" t="s">
        <v>243</v>
      </c>
      <c r="AG113" s="7"/>
      <c r="AH113" s="7"/>
      <c r="AI113" s="7"/>
      <c r="AJ113" s="7"/>
      <c r="AK113" s="7"/>
      <c r="AL113" s="7"/>
      <c r="AM113" s="7"/>
      <c r="AN113" s="7"/>
      <c r="AO113" s="7"/>
    </row>
    <row r="114" customFormat="false" ht="14.25" hidden="false" customHeight="false" outlineLevel="0" collapsed="false">
      <c r="AB114" s="7"/>
      <c r="AC114" s="7"/>
      <c r="AD114" s="7"/>
      <c r="AE114" s="7"/>
      <c r="AF114" s="7" t="s">
        <v>222</v>
      </c>
      <c r="AG114" s="7" t="s">
        <v>244</v>
      </c>
      <c r="AH114" s="7"/>
      <c r="AI114" s="7"/>
      <c r="AJ114" s="7"/>
      <c r="AK114" s="7"/>
      <c r="AL114" s="7"/>
      <c r="AM114" s="7"/>
      <c r="AN114" s="7"/>
      <c r="AO114" s="7"/>
    </row>
    <row r="115" customFormat="false" ht="14.25" hidden="false" customHeight="false" outlineLevel="0" collapsed="false">
      <c r="AB115" s="7"/>
      <c r="AC115" s="7"/>
      <c r="AD115" s="7"/>
      <c r="AE115" s="7"/>
      <c r="AF115" s="7" t="s">
        <v>245</v>
      </c>
      <c r="AG115" s="7"/>
      <c r="AH115" s="7"/>
      <c r="AI115" s="7"/>
      <c r="AJ115" s="7"/>
      <c r="AK115" s="7"/>
      <c r="AL115" s="7"/>
      <c r="AM115" s="7"/>
      <c r="AN115" s="7"/>
      <c r="AO115" s="7"/>
    </row>
    <row r="116" customFormat="false" ht="14.25" hidden="false" customHeight="false" outlineLevel="0" collapsed="false"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customFormat="false" ht="14.25" hidden="false" customHeight="false" outlineLevel="0" collapsed="false"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customFormat="false" ht="18" hidden="false" customHeight="true" outlineLevel="0" collapsed="false">
      <c r="AB118" s="7"/>
      <c r="AC118" s="7"/>
      <c r="AD118" s="7"/>
      <c r="AE118" s="7"/>
      <c r="AF118" s="145" t="s">
        <v>246</v>
      </c>
      <c r="AG118" s="145"/>
      <c r="AH118" s="145"/>
      <c r="AI118" s="145"/>
      <c r="AJ118" s="145"/>
      <c r="AK118" s="145"/>
      <c r="AL118" s="145"/>
      <c r="AM118" s="145"/>
      <c r="AN118" s="145"/>
      <c r="AO118" s="7"/>
    </row>
    <row r="119" customFormat="false" ht="16.5" hidden="false" customHeight="true" outlineLevel="0" collapsed="false">
      <c r="AB119" s="7"/>
      <c r="AC119" s="7"/>
      <c r="AD119" s="7"/>
      <c r="AE119" s="7"/>
      <c r="AF119" s="146" t="s">
        <v>247</v>
      </c>
      <c r="AG119" s="146"/>
      <c r="AH119" s="146"/>
      <c r="AI119" s="146"/>
      <c r="AJ119" s="146"/>
      <c r="AK119" s="146"/>
      <c r="AL119" s="146"/>
      <c r="AM119" s="146"/>
      <c r="AN119" s="146"/>
      <c r="AO119" s="7"/>
    </row>
    <row r="120" customFormat="false" ht="17.35" hidden="false" customHeight="false" outlineLevel="0" collapsed="false">
      <c r="AB120" s="137"/>
      <c r="AC120" s="7"/>
      <c r="AD120" s="7"/>
      <c r="AE120" s="7"/>
      <c r="AF120" s="137" t="s">
        <v>248</v>
      </c>
      <c r="AG120" s="7"/>
      <c r="AH120" s="7"/>
      <c r="AI120" s="7"/>
      <c r="AJ120" s="7"/>
      <c r="AK120" s="7"/>
      <c r="AL120" s="7"/>
      <c r="AM120" s="7"/>
      <c r="AN120" s="7"/>
      <c r="AO120" s="7"/>
    </row>
    <row r="121" customFormat="false" ht="14.25" hidden="false" customHeight="false" outlineLevel="0" collapsed="false">
      <c r="AB121" s="7"/>
      <c r="AC121" s="7"/>
      <c r="AD121" s="7"/>
      <c r="AE121" s="7"/>
      <c r="AF121" s="7" t="s">
        <v>249</v>
      </c>
      <c r="AG121" s="7"/>
      <c r="AH121" s="7"/>
      <c r="AI121" s="7"/>
      <c r="AJ121" s="7"/>
      <c r="AK121" s="7"/>
      <c r="AL121" s="7"/>
      <c r="AM121" s="7"/>
      <c r="AN121" s="7"/>
      <c r="AO121" s="7"/>
    </row>
    <row r="122" customFormat="false" ht="14.25" hidden="false" customHeight="false" outlineLevel="0" collapsed="false">
      <c r="AB122" s="7"/>
      <c r="AC122" s="7"/>
      <c r="AD122" s="7"/>
      <c r="AE122" s="7"/>
      <c r="AF122" s="7" t="s">
        <v>250</v>
      </c>
      <c r="AG122" s="7"/>
      <c r="AH122" s="7"/>
      <c r="AI122" s="7"/>
      <c r="AJ122" s="7"/>
      <c r="AK122" s="7"/>
      <c r="AL122" s="7"/>
      <c r="AM122" s="7"/>
      <c r="AN122" s="7"/>
      <c r="AO122" s="7"/>
    </row>
    <row r="123" customFormat="false" ht="14.25" hidden="false" customHeight="false" outlineLevel="0" collapsed="false"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customFormat="false" ht="14.25" hidden="false" customHeight="false" outlineLevel="0" collapsed="false"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customFormat="false" ht="14.25" hidden="false" customHeight="false" outlineLevel="0" collapsed="false"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</sheetData>
  <autoFilter ref="A4:BG53">
    <sortState ref="A5:BG53">
      <sortCondition ref="A5:A53" customList=""/>
    </sortState>
  </autoFilter>
  <mergeCells count="11">
    <mergeCell ref="O3:Y3"/>
    <mergeCell ref="AA3:AN3"/>
    <mergeCell ref="AO3:AR3"/>
    <mergeCell ref="AS3:AV3"/>
    <mergeCell ref="AS94:AZ94"/>
    <mergeCell ref="AS95:AZ95"/>
    <mergeCell ref="AS96:AZ96"/>
    <mergeCell ref="AS97:AZ97"/>
    <mergeCell ref="AS98:AZ98"/>
    <mergeCell ref="AF118:AN118"/>
    <mergeCell ref="AF119:AN119"/>
  </mergeCells>
  <conditionalFormatting sqref="H54">
    <cfRule type="colorScale" priority="2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P54">
    <cfRule type="colorScale" priority="3">
      <colorScale>
        <cfvo type="min" val="0"/>
        <cfvo type="max" val="0"/>
        <color rgb="FFFFEF9C"/>
        <color rgb="FF63BE7B"/>
      </colorScale>
    </cfRule>
  </conditionalFormatting>
  <conditionalFormatting sqref="U54:V54">
    <cfRule type="colorScale" priority="4">
      <colorScale>
        <cfvo type="min" val="0"/>
        <cfvo type="max" val="0"/>
        <color rgb="FFFFEF9C"/>
        <color rgb="FF63BE7B"/>
      </colorScale>
    </cfRule>
  </conditionalFormatting>
  <conditionalFormatting sqref="I5:I53 I55">
    <cfRule type="colorScale" priority="5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Q5:Q53 Q55">
    <cfRule type="colorScale" priority="6">
      <colorScale>
        <cfvo type="min" val="0"/>
        <cfvo type="max" val="0"/>
        <color rgb="FFFFEF9C"/>
        <color rgb="FF63BE7B"/>
      </colorScale>
    </cfRule>
  </conditionalFormatting>
  <conditionalFormatting sqref="V5:W53 V55:W55">
    <cfRule type="colorScale" priority="7">
      <colorScale>
        <cfvo type="min" val="0"/>
        <cfvo type="max" val="0"/>
        <color rgb="FFFFEF9C"/>
        <color rgb="FF63BE7B"/>
      </colorScale>
    </cfRule>
  </conditionalFormatting>
  <printOptions headings="false" gridLines="false" gridLinesSet="true" horizontalCentered="false" verticalCentered="false"/>
  <pageMargins left="0.236111111111111" right="0.236111111111111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7" width="17.44"/>
    <col collapsed="false" customWidth="true" hidden="false" outlineLevel="0" max="3" min="3" style="13" width="11.44"/>
    <col collapsed="false" customWidth="true" hidden="false" outlineLevel="0" max="4" min="4" style="1" width="16.67"/>
  </cols>
  <sheetData>
    <row r="1" customFormat="false" ht="13.8" hidden="false" customHeight="false" outlineLevel="0" collapsed="false">
      <c r="A1" s="70" t="s">
        <v>67</v>
      </c>
      <c r="B1" s="82" t="n">
        <v>45799.6708333333</v>
      </c>
      <c r="C1" s="76" t="n">
        <v>1</v>
      </c>
      <c r="D1" s="83" t="n">
        <v>45798.6543402778</v>
      </c>
    </row>
    <row r="2" customFormat="false" ht="13.8" hidden="false" customHeight="false" outlineLevel="0" collapsed="false">
      <c r="A2" s="91" t="s">
        <v>70</v>
      </c>
      <c r="B2" s="82" t="n">
        <v>45799.6736111111</v>
      </c>
      <c r="C2" s="96" t="n">
        <v>1</v>
      </c>
      <c r="D2" s="100"/>
    </row>
    <row r="3" customFormat="false" ht="13.8" hidden="false" customHeight="false" outlineLevel="0" collapsed="false">
      <c r="A3" s="91" t="s">
        <v>72</v>
      </c>
      <c r="B3" s="82" t="n">
        <v>45799.6756944444</v>
      </c>
      <c r="C3" s="96" t="n">
        <v>1</v>
      </c>
      <c r="D3" s="100" t="n">
        <v>45798.7156365741</v>
      </c>
    </row>
    <row r="4" customFormat="false" ht="13.8" hidden="false" customHeight="false" outlineLevel="0" collapsed="false">
      <c r="A4" s="91" t="s">
        <v>73</v>
      </c>
      <c r="B4" s="82" t="n">
        <v>45799.6694444444</v>
      </c>
      <c r="C4" s="96" t="n">
        <v>-1</v>
      </c>
      <c r="D4" s="100"/>
    </row>
    <row r="5" customFormat="false" ht="13.8" hidden="false" customHeight="false" outlineLevel="0" collapsed="false">
      <c r="A5" s="91" t="s">
        <v>75</v>
      </c>
      <c r="B5" s="82" t="n">
        <v>45799.68125</v>
      </c>
      <c r="C5" s="96" t="n">
        <v>-1</v>
      </c>
      <c r="D5" s="100"/>
    </row>
    <row r="6" customFormat="false" ht="13.8" hidden="false" customHeight="false" outlineLevel="0" collapsed="false">
      <c r="A6" s="91" t="s">
        <v>77</v>
      </c>
      <c r="B6" s="82" t="n">
        <v>45799.6826388889</v>
      </c>
      <c r="C6" s="96" t="n">
        <v>-1</v>
      </c>
      <c r="D6" s="100" t="n">
        <v>45798.7506712963</v>
      </c>
    </row>
    <row r="7" customFormat="false" ht="13.8" hidden="false" customHeight="false" outlineLevel="0" collapsed="false">
      <c r="A7" s="91" t="s">
        <v>79</v>
      </c>
      <c r="B7" s="82" t="n">
        <v>45799.6840277778</v>
      </c>
      <c r="C7" s="96" t="n">
        <v>-1</v>
      </c>
      <c r="D7" s="100" t="n">
        <v>45798.9043171296</v>
      </c>
    </row>
    <row r="8" customFormat="false" ht="13.8" hidden="false" customHeight="false" outlineLevel="0" collapsed="false">
      <c r="A8" s="91" t="s">
        <v>81</v>
      </c>
      <c r="B8" s="82" t="n">
        <v>45799.6673611111</v>
      </c>
      <c r="C8" s="96" t="n">
        <v>1</v>
      </c>
      <c r="D8" s="100"/>
    </row>
    <row r="9" customFormat="false" ht="13.8" hidden="false" customHeight="false" outlineLevel="0" collapsed="false">
      <c r="A9" s="91" t="s">
        <v>83</v>
      </c>
      <c r="B9" s="82" t="n">
        <v>45799.66875</v>
      </c>
      <c r="C9" s="96" t="n">
        <v>-1</v>
      </c>
      <c r="D9" s="100"/>
    </row>
    <row r="10" customFormat="false" ht="13.8" hidden="false" customHeight="false" outlineLevel="0" collapsed="false">
      <c r="A10" s="91" t="s">
        <v>87</v>
      </c>
      <c r="B10" s="82" t="n">
        <v>45799.6756944444</v>
      </c>
      <c r="C10" s="96" t="n">
        <v>-1</v>
      </c>
      <c r="D10" s="100" t="n">
        <v>45799.0767013889</v>
      </c>
    </row>
    <row r="11" customFormat="false" ht="13.8" hidden="false" customHeight="false" outlineLevel="0" collapsed="false">
      <c r="A11" s="91" t="s">
        <v>88</v>
      </c>
      <c r="B11" s="82" t="n">
        <v>45799.6743055556</v>
      </c>
      <c r="C11" s="96" t="n">
        <v>-1</v>
      </c>
      <c r="D11" s="100" t="n">
        <v>45799.5332407407</v>
      </c>
    </row>
    <row r="12" customFormat="false" ht="13.8" hidden="false" customHeight="false" outlineLevel="0" collapsed="false">
      <c r="A12" s="91" t="s">
        <v>90</v>
      </c>
      <c r="B12" s="82" t="n">
        <v>45799.6763888889</v>
      </c>
      <c r="C12" s="96" t="n">
        <v>1</v>
      </c>
      <c r="D12" s="100"/>
    </row>
    <row r="13" customFormat="false" ht="13.8" hidden="false" customHeight="false" outlineLevel="0" collapsed="false">
      <c r="A13" s="91" t="s">
        <v>91</v>
      </c>
      <c r="B13" s="82" t="n">
        <v>45799.6791666667</v>
      </c>
      <c r="C13" s="96" t="n">
        <v>1</v>
      </c>
      <c r="D13" s="100"/>
    </row>
    <row r="14" customFormat="false" ht="13.8" hidden="false" customHeight="false" outlineLevel="0" collapsed="false">
      <c r="A14" s="91" t="s">
        <v>82</v>
      </c>
      <c r="B14" s="82" t="n">
        <v>45799.6701388889</v>
      </c>
      <c r="C14" s="96" t="n">
        <v>1</v>
      </c>
      <c r="D14" s="100"/>
    </row>
    <row r="15" customFormat="false" ht="13.8" hidden="false" customHeight="false" outlineLevel="0" collapsed="false">
      <c r="A15" s="91" t="s">
        <v>94</v>
      </c>
      <c r="B15" s="82" t="n">
        <v>45799.675</v>
      </c>
      <c r="C15" s="96" t="n">
        <v>-1</v>
      </c>
      <c r="D15" s="100" t="n">
        <v>45798.8103240741</v>
      </c>
    </row>
    <row r="16" customFormat="false" ht="13.8" hidden="false" customHeight="false" outlineLevel="0" collapsed="false">
      <c r="A16" s="91" t="s">
        <v>89</v>
      </c>
      <c r="B16" s="82" t="n">
        <v>45799.6819444444</v>
      </c>
      <c r="C16" s="96" t="n">
        <v>1</v>
      </c>
      <c r="D16" s="100" t="n">
        <v>45799.1014583333</v>
      </c>
    </row>
    <row r="17" customFormat="false" ht="13.8" hidden="false" customHeight="false" outlineLevel="0" collapsed="false">
      <c r="A17" s="91" t="s">
        <v>98</v>
      </c>
      <c r="B17" s="82" t="n">
        <v>45799.6673611111</v>
      </c>
      <c r="C17" s="96" t="n">
        <v>1</v>
      </c>
      <c r="D17" s="100"/>
    </row>
    <row r="18" customFormat="false" ht="13.8" hidden="false" customHeight="false" outlineLevel="0" collapsed="false">
      <c r="A18" s="91" t="s">
        <v>92</v>
      </c>
      <c r="B18" s="82" t="n">
        <v>45799.6715277778</v>
      </c>
      <c r="C18" s="96" t="n">
        <v>1</v>
      </c>
      <c r="D18" s="100"/>
    </row>
    <row r="19" customFormat="false" ht="13.8" hidden="false" customHeight="false" outlineLevel="0" collapsed="false">
      <c r="A19" s="91" t="s">
        <v>80</v>
      </c>
      <c r="B19" s="82" t="n">
        <v>45799.6763888889</v>
      </c>
      <c r="C19" s="96" t="n">
        <v>-1</v>
      </c>
      <c r="D19" s="100" t="n">
        <v>45799.8872569444</v>
      </c>
    </row>
    <row r="20" customFormat="false" ht="13.8" hidden="false" customHeight="false" outlineLevel="0" collapsed="false">
      <c r="A20" s="91" t="s">
        <v>100</v>
      </c>
      <c r="B20" s="82" t="n">
        <v>45799.675</v>
      </c>
      <c r="C20" s="96" t="n">
        <v>1</v>
      </c>
      <c r="D20" s="100"/>
    </row>
    <row r="21" customFormat="false" ht="13.8" hidden="false" customHeight="false" outlineLevel="0" collapsed="false">
      <c r="A21" s="91" t="s">
        <v>86</v>
      </c>
      <c r="B21" s="82" t="n">
        <v>45799.6777777778</v>
      </c>
      <c r="C21" s="96" t="n">
        <v>-1</v>
      </c>
      <c r="D21" s="100" t="n">
        <v>45799.3325</v>
      </c>
    </row>
    <row r="22" customFormat="false" ht="13.8" hidden="false" customHeight="false" outlineLevel="0" collapsed="false">
      <c r="A22" s="91" t="s">
        <v>76</v>
      </c>
      <c r="B22" s="82" t="n">
        <v>45799.6784722222</v>
      </c>
      <c r="C22" s="96" t="n">
        <v>-1</v>
      </c>
      <c r="D22" s="100"/>
    </row>
    <row r="23" customFormat="false" ht="13.8" hidden="false" customHeight="false" outlineLevel="0" collapsed="false">
      <c r="A23" s="91" t="s">
        <v>101</v>
      </c>
      <c r="B23" s="82" t="n">
        <v>45799.6826388889</v>
      </c>
      <c r="C23" s="96" t="n">
        <v>-1</v>
      </c>
      <c r="D23" s="100"/>
    </row>
    <row r="24" customFormat="false" ht="13.8" hidden="false" customHeight="false" outlineLevel="0" collapsed="false">
      <c r="A24" s="91" t="s">
        <v>104</v>
      </c>
      <c r="B24" s="82" t="n">
        <v>45799.6694444444</v>
      </c>
      <c r="C24" s="96" t="n">
        <v>1</v>
      </c>
      <c r="D24" s="100" t="n">
        <v>45800.0094560185</v>
      </c>
    </row>
    <row r="25" customFormat="false" ht="13.8" hidden="false" customHeight="false" outlineLevel="0" collapsed="false">
      <c r="A25" s="91" t="s">
        <v>105</v>
      </c>
      <c r="B25" s="82" t="n">
        <v>45799.6833333333</v>
      </c>
      <c r="C25" s="96" t="n">
        <v>1</v>
      </c>
      <c r="D25" s="100" t="n">
        <v>45798.7045023148</v>
      </c>
    </row>
    <row r="26" customFormat="false" ht="13.8" hidden="false" customHeight="false" outlineLevel="0" collapsed="false">
      <c r="A26" s="91" t="s">
        <v>99</v>
      </c>
      <c r="B26" s="82" t="n">
        <v>45799.6819444444</v>
      </c>
      <c r="C26" s="96" t="n">
        <v>-1</v>
      </c>
      <c r="D26" s="100"/>
    </row>
    <row r="27" customFormat="false" ht="13.8" hidden="false" customHeight="false" outlineLevel="0" collapsed="false">
      <c r="A27" s="91" t="s">
        <v>103</v>
      </c>
      <c r="B27" s="82" t="n">
        <v>45799.6666666667</v>
      </c>
      <c r="C27" s="96" t="n">
        <v>1</v>
      </c>
      <c r="D27" s="100"/>
    </row>
    <row r="28" customFormat="false" ht="13.8" hidden="false" customHeight="false" outlineLevel="0" collapsed="false">
      <c r="A28" s="91" t="s">
        <v>106</v>
      </c>
      <c r="B28" s="82" t="n">
        <v>45799.6722222222</v>
      </c>
      <c r="C28" s="96" t="n">
        <v>1</v>
      </c>
      <c r="D28" s="100" t="n">
        <v>45799.6948842593</v>
      </c>
    </row>
    <row r="29" customFormat="false" ht="13.8" hidden="false" customHeight="false" outlineLevel="0" collapsed="false">
      <c r="A29" s="91" t="s">
        <v>71</v>
      </c>
      <c r="B29" s="82" t="n">
        <v>45799.6701388889</v>
      </c>
      <c r="C29" s="96" t="n">
        <v>-1</v>
      </c>
      <c r="D29" s="100"/>
    </row>
    <row r="30" customFormat="false" ht="13.8" hidden="false" customHeight="false" outlineLevel="0" collapsed="false">
      <c r="A30" s="91" t="s">
        <v>111</v>
      </c>
      <c r="B30" s="82" t="n">
        <v>45799.6770833333</v>
      </c>
      <c r="C30" s="96" t="n">
        <v>1</v>
      </c>
      <c r="D30" s="100"/>
    </row>
    <row r="31" customFormat="false" ht="13.8" hidden="false" customHeight="false" outlineLevel="0" collapsed="false">
      <c r="A31" s="91" t="s">
        <v>112</v>
      </c>
      <c r="B31" s="82" t="n">
        <v>45799.6673611111</v>
      </c>
      <c r="C31" s="96" t="n">
        <v>1</v>
      </c>
      <c r="D31" s="100" t="n">
        <v>45798.4532523148</v>
      </c>
    </row>
    <row r="32" customFormat="false" ht="13.8" hidden="false" customHeight="false" outlineLevel="0" collapsed="false">
      <c r="A32" s="91" t="s">
        <v>84</v>
      </c>
      <c r="B32" s="82" t="n">
        <v>45799.6743055556</v>
      </c>
      <c r="C32" s="96" t="n">
        <v>-1</v>
      </c>
      <c r="D32" s="100" t="n">
        <v>45799.0405902778</v>
      </c>
    </row>
    <row r="33" customFormat="false" ht="13.8" hidden="false" customHeight="false" outlineLevel="0" collapsed="false">
      <c r="A33" s="91" t="s">
        <v>74</v>
      </c>
      <c r="B33" s="82" t="n">
        <v>45799.6715277778</v>
      </c>
      <c r="C33" s="96" t="n">
        <v>-1</v>
      </c>
      <c r="D33" s="100" t="n">
        <v>45798.2470023148</v>
      </c>
    </row>
    <row r="34" customFormat="false" ht="13.8" hidden="false" customHeight="false" outlineLevel="0" collapsed="false">
      <c r="A34" s="91" t="s">
        <v>96</v>
      </c>
      <c r="B34" s="82" t="n">
        <v>45799.6722222222</v>
      </c>
      <c r="C34" s="96" t="n">
        <v>-1</v>
      </c>
      <c r="D34" s="100" t="n">
        <v>45799.6044212963</v>
      </c>
    </row>
    <row r="35" customFormat="false" ht="13.8" hidden="false" customHeight="false" outlineLevel="0" collapsed="false">
      <c r="A35" s="91" t="s">
        <v>114</v>
      </c>
      <c r="B35" s="82" t="n">
        <v>45799.6680555556</v>
      </c>
      <c r="C35" s="96" t="n">
        <v>1</v>
      </c>
      <c r="D35" s="100"/>
    </row>
    <row r="36" customFormat="false" ht="13.8" hidden="false" customHeight="false" outlineLevel="0" collapsed="false">
      <c r="A36" s="91" t="s">
        <v>93</v>
      </c>
      <c r="B36" s="82" t="n">
        <v>45799.6770833333</v>
      </c>
      <c r="C36" s="96" t="n">
        <v>-1</v>
      </c>
      <c r="D36" s="100"/>
    </row>
    <row r="37" customFormat="false" ht="13.8" hidden="false" customHeight="false" outlineLevel="0" collapsed="false">
      <c r="A37" s="91" t="s">
        <v>102</v>
      </c>
      <c r="B37" s="82" t="n">
        <v>45799.6701388889</v>
      </c>
      <c r="C37" s="96" t="n">
        <v>1</v>
      </c>
      <c r="D37" s="100" t="n">
        <v>45799.8260300926</v>
      </c>
    </row>
    <row r="38" customFormat="false" ht="13.8" hidden="false" customHeight="false" outlineLevel="0" collapsed="false">
      <c r="A38" s="91" t="s">
        <v>110</v>
      </c>
      <c r="B38" s="82" t="n">
        <v>45799.6763888889</v>
      </c>
      <c r="C38" s="96" t="n">
        <v>1</v>
      </c>
      <c r="D38" s="100"/>
    </row>
    <row r="39" customFormat="false" ht="13.8" hidden="false" customHeight="false" outlineLevel="0" collapsed="false">
      <c r="A39" s="91" t="s">
        <v>95</v>
      </c>
      <c r="B39" s="82" t="n">
        <v>45799.66875</v>
      </c>
      <c r="C39" s="96" t="n">
        <v>1</v>
      </c>
      <c r="D39" s="100" t="n">
        <v>45798.9312962963</v>
      </c>
    </row>
    <row r="40" customFormat="false" ht="13.8" hidden="false" customHeight="false" outlineLevel="0" collapsed="false">
      <c r="A40" s="91" t="s">
        <v>117</v>
      </c>
      <c r="B40" s="82" t="n">
        <v>45799.6833333333</v>
      </c>
      <c r="C40" s="96" t="n">
        <v>-1</v>
      </c>
      <c r="D40" s="100"/>
    </row>
    <row r="41" customFormat="false" ht="13.8" hidden="false" customHeight="false" outlineLevel="0" collapsed="false">
      <c r="A41" s="91" t="s">
        <v>108</v>
      </c>
      <c r="B41" s="82" t="n">
        <v>45799.6680555556</v>
      </c>
      <c r="C41" s="96" t="n">
        <v>1</v>
      </c>
      <c r="D41" s="100"/>
    </row>
    <row r="42" customFormat="false" ht="13.8" hidden="false" customHeight="false" outlineLevel="0" collapsed="false">
      <c r="A42" s="91" t="s">
        <v>115</v>
      </c>
      <c r="B42" s="82" t="n">
        <v>45799.6847222222</v>
      </c>
      <c r="C42" s="96" t="n">
        <v>-1</v>
      </c>
      <c r="D42" s="100" t="n">
        <v>45798.9019675926</v>
      </c>
    </row>
    <row r="43" customFormat="false" ht="13.8" hidden="false" customHeight="false" outlineLevel="0" collapsed="false">
      <c r="A43" s="91" t="s">
        <v>118</v>
      </c>
      <c r="B43" s="82" t="n">
        <v>45799.6791666667</v>
      </c>
      <c r="C43" s="96" t="n">
        <v>1</v>
      </c>
      <c r="D43" s="100" t="n">
        <v>45798.9082060185</v>
      </c>
    </row>
    <row r="44" customFormat="false" ht="13.8" hidden="false" customHeight="false" outlineLevel="0" collapsed="false">
      <c r="A44" s="91" t="s">
        <v>113</v>
      </c>
      <c r="B44" s="82" t="n">
        <v>45799.6708333333</v>
      </c>
      <c r="C44" s="96" t="n">
        <v>1</v>
      </c>
      <c r="D44" s="100"/>
    </row>
    <row r="45" customFormat="false" ht="13.8" hidden="false" customHeight="false" outlineLevel="0" collapsed="false">
      <c r="A45" s="91" t="s">
        <v>68</v>
      </c>
      <c r="B45" s="82" t="n">
        <v>45799.6777777778</v>
      </c>
      <c r="C45" s="96" t="n">
        <v>-1</v>
      </c>
      <c r="D45" s="100" t="n">
        <v>45798.511724537</v>
      </c>
    </row>
    <row r="46" customFormat="false" ht="13.8" hidden="false" customHeight="false" outlineLevel="0" collapsed="false">
      <c r="A46" s="91" t="s">
        <v>78</v>
      </c>
      <c r="B46" s="82" t="n">
        <v>45799.6736111111</v>
      </c>
      <c r="C46" s="96" t="n">
        <v>1</v>
      </c>
      <c r="D46" s="100"/>
    </row>
    <row r="47" customFormat="false" ht="13.8" hidden="false" customHeight="false" outlineLevel="0" collapsed="false">
      <c r="A47" s="91" t="s">
        <v>107</v>
      </c>
      <c r="B47" s="82" t="n">
        <v>45799.6847222222</v>
      </c>
      <c r="C47" s="96" t="n">
        <v>-1</v>
      </c>
      <c r="D47" s="100" t="n">
        <v>45798.7746990741</v>
      </c>
    </row>
    <row r="48" customFormat="false" ht="13.8" hidden="false" customHeight="false" outlineLevel="0" collapsed="false">
      <c r="A48" s="91" t="s">
        <v>116</v>
      </c>
      <c r="B48" s="82" t="n">
        <v>45799.6729166667</v>
      </c>
      <c r="C48" s="96" t="n">
        <v>-1</v>
      </c>
      <c r="D48" s="100" t="n">
        <v>45799.0463310185</v>
      </c>
    </row>
    <row r="49" customFormat="false" ht="13.8" hidden="false" customHeight="false" outlineLevel="0" collapsed="false">
      <c r="A49" s="91" t="s">
        <v>109</v>
      </c>
      <c r="B49" s="82" t="n">
        <v>45799.6784722222</v>
      </c>
      <c r="C49" s="96" t="n">
        <v>1</v>
      </c>
      <c r="D49" s="100" t="n">
        <v>45798.7252430556</v>
      </c>
    </row>
    <row r="50" customFormat="false" ht="13.8" hidden="false" customHeight="false" outlineLevel="0" collapsed="false">
      <c r="A50" s="106"/>
      <c r="B50" s="4"/>
      <c r="C50" s="125"/>
      <c r="D50" s="111"/>
    </row>
    <row r="51" customFormat="false" ht="13.8" hidden="false" customHeight="false" outlineLevel="0" collapsed="false">
      <c r="A51" s="91" t="s">
        <v>85</v>
      </c>
      <c r="B51" s="96" t="s">
        <v>204</v>
      </c>
      <c r="C51" s="96"/>
      <c r="D51" s="100"/>
    </row>
    <row r="52" customFormat="false" ht="13.8" hidden="false" customHeight="false" outlineLevel="0" collapsed="false">
      <c r="A52" s="7"/>
      <c r="D52" s="127"/>
    </row>
    <row r="53" customFormat="false" ht="13.8" hidden="false" customHeight="false" outlineLevel="0" collapsed="false">
      <c r="A53" s="7"/>
      <c r="B53" s="132"/>
      <c r="D53" s="132"/>
    </row>
    <row r="54" customFormat="false" ht="13.8" hidden="false" customHeight="false" outlineLevel="0" collapsed="false">
      <c r="A54" s="7"/>
      <c r="B54" s="131"/>
      <c r="D54" s="131"/>
    </row>
    <row r="55" customFormat="false" ht="13.8" hidden="false" customHeight="false" outlineLevel="0" collapsed="false">
      <c r="A55" s="7"/>
      <c r="B55" s="131"/>
      <c r="D55" s="131"/>
    </row>
    <row r="56" customFormat="false" ht="13.8" hidden="false" customHeight="false" outlineLevel="0" collapsed="false">
      <c r="A56" s="7"/>
      <c r="D56" s="127"/>
    </row>
    <row r="57" customFormat="false" ht="13.8" hidden="false" customHeight="false" outlineLevel="0" collapsed="false">
      <c r="A57" s="7"/>
      <c r="B57" s="135"/>
      <c r="D57" s="135"/>
    </row>
    <row r="58" customFormat="false" ht="13.8" hidden="false" customHeight="false" outlineLevel="0" collapsed="false">
      <c r="A58" s="7"/>
      <c r="B58" s="133"/>
      <c r="D58" s="133"/>
    </row>
    <row r="59" customFormat="false" ht="13.8" hidden="false" customHeight="false" outlineLevel="0" collapsed="false">
      <c r="A59" s="7"/>
      <c r="B59" s="133"/>
      <c r="D59" s="133"/>
    </row>
    <row r="60" customFormat="false" ht="13.8" hidden="false" customHeight="false" outlineLevel="0" collapsed="false">
      <c r="A60" s="7"/>
      <c r="B60" s="133"/>
      <c r="D60" s="133"/>
    </row>
    <row r="61" customFormat="false" ht="13.8" hidden="false" customHeight="false" outlineLevel="0" collapsed="false">
      <c r="A61" s="7"/>
      <c r="B61" s="136"/>
      <c r="D61" s="136"/>
    </row>
    <row r="62" customFormat="false" ht="13.8" hidden="false" customHeight="false" outlineLevel="0" collapsed="false">
      <c r="A62" s="7"/>
      <c r="B62" s="135"/>
      <c r="D62" s="135"/>
    </row>
    <row r="63" customFormat="false" ht="13.8" hidden="false" customHeight="false" outlineLevel="0" collapsed="false">
      <c r="A63" s="7"/>
      <c r="B63" s="133"/>
      <c r="D63" s="133"/>
    </row>
    <row r="64" customFormat="false" ht="13.8" hidden="false" customHeight="false" outlineLevel="0" collapsed="false">
      <c r="A64" s="7"/>
      <c r="B64" s="133"/>
      <c r="D64" s="133"/>
    </row>
    <row r="65" customFormat="false" ht="13.8" hidden="false" customHeight="false" outlineLevel="0" collapsed="false">
      <c r="A65" s="7"/>
      <c r="B65" s="133"/>
      <c r="D65" s="133"/>
    </row>
    <row r="66" customFormat="false" ht="13.8" hidden="false" customHeight="false" outlineLevel="0" collapsed="false">
      <c r="A66" s="7"/>
      <c r="B66" s="136"/>
      <c r="D66" s="136"/>
    </row>
    <row r="67" customFormat="false" ht="13.8" hidden="false" customHeight="false" outlineLevel="0" collapsed="false">
      <c r="A67" s="7"/>
      <c r="B67" s="135"/>
      <c r="D67" s="135"/>
    </row>
    <row r="68" customFormat="false" ht="13.8" hidden="false" customHeight="false" outlineLevel="0" collapsed="false">
      <c r="A68" s="7"/>
      <c r="B68" s="133"/>
      <c r="D68" s="133"/>
    </row>
    <row r="69" customFormat="false" ht="13.8" hidden="false" customHeight="false" outlineLevel="0" collapsed="false">
      <c r="A69" s="7"/>
      <c r="B69" s="133"/>
      <c r="D69" s="133"/>
    </row>
    <row r="70" customFormat="false" ht="13.8" hidden="false" customHeight="false" outlineLevel="0" collapsed="false">
      <c r="A70" s="7"/>
      <c r="B70" s="133"/>
      <c r="D70" s="133"/>
    </row>
    <row r="71" customFormat="false" ht="13.8" hidden="false" customHeight="false" outlineLevel="0" collapsed="false">
      <c r="A71" s="7"/>
      <c r="B71" s="136"/>
      <c r="D71" s="136"/>
    </row>
    <row r="72" customFormat="false" ht="13.8" hidden="false" customHeight="false" outlineLevel="0" collapsed="false">
      <c r="A72" s="7"/>
      <c r="B72" s="135"/>
      <c r="D72" s="135"/>
    </row>
    <row r="73" customFormat="false" ht="13.8" hidden="false" customHeight="false" outlineLevel="0" collapsed="false">
      <c r="A73" s="7"/>
      <c r="B73" s="133"/>
      <c r="D73" s="133"/>
    </row>
    <row r="74" customFormat="false" ht="13.8" hidden="false" customHeight="false" outlineLevel="0" collapsed="false">
      <c r="A74" s="7"/>
      <c r="B74" s="133"/>
      <c r="D74" s="133"/>
    </row>
    <row r="75" customFormat="false" ht="13.8" hidden="false" customHeight="false" outlineLevel="0" collapsed="false">
      <c r="A75" s="7"/>
      <c r="B75" s="133"/>
      <c r="D75" s="133"/>
    </row>
    <row r="76" customFormat="false" ht="13.8" hidden="false" customHeight="false" outlineLevel="0" collapsed="false">
      <c r="A76" s="7"/>
      <c r="B76" s="136"/>
      <c r="D76" s="136"/>
    </row>
    <row r="77" customFormat="false" ht="13.8" hidden="false" customHeight="false" outlineLevel="0" collapsed="false">
      <c r="A77" s="7"/>
      <c r="B77" s="135"/>
      <c r="D77" s="135"/>
    </row>
    <row r="78" customFormat="false" ht="13.8" hidden="false" customHeight="false" outlineLevel="0" collapsed="false">
      <c r="A78" s="7"/>
      <c r="B78" s="133"/>
      <c r="D78" s="133"/>
    </row>
    <row r="79" customFormat="false" ht="13.8" hidden="false" customHeight="false" outlineLevel="0" collapsed="false">
      <c r="A79" s="7"/>
      <c r="B79" s="133"/>
      <c r="D79" s="133"/>
    </row>
    <row r="80" customFormat="false" ht="13.8" hidden="false" customHeight="false" outlineLevel="0" collapsed="false">
      <c r="A80" s="7"/>
      <c r="B80" s="133"/>
      <c r="D80" s="133"/>
    </row>
    <row r="81" customFormat="false" ht="13.8" hidden="false" customHeight="false" outlineLevel="0" collapsed="false">
      <c r="A81" s="7"/>
      <c r="D81" s="7"/>
    </row>
    <row r="82" customFormat="false" ht="13.8" hidden="false" customHeight="false" outlineLevel="0" collapsed="false">
      <c r="A82" s="7"/>
      <c r="B82" s="135"/>
      <c r="D82" s="135"/>
    </row>
    <row r="83" customFormat="false" ht="13.8" hidden="false" customHeight="false" outlineLevel="0" collapsed="false">
      <c r="A83" s="7"/>
      <c r="B83" s="133"/>
      <c r="D83" s="133"/>
    </row>
    <row r="84" customFormat="false" ht="13.8" hidden="false" customHeight="false" outlineLevel="0" collapsed="false">
      <c r="A84" s="7"/>
      <c r="B84" s="133"/>
      <c r="D84" s="133"/>
    </row>
    <row r="85" customFormat="false" ht="13.8" hidden="false" customHeight="false" outlineLevel="0" collapsed="false">
      <c r="A85" s="7"/>
      <c r="B85" s="133"/>
      <c r="D85" s="133"/>
    </row>
    <row r="86" customFormat="false" ht="13.8" hidden="false" customHeight="false" outlineLevel="0" collapsed="false">
      <c r="A86" s="7"/>
      <c r="D86" s="127"/>
    </row>
    <row r="87" customFormat="false" ht="13.8" hidden="false" customHeight="false" outlineLevel="0" collapsed="false">
      <c r="A87" s="7"/>
      <c r="D87" s="127"/>
    </row>
    <row r="88" customFormat="false" ht="13.8" hidden="false" customHeight="false" outlineLevel="0" collapsed="false">
      <c r="A88" s="7"/>
      <c r="D88" s="127"/>
    </row>
    <row r="89" customFormat="false" ht="17.35" hidden="false" customHeight="false" outlineLevel="0" collapsed="false">
      <c r="C89" s="138"/>
      <c r="D89" s="137"/>
    </row>
    <row r="90" customFormat="false" ht="13.8" hidden="false" customHeight="false" outlineLevel="0" collapsed="false">
      <c r="C90" s="139"/>
    </row>
    <row r="91" customFormat="false" ht="13.8" hidden="false" customHeight="false" outlineLevel="0" collapsed="false">
      <c r="C91" s="140"/>
      <c r="D91" s="7"/>
    </row>
    <row r="92" customFormat="false" ht="13.8" hidden="false" customHeight="false" outlineLevel="0" collapsed="false">
      <c r="C92" s="139"/>
      <c r="D92" s="7"/>
    </row>
    <row r="93" customFormat="false" ht="13.8" hidden="false" customHeight="false" outlineLevel="0" collapsed="false">
      <c r="C93" s="140"/>
      <c r="D93" s="7"/>
    </row>
    <row r="94" customFormat="false" ht="13.8" hidden="false" customHeight="false" outlineLevel="0" collapsed="false">
      <c r="C94" s="139"/>
      <c r="D94" s="7"/>
    </row>
    <row r="95" customFormat="false" ht="17.35" hidden="false" customHeight="false" outlineLevel="0" collapsed="false">
      <c r="D95" s="137"/>
    </row>
    <row r="97" customFormat="false" ht="13.8" hidden="false" customHeight="false" outlineLevel="0" collapsed="false">
      <c r="D97" s="7"/>
    </row>
    <row r="98" customFormat="false" ht="13.8" hidden="false" customHeight="false" outlineLevel="0" collapsed="false">
      <c r="D98" s="7"/>
    </row>
    <row r="99" customFormat="false" ht="13.8" hidden="false" customHeight="false" outlineLevel="0" collapsed="false">
      <c r="D99" s="7"/>
    </row>
    <row r="100" customFormat="false" ht="13.8" hidden="false" customHeight="false" outlineLevel="0" collapsed="false">
      <c r="D100" s="7"/>
    </row>
    <row r="101" customFormat="false" ht="17.35" hidden="false" customHeight="false" outlineLevel="0" collapsed="false">
      <c r="D101" s="137"/>
    </row>
    <row r="103" customFormat="false" ht="13.8" hidden="false" customHeight="false" outlineLevel="0" collapsed="false">
      <c r="D103" s="7"/>
    </row>
    <row r="104" customFormat="false" ht="13.8" hidden="false" customHeight="false" outlineLevel="0" collapsed="false">
      <c r="D104" s="7"/>
    </row>
    <row r="105" customFormat="false" ht="13.8" hidden="false" customHeight="false" outlineLevel="0" collapsed="false">
      <c r="D105" s="7"/>
    </row>
    <row r="106" customFormat="false" ht="13.8" hidden="false" customHeight="false" outlineLevel="0" collapsed="false">
      <c r="D106" s="7"/>
    </row>
    <row r="107" customFormat="false" ht="17.35" hidden="false" customHeight="false" outlineLevel="0" collapsed="false">
      <c r="D107" s="137"/>
    </row>
    <row r="109" customFormat="false" ht="13.8" hidden="false" customHeight="false" outlineLevel="0" collapsed="false">
      <c r="D109" s="7"/>
    </row>
    <row r="110" customFormat="false" ht="17.35" hidden="false" customHeight="false" outlineLevel="0" collapsed="false">
      <c r="D110" s="7"/>
      <c r="E110" s="145"/>
      <c r="F110" s="145"/>
      <c r="G110" s="145"/>
      <c r="H110" s="145"/>
      <c r="I110" s="145"/>
      <c r="J110" s="145"/>
      <c r="K110" s="145"/>
      <c r="L110" s="145"/>
    </row>
    <row r="111" customFormat="false" ht="17.35" hidden="false" customHeight="false" outlineLevel="0" collapsed="false">
      <c r="D111" s="7"/>
      <c r="E111" s="146"/>
      <c r="F111" s="146"/>
      <c r="G111" s="146"/>
      <c r="H111" s="146"/>
      <c r="I111" s="146"/>
      <c r="J111" s="146"/>
      <c r="K111" s="146"/>
      <c r="L111" s="146"/>
    </row>
    <row r="112" customFormat="false" ht="13.8" hidden="false" customHeight="false" outlineLevel="0" collapsed="false">
      <c r="D112" s="7"/>
    </row>
    <row r="113" customFormat="false" ht="13.8" hidden="false" customHeight="false" outlineLevel="0" collapsed="false">
      <c r="D113" s="7"/>
    </row>
    <row r="114" customFormat="false" ht="17.35" hidden="false" customHeight="false" outlineLevel="0" collapsed="false">
      <c r="D114" s="145"/>
      <c r="E114" s="145"/>
      <c r="F114" s="145"/>
      <c r="G114" s="145"/>
      <c r="H114" s="145"/>
      <c r="I114" s="145"/>
      <c r="J114" s="145"/>
      <c r="K114" s="145"/>
      <c r="L114" s="145"/>
    </row>
    <row r="115" customFormat="false" ht="17.35" hidden="false" customHeight="false" outlineLevel="0" collapsed="false">
      <c r="D115" s="146"/>
      <c r="E115" s="146"/>
      <c r="F115" s="146"/>
      <c r="G115" s="146"/>
      <c r="H115" s="146"/>
      <c r="I115" s="146"/>
      <c r="J115" s="146"/>
      <c r="K115" s="146"/>
      <c r="L115" s="146"/>
    </row>
    <row r="116" customFormat="false" ht="17.35" hidden="false" customHeight="false" outlineLevel="0" collapsed="false">
      <c r="D116" s="137"/>
    </row>
    <row r="117" customFormat="false" ht="13.8" hidden="false" customHeight="false" outlineLevel="0" collapsed="false">
      <c r="D117" s="7"/>
    </row>
    <row r="118" customFormat="false" ht="13.8" hidden="false" customHeight="false" outlineLevel="0" collapsed="false">
      <c r="D118" s="7"/>
    </row>
    <row r="119" customFormat="false" ht="13.8" hidden="false" customHeight="false" outlineLevel="0" collapsed="false">
      <c r="D119" s="7"/>
    </row>
    <row r="120" customFormat="false" ht="13.8" hidden="false" customHeight="false" outlineLevel="0" collapsed="false">
      <c r="D120" s="7"/>
    </row>
    <row r="121" customFormat="false" ht="13.8" hidden="false" customHeight="false" outlineLevel="0" collapsed="false">
      <c r="D121" s="7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D114:L114"/>
    <mergeCell ref="D115:L1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2022-03-24T18:29:19Z</dcterms:created>
  <dc:creator>Nathalie</dc:creator>
  <dc:description/>
  <dc:language>fr-FR</dc:language>
  <cp:lastModifiedBy/>
  <cp:lastPrinted>2022-03-24T19:24:57Z</cp:lastPrinted>
  <dcterms:modified xsi:type="dcterms:W3CDTF">2026-07-16T11:07:19Z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