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_rels/chart2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fos protocole" sheetId="1" state="visible" r:id="rId3"/>
    <sheet name="Planning" sheetId="2" state="visible" r:id="rId4"/>
    <sheet name="Correspondance Tags" sheetId="3" state="visible" r:id="rId5"/>
    <sheet name="Data Activité Béliers" sheetId="4" state="visible" r:id="rId6"/>
    <sheet name="Data Détecteur IA" sheetId="5" state="visible" r:id="rId7"/>
    <sheet name="IA" sheetId="6" state="visible" r:id="rId8"/>
    <sheet name="All Data EM La Fage 2023" sheetId="7" state="visible" r:id="rId9"/>
  </sheets>
  <externalReferences>
    <externalReference r:id="rId10"/>
  </externalReferences>
  <definedNames>
    <definedName function="false" hidden="true" localSheetId="6" name="_xlnm._FilterDatabase" vbProcedure="false">'All Data EM La Fage 2023'!$G$4:$BD$52</definedName>
    <definedName function="false" hidden="true" localSheetId="4" name="_xlnm._FilterDatabase" vbProcedure="false">'Data Détecteur IA'!$A$1:$O$938</definedName>
    <definedName function="false" hidden="false" localSheetId="3" name="_1317755739475482419_13_07_24" vbProcedure="false">'Data Activité Béliers'!$A$1:$I$78</definedName>
    <definedName function="false" hidden="false" localSheetId="3" name="_1317755739475482419_13_07_25" vbProcedure="false">'Data Activité Béliers'!$A$1:$I$78</definedName>
    <definedName function="false" hidden="false" localSheetId="3" name="_16_06_100" vbProcedure="false">'Data Activité Béliers'!$A$1:$L$308</definedName>
    <definedName function="false" hidden="false" localSheetId="3" name="_16_06_101" vbProcedure="false">'Data Activité Béliers'!$A$1:$L$130</definedName>
    <definedName function="false" hidden="false" localSheetId="3" name="_16_06_102" vbProcedure="false">'Data Activité Béliers'!$A$1:$L$130</definedName>
    <definedName function="false" hidden="false" localSheetId="3" name="_16_06_103" vbProcedure="false">'Data Activité Béliers'!$A$1:$L$130</definedName>
    <definedName function="false" hidden="false" localSheetId="3" name="_16_06_104" vbProcedure="false">'Data Activité Béliers'!$A$1:$L$308</definedName>
    <definedName function="false" hidden="false" localSheetId="3" name="_16_06_105" vbProcedure="false">'Data Activité Béliers'!$A$1:$L$130</definedName>
    <definedName function="false" hidden="false" localSheetId="3" name="_16_06_106" vbProcedure="false">'Data Activité Béliers'!$A$1:$L$420</definedName>
    <definedName function="false" hidden="false" localSheetId="3" name="_16_06_107" vbProcedure="false">'Data Activité Béliers'!$A$1:$L$130</definedName>
    <definedName function="false" hidden="false" localSheetId="3" name="_16_06_108" vbProcedure="false">'Data Activité Béliers'!$A$1:$L$130</definedName>
    <definedName function="false" hidden="false" localSheetId="3" name="_16_06_109" vbProcedure="false">'Data Activité Béliers'!$A$1:$L$130</definedName>
    <definedName function="false" hidden="false" localSheetId="3" name="_16_06_110" vbProcedure="false">'Data Activité Béliers'!$A$1:$L$130</definedName>
    <definedName function="false" hidden="false" localSheetId="3" name="_16_06_111" vbProcedure="false">'Data Activité Béliers'!$A$1:$L$130</definedName>
    <definedName function="false" hidden="false" localSheetId="3" name="_16_06_112" vbProcedure="false">'Data Activité Béliers'!$A$1:$L$308</definedName>
    <definedName function="false" hidden="false" localSheetId="3" name="_16_06_113" vbProcedure="false">'Data Activité Béliers'!$A$1:$L$420</definedName>
    <definedName function="false" hidden="false" localSheetId="3" name="_16_06_114" vbProcedure="false">'Data Activité Béliers'!$A$1:$L$420</definedName>
    <definedName function="false" hidden="false" localSheetId="3" name="_16_06_115" vbProcedure="false">'Data Activité Béliers'!$A$1:$L$420</definedName>
    <definedName function="false" hidden="false" localSheetId="3" name="_16_06_116" vbProcedure="false">'Data Activité Béliers'!$A$1:$L$130</definedName>
    <definedName function="false" hidden="false" localSheetId="3" name="_16_06_117" vbProcedure="false">'Data Activité Béliers'!$A$1:$L$308</definedName>
    <definedName function="false" hidden="false" localSheetId="3" name="_16_06_118" vbProcedure="false">'Data Activité Béliers'!$A$1:$L$414</definedName>
    <definedName function="false" hidden="false" localSheetId="3" name="_16_06_119" vbProcedure="false">'Data Activité Béliers'!$A$1:$L$308</definedName>
    <definedName function="false" hidden="false" localSheetId="3" name="_16_06_120" vbProcedure="false">'Data Activité Béliers'!$A$1:$L$308</definedName>
    <definedName function="false" hidden="false" localSheetId="3" name="_16_06_121" vbProcedure="false">'Data Activité Béliers'!$A$1:$L$130</definedName>
    <definedName function="false" hidden="false" localSheetId="3" name="_16_06_122" vbProcedure="false">'Data Activité Béliers'!$A$1:$L$308</definedName>
    <definedName function="false" hidden="false" localSheetId="3" name="_16_06_123" vbProcedure="false">'Data Activité Béliers'!$A$1:$L$130</definedName>
    <definedName function="false" hidden="false" localSheetId="3" name="_16_06_124" vbProcedure="false">'Data Activité Béliers'!$A$1:$L$420</definedName>
    <definedName function="false" hidden="false" localSheetId="3" name="_16_06_125" vbProcedure="false">'Data Activité Béliers'!$A$1:$L$420</definedName>
    <definedName function="false" hidden="false" localSheetId="3" name="_16_06_126" vbProcedure="false">'Data Activité Béliers'!$A$1:$L$420</definedName>
    <definedName function="false" hidden="false" localSheetId="3" name="_16_06_127" vbProcedure="false">'Data Activité Béliers'!$A$1:$L$308</definedName>
    <definedName function="false" hidden="false" localSheetId="3" name="_16_06_128" vbProcedure="false">'Data Activité Béliers'!$A$1:$L$420</definedName>
    <definedName function="false" hidden="false" localSheetId="3" name="_16_06_129" vbProcedure="false">'Data Activité Béliers'!$A$1:$L$130</definedName>
    <definedName function="false" hidden="false" localSheetId="3" name="_16_06_130" vbProcedure="false">'Data Activité Béliers'!$A$1:$L$420</definedName>
    <definedName function="false" hidden="false" localSheetId="3" name="_16_06_131" vbProcedure="false">'Data Activité Béliers'!$A$1:$L$308</definedName>
    <definedName function="false" hidden="false" localSheetId="3" name="_16_06_132" vbProcedure="false">'Data Activité Béliers'!$A$1:$L$308</definedName>
    <definedName function="false" hidden="false" localSheetId="3" name="_16_06_133" vbProcedure="false">'Data Activité Béliers'!$A$1:$L$308</definedName>
    <definedName function="false" hidden="false" localSheetId="3" name="_16_06_134" vbProcedure="false">'Data Activité Béliers'!$A$1:$L$308</definedName>
    <definedName function="false" hidden="false" localSheetId="3" name="_16_06_135" vbProcedure="false">'Data Activité Béliers'!$A$1:$L$130</definedName>
    <definedName function="false" hidden="false" localSheetId="3" name="_16_06_136" vbProcedure="false">'Data Activité Béliers'!$A$1:$L$130</definedName>
    <definedName function="false" hidden="false" localSheetId="3" name="_16_06_137" vbProcedure="false">'Data Activité Béliers'!$A$1:$L$420</definedName>
    <definedName function="false" hidden="false" localSheetId="3" name="_16_06_138" vbProcedure="false">'Data Activité Béliers'!$A$1:$L$130</definedName>
    <definedName function="false" hidden="false" localSheetId="3" name="_16_06_139" vbProcedure="false">'Data Activité Béliers'!$A$1:$L$308</definedName>
    <definedName function="false" hidden="false" localSheetId="3" name="_16_06_140" vbProcedure="false">'Data Activité Béliers'!$A$1:$L$420</definedName>
    <definedName function="false" hidden="false" localSheetId="3" name="_16_06_141" vbProcedure="false">'Data Activité Béliers'!$A$1:$L$308</definedName>
    <definedName function="false" hidden="false" localSheetId="3" name="_16_06_142" vbProcedure="false">'Data Activité Béliers'!$A$1:$L$420</definedName>
    <definedName function="false" hidden="false" localSheetId="3" name="_16_06_143" vbProcedure="false">'Data Activité Béliers'!$A$1:$L$420</definedName>
    <definedName function="false" hidden="false" localSheetId="3" name="_16_06_144" vbProcedure="false">'Data Activité Béliers'!$A$1:$L$130</definedName>
    <definedName function="false" hidden="false" localSheetId="3" name="_16_06_145" vbProcedure="false">'Data Activité Béliers'!$A$1:$L$420</definedName>
    <definedName function="false" hidden="false" localSheetId="3" name="_16_06_146" vbProcedure="false">'Data Activité Béliers'!$A$1:$L$420</definedName>
    <definedName function="false" hidden="false" localSheetId="3" name="_16_06_147" vbProcedure="false">'Data Activité Béliers'!$A$1:$L$420</definedName>
    <definedName function="false" hidden="false" localSheetId="3" name="_16_06_148" vbProcedure="false">'Data Activité Béliers'!$A$1:$L$420</definedName>
    <definedName function="false" hidden="false" localSheetId="3" name="_16_06_149" vbProcedure="false">'Data Activité Béliers'!$A$1:$L$420</definedName>
    <definedName function="false" hidden="false" localSheetId="3" name="_16_06_150" vbProcedure="false">'Data Activité Béliers'!$A$1:$L$308</definedName>
    <definedName function="false" hidden="false" localSheetId="3" name="_16_06_151" vbProcedure="false">'Data Activité Béliers'!$A$1:$L$420</definedName>
    <definedName function="false" hidden="false" localSheetId="3" name="_16_06_152" vbProcedure="false">'Data Activité Béliers'!$A$1:$L$420</definedName>
    <definedName function="false" hidden="false" localSheetId="3" name="_16_06_153" vbProcedure="false">'Data Activité Béliers'!$A$1:$L$308</definedName>
    <definedName function="false" hidden="false" localSheetId="3" name="_16_06_154" vbProcedure="false">'Data Activité Béliers'!$A$1:$L$308</definedName>
    <definedName function="false" hidden="false" localSheetId="3" name="_16_06_155" vbProcedure="false">'Data Activité Béliers'!$A$1:$L$414</definedName>
    <definedName function="false" hidden="false" localSheetId="3" name="_16_06_156" vbProcedure="false">'Data Activité Béliers'!$A$1:$L$420</definedName>
    <definedName function="false" hidden="false" localSheetId="3" name="_16_06_157" vbProcedure="false">'Data Activité Béliers'!$A$1:$L$420</definedName>
    <definedName function="false" hidden="false" localSheetId="3" name="_16_06_158" vbProcedure="false">'Data Activité Béliers'!$A$1:$L$130</definedName>
    <definedName function="false" hidden="false" localSheetId="3" name="_16_06_159" vbProcedure="false">'Data Activité Béliers'!$A$1:$L$308</definedName>
    <definedName function="false" hidden="false" localSheetId="3" name="_16_06_160" vbProcedure="false">'Data Activité Béliers'!$A$1:$L$420</definedName>
    <definedName function="false" hidden="false" localSheetId="3" name="_16_06_161" vbProcedure="false">'Data Activité Béliers'!$A$1:$L$420</definedName>
    <definedName function="false" hidden="false" localSheetId="3" name="_16_06_162" vbProcedure="false">'Data Activité Béliers'!$A$1:$L$308</definedName>
    <definedName function="false" hidden="false" localSheetId="3" name="_16_06_163" vbProcedure="false">'Data Activité Béliers'!$A$1:$L$308</definedName>
    <definedName function="false" hidden="false" localSheetId="3" name="_16_06_164" vbProcedure="false">'Data Activité Béliers'!$A$1:$L$308</definedName>
    <definedName function="false" hidden="false" localSheetId="3" name="_16_06_165" vbProcedure="false">'Data Activité Béliers'!$A$1:$L$130</definedName>
    <definedName function="false" hidden="false" localSheetId="3" name="_16_06_166" vbProcedure="false">'Data Activité Béliers'!$A$1:$L$130</definedName>
    <definedName function="false" hidden="false" localSheetId="3" name="_16_06_167" vbProcedure="false">'Data Activité Béliers'!$A$1:$L$420</definedName>
    <definedName function="false" hidden="false" localSheetId="3" name="_16_06_168" vbProcedure="false">'Data Activité Béliers'!$A$1:$L$308</definedName>
    <definedName function="false" hidden="false" localSheetId="3" name="_16_06_169" vbProcedure="false">'Data Activité Béliers'!$A$1:$L$420</definedName>
    <definedName function="false" hidden="false" localSheetId="3" name="_16_06_170" vbProcedure="false">'Data Activité Béliers'!$A$1:$L$130</definedName>
    <definedName function="false" hidden="false" localSheetId="3" name="_16_06_171" vbProcedure="false">'Data Activité Béliers'!$A$1:$L$420</definedName>
    <definedName function="false" hidden="false" localSheetId="3" name="_16_06_172" vbProcedure="false">'Data Activité Béliers'!$A$1:$L$420</definedName>
    <definedName function="false" hidden="false" localSheetId="3" name="_16_06_173" vbProcedure="false">'Data Activité Béliers'!$A$1:$L$420</definedName>
    <definedName function="false" hidden="false" localSheetId="3" name="_16_06_174" vbProcedure="false">'Data Activité Béliers'!$A$1:$L$414</definedName>
    <definedName function="false" hidden="false" localSheetId="3" name="_16_06_175" vbProcedure="false">'Data Activité Béliers'!$A$1:$L$308</definedName>
    <definedName function="false" hidden="false" localSheetId="3" name="_16_06_176" vbProcedure="false">'Data Activité Béliers'!$A$1:$L$308</definedName>
    <definedName function="false" hidden="false" localSheetId="3" name="_16_06_177" vbProcedure="false">'Data Activité Béliers'!$A$1:$L$420</definedName>
    <definedName function="false" hidden="false" localSheetId="3" name="_16_06_178" vbProcedure="false">'Data Activité Béliers'!$A$1:$L$420</definedName>
    <definedName function="false" hidden="false" localSheetId="3" name="_16_06_179" vbProcedure="false">'Data Activité Béliers'!$A$1:$L$308</definedName>
    <definedName function="false" hidden="false" localSheetId="3" name="_16_06_180" vbProcedure="false">'Data Activité Béliers'!$A$1:$L$420</definedName>
    <definedName function="false" hidden="false" localSheetId="3" name="_16_06_181" vbProcedure="false">'Data Activité Béliers'!$A$1:$L$420</definedName>
    <definedName function="false" hidden="false" localSheetId="3" name="_16_06_182" vbProcedure="false">'Data Activité Béliers'!$A$1:$L$420</definedName>
    <definedName function="false" hidden="false" localSheetId="3" name="_16_06_183" vbProcedure="false">'Data Activité Béliers'!$A$1:$L$420</definedName>
    <definedName function="false" hidden="false" localSheetId="3" name="_16_06_184" vbProcedure="false">'Data Activité Béliers'!$A$1:$L$420</definedName>
    <definedName function="false" hidden="false" localSheetId="3" name="_16_06_185" vbProcedure="false">'Data Activité Béliers'!$A$1:$L$130</definedName>
    <definedName function="false" hidden="false" localSheetId="3" name="_16_06_186" vbProcedure="false">'Data Activité Béliers'!$A$1:$L$420</definedName>
    <definedName function="false" hidden="false" localSheetId="3" name="_16_06_187" vbProcedure="false">'Data Activité Béliers'!$A$1:$L$420</definedName>
    <definedName function="false" hidden="false" localSheetId="3" name="_16_06_188" vbProcedure="false">'Data Activité Béliers'!$A$1:$L$308</definedName>
    <definedName function="false" hidden="false" localSheetId="3" name="_16_06_189" vbProcedure="false">'Data Activité Béliers'!$A$1:$L$420</definedName>
    <definedName function="false" hidden="false" localSheetId="3" name="_16_06_190" vbProcedure="false">'Data Activité Béliers'!$A$1:$L$308</definedName>
    <definedName function="false" hidden="false" localSheetId="3" name="_16_06_191" vbProcedure="false">'Data Activité Béliers'!$A$1:$L$130</definedName>
    <definedName function="false" hidden="false" localSheetId="3" name="_16_06_192" vbProcedure="false">'Data Activité Béliers'!$A$1:$L$420</definedName>
    <definedName function="false" hidden="false" localSheetId="3" name="_16_06_193" vbProcedure="false">'Data Activité Béliers'!$A$1:$L$130</definedName>
    <definedName function="false" hidden="false" localSheetId="3" name="_16_06_194" vbProcedure="false">'Data Activité Béliers'!$A$1:$L$130</definedName>
    <definedName function="false" hidden="false" localSheetId="3" name="_16_06_195" vbProcedure="false">'Data Activité Béliers'!$A$1:$L$308</definedName>
    <definedName function="false" hidden="false" localSheetId="3" name="_16_06_196" vbProcedure="false">'Data Activité Béliers'!$A$1:$L$308</definedName>
    <definedName function="false" hidden="false" localSheetId="3" name="_16_06_197" vbProcedure="false">'Data Activité Béliers'!$A$1:$L$308</definedName>
    <definedName function="false" hidden="false" localSheetId="3" name="_16_06_198" vbProcedure="false">'Data Activité Béliers'!$A$1:$L$308</definedName>
    <definedName function="false" hidden="false" localSheetId="3" name="_16_06_199" vbProcedure="false">'Data Activité Béliers'!$A$1:$L$420</definedName>
    <definedName function="false" hidden="false" localSheetId="3" name="_16_06_200" vbProcedure="false">'Data Activité Béliers'!$A$1:$L$130</definedName>
    <definedName function="false" hidden="false" localSheetId="3" name="_16_06_201" vbProcedure="false">'Data Activité Béliers'!$A$1:$L$420</definedName>
    <definedName function="false" hidden="false" localSheetId="3" name="_16_06_202" vbProcedure="false">'Data Activité Béliers'!$A$1:$L$308</definedName>
    <definedName function="false" hidden="false" localSheetId="3" name="_16_06_203" vbProcedure="false">'Data Activité Béliers'!$A$1:$L$420</definedName>
    <definedName function="false" hidden="false" localSheetId="3" name="_16_06_204" vbProcedure="false">'Data Activité Béliers'!$A$1:$L$420</definedName>
    <definedName function="false" hidden="false" localSheetId="3" name="_16_06_205" vbProcedure="false">'Data Activité Béliers'!$A$1:$L$420</definedName>
    <definedName function="false" hidden="false" localSheetId="3" name="_16_06_206" vbProcedure="false">'Data Activité Béliers'!$A$1:$L$130</definedName>
    <definedName function="false" hidden="false" localSheetId="3" name="_16_06_207" vbProcedure="false">'Data Activité Béliers'!$A$1:$L$308</definedName>
    <definedName function="false" hidden="false" localSheetId="3" name="_16_06_208" vbProcedure="false">'Data Activité Béliers'!$A$1:$L$130</definedName>
    <definedName function="false" hidden="false" localSheetId="3" name="_16_06_209" vbProcedure="false">'Data Activité Béliers'!$A$1:$L$308</definedName>
    <definedName function="false" hidden="false" localSheetId="3" name="_16_06_210" vbProcedure="false">'Data Activité Béliers'!$A$1:$L$308</definedName>
    <definedName function="false" hidden="false" localSheetId="3" name="_16_06_211" vbProcedure="false">'Data Activité Béliers'!$A$1:$L$414</definedName>
    <definedName function="false" hidden="false" localSheetId="3" name="_16_06_212" vbProcedure="false">'Data Activité Béliers'!$A$1:$L$308</definedName>
    <definedName function="false" hidden="false" localSheetId="3" name="_16_06_213" vbProcedure="false">'Data Activité Béliers'!$A$1:$L$130</definedName>
    <definedName function="false" hidden="false" localSheetId="3" name="_16_06_214" vbProcedure="false">'Data Activité Béliers'!$A$1:$L$420</definedName>
    <definedName function="false" hidden="false" localSheetId="3" name="_16_06_215" vbProcedure="false">'Data Activité Béliers'!$A$1:$L$420</definedName>
    <definedName function="false" hidden="false" localSheetId="3" name="_16_06_216" vbProcedure="false">'Data Activité Béliers'!$A$1:$L$420</definedName>
    <definedName function="false" hidden="false" localSheetId="3" name="_16_06_217" vbProcedure="false">'Data Activité Béliers'!$A$1:$L$308</definedName>
    <definedName function="false" hidden="false" localSheetId="3" name="_16_06_218" vbProcedure="false">'Data Activité Béliers'!$A$1:$L$130</definedName>
    <definedName function="false" hidden="false" localSheetId="3" name="_16_06_219" vbProcedure="false">'Data Activité Béliers'!$A$1:$L$308</definedName>
    <definedName function="false" hidden="false" localSheetId="3" name="_16_06_22" vbProcedure="false">'Data Activité Béliers'!$A$1:$L$265</definedName>
    <definedName function="false" hidden="false" localSheetId="3" name="_16_06_220" vbProcedure="false">'Data Activité Béliers'!$A$1:$L$420</definedName>
    <definedName function="false" hidden="false" localSheetId="3" name="_16_06_221" vbProcedure="false">'Data Activité Béliers'!$A$1:$L$420</definedName>
    <definedName function="false" hidden="false" localSheetId="3" name="_16_06_222" vbProcedure="false">'Data Activité Béliers'!$A$1:$L$308</definedName>
    <definedName function="false" hidden="false" localSheetId="3" name="_16_06_223" vbProcedure="false">'Data Activité Béliers'!$A$1:$L$308</definedName>
    <definedName function="false" hidden="false" localSheetId="3" name="_16_06_224" vbProcedure="false">'Data Activité Béliers'!$A$1:$L$308</definedName>
    <definedName function="false" hidden="false" localSheetId="3" name="_16_06_225" vbProcedure="false">'Data Activité Béliers'!$A$1:$L$130</definedName>
    <definedName function="false" hidden="false" localSheetId="3" name="_16_06_226" vbProcedure="false">'Data Activité Béliers'!$A$1:$L$130</definedName>
    <definedName function="false" hidden="false" localSheetId="3" name="_16_06_227" vbProcedure="false">'Data Activité Béliers'!$A$1:$L$420</definedName>
    <definedName function="false" hidden="false" localSheetId="3" name="_16_06_228" vbProcedure="false">'Data Activité Béliers'!$A$1:$L$308</definedName>
    <definedName function="false" hidden="false" localSheetId="3" name="_16_06_229" vbProcedure="false">'Data Activité Béliers'!$A$1:$L$420</definedName>
    <definedName function="false" hidden="false" localSheetId="3" name="_16_06_23" vbProcedure="false">'Data Activité Béliers'!$A$1:$L$265</definedName>
    <definedName function="false" hidden="false" localSheetId="3" name="_16_06_230" vbProcedure="false">'Data Activité Béliers'!$A$1:$L$130</definedName>
    <definedName function="false" hidden="false" localSheetId="3" name="_16_06_231" vbProcedure="false">'Data Activité Béliers'!$A$1:$L$420</definedName>
    <definedName function="false" hidden="false" localSheetId="3" name="_16_06_232" vbProcedure="false">'Data Activité Béliers'!$A$1:$L$130</definedName>
    <definedName function="false" hidden="false" localSheetId="3" name="_16_06_233" vbProcedure="false">'Data Activité Béliers'!$A$1:$L$420</definedName>
    <definedName function="false" hidden="false" localSheetId="3" name="_16_06_234" vbProcedure="false">'Data Activité Béliers'!$A$1:$L$308</definedName>
    <definedName function="false" hidden="false" localSheetId="3" name="_16_06_235" vbProcedure="false">'Data Activité Béliers'!$A$1:$L$130</definedName>
    <definedName function="false" hidden="false" localSheetId="3" name="_16_06_236" vbProcedure="false">'Data Activité Béliers'!$A$1:$L$130</definedName>
    <definedName function="false" hidden="false" localSheetId="3" name="_16_06_237" vbProcedure="false">'Data Activité Béliers'!$A$1:$L$130</definedName>
    <definedName function="false" hidden="false" localSheetId="3" name="_16_06_238" vbProcedure="false">'Data Activité Béliers'!$A$1:$L$308</definedName>
    <definedName function="false" hidden="false" localSheetId="3" name="_16_06_239" vbProcedure="false">'Data Activité Béliers'!$A$1:$L$130</definedName>
    <definedName function="false" hidden="false" localSheetId="3" name="_16_06_24" vbProcedure="false">'Data Activité Béliers'!$A$1:$L$377</definedName>
    <definedName function="false" hidden="false" localSheetId="3" name="_16_06_240" vbProcedure="false">'Data Activité Béliers'!$A$1:$L$420</definedName>
    <definedName function="false" hidden="false" localSheetId="3" name="_16_06_241" vbProcedure="false">'Data Activité Béliers'!$A$1:$L$130</definedName>
    <definedName function="false" hidden="false" localSheetId="3" name="_16_06_242" vbProcedure="false">'Data Activité Béliers'!$A$1:$L$130</definedName>
    <definedName function="false" hidden="false" localSheetId="3" name="_16_06_243" vbProcedure="false">'Data Activité Béliers'!$A$1:$L$130</definedName>
    <definedName function="false" hidden="false" localSheetId="3" name="_16_06_244" vbProcedure="false">'Data Activité Béliers'!$A$1:$L$130</definedName>
    <definedName function="false" hidden="false" localSheetId="3" name="_16_06_245" vbProcedure="false">'Data Activité Béliers'!$A$1:$L$130</definedName>
    <definedName function="false" hidden="false" localSheetId="3" name="_16_06_246" vbProcedure="false">'Data Activité Béliers'!$A$1:$L$420</definedName>
    <definedName function="false" hidden="false" localSheetId="3" name="_16_06_247" vbProcedure="false">'Data Activité Béliers'!$A$1:$L$130</definedName>
    <definedName function="false" hidden="false" localSheetId="3" name="_16_06_248" vbProcedure="false">'Data Activité Béliers'!$A$1:$L$308</definedName>
    <definedName function="false" hidden="false" localSheetId="3" name="_16_06_249" vbProcedure="false">'Data Activité Béliers'!$A$1:$L$420</definedName>
    <definedName function="false" hidden="false" localSheetId="3" name="_16_06_25" vbProcedure="false">'Data Activité Béliers'!$A$1:$L$377</definedName>
    <definedName function="false" hidden="false" localSheetId="3" name="_16_06_250" vbProcedure="false">'Data Activité Béliers'!$A$1:$L$420</definedName>
    <definedName function="false" hidden="false" localSheetId="3" name="_16_06_251" vbProcedure="false">'Data Activité Béliers'!$A$1:$L$130</definedName>
    <definedName function="false" hidden="false" localSheetId="3" name="_16_06_252" vbProcedure="false">'Data Activité Béliers'!$A$1:$L$130</definedName>
    <definedName function="false" hidden="false" localSheetId="3" name="_16_06_253" vbProcedure="false">'Data Activité Béliers'!$A$1:$L$130</definedName>
    <definedName function="false" hidden="false" localSheetId="3" name="_16_06_254" vbProcedure="false">'Data Activité Béliers'!$A$1:$L$420</definedName>
    <definedName function="false" hidden="false" localSheetId="3" name="_16_06_255" vbProcedure="false">'Data Activité Béliers'!$A$1:$L$130</definedName>
    <definedName function="false" hidden="false" localSheetId="3" name="_16_06_256" vbProcedure="false">'Data Activité Béliers'!$A$1:$L$130</definedName>
    <definedName function="false" hidden="false" localSheetId="3" name="_16_06_257" vbProcedure="false">'Data Activité Béliers'!$A$1:$L$420</definedName>
    <definedName function="false" hidden="false" localSheetId="3" name="_16_06_258" vbProcedure="false">'Data Activité Béliers'!$A$1:$L$130</definedName>
    <definedName function="false" hidden="false" localSheetId="3" name="_16_06_259" vbProcedure="false">'Data Activité Béliers'!$A$1:$L$130</definedName>
    <definedName function="false" hidden="false" localSheetId="3" name="_16_06_26" vbProcedure="false">'Data Activité Béliers'!$A$1:$L$377</definedName>
    <definedName function="false" hidden="false" localSheetId="3" name="_16_06_260" vbProcedure="false">'Data Activité Béliers'!$A$1:$L$420</definedName>
    <definedName function="false" hidden="false" localSheetId="3" name="_16_06_261" vbProcedure="false">'Data Activité Béliers'!$A$1:$L$308</definedName>
    <definedName function="false" hidden="false" localSheetId="3" name="_16_06_27" vbProcedure="false">'Data Activité Béliers'!$A$1:$L$377</definedName>
    <definedName function="false" hidden="false" localSheetId="3" name="_16_06_28" vbProcedure="false">'Data Activité Béliers'!$A$1:$L$377</definedName>
    <definedName function="false" hidden="false" localSheetId="3" name="_16_06_29" vbProcedure="false">'Data Activité Béliers'!$A$1:$L$377</definedName>
    <definedName function="false" hidden="false" localSheetId="3" name="_16_06_30" vbProcedure="false">'Data Activité Béliers'!$A$1:$L$129</definedName>
    <definedName function="false" hidden="false" localSheetId="3" name="_16_06_31" vbProcedure="false">'Data Activité Béliers'!$A$1:$L$129</definedName>
    <definedName function="false" hidden="false" localSheetId="3" name="_16_06_32" vbProcedure="false">'Data Activité Béliers'!$A$1:$L$129</definedName>
    <definedName function="false" hidden="false" localSheetId="3" name="_16_06_33" vbProcedure="false">'Data Activité Béliers'!$A$1:$L$129</definedName>
    <definedName function="false" hidden="false" localSheetId="3" name="_16_06_34" vbProcedure="false">'Data Activité Béliers'!$A$1:$L$129</definedName>
    <definedName function="false" hidden="false" localSheetId="3" name="_16_06_35" vbProcedure="false">'Data Activité Béliers'!$A$1:$L$129</definedName>
    <definedName function="false" hidden="false" localSheetId="3" name="_16_06_36" vbProcedure="false">'Data Activité Béliers'!$A$1:$L$130</definedName>
    <definedName function="false" hidden="false" localSheetId="3" name="_16_06_37" vbProcedure="false">'Data Activité Béliers'!$A$1:$L$130</definedName>
    <definedName function="false" hidden="false" localSheetId="3" name="_16_06_38" vbProcedure="false">'Data Activité Béliers'!$A$1:$L$308</definedName>
    <definedName function="false" hidden="false" localSheetId="3" name="_16_06_39" vbProcedure="false">'Data Activité Béliers'!$A$1:$L$420</definedName>
    <definedName function="false" hidden="false" localSheetId="3" name="_16_06_40" vbProcedure="false">'Data Activité Béliers'!$A$1:$L$420</definedName>
    <definedName function="false" hidden="false" localSheetId="3" name="_16_06_41" vbProcedure="false">'Data Activité Béliers'!$A$1:$L$308</definedName>
    <definedName function="false" hidden="false" localSheetId="3" name="_16_06_42" vbProcedure="false">'Data Activité Béliers'!$A$1:$L$420</definedName>
    <definedName function="false" hidden="false" localSheetId="3" name="_16_06_43" vbProcedure="false">'Data Activité Béliers'!$A$1:$L$308</definedName>
    <definedName function="false" hidden="false" localSheetId="3" name="_16_06_44" vbProcedure="false">'Data Activité Béliers'!$A$1:$L$130</definedName>
    <definedName function="false" hidden="false" localSheetId="3" name="_16_06_45" vbProcedure="false">'Data Activité Béliers'!$A$1:$L$308</definedName>
    <definedName function="false" hidden="false" localSheetId="3" name="_16_06_46" vbProcedure="false">'Data Activité Béliers'!$A$1:$L$414</definedName>
    <definedName function="false" hidden="false" localSheetId="3" name="_16_06_47" vbProcedure="false">'Data Activité Béliers'!$A$1:$L$420</definedName>
    <definedName function="false" hidden="false" localSheetId="3" name="_16_06_48" vbProcedure="false">'Data Activité Béliers'!$A$1:$L$308</definedName>
    <definedName function="false" hidden="false" localSheetId="3" name="_16_06_49" vbProcedure="false">'Data Activité Béliers'!$A$1:$L$420</definedName>
    <definedName function="false" hidden="false" localSheetId="3" name="_16_06_50" vbProcedure="false">'Data Activité Béliers'!$A$1:$L$420</definedName>
    <definedName function="false" hidden="false" localSheetId="3" name="_16_06_51" vbProcedure="false">'Data Activité Béliers'!$A$1:$L$420</definedName>
    <definedName function="false" hidden="false" localSheetId="3" name="_16_06_52" vbProcedure="false">'Data Activité Béliers'!$A$1:$L$308</definedName>
    <definedName function="false" hidden="false" localSheetId="3" name="_16_06_53" vbProcedure="false">'Data Activité Béliers'!$A$1:$L$308</definedName>
    <definedName function="false" hidden="false" localSheetId="3" name="_16_06_54" vbProcedure="false">'Data Activité Béliers'!$A$1:$L$420</definedName>
    <definedName function="false" hidden="false" localSheetId="3" name="_16_06_55" vbProcedure="false">'Data Activité Béliers'!$A$1:$L$420</definedName>
    <definedName function="false" hidden="false" localSheetId="3" name="_16_06_56" vbProcedure="false">'Data Activité Béliers'!$A$1:$L$308</definedName>
    <definedName function="false" hidden="false" localSheetId="3" name="_16_06_57" vbProcedure="false">'Data Activité Béliers'!$A$1:$L$308</definedName>
    <definedName function="false" hidden="false" localSheetId="3" name="_16_06_58" vbProcedure="false">'Data Activité Béliers'!$A$1:$L$420</definedName>
    <definedName function="false" hidden="false" localSheetId="3" name="_16_06_59" vbProcedure="false">'Data Activité Béliers'!$A$1:$L$420</definedName>
    <definedName function="false" hidden="false" localSheetId="3" name="_16_06_60" vbProcedure="false">'Data Activité Béliers'!$A$1:$L$420</definedName>
    <definedName function="false" hidden="false" localSheetId="3" name="_16_06_61" vbProcedure="false">'Data Activité Béliers'!$A$1:$L$308</definedName>
    <definedName function="false" hidden="false" localSheetId="3" name="_16_06_62" vbProcedure="false">'Data Activité Béliers'!$A$1:$L$308</definedName>
    <definedName function="false" hidden="false" localSheetId="3" name="_16_06_63" vbProcedure="false">'Data Activité Béliers'!$A$1:$L$420</definedName>
    <definedName function="false" hidden="false" localSheetId="3" name="_16_06_64" vbProcedure="false">'Data Activité Béliers'!$A$1:$L$420</definedName>
    <definedName function="false" hidden="false" localSheetId="3" name="_16_06_65" vbProcedure="false">'Data Activité Béliers'!$A$1:$L$308</definedName>
    <definedName function="false" hidden="false" localSheetId="3" name="_16_06_66" vbProcedure="false">'Data Activité Béliers'!$A$1:$L$414</definedName>
    <definedName function="false" hidden="false" localSheetId="3" name="_16_06_67" vbProcedure="false">'Data Activité Béliers'!$A$1:$L$420</definedName>
    <definedName function="false" hidden="false" localSheetId="3" name="_16_06_68" vbProcedure="false">'Data Activité Béliers'!$A$1:$L$308</definedName>
    <definedName function="false" hidden="false" localSheetId="3" name="_16_06_69" vbProcedure="false">'Data Activité Béliers'!$A$1:$L$420</definedName>
    <definedName function="false" hidden="false" localSheetId="3" name="_16_06_70" vbProcedure="false">'Data Activité Béliers'!$A$1:$L$420</definedName>
    <definedName function="false" hidden="false" localSheetId="3" name="_16_06_71" vbProcedure="false">'Data Activité Béliers'!$A$1:$L$308</definedName>
    <definedName function="false" hidden="false" localSheetId="3" name="_16_06_72" vbProcedure="false">'Data Activité Béliers'!$A$1:$L$420</definedName>
    <definedName function="false" hidden="false" localSheetId="3" name="_16_06_73" vbProcedure="false">'Data Activité Béliers'!$A$1:$L$130</definedName>
    <definedName function="false" hidden="false" localSheetId="3" name="_16_06_74" vbProcedure="false">'Data Activité Béliers'!$A$1:$L$130</definedName>
    <definedName function="false" hidden="false" localSheetId="3" name="_16_06_75" vbProcedure="false">'Data Activité Béliers'!$A$1:$L$308</definedName>
    <definedName function="false" hidden="false" localSheetId="3" name="_16_06_76" vbProcedure="false">'Data Activité Béliers'!$A$1:$L$420</definedName>
    <definedName function="false" hidden="false" localSheetId="3" name="_16_06_77" vbProcedure="false">'Data Activité Béliers'!$A$1:$L$420</definedName>
    <definedName function="false" hidden="false" localSheetId="3" name="_16_06_78" vbProcedure="false">'Data Activité Béliers'!$A$1:$L$130</definedName>
    <definedName function="false" hidden="false" localSheetId="3" name="_16_06_79" vbProcedure="false">'Data Activité Béliers'!$A$1:$L$308</definedName>
    <definedName function="false" hidden="false" localSheetId="3" name="_16_06_80" vbProcedure="false">'Data Activité Béliers'!$A$1:$L$130</definedName>
    <definedName function="false" hidden="false" localSheetId="3" name="_16_06_81" vbProcedure="false">'Data Activité Béliers'!$A$1:$L$130</definedName>
    <definedName function="false" hidden="false" localSheetId="3" name="_16_06_82" vbProcedure="false">'Data Activité Béliers'!$A$1:$L$130</definedName>
    <definedName function="false" hidden="false" localSheetId="3" name="_16_06_83" vbProcedure="false">'Data Activité Béliers'!$A$1:$L$130</definedName>
    <definedName function="false" hidden="false" localSheetId="3" name="_16_06_84" vbProcedure="false">'Data Activité Béliers'!$A$1:$L$308</definedName>
    <definedName function="false" hidden="false" localSheetId="3" name="_16_06_85" vbProcedure="false">'Data Activité Béliers'!$A$1:$L$420</definedName>
    <definedName function="false" hidden="false" localSheetId="3" name="_16_06_86" vbProcedure="false">'Data Activité Béliers'!$A$1:$L$130</definedName>
    <definedName function="false" hidden="false" localSheetId="3" name="_16_06_87" vbProcedure="false">'Data Activité Béliers'!$A$1:$L$308</definedName>
    <definedName function="false" hidden="false" localSheetId="3" name="_16_06_88" vbProcedure="false">'Data Activité Béliers'!$A$1:$L$130</definedName>
    <definedName function="false" hidden="false" localSheetId="3" name="_16_06_89" vbProcedure="false">'Data Activité Béliers'!$A$1:$L$420</definedName>
    <definedName function="false" hidden="false" localSheetId="3" name="_16_06_90" vbProcedure="false">'Data Activité Béliers'!$A$1:$L$420</definedName>
    <definedName function="false" hidden="false" localSheetId="3" name="_16_06_91" vbProcedure="false">'Data Activité Béliers'!$A$1:$L$308</definedName>
    <definedName function="false" hidden="false" localSheetId="3" name="_16_06_92" vbProcedure="false">'Data Activité Béliers'!$A$1:$L$420</definedName>
    <definedName function="false" hidden="false" localSheetId="3" name="_16_06_93" vbProcedure="false">'Data Activité Béliers'!$A$1:$L$130</definedName>
    <definedName function="false" hidden="false" localSheetId="3" name="_16_06_94" vbProcedure="false">'Data Activité Béliers'!$A$1:$L$420</definedName>
    <definedName function="false" hidden="false" localSheetId="3" name="_16_06_95" vbProcedure="false">'Data Activité Béliers'!$A$1:$L$130</definedName>
    <definedName function="false" hidden="false" localSheetId="3" name="_16_06_96" vbProcedure="false">'Data Activité Béliers'!$A$1:$L$308</definedName>
    <definedName function="false" hidden="false" localSheetId="3" name="_16_06_97" vbProcedure="false">'Data Activité Béliers'!$A$1:$L$420</definedName>
    <definedName function="false" hidden="false" localSheetId="3" name="_16_06_98" vbProcedure="false">'Data Activité Béliers'!$A$1:$L$130</definedName>
    <definedName function="false" hidden="false" localSheetId="3" name="_16_06_99" vbProcedure="false">'Data Activité Béliers'!$A$1:$L$420</definedName>
    <definedName function="false" hidden="false" localSheetId="4" name="_1317755739475482419_13_07_24" vbProcedure="false">'Data Détecteur IA'!$A$1:$J$78</definedName>
    <definedName function="false" hidden="false" localSheetId="4" name="_1317755739475482419_13_07_25" vbProcedure="false">'Data Détecteur IA'!$A$1:$J$78</definedName>
    <definedName function="false" hidden="false" localSheetId="4" name="_1317755739475482419_13_07_26" vbProcedure="false">'Data Détecteur IA'!$A$1:$J$78</definedName>
    <definedName function="false" hidden="false" localSheetId="4" name="_1317755739475482419_13_07_27" vbProcedure="false">'Data Détecteur IA'!$A$1:$J$78</definedName>
    <definedName function="false" hidden="false" localSheetId="4" name="_16_06_100" vbProcedure="false">'Data Détecteur IA'!$A$1:$L$397</definedName>
    <definedName function="false" hidden="false" localSheetId="4" name="_16_06_101" vbProcedure="false">'Data Détecteur IA'!$A$1:$L$285</definedName>
    <definedName function="false" hidden="false" localSheetId="4" name="_16_06_102" vbProcedure="false">'Data Détecteur IA'!$A$1:$L$397</definedName>
    <definedName function="false" hidden="false" localSheetId="4" name="_16_06_103" vbProcedure="false">'Data Détecteur IA'!$A$1:$L$134</definedName>
    <definedName function="false" hidden="false" localSheetId="4" name="_16_06_104" vbProcedure="false">'Data Détecteur IA'!$A$1:$L$397</definedName>
    <definedName function="false" hidden="false" localSheetId="4" name="_16_06_105" vbProcedure="false">'Data Détecteur IA'!$A$1:$L$285</definedName>
    <definedName function="false" hidden="false" localSheetId="4" name="_16_06_106" vbProcedure="false">'Data Détecteur IA'!$A$1:$L$285</definedName>
    <definedName function="false" hidden="false" localSheetId="4" name="_16_06_107" vbProcedure="false">'Data Détecteur IA'!$A$1:$L$134</definedName>
    <definedName function="false" hidden="false" localSheetId="4" name="_16_06_108" vbProcedure="false">'Data Détecteur IA'!$A$1:$L$397</definedName>
    <definedName function="false" hidden="false" localSheetId="4" name="_16_06_109" vbProcedure="false">'Data Détecteur IA'!$A$1:$L$134</definedName>
    <definedName function="false" hidden="false" localSheetId="4" name="_16_06_110" vbProcedure="false">'Data Détecteur IA'!$A$1:$L$285</definedName>
    <definedName function="false" hidden="false" localSheetId="4" name="_16_06_111" vbProcedure="false">'Data Détecteur IA'!$A$1:$L$397</definedName>
    <definedName function="false" hidden="false" localSheetId="4" name="_16_06_112" vbProcedure="false">'Data Détecteur IA'!$A$1:$L$397</definedName>
    <definedName function="false" hidden="false" localSheetId="4" name="_16_06_113" vbProcedure="false">'Data Détecteur IA'!$A$1:$L$397</definedName>
    <definedName function="false" hidden="false" localSheetId="4" name="_16_06_114" vbProcedure="false">'Data Détecteur IA'!$A$1:$L$397</definedName>
    <definedName function="false" hidden="false" localSheetId="4" name="_16_06_115" vbProcedure="false">'Data Détecteur IA'!$A$1:$L$397</definedName>
    <definedName function="false" hidden="false" localSheetId="4" name="_16_06_116" vbProcedure="false">'Data Détecteur IA'!$A$1:$L$285</definedName>
    <definedName function="false" hidden="false" localSheetId="4" name="_16_06_117" vbProcedure="false">'Data Détecteur IA'!$A$1:$L$397</definedName>
    <definedName function="false" hidden="false" localSheetId="4" name="_16_06_118" vbProcedure="false">'Data Détecteur IA'!$A$1:$L$397</definedName>
    <definedName function="false" hidden="false" localSheetId="4" name="_16_06_119" vbProcedure="false">'Data Détecteur IA'!$A$1:$L$285</definedName>
    <definedName function="false" hidden="false" localSheetId="4" name="_16_06_120" vbProcedure="false">'Data Détecteur IA'!$A$1:$L$285</definedName>
    <definedName function="false" hidden="false" localSheetId="4" name="_16_06_121" vbProcedure="false">'Data Détecteur IA'!$A$1:$L$397</definedName>
    <definedName function="false" hidden="false" localSheetId="4" name="_16_06_122" vbProcedure="false">'Data Détecteur IA'!$A$1:$L$397</definedName>
    <definedName function="false" hidden="false" localSheetId="4" name="_16_06_123" vbProcedure="false">'Data Détecteur IA'!$A$1:$L$134</definedName>
    <definedName function="false" hidden="false" localSheetId="4" name="_16_06_124" vbProcedure="false">'Data Détecteur IA'!$A$1:$L$397</definedName>
    <definedName function="false" hidden="false" localSheetId="4" name="_16_06_125" vbProcedure="false">'Data Détecteur IA'!$A$1:$L$285</definedName>
    <definedName function="false" hidden="false" localSheetId="4" name="_16_06_126" vbProcedure="false">'Data Détecteur IA'!$A$1:$L$397</definedName>
    <definedName function="false" hidden="false" localSheetId="4" name="_16_06_127" vbProcedure="false">'Data Détecteur IA'!$A$1:$L$134</definedName>
    <definedName function="false" hidden="false" localSheetId="4" name="_16_06_128" vbProcedure="false">'Data Détecteur IA'!$A$1:$L$134</definedName>
    <definedName function="false" hidden="false" localSheetId="4" name="_16_06_129" vbProcedure="false">'Data Détecteur IA'!$A$1:$L$285</definedName>
    <definedName function="false" hidden="false" localSheetId="4" name="_16_06_130" vbProcedure="false">'Data Détecteur IA'!$A$1:$L$285</definedName>
    <definedName function="false" hidden="false" localSheetId="4" name="_16_06_131" vbProcedure="false">'Data Détecteur IA'!$A$1:$L$285</definedName>
    <definedName function="false" hidden="false" localSheetId="4" name="_16_06_132" vbProcedure="false">'Data Détecteur IA'!$A$1:$L$397</definedName>
    <definedName function="false" hidden="false" localSheetId="4" name="_16_06_133" vbProcedure="false">'Data Détecteur IA'!$A$1:$L$397</definedName>
    <definedName function="false" hidden="false" localSheetId="4" name="_16_06_134" vbProcedure="false">'Data Détecteur IA'!$A$1:$L$285</definedName>
    <definedName function="false" hidden="false" localSheetId="4" name="_16_06_135" vbProcedure="false">'Data Détecteur IA'!$A$1:$L$134</definedName>
    <definedName function="false" hidden="false" localSheetId="4" name="_16_06_136" vbProcedure="false">'Data Détecteur IA'!$A$1:$L$285</definedName>
    <definedName function="false" hidden="false" localSheetId="4" name="_16_06_137" vbProcedure="false">'Data Détecteur IA'!$A$1:$L$397</definedName>
    <definedName function="false" hidden="false" localSheetId="4" name="_16_06_138" vbProcedure="false">'Data Détecteur IA'!$A$1:$L$397</definedName>
    <definedName function="false" hidden="false" localSheetId="4" name="_16_06_139" vbProcedure="false">'Data Détecteur IA'!$A$1:$L$397</definedName>
    <definedName function="false" hidden="false" localSheetId="4" name="_16_06_140" vbProcedure="false">'Data Détecteur IA'!$A$1:$L$134</definedName>
    <definedName function="false" hidden="false" localSheetId="4" name="_16_06_141" vbProcedure="false">'Data Détecteur IA'!$A$1:$L$285</definedName>
    <definedName function="false" hidden="false" localSheetId="4" name="_16_06_142" vbProcedure="false">'Data Détecteur IA'!$A$1:$L$391</definedName>
    <definedName function="false" hidden="false" localSheetId="4" name="_16_06_143" vbProcedure="false">'Data Détecteur IA'!$A$1:$L$285</definedName>
    <definedName function="false" hidden="false" localSheetId="4" name="_16_06_144" vbProcedure="false">'Data Détecteur IA'!$A$1:$L$285</definedName>
    <definedName function="false" hidden="false" localSheetId="4" name="_16_06_145" vbProcedure="false">'Data Détecteur IA'!$A$1:$L$134</definedName>
    <definedName function="false" hidden="false" localSheetId="4" name="_16_06_146" vbProcedure="false">'Data Détecteur IA'!$A$1:$L$285</definedName>
    <definedName function="false" hidden="false" localSheetId="4" name="_16_06_147" vbProcedure="false">'Data Détecteur IA'!$A$1:$L$134</definedName>
    <definedName function="false" hidden="false" localSheetId="4" name="_16_06_148" vbProcedure="false">'Data Détecteur IA'!$A$1:$L$397</definedName>
    <definedName function="false" hidden="false" localSheetId="4" name="_16_06_149" vbProcedure="false">'Data Détecteur IA'!$A$1:$L$397</definedName>
    <definedName function="false" hidden="false" localSheetId="4" name="_16_06_150" vbProcedure="false">'Data Détecteur IA'!$A$1:$L$397</definedName>
    <definedName function="false" hidden="false" localSheetId="4" name="_16_06_151" vbProcedure="false">'Data Détecteur IA'!$A$1:$L$285</definedName>
    <definedName function="false" hidden="false" localSheetId="4" name="_16_06_152" vbProcedure="false">'Data Détecteur IA'!$A$1:$L$397</definedName>
    <definedName function="false" hidden="false" localSheetId="4" name="_16_06_153" vbProcedure="false">'Data Détecteur IA'!$A$1:$L$134</definedName>
    <definedName function="false" hidden="false" localSheetId="4" name="_16_06_154" vbProcedure="false">'Data Détecteur IA'!$A$1:$L$397</definedName>
    <definedName function="false" hidden="false" localSheetId="4" name="_16_06_155" vbProcedure="false">'Data Détecteur IA'!$A$1:$L$285</definedName>
    <definedName function="false" hidden="false" localSheetId="4" name="_16_06_156" vbProcedure="false">'Data Détecteur IA'!$A$1:$L$285</definedName>
    <definedName function="false" hidden="false" localSheetId="4" name="_16_06_157" vbProcedure="false">'Data Détecteur IA'!$A$1:$L$285</definedName>
    <definedName function="false" hidden="false" localSheetId="4" name="_16_06_158" vbProcedure="false">'Data Détecteur IA'!$A$1:$L$285</definedName>
    <definedName function="false" hidden="false" localSheetId="4" name="_16_06_159" vbProcedure="false">'Data Détecteur IA'!$A$1:$L$134</definedName>
    <definedName function="false" hidden="false" localSheetId="4" name="_16_06_160" vbProcedure="false">'Data Détecteur IA'!$A$1:$L$134</definedName>
    <definedName function="false" hidden="false" localSheetId="4" name="_16_06_161" vbProcedure="false">'Data Détecteur IA'!$A$1:$L$397</definedName>
    <definedName function="false" hidden="false" localSheetId="4" name="_16_06_162" vbProcedure="false">'Data Détecteur IA'!$A$1:$L$134</definedName>
    <definedName function="false" hidden="false" localSheetId="4" name="_16_06_163" vbProcedure="false">'Data Détecteur IA'!$A$1:$L$285</definedName>
    <definedName function="false" hidden="false" localSheetId="4" name="_16_06_164" vbProcedure="false">'Data Détecteur IA'!$A$1:$L$397</definedName>
    <definedName function="false" hidden="false" localSheetId="4" name="_16_06_165" vbProcedure="false">'Data Détecteur IA'!$A$1:$L$285</definedName>
    <definedName function="false" hidden="false" localSheetId="4" name="_16_06_166" vbProcedure="false">'Data Détecteur IA'!$A$1:$L$397</definedName>
    <definedName function="false" hidden="false" localSheetId="4" name="_16_06_167" vbProcedure="false">'Data Détecteur IA'!$A$1:$L$397</definedName>
    <definedName function="false" hidden="false" localSheetId="4" name="_16_06_168" vbProcedure="false">'Data Détecteur IA'!$A$1:$L$134</definedName>
    <definedName function="false" hidden="false" localSheetId="4" name="_16_06_169" vbProcedure="false">'Data Détecteur IA'!$A$1:$L$397</definedName>
    <definedName function="false" hidden="false" localSheetId="4" name="_16_06_170" vbProcedure="false">'Data Détecteur IA'!$A$1:$L$397</definedName>
    <definedName function="false" hidden="false" localSheetId="4" name="_16_06_171" vbProcedure="false">'Data Détecteur IA'!$A$1:$L$397</definedName>
    <definedName function="false" hidden="false" localSheetId="4" name="_16_06_172" vbProcedure="false">'Data Détecteur IA'!$A$1:$L$397</definedName>
    <definedName function="false" hidden="false" localSheetId="4" name="_16_06_173" vbProcedure="false">'Data Détecteur IA'!$A$1:$L$397</definedName>
    <definedName function="false" hidden="false" localSheetId="4" name="_16_06_174" vbProcedure="false">'Data Détecteur IA'!$A$1:$L$285</definedName>
    <definedName function="false" hidden="false" localSheetId="4" name="_16_06_175" vbProcedure="false">'Data Détecteur IA'!$A$1:$L$397</definedName>
    <definedName function="false" hidden="false" localSheetId="4" name="_16_06_176" vbProcedure="false">'Data Détecteur IA'!$A$1:$L$397</definedName>
    <definedName function="false" hidden="false" localSheetId="4" name="_16_06_177" vbProcedure="false">'Data Détecteur IA'!$A$1:$L$285</definedName>
    <definedName function="false" hidden="false" localSheetId="4" name="_16_06_178" vbProcedure="false">'Data Détecteur IA'!$A$1:$L$285</definedName>
    <definedName function="false" hidden="false" localSheetId="4" name="_16_06_179" vbProcedure="false">'Data Détecteur IA'!$A$1:$L$391</definedName>
    <definedName function="false" hidden="false" localSheetId="4" name="_16_06_180" vbProcedure="false">'Data Détecteur IA'!$A$1:$L$397</definedName>
    <definedName function="false" hidden="false" localSheetId="4" name="_16_06_181" vbProcedure="false">'Data Détecteur IA'!$A$1:$L$285</definedName>
    <definedName function="false" hidden="false" localSheetId="4" name="_16_06_182" vbProcedure="false">'Data Détecteur IA'!$A$1:$L$285</definedName>
    <definedName function="false" hidden="false" localSheetId="4" name="_16_06_183" vbProcedure="false">'Data Détecteur IA'!$A$1:$L$397</definedName>
    <definedName function="false" hidden="false" localSheetId="4" name="_16_06_184" vbProcedure="false">'Data Détecteur IA'!$A$1:$L$397</definedName>
    <definedName function="false" hidden="false" localSheetId="4" name="_16_06_185" vbProcedure="false">'Data Détecteur IA'!$A$1:$L$397</definedName>
    <definedName function="false" hidden="false" localSheetId="4" name="_16_06_186" vbProcedure="false">'Data Détecteur IA'!$A$1:$L$397</definedName>
    <definedName function="false" hidden="false" localSheetId="4" name="_16_06_187" vbProcedure="false">'Data Détecteur IA'!$A$1:$L$397</definedName>
    <definedName function="false" hidden="false" localSheetId="4" name="_16_06_188" vbProcedure="false">'Data Détecteur IA'!$A$1:$L$285</definedName>
    <definedName function="false" hidden="false" localSheetId="4" name="_16_06_189" vbProcedure="false">'Data Détecteur IA'!$A$1:$L$397</definedName>
    <definedName function="false" hidden="false" localSheetId="4" name="_16_06_190" vbProcedure="false">'Data Détecteur IA'!$A$1:$L$397</definedName>
    <definedName function="false" hidden="false" localSheetId="4" name="_16_06_191" vbProcedure="false">'Data Détecteur IA'!$A$1:$L$397</definedName>
    <definedName function="false" hidden="false" localSheetId="4" name="_16_06_192" vbProcedure="false">'Data Détecteur IA'!$A$1:$L$397</definedName>
    <definedName function="false" hidden="false" localSheetId="4" name="_16_06_193" vbProcedure="false">'Data Détecteur IA'!$A$1:$L$285</definedName>
    <definedName function="false" hidden="false" localSheetId="4" name="_16_06_194" vbProcedure="false">'Data Détecteur IA'!$A$1:$L$391</definedName>
    <definedName function="false" hidden="false" localSheetId="4" name="_16_06_195" vbProcedure="false">'Data Détecteur IA'!$A$1:$L$134</definedName>
    <definedName function="false" hidden="false" localSheetId="4" name="_16_06_196" vbProcedure="false">'Data Détecteur IA'!$A$1:$L$134</definedName>
    <definedName function="false" hidden="false" localSheetId="4" name="_16_06_197" vbProcedure="false">'Data Détecteur IA'!$A$1:$L$397</definedName>
    <definedName function="false" hidden="false" localSheetId="4" name="_16_06_198" vbProcedure="false">'Data Détecteur IA'!$A$1:$L$397</definedName>
    <definedName function="false" hidden="false" localSheetId="4" name="_16_06_199" vbProcedure="false">'Data Détecteur IA'!$A$1:$L$285</definedName>
    <definedName function="false" hidden="false" localSheetId="4" name="_16_06_200" vbProcedure="false">'Data Détecteur IA'!$A$1:$L$397</definedName>
    <definedName function="false" hidden="false" localSheetId="4" name="_16_06_201" vbProcedure="false">'Data Détecteur IA'!$A$1:$L$285</definedName>
    <definedName function="false" hidden="false" localSheetId="4" name="_16_06_202" vbProcedure="false">'Data Détecteur IA'!$A$1:$L$397</definedName>
    <definedName function="false" hidden="false" localSheetId="4" name="_16_06_203" vbProcedure="false">'Data Détecteur IA'!$A$1:$L$285</definedName>
    <definedName function="false" hidden="false" localSheetId="4" name="_16_06_204" vbProcedure="false">'Data Détecteur IA'!$A$1:$L$397</definedName>
    <definedName function="false" hidden="false" localSheetId="4" name="_16_06_205" vbProcedure="false">'Data Détecteur IA'!$A$1:$L$391</definedName>
    <definedName function="false" hidden="false" localSheetId="4" name="_16_06_206" vbProcedure="false">'Data Détecteur IA'!$A$1:$L$134</definedName>
    <definedName function="false" hidden="false" localSheetId="4" name="_16_06_207" vbProcedure="false">'Data Détecteur IA'!$A$1:$L$134</definedName>
    <definedName function="false" hidden="false" localSheetId="4" name="_16_06_208" vbProcedure="false">'Data Détecteur IA'!$A$1:$L$285</definedName>
    <definedName function="false" hidden="false" localSheetId="4" name="_16_06_209" vbProcedure="false">'Data Détecteur IA'!$A$1:$L$285</definedName>
    <definedName function="false" hidden="false" localSheetId="4" name="_16_06_210" vbProcedure="false">'Data Détecteur IA'!$A$1:$L$397</definedName>
    <definedName function="false" hidden="false" localSheetId="4" name="_16_06_211" vbProcedure="false">'Data Détecteur IA'!$A$1:$L$397</definedName>
    <definedName function="false" hidden="false" localSheetId="4" name="_16_06_212" vbProcedure="false">'Data Détecteur IA'!$A$1:$L$285</definedName>
    <definedName function="false" hidden="false" localSheetId="4" name="_16_06_213" vbProcedure="false">'Data Détecteur IA'!$A$1:$L$134</definedName>
    <definedName function="false" hidden="false" localSheetId="4" name="_16_06_214" vbProcedure="false">'Data Détecteur IA'!$A$1:$L$397</definedName>
    <definedName function="false" hidden="false" localSheetId="4" name="_16_06_215" vbProcedure="false">'Data Détecteur IA'!$A$1:$L$397</definedName>
    <definedName function="false" hidden="false" localSheetId="4" name="_16_06_216" vbProcedure="false">'Data Détecteur IA'!$A$1:$L$134</definedName>
    <definedName function="false" hidden="false" localSheetId="4" name="_16_06_217" vbProcedure="false">'Data Détecteur IA'!$A$1:$L$397</definedName>
    <definedName function="false" hidden="false" localSheetId="4" name="_16_06_218" vbProcedure="false">'Data Détecteur IA'!$A$1:$L$285</definedName>
    <definedName function="false" hidden="false" localSheetId="4" name="_16_06_219" vbProcedure="false">'Data Détecteur IA'!$A$1:$L$397</definedName>
    <definedName function="false" hidden="false" localSheetId="4" name="_16_06_22" vbProcedure="false">'Data Détecteur IA'!$A$1:$L$265</definedName>
    <definedName function="false" hidden="false" localSheetId="4" name="_16_06_220" vbProcedure="false">'Data Détecteur IA'!$A$1:$L$285</definedName>
    <definedName function="false" hidden="false" localSheetId="4" name="_16_06_221" vbProcedure="false">'Data Détecteur IA'!$A$1:$L$285</definedName>
    <definedName function="false" hidden="false" localSheetId="4" name="_16_06_222" vbProcedure="false">'Data Détecteur IA'!$A$1:$L$285</definedName>
    <definedName function="false" hidden="false" localSheetId="4" name="_16_06_223" vbProcedure="false">'Data Détecteur IA'!$A$1:$L$397</definedName>
    <definedName function="false" hidden="false" localSheetId="4" name="_16_06_224" vbProcedure="false">'Data Détecteur IA'!$A$1:$L$285</definedName>
    <definedName function="false" hidden="false" localSheetId="4" name="_16_06_225" vbProcedure="false">'Data Détecteur IA'!$A$1:$L$285</definedName>
    <definedName function="false" hidden="false" localSheetId="4" name="_16_06_226" vbProcedure="false">'Data Détecteur IA'!$A$1:$L$134</definedName>
    <definedName function="false" hidden="false" localSheetId="4" name="_16_06_227" vbProcedure="false">'Data Détecteur IA'!$A$1:$L$134</definedName>
    <definedName function="false" hidden="false" localSheetId="4" name="_16_06_228" vbProcedure="false">'Data Détecteur IA'!$A$1:$L$285</definedName>
    <definedName function="false" hidden="false" localSheetId="4" name="_16_06_229" vbProcedure="false">'Data Détecteur IA'!$A$1:$L$285</definedName>
    <definedName function="false" hidden="false" localSheetId="4" name="_16_06_23" vbProcedure="false">'Data Détecteur IA'!$A$1:$L$371</definedName>
    <definedName function="false" hidden="false" localSheetId="4" name="_16_06_230" vbProcedure="false">'Data Détecteur IA'!$A$1:$L$397</definedName>
    <definedName function="false" hidden="false" localSheetId="4" name="_16_06_231" vbProcedure="false">'Data Détecteur IA'!$A$1:$L$397</definedName>
    <definedName function="false" hidden="false" localSheetId="4" name="_16_06_232" vbProcedure="false">'Data Détecteur IA'!$A$1:$L$391</definedName>
    <definedName function="false" hidden="false" localSheetId="4" name="_16_06_233" vbProcedure="false">'Data Détecteur IA'!$A$1:$L$397</definedName>
    <definedName function="false" hidden="false" localSheetId="4" name="_16_06_234" vbProcedure="false">'Data Détecteur IA'!$A$1:$L$397</definedName>
    <definedName function="false" hidden="false" localSheetId="4" name="_16_06_235" vbProcedure="false">'Data Détecteur IA'!$A$1:$L$285</definedName>
    <definedName function="false" hidden="false" localSheetId="4" name="_16_06_236" vbProcedure="false">'Data Détecteur IA'!$A$1:$L$397</definedName>
    <definedName function="false" hidden="false" localSheetId="4" name="_16_06_237" vbProcedure="false">'Data Détecteur IA'!$A$1:$L$397</definedName>
    <definedName function="false" hidden="false" localSheetId="4" name="_16_06_238" vbProcedure="false">'Data Détecteur IA'!$A$1:$L$397</definedName>
    <definedName function="false" hidden="false" localSheetId="4" name="_16_06_239" vbProcedure="false">'Data Détecteur IA'!$A$1:$L$134</definedName>
    <definedName function="false" hidden="false" localSheetId="4" name="_16_06_24" vbProcedure="false">'Data Détecteur IA'!$A$1:$L$371</definedName>
    <definedName function="false" hidden="false" localSheetId="4" name="_16_06_240" vbProcedure="false">'Data Détecteur IA'!$A$1:$L$134</definedName>
    <definedName function="false" hidden="false" localSheetId="4" name="_16_06_241" vbProcedure="false">'Data Détecteur IA'!$A$1:$L$285</definedName>
    <definedName function="false" hidden="false" localSheetId="4" name="_16_06_25" vbProcedure="false">'Data Détecteur IA'!$A$1:$L$377</definedName>
    <definedName function="false" hidden="false" localSheetId="4" name="_16_06_26" vbProcedure="false">'Data Détecteur IA'!$A$1:$L$265</definedName>
    <definedName function="false" hidden="false" localSheetId="4" name="_16_06_27" vbProcedure="false">'Data Détecteur IA'!$A$1:$L$265</definedName>
    <definedName function="false" hidden="false" localSheetId="4" name="_16_06_28" vbProcedure="false">'Data Détecteur IA'!$A$1:$L$377</definedName>
    <definedName function="false" hidden="false" localSheetId="4" name="_16_06_29" vbProcedure="false">'Data Détecteur IA'!$A$1:$L$377</definedName>
    <definedName function="false" hidden="false" localSheetId="4" name="_16_06_30" vbProcedure="false">'Data Détecteur IA'!$A$1:$L$377</definedName>
    <definedName function="false" hidden="false" localSheetId="4" name="_16_06_31" vbProcedure="false">'Data Détecteur IA'!$A$1:$L$377</definedName>
    <definedName function="false" hidden="false" localSheetId="4" name="_16_06_32" vbProcedure="false">'Data Détecteur IA'!$A$1:$L$129</definedName>
    <definedName function="false" hidden="false" localSheetId="4" name="_16_06_33" vbProcedure="false">'Data Détecteur IA'!$A$1:$L$129</definedName>
    <definedName function="false" hidden="false" localSheetId="4" name="_16_06_34" vbProcedure="false">'Data Détecteur IA'!$A$1:$L$129</definedName>
    <definedName function="false" hidden="false" localSheetId="4" name="_16_06_35" vbProcedure="false">'Data Détecteur IA'!$A$1:$L$129</definedName>
    <definedName function="false" hidden="false" localSheetId="4" name="_16_06_36" vbProcedure="false">'Data Détecteur IA'!$A$1:$L$129</definedName>
    <definedName function="false" hidden="false" localSheetId="4" name="_16_06_37" vbProcedure="false">'Data Détecteur IA'!$A$1:$L$129</definedName>
    <definedName function="false" hidden="false" localSheetId="4" name="_16_06_38" vbProcedure="false">'Data Détecteur IA'!$A$1:$L$265</definedName>
    <definedName function="false" hidden="false" localSheetId="4" name="_16_06_39" vbProcedure="false">'Data Détecteur IA'!$A$1:$L$377</definedName>
    <definedName function="false" hidden="false" localSheetId="4" name="_16_06_40" vbProcedure="false">'Data Détecteur IA'!$A$1:$L$377</definedName>
    <definedName function="false" hidden="false" localSheetId="4" name="_16_06_41" vbProcedure="false">'Data Détecteur IA'!$A$1:$L$265</definedName>
    <definedName function="false" hidden="false" localSheetId="4" name="_16_06_42" vbProcedure="false">'Data Détecteur IA'!$A$1:$L$265</definedName>
    <definedName function="false" hidden="false" localSheetId="4" name="_16_06_43" vbProcedure="false">'Data Détecteur IA'!$A$1:$L$265</definedName>
    <definedName function="false" hidden="false" localSheetId="4" name="_16_06_44" vbProcedure="false">'Data Détecteur IA'!$A$1:$L$377</definedName>
    <definedName function="false" hidden="false" localSheetId="4" name="_16_06_45" vbProcedure="false">'Data Détecteur IA'!$A$1:$L$377</definedName>
    <definedName function="false" hidden="false" localSheetId="4" name="_16_06_46" vbProcedure="false">'Data Détecteur IA'!$A$1:$L$265</definedName>
    <definedName function="false" hidden="false" localSheetId="4" name="_16_06_47" vbProcedure="false">'Data Détecteur IA'!$A$1:$L$265</definedName>
    <definedName function="false" hidden="false" localSheetId="4" name="_16_06_48" vbProcedure="false">'Data Détecteur IA'!$A$1:$L$377</definedName>
    <definedName function="false" hidden="false" localSheetId="4" name="_16_06_49" vbProcedure="false">'Data Détecteur IA'!$A$1:$L$377</definedName>
    <definedName function="false" hidden="false" localSheetId="4" name="_16_06_50" vbProcedure="false">'Data Détecteur IA'!$A$1:$L$377</definedName>
    <definedName function="false" hidden="false" localSheetId="4" name="_16_06_51" vbProcedure="false">'Data Détecteur IA'!$A$1:$L$377</definedName>
    <definedName function="false" hidden="false" localSheetId="4" name="_16_06_52" vbProcedure="false">'Data Détecteur IA'!$A$1:$L$265</definedName>
    <definedName function="false" hidden="false" localSheetId="4" name="_16_06_53" vbProcedure="false">'Data Détecteur IA'!$A$1:$L$265</definedName>
    <definedName function="false" hidden="false" localSheetId="4" name="_16_06_54" vbProcedure="false">'Data Détecteur IA'!$A$1:$L$377</definedName>
    <definedName function="false" hidden="false" localSheetId="4" name="_16_06_55" vbProcedure="false">'Data Détecteur IA'!$A$1:$L$377</definedName>
    <definedName function="false" hidden="false" localSheetId="4" name="_16_06_56" vbProcedure="false">'Data Détecteur IA'!$A$1:$L$265</definedName>
    <definedName function="false" hidden="false" localSheetId="4" name="_16_06_57" vbProcedure="false">'Data Détecteur IA'!$A$1:$L$265</definedName>
    <definedName function="false" hidden="false" localSheetId="4" name="_16_06_58" vbProcedure="false">'Data Détecteur IA'!$A$1:$L$377</definedName>
    <definedName function="false" hidden="false" localSheetId="4" name="_16_06_59" vbProcedure="false">'Data Détecteur IA'!$A$1:$L$377</definedName>
    <definedName function="false" hidden="false" localSheetId="4" name="_16_06_60" vbProcedure="false">'Data Détecteur IA'!$A$1:$L$265</definedName>
    <definedName function="false" hidden="false" localSheetId="4" name="_16_06_61" vbProcedure="false">'Data Détecteur IA'!$A$1:$L$377</definedName>
    <definedName function="false" hidden="false" localSheetId="4" name="_16_06_62" vbProcedure="false">'Data Détecteur IA'!$A$1:$L$265</definedName>
    <definedName function="false" hidden="false" localSheetId="4" name="_16_06_63" vbProcedure="false">'Data Détecteur IA'!$A$1:$L$377</definedName>
    <definedName function="false" hidden="false" localSheetId="4" name="_16_06_64" vbProcedure="false">'Data Détecteur IA'!$A$1:$L$265</definedName>
    <definedName function="false" hidden="false" localSheetId="4" name="_16_06_65" vbProcedure="false">'Data Détecteur IA'!$A$1:$L$377</definedName>
    <definedName function="false" hidden="false" localSheetId="4" name="_16_06_66" vbProcedure="false">'Data Détecteur IA'!$A$1:$L$371</definedName>
    <definedName function="false" hidden="false" localSheetId="4" name="_16_06_67" vbProcedure="false">'Data Détecteur IA'!$A$1:$L$377</definedName>
    <definedName function="false" hidden="false" localSheetId="4" name="_16_06_68" vbProcedure="false">'Data Détecteur IA'!$A$1:$L$377</definedName>
    <definedName function="false" hidden="false" localSheetId="4" name="_16_06_69" vbProcedure="false">'Data Détecteur IA'!$A$1:$L$265</definedName>
    <definedName function="false" hidden="false" localSheetId="4" name="_16_06_70" vbProcedure="false">'Data Détecteur IA'!$A$1:$L$265</definedName>
    <definedName function="false" hidden="false" localSheetId="4" name="_16_06_71" vbProcedure="false">'Data Détecteur IA'!$A$1:$L$377</definedName>
    <definedName function="false" hidden="false" localSheetId="4" name="_16_06_72" vbProcedure="false">'Data Détecteur IA'!$A$1:$L$265</definedName>
    <definedName function="false" hidden="false" localSheetId="4" name="_16_06_73" vbProcedure="false">'Data Détecteur IA'!$A$1:$L$371</definedName>
    <definedName function="false" hidden="false" localSheetId="4" name="_16_06_74" vbProcedure="false">'Data Détecteur IA'!$A$1:$L$265</definedName>
    <definedName function="false" hidden="false" localSheetId="4" name="_16_06_75" vbProcedure="false">'Data Détecteur IA'!$A$1:$L$377</definedName>
    <definedName function="false" hidden="false" localSheetId="4" name="_16_06_76" vbProcedure="false">'Data Détecteur IA'!$A$1:$L$377</definedName>
    <definedName function="false" hidden="false" localSheetId="4" name="_16_06_77" vbProcedure="false">'Data Détecteur IA'!$A$1:$L$377</definedName>
    <definedName function="false" hidden="false" localSheetId="4" name="_16_06_78" vbProcedure="false">'Data Détecteur IA'!$A$1:$L$265</definedName>
    <definedName function="false" hidden="false" localSheetId="4" name="_16_06_79" vbProcedure="false">'Data Détecteur IA'!$A$1:$L$265</definedName>
    <definedName function="false" hidden="false" localSheetId="4" name="_16_06_80" vbProcedure="false">'Data Détecteur IA'!$A$1:$L$377</definedName>
    <definedName function="false" hidden="false" localSheetId="4" name="_16_06_81" vbProcedure="false">'Data Détecteur IA'!$A$1:$L$377</definedName>
    <definedName function="false" hidden="false" localSheetId="4" name="_16_06_82" vbProcedure="false">'Data Détecteur IA'!$A$1:$L$285</definedName>
    <definedName function="false" hidden="false" localSheetId="4" name="_16_06_83" vbProcedure="false">'Data Détecteur IA'!$A$1:$L$397</definedName>
    <definedName function="false" hidden="false" localSheetId="4" name="_16_06_84" vbProcedure="false">'Data Détecteur IA'!$A$1:$L$134</definedName>
    <definedName function="false" hidden="false" localSheetId="4" name="_16_06_85" vbProcedure="false">'Data Détecteur IA'!$A$1:$L$134</definedName>
    <definedName function="false" hidden="false" localSheetId="4" name="_16_06_86" vbProcedure="false">'Data Détecteur IA'!$A$1:$L$285</definedName>
    <definedName function="false" hidden="false" localSheetId="4" name="_16_06_87" vbProcedure="false">'Data Détecteur IA'!$A$1:$L$285</definedName>
    <definedName function="false" hidden="false" localSheetId="4" name="_16_06_88" vbProcedure="false">'Data Détecteur IA'!$A$1:$L$397</definedName>
    <definedName function="false" hidden="false" localSheetId="4" name="_16_06_89" vbProcedure="false">'Data Détecteur IA'!$A$1:$L$134</definedName>
    <definedName function="false" hidden="false" localSheetId="4" name="_16_06_90" vbProcedure="false">'Data Détecteur IA'!$A$1:$L$285</definedName>
    <definedName function="false" hidden="false" localSheetId="4" name="_16_06_91" vbProcedure="false">'Data Détecteur IA'!$A$1:$L$397</definedName>
    <definedName function="false" hidden="false" localSheetId="4" name="_16_06_92" vbProcedure="false">'Data Détecteur IA'!$A$1:$L$397</definedName>
    <definedName function="false" hidden="false" localSheetId="4" name="_16_06_93" vbProcedure="false">'Data Détecteur IA'!$A$1:$L$134</definedName>
    <definedName function="false" hidden="false" localSheetId="4" name="_16_06_94" vbProcedure="false">'Data Détecteur IA'!$A$1:$L$285</definedName>
    <definedName function="false" hidden="false" localSheetId="4" name="_16_06_95" vbProcedure="false">'Data Détecteur IA'!$A$1:$L$391</definedName>
    <definedName function="false" hidden="false" localSheetId="4" name="_16_06_96" vbProcedure="false">'Data Détecteur IA'!$A$1:$L$285</definedName>
    <definedName function="false" hidden="false" localSheetId="4" name="_16_06_97" vbProcedure="false">'Data Détecteur IA'!$A$1:$L$285</definedName>
    <definedName function="false" hidden="false" localSheetId="4" name="_16_06_98" vbProcedure="false">'Data Détecteur IA'!$A$1:$L$134</definedName>
    <definedName function="false" hidden="false" localSheetId="4" name="_16_06_99" vbProcedure="false">'Data Détecteur IA'!$A$1:$L$397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<sst xmlns="http://schemas.openxmlformats.org/spreadsheetml/2006/main" count="4981" uniqueCount="1057">
  <si>
    <t xml:space="preserve">Manip FGA et Effet mâle - La Fage 2023</t>
  </si>
  <si>
    <t xml:space="preserve">Pose éponges</t>
  </si>
  <si>
    <t xml:space="preserve">Retrait éponges</t>
  </si>
  <si>
    <t xml:space="preserve">à 7h20</t>
  </si>
  <si>
    <t xml:space="preserve">Intro bélier</t>
  </si>
  <si>
    <t xml:space="preserve">à 8h10</t>
  </si>
  <si>
    <t xml:space="preserve">IA</t>
  </si>
  <si>
    <t xml:space="preserve">à 15h00</t>
  </si>
  <si>
    <t xml:space="preserve">Fin Suivi chaleur</t>
  </si>
  <si>
    <t xml:space="preserve">Intro Bélier retour</t>
  </si>
  <si>
    <t xml:space="preserve">Retrait Bélier retour</t>
  </si>
  <si>
    <t xml:space="preserve">Echographie</t>
  </si>
  <si>
    <t xml:space="preserve">2ème Echo</t>
  </si>
  <si>
    <t xml:space="preserve">NEC 1</t>
  </si>
  <si>
    <t xml:space="preserve">NEC 2</t>
  </si>
  <si>
    <t xml:space="preserve">NEC 3</t>
  </si>
  <si>
    <t xml:space="preserve">Béliers Lacaune Lait entierséquipés de tabliers pour epmécher la saillie et de détecteurs ovimate</t>
  </si>
  <si>
    <t xml:space="preserve">Béliers</t>
  </si>
  <si>
    <t xml:space="preserve">Harnais</t>
  </si>
  <si>
    <t xml:space="preserve">Housse</t>
  </si>
  <si>
    <t xml:space="preserve">Alpha</t>
  </si>
  <si>
    <t xml:space="preserve">beige</t>
  </si>
  <si>
    <t xml:space="preserve">Tablier 2</t>
  </si>
  <si>
    <t xml:space="preserve">côté bergerie</t>
  </si>
  <si>
    <t xml:space="preserve">rouge</t>
  </si>
  <si>
    <t xml:space="preserve"> Tablier 3</t>
  </si>
  <si>
    <t xml:space="preserve">côté cour</t>
  </si>
  <si>
    <t xml:space="preserve">orange</t>
  </si>
  <si>
    <t xml:space="preserve"> Tablier 4</t>
  </si>
  <si>
    <t xml:space="preserve">C1</t>
  </si>
  <si>
    <t xml:space="preserve">Grise</t>
  </si>
  <si>
    <t xml:space="preserve">Tablier 1</t>
  </si>
  <si>
    <t xml:space="preserve">jusqu'au 06/07/23 à 9h30</t>
  </si>
  <si>
    <t xml:space="preserve">à partir du 06/07/23 à 9h30</t>
  </si>
  <si>
    <t xml:space="preserve">IA si début des chaleurs entre 0 et 35 avant le moment de l'IA et au moins 3ch</t>
  </si>
  <si>
    <t xml:space="preserve">IA 55h à 15h00 le 06/07/23</t>
  </si>
  <si>
    <t xml:space="preserve">Début des chaleurs à partir de 4h00 le 05/07/23</t>
  </si>
  <si>
    <t xml:space="preserve">Si IA à 53h à 13h00 le 06/07/23</t>
  </si>
  <si>
    <t xml:space="preserve">Début des chaleurs à partir de 2h00 le 05/07/23</t>
  </si>
  <si>
    <t xml:space="preserve">Si IA à 60h à 20h00 le 06/07/23</t>
  </si>
  <si>
    <t xml:space="preserve">Début des chaleurs à partir de 9h00 le 05/07/23</t>
  </si>
  <si>
    <t xml:space="preserve">48 brebis</t>
  </si>
  <si>
    <t xml:space="preserve">FGA et Effet mâle</t>
  </si>
  <si>
    <t xml:space="preserve">FGA + PMSG</t>
  </si>
  <si>
    <t xml:space="preserve">La Fage</t>
  </si>
  <si>
    <t xml:space="preserve">V</t>
  </si>
  <si>
    <t xml:space="preserve">S</t>
  </si>
  <si>
    <t xml:space="preserve">D</t>
  </si>
  <si>
    <t xml:space="preserve">L</t>
  </si>
  <si>
    <t xml:space="preserve">Pesée + NEC</t>
  </si>
  <si>
    <t xml:space="preserve">M</t>
  </si>
  <si>
    <t xml:space="preserve">J</t>
  </si>
  <si>
    <t xml:space="preserve">Pose Eponges</t>
  </si>
  <si>
    <t xml:space="preserve">Pose tags + Retrait éponges + intro 3 béliers avec détecteur</t>
  </si>
  <si>
    <t xml:space="preserve">Retrait éponges + PMSG</t>
  </si>
  <si>
    <t xml:space="preserve">Suivi chaleurs</t>
  </si>
  <si>
    <t xml:space="preserve">Suivi chaleurs + IA</t>
  </si>
  <si>
    <t xml:space="preserve"> IA</t>
  </si>
  <si>
    <t xml:space="preserve">Suivi chaleurs </t>
  </si>
  <si>
    <t xml:space="preserve">Béliers retour</t>
  </si>
  <si>
    <t xml:space="preserve">Echographies + pesée + NEC</t>
  </si>
  <si>
    <t xml:space="preserve">N° travail</t>
  </si>
  <si>
    <t xml:space="preserve">num officiel</t>
  </si>
  <si>
    <t xml:space="preserve">N° animal</t>
  </si>
  <si>
    <t xml:space="preserve">N°Transpondeur</t>
  </si>
  <si>
    <t xml:space="preserve">N</t>
  </si>
  <si>
    <t xml:space="preserve"> ID</t>
  </si>
  <si>
    <t xml:space="preserve">Bélier</t>
  </si>
  <si>
    <t xml:space="preserve"> TAG</t>
  </si>
  <si>
    <t xml:space="preserve">N° W</t>
  </si>
  <si>
    <t xml:space="preserve">N° brebis</t>
  </si>
  <si>
    <t xml:space="preserve"> DATE (dd_mm_yyyy)</t>
  </si>
  <si>
    <t xml:space="preserve"> TIME</t>
  </si>
  <si>
    <t xml:space="preserve">Jour</t>
  </si>
  <si>
    <t xml:space="preserve">Heure</t>
  </si>
  <si>
    <t xml:space="preserve">Jour + Heure</t>
  </si>
  <si>
    <t xml:space="preserve">Nb Chev Cumulés Bélier</t>
  </si>
  <si>
    <t xml:space="preserve">ID-1317755739475482419</t>
  </si>
  <si>
    <t xml:space="preserve">Alpha C1</t>
  </si>
  <si>
    <t xml:space="preserve">155000025283</t>
  </si>
  <si>
    <t xml:space="preserve">06 07 2023  10:21:05</t>
  </si>
  <si>
    <t xml:space="preserve">10:21:05</t>
  </si>
  <si>
    <t xml:space="preserve">06 07 2023  10:21:07</t>
  </si>
  <si>
    <t xml:space="preserve">10:21:07</t>
  </si>
  <si>
    <t xml:space="preserve">06 07 2023  10:21:19</t>
  </si>
  <si>
    <t xml:space="preserve">10:21:19</t>
  </si>
  <si>
    <t xml:space="preserve">06 07 2023  10:21:21</t>
  </si>
  <si>
    <t xml:space="preserve">10:21:21</t>
  </si>
  <si>
    <t xml:space="preserve">155000025367</t>
  </si>
  <si>
    <t xml:space="preserve">06 07 2023  10:22:45</t>
  </si>
  <si>
    <t xml:space="preserve">10:22:45</t>
  </si>
  <si>
    <t xml:space="preserve">06 07 2023  10:22:46</t>
  </si>
  <si>
    <t xml:space="preserve">10:22:46</t>
  </si>
  <si>
    <t xml:space="preserve">06 07 2023  10:22:49</t>
  </si>
  <si>
    <t xml:space="preserve">10:22:49</t>
  </si>
  <si>
    <t xml:space="preserve">06 07 2023  10:22:51</t>
  </si>
  <si>
    <t xml:space="preserve">10:22:51</t>
  </si>
  <si>
    <t xml:space="preserve">06 07 2023  10:22:59</t>
  </si>
  <si>
    <t xml:space="preserve">10:22:59</t>
  </si>
  <si>
    <t xml:space="preserve">06 07 2023  10:23:03</t>
  </si>
  <si>
    <t xml:space="preserve">10:23:03</t>
  </si>
  <si>
    <t xml:space="preserve">06 07 2023  10:23:10</t>
  </si>
  <si>
    <t xml:space="preserve">10:23:10</t>
  </si>
  <si>
    <t xml:space="preserve">155000025923</t>
  </si>
  <si>
    <t xml:space="preserve">06 07 2023  16:31:47</t>
  </si>
  <si>
    <t xml:space="preserve">16:31:47</t>
  </si>
  <si>
    <t xml:space="preserve">06 07 2023  16:34:02</t>
  </si>
  <si>
    <t xml:space="preserve">16:34:02</t>
  </si>
  <si>
    <t xml:space="preserve">155000025757</t>
  </si>
  <si>
    <t xml:space="preserve">06 07 2023  17:12:04</t>
  </si>
  <si>
    <t xml:space="preserve">17:12:04</t>
  </si>
  <si>
    <t xml:space="preserve">06 07 2023  17:12:05</t>
  </si>
  <si>
    <t xml:space="preserve">17:12:05</t>
  </si>
  <si>
    <t xml:space="preserve">06 07 2023  17:24:33</t>
  </si>
  <si>
    <t xml:space="preserve">17:24:33</t>
  </si>
  <si>
    <t xml:space="preserve">06 07 2023  17:25:54</t>
  </si>
  <si>
    <t xml:space="preserve">17:25:54</t>
  </si>
  <si>
    <t xml:space="preserve">06 07 2023  17:25:56</t>
  </si>
  <si>
    <t xml:space="preserve">17:25:56</t>
  </si>
  <si>
    <t xml:space="preserve">06 07 2023  18:31:41</t>
  </si>
  <si>
    <t xml:space="preserve">18:31:41</t>
  </si>
  <si>
    <t xml:space="preserve">06 07 2023  18:31:57</t>
  </si>
  <si>
    <t xml:space="preserve">18:31:57</t>
  </si>
  <si>
    <t xml:space="preserve">155000025167</t>
  </si>
  <si>
    <t xml:space="preserve">06 07 2023  22:29:19</t>
  </si>
  <si>
    <t xml:space="preserve">22:29:19</t>
  </si>
  <si>
    <t xml:space="preserve">155000025800</t>
  </si>
  <si>
    <t xml:space="preserve">06 07 2023  22:42:47</t>
  </si>
  <si>
    <t xml:space="preserve">22:42:47</t>
  </si>
  <si>
    <t xml:space="preserve">06 07 2023  23:12:46</t>
  </si>
  <si>
    <t xml:space="preserve">23:12:46</t>
  </si>
  <si>
    <t xml:space="preserve">06 07 2023  23:14:47</t>
  </si>
  <si>
    <t xml:space="preserve">23:14:47</t>
  </si>
  <si>
    <t xml:space="preserve">06 07 2023  23:47:48</t>
  </si>
  <si>
    <t xml:space="preserve">23:47:48</t>
  </si>
  <si>
    <t xml:space="preserve">155000025801</t>
  </si>
  <si>
    <t xml:space="preserve">06 07 2023  23:54:00</t>
  </si>
  <si>
    <t xml:space="preserve">23:54:00</t>
  </si>
  <si>
    <t xml:space="preserve">155000026012</t>
  </si>
  <si>
    <t xml:space="preserve">07 07 2023  00:09:59</t>
  </si>
  <si>
    <t xml:space="preserve">00:09:59</t>
  </si>
  <si>
    <t xml:space="preserve">07 07 2023  00:10:04</t>
  </si>
  <si>
    <t xml:space="preserve">00:10:04</t>
  </si>
  <si>
    <t xml:space="preserve">155000025916</t>
  </si>
  <si>
    <t xml:space="preserve">07 07 2023  00:11:15</t>
  </si>
  <si>
    <t xml:space="preserve">00:11:15</t>
  </si>
  <si>
    <t xml:space="preserve">07 07 2023  00:11:17</t>
  </si>
  <si>
    <t xml:space="preserve">00:11:17</t>
  </si>
  <si>
    <t xml:space="preserve">155000025094</t>
  </si>
  <si>
    <t xml:space="preserve">07 07 2023  00:12:40</t>
  </si>
  <si>
    <t xml:space="preserve">00:12:40</t>
  </si>
  <si>
    <t xml:space="preserve">155000025656</t>
  </si>
  <si>
    <t xml:space="preserve">07 07 2023  00:16:34</t>
  </si>
  <si>
    <t xml:space="preserve">00:16:34</t>
  </si>
  <si>
    <t xml:space="preserve">07 07 2023  00:17:43</t>
  </si>
  <si>
    <t xml:space="preserve">00:17:43</t>
  </si>
  <si>
    <t xml:space="preserve">07 07 2023  00:17:46</t>
  </si>
  <si>
    <t xml:space="preserve">00:17:46</t>
  </si>
  <si>
    <t xml:space="preserve">07 07 2023  01:20:44</t>
  </si>
  <si>
    <t xml:space="preserve">01:20:44</t>
  </si>
  <si>
    <t xml:space="preserve">155000025392</t>
  </si>
  <si>
    <t xml:space="preserve">07 07 2023  01:30:15</t>
  </si>
  <si>
    <t xml:space="preserve">01:30:15</t>
  </si>
  <si>
    <t xml:space="preserve">07 07 2023  01:34:10</t>
  </si>
  <si>
    <t xml:space="preserve">01:34:10</t>
  </si>
  <si>
    <t xml:space="preserve">07 07 2023  02:31:50</t>
  </si>
  <si>
    <t xml:space="preserve">02:31:50</t>
  </si>
  <si>
    <t xml:space="preserve">155000025368</t>
  </si>
  <si>
    <t xml:space="preserve">07 07 2023  03:07:16</t>
  </si>
  <si>
    <t xml:space="preserve">03:07:16</t>
  </si>
  <si>
    <t xml:space="preserve">07 07 2023  03:08:59</t>
  </si>
  <si>
    <t xml:space="preserve">03:08:59</t>
  </si>
  <si>
    <t xml:space="preserve">07 07 2023  03:09:03</t>
  </si>
  <si>
    <t xml:space="preserve">03:09:03</t>
  </si>
  <si>
    <t xml:space="preserve">07 07 2023  03:30:20</t>
  </si>
  <si>
    <t xml:space="preserve">03:30:20</t>
  </si>
  <si>
    <t xml:space="preserve">07 07 2023  03:36:59</t>
  </si>
  <si>
    <t xml:space="preserve">03:36:59</t>
  </si>
  <si>
    <t xml:space="preserve">07 07 2023  03:38:10</t>
  </si>
  <si>
    <t xml:space="preserve">03:38:10</t>
  </si>
  <si>
    <t xml:space="preserve">07 07 2023  03:38:12</t>
  </si>
  <si>
    <t xml:space="preserve">03:38:12</t>
  </si>
  <si>
    <t xml:space="preserve">07 07 2023  03:39:29</t>
  </si>
  <si>
    <t xml:space="preserve">03:39:29</t>
  </si>
  <si>
    <t xml:space="preserve">07 07 2023  03:40:40</t>
  </si>
  <si>
    <t xml:space="preserve">03:40:40</t>
  </si>
  <si>
    <t xml:space="preserve">07 07 2023  03:42:17</t>
  </si>
  <si>
    <t xml:space="preserve">03:42:17</t>
  </si>
  <si>
    <t xml:space="preserve">07 07 2023  03:42:19</t>
  </si>
  <si>
    <t xml:space="preserve">03:42:19</t>
  </si>
  <si>
    <t xml:space="preserve">07 07 2023  03:43:49</t>
  </si>
  <si>
    <t xml:space="preserve">03:43:49</t>
  </si>
  <si>
    <t xml:space="preserve">07 07 2023  03:46:45</t>
  </si>
  <si>
    <t xml:space="preserve">03:46:45</t>
  </si>
  <si>
    <t xml:space="preserve">07 07 2023  03:50:14</t>
  </si>
  <si>
    <t xml:space="preserve">03:50:14</t>
  </si>
  <si>
    <t xml:space="preserve">07 07 2023  03:53:51</t>
  </si>
  <si>
    <t xml:space="preserve">03:53:51</t>
  </si>
  <si>
    <t xml:space="preserve">07 07 2023  03:54:51</t>
  </si>
  <si>
    <t xml:space="preserve">03:54:51</t>
  </si>
  <si>
    <t xml:space="preserve">07 07 2023  03:55:28</t>
  </si>
  <si>
    <t xml:space="preserve">03:55:28</t>
  </si>
  <si>
    <t xml:space="preserve">07 07 2023  04:26:38</t>
  </si>
  <si>
    <t xml:space="preserve">04:26:38</t>
  </si>
  <si>
    <t xml:space="preserve">07 07 2023  12:23:02</t>
  </si>
  <si>
    <t xml:space="preserve">12:23:02</t>
  </si>
  <si>
    <t xml:space="preserve">07 07 2023  15:28:55</t>
  </si>
  <si>
    <t xml:space="preserve">15:28:55</t>
  </si>
  <si>
    <t xml:space="preserve">07 07 2023  15:29:28</t>
  </si>
  <si>
    <t xml:space="preserve">15:29:28</t>
  </si>
  <si>
    <t xml:space="preserve">07 07 2023  15:29:48</t>
  </si>
  <si>
    <t xml:space="preserve">15:29:48</t>
  </si>
  <si>
    <t xml:space="preserve">07 07 2023  15:29:55</t>
  </si>
  <si>
    <t xml:space="preserve">15:29:55</t>
  </si>
  <si>
    <t xml:space="preserve">07 07 2023  15:30:43</t>
  </si>
  <si>
    <t xml:space="preserve">15:30:43</t>
  </si>
  <si>
    <t xml:space="preserve">07 07 2023  15:30:44</t>
  </si>
  <si>
    <t xml:space="preserve">15:30:44</t>
  </si>
  <si>
    <t xml:space="preserve">07 07 2023  15:31:22</t>
  </si>
  <si>
    <t xml:space="preserve">15:31:22</t>
  </si>
  <si>
    <t xml:space="preserve">07 07 2023  15:31:40</t>
  </si>
  <si>
    <t xml:space="preserve">15:31:40</t>
  </si>
  <si>
    <t xml:space="preserve">07 07 2023  15:32:03</t>
  </si>
  <si>
    <t xml:space="preserve">15:32:03</t>
  </si>
  <si>
    <t xml:space="preserve">07 07 2023  15:32:39</t>
  </si>
  <si>
    <t xml:space="preserve">15:32:39</t>
  </si>
  <si>
    <t xml:space="preserve">07 07 2023  15:32:41</t>
  </si>
  <si>
    <t xml:space="preserve">15:32:41</t>
  </si>
  <si>
    <t xml:space="preserve">07 07 2023  15:32:57</t>
  </si>
  <si>
    <t xml:space="preserve">15:32:57</t>
  </si>
  <si>
    <t xml:space="preserve">07 07 2023  15:33:35</t>
  </si>
  <si>
    <t xml:space="preserve">15:33:35</t>
  </si>
  <si>
    <t xml:space="preserve">07 07 2023  15:33:49</t>
  </si>
  <si>
    <t xml:space="preserve">15:33:49</t>
  </si>
  <si>
    <t xml:space="preserve">07 07 2023  15:34:50</t>
  </si>
  <si>
    <t xml:space="preserve">15:34:50</t>
  </si>
  <si>
    <t xml:space="preserve">07 07 2023  15:34:57</t>
  </si>
  <si>
    <t xml:space="preserve">15:34:57</t>
  </si>
  <si>
    <t xml:space="preserve">155000025031</t>
  </si>
  <si>
    <t xml:space="preserve">07 07 2023  16:04:08</t>
  </si>
  <si>
    <t xml:space="preserve">16:04:08</t>
  </si>
  <si>
    <t xml:space="preserve">155000025312</t>
  </si>
  <si>
    <t xml:space="preserve">07 07 2023  17:50:59</t>
  </si>
  <si>
    <t xml:space="preserve">17:50:59</t>
  </si>
  <si>
    <t xml:space="preserve">155000025417</t>
  </si>
  <si>
    <t xml:space="preserve">07 07 2023  18:19:36</t>
  </si>
  <si>
    <t xml:space="preserve">18:19:36</t>
  </si>
  <si>
    <t xml:space="preserve">155000025376</t>
  </si>
  <si>
    <t xml:space="preserve">08 07 2023  03:22:16</t>
  </si>
  <si>
    <t xml:space="preserve">03:22:16</t>
  </si>
  <si>
    <t xml:space="preserve">ID-1460541931523878688</t>
  </si>
  <si>
    <t xml:space="preserve">Alpha 16</t>
  </si>
  <si>
    <t xml:space="preserve">04 07 2023  08:20:26</t>
  </si>
  <si>
    <t xml:space="preserve">08:20:26</t>
  </si>
  <si>
    <t xml:space="preserve">04 07 2023  08:35:30</t>
  </si>
  <si>
    <t xml:space="preserve">08:35:30</t>
  </si>
  <si>
    <t xml:space="preserve">05 07 2023  06:47:52</t>
  </si>
  <si>
    <t xml:space="preserve">06:47:52</t>
  </si>
  <si>
    <t xml:space="preserve">05 07 2023  06:49:05</t>
  </si>
  <si>
    <t xml:space="preserve">06:49:05</t>
  </si>
  <si>
    <t xml:space="preserve">05 07 2023  06:49:30</t>
  </si>
  <si>
    <t xml:space="preserve">06:49:30</t>
  </si>
  <si>
    <t xml:space="preserve">05 07 2023  06:49:47</t>
  </si>
  <si>
    <t xml:space="preserve">06:49:47</t>
  </si>
  <si>
    <t xml:space="preserve">05 07 2023  06:50:09</t>
  </si>
  <si>
    <t xml:space="preserve">06:50:09</t>
  </si>
  <si>
    <t xml:space="preserve">05 07 2023  06:50:40</t>
  </si>
  <si>
    <t xml:space="preserve">06:50:40</t>
  </si>
  <si>
    <t xml:space="preserve">05 07 2023  06:51:15</t>
  </si>
  <si>
    <t xml:space="preserve">06:51:15</t>
  </si>
  <si>
    <t xml:space="preserve">05 07 2023  06:51:45</t>
  </si>
  <si>
    <t xml:space="preserve">06:51:45</t>
  </si>
  <si>
    <t xml:space="preserve">05 07 2023  06:52:46</t>
  </si>
  <si>
    <t xml:space="preserve">06:52:46</t>
  </si>
  <si>
    <t xml:space="preserve">05 07 2023  06:52:48</t>
  </si>
  <si>
    <t xml:space="preserve">06:52:48</t>
  </si>
  <si>
    <t xml:space="preserve">05 07 2023  06:54:17</t>
  </si>
  <si>
    <t xml:space="preserve">06:54:17</t>
  </si>
  <si>
    <t xml:space="preserve">05 07 2023  06:54:51</t>
  </si>
  <si>
    <t xml:space="preserve">06:54:51</t>
  </si>
  <si>
    <t xml:space="preserve">05 07 2023  07:01:24</t>
  </si>
  <si>
    <t xml:space="preserve">07:01:24</t>
  </si>
  <si>
    <t xml:space="preserve">05 07 2023  07:05:17</t>
  </si>
  <si>
    <t xml:space="preserve">07:05:17</t>
  </si>
  <si>
    <t xml:space="preserve">05 07 2023  07:46:15</t>
  </si>
  <si>
    <t xml:space="preserve">07:46:15</t>
  </si>
  <si>
    <t xml:space="preserve">05 07 2023  07:46:31</t>
  </si>
  <si>
    <t xml:space="preserve">07:46:31</t>
  </si>
  <si>
    <t xml:space="preserve">05 07 2023  07:46:47</t>
  </si>
  <si>
    <t xml:space="preserve">07:46:47</t>
  </si>
  <si>
    <t xml:space="preserve">05 07 2023  07:47:03</t>
  </si>
  <si>
    <t xml:space="preserve">07:47:03</t>
  </si>
  <si>
    <t xml:space="preserve">05 07 2023  07:47:18</t>
  </si>
  <si>
    <t xml:space="preserve">07:47:18</t>
  </si>
  <si>
    <t xml:space="preserve">05 07 2023  07:48:01</t>
  </si>
  <si>
    <t xml:space="preserve">07:48:01</t>
  </si>
  <si>
    <t xml:space="preserve">05 07 2023  07:48:03</t>
  </si>
  <si>
    <t xml:space="preserve">07:48:03</t>
  </si>
  <si>
    <t xml:space="preserve">05 07 2023  07:48:26</t>
  </si>
  <si>
    <t xml:space="preserve">07:48:26</t>
  </si>
  <si>
    <t xml:space="preserve">05 07 2023  07:48:28</t>
  </si>
  <si>
    <t xml:space="preserve">07:48:28</t>
  </si>
  <si>
    <t xml:space="preserve">05 07 2023  07:49:28</t>
  </si>
  <si>
    <t xml:space="preserve">07:49:28</t>
  </si>
  <si>
    <t xml:space="preserve">05 07 2023  07:52:09</t>
  </si>
  <si>
    <t xml:space="preserve">07:52:09</t>
  </si>
  <si>
    <t xml:space="preserve">05 07 2023  07:52:44</t>
  </si>
  <si>
    <t xml:space="preserve">07:52:44</t>
  </si>
  <si>
    <t xml:space="preserve">05 07 2023  07:53:28</t>
  </si>
  <si>
    <t xml:space="preserve">07:53:28</t>
  </si>
  <si>
    <t xml:space="preserve">05 07 2023  07:54:06</t>
  </si>
  <si>
    <t xml:space="preserve">07:54:06</t>
  </si>
  <si>
    <t xml:space="preserve">05 07 2023  07:54:29</t>
  </si>
  <si>
    <t xml:space="preserve">07:54:29</t>
  </si>
  <si>
    <t xml:space="preserve">05 07 2023  07:55:09</t>
  </si>
  <si>
    <t xml:space="preserve">07:55:09</t>
  </si>
  <si>
    <t xml:space="preserve">05 07 2023  07:57:09</t>
  </si>
  <si>
    <t xml:space="preserve">07:57:09</t>
  </si>
  <si>
    <t xml:space="preserve">05 07 2023  07:58:42</t>
  </si>
  <si>
    <t xml:space="preserve">07:58:42</t>
  </si>
  <si>
    <t xml:space="preserve">05 07 2023  07:59:26</t>
  </si>
  <si>
    <t xml:space="preserve">07:59:26</t>
  </si>
  <si>
    <t xml:space="preserve">05 07 2023  08:00:06</t>
  </si>
  <si>
    <t xml:space="preserve">08:00:06</t>
  </si>
  <si>
    <t xml:space="preserve">05 07 2023  08:01:54</t>
  </si>
  <si>
    <t xml:space="preserve">08:01:54</t>
  </si>
  <si>
    <t xml:space="preserve">05 07 2023  08:02:22</t>
  </si>
  <si>
    <t xml:space="preserve">08:02:22</t>
  </si>
  <si>
    <t xml:space="preserve">05 07 2023  08:04:37</t>
  </si>
  <si>
    <t xml:space="preserve">08:04:37</t>
  </si>
  <si>
    <t xml:space="preserve">05 07 2023  08:05:17</t>
  </si>
  <si>
    <t xml:space="preserve">08:05:17</t>
  </si>
  <si>
    <t xml:space="preserve">05 07 2023  09:30:09</t>
  </si>
  <si>
    <t xml:space="preserve">09:30:09</t>
  </si>
  <si>
    <t xml:space="preserve">05 07 2023  09:34:14</t>
  </si>
  <si>
    <t xml:space="preserve">09:34:14</t>
  </si>
  <si>
    <t xml:space="preserve">05 07 2023  09:36:24</t>
  </si>
  <si>
    <t xml:space="preserve">09:36:24</t>
  </si>
  <si>
    <t xml:space="preserve">05 07 2023  09:36:25</t>
  </si>
  <si>
    <t xml:space="preserve">09:36:25</t>
  </si>
  <si>
    <t xml:space="preserve">05 07 2023  09:37:27</t>
  </si>
  <si>
    <t xml:space="preserve">09:37:27</t>
  </si>
  <si>
    <t xml:space="preserve">05 07 2023  09:41:14</t>
  </si>
  <si>
    <t xml:space="preserve">09:41:14</t>
  </si>
  <si>
    <t xml:space="preserve">05 07 2023  09:45:05</t>
  </si>
  <si>
    <t xml:space="preserve">09:45:05</t>
  </si>
  <si>
    <t xml:space="preserve">05 07 2023  09:45:07</t>
  </si>
  <si>
    <t xml:space="preserve">09:45:07</t>
  </si>
  <si>
    <t xml:space="preserve">05 07 2023  09:46:02</t>
  </si>
  <si>
    <t xml:space="preserve">09:46:02</t>
  </si>
  <si>
    <t xml:space="preserve">05 07 2023  09:46:26</t>
  </si>
  <si>
    <t xml:space="preserve">09:46:26</t>
  </si>
  <si>
    <t xml:space="preserve">05 07 2023  09:55:20</t>
  </si>
  <si>
    <t xml:space="preserve">09:55:20</t>
  </si>
  <si>
    <t xml:space="preserve">05 07 2023  14:22:39</t>
  </si>
  <si>
    <t xml:space="preserve">14:22:39</t>
  </si>
  <si>
    <t xml:space="preserve">05 07 2023  14:24:21</t>
  </si>
  <si>
    <t xml:space="preserve">14:24:21</t>
  </si>
  <si>
    <t xml:space="preserve">05 07 2023  14:26:41</t>
  </si>
  <si>
    <t xml:space="preserve">14:26:41</t>
  </si>
  <si>
    <t xml:space="preserve">05 07 2023  14:28:20</t>
  </si>
  <si>
    <t xml:space="preserve">14:28:20</t>
  </si>
  <si>
    <t xml:space="preserve">05 07 2023  14:28:58</t>
  </si>
  <si>
    <t xml:space="preserve">14:28:58</t>
  </si>
  <si>
    <t xml:space="preserve">155000025845</t>
  </si>
  <si>
    <t xml:space="preserve">05 07 2023  18:30:17</t>
  </si>
  <si>
    <t xml:space="preserve">18:30:17</t>
  </si>
  <si>
    <t xml:space="preserve">05 07 2023  18:30:43</t>
  </si>
  <si>
    <t xml:space="preserve">18:30:43</t>
  </si>
  <si>
    <t xml:space="preserve">05 07 2023  18:32:35</t>
  </si>
  <si>
    <t xml:space="preserve">18:32:35</t>
  </si>
  <si>
    <t xml:space="preserve">05 07 2023  18:37:26</t>
  </si>
  <si>
    <t xml:space="preserve">18:37:26</t>
  </si>
  <si>
    <t xml:space="preserve">05 07 2023  23:40:00</t>
  </si>
  <si>
    <t xml:space="preserve">23:40:00</t>
  </si>
  <si>
    <t xml:space="preserve">06 07 2023  00:33:21</t>
  </si>
  <si>
    <t xml:space="preserve">00:33:21</t>
  </si>
  <si>
    <t xml:space="preserve">06 07 2023  13:25:03</t>
  </si>
  <si>
    <t xml:space="preserve">13:25:03</t>
  </si>
  <si>
    <t xml:space="preserve">155000025486</t>
  </si>
  <si>
    <t xml:space="preserve">06 07 2023  13:25:43</t>
  </si>
  <si>
    <t xml:space="preserve">13:25:43</t>
  </si>
  <si>
    <t xml:space="preserve">06 07 2023  14:41:09</t>
  </si>
  <si>
    <t xml:space="preserve">14:41:09</t>
  </si>
  <si>
    <t xml:space="preserve">06 07 2023  16:33:21</t>
  </si>
  <si>
    <t xml:space="preserve">16:33:21</t>
  </si>
  <si>
    <t xml:space="preserve">06 07 2023  16:42:37</t>
  </si>
  <si>
    <t xml:space="preserve">16:42:37</t>
  </si>
  <si>
    <t xml:space="preserve">06 07 2023  17:01:10</t>
  </si>
  <si>
    <t xml:space="preserve">17:01:10</t>
  </si>
  <si>
    <t xml:space="preserve">06 07 2023  17:40:16</t>
  </si>
  <si>
    <t xml:space="preserve">17:40:16</t>
  </si>
  <si>
    <t xml:space="preserve">06 07 2023  17:41:05</t>
  </si>
  <si>
    <t xml:space="preserve">17:41:05</t>
  </si>
  <si>
    <t xml:space="preserve">06 07 2023  17:42:54</t>
  </si>
  <si>
    <t xml:space="preserve">17:42:54</t>
  </si>
  <si>
    <t xml:space="preserve">06 07 2023  19:19:10</t>
  </si>
  <si>
    <t xml:space="preserve">19:19:10</t>
  </si>
  <si>
    <t xml:space="preserve">06 07 2023  19:22:12</t>
  </si>
  <si>
    <t xml:space="preserve">19:22:12</t>
  </si>
  <si>
    <t xml:space="preserve">06 07 2023  21:33:55</t>
  </si>
  <si>
    <t xml:space="preserve">21:33:55</t>
  </si>
  <si>
    <t xml:space="preserve">06 07 2023  21:34:43</t>
  </si>
  <si>
    <t xml:space="preserve">21:34:43</t>
  </si>
  <si>
    <t xml:space="preserve">06 07 2023  22:09:44</t>
  </si>
  <si>
    <t xml:space="preserve">22:09:44</t>
  </si>
  <si>
    <t xml:space="preserve">155000025439</t>
  </si>
  <si>
    <t xml:space="preserve">06 07 2023  22:21:26</t>
  </si>
  <si>
    <t xml:space="preserve">22:21:26</t>
  </si>
  <si>
    <t xml:space="preserve">07 07 2023  00:12:37</t>
  </si>
  <si>
    <t xml:space="preserve">00:12:37</t>
  </si>
  <si>
    <t xml:space="preserve">07 07 2023  01:08:14</t>
  </si>
  <si>
    <t xml:space="preserve">01:08:14</t>
  </si>
  <si>
    <t xml:space="preserve">07 07 2023  01:16:33</t>
  </si>
  <si>
    <t xml:space="preserve">01:16:33</t>
  </si>
  <si>
    <t xml:space="preserve">07 07 2023  01:22:29</t>
  </si>
  <si>
    <t xml:space="preserve">01:22:29</t>
  </si>
  <si>
    <t xml:space="preserve">07 07 2023  01:24:42</t>
  </si>
  <si>
    <t xml:space="preserve">01:24:42</t>
  </si>
  <si>
    <t xml:space="preserve">07 07 2023  01:28:05</t>
  </si>
  <si>
    <t xml:space="preserve">01:28:05</t>
  </si>
  <si>
    <t xml:space="preserve">07 07 2023  01:33:03</t>
  </si>
  <si>
    <t xml:space="preserve">01:33:03</t>
  </si>
  <si>
    <t xml:space="preserve">07 07 2023  02:31:32</t>
  </si>
  <si>
    <t xml:space="preserve">02:31:32</t>
  </si>
  <si>
    <t xml:space="preserve">07 07 2023  03:10:26</t>
  </si>
  <si>
    <t xml:space="preserve">03:10:26</t>
  </si>
  <si>
    <t xml:space="preserve">07 07 2023  05:43:30</t>
  </si>
  <si>
    <t xml:space="preserve">05:43:30</t>
  </si>
  <si>
    <t xml:space="preserve">07 07 2023  05:44:24</t>
  </si>
  <si>
    <t xml:space="preserve">05:44:24</t>
  </si>
  <si>
    <t xml:space="preserve">07 07 2023  09:54:23</t>
  </si>
  <si>
    <t xml:space="preserve">09:54:23</t>
  </si>
  <si>
    <t xml:space="preserve">07 07 2023  10:45:09</t>
  </si>
  <si>
    <t xml:space="preserve">10:45:09</t>
  </si>
  <si>
    <t xml:space="preserve">07 07 2023  14:33:45</t>
  </si>
  <si>
    <t xml:space="preserve">14:33:45</t>
  </si>
  <si>
    <t xml:space="preserve">08 07 2023  00:34:31</t>
  </si>
  <si>
    <t xml:space="preserve">00:34:31</t>
  </si>
  <si>
    <t xml:space="preserve">08 07 2023  01:07:50</t>
  </si>
  <si>
    <t xml:space="preserve">01:07:50</t>
  </si>
  <si>
    <t xml:space="preserve">08 07 2023  01:10:12</t>
  </si>
  <si>
    <t xml:space="preserve">01:10:12</t>
  </si>
  <si>
    <t xml:space="preserve">08 07 2023  01:18:07</t>
  </si>
  <si>
    <t xml:space="preserve">01:18:07</t>
  </si>
  <si>
    <t xml:space="preserve">ID-1460541931523872777</t>
  </si>
  <si>
    <t xml:space="preserve">Alpha 12</t>
  </si>
  <si>
    <t xml:space="preserve">155000025230</t>
  </si>
  <si>
    <t xml:space="preserve">04 07 2023  08:34:22</t>
  </si>
  <si>
    <t xml:space="preserve">08:34:22</t>
  </si>
  <si>
    <t xml:space="preserve">155000025681</t>
  </si>
  <si>
    <t xml:space="preserve">05 07 2023  11:33:56</t>
  </si>
  <si>
    <t xml:space="preserve">11:33:56</t>
  </si>
  <si>
    <t xml:space="preserve">05 07 2023  11:56:05</t>
  </si>
  <si>
    <t xml:space="preserve">11:56:05</t>
  </si>
  <si>
    <t xml:space="preserve">05 07 2023  11:56:30</t>
  </si>
  <si>
    <t xml:space="preserve">11:56:30</t>
  </si>
  <si>
    <t xml:space="preserve">05 07 2023  11:56:42</t>
  </si>
  <si>
    <t xml:space="preserve">11:56:42</t>
  </si>
  <si>
    <t xml:space="preserve">05 07 2023  11:58:30</t>
  </si>
  <si>
    <t xml:space="preserve">11:58:30</t>
  </si>
  <si>
    <t xml:space="preserve">05 07 2023  12:04:40</t>
  </si>
  <si>
    <t xml:space="preserve">12:04:40</t>
  </si>
  <si>
    <t xml:space="preserve">05 07 2023  12:18:17</t>
  </si>
  <si>
    <t xml:space="preserve">12:18:17</t>
  </si>
  <si>
    <t xml:space="preserve">05 07 2023  13:02:36</t>
  </si>
  <si>
    <t xml:space="preserve">13:02:36</t>
  </si>
  <si>
    <t xml:space="preserve">05 07 2023  13:02:38</t>
  </si>
  <si>
    <t xml:space="preserve">13:02:38</t>
  </si>
  <si>
    <t xml:space="preserve">05 07 2023  14:01:48</t>
  </si>
  <si>
    <t xml:space="preserve">14:01:48</t>
  </si>
  <si>
    <t xml:space="preserve">05 07 2023  14:25:29</t>
  </si>
  <si>
    <t xml:space="preserve">14:25:29</t>
  </si>
  <si>
    <t xml:space="preserve">05 07 2023  14:33:25</t>
  </si>
  <si>
    <t xml:space="preserve">14:33:25</t>
  </si>
  <si>
    <t xml:space="preserve">05 07 2023  14:46:12</t>
  </si>
  <si>
    <t xml:space="preserve">14:46:12</t>
  </si>
  <si>
    <t xml:space="preserve">05 07 2023  14:46:36</t>
  </si>
  <si>
    <t xml:space="preserve">14:46:36</t>
  </si>
  <si>
    <t xml:space="preserve">05 07 2023  17:57:40</t>
  </si>
  <si>
    <t xml:space="preserve">17:57:40</t>
  </si>
  <si>
    <t xml:space="preserve">05 07 2023  17:57:52</t>
  </si>
  <si>
    <t xml:space="preserve">17:57:52</t>
  </si>
  <si>
    <t xml:space="preserve">05 07 2023  17:59:25</t>
  </si>
  <si>
    <t xml:space="preserve">17:59:25</t>
  </si>
  <si>
    <t xml:space="preserve">05 07 2023  17:59:58</t>
  </si>
  <si>
    <t xml:space="preserve">17:59:58</t>
  </si>
  <si>
    <t xml:space="preserve">ID-884151479245149213</t>
  </si>
  <si>
    <t xml:space="preserve">Alpha 9</t>
  </si>
  <si>
    <t xml:space="preserve">155000025701</t>
  </si>
  <si>
    <t xml:space="preserve">04 07 2023  20:53:28</t>
  </si>
  <si>
    <t xml:space="preserve">20:53:28</t>
  </si>
  <si>
    <t xml:space="preserve">04 07 2023  21:03:11</t>
  </si>
  <si>
    <t xml:space="preserve">21:03:11</t>
  </si>
  <si>
    <t xml:space="preserve">155000025741</t>
  </si>
  <si>
    <t xml:space="preserve">04 07 2023  21:09:53</t>
  </si>
  <si>
    <t xml:space="preserve">21:09:53</t>
  </si>
  <si>
    <t xml:space="preserve">04 07 2023  21:21:16</t>
  </si>
  <si>
    <t xml:space="preserve">21:21:16</t>
  </si>
  <si>
    <t xml:space="preserve">155000025276</t>
  </si>
  <si>
    <t xml:space="preserve">05 07 2023  07:16:20</t>
  </si>
  <si>
    <t xml:space="preserve">07:16:20</t>
  </si>
  <si>
    <t xml:space="preserve">05 07 2023  07:16:25</t>
  </si>
  <si>
    <t xml:space="preserve">07:16:25</t>
  </si>
  <si>
    <t xml:space="preserve">05 07 2023  07:16:42</t>
  </si>
  <si>
    <t xml:space="preserve">07:16:42</t>
  </si>
  <si>
    <t xml:space="preserve">05 07 2023  07:17:22</t>
  </si>
  <si>
    <t xml:space="preserve">07:17:22</t>
  </si>
  <si>
    <t xml:space="preserve">05 07 2023  07:17:35</t>
  </si>
  <si>
    <t xml:space="preserve">07:17:35</t>
  </si>
  <si>
    <t xml:space="preserve">05 07 2023  07:18:14</t>
  </si>
  <si>
    <t xml:space="preserve">07:18:14</t>
  </si>
  <si>
    <t xml:space="preserve">05 07 2023  07:18:28</t>
  </si>
  <si>
    <t xml:space="preserve">07:18:28</t>
  </si>
  <si>
    <t xml:space="preserve">05 07 2023  07:18:38</t>
  </si>
  <si>
    <t xml:space="preserve">07:18:38</t>
  </si>
  <si>
    <t xml:space="preserve">05 07 2023  07:18:43</t>
  </si>
  <si>
    <t xml:space="preserve">07:18:43</t>
  </si>
  <si>
    <t xml:space="preserve">05 07 2023  07:19:40</t>
  </si>
  <si>
    <t xml:space="preserve">07:19:40</t>
  </si>
  <si>
    <t xml:space="preserve">05 07 2023  07:19:48</t>
  </si>
  <si>
    <t xml:space="preserve">07:19:48</t>
  </si>
  <si>
    <t xml:space="preserve">05 07 2023  07:20:01</t>
  </si>
  <si>
    <t xml:space="preserve">07:20:01</t>
  </si>
  <si>
    <t xml:space="preserve">05 07 2023  07:23:33</t>
  </si>
  <si>
    <t xml:space="preserve">07:23:33</t>
  </si>
  <si>
    <t xml:space="preserve">05 07 2023  07:23:52</t>
  </si>
  <si>
    <t xml:space="preserve">07:23:52</t>
  </si>
  <si>
    <t xml:space="preserve">05 07 2023  07:33:47</t>
  </si>
  <si>
    <t xml:space="preserve">07:33:47</t>
  </si>
  <si>
    <t xml:space="preserve">05 07 2023  07:34:09</t>
  </si>
  <si>
    <t xml:space="preserve">07:34:09</t>
  </si>
  <si>
    <t xml:space="preserve">05 07 2023  07:34:26</t>
  </si>
  <si>
    <t xml:space="preserve">07:34:26</t>
  </si>
  <si>
    <t xml:space="preserve">05 07 2023  07:34:33</t>
  </si>
  <si>
    <t xml:space="preserve">07:34:33</t>
  </si>
  <si>
    <t xml:space="preserve">05 07 2023  14:54:22</t>
  </si>
  <si>
    <t xml:space="preserve">14:54:22</t>
  </si>
  <si>
    <t xml:space="preserve">05 07 2023  14:54:52</t>
  </si>
  <si>
    <t xml:space="preserve">14:54:52</t>
  </si>
  <si>
    <t xml:space="preserve">05 07 2023  14:57:08</t>
  </si>
  <si>
    <t xml:space="preserve">14:57:08</t>
  </si>
  <si>
    <t xml:space="preserve">05 07 2023  14:58:00</t>
  </si>
  <si>
    <t xml:space="preserve">14:58:00</t>
  </si>
  <si>
    <t xml:space="preserve">05 07 2023  14:58:19</t>
  </si>
  <si>
    <t xml:space="preserve">14:58:19</t>
  </si>
  <si>
    <t xml:space="preserve">05 07 2023  14:59:07</t>
  </si>
  <si>
    <t xml:space="preserve">14:59:07</t>
  </si>
  <si>
    <t xml:space="preserve">05 07 2023  14:59:16</t>
  </si>
  <si>
    <t xml:space="preserve">14:59:16</t>
  </si>
  <si>
    <t xml:space="preserve">05 07 2023  15:09:46</t>
  </si>
  <si>
    <t xml:space="preserve">15:09:46</t>
  </si>
  <si>
    <t xml:space="preserve">05 07 2023  15:11:10</t>
  </si>
  <si>
    <t xml:space="preserve">15:11:10</t>
  </si>
  <si>
    <t xml:space="preserve">05 07 2023  15:11:16</t>
  </si>
  <si>
    <t xml:space="preserve">15:11:16</t>
  </si>
  <si>
    <t xml:space="preserve">05 07 2023  15:11:24</t>
  </si>
  <si>
    <t xml:space="preserve">15:11:24</t>
  </si>
  <si>
    <t xml:space="preserve">05 07 2023  15:12:21</t>
  </si>
  <si>
    <t xml:space="preserve">15:12:21</t>
  </si>
  <si>
    <t xml:space="preserve">05 07 2023  15:12:26</t>
  </si>
  <si>
    <t xml:space="preserve">15:12:26</t>
  </si>
  <si>
    <t xml:space="preserve">05 07 2023  15:12:34</t>
  </si>
  <si>
    <t xml:space="preserve">15:12:34</t>
  </si>
  <si>
    <t xml:space="preserve">05 07 2023  15:12:57</t>
  </si>
  <si>
    <t xml:space="preserve">15:12:57</t>
  </si>
  <si>
    <t xml:space="preserve">05 07 2023  15:13:42</t>
  </si>
  <si>
    <t xml:space="preserve">15:13:42</t>
  </si>
  <si>
    <t xml:space="preserve">05 07 2023  15:14:21</t>
  </si>
  <si>
    <t xml:space="preserve">15:14:21</t>
  </si>
  <si>
    <t xml:space="preserve">05 07 2023  15:14:51</t>
  </si>
  <si>
    <t xml:space="preserve">15:14:51</t>
  </si>
  <si>
    <t xml:space="preserve">05 07 2023  15:15:23</t>
  </si>
  <si>
    <t xml:space="preserve">15:15:23</t>
  </si>
  <si>
    <t xml:space="preserve">05 07 2023  15:17:23</t>
  </si>
  <si>
    <t xml:space="preserve">15:17:23</t>
  </si>
  <si>
    <t xml:space="preserve">05 07 2023  15:18:20</t>
  </si>
  <si>
    <t xml:space="preserve">15:18:20</t>
  </si>
  <si>
    <t xml:space="preserve">05 07 2023  15:18:24</t>
  </si>
  <si>
    <t xml:space="preserve">15:18:24</t>
  </si>
  <si>
    <t xml:space="preserve">05 07 2023  15:18:59</t>
  </si>
  <si>
    <t xml:space="preserve">15:18:59</t>
  </si>
  <si>
    <t xml:space="preserve">05 07 2023  15:22:19</t>
  </si>
  <si>
    <t xml:space="preserve">15:22:19</t>
  </si>
  <si>
    <t xml:space="preserve">05 07 2023  15:22:29</t>
  </si>
  <si>
    <t xml:space="preserve">15:22:29</t>
  </si>
  <si>
    <t xml:space="preserve">05 07 2023  15:54:46</t>
  </si>
  <si>
    <t xml:space="preserve">15:54:46</t>
  </si>
  <si>
    <t xml:space="preserve">05 07 2023  15:54:52</t>
  </si>
  <si>
    <t xml:space="preserve">15:54:52</t>
  </si>
  <si>
    <t xml:space="preserve">05 07 2023  15:55:06</t>
  </si>
  <si>
    <t xml:space="preserve">15:55:06</t>
  </si>
  <si>
    <t xml:space="preserve">05 07 2023  16:27:58</t>
  </si>
  <si>
    <t xml:space="preserve">16:27:58</t>
  </si>
  <si>
    <t xml:space="preserve">05 07 2023  16:28:29</t>
  </si>
  <si>
    <t xml:space="preserve">16:28:29</t>
  </si>
  <si>
    <t xml:space="preserve">05 07 2023  16:28:45</t>
  </si>
  <si>
    <t xml:space="preserve">16:28:45</t>
  </si>
  <si>
    <t xml:space="preserve">155000025759</t>
  </si>
  <si>
    <t xml:space="preserve">05 07 2023  16:34:05</t>
  </si>
  <si>
    <t xml:space="preserve">16:34:05</t>
  </si>
  <si>
    <t xml:space="preserve">05 07 2023  16:37:13</t>
  </si>
  <si>
    <t xml:space="preserve">16:37:13</t>
  </si>
  <si>
    <t xml:space="preserve">155000025519</t>
  </si>
  <si>
    <t xml:space="preserve">05 07 2023  16:52:02</t>
  </si>
  <si>
    <t xml:space="preserve">16:52:02</t>
  </si>
  <si>
    <t xml:space="preserve">05 07 2023  16:52:23</t>
  </si>
  <si>
    <t xml:space="preserve">16:52:23</t>
  </si>
  <si>
    <t xml:space="preserve">05 07 2023  16:53:12</t>
  </si>
  <si>
    <t xml:space="preserve">16:53:12</t>
  </si>
  <si>
    <t xml:space="preserve">05 07 2023  16:53:37</t>
  </si>
  <si>
    <t xml:space="preserve">16:53:37</t>
  </si>
  <si>
    <t xml:space="preserve">05 07 2023  16:53:45</t>
  </si>
  <si>
    <t xml:space="preserve">16:53:45</t>
  </si>
  <si>
    <t xml:space="preserve">05 07 2023  16:56:20</t>
  </si>
  <si>
    <t xml:space="preserve">16:56:20</t>
  </si>
  <si>
    <t xml:space="preserve">05 07 2023  17:06:26</t>
  </si>
  <si>
    <t xml:space="preserve">17:06:26</t>
  </si>
  <si>
    <t xml:space="preserve">05 07 2023  17:10:09</t>
  </si>
  <si>
    <t xml:space="preserve">17:10:09</t>
  </si>
  <si>
    <t xml:space="preserve">05 07 2023  17:16:09</t>
  </si>
  <si>
    <t xml:space="preserve">17:16:09</t>
  </si>
  <si>
    <t xml:space="preserve">05 07 2023  18:08:01</t>
  </si>
  <si>
    <t xml:space="preserve">18:08:01</t>
  </si>
  <si>
    <t xml:space="preserve">05 07 2023  18:51:32</t>
  </si>
  <si>
    <t xml:space="preserve">18:51:32</t>
  </si>
  <si>
    <t xml:space="preserve">05 07 2023  18:51:53</t>
  </si>
  <si>
    <t xml:space="preserve">18:51:53</t>
  </si>
  <si>
    <t xml:space="preserve">05 07 2023  18:52:06</t>
  </si>
  <si>
    <t xml:space="preserve">18:52:06</t>
  </si>
  <si>
    <t xml:space="preserve">05 07 2023  18:55:50</t>
  </si>
  <si>
    <t xml:space="preserve">18:55:50</t>
  </si>
  <si>
    <t xml:space="preserve">05 07 2023  18:55:53</t>
  </si>
  <si>
    <t xml:space="preserve">18:55:53</t>
  </si>
  <si>
    <t xml:space="preserve">05 07 2023  18:56:08</t>
  </si>
  <si>
    <t xml:space="preserve">18:56:08</t>
  </si>
  <si>
    <t xml:space="preserve">05 07 2023  18:56:55</t>
  </si>
  <si>
    <t xml:space="preserve">18:56:55</t>
  </si>
  <si>
    <t xml:space="preserve">05 07 2023  18:56:59</t>
  </si>
  <si>
    <t xml:space="preserve">18:56:59</t>
  </si>
  <si>
    <t xml:space="preserve">05 07 2023  18:58:05</t>
  </si>
  <si>
    <t xml:space="preserve">18:58:05</t>
  </si>
  <si>
    <t xml:space="preserve">05 07 2023  18:59:00</t>
  </si>
  <si>
    <t xml:space="preserve">18:59:00</t>
  </si>
  <si>
    <t xml:space="preserve">05 07 2023  18:59:13</t>
  </si>
  <si>
    <t xml:space="preserve">18:59:13</t>
  </si>
  <si>
    <t xml:space="preserve">155000025861</t>
  </si>
  <si>
    <t xml:space="preserve">05 07 2023  18:59:47</t>
  </si>
  <si>
    <t xml:space="preserve">18:59:47</t>
  </si>
  <si>
    <t xml:space="preserve">05 07 2023  18:59:52</t>
  </si>
  <si>
    <t xml:space="preserve">18:59:52</t>
  </si>
  <si>
    <t xml:space="preserve">05 07 2023  22:22:50</t>
  </si>
  <si>
    <t xml:space="preserve">22:22:50</t>
  </si>
  <si>
    <t xml:space="preserve">05 07 2023  22:22:52</t>
  </si>
  <si>
    <t xml:space="preserve">22:22:52</t>
  </si>
  <si>
    <t xml:space="preserve">06 07 2023  00:13:44</t>
  </si>
  <si>
    <t xml:space="preserve">00:13:44</t>
  </si>
  <si>
    <t xml:space="preserve">06 07 2023  00:28:05</t>
  </si>
  <si>
    <t xml:space="preserve">00:28:05</t>
  </si>
  <si>
    <t xml:space="preserve">06 07 2023  00:31:46</t>
  </si>
  <si>
    <t xml:space="preserve">00:31:46</t>
  </si>
  <si>
    <t xml:space="preserve">06 07 2023  00:33:23</t>
  </si>
  <si>
    <t xml:space="preserve">00:33:23</t>
  </si>
  <si>
    <t xml:space="preserve">06 07 2023  00:33:25</t>
  </si>
  <si>
    <t xml:space="preserve">00:33:25</t>
  </si>
  <si>
    <t xml:space="preserve">06 07 2023  00:35:20</t>
  </si>
  <si>
    <t xml:space="preserve">00:35:20</t>
  </si>
  <si>
    <t xml:space="preserve">06 07 2023  00:53:26</t>
  </si>
  <si>
    <t xml:space="preserve">00:53:26</t>
  </si>
  <si>
    <t xml:space="preserve">06 07 2023  00:53:29</t>
  </si>
  <si>
    <t xml:space="preserve">00:53:29</t>
  </si>
  <si>
    <t xml:space="preserve">06 07 2023  00:57:16</t>
  </si>
  <si>
    <t xml:space="preserve">00:57:16</t>
  </si>
  <si>
    <t xml:space="preserve">06 07 2023  01:54:07</t>
  </si>
  <si>
    <t xml:space="preserve">01:54:07</t>
  </si>
  <si>
    <t xml:space="preserve">06 07 2023  01:54:11</t>
  </si>
  <si>
    <t xml:space="preserve">01:54:11</t>
  </si>
  <si>
    <t xml:space="preserve">06 07 2023  01:55:00</t>
  </si>
  <si>
    <t xml:space="preserve">01:55:00</t>
  </si>
  <si>
    <t xml:space="preserve">06 07 2023  02:01:48</t>
  </si>
  <si>
    <t xml:space="preserve">02:01:48</t>
  </si>
  <si>
    <t xml:space="preserve">06 07 2023  02:01:51</t>
  </si>
  <si>
    <t xml:space="preserve">02:01:51</t>
  </si>
  <si>
    <t xml:space="preserve">06 07 2023  02:56:37</t>
  </si>
  <si>
    <t xml:space="preserve">02:56:37</t>
  </si>
  <si>
    <t xml:space="preserve">06 07 2023  02:59:54</t>
  </si>
  <si>
    <t xml:space="preserve">02:59:54</t>
  </si>
  <si>
    <t xml:space="preserve">06 07 2023  04:33:38</t>
  </si>
  <si>
    <t xml:space="preserve">04:33:38</t>
  </si>
  <si>
    <t xml:space="preserve">06 07 2023  04:35:22</t>
  </si>
  <si>
    <t xml:space="preserve">04:35:22</t>
  </si>
  <si>
    <t xml:space="preserve">06 07 2023  04:35:50</t>
  </si>
  <si>
    <t xml:space="preserve">04:35:50</t>
  </si>
  <si>
    <t xml:space="preserve">06 07 2023  04:36:48</t>
  </si>
  <si>
    <t xml:space="preserve">04:36:48</t>
  </si>
  <si>
    <t xml:space="preserve">06 07 2023  04:37:41</t>
  </si>
  <si>
    <t xml:space="preserve">04:37:41</t>
  </si>
  <si>
    <t xml:space="preserve">06 07 2023  04:38:16</t>
  </si>
  <si>
    <t xml:space="preserve">04:38:16</t>
  </si>
  <si>
    <t xml:space="preserve">06 07 2023  04:40:09</t>
  </si>
  <si>
    <t xml:space="preserve">04:40:09</t>
  </si>
  <si>
    <t xml:space="preserve">06 07 2023  04:40:25</t>
  </si>
  <si>
    <t xml:space="preserve">04:40:25</t>
  </si>
  <si>
    <t xml:space="preserve">06 07 2023  04:40:40</t>
  </si>
  <si>
    <t xml:space="preserve">04:40:40</t>
  </si>
  <si>
    <t xml:space="preserve">06 07 2023  04:44:33</t>
  </si>
  <si>
    <t xml:space="preserve">04:44:33</t>
  </si>
  <si>
    <t xml:space="preserve">06 07 2023  04:44:59</t>
  </si>
  <si>
    <t xml:space="preserve">04:44:59</t>
  </si>
  <si>
    <t xml:space="preserve">06 07 2023  04:45:38</t>
  </si>
  <si>
    <t xml:space="preserve">04:45:38</t>
  </si>
  <si>
    <t xml:space="preserve">06 07 2023  04:46:20</t>
  </si>
  <si>
    <t xml:space="preserve">04:46:20</t>
  </si>
  <si>
    <t xml:space="preserve">06 07 2023  04:46:22</t>
  </si>
  <si>
    <t xml:space="preserve">04:46:22</t>
  </si>
  <si>
    <t xml:space="preserve">06 07 2023  04:46:34</t>
  </si>
  <si>
    <t xml:space="preserve">04:46:34</t>
  </si>
  <si>
    <t xml:space="preserve">06 07 2023  04:46:49</t>
  </si>
  <si>
    <t xml:space="preserve">04:46:49</t>
  </si>
  <si>
    <t xml:space="preserve">06 07 2023  04:46:51</t>
  </si>
  <si>
    <t xml:space="preserve">04:46:51</t>
  </si>
  <si>
    <t xml:space="preserve">06 07 2023  04:47:16</t>
  </si>
  <si>
    <t xml:space="preserve">04:47:16</t>
  </si>
  <si>
    <t xml:space="preserve">06 07 2023  04:48:58</t>
  </si>
  <si>
    <t xml:space="preserve">04:48:58</t>
  </si>
  <si>
    <t xml:space="preserve">06 07 2023  04:49:13</t>
  </si>
  <si>
    <t xml:space="preserve">04:49:13</t>
  </si>
  <si>
    <t xml:space="preserve">155000025388</t>
  </si>
  <si>
    <t xml:space="preserve">06 07 2023  04:50:27</t>
  </si>
  <si>
    <t xml:space="preserve">04:50:27</t>
  </si>
  <si>
    <t xml:space="preserve">06 07 2023  04:50:28</t>
  </si>
  <si>
    <t xml:space="preserve">04:50:28</t>
  </si>
  <si>
    <t xml:space="preserve">06 07 2023  04:50:44</t>
  </si>
  <si>
    <t xml:space="preserve">04:50:44</t>
  </si>
  <si>
    <t xml:space="preserve">06 07 2023  04:51:11</t>
  </si>
  <si>
    <t xml:space="preserve">04:51:11</t>
  </si>
  <si>
    <t xml:space="preserve">06 07 2023  04:51:12</t>
  </si>
  <si>
    <t xml:space="preserve">04:51:12</t>
  </si>
  <si>
    <t xml:space="preserve">06 07 2023  04:51:34</t>
  </si>
  <si>
    <t xml:space="preserve">04:51:34</t>
  </si>
  <si>
    <t xml:space="preserve">06 07 2023  04:51:55</t>
  </si>
  <si>
    <t xml:space="preserve">04:51:55</t>
  </si>
  <si>
    <t xml:space="preserve">06 07 2023  04:51:57</t>
  </si>
  <si>
    <t xml:space="preserve">04:51:57</t>
  </si>
  <si>
    <t xml:space="preserve">06 07 2023  04:52:44</t>
  </si>
  <si>
    <t xml:space="preserve">04:52:44</t>
  </si>
  <si>
    <t xml:space="preserve">06 07 2023  04:53:17</t>
  </si>
  <si>
    <t xml:space="preserve">04:53:17</t>
  </si>
  <si>
    <t xml:space="preserve">06 07 2023  04:53:55</t>
  </si>
  <si>
    <t xml:space="preserve">04:53:55</t>
  </si>
  <si>
    <t xml:space="preserve">06 07 2023  04:54:19</t>
  </si>
  <si>
    <t xml:space="preserve">04:54:19</t>
  </si>
  <si>
    <t xml:space="preserve">06 07 2023  04:56:05</t>
  </si>
  <si>
    <t xml:space="preserve">04:56:05</t>
  </si>
  <si>
    <t xml:space="preserve">06 07 2023  05:01:14</t>
  </si>
  <si>
    <t xml:space="preserve">05:01:14</t>
  </si>
  <si>
    <t xml:space="preserve">06 07 2023  05:01:15</t>
  </si>
  <si>
    <t xml:space="preserve">05:01:15</t>
  </si>
  <si>
    <t xml:space="preserve">06 07 2023  06:51:38</t>
  </si>
  <si>
    <t xml:space="preserve">06:51:38</t>
  </si>
  <si>
    <t xml:space="preserve">06 07 2023  06:57:05</t>
  </si>
  <si>
    <t xml:space="preserve">06:57:05</t>
  </si>
  <si>
    <t xml:space="preserve">06 07 2023  06:57:41</t>
  </si>
  <si>
    <t xml:space="preserve">06:57:41</t>
  </si>
  <si>
    <t xml:space="preserve">06 07 2023  06:57:43</t>
  </si>
  <si>
    <t xml:space="preserve">06:57:43</t>
  </si>
  <si>
    <t xml:space="preserve">06 07 2023  07:02:49</t>
  </si>
  <si>
    <t xml:space="preserve">07:02:49</t>
  </si>
  <si>
    <t xml:space="preserve">06 07 2023  09:32:06</t>
  </si>
  <si>
    <t xml:space="preserve">09:32:06</t>
  </si>
  <si>
    <t xml:space="preserve">06 07 2023  09:32:11</t>
  </si>
  <si>
    <t xml:space="preserve">09:32:11</t>
  </si>
  <si>
    <t xml:space="preserve">06 07 2023  09:34:39</t>
  </si>
  <si>
    <t xml:space="preserve">09:34:39</t>
  </si>
  <si>
    <t xml:space="preserve">06 07 2023  09:37:08</t>
  </si>
  <si>
    <t xml:space="preserve">09:37:08</t>
  </si>
  <si>
    <t xml:space="preserve">06 07 2023  09:38:34</t>
  </si>
  <si>
    <t xml:space="preserve">09:38:34</t>
  </si>
  <si>
    <t xml:space="preserve">06 07 2023  09:42:03</t>
  </si>
  <si>
    <t xml:space="preserve">09:42:03</t>
  </si>
  <si>
    <t xml:space="preserve">06 07 2023  09:50:04</t>
  </si>
  <si>
    <t xml:space="preserve">09:50:04</t>
  </si>
  <si>
    <t xml:space="preserve">06 07 2023  10:37:30</t>
  </si>
  <si>
    <t xml:space="preserve">10:37:30</t>
  </si>
  <si>
    <t xml:space="preserve">06 07 2023  10:38:55</t>
  </si>
  <si>
    <t xml:space="preserve">10:38:55</t>
  </si>
  <si>
    <t xml:space="preserve">06 07 2023  10:41:19</t>
  </si>
  <si>
    <t xml:space="preserve">10:41:19</t>
  </si>
  <si>
    <t xml:space="preserve">06 07 2023  10:41:21</t>
  </si>
  <si>
    <t xml:space="preserve">10:41:21</t>
  </si>
  <si>
    <t xml:space="preserve">06 07 2023  10:42:43</t>
  </si>
  <si>
    <t xml:space="preserve">10:42:43</t>
  </si>
  <si>
    <t xml:space="preserve">155000025232</t>
  </si>
  <si>
    <t xml:space="preserve">06 07 2023  10:48:27</t>
  </si>
  <si>
    <t xml:space="preserve">10:48:27</t>
  </si>
  <si>
    <t xml:space="preserve">155000025591</t>
  </si>
  <si>
    <t xml:space="preserve">06 07 2023  12:47:07</t>
  </si>
  <si>
    <t xml:space="preserve">12:47:07</t>
  </si>
  <si>
    <t xml:space="preserve">06 07 2023  13:39:16</t>
  </si>
  <si>
    <t xml:space="preserve">13:39:16</t>
  </si>
  <si>
    <t xml:space="preserve">06 07 2023  13:41:17</t>
  </si>
  <si>
    <t xml:space="preserve">13:41:17</t>
  </si>
  <si>
    <t xml:space="preserve">06 07 2023  13:45:05</t>
  </si>
  <si>
    <t xml:space="preserve">13:45:05</t>
  </si>
  <si>
    <t xml:space="preserve">06 07 2023  13:45:08</t>
  </si>
  <si>
    <t xml:space="preserve">13:45:08</t>
  </si>
  <si>
    <t xml:space="preserve">06 07 2023  13:51:36</t>
  </si>
  <si>
    <t xml:space="preserve">13:51:36</t>
  </si>
  <si>
    <t xml:space="preserve">06 07 2023  13:52:16</t>
  </si>
  <si>
    <t xml:space="preserve">13:52:16</t>
  </si>
  <si>
    <t xml:space="preserve">06 07 2023  13:52:17</t>
  </si>
  <si>
    <t xml:space="preserve">13:52:17</t>
  </si>
  <si>
    <t xml:space="preserve">06 07 2023  13:53:08</t>
  </si>
  <si>
    <t xml:space="preserve">13:53:08</t>
  </si>
  <si>
    <t xml:space="preserve">06 07 2023  13:53:32</t>
  </si>
  <si>
    <t xml:space="preserve">13:53:32</t>
  </si>
  <si>
    <t xml:space="preserve">06 07 2023  15:49:01</t>
  </si>
  <si>
    <t xml:space="preserve">15:49:01</t>
  </si>
  <si>
    <t xml:space="preserve">06 07 2023  15:49:44</t>
  </si>
  <si>
    <t xml:space="preserve">15:49:44</t>
  </si>
  <si>
    <t xml:space="preserve">06 07 2023  15:54:50</t>
  </si>
  <si>
    <t xml:space="preserve">15:54:50</t>
  </si>
  <si>
    <t xml:space="preserve">06 07 2023  15:55:43</t>
  </si>
  <si>
    <t xml:space="preserve">15:55:43</t>
  </si>
  <si>
    <t xml:space="preserve">155000025973</t>
  </si>
  <si>
    <t xml:space="preserve">06 07 2023  16:22:10</t>
  </si>
  <si>
    <t xml:space="preserve">16:22:10</t>
  </si>
  <si>
    <t xml:space="preserve">06 07 2023  16:22:32</t>
  </si>
  <si>
    <t xml:space="preserve">16:22:32</t>
  </si>
  <si>
    <t xml:space="preserve">06 07 2023  16:23:44</t>
  </si>
  <si>
    <t xml:space="preserve">16:23:44</t>
  </si>
  <si>
    <t xml:space="preserve">06 07 2023  16:24:39</t>
  </si>
  <si>
    <t xml:space="preserve">16:24:39</t>
  </si>
  <si>
    <t xml:space="preserve">06 07 2023  16:26:17</t>
  </si>
  <si>
    <t xml:space="preserve">16:26:17</t>
  </si>
  <si>
    <t xml:space="preserve">06 07 2023  16:27:56</t>
  </si>
  <si>
    <t xml:space="preserve">16:27:56</t>
  </si>
  <si>
    <t xml:space="preserve">06 07 2023  16:32:04</t>
  </si>
  <si>
    <t xml:space="preserve">16:32:04</t>
  </si>
  <si>
    <t xml:space="preserve">06 07 2023  16:32:22</t>
  </si>
  <si>
    <t xml:space="preserve">16:32:22</t>
  </si>
  <si>
    <t xml:space="preserve">06 07 2023  16:32:41</t>
  </si>
  <si>
    <t xml:space="preserve">16:32:41</t>
  </si>
  <si>
    <t xml:space="preserve">06 07 2023  17:00:29</t>
  </si>
  <si>
    <t xml:space="preserve">17:00:29</t>
  </si>
  <si>
    <t xml:space="preserve">06 07 2023  17:01:58</t>
  </si>
  <si>
    <t xml:space="preserve">17:01:58</t>
  </si>
  <si>
    <t xml:space="preserve">06 07 2023  20:06:04</t>
  </si>
  <si>
    <t xml:space="preserve">20:06:04</t>
  </si>
  <si>
    <t xml:space="preserve">06 07 2023  20:19:19</t>
  </si>
  <si>
    <t xml:space="preserve">20:19:19</t>
  </si>
  <si>
    <t xml:space="preserve">06 07 2023  20:19:44</t>
  </si>
  <si>
    <t xml:space="preserve">20:19:44</t>
  </si>
  <si>
    <t xml:space="preserve">06 07 2023  20:22:12</t>
  </si>
  <si>
    <t xml:space="preserve">20:22:12</t>
  </si>
  <si>
    <t xml:space="preserve">06 07 2023  20:23:57</t>
  </si>
  <si>
    <t xml:space="preserve">20:23:57</t>
  </si>
  <si>
    <t xml:space="preserve">06 07 2023  20:23:59</t>
  </si>
  <si>
    <t xml:space="preserve">20:23:59</t>
  </si>
  <si>
    <t xml:space="preserve">06 07 2023  20:24:23</t>
  </si>
  <si>
    <t xml:space="preserve">20:24:23</t>
  </si>
  <si>
    <t xml:space="preserve">06 07 2023  20:24:37</t>
  </si>
  <si>
    <t xml:space="preserve">20:24:37</t>
  </si>
  <si>
    <t xml:space="preserve">06 07 2023  20:24:48</t>
  </si>
  <si>
    <t xml:space="preserve">20:24:48</t>
  </si>
  <si>
    <t xml:space="preserve">06 07 2023  20:25:09</t>
  </si>
  <si>
    <t xml:space="preserve">20:25:09</t>
  </si>
  <si>
    <t xml:space="preserve">06 07 2023  20:25:41</t>
  </si>
  <si>
    <t xml:space="preserve">20:25:41</t>
  </si>
  <si>
    <t xml:space="preserve">06 07 2023  20:26:01</t>
  </si>
  <si>
    <t xml:space="preserve">20:26:01</t>
  </si>
  <si>
    <t xml:space="preserve">06 07 2023  20:40:10</t>
  </si>
  <si>
    <t xml:space="preserve">20:40:10</t>
  </si>
  <si>
    <t xml:space="preserve">06 07 2023  21:25:39</t>
  </si>
  <si>
    <t xml:space="preserve">21:25:39</t>
  </si>
  <si>
    <t xml:space="preserve">06 07 2023  21:26:21</t>
  </si>
  <si>
    <t xml:space="preserve">21:26:21</t>
  </si>
  <si>
    <t xml:space="preserve">06 07 2023  21:26:30</t>
  </si>
  <si>
    <t xml:space="preserve">21:26:30</t>
  </si>
  <si>
    <t xml:space="preserve">06 07 2023  21:27:35</t>
  </si>
  <si>
    <t xml:space="preserve">21:27:35</t>
  </si>
  <si>
    <t xml:space="preserve">06 07 2023  21:28:04</t>
  </si>
  <si>
    <t xml:space="preserve">21:28:04</t>
  </si>
  <si>
    <t xml:space="preserve">06 07 2023  21:47:47</t>
  </si>
  <si>
    <t xml:space="preserve">21:47:47</t>
  </si>
  <si>
    <t xml:space="preserve">06 07 2023  21:48:03</t>
  </si>
  <si>
    <t xml:space="preserve">21:48:03</t>
  </si>
  <si>
    <t xml:space="preserve">07 07 2023  06:39:54</t>
  </si>
  <si>
    <t xml:space="preserve">06:39:54</t>
  </si>
  <si>
    <t xml:space="preserve">07 07 2023  06:42:52</t>
  </si>
  <si>
    <t xml:space="preserve">06:42:52</t>
  </si>
  <si>
    <t xml:space="preserve">07 07 2023  06:43:05</t>
  </si>
  <si>
    <t xml:space="preserve">06:43:05</t>
  </si>
  <si>
    <t xml:space="preserve">07 07 2023  06:43:28</t>
  </si>
  <si>
    <t xml:space="preserve">06:43:28</t>
  </si>
  <si>
    <t xml:space="preserve">07 07 2023  06:44:33</t>
  </si>
  <si>
    <t xml:space="preserve">06:44:33</t>
  </si>
  <si>
    <t xml:space="preserve">N° Ordre brebis</t>
  </si>
  <si>
    <t xml:space="preserve">Nb Chev Cumulés Brebis</t>
  </si>
  <si>
    <t xml:space="preserve">035122144574</t>
  </si>
  <si>
    <t xml:space="preserve">06 07 2023  00:14:31</t>
  </si>
  <si>
    <t xml:space="preserve">00:14:31</t>
  </si>
  <si>
    <t xml:space="preserve">016286823223</t>
  </si>
  <si>
    <t xml:space="preserve">06 07 2023  13:24:53</t>
  </si>
  <si>
    <t xml:space="preserve">13:24:53</t>
  </si>
  <si>
    <t xml:space="preserve">016286802290</t>
  </si>
  <si>
    <t xml:space="preserve">07 07 2023  04:07:11</t>
  </si>
  <si>
    <t xml:space="preserve">04:07:11</t>
  </si>
  <si>
    <t xml:space="preserve">Lot Effet mâle</t>
  </si>
  <si>
    <t xml:space="preserve">Production laitière</t>
  </si>
  <si>
    <t xml:space="preserve">Suivi chaleur - IA</t>
  </si>
  <si>
    <t xml:space="preserve">Echo (08/09/2023)</t>
  </si>
  <si>
    <t xml:space="preserve">num</t>
  </si>
  <si>
    <t xml:space="preserve">Lot</t>
  </si>
  <si>
    <t xml:space="preserve">N° Glasstag</t>
  </si>
  <si>
    <t xml:space="preserve">Date naissance</t>
  </si>
  <si>
    <t xml:space="preserve">Age</t>
  </si>
  <si>
    <t xml:space="preserve">Mise bas </t>
  </si>
  <si>
    <t xml:space="preserve">Nb agneaux</t>
  </si>
  <si>
    <t xml:space="preserve">Interv MB-EM (jours)</t>
  </si>
  <si>
    <t xml:space="preserve">Pesée 1</t>
  </si>
  <si>
    <t xml:space="preserve">Date pesée 2</t>
  </si>
  <si>
    <t xml:space="preserve">Pesée 2</t>
  </si>
  <si>
    <t xml:space="preserve">Date pesée 3</t>
  </si>
  <si>
    <t xml:space="preserve">Pesée 3</t>
  </si>
  <si>
    <t xml:space="preserve">SOCS2</t>
  </si>
  <si>
    <t xml:space="preserve">Lignée</t>
  </si>
  <si>
    <t xml:space="preserve">PERE</t>
  </si>
  <si>
    <t xml:space="preserve">no_lact 2023</t>
  </si>
  <si>
    <t xml:space="preserve">Production  2022</t>
  </si>
  <si>
    <t xml:space="preserve">Durée traite 2022</t>
  </si>
  <si>
    <t xml:space="preserve">Production  2023</t>
  </si>
  <si>
    <t xml:space="preserve">stade clo7</t>
  </si>
  <si>
    <t xml:space="preserve">qltc clo7</t>
  </si>
  <si>
    <t xml:space="preserve">qltc clo7 (ml)</t>
  </si>
  <si>
    <t xml:space="preserve">Proba rep EM</t>
  </si>
  <si>
    <t xml:space="preserve">N° ordre brebis</t>
  </si>
  <si>
    <t xml:space="preserve">Jour + Heure début</t>
  </si>
  <si>
    <t xml:space="preserve">Jour + Heure fin</t>
  </si>
  <si>
    <t xml:space="preserve">Jour + Heure début corrigé</t>
  </si>
  <si>
    <t xml:space="preserve">Jour + Heure fin corrigé</t>
  </si>
  <si>
    <t xml:space="preserve">Début chaleur/retrait éponges (h)</t>
  </si>
  <si>
    <t xml:space="preserve">Début chaleur + 35h (en h)</t>
  </si>
  <si>
    <t xml:space="preserve">Durée chaleur (h)</t>
  </si>
  <si>
    <t xml:space="preserve">Durée chaleur corrigée (h)</t>
  </si>
  <si>
    <t xml:space="preserve">Nb Chev cumules</t>
  </si>
  <si>
    <t xml:space="preserve">Date IA</t>
  </si>
  <si>
    <t xml:space="preserve">Heure IA</t>
  </si>
  <si>
    <t xml:space="preserve">Bélier IA</t>
  </si>
  <si>
    <t xml:space="preserve">Intervalle Debut chaleur-IA</t>
  </si>
  <si>
    <t xml:space="preserve">Intervalle IA-Echo</t>
  </si>
  <si>
    <t xml:space="preserve">Stade</t>
  </si>
  <si>
    <t xml:space="preserve">Nbre Agneaux</t>
  </si>
  <si>
    <t xml:space="preserve">Stade Cor Agnelage</t>
  </si>
  <si>
    <t xml:space="preserve">Date agnelage</t>
  </si>
  <si>
    <t xml:space="preserve">Date theorique agnelage</t>
  </si>
  <si>
    <t xml:space="preserve">Cible 1er cycle</t>
  </si>
  <si>
    <t xml:space="preserve">Durée gesta</t>
  </si>
  <si>
    <t xml:space="preserve">Pas vue Alpha</t>
  </si>
  <si>
    <t xml:space="preserve">Observations</t>
  </si>
  <si>
    <t xml:space="preserve">aa</t>
  </si>
  <si>
    <t xml:space="preserve">06/09/2023</t>
  </si>
  <si>
    <t xml:space="preserve">C    C</t>
  </si>
  <si>
    <t xml:space="preserve">PERS-</t>
  </si>
  <si>
    <t xml:space="preserve">Oui</t>
  </si>
  <si>
    <t xml:space="preserve">Pas vue</t>
  </si>
  <si>
    <t xml:space="preserve">ac</t>
  </si>
  <si>
    <t xml:space="preserve">ab</t>
  </si>
  <si>
    <t xml:space="preserve">PERS+</t>
  </si>
  <si>
    <t xml:space="preserve">retour1</t>
  </si>
  <si>
    <t xml:space="preserve">Retour</t>
  </si>
  <si>
    <t xml:space="preserve">eb</t>
  </si>
  <si>
    <t xml:space="preserve">C    T</t>
  </si>
  <si>
    <t xml:space="preserve">vide</t>
  </si>
  <si>
    <t xml:space="preserve">ba</t>
  </si>
  <si>
    <t xml:space="preserve">Vue après IA</t>
  </si>
  <si>
    <t xml:space="preserve">cb</t>
  </si>
  <si>
    <t xml:space="preserve">da</t>
  </si>
  <si>
    <t xml:space="preserve">db</t>
  </si>
  <si>
    <t xml:space="preserve">ea</t>
  </si>
  <si>
    <t xml:space="preserve">ca</t>
  </si>
  <si>
    <t xml:space="preserve">ha</t>
  </si>
  <si>
    <t xml:space="preserve">ga</t>
  </si>
  <si>
    <t xml:space="preserve">05/09/2023</t>
  </si>
  <si>
    <t xml:space="preserve">Repasse</t>
  </si>
  <si>
    <t xml:space="preserve">Vue IA</t>
  </si>
  <si>
    <t xml:space="preserve">ia</t>
  </si>
  <si>
    <t xml:space="preserve">04/09/2023</t>
  </si>
  <si>
    <t xml:space="preserve">fa</t>
  </si>
  <si>
    <t xml:space="preserve">fb</t>
  </si>
  <si>
    <t xml:space="preserve">gb</t>
  </si>
  <si>
    <t xml:space="preserve">hb</t>
  </si>
  <si>
    <t xml:space="preserve">gc</t>
  </si>
  <si>
    <t xml:space="preserve">ib</t>
  </si>
  <si>
    <t xml:space="preserve">tc</t>
  </si>
  <si>
    <t xml:space="preserve">sb</t>
  </si>
  <si>
    <t xml:space="preserve">va</t>
  </si>
  <si>
    <t xml:space="preserve">ua</t>
  </si>
  <si>
    <t xml:space="preserve">vc</t>
  </si>
  <si>
    <t xml:space="preserve">sa</t>
  </si>
  <si>
    <t xml:space="preserve">td</t>
  </si>
  <si>
    <t xml:space="preserve">tb</t>
  </si>
  <si>
    <t xml:space="preserve">sc</t>
  </si>
  <si>
    <t xml:space="preserve">ub</t>
  </si>
  <si>
    <t xml:space="preserve">ta</t>
  </si>
  <si>
    <t xml:space="preserve">vb</t>
  </si>
  <si>
    <t xml:space="preserve">yc</t>
  </si>
  <si>
    <t xml:space="preserve">ze</t>
  </si>
  <si>
    <t xml:space="preserve">yb</t>
  </si>
  <si>
    <t xml:space="preserve">xc</t>
  </si>
  <si>
    <t xml:space="preserve">xb</t>
  </si>
  <si>
    <t xml:space="preserve">zd</t>
  </si>
  <si>
    <t xml:space="preserve">xe</t>
  </si>
  <si>
    <t xml:space="preserve">zc</t>
  </si>
  <si>
    <t xml:space="preserve">wa</t>
  </si>
  <si>
    <t xml:space="preserve">Pas vues</t>
  </si>
  <si>
    <t xml:space="preserve">wd</t>
  </si>
  <si>
    <t xml:space="preserve">wc</t>
  </si>
  <si>
    <t xml:space="preserve">ya</t>
  </si>
  <si>
    <t xml:space="preserve">wb</t>
  </si>
  <si>
    <t xml:space="preserve">zb</t>
  </si>
  <si>
    <t xml:space="preserve">xa</t>
  </si>
  <si>
    <t xml:space="preserve">Vue lendemain IA</t>
  </si>
  <si>
    <t xml:space="preserve">za</t>
  </si>
  <si>
    <t xml:space="preserve">xd</t>
  </si>
  <si>
    <t xml:space="preserve">IA à 55h</t>
  </si>
  <si>
    <t xml:space="preserve">16 brebis dans la cible pour IA à 55h avec 3ch ou plus au moment de l'IA</t>
  </si>
  <si>
    <t xml:space="preserve">16/48 =&gt; 33,3%</t>
  </si>
  <si>
    <t xml:space="preserve">1 avec 1 ou 2 ch</t>
  </si>
  <si>
    <t xml:space="preserve">donc 17/48 =&gt;35,4%</t>
  </si>
  <si>
    <t xml:space="preserve">2 trop tardives mais rattrapables =&gt; Total 19/48=39,6%</t>
  </si>
  <si>
    <t xml:space="preserve">18 vides (30/48 soit 62,5% fertilité )</t>
  </si>
  <si>
    <t xml:space="preserve">Toutes</t>
  </si>
  <si>
    <t xml:space="preserve">Dont 11 qui ont pris sur le retour soit (41/48 85,4% de fertilité totale)</t>
  </si>
  <si>
    <t xml:space="preserve">IA à 60h</t>
  </si>
  <si>
    <t xml:space="preserve">Sur les 30 pleines: 23 vues en chaleur </t>
  </si>
  <si>
    <t xml:space="preserve">17 brebis dans la cible pour IA à 60h avec 3ch ou plus au moment de l'IA</t>
  </si>
  <si>
    <t xml:space="preserve">dont 14 dans la cible</t>
  </si>
  <si>
    <t xml:space="preserve">17/48 =&gt;35,4%</t>
  </si>
  <si>
    <t xml:space="preserve">1 trop précoce </t>
  </si>
  <si>
    <t xml:space="preserve">donc total 18/48 =&gt; 37,5%</t>
  </si>
  <si>
    <t xml:space="preserve">8 trop tardives (après-midi ou début de nuit)</t>
  </si>
  <si>
    <t xml:space="preserve">Dans la cible</t>
  </si>
  <si>
    <t xml:space="preserve">3 trop tardives mais rattrapables =&gt; Total 21/48=43,75%</t>
  </si>
  <si>
    <t xml:space="preserve">Parmi les 7 definitivement vide, 4 avaient été vues avec le détecteur dont 2 dans la cible et 2 trop tardives par rapport à l'IA</t>
  </si>
  <si>
    <t xml:space="preserve">Parmi les 11 vues sur retour, 5 avaient été vues en chaleur dont 1 dans la cible, 1 trop précoce ( 1ch) et 3 trop tardives par rapport à l'IA  dont 1 avec seulement 1 ch</t>
  </si>
  <si>
    <t xml:space="preserve">Globalement 32 brebis vues en chaleurs sur 48 soit 66,7% </t>
  </si>
  <si>
    <t xml:space="preserve">Agnelage</t>
  </si>
  <si>
    <t xml:space="preserve">Hors cibles</t>
  </si>
  <si>
    <t xml:space="preserve">Dont 16+1+2 dans la cible pour une IA à  55h et 17+1+3 pour une IA à 60h soit 39,6 et 43,75%</t>
  </si>
  <si>
    <t xml:space="preserve">29 agnelées 1er cycle / 48 soit 60,4% fertilité</t>
  </si>
  <si>
    <t xml:space="preserve">ou pas vues</t>
  </si>
  <si>
    <t xml:space="preserve">10 retour</t>
  </si>
  <si>
    <t xml:space="preserve">2 repasse</t>
  </si>
  <si>
    <t xml:space="preserve">7 pas agnelées - vides</t>
  </si>
  <si>
    <t xml:space="preserve">Pleines</t>
  </si>
  <si>
    <t xml:space="preserve">Vides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</si>
</sst>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/mm/yy"/>
    <numFmt numFmtId="166" formatCode="General"/>
    <numFmt numFmtId="167" formatCode="@"/>
    <numFmt numFmtId="168" formatCode="dd/mm/yyyy"/>
    <numFmt numFmtId="169" formatCode="dd/mm/yyyy\ hh:mm"/>
    <numFmt numFmtId="170" formatCode="d/m\ h:mm"/>
    <numFmt numFmtId="171" formatCode="#,##0"/>
    <numFmt numFmtId="172" formatCode="dd/mm/yy\ hh:mm"/>
    <numFmt numFmtId="173" formatCode="0"/>
    <numFmt numFmtId="174" formatCode="0.00"/>
    <numFmt numFmtId="175" formatCode="d/m;@"/>
    <numFmt numFmtId="176" formatCode="0.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8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20"/>
      <color rgb="FF000000"/>
      <name val="Calibri"/>
      <family val="2"/>
    </font>
    <font>
      <sz val="14"/>
      <color rgb="FF000000"/>
      <name val="Calibri"/>
      <family val="2"/>
    </font>
    <font>
      <sz val="16"/>
      <color rgb="FF000000"/>
      <name val="Calibri"/>
      <family val="2"/>
    </font>
    <font>
      <sz val="18"/>
      <color rgb="FF000000"/>
      <name val="Calibri"/>
      <family val="2"/>
    </font>
    <font>
      <b val="true"/>
      <sz val="11"/>
      <color rgb="FFFF0000"/>
      <name val="Calibri"/>
      <family val="2"/>
      <charset val="1"/>
    </font>
    <font>
      <b val="true"/>
      <sz val="12.6"/>
      <color rgb="FF000000"/>
      <name val="Calibri"/>
      <family val="2"/>
    </font>
    <font>
      <sz val="10.5"/>
      <color rgb="FF000000"/>
      <name val="Calibri"/>
      <family val="2"/>
    </font>
    <font>
      <b val="true"/>
      <sz val="10.5"/>
      <color rgb="FF000000"/>
      <name val="Calibri"/>
      <family val="2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4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 val="true"/>
      <sz val="9"/>
      <color rgb="FFFF0000"/>
      <name val="Arial"/>
      <family val="2"/>
      <charset val="1"/>
    </font>
    <font>
      <b val="true"/>
      <sz val="10"/>
      <name val="Arial"/>
      <family val="2"/>
      <charset val="1"/>
    </font>
    <font>
      <sz val="8"/>
      <color theme="1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B1A0C7"/>
        <bgColor rgb="FFA5A5A5"/>
      </patternFill>
    </fill>
    <fill>
      <patternFill patternType="solid">
        <fgColor rgb="FF808080"/>
        <bgColor rgb="FF8B8B8B"/>
      </patternFill>
    </fill>
    <fill>
      <patternFill patternType="solid">
        <fgColor rgb="FFBFBFBF"/>
        <bgColor rgb="FFB1A0C7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>
        <color theme="0" tint="-0.5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thin">
        <color rgb="FF808080"/>
      </top>
      <bottom style="thin">
        <color rgb="FF808080"/>
      </bottom>
      <diagonal/>
    </border>
    <border diagonalUp="false" diagonalDown="false">
      <left/>
      <right style="medium"/>
      <top style="thin">
        <color rgb="FF808080"/>
      </top>
      <bottom style="thin">
        <color rgb="FF808080"/>
      </bottom>
      <diagonal/>
    </border>
    <border diagonalUp="false" diagonalDown="false">
      <left style="medium"/>
      <right style="medium"/>
      <top style="thin">
        <color rgb="FF808080"/>
      </top>
      <bottom style="medium"/>
      <diagonal/>
    </border>
    <border diagonalUp="false" diagonalDown="false">
      <left style="medium"/>
      <right style="medium"/>
      <top style="thin">
        <color rgb="FF808080"/>
      </top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4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0" wrapText="true" indent="0" shrinkToFit="false"/>
      <protection locked="true" hidden="false"/>
    </xf>
    <xf numFmtId="169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6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23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0" borderId="10" xfId="21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23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3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26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6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2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1" fontId="5" fillId="0" borderId="0" xfId="21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2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31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6" xfId="20"/>
    <cellStyle name="Normal 8" xfId="21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B1A0C7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A5A5A5"/>
      <rgbColor rgb="FFFFCC99"/>
      <rgbColor rgb="FF3366FF"/>
      <rgbColor rgb="FF33CCCC"/>
      <rgbColor rgb="FF99CC00"/>
      <rgbColor rgb="FFFFC000"/>
      <rgbColor rgb="FFFF9900"/>
      <rgbColor rgb="FFED7D31"/>
      <rgbColor rgb="FF666699"/>
      <rgbColor rgb="FF8B8B8B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charts/_rels/chart2.xml.rels><?xml version="1.0" encoding="UTF-8"?>
<Relationships xmlns="http://schemas.openxmlformats.org/package/2006/relationships"><Relationship Id="rId1" Type="http://schemas.openxmlformats.org/officeDocument/2006/relationships/chartUserShapes" Target="../drawings/drawing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pendant l'effet mâle (La Fage 2023)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0046714419184"/>
          <c:y val="0.11963554021997"/>
          <c:w val="0.841482404235441"/>
          <c:h val="0.790489540651283"/>
        </c:manualLayout>
      </c:layout>
      <c:scatterChart>
        <c:scatterStyle val="lineMarker"/>
        <c:varyColors val="0"/>
        <c:ser>
          <c:idx val="0"/>
          <c:order val="0"/>
          <c:tx>
            <c:strRef>
              <c:f>"213665 - Cour"</c:f>
              <c:strCache>
                <c:ptCount val="1"/>
                <c:pt idx="0">
                  <c:v>213665 - Cour</c:v>
                </c:pt>
              </c:strCache>
            </c:strRef>
          </c:tx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Bélier'!$L$2:$L$78</c:f>
              <c:numCache>
                <c:formatCode>General</c:formatCode>
                <c:ptCount val="77"/>
                <c:pt idx="0">
                  <c:v>45113.4313078704</c:v>
                </c:pt>
                <c:pt idx="1">
                  <c:v>45113.4313310185</c:v>
                </c:pt>
                <c:pt idx="2">
                  <c:v>45113.4314699074</c:v>
                </c:pt>
                <c:pt idx="3">
                  <c:v>45113.4314930556</c:v>
                </c:pt>
                <c:pt idx="4">
                  <c:v>45113.4324652778</c:v>
                </c:pt>
                <c:pt idx="5">
                  <c:v>45113.4324768519</c:v>
                </c:pt>
                <c:pt idx="6">
                  <c:v>45113.4325115741</c:v>
                </c:pt>
                <c:pt idx="7">
                  <c:v>45113.4325347222</c:v>
                </c:pt>
                <c:pt idx="8">
                  <c:v>45113.4326273148</c:v>
                </c:pt>
                <c:pt idx="9">
                  <c:v>45113.4326736111</c:v>
                </c:pt>
                <c:pt idx="10">
                  <c:v>45113.4327546296</c:v>
                </c:pt>
                <c:pt idx="11">
                  <c:v>45113.6887384259</c:v>
                </c:pt>
                <c:pt idx="12">
                  <c:v>45113.6903009259</c:v>
                </c:pt>
                <c:pt idx="13">
                  <c:v>45113.716712963</c:v>
                </c:pt>
                <c:pt idx="14">
                  <c:v>45113.716724537</c:v>
                </c:pt>
                <c:pt idx="15">
                  <c:v>45113.7253819444</c:v>
                </c:pt>
                <c:pt idx="16">
                  <c:v>45113.7263194444</c:v>
                </c:pt>
                <c:pt idx="17">
                  <c:v>45113.7263425926</c:v>
                </c:pt>
                <c:pt idx="18">
                  <c:v>45113.7720023148</c:v>
                </c:pt>
                <c:pt idx="19">
                  <c:v>45113.7721875</c:v>
                </c:pt>
                <c:pt idx="20">
                  <c:v>45113.937025463</c:v>
                </c:pt>
                <c:pt idx="21">
                  <c:v>45113.9463773148</c:v>
                </c:pt>
                <c:pt idx="22">
                  <c:v>45113.9671990741</c:v>
                </c:pt>
                <c:pt idx="23">
                  <c:v>45113.968599537</c:v>
                </c:pt>
                <c:pt idx="24">
                  <c:v>45113.9915277778</c:v>
                </c:pt>
                <c:pt idx="25">
                  <c:v>45113.9958333333</c:v>
                </c:pt>
                <c:pt idx="26">
                  <c:v>45114.0069328704</c:v>
                </c:pt>
                <c:pt idx="27">
                  <c:v>45114.0069907407</c:v>
                </c:pt>
                <c:pt idx="28">
                  <c:v>45114.0078125</c:v>
                </c:pt>
                <c:pt idx="29">
                  <c:v>45114.0078356481</c:v>
                </c:pt>
                <c:pt idx="30">
                  <c:v>45114.0087962963</c:v>
                </c:pt>
                <c:pt idx="31">
                  <c:v>45114.0115046296</c:v>
                </c:pt>
                <c:pt idx="32">
                  <c:v>45114.0123032407</c:v>
                </c:pt>
                <c:pt idx="33">
                  <c:v>45114.012337963</c:v>
                </c:pt>
                <c:pt idx="34">
                  <c:v>45114.0560648148</c:v>
                </c:pt>
                <c:pt idx="35">
                  <c:v>45114.0626736111</c:v>
                </c:pt>
                <c:pt idx="36">
                  <c:v>45114.0653935185</c:v>
                </c:pt>
                <c:pt idx="37">
                  <c:v>45114.1054398148</c:v>
                </c:pt>
                <c:pt idx="38">
                  <c:v>45114.1300462963</c:v>
                </c:pt>
                <c:pt idx="39">
                  <c:v>45114.1312384259</c:v>
                </c:pt>
                <c:pt idx="40">
                  <c:v>45114.1312847222</c:v>
                </c:pt>
                <c:pt idx="41">
                  <c:v>45114.1460648148</c:v>
                </c:pt>
                <c:pt idx="42">
                  <c:v>45114.1506828704</c:v>
                </c:pt>
                <c:pt idx="43">
                  <c:v>45114.1515046296</c:v>
                </c:pt>
                <c:pt idx="44">
                  <c:v>45114.1515277778</c:v>
                </c:pt>
                <c:pt idx="45">
                  <c:v>45114.1524189815</c:v>
                </c:pt>
                <c:pt idx="46">
                  <c:v>45114.1532407407</c:v>
                </c:pt>
                <c:pt idx="47">
                  <c:v>45114.1543634259</c:v>
                </c:pt>
                <c:pt idx="48">
                  <c:v>45114.1543865741</c:v>
                </c:pt>
                <c:pt idx="49">
                  <c:v>45114.1554282407</c:v>
                </c:pt>
                <c:pt idx="50">
                  <c:v>45114.1574652778</c:v>
                </c:pt>
                <c:pt idx="51">
                  <c:v>45114.1598842593</c:v>
                </c:pt>
                <c:pt idx="52">
                  <c:v>45114.1623958333</c:v>
                </c:pt>
                <c:pt idx="53">
                  <c:v>45114.1630902778</c:v>
                </c:pt>
                <c:pt idx="54">
                  <c:v>45114.1635185185</c:v>
                </c:pt>
                <c:pt idx="55">
                  <c:v>45114.185162037</c:v>
                </c:pt>
                <c:pt idx="56">
                  <c:v>45114.5159953704</c:v>
                </c:pt>
                <c:pt idx="57">
                  <c:v>45114.6450810185</c:v>
                </c:pt>
                <c:pt idx="58">
                  <c:v>45114.645462963</c:v>
                </c:pt>
                <c:pt idx="59">
                  <c:v>45114.6456944444</c:v>
                </c:pt>
                <c:pt idx="60">
                  <c:v>45114.645775463</c:v>
                </c:pt>
                <c:pt idx="61">
                  <c:v>45114.6463310185</c:v>
                </c:pt>
                <c:pt idx="62">
                  <c:v>45114.6463425926</c:v>
                </c:pt>
                <c:pt idx="63">
                  <c:v>45114.6467824074</c:v>
                </c:pt>
                <c:pt idx="64">
                  <c:v>45114.6469907407</c:v>
                </c:pt>
                <c:pt idx="65">
                  <c:v>45114.6472569444</c:v>
                </c:pt>
                <c:pt idx="66">
                  <c:v>45114.6476736111</c:v>
                </c:pt>
                <c:pt idx="67">
                  <c:v>45114.6476967593</c:v>
                </c:pt>
                <c:pt idx="68">
                  <c:v>45114.6478819444</c:v>
                </c:pt>
                <c:pt idx="69">
                  <c:v>45114.6483217593</c:v>
                </c:pt>
                <c:pt idx="70">
                  <c:v>45114.6484837963</c:v>
                </c:pt>
                <c:pt idx="71">
                  <c:v>45114.6491898148</c:v>
                </c:pt>
                <c:pt idx="72">
                  <c:v>45114.6492708333</c:v>
                </c:pt>
                <c:pt idx="73">
                  <c:v>45114.669537037</c:v>
                </c:pt>
                <c:pt idx="74">
                  <c:v>45114.7437384259</c:v>
                </c:pt>
                <c:pt idx="75">
                  <c:v>45114.7636111111</c:v>
                </c:pt>
                <c:pt idx="76">
                  <c:v>45115.140462963</c:v>
                </c:pt>
              </c:numCache>
            </c:numRef>
          </c:xVal>
          <c:yVal>
            <c:numRef>
              <c:f>'[1]Data Bélier'!$M$2:$M$78</c:f>
              <c:numCache>
                <c:formatCode>General</c:formatCode>
                <c:ptCount val="7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"213777 - Cour"</c:f>
              <c:strCache>
                <c:ptCount val="1"/>
                <c:pt idx="0">
                  <c:v>213777 - Cour</c:v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Bélier'!$L$79:$L$173</c:f>
              <c:numCache>
                <c:formatCode>General</c:formatCode>
                <c:ptCount val="95"/>
                <c:pt idx="0">
                  <c:v>45111.3475231482</c:v>
                </c:pt>
                <c:pt idx="1">
                  <c:v>45111.3579861111</c:v>
                </c:pt>
                <c:pt idx="2">
                  <c:v>45112.2832407407</c:v>
                </c:pt>
                <c:pt idx="3">
                  <c:v>45112.2840856482</c:v>
                </c:pt>
                <c:pt idx="4">
                  <c:v>45112.284375</c:v>
                </c:pt>
                <c:pt idx="5">
                  <c:v>45112.2845717593</c:v>
                </c:pt>
                <c:pt idx="6">
                  <c:v>45112.2848263889</c:v>
                </c:pt>
                <c:pt idx="7">
                  <c:v>45112.2851851852</c:v>
                </c:pt>
                <c:pt idx="8">
                  <c:v>45112.2855902778</c:v>
                </c:pt>
                <c:pt idx="9">
                  <c:v>45112.2859375</c:v>
                </c:pt>
                <c:pt idx="10">
                  <c:v>45112.2866435185</c:v>
                </c:pt>
                <c:pt idx="11">
                  <c:v>45112.2866666667</c:v>
                </c:pt>
                <c:pt idx="12">
                  <c:v>45112.2876967593</c:v>
                </c:pt>
                <c:pt idx="13">
                  <c:v>45112.2880902778</c:v>
                </c:pt>
                <c:pt idx="14">
                  <c:v>45112.2926388889</c:v>
                </c:pt>
                <c:pt idx="15">
                  <c:v>45112.2953356481</c:v>
                </c:pt>
                <c:pt idx="16">
                  <c:v>45112.3237847222</c:v>
                </c:pt>
                <c:pt idx="17">
                  <c:v>45112.3239699074</c:v>
                </c:pt>
                <c:pt idx="18">
                  <c:v>45112.3241550926</c:v>
                </c:pt>
                <c:pt idx="19">
                  <c:v>45112.3243402778</c:v>
                </c:pt>
                <c:pt idx="20">
                  <c:v>45112.3245138889</c:v>
                </c:pt>
                <c:pt idx="21">
                  <c:v>45112.3250115741</c:v>
                </c:pt>
                <c:pt idx="22">
                  <c:v>45112.3250347222</c:v>
                </c:pt>
                <c:pt idx="23">
                  <c:v>45112.3253009259</c:v>
                </c:pt>
                <c:pt idx="24">
                  <c:v>45112.3253240741</c:v>
                </c:pt>
                <c:pt idx="25">
                  <c:v>45112.3260185185</c:v>
                </c:pt>
                <c:pt idx="26">
                  <c:v>45112.3278819444</c:v>
                </c:pt>
                <c:pt idx="27">
                  <c:v>45112.328287037</c:v>
                </c:pt>
                <c:pt idx="28">
                  <c:v>45112.3287962963</c:v>
                </c:pt>
                <c:pt idx="29">
                  <c:v>45112.3292361111</c:v>
                </c:pt>
                <c:pt idx="30">
                  <c:v>45112.3295023148</c:v>
                </c:pt>
                <c:pt idx="31">
                  <c:v>45112.3299652778</c:v>
                </c:pt>
                <c:pt idx="32">
                  <c:v>45112.3313541667</c:v>
                </c:pt>
                <c:pt idx="33">
                  <c:v>45112.3324305556</c:v>
                </c:pt>
                <c:pt idx="34">
                  <c:v>45112.3329398148</c:v>
                </c:pt>
                <c:pt idx="35">
                  <c:v>45112.3334027778</c:v>
                </c:pt>
                <c:pt idx="36">
                  <c:v>45112.3346527778</c:v>
                </c:pt>
                <c:pt idx="37">
                  <c:v>45112.3349768519</c:v>
                </c:pt>
                <c:pt idx="38">
                  <c:v>45112.3365393519</c:v>
                </c:pt>
                <c:pt idx="39">
                  <c:v>45112.3370023148</c:v>
                </c:pt>
                <c:pt idx="40">
                  <c:v>45112.3959375</c:v>
                </c:pt>
                <c:pt idx="41">
                  <c:v>45112.3987731482</c:v>
                </c:pt>
                <c:pt idx="42">
                  <c:v>45112.4002777778</c:v>
                </c:pt>
                <c:pt idx="43">
                  <c:v>45112.4002893519</c:v>
                </c:pt>
                <c:pt idx="44">
                  <c:v>45112.4010069444</c:v>
                </c:pt>
                <c:pt idx="45">
                  <c:v>45112.4036342593</c:v>
                </c:pt>
                <c:pt idx="46">
                  <c:v>45112.4063078704</c:v>
                </c:pt>
                <c:pt idx="47">
                  <c:v>45112.4063310185</c:v>
                </c:pt>
                <c:pt idx="48">
                  <c:v>45112.4069675926</c:v>
                </c:pt>
                <c:pt idx="49">
                  <c:v>45112.4072453704</c:v>
                </c:pt>
                <c:pt idx="50">
                  <c:v>45112.4134259259</c:v>
                </c:pt>
                <c:pt idx="51">
                  <c:v>45112.5990625</c:v>
                </c:pt>
                <c:pt idx="52">
                  <c:v>45112.6002430556</c:v>
                </c:pt>
                <c:pt idx="53">
                  <c:v>45112.6018634259</c:v>
                </c:pt>
                <c:pt idx="54">
                  <c:v>45112.6030092593</c:v>
                </c:pt>
                <c:pt idx="55">
                  <c:v>45112.6034490741</c:v>
                </c:pt>
                <c:pt idx="56">
                  <c:v>45112.7710300926</c:v>
                </c:pt>
                <c:pt idx="57">
                  <c:v>45112.7713310185</c:v>
                </c:pt>
                <c:pt idx="58">
                  <c:v>45112.7726273148</c:v>
                </c:pt>
                <c:pt idx="59">
                  <c:v>45112.7759953704</c:v>
                </c:pt>
                <c:pt idx="60">
                  <c:v>45112.9861111111</c:v>
                </c:pt>
                <c:pt idx="61">
                  <c:v>45113.0231597222</c:v>
                </c:pt>
                <c:pt idx="62">
                  <c:v>45113.5590625</c:v>
                </c:pt>
                <c:pt idx="63">
                  <c:v>45113.559525463</c:v>
                </c:pt>
                <c:pt idx="64">
                  <c:v>45113.6119097222</c:v>
                </c:pt>
                <c:pt idx="65">
                  <c:v>45113.6898263889</c:v>
                </c:pt>
                <c:pt idx="66">
                  <c:v>45113.6962615741</c:v>
                </c:pt>
                <c:pt idx="67">
                  <c:v>45113.7091435185</c:v>
                </c:pt>
                <c:pt idx="68">
                  <c:v>45113.7362962963</c:v>
                </c:pt>
                <c:pt idx="69">
                  <c:v>45113.7368634259</c:v>
                </c:pt>
                <c:pt idx="70">
                  <c:v>45113.738125</c:v>
                </c:pt>
                <c:pt idx="71">
                  <c:v>45113.8049768519</c:v>
                </c:pt>
                <c:pt idx="72">
                  <c:v>45113.8070833333</c:v>
                </c:pt>
                <c:pt idx="73">
                  <c:v>45113.8985532407</c:v>
                </c:pt>
                <c:pt idx="74">
                  <c:v>45113.8991087963</c:v>
                </c:pt>
                <c:pt idx="75">
                  <c:v>45113.9234259259</c:v>
                </c:pt>
                <c:pt idx="76">
                  <c:v>45113.9315509259</c:v>
                </c:pt>
                <c:pt idx="77">
                  <c:v>45114.0087615741</c:v>
                </c:pt>
                <c:pt idx="78">
                  <c:v>45114.0473842593</c:v>
                </c:pt>
                <c:pt idx="79">
                  <c:v>45114.0531597222</c:v>
                </c:pt>
                <c:pt idx="80">
                  <c:v>45114.0572800926</c:v>
                </c:pt>
                <c:pt idx="81">
                  <c:v>45114.0588194444</c:v>
                </c:pt>
                <c:pt idx="82">
                  <c:v>45114.0611689815</c:v>
                </c:pt>
                <c:pt idx="83">
                  <c:v>45114.0646180556</c:v>
                </c:pt>
                <c:pt idx="84">
                  <c:v>45114.1052314815</c:v>
                </c:pt>
                <c:pt idx="85">
                  <c:v>45114.1322453704</c:v>
                </c:pt>
                <c:pt idx="86">
                  <c:v>45114.2385416667</c:v>
                </c:pt>
                <c:pt idx="87">
                  <c:v>45114.2391666667</c:v>
                </c:pt>
                <c:pt idx="88">
                  <c:v>45114.4127662037</c:v>
                </c:pt>
                <c:pt idx="89">
                  <c:v>45114.4480208333</c:v>
                </c:pt>
                <c:pt idx="90">
                  <c:v>45114.6067708333</c:v>
                </c:pt>
                <c:pt idx="91">
                  <c:v>45115.0239699074</c:v>
                </c:pt>
                <c:pt idx="92">
                  <c:v>45115.0471064815</c:v>
                </c:pt>
                <c:pt idx="93">
                  <c:v>45115.04875</c:v>
                </c:pt>
                <c:pt idx="94">
                  <c:v>45115.0542476852</c:v>
                </c:pt>
              </c:numCache>
            </c:numRef>
          </c:xVal>
          <c:yVal>
            <c:numRef>
              <c:f>'[1]Data Bélier'!$M$79:$M$173</c:f>
              <c:numCache>
                <c:formatCode>General</c:formatCode>
                <c:ptCount val="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89</c:v>
                </c:pt>
                <c:pt idx="87">
                  <c:v>90</c:v>
                </c:pt>
                <c:pt idx="88">
                  <c:v>91</c:v>
                </c:pt>
                <c:pt idx="89">
                  <c:v>92</c:v>
                </c:pt>
                <c:pt idx="90">
                  <c:v>93</c:v>
                </c:pt>
                <c:pt idx="91">
                  <c:v>94</c:v>
                </c:pt>
                <c:pt idx="92">
                  <c:v>95</c:v>
                </c:pt>
                <c:pt idx="93">
                  <c:v>96</c:v>
                </c:pt>
                <c:pt idx="94">
                  <c:v>97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"213668 - Bergerie"</c:f>
              <c:strCache>
                <c:ptCount val="1"/>
                <c:pt idx="0">
                  <c:v>213668 - Bergerie</c:v>
                </c:pt>
              </c:strCache>
            </c:strRef>
          </c:tx>
          <c:spPr>
            <a:solidFill>
              <a:srgbClr val="a5a5a5"/>
            </a:solidFill>
            <a:ln w="19080">
              <a:solidFill>
                <a:srgbClr val="a5a5a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Bélier'!$L$174:$L$192</c:f>
              <c:numCache>
                <c:formatCode>General</c:formatCode>
                <c:ptCount val="19"/>
                <c:pt idx="0">
                  <c:v>45111.3571990741</c:v>
                </c:pt>
                <c:pt idx="1">
                  <c:v>45112.4818981482</c:v>
                </c:pt>
                <c:pt idx="2">
                  <c:v>45112.4972800926</c:v>
                </c:pt>
                <c:pt idx="3">
                  <c:v>45112.4975694444</c:v>
                </c:pt>
                <c:pt idx="4">
                  <c:v>45112.4977083333</c:v>
                </c:pt>
                <c:pt idx="5">
                  <c:v>45112.4989583333</c:v>
                </c:pt>
                <c:pt idx="6">
                  <c:v>45112.5032407407</c:v>
                </c:pt>
                <c:pt idx="7">
                  <c:v>45112.5126967593</c:v>
                </c:pt>
                <c:pt idx="8">
                  <c:v>45112.5434722222</c:v>
                </c:pt>
                <c:pt idx="9">
                  <c:v>45112.5434953704</c:v>
                </c:pt>
                <c:pt idx="10">
                  <c:v>45112.5845833333</c:v>
                </c:pt>
                <c:pt idx="11">
                  <c:v>45112.6010300926</c:v>
                </c:pt>
                <c:pt idx="12">
                  <c:v>45112.6065393519</c:v>
                </c:pt>
                <c:pt idx="13">
                  <c:v>45112.6154166667</c:v>
                </c:pt>
                <c:pt idx="14">
                  <c:v>45112.6156944444</c:v>
                </c:pt>
                <c:pt idx="15">
                  <c:v>45112.7483796296</c:v>
                </c:pt>
                <c:pt idx="16">
                  <c:v>45112.7485185185</c:v>
                </c:pt>
                <c:pt idx="17">
                  <c:v>45112.7495949074</c:v>
                </c:pt>
                <c:pt idx="18">
                  <c:v>45112.7499768519</c:v>
                </c:pt>
              </c:numCache>
            </c:numRef>
          </c:xVal>
          <c:yVal>
            <c:numRef>
              <c:f>'[1]Data Bélier'!$M$174:$M$192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"213711 - Bergerie"</c:f>
              <c:strCache>
                <c:ptCount val="1"/>
                <c:pt idx="0">
                  <c:v>213711 - Bergerie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Bélier'!$L$193:$L$391</c:f>
              <c:numCache>
                <c:formatCode>General</c:formatCode>
                <c:ptCount val="199"/>
                <c:pt idx="0">
                  <c:v>45111.870462963</c:v>
                </c:pt>
                <c:pt idx="1">
                  <c:v>45111.8772106482</c:v>
                </c:pt>
                <c:pt idx="2">
                  <c:v>45111.8818634259</c:v>
                </c:pt>
                <c:pt idx="3">
                  <c:v>45111.8897685185</c:v>
                </c:pt>
                <c:pt idx="4">
                  <c:v>45112.3030092593</c:v>
                </c:pt>
                <c:pt idx="5">
                  <c:v>45112.3030671296</c:v>
                </c:pt>
                <c:pt idx="6">
                  <c:v>45112.3032638889</c:v>
                </c:pt>
                <c:pt idx="7">
                  <c:v>45112.3037268519</c:v>
                </c:pt>
                <c:pt idx="8">
                  <c:v>45112.3038773148</c:v>
                </c:pt>
                <c:pt idx="9">
                  <c:v>45112.3043287037</c:v>
                </c:pt>
                <c:pt idx="10">
                  <c:v>45112.3044907407</c:v>
                </c:pt>
                <c:pt idx="11">
                  <c:v>45112.3046064815</c:v>
                </c:pt>
                <c:pt idx="12">
                  <c:v>45112.3046643519</c:v>
                </c:pt>
                <c:pt idx="13">
                  <c:v>45112.3053240741</c:v>
                </c:pt>
                <c:pt idx="14">
                  <c:v>45112.3054166667</c:v>
                </c:pt>
                <c:pt idx="15">
                  <c:v>45112.3055671296</c:v>
                </c:pt>
                <c:pt idx="16">
                  <c:v>45112.3080208333</c:v>
                </c:pt>
                <c:pt idx="17">
                  <c:v>45112.3082407407</c:v>
                </c:pt>
                <c:pt idx="18">
                  <c:v>45112.3151273148</c:v>
                </c:pt>
                <c:pt idx="19">
                  <c:v>45112.3153819444</c:v>
                </c:pt>
                <c:pt idx="20">
                  <c:v>45112.3155787037</c:v>
                </c:pt>
                <c:pt idx="21">
                  <c:v>45112.3156597222</c:v>
                </c:pt>
                <c:pt idx="22">
                  <c:v>45112.621087963</c:v>
                </c:pt>
                <c:pt idx="23">
                  <c:v>45112.6214351852</c:v>
                </c:pt>
                <c:pt idx="24">
                  <c:v>45112.6230092593</c:v>
                </c:pt>
                <c:pt idx="25">
                  <c:v>45112.6236111111</c:v>
                </c:pt>
                <c:pt idx="26">
                  <c:v>45112.6238310185</c:v>
                </c:pt>
                <c:pt idx="27">
                  <c:v>45112.6243865741</c:v>
                </c:pt>
                <c:pt idx="28">
                  <c:v>45112.6244907407</c:v>
                </c:pt>
                <c:pt idx="29">
                  <c:v>45112.6317824074</c:v>
                </c:pt>
                <c:pt idx="30">
                  <c:v>45112.6327546296</c:v>
                </c:pt>
                <c:pt idx="31">
                  <c:v>45112.6328240741</c:v>
                </c:pt>
                <c:pt idx="32">
                  <c:v>45112.6329166667</c:v>
                </c:pt>
                <c:pt idx="33">
                  <c:v>45112.6335763889</c:v>
                </c:pt>
                <c:pt idx="34">
                  <c:v>45112.6336342593</c:v>
                </c:pt>
                <c:pt idx="35">
                  <c:v>45112.6337268519</c:v>
                </c:pt>
                <c:pt idx="36">
                  <c:v>45112.6339930556</c:v>
                </c:pt>
                <c:pt idx="37">
                  <c:v>45112.6345138889</c:v>
                </c:pt>
                <c:pt idx="38">
                  <c:v>45112.6349652778</c:v>
                </c:pt>
                <c:pt idx="39">
                  <c:v>45112.6353125</c:v>
                </c:pt>
                <c:pt idx="40">
                  <c:v>45112.6356828704</c:v>
                </c:pt>
                <c:pt idx="41">
                  <c:v>45112.6370717593</c:v>
                </c:pt>
                <c:pt idx="42">
                  <c:v>45112.6377314815</c:v>
                </c:pt>
                <c:pt idx="43">
                  <c:v>45112.6377777778</c:v>
                </c:pt>
                <c:pt idx="44">
                  <c:v>45112.6381828704</c:v>
                </c:pt>
                <c:pt idx="45">
                  <c:v>45112.6404976852</c:v>
                </c:pt>
                <c:pt idx="46">
                  <c:v>45112.6406134259</c:v>
                </c:pt>
                <c:pt idx="47">
                  <c:v>45112.6630324074</c:v>
                </c:pt>
                <c:pt idx="48">
                  <c:v>45112.6631018519</c:v>
                </c:pt>
                <c:pt idx="49">
                  <c:v>45112.6632638889</c:v>
                </c:pt>
                <c:pt idx="50">
                  <c:v>45112.686087963</c:v>
                </c:pt>
                <c:pt idx="51">
                  <c:v>45112.6864467593</c:v>
                </c:pt>
                <c:pt idx="52">
                  <c:v>45112.6866319444</c:v>
                </c:pt>
                <c:pt idx="53">
                  <c:v>45112.6903356482</c:v>
                </c:pt>
                <c:pt idx="54">
                  <c:v>45112.6925115741</c:v>
                </c:pt>
                <c:pt idx="55">
                  <c:v>45112.7028009259</c:v>
                </c:pt>
                <c:pt idx="56">
                  <c:v>45112.7030439815</c:v>
                </c:pt>
                <c:pt idx="57">
                  <c:v>45112.7036111111</c:v>
                </c:pt>
                <c:pt idx="58">
                  <c:v>45112.703900463</c:v>
                </c:pt>
                <c:pt idx="59">
                  <c:v>45112.7039930556</c:v>
                </c:pt>
                <c:pt idx="60">
                  <c:v>45112.705787037</c:v>
                </c:pt>
                <c:pt idx="61">
                  <c:v>45112.7128009259</c:v>
                </c:pt>
                <c:pt idx="62">
                  <c:v>45112.7153819444</c:v>
                </c:pt>
                <c:pt idx="63">
                  <c:v>45112.7195486111</c:v>
                </c:pt>
                <c:pt idx="64">
                  <c:v>45112.7555671296</c:v>
                </c:pt>
                <c:pt idx="65">
                  <c:v>45112.785787037</c:v>
                </c:pt>
                <c:pt idx="66">
                  <c:v>45112.7860300926</c:v>
                </c:pt>
                <c:pt idx="67">
                  <c:v>45112.7861805556</c:v>
                </c:pt>
                <c:pt idx="68">
                  <c:v>45112.7887731481</c:v>
                </c:pt>
                <c:pt idx="69">
                  <c:v>45112.7888078704</c:v>
                </c:pt>
                <c:pt idx="70">
                  <c:v>45112.7889814815</c:v>
                </c:pt>
                <c:pt idx="71">
                  <c:v>45112.789525463</c:v>
                </c:pt>
                <c:pt idx="72">
                  <c:v>45112.7895717593</c:v>
                </c:pt>
                <c:pt idx="73">
                  <c:v>45112.7903356482</c:v>
                </c:pt>
                <c:pt idx="74">
                  <c:v>45112.7909722222</c:v>
                </c:pt>
                <c:pt idx="75">
                  <c:v>45112.7911226852</c:v>
                </c:pt>
                <c:pt idx="76">
                  <c:v>45112.7915162037</c:v>
                </c:pt>
                <c:pt idx="77">
                  <c:v>45112.7915740741</c:v>
                </c:pt>
                <c:pt idx="78">
                  <c:v>45112.9325231482</c:v>
                </c:pt>
                <c:pt idx="79">
                  <c:v>45112.9325462963</c:v>
                </c:pt>
                <c:pt idx="80">
                  <c:v>45113.009537037</c:v>
                </c:pt>
                <c:pt idx="81">
                  <c:v>45113.0195023148</c:v>
                </c:pt>
                <c:pt idx="82">
                  <c:v>45113.0220601852</c:v>
                </c:pt>
                <c:pt idx="83">
                  <c:v>45113.0231828704</c:v>
                </c:pt>
                <c:pt idx="84">
                  <c:v>45113.0232060185</c:v>
                </c:pt>
                <c:pt idx="85">
                  <c:v>45113.024537037</c:v>
                </c:pt>
                <c:pt idx="86">
                  <c:v>45113.0371064815</c:v>
                </c:pt>
                <c:pt idx="87">
                  <c:v>45113.0371412037</c:v>
                </c:pt>
                <c:pt idx="88">
                  <c:v>45113.0397685185</c:v>
                </c:pt>
                <c:pt idx="89">
                  <c:v>45113.0792476852</c:v>
                </c:pt>
                <c:pt idx="90">
                  <c:v>45113.0792939815</c:v>
                </c:pt>
                <c:pt idx="91">
                  <c:v>45113.0798611111</c:v>
                </c:pt>
                <c:pt idx="92">
                  <c:v>45113.0845833333</c:v>
                </c:pt>
                <c:pt idx="93">
                  <c:v>45113.0846180556</c:v>
                </c:pt>
                <c:pt idx="94">
                  <c:v>45113.122650463</c:v>
                </c:pt>
                <c:pt idx="95">
                  <c:v>45113.1249305556</c:v>
                </c:pt>
                <c:pt idx="96">
                  <c:v>45113.1900231482</c:v>
                </c:pt>
                <c:pt idx="97">
                  <c:v>45113.1912268519</c:v>
                </c:pt>
                <c:pt idx="98">
                  <c:v>45113.1915509259</c:v>
                </c:pt>
                <c:pt idx="99">
                  <c:v>45113.1922222222</c:v>
                </c:pt>
                <c:pt idx="100">
                  <c:v>45113.1928356482</c:v>
                </c:pt>
                <c:pt idx="101">
                  <c:v>45113.1932407407</c:v>
                </c:pt>
                <c:pt idx="102">
                  <c:v>45113.1945486111</c:v>
                </c:pt>
                <c:pt idx="103">
                  <c:v>45113.1947337963</c:v>
                </c:pt>
                <c:pt idx="104">
                  <c:v>45113.1949074074</c:v>
                </c:pt>
                <c:pt idx="105">
                  <c:v>45113.1976041667</c:v>
                </c:pt>
                <c:pt idx="106">
                  <c:v>45113.1979050926</c:v>
                </c:pt>
                <c:pt idx="107">
                  <c:v>45113.1983564815</c:v>
                </c:pt>
                <c:pt idx="108">
                  <c:v>45113.1988425926</c:v>
                </c:pt>
                <c:pt idx="109">
                  <c:v>45113.1988657407</c:v>
                </c:pt>
                <c:pt idx="110">
                  <c:v>45113.1990046296</c:v>
                </c:pt>
                <c:pt idx="111">
                  <c:v>45113.1991782407</c:v>
                </c:pt>
                <c:pt idx="112">
                  <c:v>45113.1992013889</c:v>
                </c:pt>
                <c:pt idx="113">
                  <c:v>45113.1994907407</c:v>
                </c:pt>
                <c:pt idx="114">
                  <c:v>45113.2006712963</c:v>
                </c:pt>
                <c:pt idx="115">
                  <c:v>45113.2008449074</c:v>
                </c:pt>
                <c:pt idx="116">
                  <c:v>45113.2017013889</c:v>
                </c:pt>
                <c:pt idx="117">
                  <c:v>45113.201712963</c:v>
                </c:pt>
                <c:pt idx="118">
                  <c:v>45113.2018981481</c:v>
                </c:pt>
                <c:pt idx="119">
                  <c:v>45113.2022106481</c:v>
                </c:pt>
                <c:pt idx="120">
                  <c:v>45113.2022222222</c:v>
                </c:pt>
                <c:pt idx="121">
                  <c:v>45113.2024768519</c:v>
                </c:pt>
                <c:pt idx="122">
                  <c:v>45113.2027199074</c:v>
                </c:pt>
                <c:pt idx="123">
                  <c:v>45113.2027430556</c:v>
                </c:pt>
                <c:pt idx="124">
                  <c:v>45113.203287037</c:v>
                </c:pt>
                <c:pt idx="125">
                  <c:v>45113.2036689815</c:v>
                </c:pt>
                <c:pt idx="126">
                  <c:v>45113.2041087963</c:v>
                </c:pt>
                <c:pt idx="127">
                  <c:v>45113.2043865741</c:v>
                </c:pt>
                <c:pt idx="128">
                  <c:v>45113.2056134259</c:v>
                </c:pt>
                <c:pt idx="129">
                  <c:v>45113.2091898148</c:v>
                </c:pt>
                <c:pt idx="130">
                  <c:v>45113.2092013889</c:v>
                </c:pt>
                <c:pt idx="131">
                  <c:v>45113.2858564815</c:v>
                </c:pt>
                <c:pt idx="132">
                  <c:v>45113.2896412037</c:v>
                </c:pt>
                <c:pt idx="133">
                  <c:v>45113.2900578704</c:v>
                </c:pt>
                <c:pt idx="134">
                  <c:v>45113.2900810185</c:v>
                </c:pt>
                <c:pt idx="135">
                  <c:v>45113.2936226852</c:v>
                </c:pt>
                <c:pt idx="136">
                  <c:v>45113.3972916667</c:v>
                </c:pt>
                <c:pt idx="137">
                  <c:v>45113.397349537</c:v>
                </c:pt>
                <c:pt idx="138">
                  <c:v>45113.3990625</c:v>
                </c:pt>
                <c:pt idx="139">
                  <c:v>45113.400787037</c:v>
                </c:pt>
                <c:pt idx="140">
                  <c:v>45113.4017824074</c:v>
                </c:pt>
                <c:pt idx="141">
                  <c:v>45113.4042013889</c:v>
                </c:pt>
                <c:pt idx="142">
                  <c:v>45113.4097685185</c:v>
                </c:pt>
                <c:pt idx="143">
                  <c:v>45113.4427083333</c:v>
                </c:pt>
                <c:pt idx="144">
                  <c:v>45113.4436921296</c:v>
                </c:pt>
                <c:pt idx="145">
                  <c:v>45113.4453587963</c:v>
                </c:pt>
                <c:pt idx="146">
                  <c:v>45113.4453819444</c:v>
                </c:pt>
                <c:pt idx="147">
                  <c:v>45113.4463310185</c:v>
                </c:pt>
                <c:pt idx="148">
                  <c:v>45113.4503125</c:v>
                </c:pt>
                <c:pt idx="149">
                  <c:v>45113.5327199074</c:v>
                </c:pt>
                <c:pt idx="150">
                  <c:v>45113.5689351852</c:v>
                </c:pt>
                <c:pt idx="151">
                  <c:v>45113.5703356481</c:v>
                </c:pt>
                <c:pt idx="152">
                  <c:v>45113.572974537</c:v>
                </c:pt>
                <c:pt idx="153">
                  <c:v>45113.5730092593</c:v>
                </c:pt>
                <c:pt idx="154">
                  <c:v>45113.5775</c:v>
                </c:pt>
                <c:pt idx="155">
                  <c:v>45113.577962963</c:v>
                </c:pt>
                <c:pt idx="156">
                  <c:v>45113.577974537</c:v>
                </c:pt>
                <c:pt idx="157">
                  <c:v>45113.5785648148</c:v>
                </c:pt>
                <c:pt idx="158">
                  <c:v>45113.5788425926</c:v>
                </c:pt>
                <c:pt idx="159">
                  <c:v>45113.6590393519</c:v>
                </c:pt>
                <c:pt idx="160">
                  <c:v>45113.659537037</c:v>
                </c:pt>
                <c:pt idx="161">
                  <c:v>45113.6630787037</c:v>
                </c:pt>
                <c:pt idx="162">
                  <c:v>45113.6636921296</c:v>
                </c:pt>
                <c:pt idx="163">
                  <c:v>45113.6820601852</c:v>
                </c:pt>
                <c:pt idx="164">
                  <c:v>45113.6823148148</c:v>
                </c:pt>
                <c:pt idx="165">
                  <c:v>45113.6831481482</c:v>
                </c:pt>
                <c:pt idx="166">
                  <c:v>45113.6837847222</c:v>
                </c:pt>
                <c:pt idx="167">
                  <c:v>45113.6849189815</c:v>
                </c:pt>
                <c:pt idx="168">
                  <c:v>45113.6860648148</c:v>
                </c:pt>
                <c:pt idx="169">
                  <c:v>45113.6889351852</c:v>
                </c:pt>
                <c:pt idx="170">
                  <c:v>45113.6891435185</c:v>
                </c:pt>
                <c:pt idx="171">
                  <c:v>45113.6893634259</c:v>
                </c:pt>
                <c:pt idx="172">
                  <c:v>45113.7086689815</c:v>
                </c:pt>
                <c:pt idx="173">
                  <c:v>45113.7096990741</c:v>
                </c:pt>
                <c:pt idx="174">
                  <c:v>45113.8375462963</c:v>
                </c:pt>
                <c:pt idx="175">
                  <c:v>45113.8467476852</c:v>
                </c:pt>
                <c:pt idx="176">
                  <c:v>45113.847037037</c:v>
                </c:pt>
                <c:pt idx="177">
                  <c:v>45113.84875</c:v>
                </c:pt>
                <c:pt idx="178">
                  <c:v>45113.8499652778</c:v>
                </c:pt>
                <c:pt idx="179">
                  <c:v>45113.8499884259</c:v>
                </c:pt>
                <c:pt idx="180">
                  <c:v>45113.8502662037</c:v>
                </c:pt>
                <c:pt idx="181">
                  <c:v>45113.8504282407</c:v>
                </c:pt>
                <c:pt idx="182">
                  <c:v>45113.8505555556</c:v>
                </c:pt>
                <c:pt idx="183">
                  <c:v>45113.8507986111</c:v>
                </c:pt>
                <c:pt idx="184">
                  <c:v>45113.8511689815</c:v>
                </c:pt>
                <c:pt idx="185">
                  <c:v>45113.851400463</c:v>
                </c:pt>
                <c:pt idx="186">
                  <c:v>45113.8612268519</c:v>
                </c:pt>
                <c:pt idx="187">
                  <c:v>45113.8928125</c:v>
                </c:pt>
                <c:pt idx="188">
                  <c:v>45113.8932986111</c:v>
                </c:pt>
                <c:pt idx="189">
                  <c:v>45113.8934027778</c:v>
                </c:pt>
                <c:pt idx="190">
                  <c:v>45113.8941550926</c:v>
                </c:pt>
                <c:pt idx="191">
                  <c:v>45113.8944907407</c:v>
                </c:pt>
                <c:pt idx="192">
                  <c:v>45113.9081828704</c:v>
                </c:pt>
                <c:pt idx="193">
                  <c:v>45113.9083680556</c:v>
                </c:pt>
                <c:pt idx="194">
                  <c:v>45114.2777083333</c:v>
                </c:pt>
                <c:pt idx="195">
                  <c:v>45114.2797685185</c:v>
                </c:pt>
                <c:pt idx="196">
                  <c:v>45114.2799189815</c:v>
                </c:pt>
                <c:pt idx="197">
                  <c:v>45114.2801851852</c:v>
                </c:pt>
                <c:pt idx="198">
                  <c:v>45114.2809375</c:v>
                </c:pt>
              </c:numCache>
            </c:numRef>
          </c:xVal>
          <c:yVal>
            <c:numRef>
              <c:f>'[1]Data Bélier'!$M$193:$M$391</c:f>
              <c:numCache>
                <c:formatCode>General</c:formatCode>
                <c:ptCount val="1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171</c:v>
                </c:pt>
                <c:pt idx="170">
                  <c:v>172</c:v>
                </c:pt>
                <c:pt idx="171">
                  <c:v>173</c:v>
                </c:pt>
                <c:pt idx="172">
                  <c:v>174</c:v>
                </c:pt>
                <c:pt idx="173">
                  <c:v>175</c:v>
                </c:pt>
                <c:pt idx="174">
                  <c:v>176</c:v>
                </c:pt>
                <c:pt idx="175">
                  <c:v>177</c:v>
                </c:pt>
                <c:pt idx="176">
                  <c:v>178</c:v>
                </c:pt>
                <c:pt idx="177">
                  <c:v>179</c:v>
                </c:pt>
                <c:pt idx="178">
                  <c:v>180</c:v>
                </c:pt>
                <c:pt idx="179">
                  <c:v>181</c:v>
                </c:pt>
                <c:pt idx="180">
                  <c:v>182</c:v>
                </c:pt>
                <c:pt idx="181">
                  <c:v>183</c:v>
                </c:pt>
                <c:pt idx="182">
                  <c:v>184</c:v>
                </c:pt>
                <c:pt idx="183">
                  <c:v>185</c:v>
                </c:pt>
                <c:pt idx="184">
                  <c:v>186</c:v>
                </c:pt>
                <c:pt idx="185">
                  <c:v>187</c:v>
                </c:pt>
                <c:pt idx="186">
                  <c:v>188</c:v>
                </c:pt>
                <c:pt idx="187">
                  <c:v>189</c:v>
                </c:pt>
                <c:pt idx="188">
                  <c:v>190</c:v>
                </c:pt>
                <c:pt idx="189">
                  <c:v>191</c:v>
                </c:pt>
                <c:pt idx="190">
                  <c:v>192</c:v>
                </c:pt>
                <c:pt idx="191">
                  <c:v>193</c:v>
                </c:pt>
                <c:pt idx="192">
                  <c:v>194</c:v>
                </c:pt>
                <c:pt idx="193">
                  <c:v>195</c:v>
                </c:pt>
                <c:pt idx="194">
                  <c:v>196</c:v>
                </c:pt>
                <c:pt idx="195">
                  <c:v>197</c:v>
                </c:pt>
                <c:pt idx="196">
                  <c:v>198</c:v>
                </c:pt>
                <c:pt idx="197">
                  <c:v>199</c:v>
                </c:pt>
                <c:pt idx="198">
                  <c:v>200</c:v>
                </c:pt>
              </c:numCache>
            </c:numRef>
          </c:yVal>
          <c:smooth val="0"/>
        </c:ser>
        <c:axId val="43646572"/>
        <c:axId val="93361656"/>
      </c:scatterChart>
      <c:valAx>
        <c:axId val="43646572"/>
        <c:scaling>
          <c:orientation val="minMax"/>
          <c:min val="45111.334"/>
        </c:scaling>
        <c:delete val="0"/>
        <c:axPos val="b"/>
        <c:numFmt formatCode="d/m\ h:mm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3361656"/>
        <c:crosses val="autoZero"/>
        <c:crossBetween val="midCat"/>
      </c:valAx>
      <c:valAx>
        <c:axId val="93361656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646572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05497873628241"/>
          <c:y val="0.124771063762976"/>
          <c:w val="0.230756937141815"/>
          <c:h val="0.14184353821444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26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260" spc="-1" strike="noStrike">
                <a:solidFill>
                  <a:srgbClr val="000000"/>
                </a:solidFill>
                <a:latin typeface="Calibri"/>
              </a:rPr>
              <a:t>Brebis chevauchées pendant l'effet mâle (La Fage 2023)</a:t>
            </a:r>
          </a:p>
        </c:rich>
      </c:tx>
      <c:layout>
        <c:manualLayout>
          <c:xMode val="edge"/>
          <c:yMode val="edge"/>
          <c:x val="0.375950038296117"/>
          <c:y val="0.0206475139210565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469274730454251"/>
          <c:y val="0.0611048144680432"/>
          <c:w val="0.889088552406764"/>
          <c:h val="0.7979106095698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'[1]Data Brebis Points rouges'!$H$2</c:f>
              <c:strCache>
                <c:ptCount val="1"/>
                <c:pt idx="0">
                  <c:v>155000025392</c:v>
                </c:pt>
              </c:strCache>
            </c:strRef>
          </c:tx>
          <c:spPr>
            <a:solidFill>
              <a:srgbClr val="ff000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Pt>
            <c:idx val="1"/>
            <c:marker>
              <c:symbol val="circle"/>
              <c:size val="7"/>
              <c:spPr>
                <a:solidFill>
                  <a:srgbClr val="ff0000"/>
                </a:solidFill>
              </c:spPr>
            </c:marker>
          </c:dPt>
          <c:dPt>
            <c:idx val="2"/>
            <c:marker>
              <c:symbol val="circle"/>
              <c:size val="7"/>
              <c:spPr>
                <a:solidFill>
                  <a:srgbClr val="ff0000"/>
                </a:solidFill>
              </c:spPr>
            </c:marker>
          </c:dPt>
          <c:dLbls>
            <c:dLbl>
              <c:idx val="1"/>
              <c:txPr>
                <a:bodyPr wrap="square"/>
                <a:lstStyle/>
                <a:p>
                  <a:pPr>
                    <a:defRPr b="0" sz="105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5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rouges'!$M$2:$M$19</c:f>
              <c:numCache>
                <c:formatCode>General</c:formatCode>
                <c:ptCount val="18"/>
                <c:pt idx="0">
                  <c:v>45111.3475231482</c:v>
                </c:pt>
                <c:pt idx="1">
                  <c:v>45113.5590625</c:v>
                </c:pt>
                <c:pt idx="2">
                  <c:v>45114.0626736111</c:v>
                </c:pt>
                <c:pt idx="3">
                  <c:v>45114.0653935185</c:v>
                </c:pt>
                <c:pt idx="4">
                  <c:v>45114.1054398148</c:v>
                </c:pt>
                <c:pt idx="5">
                  <c:v>45114.1460648148</c:v>
                </c:pt>
                <c:pt idx="6">
                  <c:v>45114.1506828704</c:v>
                </c:pt>
                <c:pt idx="7">
                  <c:v>45114.1515046296</c:v>
                </c:pt>
                <c:pt idx="8">
                  <c:v>45114.1515277778</c:v>
                </c:pt>
                <c:pt idx="9">
                  <c:v>45114.1532407407</c:v>
                </c:pt>
                <c:pt idx="10">
                  <c:v>45114.1543634259</c:v>
                </c:pt>
                <c:pt idx="11">
                  <c:v>45114.1543865741</c:v>
                </c:pt>
                <c:pt idx="12">
                  <c:v>45114.1554282407</c:v>
                </c:pt>
                <c:pt idx="13">
                  <c:v>45114.1574652778</c:v>
                </c:pt>
                <c:pt idx="14">
                  <c:v>45114.1598842593</c:v>
                </c:pt>
                <c:pt idx="15">
                  <c:v>45114.1623958333</c:v>
                </c:pt>
                <c:pt idx="16">
                  <c:v>45114.1630902778</c:v>
                </c:pt>
                <c:pt idx="17">
                  <c:v>45114.1635185185</c:v>
                </c:pt>
              </c:numCache>
            </c:numRef>
          </c:xVal>
          <c:yVal>
            <c:numRef>
              <c:f>'[1]Data Brebis Points rouges'!$N$3:$N$19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'[1]Data Brebis Points rouges'!$H$20</c:f>
              <c:strCache>
                <c:ptCount val="1"/>
                <c:pt idx="0">
                  <c:v>155000025230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rouges'!$M$20:$M$22</c:f>
              <c:numCache>
                <c:formatCode>General</c:formatCode>
                <c:ptCount val="3"/>
                <c:pt idx="0">
                  <c:v>45111.3571990741</c:v>
                </c:pt>
                <c:pt idx="1">
                  <c:v>45113.4453587963</c:v>
                </c:pt>
                <c:pt idx="2">
                  <c:v>45113.4453819444</c:v>
                </c:pt>
              </c:numCache>
            </c:numRef>
          </c:xVal>
          <c:yVal>
            <c:numRef>
              <c:f>'[1]Data Brebis Points rouges'!$N$20:$N$22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'[1]Data Brebis Points rouges'!$H$23</c:f>
              <c:strCache>
                <c:ptCount val="1"/>
                <c:pt idx="0">
                  <c:v>155000025376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rouges'!$M$23:$M$28</c:f>
              <c:numCache>
                <c:formatCode>General</c:formatCode>
                <c:ptCount val="6"/>
                <c:pt idx="0">
                  <c:v>45111.3579861111</c:v>
                </c:pt>
                <c:pt idx="1">
                  <c:v>45115.0239699074</c:v>
                </c:pt>
                <c:pt idx="2">
                  <c:v>45115.0471064815</c:v>
                </c:pt>
                <c:pt idx="3">
                  <c:v>45115.04875</c:v>
                </c:pt>
                <c:pt idx="4">
                  <c:v>45115.0542476852</c:v>
                </c:pt>
                <c:pt idx="5">
                  <c:v>45115.140462963</c:v>
                </c:pt>
              </c:numCache>
            </c:numRef>
          </c:xVal>
          <c:yVal>
            <c:numRef>
              <c:f>'[1]Data Brebis Points rouges'!$N$23:$N$28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'[1]Data Brebis Points rouges'!$H$29</c:f>
              <c:strCache>
                <c:ptCount val="1"/>
                <c:pt idx="0">
                  <c:v>155000025701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rouges'!$M$29:$M$36</c:f>
              <c:numCache>
                <c:formatCode>General</c:formatCode>
                <c:ptCount val="8"/>
                <c:pt idx="0">
                  <c:v>45111.870462963</c:v>
                </c:pt>
                <c:pt idx="1">
                  <c:v>45111.8772106482</c:v>
                </c:pt>
                <c:pt idx="2">
                  <c:v>45111.8897685185</c:v>
                </c:pt>
                <c:pt idx="3">
                  <c:v>45113.4017824074</c:v>
                </c:pt>
                <c:pt idx="4">
                  <c:v>45113.4042013889</c:v>
                </c:pt>
                <c:pt idx="5">
                  <c:v>45113.5689351852</c:v>
                </c:pt>
                <c:pt idx="6">
                  <c:v>45113.5788425926</c:v>
                </c:pt>
                <c:pt idx="7">
                  <c:v>45113.6849189815</c:v>
                </c:pt>
              </c:numCache>
            </c:numRef>
          </c:xVal>
          <c:yVal>
            <c:numRef>
              <c:f>'[1]Data Brebis Points rouges'!$N$29:$N$36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'[1]Data Brebis Points rouges'!$H$37</c:f>
              <c:strCache>
                <c:ptCount val="1"/>
                <c:pt idx="0">
                  <c:v>155000025741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rouges'!$M$37</c:f>
              <c:numCache>
                <c:formatCode>General</c:formatCode>
                <c:ptCount val="1"/>
                <c:pt idx="0">
                  <c:v>45111.8818634259</c:v>
                </c:pt>
              </c:numCache>
            </c:numRef>
          </c:xVal>
          <c:yVal>
            <c:numRef>
              <c:f>'[1]Data Brebis Points rouges'!$N$37</c:f>
              <c:numCache>
                <c:formatCode>General</c:formatCode>
                <c:ptCount val="1"/>
                <c:pt idx="0">
                  <c:v>5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'[1]Data Brebis Points rouges'!$H$38</c:f>
              <c:strCache>
                <c:ptCount val="1"/>
                <c:pt idx="0">
                  <c:v>155000025923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rouges'!$M$38:$M$85</c:f>
              <c:numCache>
                <c:formatCode>General</c:formatCode>
                <c:ptCount val="48"/>
                <c:pt idx="0">
                  <c:v>45112.2832407407</c:v>
                </c:pt>
                <c:pt idx="1">
                  <c:v>45112.2840856482</c:v>
                </c:pt>
                <c:pt idx="2">
                  <c:v>45112.284375</c:v>
                </c:pt>
                <c:pt idx="3">
                  <c:v>45112.2845717593</c:v>
                </c:pt>
                <c:pt idx="4">
                  <c:v>45112.2848263889</c:v>
                </c:pt>
                <c:pt idx="5">
                  <c:v>45112.2851851852</c:v>
                </c:pt>
                <c:pt idx="6">
                  <c:v>45112.2855902778</c:v>
                </c:pt>
                <c:pt idx="7">
                  <c:v>45112.2859375</c:v>
                </c:pt>
                <c:pt idx="8">
                  <c:v>45112.2866435185</c:v>
                </c:pt>
                <c:pt idx="9">
                  <c:v>45112.2866666667</c:v>
                </c:pt>
                <c:pt idx="10">
                  <c:v>45112.2876967593</c:v>
                </c:pt>
                <c:pt idx="11">
                  <c:v>45112.2880902778</c:v>
                </c:pt>
                <c:pt idx="12">
                  <c:v>45112.2926388889</c:v>
                </c:pt>
                <c:pt idx="13">
                  <c:v>45112.3237847222</c:v>
                </c:pt>
                <c:pt idx="14">
                  <c:v>45112.3239699074</c:v>
                </c:pt>
                <c:pt idx="15">
                  <c:v>45112.3241550926</c:v>
                </c:pt>
                <c:pt idx="16">
                  <c:v>45112.3243402778</c:v>
                </c:pt>
                <c:pt idx="17">
                  <c:v>45112.3245138889</c:v>
                </c:pt>
                <c:pt idx="18">
                  <c:v>45112.3250115741</c:v>
                </c:pt>
                <c:pt idx="19">
                  <c:v>45112.3250347222</c:v>
                </c:pt>
                <c:pt idx="20">
                  <c:v>45112.3253009259</c:v>
                </c:pt>
                <c:pt idx="21">
                  <c:v>45112.3253240741</c:v>
                </c:pt>
                <c:pt idx="22">
                  <c:v>45112.3260185185</c:v>
                </c:pt>
                <c:pt idx="23">
                  <c:v>45112.3278819444</c:v>
                </c:pt>
                <c:pt idx="24">
                  <c:v>45112.328287037</c:v>
                </c:pt>
                <c:pt idx="25">
                  <c:v>45112.3287962963</c:v>
                </c:pt>
                <c:pt idx="26">
                  <c:v>45112.3292361111</c:v>
                </c:pt>
                <c:pt idx="27">
                  <c:v>45112.3295023148</c:v>
                </c:pt>
                <c:pt idx="28">
                  <c:v>45112.3299652778</c:v>
                </c:pt>
                <c:pt idx="29">
                  <c:v>45112.3313541667</c:v>
                </c:pt>
                <c:pt idx="30">
                  <c:v>45112.3324305556</c:v>
                </c:pt>
                <c:pt idx="31">
                  <c:v>45112.3329398148</c:v>
                </c:pt>
                <c:pt idx="32">
                  <c:v>45112.3334027778</c:v>
                </c:pt>
                <c:pt idx="33">
                  <c:v>45112.3346527778</c:v>
                </c:pt>
                <c:pt idx="34">
                  <c:v>45112.3349768519</c:v>
                </c:pt>
                <c:pt idx="35">
                  <c:v>45112.3365393519</c:v>
                </c:pt>
                <c:pt idx="36">
                  <c:v>45112.3370023148</c:v>
                </c:pt>
                <c:pt idx="37">
                  <c:v>45112.3959375</c:v>
                </c:pt>
                <c:pt idx="38">
                  <c:v>45112.3987731482</c:v>
                </c:pt>
                <c:pt idx="39">
                  <c:v>45112.4002777778</c:v>
                </c:pt>
                <c:pt idx="40">
                  <c:v>45112.4002893519</c:v>
                </c:pt>
                <c:pt idx="41">
                  <c:v>45112.4010069444</c:v>
                </c:pt>
                <c:pt idx="42">
                  <c:v>45112.4036342593</c:v>
                </c:pt>
                <c:pt idx="43">
                  <c:v>45113.6887384259</c:v>
                </c:pt>
                <c:pt idx="44">
                  <c:v>45113.6903009259</c:v>
                </c:pt>
                <c:pt idx="45">
                  <c:v>45113.7253819444</c:v>
                </c:pt>
                <c:pt idx="46">
                  <c:v>45113.7263194444</c:v>
                </c:pt>
                <c:pt idx="47">
                  <c:v>45113.7263425926</c:v>
                </c:pt>
              </c:numCache>
            </c:numRef>
          </c:xVal>
          <c:yVal>
            <c:numRef>
              <c:f>'[1]Data Brebis Points rouges'!$N$38:$N$85</c:f>
              <c:numCache>
                <c:formatCode>General</c:formatCode>
                <c:ptCount val="4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'[1]Data Brebis Points rouges'!$H$86</c:f>
              <c:strCache>
                <c:ptCount val="1"/>
                <c:pt idx="0">
                  <c:v>155000025916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rouges'!$M$86:$M$88</c:f>
              <c:numCache>
                <c:formatCode>General</c:formatCode>
                <c:ptCount val="3"/>
                <c:pt idx="0">
                  <c:v>45112.2953356481</c:v>
                </c:pt>
                <c:pt idx="1">
                  <c:v>45114.0078125</c:v>
                </c:pt>
                <c:pt idx="2">
                  <c:v>45114.0078356481</c:v>
                </c:pt>
              </c:numCache>
            </c:numRef>
          </c:xVal>
          <c:yVal>
            <c:numRef>
              <c:f>'[1]Data Brebis Points rouges'!$N$86:$N$88</c:f>
              <c:numCache>
                <c:formatCode>General</c:formatCode>
                <c:ptCount val="3"/>
                <c:pt idx="0">
                  <c:v>7</c:v>
                </c:pt>
                <c:pt idx="1">
                  <c:v>7</c:v>
                </c:pt>
                <c:pt idx="2">
                  <c:v>7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'[1]Data Brebis Points rouges'!$H$89</c:f>
              <c:strCache>
                <c:ptCount val="1"/>
                <c:pt idx="0">
                  <c:v>155000025276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rouges'!$M$89:$M$130</c:f>
              <c:numCache>
                <c:formatCode>General</c:formatCode>
                <c:ptCount val="42"/>
                <c:pt idx="0">
                  <c:v>45112.3030092593</c:v>
                </c:pt>
                <c:pt idx="1">
                  <c:v>45112.3030671296</c:v>
                </c:pt>
                <c:pt idx="2">
                  <c:v>45112.3032638889</c:v>
                </c:pt>
                <c:pt idx="3">
                  <c:v>45112.3037268519</c:v>
                </c:pt>
                <c:pt idx="4">
                  <c:v>45112.3038773148</c:v>
                </c:pt>
                <c:pt idx="5">
                  <c:v>45112.3043287037</c:v>
                </c:pt>
                <c:pt idx="6">
                  <c:v>45112.3044907407</c:v>
                </c:pt>
                <c:pt idx="7">
                  <c:v>45112.3046064815</c:v>
                </c:pt>
                <c:pt idx="8">
                  <c:v>45112.3046643519</c:v>
                </c:pt>
                <c:pt idx="9">
                  <c:v>45112.3053240741</c:v>
                </c:pt>
                <c:pt idx="10">
                  <c:v>45112.3054166667</c:v>
                </c:pt>
                <c:pt idx="11">
                  <c:v>45112.3055671296</c:v>
                </c:pt>
                <c:pt idx="12">
                  <c:v>45112.3080208333</c:v>
                </c:pt>
                <c:pt idx="13">
                  <c:v>45112.3082407407</c:v>
                </c:pt>
                <c:pt idx="14">
                  <c:v>45112.3151273148</c:v>
                </c:pt>
                <c:pt idx="15">
                  <c:v>45112.3153819444</c:v>
                </c:pt>
                <c:pt idx="16">
                  <c:v>45112.3155787037</c:v>
                </c:pt>
                <c:pt idx="17">
                  <c:v>45112.3156597222</c:v>
                </c:pt>
                <c:pt idx="18">
                  <c:v>45112.621087963</c:v>
                </c:pt>
                <c:pt idx="19">
                  <c:v>45112.6214351852</c:v>
                </c:pt>
                <c:pt idx="20">
                  <c:v>45112.6230092593</c:v>
                </c:pt>
                <c:pt idx="21">
                  <c:v>45112.6236111111</c:v>
                </c:pt>
                <c:pt idx="22">
                  <c:v>45112.6238310185</c:v>
                </c:pt>
                <c:pt idx="23">
                  <c:v>45112.6243865741</c:v>
                </c:pt>
                <c:pt idx="24">
                  <c:v>45112.6244907407</c:v>
                </c:pt>
                <c:pt idx="25">
                  <c:v>45112.6317824074</c:v>
                </c:pt>
                <c:pt idx="26">
                  <c:v>45112.6327546296</c:v>
                </c:pt>
                <c:pt idx="27">
                  <c:v>45112.6328240741</c:v>
                </c:pt>
                <c:pt idx="28">
                  <c:v>45112.6329166667</c:v>
                </c:pt>
                <c:pt idx="29">
                  <c:v>45112.6335763889</c:v>
                </c:pt>
                <c:pt idx="30">
                  <c:v>45112.6336342593</c:v>
                </c:pt>
                <c:pt idx="31">
                  <c:v>45112.6337268519</c:v>
                </c:pt>
                <c:pt idx="32">
                  <c:v>45112.6339930556</c:v>
                </c:pt>
                <c:pt idx="33">
                  <c:v>45112.6345138889</c:v>
                </c:pt>
                <c:pt idx="34">
                  <c:v>45112.6349652778</c:v>
                </c:pt>
                <c:pt idx="35">
                  <c:v>45112.6353125</c:v>
                </c:pt>
                <c:pt idx="36">
                  <c:v>45112.6356828704</c:v>
                </c:pt>
                <c:pt idx="37">
                  <c:v>45113.8928125</c:v>
                </c:pt>
                <c:pt idx="38">
                  <c:v>45113.8932986111</c:v>
                </c:pt>
                <c:pt idx="39">
                  <c:v>45113.8934027778</c:v>
                </c:pt>
                <c:pt idx="40">
                  <c:v>45113.8941550926</c:v>
                </c:pt>
                <c:pt idx="41">
                  <c:v>45113.8944907407</c:v>
                </c:pt>
              </c:numCache>
            </c:numRef>
          </c:xVal>
          <c:yVal>
            <c:numRef>
              <c:f>'[1]Data Brebis Points rouges'!$N$86:$N$130</c:f>
              <c:numCache>
                <c:formatCode>General</c:formatCode>
                <c:ptCount val="4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'[1]Data Brebis Points rouges'!$H$131</c:f>
              <c:strCache>
                <c:ptCount val="1"/>
                <c:pt idx="0">
                  <c:v>155000025094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rouges'!$M$131:$M$149</c:f>
              <c:numCache>
                <c:formatCode>General</c:formatCode>
                <c:ptCount val="19"/>
                <c:pt idx="0">
                  <c:v>45112.4063078704</c:v>
                </c:pt>
                <c:pt idx="1">
                  <c:v>45112.4063310185</c:v>
                </c:pt>
                <c:pt idx="2">
                  <c:v>45112.4069675926</c:v>
                </c:pt>
                <c:pt idx="3">
                  <c:v>45112.4072453704</c:v>
                </c:pt>
                <c:pt idx="4">
                  <c:v>45112.4134259259</c:v>
                </c:pt>
                <c:pt idx="5">
                  <c:v>45112.5990625</c:v>
                </c:pt>
                <c:pt idx="6">
                  <c:v>45112.6002430556</c:v>
                </c:pt>
                <c:pt idx="7">
                  <c:v>45112.6018634259</c:v>
                </c:pt>
                <c:pt idx="8">
                  <c:v>45112.6030092593</c:v>
                </c:pt>
                <c:pt idx="9">
                  <c:v>45112.6034490741</c:v>
                </c:pt>
                <c:pt idx="10">
                  <c:v>45114.0087962963</c:v>
                </c:pt>
                <c:pt idx="11">
                  <c:v>45114.0473842593</c:v>
                </c:pt>
                <c:pt idx="12">
                  <c:v>45114.0560648148</c:v>
                </c:pt>
                <c:pt idx="13">
                  <c:v>45114.0611689815</c:v>
                </c:pt>
                <c:pt idx="14">
                  <c:v>45114.0646180556</c:v>
                </c:pt>
                <c:pt idx="15">
                  <c:v>45114.1052314815</c:v>
                </c:pt>
                <c:pt idx="16">
                  <c:v>45114.1322453704</c:v>
                </c:pt>
                <c:pt idx="17">
                  <c:v>45114.4127662037</c:v>
                </c:pt>
                <c:pt idx="18">
                  <c:v>45114.4480208333</c:v>
                </c:pt>
              </c:numCache>
            </c:numRef>
          </c:xVal>
          <c:yVal>
            <c:numRef>
              <c:f>'[1]Data Brebis Points rouges'!$N$131:$N$149</c:f>
              <c:numCache>
                <c:formatCode>General</c:formatCode>
                <c:ptCount val="19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'[1]Data Brebis Points rouges'!$H$150</c:f>
              <c:strCache>
                <c:ptCount val="1"/>
                <c:pt idx="0">
                  <c:v>155000025681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rouges'!$M$150:$M$179</c:f>
              <c:numCache>
                <c:formatCode>General</c:formatCode>
                <c:ptCount val="30"/>
                <c:pt idx="0">
                  <c:v>45112.4818981482</c:v>
                </c:pt>
                <c:pt idx="1">
                  <c:v>45112.4972800926</c:v>
                </c:pt>
                <c:pt idx="2">
                  <c:v>45112.4975694444</c:v>
                </c:pt>
                <c:pt idx="3">
                  <c:v>45112.4977083333</c:v>
                </c:pt>
                <c:pt idx="4">
                  <c:v>45112.4989583333</c:v>
                </c:pt>
                <c:pt idx="5">
                  <c:v>45112.5032407407</c:v>
                </c:pt>
                <c:pt idx="6">
                  <c:v>45112.5126967593</c:v>
                </c:pt>
                <c:pt idx="7">
                  <c:v>45112.5434722222</c:v>
                </c:pt>
                <c:pt idx="8">
                  <c:v>45112.5434953704</c:v>
                </c:pt>
                <c:pt idx="9">
                  <c:v>45112.5845833333</c:v>
                </c:pt>
                <c:pt idx="10">
                  <c:v>45112.6010300926</c:v>
                </c:pt>
                <c:pt idx="11">
                  <c:v>45112.6065393519</c:v>
                </c:pt>
                <c:pt idx="12">
                  <c:v>45112.6154166667</c:v>
                </c:pt>
                <c:pt idx="13">
                  <c:v>45112.6156944444</c:v>
                </c:pt>
                <c:pt idx="14">
                  <c:v>45112.6370717593</c:v>
                </c:pt>
                <c:pt idx="15">
                  <c:v>45112.6377314815</c:v>
                </c:pt>
                <c:pt idx="16">
                  <c:v>45112.6377777778</c:v>
                </c:pt>
                <c:pt idx="17">
                  <c:v>45112.6381828704</c:v>
                </c:pt>
                <c:pt idx="18">
                  <c:v>45112.6404976852</c:v>
                </c:pt>
                <c:pt idx="19">
                  <c:v>45112.6406134259</c:v>
                </c:pt>
                <c:pt idx="20">
                  <c:v>45112.6630324074</c:v>
                </c:pt>
                <c:pt idx="21">
                  <c:v>45112.6631018519</c:v>
                </c:pt>
                <c:pt idx="22">
                  <c:v>45112.6632638889</c:v>
                </c:pt>
                <c:pt idx="23">
                  <c:v>45112.686087963</c:v>
                </c:pt>
                <c:pt idx="24">
                  <c:v>45112.6864467593</c:v>
                </c:pt>
                <c:pt idx="25">
                  <c:v>45112.6866319444</c:v>
                </c:pt>
                <c:pt idx="26">
                  <c:v>45112.7483796296</c:v>
                </c:pt>
                <c:pt idx="27">
                  <c:v>45112.7485185185</c:v>
                </c:pt>
                <c:pt idx="28">
                  <c:v>45112.7495949074</c:v>
                </c:pt>
                <c:pt idx="29">
                  <c:v>45112.7499768519</c:v>
                </c:pt>
              </c:numCache>
            </c:numRef>
          </c:xVal>
          <c:yVal>
            <c:numRef>
              <c:f>'[1]Data Brebis Points rouges'!$N$150:$N$179</c:f>
              <c:numCache>
                <c:formatCode>General</c:formatCode>
                <c:ptCount val="3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'[1]Data Brebis Points rouges'!$H$180</c:f>
              <c:strCache>
                <c:ptCount val="1"/>
                <c:pt idx="0">
                  <c:v>155000025759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rouges'!$M$180:$M$216</c:f>
              <c:numCache>
                <c:formatCode>General</c:formatCode>
                <c:ptCount val="37"/>
                <c:pt idx="0">
                  <c:v>45112.6903356482</c:v>
                </c:pt>
                <c:pt idx="1">
                  <c:v>45112.6925115741</c:v>
                </c:pt>
                <c:pt idx="2">
                  <c:v>45112.9325231482</c:v>
                </c:pt>
                <c:pt idx="3">
                  <c:v>45112.9325462963</c:v>
                </c:pt>
                <c:pt idx="4">
                  <c:v>45113.009537037</c:v>
                </c:pt>
                <c:pt idx="5">
                  <c:v>45113.0195023148</c:v>
                </c:pt>
                <c:pt idx="6">
                  <c:v>45113.0220601852</c:v>
                </c:pt>
                <c:pt idx="7">
                  <c:v>45113.0231828704</c:v>
                </c:pt>
                <c:pt idx="8">
                  <c:v>45113.0232060185</c:v>
                </c:pt>
                <c:pt idx="9">
                  <c:v>45113.024537037</c:v>
                </c:pt>
                <c:pt idx="10">
                  <c:v>45113.0371064815</c:v>
                </c:pt>
                <c:pt idx="11">
                  <c:v>45113.0371412037</c:v>
                </c:pt>
                <c:pt idx="12">
                  <c:v>45113.0397685185</c:v>
                </c:pt>
                <c:pt idx="13">
                  <c:v>45113.122650463</c:v>
                </c:pt>
                <c:pt idx="14">
                  <c:v>45113.1249305556</c:v>
                </c:pt>
                <c:pt idx="15">
                  <c:v>45113.1900231482</c:v>
                </c:pt>
                <c:pt idx="16">
                  <c:v>45113.1912268519</c:v>
                </c:pt>
                <c:pt idx="17">
                  <c:v>45113.1915509259</c:v>
                </c:pt>
                <c:pt idx="18">
                  <c:v>45113.1922222222</c:v>
                </c:pt>
                <c:pt idx="19">
                  <c:v>45113.1928356482</c:v>
                </c:pt>
                <c:pt idx="20">
                  <c:v>45113.1932407407</c:v>
                </c:pt>
                <c:pt idx="21">
                  <c:v>45113.1945486111</c:v>
                </c:pt>
                <c:pt idx="22">
                  <c:v>45113.1947337963</c:v>
                </c:pt>
                <c:pt idx="23">
                  <c:v>45113.1949074074</c:v>
                </c:pt>
                <c:pt idx="24">
                  <c:v>45113.1976041667</c:v>
                </c:pt>
                <c:pt idx="25">
                  <c:v>45113.1979050926</c:v>
                </c:pt>
                <c:pt idx="26">
                  <c:v>45113.1983564815</c:v>
                </c:pt>
                <c:pt idx="27">
                  <c:v>45113.1988425926</c:v>
                </c:pt>
                <c:pt idx="28">
                  <c:v>45113.1988657407</c:v>
                </c:pt>
                <c:pt idx="29">
                  <c:v>45113.1990046296</c:v>
                </c:pt>
                <c:pt idx="30">
                  <c:v>45113.1991782407</c:v>
                </c:pt>
                <c:pt idx="31">
                  <c:v>45113.1992013889</c:v>
                </c:pt>
                <c:pt idx="32">
                  <c:v>45113.1994907407</c:v>
                </c:pt>
                <c:pt idx="33">
                  <c:v>45113.2006712963</c:v>
                </c:pt>
                <c:pt idx="34">
                  <c:v>45113.2008449074</c:v>
                </c:pt>
                <c:pt idx="35">
                  <c:v>45113.2858564815</c:v>
                </c:pt>
                <c:pt idx="36">
                  <c:v>45113.4097685185</c:v>
                </c:pt>
              </c:numCache>
            </c:numRef>
          </c:xVal>
          <c:yVal>
            <c:numRef>
              <c:f>'[1]Data Brebis Points rouges'!$N$180:$N$216</c:f>
              <c:numCache>
                <c:formatCode>General</c:formatCode>
                <c:ptCount val="3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'[1]Data Brebis Points rouges'!$H$217</c:f>
              <c:strCache>
                <c:ptCount val="1"/>
                <c:pt idx="0">
                  <c:v>155000025519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rouges'!$M$217:$M$243</c:f>
              <c:numCache>
                <c:formatCode>General</c:formatCode>
                <c:ptCount val="27"/>
                <c:pt idx="0">
                  <c:v>45112.7028009259</c:v>
                </c:pt>
                <c:pt idx="1">
                  <c:v>45112.7030439815</c:v>
                </c:pt>
                <c:pt idx="2">
                  <c:v>45112.7036111111</c:v>
                </c:pt>
                <c:pt idx="3">
                  <c:v>45112.703900463</c:v>
                </c:pt>
                <c:pt idx="4">
                  <c:v>45112.7039930556</c:v>
                </c:pt>
                <c:pt idx="5">
                  <c:v>45112.705787037</c:v>
                </c:pt>
                <c:pt idx="6">
                  <c:v>45112.7128009259</c:v>
                </c:pt>
                <c:pt idx="7">
                  <c:v>45112.7153819444</c:v>
                </c:pt>
                <c:pt idx="8">
                  <c:v>45112.7195486111</c:v>
                </c:pt>
                <c:pt idx="9">
                  <c:v>45112.7555671296</c:v>
                </c:pt>
                <c:pt idx="10">
                  <c:v>45112.785787037</c:v>
                </c:pt>
                <c:pt idx="11">
                  <c:v>45112.7860300926</c:v>
                </c:pt>
                <c:pt idx="12">
                  <c:v>45112.7861805556</c:v>
                </c:pt>
                <c:pt idx="13">
                  <c:v>45113.2896412037</c:v>
                </c:pt>
                <c:pt idx="14">
                  <c:v>45113.2900578704</c:v>
                </c:pt>
                <c:pt idx="15">
                  <c:v>45113.2900810185</c:v>
                </c:pt>
                <c:pt idx="16">
                  <c:v>45113.2936226852</c:v>
                </c:pt>
                <c:pt idx="17">
                  <c:v>45113.3972916667</c:v>
                </c:pt>
                <c:pt idx="18">
                  <c:v>45113.397349537</c:v>
                </c:pt>
                <c:pt idx="19">
                  <c:v>45113.3990625</c:v>
                </c:pt>
                <c:pt idx="20">
                  <c:v>45113.400787037</c:v>
                </c:pt>
                <c:pt idx="21">
                  <c:v>45113.4427083333</c:v>
                </c:pt>
                <c:pt idx="22">
                  <c:v>45113.4436921296</c:v>
                </c:pt>
                <c:pt idx="23">
                  <c:v>45113.4463310185</c:v>
                </c:pt>
                <c:pt idx="24">
                  <c:v>45113.5703356481</c:v>
                </c:pt>
                <c:pt idx="25">
                  <c:v>45113.572974537</c:v>
                </c:pt>
                <c:pt idx="26">
                  <c:v>45113.5730092593</c:v>
                </c:pt>
              </c:numCache>
            </c:numRef>
          </c:xVal>
          <c:yVal>
            <c:numRef>
              <c:f>'[1]Data Brebis Points rouges'!$N$217:$N$243</c:f>
              <c:numCache>
                <c:formatCode>General</c:formatCode>
                <c:ptCount val="2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'[1]Data Brebis Points rouges'!$H$244</c:f>
              <c:strCache>
                <c:ptCount val="1"/>
                <c:pt idx="0">
                  <c:v>155000025845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rouges'!$M$244:$M$249</c:f>
              <c:numCache>
                <c:formatCode>General</c:formatCode>
                <c:ptCount val="6"/>
                <c:pt idx="0">
                  <c:v>45112.7710300926</c:v>
                </c:pt>
                <c:pt idx="1">
                  <c:v>45112.7713310185</c:v>
                </c:pt>
                <c:pt idx="2">
                  <c:v>45112.7726273148</c:v>
                </c:pt>
                <c:pt idx="3">
                  <c:v>45112.7759953704</c:v>
                </c:pt>
                <c:pt idx="4">
                  <c:v>45112.9861111111</c:v>
                </c:pt>
                <c:pt idx="5">
                  <c:v>45113.0231597222</c:v>
                </c:pt>
              </c:numCache>
            </c:numRef>
          </c:xVal>
          <c:yVal>
            <c:numRef>
              <c:f>'[1]Data Brebis Points rouges'!$N$244:$N$249</c:f>
              <c:numCache>
                <c:formatCode>General</c:formatCode>
                <c:ptCount val="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'[1]Data Brebis Points rouges'!$H$250</c:f>
              <c:strCache>
                <c:ptCount val="1"/>
                <c:pt idx="0">
                  <c:v>155000025031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rouges'!$M$250:$M$258</c:f>
              <c:numCache>
                <c:formatCode>General</c:formatCode>
                <c:ptCount val="9"/>
                <c:pt idx="0">
                  <c:v>45112.7887731481</c:v>
                </c:pt>
                <c:pt idx="1">
                  <c:v>45112.7888078704</c:v>
                </c:pt>
                <c:pt idx="2">
                  <c:v>45112.7889814815</c:v>
                </c:pt>
                <c:pt idx="3">
                  <c:v>45112.789525463</c:v>
                </c:pt>
                <c:pt idx="4">
                  <c:v>45112.7895717593</c:v>
                </c:pt>
                <c:pt idx="5">
                  <c:v>45112.7903356482</c:v>
                </c:pt>
                <c:pt idx="6">
                  <c:v>45112.7909722222</c:v>
                </c:pt>
                <c:pt idx="7">
                  <c:v>45112.7911226852</c:v>
                </c:pt>
                <c:pt idx="8">
                  <c:v>45114.669537037</c:v>
                </c:pt>
              </c:numCache>
            </c:numRef>
          </c:xVal>
          <c:yVal>
            <c:numRef>
              <c:f>'[1]Data Brebis Points rouges'!$N$250:$N$258</c:f>
              <c:numCache>
                <c:formatCode>General</c:formatCode>
                <c:ptCount val="9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'[1]Data Brebis Points rouges'!$H$259</c:f>
              <c:strCache>
                <c:ptCount val="1"/>
                <c:pt idx="0">
                  <c:v>155000025861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rouges'!$M$259:$M$267</c:f>
              <c:numCache>
                <c:formatCode>General</c:formatCode>
                <c:ptCount val="9"/>
                <c:pt idx="0">
                  <c:v>45112.7915162037</c:v>
                </c:pt>
                <c:pt idx="1">
                  <c:v>45112.7915740741</c:v>
                </c:pt>
                <c:pt idx="2">
                  <c:v>45113.0792476852</c:v>
                </c:pt>
                <c:pt idx="3">
                  <c:v>45113.0792939815</c:v>
                </c:pt>
                <c:pt idx="4">
                  <c:v>45113.0798611111</c:v>
                </c:pt>
                <c:pt idx="5">
                  <c:v>45113.0845833333</c:v>
                </c:pt>
                <c:pt idx="6">
                  <c:v>45113.0846180556</c:v>
                </c:pt>
                <c:pt idx="7">
                  <c:v>45113.2043865741</c:v>
                </c:pt>
                <c:pt idx="8">
                  <c:v>45113.2056134259</c:v>
                </c:pt>
              </c:numCache>
            </c:numRef>
          </c:xVal>
          <c:yVal>
            <c:numRef>
              <c:f>'[1]Data Brebis Points rouges'!$N$259:$N$267</c:f>
              <c:numCache>
                <c:formatCode>General</c:formatCode>
                <c:ptCount val="9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'[1]Data Brebis Points rouges'!$H$268</c:f>
              <c:strCache>
                <c:ptCount val="1"/>
                <c:pt idx="0">
                  <c:v>155000025388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rouges'!$M$268:$M$280</c:f>
              <c:numCache>
                <c:formatCode>General</c:formatCode>
                <c:ptCount val="13"/>
                <c:pt idx="0">
                  <c:v>45113.2017013889</c:v>
                </c:pt>
                <c:pt idx="1">
                  <c:v>45113.201712963</c:v>
                </c:pt>
                <c:pt idx="2">
                  <c:v>45113.2018981481</c:v>
                </c:pt>
                <c:pt idx="3">
                  <c:v>45113.2022106481</c:v>
                </c:pt>
                <c:pt idx="4">
                  <c:v>45113.2022222222</c:v>
                </c:pt>
                <c:pt idx="5">
                  <c:v>45113.2024768519</c:v>
                </c:pt>
                <c:pt idx="6">
                  <c:v>45113.2027199074</c:v>
                </c:pt>
                <c:pt idx="7">
                  <c:v>45113.2027430556</c:v>
                </c:pt>
                <c:pt idx="8">
                  <c:v>45113.203287037</c:v>
                </c:pt>
                <c:pt idx="9">
                  <c:v>45113.2036689815</c:v>
                </c:pt>
                <c:pt idx="10">
                  <c:v>45113.2041087963</c:v>
                </c:pt>
                <c:pt idx="11">
                  <c:v>45113.2091898148</c:v>
                </c:pt>
                <c:pt idx="12">
                  <c:v>45113.2092013889</c:v>
                </c:pt>
              </c:numCache>
            </c:numRef>
          </c:xVal>
          <c:yVal>
            <c:numRef>
              <c:f>'[1]Data Brebis Points rouges'!$N$268:$N$280</c:f>
              <c:numCache>
                <c:formatCode>General</c:formatCode>
                <c:ptCount val="13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'[1]Data Brebis Points rouges'!$H$281</c:f>
              <c:strCache>
                <c:ptCount val="1"/>
                <c:pt idx="0">
                  <c:v>155000025283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rouges'!$M$281:$M$285</c:f>
              <c:numCache>
                <c:formatCode>General</c:formatCode>
                <c:ptCount val="5"/>
                <c:pt idx="0">
                  <c:v>45113.4313078704</c:v>
                </c:pt>
                <c:pt idx="1">
                  <c:v>45113.4313310185</c:v>
                </c:pt>
                <c:pt idx="2">
                  <c:v>45113.4314699074</c:v>
                </c:pt>
                <c:pt idx="3">
                  <c:v>45113.4314930556</c:v>
                </c:pt>
                <c:pt idx="4">
                  <c:v>45114.6067708333</c:v>
                </c:pt>
              </c:numCache>
            </c:numRef>
          </c:xVal>
          <c:yVal>
            <c:numRef>
              <c:f>'[1]Data Brebis Points rouges'!$N$281:$N$285</c:f>
              <c:numCache>
                <c:formatCode>General</c:formatCode>
                <c:ptCount val="5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'[1]Data Brebis Points rouges'!$H$286</c:f>
              <c:strCache>
                <c:ptCount val="1"/>
                <c:pt idx="0">
                  <c:v>155000025367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rouges'!$M$286:$M$294</c:f>
              <c:numCache>
                <c:formatCode>General</c:formatCode>
                <c:ptCount val="9"/>
                <c:pt idx="0">
                  <c:v>45113.4324652778</c:v>
                </c:pt>
                <c:pt idx="1">
                  <c:v>45113.4324768519</c:v>
                </c:pt>
                <c:pt idx="2">
                  <c:v>45113.4325115741</c:v>
                </c:pt>
                <c:pt idx="3">
                  <c:v>45113.4325347222</c:v>
                </c:pt>
                <c:pt idx="4">
                  <c:v>45113.4326273148</c:v>
                </c:pt>
                <c:pt idx="5">
                  <c:v>45113.4326736111</c:v>
                </c:pt>
                <c:pt idx="6">
                  <c:v>45113.4327546296</c:v>
                </c:pt>
                <c:pt idx="7">
                  <c:v>45113.7720023148</c:v>
                </c:pt>
                <c:pt idx="8">
                  <c:v>45113.7721875</c:v>
                </c:pt>
              </c:numCache>
            </c:numRef>
          </c:xVal>
          <c:yVal>
            <c:numRef>
              <c:f>'[1]Data Brebis Points rouges'!$N$286:$N$294</c:f>
              <c:numCache>
                <c:formatCode>General</c:formatCode>
                <c:ptCount val="9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'[1]Data Brebis Points rouges'!$H$295</c:f>
              <c:strCache>
                <c:ptCount val="1"/>
                <c:pt idx="0">
                  <c:v>155000025232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rouges'!$M$295:$M$301</c:f>
              <c:numCache>
                <c:formatCode>General</c:formatCode>
                <c:ptCount val="7"/>
                <c:pt idx="0">
                  <c:v>45113.4503125</c:v>
                </c:pt>
                <c:pt idx="1">
                  <c:v>45113.6590393519</c:v>
                </c:pt>
                <c:pt idx="2">
                  <c:v>45113.659537037</c:v>
                </c:pt>
                <c:pt idx="3">
                  <c:v>45113.6636921296</c:v>
                </c:pt>
                <c:pt idx="4">
                  <c:v>45113.6831481482</c:v>
                </c:pt>
                <c:pt idx="5">
                  <c:v>45113.6837847222</c:v>
                </c:pt>
                <c:pt idx="6">
                  <c:v>45113.7086689815</c:v>
                </c:pt>
              </c:numCache>
            </c:numRef>
          </c:xVal>
          <c:yVal>
            <c:numRef>
              <c:f>'[1]Data Brebis Points rouges'!$N$295:$N$301</c:f>
              <c:numCache>
                <c:formatCode>General</c:formatCode>
                <c:ptCount val="7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'[1]Data Brebis Points rouges'!$H$302</c:f>
              <c:strCache>
                <c:ptCount val="1"/>
                <c:pt idx="0">
                  <c:v>155000025591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rouges'!$M$302:$M$320</c:f>
              <c:numCache>
                <c:formatCode>General</c:formatCode>
                <c:ptCount val="19"/>
                <c:pt idx="0">
                  <c:v>45113.5327199074</c:v>
                </c:pt>
                <c:pt idx="1">
                  <c:v>45113.5775</c:v>
                </c:pt>
                <c:pt idx="2">
                  <c:v>45113.577962963</c:v>
                </c:pt>
                <c:pt idx="3">
                  <c:v>45113.577974537</c:v>
                </c:pt>
                <c:pt idx="4">
                  <c:v>45113.5785648148</c:v>
                </c:pt>
                <c:pt idx="5">
                  <c:v>45113.6630787037</c:v>
                </c:pt>
                <c:pt idx="6">
                  <c:v>45113.6860648148</c:v>
                </c:pt>
                <c:pt idx="7">
                  <c:v>45113.8467476852</c:v>
                </c:pt>
                <c:pt idx="8">
                  <c:v>45113.847037037</c:v>
                </c:pt>
                <c:pt idx="9">
                  <c:v>45113.84875</c:v>
                </c:pt>
                <c:pt idx="10">
                  <c:v>45113.8499652778</c:v>
                </c:pt>
                <c:pt idx="11">
                  <c:v>45113.8499884259</c:v>
                </c:pt>
                <c:pt idx="12">
                  <c:v>45113.8502662037</c:v>
                </c:pt>
                <c:pt idx="13">
                  <c:v>45113.8504282407</c:v>
                </c:pt>
                <c:pt idx="14">
                  <c:v>45113.8505555556</c:v>
                </c:pt>
                <c:pt idx="15">
                  <c:v>45113.8507986111</c:v>
                </c:pt>
                <c:pt idx="16">
                  <c:v>45113.8511689815</c:v>
                </c:pt>
                <c:pt idx="17">
                  <c:v>45113.851400463</c:v>
                </c:pt>
                <c:pt idx="18">
                  <c:v>45113.8612268519</c:v>
                </c:pt>
              </c:numCache>
            </c:numRef>
          </c:xVal>
          <c:yVal>
            <c:numRef>
              <c:f>'[1]Data Brebis Points rouges'!$N$302:$N$320</c:f>
              <c:numCache>
                <c:formatCode>General</c:formatCode>
                <c:ptCount val="19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'[1]Data Brebis Points rouges'!$H$321</c:f>
              <c:strCache>
                <c:ptCount val="1"/>
                <c:pt idx="0">
                  <c:v>155000025486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rouges'!$M$321</c:f>
              <c:numCache>
                <c:formatCode>General</c:formatCode>
                <c:ptCount val="1"/>
                <c:pt idx="0">
                  <c:v>45113.559525463</c:v>
                </c:pt>
              </c:numCache>
            </c:numRef>
          </c:xVal>
          <c:yVal>
            <c:numRef>
              <c:f>'[1]Data Brebis Points rouges'!$N$321</c:f>
              <c:numCache>
                <c:formatCode>General</c:formatCode>
                <c:ptCount val="1"/>
                <c:pt idx="0">
                  <c:v>21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'[1]Data Brebis Points rouges'!$H$322</c:f>
              <c:strCache>
                <c:ptCount val="1"/>
                <c:pt idx="0">
                  <c:v>155000026012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rouges'!$M$322:$M$341</c:f>
              <c:numCache>
                <c:formatCode>General</c:formatCode>
                <c:ptCount val="20"/>
                <c:pt idx="0">
                  <c:v>45113.6119097222</c:v>
                </c:pt>
                <c:pt idx="1">
                  <c:v>45113.6898263889</c:v>
                </c:pt>
                <c:pt idx="2">
                  <c:v>45114.0069328704</c:v>
                </c:pt>
                <c:pt idx="3">
                  <c:v>45114.0069907407</c:v>
                </c:pt>
                <c:pt idx="4">
                  <c:v>45114.6450810185</c:v>
                </c:pt>
                <c:pt idx="5">
                  <c:v>45114.645462963</c:v>
                </c:pt>
                <c:pt idx="6">
                  <c:v>45114.6456944444</c:v>
                </c:pt>
                <c:pt idx="7">
                  <c:v>45114.645775463</c:v>
                </c:pt>
                <c:pt idx="8">
                  <c:v>45114.6463310185</c:v>
                </c:pt>
                <c:pt idx="9">
                  <c:v>45114.6463425926</c:v>
                </c:pt>
                <c:pt idx="10">
                  <c:v>45114.6467824074</c:v>
                </c:pt>
                <c:pt idx="11">
                  <c:v>45114.6469907407</c:v>
                </c:pt>
                <c:pt idx="12">
                  <c:v>45114.6472569444</c:v>
                </c:pt>
                <c:pt idx="13">
                  <c:v>45114.6476736111</c:v>
                </c:pt>
                <c:pt idx="14">
                  <c:v>45114.6476967593</c:v>
                </c:pt>
                <c:pt idx="15">
                  <c:v>45114.6478819444</c:v>
                </c:pt>
                <c:pt idx="16">
                  <c:v>45114.6483217593</c:v>
                </c:pt>
                <c:pt idx="17">
                  <c:v>45114.6484837963</c:v>
                </c:pt>
                <c:pt idx="18">
                  <c:v>45114.6491898148</c:v>
                </c:pt>
                <c:pt idx="19">
                  <c:v>45114.6492708333</c:v>
                </c:pt>
              </c:numCache>
            </c:numRef>
          </c:xVal>
          <c:yVal>
            <c:numRef>
              <c:f>'[1]Data Brebis Points rouges'!$N$322:$N$341</c:f>
              <c:numCache>
                <c:formatCode>General</c:formatCode>
                <c:ptCount val="20"/>
                <c:pt idx="0">
                  <c:v>22</c:v>
                </c:pt>
                <c:pt idx="1">
                  <c:v>22</c:v>
                </c:pt>
                <c:pt idx="2">
                  <c:v>22</c:v>
                </c:pt>
                <c:pt idx="3">
                  <c:v>22</c:v>
                </c:pt>
                <c:pt idx="4">
                  <c:v>22</c:v>
                </c:pt>
                <c:pt idx="5">
                  <c:v>22</c:v>
                </c:pt>
                <c:pt idx="6">
                  <c:v>22</c:v>
                </c:pt>
                <c:pt idx="7">
                  <c:v>22</c:v>
                </c:pt>
                <c:pt idx="8">
                  <c:v>22</c:v>
                </c:pt>
                <c:pt idx="9">
                  <c:v>22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22</c:v>
                </c:pt>
                <c:pt idx="16">
                  <c:v>22</c:v>
                </c:pt>
                <c:pt idx="17">
                  <c:v>22</c:v>
                </c:pt>
                <c:pt idx="18">
                  <c:v>22</c:v>
                </c:pt>
                <c:pt idx="19">
                  <c:v>22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'[1]Data Brebis Points rouges'!$H$342</c:f>
              <c:strCache>
                <c:ptCount val="1"/>
                <c:pt idx="0">
                  <c:v>155000025973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rouges'!$M$342:$M$355</c:f>
              <c:numCache>
                <c:formatCode>General</c:formatCode>
                <c:ptCount val="14"/>
                <c:pt idx="0">
                  <c:v>45113.6820601852</c:v>
                </c:pt>
                <c:pt idx="1">
                  <c:v>45113.6823148148</c:v>
                </c:pt>
                <c:pt idx="2">
                  <c:v>45113.6889351852</c:v>
                </c:pt>
                <c:pt idx="3">
                  <c:v>45113.6891435185</c:v>
                </c:pt>
                <c:pt idx="4">
                  <c:v>45113.6893634259</c:v>
                </c:pt>
                <c:pt idx="5">
                  <c:v>45113.7096990741</c:v>
                </c:pt>
                <c:pt idx="6">
                  <c:v>45113.8375462963</c:v>
                </c:pt>
                <c:pt idx="7">
                  <c:v>45113.9081828704</c:v>
                </c:pt>
                <c:pt idx="8">
                  <c:v>45113.9083680556</c:v>
                </c:pt>
                <c:pt idx="9">
                  <c:v>45114.2777083333</c:v>
                </c:pt>
                <c:pt idx="10">
                  <c:v>45114.2797685185</c:v>
                </c:pt>
                <c:pt idx="11">
                  <c:v>45114.2799189815</c:v>
                </c:pt>
                <c:pt idx="12">
                  <c:v>45114.2801851852</c:v>
                </c:pt>
                <c:pt idx="13">
                  <c:v>45114.2809375</c:v>
                </c:pt>
              </c:numCache>
            </c:numRef>
          </c:xVal>
          <c:yVal>
            <c:numRef>
              <c:f>'[1]Data Brebis Points rouges'!$N$342:$N$355</c:f>
              <c:numCache>
                <c:formatCode>General</c:formatCode>
                <c:ptCount val="14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'[1]Data Brebis Points rouges'!$H$356</c:f>
              <c:strCache>
                <c:ptCount val="1"/>
                <c:pt idx="0">
                  <c:v>155000025417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rouges'!$M$356:$M$365</c:f>
              <c:numCache>
                <c:formatCode>General</c:formatCode>
                <c:ptCount val="10"/>
                <c:pt idx="0">
                  <c:v>45113.6962615741</c:v>
                </c:pt>
                <c:pt idx="1">
                  <c:v>45113.7091435185</c:v>
                </c:pt>
                <c:pt idx="2">
                  <c:v>45113.7362962963</c:v>
                </c:pt>
                <c:pt idx="3">
                  <c:v>45113.7368634259</c:v>
                </c:pt>
                <c:pt idx="4">
                  <c:v>45113.738125</c:v>
                </c:pt>
                <c:pt idx="5">
                  <c:v>45113.8049768519</c:v>
                </c:pt>
                <c:pt idx="6">
                  <c:v>45113.8070833333</c:v>
                </c:pt>
                <c:pt idx="7">
                  <c:v>45113.8985532407</c:v>
                </c:pt>
                <c:pt idx="8">
                  <c:v>45113.8991087963</c:v>
                </c:pt>
                <c:pt idx="9">
                  <c:v>45114.7636111111</c:v>
                </c:pt>
              </c:numCache>
            </c:numRef>
          </c:xVal>
          <c:yVal>
            <c:numRef>
              <c:f>'[1]Data Brebis Points rouges'!$N$356:$N$365</c:f>
              <c:numCache>
                <c:formatCode>General</c:formatCode>
                <c:ptCount val="1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'[1]Data Brebis Points rouges'!$H$366</c:f>
              <c:strCache>
                <c:ptCount val="1"/>
                <c:pt idx="0">
                  <c:v>155000025757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rouges'!$M$366:$M$370</c:f>
              <c:numCache>
                <c:formatCode>General</c:formatCode>
                <c:ptCount val="5"/>
                <c:pt idx="0">
                  <c:v>45113.716712963</c:v>
                </c:pt>
                <c:pt idx="1">
                  <c:v>45113.716724537</c:v>
                </c:pt>
                <c:pt idx="2">
                  <c:v>45113.9671990741</c:v>
                </c:pt>
                <c:pt idx="3">
                  <c:v>45113.968599537</c:v>
                </c:pt>
                <c:pt idx="4">
                  <c:v>45113.9915277778</c:v>
                </c:pt>
              </c:numCache>
            </c:numRef>
          </c:xVal>
          <c:yVal>
            <c:numRef>
              <c:f>'[1]Data Brebis Points rouges'!$N$366:$N$370</c:f>
              <c:numCache>
                <c:formatCode>General</c:formatCode>
                <c:ptCount val="5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'[1]Data Brebis Points rouges'!$H$371</c:f>
              <c:strCache>
                <c:ptCount val="1"/>
                <c:pt idx="0">
                  <c:v>155000025167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rouges'!$M$371:$M$372</c:f>
              <c:numCache>
                <c:formatCode>General</c:formatCode>
                <c:ptCount val="2"/>
                <c:pt idx="0">
                  <c:v>45113.9234259259</c:v>
                </c:pt>
                <c:pt idx="1">
                  <c:v>45113.937025463</c:v>
                </c:pt>
              </c:numCache>
            </c:numRef>
          </c:xVal>
          <c:yVal>
            <c:numRef>
              <c:f>'[1]Data Brebis Points rouges'!$N$372:$N$373</c:f>
              <c:numCache>
                <c:formatCode>General</c:formatCode>
                <c:ptCount val="2"/>
                <c:pt idx="0">
                  <c:v>26</c:v>
                </c:pt>
                <c:pt idx="1">
                  <c:v>27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'[1]Data Brebis Points rouges'!$H$373</c:f>
              <c:strCache>
                <c:ptCount val="1"/>
                <c:pt idx="0">
                  <c:v>155000025439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rouges'!$M$373</c:f>
              <c:numCache>
                <c:formatCode>General</c:formatCode>
                <c:ptCount val="1"/>
                <c:pt idx="0">
                  <c:v>45113.9315509259</c:v>
                </c:pt>
              </c:numCache>
            </c:numRef>
          </c:xVal>
          <c:yVal>
            <c:numRef>
              <c:f>'[1]Data Brebis Points rouges'!$N$373</c:f>
              <c:numCache>
                <c:formatCode>General</c:formatCode>
                <c:ptCount val="1"/>
                <c:pt idx="0">
                  <c:v>27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'[1]Data Brebis Points rouges'!$H$374</c:f>
              <c:strCache>
                <c:ptCount val="1"/>
                <c:pt idx="0">
                  <c:v>155000025800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rouges'!$M$374:$M$377</c:f>
              <c:numCache>
                <c:formatCode>General</c:formatCode>
                <c:ptCount val="4"/>
                <c:pt idx="0">
                  <c:v>45113.9463773148</c:v>
                </c:pt>
                <c:pt idx="1">
                  <c:v>45114.0087615741</c:v>
                </c:pt>
                <c:pt idx="2">
                  <c:v>45114.185162037</c:v>
                </c:pt>
                <c:pt idx="3">
                  <c:v>45114.5159953704</c:v>
                </c:pt>
              </c:numCache>
            </c:numRef>
          </c:xVal>
          <c:yVal>
            <c:numRef>
              <c:f>'[1]Data Brebis Points rouges'!$N$374:$N$377</c:f>
              <c:numCache>
                <c:formatCode>General</c:formatCode>
                <c:ptCount val="4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'[1]Data Brebis Points rouges'!$H$378</c:f>
              <c:strCache>
                <c:ptCount val="1"/>
                <c:pt idx="0">
                  <c:v>155000025801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rouges'!$M$378:$M$383</c:f>
              <c:numCache>
                <c:formatCode>General</c:formatCode>
                <c:ptCount val="6"/>
                <c:pt idx="0">
                  <c:v>45113.9958333333</c:v>
                </c:pt>
                <c:pt idx="1">
                  <c:v>45114.0531597222</c:v>
                </c:pt>
                <c:pt idx="2">
                  <c:v>45114.0572800926</c:v>
                </c:pt>
                <c:pt idx="3">
                  <c:v>45114.0588194444</c:v>
                </c:pt>
                <c:pt idx="4">
                  <c:v>45114.2385416667</c:v>
                </c:pt>
                <c:pt idx="5">
                  <c:v>45114.2391666667</c:v>
                </c:pt>
              </c:numCache>
            </c:numRef>
          </c:xVal>
          <c:yVal>
            <c:numRef>
              <c:f>'[1]Data Brebis Points rouges'!$N$378:$N$383</c:f>
              <c:numCache>
                <c:formatCode>General</c:formatCode>
                <c:ptCount val="6"/>
                <c:pt idx="0">
                  <c:v>29</c:v>
                </c:pt>
                <c:pt idx="1">
                  <c:v>29</c:v>
                </c:pt>
                <c:pt idx="2">
                  <c:v>29</c:v>
                </c:pt>
                <c:pt idx="3">
                  <c:v>29</c:v>
                </c:pt>
                <c:pt idx="4">
                  <c:v>29</c:v>
                </c:pt>
                <c:pt idx="5">
                  <c:v>29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'[1]Data Brebis Points rouges'!$H$384</c:f>
              <c:strCache>
                <c:ptCount val="1"/>
                <c:pt idx="0">
                  <c:v>155000025656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rouges'!$M$384:$M$386</c:f>
              <c:numCache>
                <c:formatCode>General</c:formatCode>
                <c:ptCount val="3"/>
                <c:pt idx="0">
                  <c:v>45114.0115046296</c:v>
                </c:pt>
                <c:pt idx="1">
                  <c:v>45114.0123032407</c:v>
                </c:pt>
                <c:pt idx="2">
                  <c:v>45114.012337963</c:v>
                </c:pt>
              </c:numCache>
            </c:numRef>
          </c:xVal>
          <c:yVal>
            <c:numRef>
              <c:f>'[1]Data Brebis Points rouges'!$N$384:$N$386</c:f>
              <c:numCache>
                <c:formatCode>General</c:formatCode>
                <c:ptCount val="3"/>
                <c:pt idx="0">
                  <c:v>30</c:v>
                </c:pt>
                <c:pt idx="1">
                  <c:v>30</c:v>
                </c:pt>
                <c:pt idx="2">
                  <c:v>30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'[1]Data Brebis Points rouges'!$H$387</c:f>
              <c:strCache>
                <c:ptCount val="1"/>
                <c:pt idx="0">
                  <c:v>155000025368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rouges'!$M$387:$M$390</c:f>
              <c:numCache>
                <c:formatCode>General</c:formatCode>
                <c:ptCount val="4"/>
                <c:pt idx="0">
                  <c:v>45114.1300462963</c:v>
                </c:pt>
                <c:pt idx="1">
                  <c:v>45114.1312384259</c:v>
                </c:pt>
                <c:pt idx="2">
                  <c:v>45114.1312847222</c:v>
                </c:pt>
                <c:pt idx="3">
                  <c:v>45114.1524189815</c:v>
                </c:pt>
              </c:numCache>
            </c:numRef>
          </c:xVal>
          <c:yVal>
            <c:numRef>
              <c:f>'[1]Data Brebis Points rouges'!$N$387:$N$390</c:f>
              <c:numCache>
                <c:formatCode>General</c:formatCode>
                <c:ptCount val="4"/>
                <c:pt idx="0">
                  <c:v>31</c:v>
                </c:pt>
                <c:pt idx="1">
                  <c:v>31</c:v>
                </c:pt>
                <c:pt idx="2">
                  <c:v>31</c:v>
                </c:pt>
                <c:pt idx="3">
                  <c:v>31</c:v>
                </c:pt>
              </c:numCache>
            </c:numRef>
          </c:yVal>
          <c:smooth val="0"/>
        </c:ser>
        <c:ser>
          <c:idx val="31"/>
          <c:order val="31"/>
          <c:tx>
            <c:strRef>
              <c:f>'[1]Data Brebis Points rouges'!$H$391</c:f>
              <c:strCache>
                <c:ptCount val="1"/>
                <c:pt idx="0">
                  <c:v>155000025312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5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rouges'!$M$391</c:f>
              <c:numCache>
                <c:formatCode>General</c:formatCode>
                <c:ptCount val="1"/>
                <c:pt idx="0">
                  <c:v>45114.7437384259</c:v>
                </c:pt>
              </c:numCache>
            </c:numRef>
          </c:xVal>
          <c:yVal>
            <c:numRef>
              <c:f>'[1]Data Brebis Points rouges'!$N$391</c:f>
              <c:numCache>
                <c:formatCode>General</c:formatCode>
                <c:ptCount val="1"/>
                <c:pt idx="0">
                  <c:v>32</c:v>
                </c:pt>
              </c:numCache>
            </c:numRef>
          </c:yVal>
          <c:smooth val="0"/>
        </c:ser>
        <c:axId val="59305591"/>
        <c:axId val="91925868"/>
      </c:scatterChart>
      <c:valAx>
        <c:axId val="59305591"/>
        <c:scaling>
          <c:orientation val="minMax"/>
          <c:min val="45111.334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fr-FR" sz="105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050" spc="-1" strike="noStrike">
                    <a:solidFill>
                      <a:srgbClr val="000000"/>
                    </a:solidFill>
                    <a:latin typeface="Calibri"/>
                  </a:rPr>
                  <a:t>Temps</a:t>
                </a:r>
              </a:p>
            </c:rich>
          </c:tx>
          <c:layout>
            <c:manualLayout>
              <c:xMode val="edge"/>
              <c:yMode val="edge"/>
              <c:x val="0.949861544806457"/>
              <c:y val="0.937022618636969"/>
            </c:manualLayout>
          </c:layout>
          <c:overlay val="0"/>
          <c:spPr>
            <a:noFill/>
            <a:ln w="0">
              <a:noFill/>
            </a:ln>
          </c:spPr>
        </c:title>
        <c:numFmt formatCode="dd/mm/yy\ hh:mm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 rot="5400000"/>
          <a:lstStyle/>
          <a:p>
            <a:pPr>
              <a:defRPr b="0" sz="105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25868"/>
        <c:crosses val="autoZero"/>
        <c:crossBetween val="midCat"/>
        <c:majorUnit val="0.0833333"/>
        <c:minorUnit val="0.04166665"/>
      </c:valAx>
      <c:valAx>
        <c:axId val="91925868"/>
        <c:scaling>
          <c:orientation val="minMax"/>
          <c:max val="40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05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050" spc="-1" strike="noStrike">
                    <a:solidFill>
                      <a:srgbClr val="000000"/>
                    </a:solidFill>
                    <a:latin typeface="Calibri"/>
                  </a:rPr>
                  <a:t>N° Brebis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5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05591"/>
        <c:crosses val="autoZero"/>
        <c:crossBetween val="midCat"/>
        <c:majorUnit val="2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  <c:userShapes r:id="rId1"/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114120</xdr:rowOff>
    </xdr:from>
    <xdr:to>
      <xdr:col>12</xdr:col>
      <xdr:colOff>56880</xdr:colOff>
      <xdr:row>60</xdr:row>
      <xdr:rowOff>138600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6638760"/>
          <a:ext cx="10236600" cy="4367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</xdr:row>
      <xdr:rowOff>12600</xdr:rowOff>
    </xdr:from>
    <xdr:to>
      <xdr:col>25</xdr:col>
      <xdr:colOff>285480</xdr:colOff>
      <xdr:row>37</xdr:row>
      <xdr:rowOff>174600</xdr:rowOff>
    </xdr:to>
    <xdr:graphicFrame>
      <xdr:nvGraphicFramePr>
        <xdr:cNvPr id="1" name="Graphique 4"/>
        <xdr:cNvGraphicFramePr/>
      </xdr:nvGraphicFramePr>
      <xdr:xfrm>
        <a:off x="11269440" y="542880"/>
        <a:ext cx="9247320" cy="667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1</xdr:row>
      <xdr:rowOff>12600</xdr:rowOff>
    </xdr:from>
    <xdr:to>
      <xdr:col>32</xdr:col>
      <xdr:colOff>814320</xdr:colOff>
      <xdr:row>41</xdr:row>
      <xdr:rowOff>78840</xdr:rowOff>
    </xdr:to>
    <xdr:graphicFrame>
      <xdr:nvGraphicFramePr>
        <xdr:cNvPr id="2" name="Graphique 4"/>
        <xdr:cNvGraphicFramePr/>
      </xdr:nvGraphicFramePr>
      <xdr:xfrm>
        <a:off x="14473080" y="542880"/>
        <a:ext cx="12220200" cy="730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0.2327520179108</cdr:x>
      <cdr:y>0.0629281032868477</cdr:y>
    </cdr:from>
    <cdr:to>
      <cdr:x>0.2327520179108</cdr:x>
      <cdr:y>0.858374809047455</cdr:y>
    </cdr:to>
    <cdr:cxnSp>
      <cdr:nvCxnSpPr>
        <cdr:cNvPr id="3" name="Connecteur droit 2"/>
        <cdr:cNvCxnSpPr/>
      </cdr:nvCxnSpPr>
      <cdr:spPr>
        <a:xfrm flipV="1">
          <a:off x="2844360" y="459720"/>
          <a:ext cx="360" cy="5811480"/>
        </a:xfrm>
        <a:prstGeom prst="straightConnector1">
          <a:avLst/>
        </a:prstGeom>
        <a:ln w="28575">
          <a:solidFill>
            <a:srgbClr val="000000"/>
          </a:solidFill>
          <a:miter/>
        </a:ln>
      </cdr:spPr>
    </cdr:cxnSp>
  </cdr:relSizeAnchor>
  <cdr:relSizeAnchor>
    <cdr:from>
      <cdr:x>0.555853414246156</cdr:x>
      <cdr:y>0.0639629428867097</cdr:y>
    </cdr:from>
    <cdr:to>
      <cdr:x>0.555853414246156</cdr:x>
      <cdr:y>0.858867589809294</cdr:y>
    </cdr:to>
    <cdr:cxnSp>
      <cdr:nvCxnSpPr>
        <cdr:cNvPr id="4" name="Connecteur droit 3"/>
        <cdr:cNvCxnSpPr/>
      </cdr:nvCxnSpPr>
      <cdr:spPr>
        <a:xfrm flipV="1">
          <a:off x="6792840" y="467280"/>
          <a:ext cx="360" cy="5807520"/>
        </a:xfrm>
        <a:prstGeom prst="straightConnector1">
          <a:avLst/>
        </a:prstGeom>
        <a:ln w="28575">
          <a:solidFill>
            <a:srgbClr val="000000"/>
          </a:solidFill>
          <a:miter/>
        </a:ln>
      </cdr:spPr>
    </cdr:cxnSp>
  </cdr:relSizeAnchor>
  <cdr:relSizeAnchor>
    <cdr:from>
      <cdr:x>0.279325988334413</cdr:x>
      <cdr:y>0.0618932636869857</cdr:y>
    </cdr:from>
    <cdr:to>
      <cdr:x>0.279325988334413</cdr:x>
      <cdr:y>0.860099541713892</cdr:y>
    </cdr:to>
    <cdr:cxnSp>
      <cdr:nvCxnSpPr>
        <cdr:cNvPr id="5" name="Connecteur droit 5"/>
        <cdr:cNvCxnSpPr/>
      </cdr:nvCxnSpPr>
      <cdr:spPr>
        <a:xfrm flipV="1">
          <a:off x="3413520" y="452160"/>
          <a:ext cx="360" cy="5831640"/>
        </a:xfrm>
        <a:prstGeom prst="straightConnector1">
          <a:avLst/>
        </a:prstGeom>
        <a:ln w="28575">
          <a:solidFill>
            <a:srgbClr val="00b050"/>
          </a:solidFill>
          <a:miter/>
        </a:ln>
      </cdr:spPr>
    </cdr:cxnSp>
  </cdr:relSizeAnchor>
  <cdr:relSizeAnchor>
    <cdr:from>
      <cdr:x>0.602456843221587</cdr:x>
      <cdr:y>0.0639629428867097</cdr:y>
    </cdr:from>
    <cdr:to>
      <cdr:x>0.602456843221587</cdr:x>
      <cdr:y>0.858473365199823</cdr:y>
    </cdr:to>
    <cdr:cxnSp>
      <cdr:nvCxnSpPr>
        <cdr:cNvPr id="6" name="Connecteur droit 6"/>
        <cdr:cNvCxnSpPr/>
      </cdr:nvCxnSpPr>
      <cdr:spPr>
        <a:xfrm flipV="1">
          <a:off x="7362360" y="467280"/>
          <a:ext cx="360" cy="5804640"/>
        </a:xfrm>
        <a:prstGeom prst="straightConnector1">
          <a:avLst/>
        </a:prstGeom>
        <a:ln w="28575">
          <a:solidFill>
            <a:srgbClr val="00b050"/>
          </a:solidFill>
          <a:miter/>
        </a:ln>
      </cdr:spPr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Users/debus/Documents/Nathalie/FichierPC/Labo/Exp&#233;rimentations/Effet%20m&#226;le/Progesterone-EffetMale/LaFage2023/DataIA-LaFage2023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fos Protocole"/>
      <sheetName val="All Data 13-07-23"/>
      <sheetName val="Data Bélier"/>
      <sheetName val="Data Brebis"/>
      <sheetName val="Data Brebis Points rouges"/>
      <sheetName val="Feuil9"/>
      <sheetName val="EM Brebis Début-Fin"/>
      <sheetName val="EM Brebis Début-Fin (2)"/>
      <sheetName val="Data Nb Chevauchements"/>
      <sheetName val="Nb chevauchements bruts"/>
      <sheetName val="Nb chevauchements calculs"/>
      <sheetName val="CorrespondanceTa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6" activeCellId="0" sqref="M6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22.67"/>
    <col collapsed="false" customWidth="true" hidden="false" outlineLevel="0" max="3" min="3" style="0" width="15"/>
  </cols>
  <sheetData>
    <row r="1" customFormat="false" ht="15" hidden="false" customHeight="false" outlineLevel="0" collapsed="false">
      <c r="A1" s="1" t="s">
        <v>0</v>
      </c>
    </row>
    <row r="3" customFormat="false" ht="14.25" hidden="false" customHeight="false" outlineLevel="0" collapsed="false">
      <c r="A3" s="0" t="s">
        <v>1</v>
      </c>
      <c r="B3" s="2" t="n">
        <v>45097</v>
      </c>
      <c r="C3" s="3" t="n">
        <f aca="false">B4-B3</f>
        <v>14</v>
      </c>
    </row>
    <row r="4" customFormat="false" ht="14.25" hidden="false" customHeight="false" outlineLevel="0" collapsed="false">
      <c r="A4" s="0" t="s">
        <v>2</v>
      </c>
      <c r="B4" s="2" t="n">
        <v>45111</v>
      </c>
      <c r="C4" s="4" t="s">
        <v>3</v>
      </c>
    </row>
    <row r="5" customFormat="false" ht="14.25" hidden="false" customHeight="false" outlineLevel="0" collapsed="false">
      <c r="A5" s="0" t="s">
        <v>4</v>
      </c>
      <c r="B5" s="2" t="n">
        <v>45111</v>
      </c>
      <c r="C5" s="4" t="s">
        <v>5</v>
      </c>
    </row>
    <row r="6" customFormat="false" ht="14.25" hidden="false" customHeight="false" outlineLevel="0" collapsed="false">
      <c r="A6" s="0" t="s">
        <v>6</v>
      </c>
      <c r="B6" s="2" t="n">
        <v>45113</v>
      </c>
      <c r="C6" s="4" t="s">
        <v>7</v>
      </c>
    </row>
    <row r="7" customFormat="false" ht="14.25" hidden="false" customHeight="false" outlineLevel="0" collapsed="false">
      <c r="A7" s="0" t="s">
        <v>8</v>
      </c>
      <c r="B7" s="2" t="n">
        <v>45115</v>
      </c>
      <c r="C7" s="3" t="n">
        <f aca="false">B7-B5</f>
        <v>4</v>
      </c>
    </row>
    <row r="8" customFormat="false" ht="14.25" hidden="false" customHeight="false" outlineLevel="0" collapsed="false">
      <c r="A8" s="0" t="s">
        <v>9</v>
      </c>
      <c r="B8" s="2" t="n">
        <v>45124</v>
      </c>
      <c r="C8" s="3" t="n">
        <f aca="false">B8-B5</f>
        <v>13</v>
      </c>
    </row>
    <row r="9" customFormat="false" ht="14.25" hidden="false" customHeight="false" outlineLevel="0" collapsed="false">
      <c r="A9" s="0" t="s">
        <v>10</v>
      </c>
      <c r="B9" s="2" t="n">
        <v>45140</v>
      </c>
    </row>
    <row r="10" customFormat="false" ht="14.25" hidden="false" customHeight="false" outlineLevel="0" collapsed="false">
      <c r="A10" s="0" t="s">
        <v>11</v>
      </c>
      <c r="B10" s="2" t="n">
        <v>45177</v>
      </c>
      <c r="C10" s="3" t="n">
        <f aca="false">B10-B6</f>
        <v>64</v>
      </c>
    </row>
    <row r="11" customFormat="false" ht="14.25" hidden="false" customHeight="false" outlineLevel="0" collapsed="false">
      <c r="A11" s="0" t="s">
        <v>12</v>
      </c>
      <c r="B11" s="2"/>
    </row>
    <row r="12" customFormat="false" ht="14.25" hidden="false" customHeight="false" outlineLevel="0" collapsed="false">
      <c r="A12" s="0" t="s">
        <v>13</v>
      </c>
      <c r="B12" s="2" t="n">
        <v>45068</v>
      </c>
    </row>
    <row r="13" customFormat="false" ht="14.25" hidden="false" customHeight="false" outlineLevel="0" collapsed="false">
      <c r="A13" s="0" t="s">
        <v>14</v>
      </c>
      <c r="B13" s="2" t="n">
        <v>45145</v>
      </c>
    </row>
    <row r="14" customFormat="false" ht="14.25" hidden="false" customHeight="false" outlineLevel="0" collapsed="false">
      <c r="A14" s="0" t="s">
        <v>15</v>
      </c>
      <c r="B14" s="2" t="n">
        <v>45175</v>
      </c>
    </row>
    <row r="15" customFormat="false" ht="14.25" hidden="false" customHeight="false" outlineLevel="0" collapsed="false">
      <c r="B15" s="5"/>
    </row>
    <row r="16" s="3" customFormat="true" ht="14.25" hidden="false" customHeight="false" outlineLevel="0" collapsed="false">
      <c r="A16" s="0" t="s">
        <v>16</v>
      </c>
      <c r="B16" s="0"/>
      <c r="C16" s="0"/>
      <c r="D16" s="0"/>
      <c r="E16" s="0"/>
      <c r="F16" s="0"/>
      <c r="G16" s="0"/>
      <c r="H16" s="0"/>
      <c r="I16" s="0"/>
      <c r="J16" s="0"/>
    </row>
    <row r="17" customFormat="false" ht="14.25" hidden="false" customHeight="false" outlineLevel="0" collapsed="false">
      <c r="A17" s="0" t="s">
        <v>17</v>
      </c>
      <c r="B17" s="0" t="s">
        <v>18</v>
      </c>
      <c r="C17" s="0" t="s">
        <v>19</v>
      </c>
      <c r="D17" s="0" t="s">
        <v>20</v>
      </c>
    </row>
    <row r="18" customFormat="false" ht="14.25" hidden="false" customHeight="false" outlineLevel="0" collapsed="false">
      <c r="A18" s="6" t="n">
        <v>213668</v>
      </c>
      <c r="B18" s="7" t="n">
        <v>12</v>
      </c>
      <c r="C18" s="3" t="s">
        <v>21</v>
      </c>
      <c r="D18" s="4" t="n">
        <v>2777</v>
      </c>
      <c r="E18" s="3" t="s">
        <v>22</v>
      </c>
      <c r="F18" s="3" t="s">
        <v>23</v>
      </c>
      <c r="G18" s="8"/>
      <c r="H18" s="8"/>
      <c r="I18" s="8"/>
      <c r="J18" s="3"/>
    </row>
    <row r="19" customFormat="false" ht="14.25" hidden="false" customHeight="false" outlineLevel="0" collapsed="false">
      <c r="A19" s="6" t="n">
        <v>213777</v>
      </c>
      <c r="B19" s="7" t="n">
        <v>16</v>
      </c>
      <c r="C19" s="3" t="s">
        <v>24</v>
      </c>
      <c r="D19" s="4" t="n">
        <v>8688</v>
      </c>
      <c r="E19" s="3" t="s">
        <v>25</v>
      </c>
      <c r="F19" s="3" t="s">
        <v>26</v>
      </c>
      <c r="J19" s="3"/>
    </row>
    <row r="20" customFormat="false" ht="14.25" hidden="false" customHeight="false" outlineLevel="0" collapsed="false">
      <c r="A20" s="6" t="n">
        <v>213711</v>
      </c>
      <c r="B20" s="7" t="n">
        <v>9</v>
      </c>
      <c r="C20" s="3" t="s">
        <v>27</v>
      </c>
      <c r="D20" s="4" t="n">
        <v>9213</v>
      </c>
      <c r="E20" s="3" t="s">
        <v>28</v>
      </c>
      <c r="F20" s="3" t="s">
        <v>23</v>
      </c>
      <c r="G20" s="3"/>
      <c r="H20" s="3"/>
      <c r="I20" s="3"/>
      <c r="J20" s="3"/>
    </row>
    <row r="21" customFormat="false" ht="14.25" hidden="false" customHeight="false" outlineLevel="0" collapsed="false">
      <c r="A21" s="8" t="n">
        <v>213779</v>
      </c>
      <c r="B21" s="9" t="s">
        <v>29</v>
      </c>
      <c r="C21" s="4" t="s">
        <v>30</v>
      </c>
      <c r="D21" s="4" t="n">
        <v>2419</v>
      </c>
      <c r="E21" s="4" t="s">
        <v>31</v>
      </c>
      <c r="F21" s="3" t="s">
        <v>26</v>
      </c>
      <c r="G21" s="3" t="s">
        <v>32</v>
      </c>
      <c r="J21" s="3"/>
    </row>
    <row r="22" customFormat="false" ht="14.25" hidden="false" customHeight="false" outlineLevel="0" collapsed="false">
      <c r="A22" s="8" t="n">
        <v>213665</v>
      </c>
      <c r="B22" s="9" t="s">
        <v>29</v>
      </c>
      <c r="C22" s="4" t="s">
        <v>30</v>
      </c>
      <c r="D22" s="4" t="n">
        <v>2419</v>
      </c>
      <c r="E22" s="4" t="s">
        <v>31</v>
      </c>
      <c r="F22" s="3" t="s">
        <v>26</v>
      </c>
      <c r="G22" s="3" t="s">
        <v>33</v>
      </c>
    </row>
    <row r="24" s="4" customFormat="true" ht="14.25" hidden="false" customHeight="false" outlineLevel="0" collapsed="false">
      <c r="A24" s="0"/>
      <c r="B24" s="0"/>
      <c r="C24" s="0"/>
      <c r="D24" s="0"/>
      <c r="E24" s="0"/>
      <c r="F24" s="0"/>
      <c r="G24" s="0"/>
      <c r="H24" s="0"/>
      <c r="I24" s="0"/>
      <c r="J24" s="0"/>
    </row>
    <row r="25" s="4" customFormat="true" ht="14.25" hidden="false" customHeight="false" outlineLevel="0" collapsed="false">
      <c r="A25" s="0" t="s">
        <v>34</v>
      </c>
      <c r="B25" s="0"/>
      <c r="C25" s="0"/>
      <c r="D25" s="0"/>
      <c r="E25" s="0"/>
      <c r="F25" s="0"/>
      <c r="G25" s="0"/>
      <c r="H25" s="0"/>
      <c r="I25" s="0"/>
      <c r="J25" s="0"/>
    </row>
    <row r="26" s="4" customFormat="true" ht="14.25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</row>
    <row r="27" s="4" customFormat="true" ht="14.25" hidden="false" customHeight="false" outlineLevel="0" collapsed="false">
      <c r="A27" s="0" t="s">
        <v>35</v>
      </c>
      <c r="B27" s="0"/>
      <c r="C27" s="0"/>
      <c r="D27" s="0"/>
      <c r="E27" s="0"/>
      <c r="F27" s="0"/>
      <c r="G27" s="0"/>
      <c r="H27" s="0"/>
      <c r="I27" s="0"/>
      <c r="J27" s="0"/>
    </row>
    <row r="28" s="4" customFormat="true" ht="14.25" hidden="false" customHeight="false" outlineLevel="0" collapsed="false">
      <c r="A28" s="4" t="s">
        <v>36</v>
      </c>
    </row>
    <row r="29" s="4" customFormat="true" ht="14.25" hidden="false" customHeight="false" outlineLevel="0" collapsed="false"/>
    <row r="30" s="4" customFormat="true" ht="14.25" hidden="false" customHeight="false" outlineLevel="0" collapsed="false">
      <c r="A30" s="4" t="s">
        <v>37</v>
      </c>
    </row>
    <row r="31" customFormat="false" ht="14.25" hidden="false" customHeight="false" outlineLevel="0" collapsed="false">
      <c r="A31" s="4" t="s">
        <v>38</v>
      </c>
      <c r="B31" s="4"/>
      <c r="C31" s="4"/>
      <c r="D31" s="4"/>
      <c r="E31" s="4"/>
      <c r="F31" s="4"/>
      <c r="G31" s="4"/>
      <c r="H31" s="4"/>
      <c r="I31" s="4"/>
      <c r="J31" s="4"/>
    </row>
    <row r="32" customFormat="false" ht="14.2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customFormat="false" ht="14.25" hidden="false" customHeight="false" outlineLevel="0" collapsed="false">
      <c r="A33" s="4" t="s">
        <v>39</v>
      </c>
      <c r="B33" s="4"/>
      <c r="C33" s="4"/>
      <c r="D33" s="4"/>
      <c r="E33" s="4"/>
      <c r="F33" s="4"/>
      <c r="G33" s="4"/>
      <c r="H33" s="4"/>
      <c r="I33" s="4"/>
      <c r="J33" s="4"/>
    </row>
    <row r="34" customFormat="false" ht="14.25" hidden="false" customHeight="false" outlineLevel="0" collapsed="false">
      <c r="A34" s="4" t="s">
        <v>40</v>
      </c>
      <c r="B34" s="4"/>
      <c r="C34" s="4"/>
      <c r="D34" s="4"/>
      <c r="E34" s="4"/>
      <c r="F34" s="4"/>
      <c r="G34" s="4"/>
      <c r="H34" s="4"/>
      <c r="I34" s="4"/>
      <c r="J34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C442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56" activeCellId="0" sqref="B56"/>
    </sheetView>
  </sheetViews>
  <sheetFormatPr defaultColWidth="15.109375" defaultRowHeight="14.25" zeroHeight="false" outlineLevelRow="0" outlineLevelCol="0"/>
  <cols>
    <col collapsed="false" customWidth="true" hidden="false" outlineLevel="0" max="1" min="1" style="10" width="6.56"/>
    <col collapsed="false" customWidth="true" hidden="false" outlineLevel="0" max="2" min="2" style="10" width="9.67"/>
    <col collapsed="false" customWidth="true" hidden="false" outlineLevel="0" max="3" min="3" style="10" width="3"/>
    <col collapsed="false" customWidth="true" hidden="false" outlineLevel="0" max="4" min="4" style="10" width="4.33"/>
    <col collapsed="false" customWidth="true" hidden="false" outlineLevel="0" max="6" min="5" style="11" width="18"/>
    <col collapsed="false" customWidth="false" hidden="false" outlineLevel="0" max="237" min="7" style="12" width="15.11"/>
    <col collapsed="false" customWidth="false" hidden="false" outlineLevel="0" max="16384" min="238" style="13" width="15.11"/>
  </cols>
  <sheetData>
    <row r="1" customFormat="false" ht="15" hidden="false" customHeight="false" outlineLevel="0" collapsed="false">
      <c r="A1" s="1" t="s">
        <v>0</v>
      </c>
      <c r="C1" s="14"/>
      <c r="D1" s="14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</row>
    <row r="2" customFormat="false" ht="14.25" hidden="false" customHeight="false" outlineLevel="0" collapsed="false">
      <c r="C2" s="14"/>
      <c r="D2" s="14"/>
    </row>
    <row r="3" customFormat="false" ht="14.25" hidden="false" customHeight="false" outlineLevel="0" collapsed="false">
      <c r="C3" s="14"/>
      <c r="D3" s="14"/>
    </row>
    <row r="4" customFormat="false" ht="16.5" hidden="false" customHeight="true" outlineLevel="0" collapsed="false">
      <c r="B4" s="15"/>
      <c r="C4" s="16"/>
      <c r="D4" s="16"/>
      <c r="E4" s="17" t="s">
        <v>41</v>
      </c>
      <c r="F4" s="17" t="s">
        <v>41</v>
      </c>
      <c r="G4" s="18"/>
    </row>
    <row r="5" customFormat="false" ht="16.5" hidden="false" customHeight="true" outlineLevel="0" collapsed="false">
      <c r="B5" s="15"/>
      <c r="C5" s="14"/>
      <c r="D5" s="14"/>
      <c r="E5" s="19" t="s">
        <v>42</v>
      </c>
      <c r="F5" s="19" t="s">
        <v>43</v>
      </c>
    </row>
    <row r="6" customFormat="false" ht="15" hidden="false" customHeight="true" outlineLevel="0" collapsed="false">
      <c r="B6" s="15"/>
      <c r="C6" s="20"/>
      <c r="D6" s="14"/>
      <c r="E6" s="21" t="s">
        <v>44</v>
      </c>
      <c r="F6" s="21" t="s">
        <v>44</v>
      </c>
    </row>
    <row r="7" customFormat="false" ht="14.25" hidden="false" customHeight="false" outlineLevel="0" collapsed="false">
      <c r="B7" s="15"/>
      <c r="C7" s="14"/>
      <c r="D7" s="14"/>
      <c r="E7" s="22"/>
      <c r="F7" s="22"/>
    </row>
    <row r="8" customFormat="false" ht="14.25" hidden="false" customHeight="false" outlineLevel="0" collapsed="false">
      <c r="A8" s="23"/>
      <c r="B8" s="24" t="n">
        <v>45065</v>
      </c>
      <c r="C8" s="25" t="s">
        <v>45</v>
      </c>
      <c r="D8" s="25"/>
      <c r="E8" s="25"/>
      <c r="F8" s="25"/>
    </row>
    <row r="9" customFormat="false" ht="14.25" hidden="false" customHeight="false" outlineLevel="0" collapsed="false">
      <c r="A9" s="26"/>
      <c r="B9" s="27" t="n">
        <v>45066</v>
      </c>
      <c r="C9" s="28" t="s">
        <v>46</v>
      </c>
      <c r="D9" s="28"/>
      <c r="E9" s="28"/>
      <c r="F9" s="28"/>
    </row>
    <row r="10" customFormat="false" ht="14.25" hidden="false" customHeight="false" outlineLevel="0" collapsed="false">
      <c r="A10" s="26"/>
      <c r="B10" s="27" t="n">
        <v>45067</v>
      </c>
      <c r="C10" s="28" t="s">
        <v>47</v>
      </c>
      <c r="D10" s="28"/>
      <c r="E10" s="28"/>
      <c r="F10" s="28"/>
    </row>
    <row r="11" customFormat="false" ht="14.25" hidden="false" customHeight="false" outlineLevel="0" collapsed="false">
      <c r="A11" s="23"/>
      <c r="B11" s="24" t="n">
        <v>45068</v>
      </c>
      <c r="C11" s="25" t="s">
        <v>48</v>
      </c>
      <c r="D11" s="25"/>
      <c r="E11" s="29" t="s">
        <v>49</v>
      </c>
      <c r="F11" s="29" t="s">
        <v>49</v>
      </c>
    </row>
    <row r="12" customFormat="false" ht="14.25" hidden="false" customHeight="false" outlineLevel="0" collapsed="false">
      <c r="A12" s="23"/>
      <c r="B12" s="24" t="n">
        <v>45069</v>
      </c>
      <c r="C12" s="25" t="s">
        <v>50</v>
      </c>
      <c r="D12" s="25"/>
      <c r="E12" s="25"/>
      <c r="F12" s="25"/>
    </row>
    <row r="13" customFormat="false" ht="14.25" hidden="false" customHeight="false" outlineLevel="0" collapsed="false">
      <c r="A13" s="30"/>
      <c r="B13" s="31" t="n">
        <v>45070</v>
      </c>
      <c r="C13" s="32" t="s">
        <v>50</v>
      </c>
      <c r="D13" s="32"/>
      <c r="E13" s="32"/>
      <c r="F13" s="32"/>
    </row>
    <row r="14" customFormat="false" ht="14.25" hidden="false" customHeight="false" outlineLevel="0" collapsed="false">
      <c r="A14" s="23"/>
      <c r="B14" s="24" t="n">
        <v>45071</v>
      </c>
      <c r="C14" s="25" t="s">
        <v>51</v>
      </c>
      <c r="D14" s="25"/>
      <c r="E14" s="25"/>
      <c r="F14" s="25"/>
    </row>
    <row r="15" customFormat="false" ht="14.25" hidden="false" customHeight="false" outlineLevel="0" collapsed="false">
      <c r="A15" s="23"/>
      <c r="B15" s="24" t="n">
        <v>45072</v>
      </c>
      <c r="C15" s="25" t="s">
        <v>45</v>
      </c>
      <c r="D15" s="25"/>
      <c r="E15" s="25"/>
      <c r="F15" s="25"/>
    </row>
    <row r="16" customFormat="false" ht="14.25" hidden="false" customHeight="false" outlineLevel="0" collapsed="false">
      <c r="A16" s="26"/>
      <c r="B16" s="27" t="n">
        <v>45073</v>
      </c>
      <c r="C16" s="28" t="s">
        <v>46</v>
      </c>
      <c r="D16" s="28"/>
      <c r="E16" s="28"/>
      <c r="F16" s="28"/>
    </row>
    <row r="17" customFormat="false" ht="14.25" hidden="false" customHeight="false" outlineLevel="0" collapsed="false">
      <c r="A17" s="26"/>
      <c r="B17" s="27" t="n">
        <v>45074</v>
      </c>
      <c r="C17" s="28" t="s">
        <v>47</v>
      </c>
      <c r="D17" s="28"/>
      <c r="E17" s="28"/>
      <c r="F17" s="28"/>
    </row>
    <row r="18" customFormat="false" ht="14.25" hidden="false" customHeight="false" outlineLevel="0" collapsed="false">
      <c r="A18" s="26"/>
      <c r="B18" s="27" t="n">
        <v>45075</v>
      </c>
      <c r="C18" s="28" t="s">
        <v>48</v>
      </c>
      <c r="D18" s="28"/>
      <c r="E18" s="28"/>
      <c r="F18" s="28"/>
    </row>
    <row r="19" s="33" customFormat="true" ht="14.25" hidden="false" customHeight="false" outlineLevel="0" collapsed="false">
      <c r="A19" s="23"/>
      <c r="B19" s="24" t="n">
        <v>45076</v>
      </c>
      <c r="C19" s="25" t="s">
        <v>50</v>
      </c>
      <c r="D19" s="25"/>
      <c r="E19" s="25"/>
      <c r="F19" s="25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</row>
    <row r="20" s="33" customFormat="true" ht="14.25" hidden="false" customHeight="false" outlineLevel="0" collapsed="false">
      <c r="A20" s="30"/>
      <c r="B20" s="31" t="n">
        <v>45077</v>
      </c>
      <c r="C20" s="32" t="s">
        <v>50</v>
      </c>
      <c r="D20" s="32"/>
      <c r="E20" s="32"/>
      <c r="F20" s="3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</row>
    <row r="21" s="12" customFormat="true" ht="14.25" hidden="false" customHeight="false" outlineLevel="0" collapsed="false">
      <c r="A21" s="23"/>
      <c r="B21" s="24" t="n">
        <v>45078</v>
      </c>
      <c r="C21" s="25" t="s">
        <v>51</v>
      </c>
      <c r="D21" s="25"/>
      <c r="E21" s="25"/>
      <c r="F21" s="25"/>
    </row>
    <row r="22" customFormat="false" ht="14.25" hidden="false" customHeight="false" outlineLevel="0" collapsed="false">
      <c r="A22" s="23"/>
      <c r="B22" s="24" t="n">
        <v>45079</v>
      </c>
      <c r="C22" s="25" t="s">
        <v>45</v>
      </c>
      <c r="D22" s="25"/>
      <c r="E22" s="25"/>
      <c r="F22" s="25"/>
    </row>
    <row r="23" s="34" customFormat="true" ht="14.25" hidden="false" customHeight="true" outlineLevel="0" collapsed="false">
      <c r="A23" s="26"/>
      <c r="B23" s="27" t="n">
        <v>45080</v>
      </c>
      <c r="C23" s="28" t="s">
        <v>46</v>
      </c>
      <c r="D23" s="28"/>
      <c r="E23" s="28"/>
      <c r="F23" s="28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</row>
    <row r="24" customFormat="false" ht="14.25" hidden="false" customHeight="false" outlineLevel="0" collapsed="false">
      <c r="A24" s="26"/>
      <c r="B24" s="27" t="n">
        <v>45081</v>
      </c>
      <c r="C24" s="28" t="s">
        <v>47</v>
      </c>
      <c r="D24" s="28"/>
      <c r="E24" s="28"/>
      <c r="F24" s="28"/>
    </row>
    <row r="25" s="12" customFormat="true" ht="14.25" hidden="false" customHeight="false" outlineLevel="0" collapsed="false">
      <c r="A25" s="23"/>
      <c r="B25" s="24" t="n">
        <v>45082</v>
      </c>
      <c r="C25" s="25" t="s">
        <v>48</v>
      </c>
      <c r="D25" s="25"/>
      <c r="E25" s="25"/>
      <c r="F25" s="25"/>
    </row>
    <row r="26" s="33" customFormat="true" ht="14.25" hidden="false" customHeight="false" outlineLevel="0" collapsed="false">
      <c r="A26" s="23"/>
      <c r="B26" s="24" t="n">
        <v>45083</v>
      </c>
      <c r="C26" s="25" t="s">
        <v>50</v>
      </c>
      <c r="D26" s="25"/>
      <c r="E26" s="25"/>
      <c r="F26" s="25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</row>
    <row r="27" s="33" customFormat="true" ht="14.25" hidden="false" customHeight="false" outlineLevel="0" collapsed="false">
      <c r="A27" s="30"/>
      <c r="B27" s="31" t="n">
        <v>45084</v>
      </c>
      <c r="C27" s="32" t="s">
        <v>50</v>
      </c>
      <c r="D27" s="32"/>
      <c r="E27" s="32"/>
      <c r="F27" s="3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</row>
    <row r="28" s="33" customFormat="true" ht="14.25" hidden="false" customHeight="false" outlineLevel="0" collapsed="false">
      <c r="A28" s="23"/>
      <c r="B28" s="24" t="n">
        <v>45085</v>
      </c>
      <c r="C28" s="25" t="s">
        <v>51</v>
      </c>
      <c r="D28" s="25"/>
      <c r="E28" s="25"/>
      <c r="F28" s="25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</row>
    <row r="29" customFormat="false" ht="14.25" hidden="false" customHeight="false" outlineLevel="0" collapsed="false">
      <c r="A29" s="23"/>
      <c r="B29" s="24" t="n">
        <v>45086</v>
      </c>
      <c r="C29" s="25" t="s">
        <v>45</v>
      </c>
      <c r="D29" s="25"/>
      <c r="E29" s="25"/>
      <c r="F29" s="25"/>
    </row>
    <row r="30" s="34" customFormat="true" ht="14.25" hidden="false" customHeight="false" outlineLevel="0" collapsed="false">
      <c r="A30" s="26"/>
      <c r="B30" s="27" t="n">
        <v>45087</v>
      </c>
      <c r="C30" s="28" t="s">
        <v>46</v>
      </c>
      <c r="D30" s="28"/>
      <c r="E30" s="28"/>
      <c r="F30" s="28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</row>
    <row r="31" customFormat="false" ht="14.25" hidden="false" customHeight="false" outlineLevel="0" collapsed="false">
      <c r="A31" s="35"/>
      <c r="B31" s="36" t="n">
        <v>45088</v>
      </c>
      <c r="C31" s="37" t="s">
        <v>47</v>
      </c>
      <c r="D31" s="38"/>
      <c r="E31" s="38"/>
      <c r="F31" s="38"/>
    </row>
    <row r="32" s="12" customFormat="true" ht="14.25" hidden="false" customHeight="false" outlineLevel="0" collapsed="false">
      <c r="A32" s="23"/>
      <c r="B32" s="24" t="n">
        <v>45089</v>
      </c>
      <c r="C32" s="25" t="s">
        <v>48</v>
      </c>
      <c r="D32" s="25"/>
      <c r="E32" s="25"/>
      <c r="F32" s="25"/>
    </row>
    <row r="33" s="33" customFormat="true" ht="14.25" hidden="false" customHeight="false" outlineLevel="0" collapsed="false">
      <c r="A33" s="23"/>
      <c r="B33" s="24" t="n">
        <v>45090</v>
      </c>
      <c r="C33" s="25" t="s">
        <v>50</v>
      </c>
      <c r="D33" s="25"/>
      <c r="E33" s="25"/>
      <c r="F33" s="25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</row>
    <row r="34" s="33" customFormat="true" ht="14.25" hidden="false" customHeight="false" outlineLevel="0" collapsed="false">
      <c r="A34" s="30"/>
      <c r="B34" s="31" t="n">
        <v>45091</v>
      </c>
      <c r="C34" s="32" t="s">
        <v>50</v>
      </c>
      <c r="D34" s="32"/>
      <c r="E34" s="32"/>
      <c r="F34" s="3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</row>
    <row r="35" s="33" customFormat="true" ht="14.25" hidden="false" customHeight="false" outlineLevel="0" collapsed="false">
      <c r="A35" s="23"/>
      <c r="B35" s="24" t="n">
        <v>45092</v>
      </c>
      <c r="C35" s="25" t="s">
        <v>51</v>
      </c>
      <c r="D35" s="25"/>
      <c r="E35" s="25"/>
      <c r="F35" s="25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</row>
    <row r="36" customFormat="false" ht="14.25" hidden="false" customHeight="false" outlineLevel="0" collapsed="false">
      <c r="A36" s="23"/>
      <c r="B36" s="24" t="n">
        <v>45093</v>
      </c>
      <c r="C36" s="25" t="s">
        <v>45</v>
      </c>
      <c r="D36" s="25"/>
      <c r="E36" s="25"/>
      <c r="F36" s="25"/>
    </row>
    <row r="37" s="34" customFormat="true" ht="14.25" hidden="false" customHeight="false" outlineLevel="0" collapsed="false">
      <c r="A37" s="26"/>
      <c r="B37" s="27" t="n">
        <v>45094</v>
      </c>
      <c r="C37" s="28" t="s">
        <v>46</v>
      </c>
      <c r="D37" s="28"/>
      <c r="E37" s="28"/>
      <c r="F37" s="28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/>
      <c r="FL37" s="12"/>
      <c r="FM37" s="12"/>
      <c r="FN37" s="12"/>
      <c r="FO37" s="12"/>
      <c r="FP37" s="12"/>
      <c r="FQ37" s="12"/>
      <c r="FR37" s="12"/>
      <c r="FS37" s="12"/>
      <c r="FT37" s="12"/>
      <c r="FU37" s="12"/>
      <c r="FV37" s="12"/>
      <c r="FW37" s="12"/>
      <c r="FX37" s="12"/>
      <c r="FY37" s="12"/>
      <c r="FZ37" s="12"/>
      <c r="GA37" s="12"/>
      <c r="GB37" s="12"/>
      <c r="GC37" s="12"/>
      <c r="GD37" s="12"/>
      <c r="GE37" s="12"/>
      <c r="GF37" s="12"/>
      <c r="GG37" s="12"/>
      <c r="GH37" s="12"/>
      <c r="GI37" s="12"/>
      <c r="GJ37" s="12"/>
      <c r="GK37" s="12"/>
      <c r="GL37" s="12"/>
      <c r="GM37" s="12"/>
      <c r="GN37" s="12"/>
      <c r="GO37" s="12"/>
      <c r="GP37" s="12"/>
      <c r="GQ37" s="12"/>
      <c r="GR37" s="12"/>
      <c r="GS37" s="12"/>
      <c r="GT37" s="12"/>
      <c r="GU37" s="12"/>
      <c r="GV37" s="12"/>
      <c r="GW37" s="12"/>
      <c r="GX37" s="12"/>
      <c r="GY37" s="12"/>
      <c r="GZ37" s="12"/>
      <c r="HA37" s="12"/>
      <c r="HB37" s="12"/>
      <c r="HC37" s="12"/>
      <c r="HD37" s="12"/>
      <c r="HE37" s="12"/>
      <c r="HF37" s="12"/>
      <c r="HG37" s="12"/>
      <c r="HH37" s="12"/>
      <c r="HI37" s="12"/>
      <c r="HJ37" s="12"/>
      <c r="HK37" s="12"/>
      <c r="HL37" s="12"/>
      <c r="HM37" s="12"/>
      <c r="HN37" s="12"/>
      <c r="HO37" s="12"/>
      <c r="HP37" s="12"/>
      <c r="HQ37" s="12"/>
      <c r="HR37" s="12"/>
      <c r="HS37" s="12"/>
      <c r="HT37" s="12"/>
      <c r="HU37" s="12"/>
      <c r="HV37" s="12"/>
      <c r="HW37" s="12"/>
      <c r="HX37" s="12"/>
      <c r="HY37" s="12"/>
      <c r="HZ37" s="12"/>
      <c r="IA37" s="12"/>
      <c r="IB37" s="12"/>
      <c r="IC37" s="12"/>
    </row>
    <row r="38" customFormat="false" ht="14.25" hidden="false" customHeight="false" outlineLevel="0" collapsed="false">
      <c r="A38" s="35"/>
      <c r="B38" s="36" t="n">
        <v>45095</v>
      </c>
      <c r="C38" s="37" t="s">
        <v>47</v>
      </c>
      <c r="D38" s="38"/>
      <c r="E38" s="38"/>
      <c r="F38" s="38"/>
    </row>
    <row r="39" customFormat="false" ht="15" hidden="false" customHeight="true" outlineLevel="0" collapsed="false">
      <c r="A39" s="23"/>
      <c r="B39" s="24" t="n">
        <v>45096</v>
      </c>
      <c r="C39" s="25" t="s">
        <v>48</v>
      </c>
      <c r="D39" s="25"/>
      <c r="E39" s="39"/>
      <c r="F39" s="39"/>
    </row>
    <row r="40" s="33" customFormat="true" ht="14.25" hidden="false" customHeight="false" outlineLevel="0" collapsed="false">
      <c r="A40" s="23"/>
      <c r="B40" s="24" t="n">
        <v>45097</v>
      </c>
      <c r="C40" s="25" t="s">
        <v>50</v>
      </c>
      <c r="D40" s="25" t="n">
        <v>0</v>
      </c>
      <c r="E40" s="29" t="s">
        <v>52</v>
      </c>
      <c r="F40" s="29" t="s">
        <v>52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</row>
    <row r="41" s="33" customFormat="true" ht="14.25" hidden="false" customHeight="false" outlineLevel="0" collapsed="false">
      <c r="A41" s="30"/>
      <c r="B41" s="31" t="n">
        <v>45098</v>
      </c>
      <c r="C41" s="32" t="s">
        <v>50</v>
      </c>
      <c r="D41" s="32" t="n">
        <v>1</v>
      </c>
      <c r="E41" s="40"/>
      <c r="F41" s="40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</row>
    <row r="42" customFormat="false" ht="30" hidden="false" customHeight="true" outlineLevel="0" collapsed="false">
      <c r="A42" s="23"/>
      <c r="B42" s="24" t="n">
        <v>45099</v>
      </c>
      <c r="C42" s="25" t="s">
        <v>51</v>
      </c>
      <c r="D42" s="25" t="n">
        <v>2</v>
      </c>
      <c r="E42" s="25"/>
      <c r="F42" s="25"/>
    </row>
    <row r="43" customFormat="false" ht="14.25" hidden="false" customHeight="false" outlineLevel="0" collapsed="false">
      <c r="A43" s="23"/>
      <c r="B43" s="24" t="n">
        <v>45100</v>
      </c>
      <c r="C43" s="25" t="s">
        <v>45</v>
      </c>
      <c r="D43" s="25" t="n">
        <v>3</v>
      </c>
      <c r="E43" s="25"/>
      <c r="F43" s="25"/>
    </row>
    <row r="44" s="34" customFormat="true" ht="14.25" hidden="false" customHeight="false" outlineLevel="0" collapsed="false">
      <c r="A44" s="26"/>
      <c r="B44" s="27" t="n">
        <v>45101</v>
      </c>
      <c r="C44" s="28" t="s">
        <v>46</v>
      </c>
      <c r="D44" s="28" t="n">
        <v>4</v>
      </c>
      <c r="E44" s="28"/>
      <c r="F44" s="28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</row>
    <row r="45" s="33" customFormat="true" ht="14.25" hidden="false" customHeight="false" outlineLevel="0" collapsed="false">
      <c r="A45" s="35"/>
      <c r="B45" s="36" t="n">
        <v>45102</v>
      </c>
      <c r="C45" s="37" t="s">
        <v>47</v>
      </c>
      <c r="D45" s="38" t="n">
        <v>5</v>
      </c>
      <c r="E45" s="38"/>
      <c r="F45" s="38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</row>
    <row r="46" customFormat="false" ht="14.25" hidden="false" customHeight="false" outlineLevel="0" collapsed="false">
      <c r="A46" s="23"/>
      <c r="B46" s="41" t="n">
        <v>45103</v>
      </c>
      <c r="C46" s="25" t="s">
        <v>48</v>
      </c>
      <c r="D46" s="25" t="n">
        <v>6</v>
      </c>
      <c r="E46" s="25"/>
      <c r="F46" s="25"/>
    </row>
    <row r="47" s="33" customFormat="true" ht="14.25" hidden="false" customHeight="false" outlineLevel="0" collapsed="false">
      <c r="A47" s="23"/>
      <c r="B47" s="41" t="n">
        <v>45104</v>
      </c>
      <c r="C47" s="25" t="s">
        <v>50</v>
      </c>
      <c r="D47" s="25" t="n">
        <v>7</v>
      </c>
      <c r="E47" s="25"/>
      <c r="F47" s="25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2"/>
      <c r="EJ47" s="12"/>
      <c r="EK47" s="12"/>
      <c r="EL47" s="12"/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  <c r="FG47" s="12"/>
      <c r="FH47" s="12"/>
      <c r="FI47" s="12"/>
      <c r="FJ47" s="12"/>
      <c r="FK47" s="12"/>
      <c r="FL47" s="12"/>
      <c r="FM47" s="12"/>
      <c r="FN47" s="12"/>
      <c r="FO47" s="12"/>
      <c r="FP47" s="12"/>
      <c r="FQ47" s="12"/>
      <c r="FR47" s="12"/>
      <c r="FS47" s="12"/>
      <c r="FT47" s="12"/>
      <c r="FU47" s="12"/>
      <c r="FV47" s="12"/>
      <c r="FW47" s="12"/>
      <c r="FX47" s="12"/>
      <c r="FY47" s="12"/>
      <c r="FZ47" s="12"/>
      <c r="GA47" s="12"/>
      <c r="GB47" s="12"/>
      <c r="GC47" s="12"/>
      <c r="GD47" s="12"/>
      <c r="GE47" s="12"/>
      <c r="GF47" s="12"/>
      <c r="GG47" s="12"/>
      <c r="GH47" s="12"/>
      <c r="GI47" s="12"/>
      <c r="GJ47" s="12"/>
      <c r="GK47" s="12"/>
      <c r="GL47" s="12"/>
      <c r="GM47" s="12"/>
      <c r="GN47" s="12"/>
      <c r="GO47" s="12"/>
      <c r="GP47" s="12"/>
      <c r="GQ47" s="12"/>
      <c r="GR47" s="12"/>
      <c r="GS47" s="12"/>
      <c r="GT47" s="12"/>
      <c r="GU47" s="12"/>
      <c r="GV47" s="12"/>
      <c r="GW47" s="12"/>
      <c r="GX47" s="12"/>
      <c r="GY47" s="12"/>
      <c r="GZ47" s="12"/>
      <c r="HA47" s="12"/>
      <c r="HB47" s="12"/>
      <c r="HC47" s="12"/>
      <c r="HD47" s="12"/>
      <c r="HE47" s="12"/>
      <c r="HF47" s="12"/>
      <c r="HG47" s="12"/>
      <c r="HH47" s="12"/>
      <c r="HI47" s="12"/>
      <c r="HJ47" s="12"/>
      <c r="HK47" s="12"/>
      <c r="HL47" s="12"/>
      <c r="HM47" s="12"/>
      <c r="HN47" s="12"/>
      <c r="HO47" s="12"/>
      <c r="HP47" s="12"/>
      <c r="HQ47" s="12"/>
      <c r="HR47" s="12"/>
      <c r="HS47" s="12"/>
      <c r="HT47" s="12"/>
      <c r="HU47" s="12"/>
      <c r="HV47" s="12"/>
      <c r="HW47" s="12"/>
      <c r="HX47" s="12"/>
      <c r="HY47" s="12"/>
      <c r="HZ47" s="12"/>
      <c r="IA47" s="12"/>
      <c r="IB47" s="12"/>
      <c r="IC47" s="12"/>
    </row>
    <row r="48" s="33" customFormat="true" ht="14.25" hidden="false" customHeight="false" outlineLevel="0" collapsed="false">
      <c r="A48" s="30"/>
      <c r="B48" s="31" t="n">
        <v>45105</v>
      </c>
      <c r="C48" s="32" t="s">
        <v>50</v>
      </c>
      <c r="D48" s="32" t="n">
        <v>8</v>
      </c>
      <c r="E48" s="32"/>
      <c r="F48" s="3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</row>
    <row r="49" customFormat="false" ht="14.25" hidden="false" customHeight="false" outlineLevel="0" collapsed="false">
      <c r="A49" s="23"/>
      <c r="B49" s="41" t="n">
        <v>45106</v>
      </c>
      <c r="C49" s="25" t="s">
        <v>51</v>
      </c>
      <c r="D49" s="25" t="n">
        <v>9</v>
      </c>
      <c r="E49" s="25"/>
      <c r="F49" s="25"/>
    </row>
    <row r="50" customFormat="false" ht="14.25" hidden="false" customHeight="false" outlineLevel="0" collapsed="false">
      <c r="A50" s="23"/>
      <c r="B50" s="41" t="n">
        <v>45107</v>
      </c>
      <c r="C50" s="25" t="s">
        <v>45</v>
      </c>
      <c r="D50" s="25" t="n">
        <v>10</v>
      </c>
      <c r="E50" s="25"/>
      <c r="F50" s="25"/>
    </row>
    <row r="51" s="34" customFormat="true" ht="14.25" hidden="false" customHeight="false" outlineLevel="0" collapsed="false">
      <c r="A51" s="26"/>
      <c r="B51" s="36" t="n">
        <v>45108</v>
      </c>
      <c r="C51" s="28" t="s">
        <v>46</v>
      </c>
      <c r="D51" s="28" t="n">
        <v>11</v>
      </c>
      <c r="E51" s="42"/>
      <c r="F51" s="4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</row>
    <row r="52" customFormat="false" ht="14.25" hidden="false" customHeight="false" outlineLevel="0" collapsed="false">
      <c r="A52" s="35"/>
      <c r="B52" s="36" t="n">
        <v>45109</v>
      </c>
      <c r="C52" s="37" t="s">
        <v>47</v>
      </c>
      <c r="D52" s="37" t="n">
        <v>12</v>
      </c>
      <c r="E52" s="42"/>
      <c r="F52" s="42"/>
    </row>
    <row r="53" customFormat="false" ht="14.9" hidden="false" customHeight="false" outlineLevel="0" collapsed="false">
      <c r="A53" s="23"/>
      <c r="B53" s="41" t="n">
        <v>45110</v>
      </c>
      <c r="C53" s="25" t="s">
        <v>48</v>
      </c>
      <c r="D53" s="25" t="n">
        <v>13</v>
      </c>
      <c r="E53" s="29" t="s">
        <v>49</v>
      </c>
      <c r="F53" s="29" t="s">
        <v>49</v>
      </c>
    </row>
    <row r="54" s="33" customFormat="true" ht="55.2" hidden="false" customHeight="false" outlineLevel="0" collapsed="false">
      <c r="A54" s="23"/>
      <c r="B54" s="41" t="n">
        <v>45111</v>
      </c>
      <c r="C54" s="25" t="s">
        <v>50</v>
      </c>
      <c r="D54" s="25" t="n">
        <v>14</v>
      </c>
      <c r="E54" s="29" t="s">
        <v>53</v>
      </c>
      <c r="F54" s="29" t="s">
        <v>54</v>
      </c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/>
      <c r="FL54" s="12"/>
      <c r="FM54" s="12"/>
      <c r="FN54" s="12"/>
      <c r="FO54" s="12"/>
      <c r="FP54" s="12"/>
      <c r="FQ54" s="12"/>
      <c r="FR54" s="12"/>
      <c r="FS54" s="12"/>
      <c r="FT54" s="12"/>
      <c r="FU54" s="12"/>
      <c r="FV54" s="12"/>
      <c r="FW54" s="12"/>
      <c r="FX54" s="12"/>
      <c r="FY54" s="12"/>
      <c r="FZ54" s="12"/>
      <c r="GA54" s="12"/>
      <c r="GB54" s="12"/>
      <c r="GC54" s="12"/>
      <c r="GD54" s="12"/>
      <c r="GE54" s="12"/>
      <c r="GF54" s="12"/>
      <c r="GG54" s="12"/>
      <c r="GH54" s="12"/>
      <c r="GI54" s="12"/>
      <c r="GJ54" s="12"/>
      <c r="GK54" s="12"/>
      <c r="GL54" s="12"/>
      <c r="GM54" s="12"/>
      <c r="GN54" s="12"/>
      <c r="GO54" s="12"/>
      <c r="GP54" s="12"/>
      <c r="GQ54" s="12"/>
      <c r="GR54" s="12"/>
      <c r="GS54" s="12"/>
      <c r="GT54" s="12"/>
      <c r="GU54" s="12"/>
      <c r="GV54" s="12"/>
      <c r="GW54" s="12"/>
      <c r="GX54" s="12"/>
      <c r="GY54" s="12"/>
      <c r="GZ54" s="12"/>
      <c r="HA54" s="12"/>
      <c r="HB54" s="12"/>
      <c r="HC54" s="12"/>
      <c r="HD54" s="12"/>
      <c r="HE54" s="12"/>
      <c r="HF54" s="12"/>
      <c r="HG54" s="12"/>
      <c r="HH54" s="12"/>
      <c r="HI54" s="12"/>
      <c r="HJ54" s="12"/>
      <c r="HK54" s="12"/>
      <c r="HL54" s="12"/>
      <c r="HM54" s="12"/>
      <c r="HN54" s="12"/>
      <c r="HO54" s="12"/>
      <c r="HP54" s="12"/>
      <c r="HQ54" s="12"/>
      <c r="HR54" s="12"/>
      <c r="HS54" s="12"/>
      <c r="HT54" s="12"/>
      <c r="HU54" s="12"/>
      <c r="HV54" s="12"/>
      <c r="HW54" s="12"/>
      <c r="HX54" s="12"/>
      <c r="HY54" s="12"/>
      <c r="HZ54" s="12"/>
      <c r="IA54" s="12"/>
      <c r="IB54" s="12"/>
      <c r="IC54" s="12"/>
    </row>
    <row r="55" s="33" customFormat="true" ht="14.9" hidden="false" customHeight="false" outlineLevel="0" collapsed="false">
      <c r="A55" s="30"/>
      <c r="B55" s="43" t="n">
        <v>45112</v>
      </c>
      <c r="C55" s="32" t="s">
        <v>50</v>
      </c>
      <c r="D55" s="32" t="n">
        <v>15</v>
      </c>
      <c r="E55" s="44" t="s">
        <v>55</v>
      </c>
      <c r="F55" s="3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2"/>
      <c r="FJ55" s="12"/>
      <c r="FK55" s="12"/>
      <c r="FL55" s="12"/>
      <c r="FM55" s="12"/>
      <c r="FN55" s="12"/>
      <c r="FO55" s="12"/>
      <c r="FP55" s="12"/>
      <c r="FQ55" s="12"/>
      <c r="FR55" s="12"/>
      <c r="FS55" s="12"/>
      <c r="FT55" s="12"/>
      <c r="FU55" s="12"/>
      <c r="FV55" s="12"/>
      <c r="FW55" s="12"/>
      <c r="FX55" s="12"/>
      <c r="FY55" s="12"/>
      <c r="FZ55" s="12"/>
      <c r="GA55" s="12"/>
      <c r="GB55" s="12"/>
      <c r="GC55" s="12"/>
      <c r="GD55" s="12"/>
      <c r="GE55" s="12"/>
      <c r="GF55" s="12"/>
      <c r="GG55" s="12"/>
      <c r="GH55" s="12"/>
      <c r="GI55" s="12"/>
      <c r="GJ55" s="12"/>
      <c r="GK55" s="12"/>
      <c r="GL55" s="12"/>
      <c r="GM55" s="12"/>
      <c r="GN55" s="12"/>
      <c r="GO55" s="12"/>
      <c r="GP55" s="12"/>
      <c r="GQ55" s="12"/>
      <c r="GR55" s="12"/>
      <c r="GS55" s="12"/>
      <c r="GT55" s="12"/>
      <c r="GU55" s="12"/>
      <c r="GV55" s="12"/>
      <c r="GW55" s="12"/>
      <c r="GX55" s="12"/>
      <c r="GY55" s="12"/>
      <c r="GZ55" s="12"/>
      <c r="HA55" s="12"/>
      <c r="HB55" s="12"/>
      <c r="HC55" s="12"/>
      <c r="HD55" s="12"/>
      <c r="HE55" s="12"/>
      <c r="HF55" s="12"/>
      <c r="HG55" s="12"/>
      <c r="HH55" s="12"/>
      <c r="HI55" s="12"/>
      <c r="HJ55" s="12"/>
      <c r="HK55" s="12"/>
      <c r="HL55" s="12"/>
      <c r="HM55" s="12"/>
      <c r="HN55" s="12"/>
      <c r="HO55" s="12"/>
      <c r="HP55" s="12"/>
      <c r="HQ55" s="12"/>
      <c r="HR55" s="12"/>
      <c r="HS55" s="12"/>
      <c r="HT55" s="12"/>
      <c r="HU55" s="12"/>
      <c r="HV55" s="12"/>
      <c r="HW55" s="12"/>
      <c r="HX55" s="12"/>
      <c r="HY55" s="12"/>
      <c r="HZ55" s="12"/>
      <c r="IA55" s="12"/>
      <c r="IB55" s="12"/>
      <c r="IC55" s="12"/>
    </row>
    <row r="56" s="33" customFormat="true" ht="14.9" hidden="false" customHeight="false" outlineLevel="0" collapsed="false">
      <c r="A56" s="23"/>
      <c r="B56" s="41" t="n">
        <v>45113</v>
      </c>
      <c r="C56" s="25" t="s">
        <v>51</v>
      </c>
      <c r="D56" s="25" t="n">
        <v>16</v>
      </c>
      <c r="E56" s="29" t="s">
        <v>56</v>
      </c>
      <c r="F56" s="29" t="s">
        <v>57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</row>
    <row r="57" customFormat="false" ht="14.9" hidden="false" customHeight="false" outlineLevel="0" collapsed="false">
      <c r="A57" s="23"/>
      <c r="B57" s="41" t="n">
        <v>45114</v>
      </c>
      <c r="C57" s="25" t="s">
        <v>45</v>
      </c>
      <c r="D57" s="25" t="n">
        <v>1</v>
      </c>
      <c r="E57" s="29" t="s">
        <v>58</v>
      </c>
      <c r="F57" s="25"/>
    </row>
    <row r="58" s="34" customFormat="true" ht="14.9" hidden="false" customHeight="false" outlineLevel="0" collapsed="false">
      <c r="A58" s="26"/>
      <c r="B58" s="36" t="n">
        <v>45115</v>
      </c>
      <c r="C58" s="28" t="s">
        <v>46</v>
      </c>
      <c r="D58" s="28" t="n">
        <v>2</v>
      </c>
      <c r="E58" s="45" t="s">
        <v>55</v>
      </c>
      <c r="F58" s="45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</row>
    <row r="59" s="12" customFormat="true" ht="14.25" hidden="false" customHeight="false" outlineLevel="0" collapsed="false">
      <c r="A59" s="35"/>
      <c r="B59" s="36" t="n">
        <v>45116</v>
      </c>
      <c r="C59" s="37" t="s">
        <v>47</v>
      </c>
      <c r="D59" s="38" t="n">
        <v>3</v>
      </c>
      <c r="E59" s="42"/>
      <c r="F59" s="42"/>
    </row>
    <row r="60" customFormat="false" ht="14.25" hidden="false" customHeight="false" outlineLevel="0" collapsed="false">
      <c r="A60" s="23"/>
      <c r="B60" s="41" t="n">
        <v>45117</v>
      </c>
      <c r="C60" s="25" t="s">
        <v>48</v>
      </c>
      <c r="D60" s="25" t="n">
        <v>4</v>
      </c>
      <c r="E60" s="25"/>
      <c r="F60" s="25"/>
    </row>
    <row r="61" s="33" customFormat="true" ht="14.25" hidden="false" customHeight="false" outlineLevel="0" collapsed="false">
      <c r="A61" s="23"/>
      <c r="B61" s="41" t="n">
        <v>45118</v>
      </c>
      <c r="C61" s="25" t="s">
        <v>50</v>
      </c>
      <c r="D61" s="25" t="n">
        <v>5</v>
      </c>
      <c r="E61" s="25"/>
      <c r="F61" s="25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</row>
    <row r="62" s="33" customFormat="true" ht="14.25" hidden="false" customHeight="false" outlineLevel="0" collapsed="false">
      <c r="A62" s="30"/>
      <c r="B62" s="43" t="n">
        <v>45119</v>
      </c>
      <c r="C62" s="32" t="s">
        <v>50</v>
      </c>
      <c r="D62" s="32" t="n">
        <v>6</v>
      </c>
      <c r="E62" s="32"/>
      <c r="F62" s="3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</row>
    <row r="63" customFormat="false" ht="14.25" hidden="false" customHeight="false" outlineLevel="0" collapsed="false">
      <c r="A63" s="23"/>
      <c r="B63" s="41" t="n">
        <v>45120</v>
      </c>
      <c r="C63" s="25" t="s">
        <v>51</v>
      </c>
      <c r="D63" s="25" t="n">
        <v>7</v>
      </c>
      <c r="E63" s="25"/>
      <c r="F63" s="25"/>
    </row>
    <row r="64" customFormat="false" ht="14.25" hidden="false" customHeight="false" outlineLevel="0" collapsed="false">
      <c r="A64" s="26"/>
      <c r="B64" s="36" t="n">
        <v>45121</v>
      </c>
      <c r="C64" s="28" t="s">
        <v>45</v>
      </c>
      <c r="D64" s="28" t="n">
        <v>8</v>
      </c>
      <c r="E64" s="28"/>
      <c r="F64" s="28"/>
    </row>
    <row r="65" customFormat="false" ht="14.25" hidden="false" customHeight="false" outlineLevel="0" collapsed="false">
      <c r="A65" s="26"/>
      <c r="B65" s="36" t="n">
        <v>45122</v>
      </c>
      <c r="C65" s="28" t="s">
        <v>46</v>
      </c>
      <c r="D65" s="28" t="n">
        <v>9</v>
      </c>
      <c r="E65" s="28"/>
      <c r="F65" s="28"/>
    </row>
    <row r="66" customFormat="false" ht="14.25" hidden="false" customHeight="false" outlineLevel="0" collapsed="false">
      <c r="A66" s="35"/>
      <c r="B66" s="36" t="n">
        <v>45123</v>
      </c>
      <c r="C66" s="37" t="s">
        <v>47</v>
      </c>
      <c r="D66" s="38" t="n">
        <v>10</v>
      </c>
      <c r="E66" s="38"/>
      <c r="F66" s="38"/>
    </row>
    <row r="67" customFormat="false" ht="14.9" hidden="false" customHeight="false" outlineLevel="0" collapsed="false">
      <c r="A67" s="23"/>
      <c r="B67" s="41" t="n">
        <v>45124</v>
      </c>
      <c r="C67" s="25" t="s">
        <v>48</v>
      </c>
      <c r="D67" s="25" t="n">
        <v>11</v>
      </c>
      <c r="E67" s="29" t="s">
        <v>59</v>
      </c>
      <c r="F67" s="29" t="s">
        <v>59</v>
      </c>
    </row>
    <row r="68" customFormat="false" ht="14.25" hidden="false" customHeight="false" outlineLevel="0" collapsed="false">
      <c r="A68" s="23"/>
      <c r="B68" s="41" t="n">
        <v>45125</v>
      </c>
      <c r="C68" s="25" t="s">
        <v>50</v>
      </c>
      <c r="D68" s="25" t="n">
        <v>12</v>
      </c>
      <c r="E68" s="25"/>
      <c r="F68" s="25"/>
    </row>
    <row r="69" customFormat="false" ht="14.25" hidden="false" customHeight="false" outlineLevel="0" collapsed="false">
      <c r="A69" s="30"/>
      <c r="B69" s="43" t="n">
        <v>45126</v>
      </c>
      <c r="C69" s="32" t="s">
        <v>50</v>
      </c>
      <c r="D69" s="32" t="n">
        <v>13</v>
      </c>
      <c r="E69" s="32"/>
      <c r="F69" s="32"/>
    </row>
    <row r="70" customFormat="false" ht="14.25" hidden="false" customHeight="false" outlineLevel="0" collapsed="false">
      <c r="A70" s="23"/>
      <c r="B70" s="41" t="n">
        <v>45127</v>
      </c>
      <c r="C70" s="25" t="s">
        <v>51</v>
      </c>
      <c r="D70" s="25" t="n">
        <v>14</v>
      </c>
      <c r="E70" s="25"/>
      <c r="F70" s="25"/>
    </row>
    <row r="71" customFormat="false" ht="14.25" hidden="false" customHeight="false" outlineLevel="0" collapsed="false">
      <c r="A71" s="23"/>
      <c r="B71" s="41" t="n">
        <v>45128</v>
      </c>
      <c r="C71" s="25" t="s">
        <v>45</v>
      </c>
      <c r="D71" s="25" t="n">
        <v>15</v>
      </c>
      <c r="E71" s="25"/>
      <c r="F71" s="25"/>
    </row>
    <row r="72" customFormat="false" ht="14.25" hidden="false" customHeight="false" outlineLevel="0" collapsed="false">
      <c r="A72" s="23"/>
      <c r="B72" s="24" t="n">
        <v>45129</v>
      </c>
      <c r="C72" s="25" t="s">
        <v>48</v>
      </c>
      <c r="D72" s="25" t="n">
        <v>16</v>
      </c>
      <c r="E72" s="25"/>
      <c r="F72" s="25"/>
    </row>
    <row r="73" customFormat="false" ht="14.25" hidden="false" customHeight="false" outlineLevel="0" collapsed="false">
      <c r="A73" s="23"/>
      <c r="B73" s="24" t="n">
        <v>45130</v>
      </c>
      <c r="C73" s="25" t="s">
        <v>50</v>
      </c>
      <c r="D73" s="25" t="n">
        <v>17</v>
      </c>
      <c r="E73" s="25"/>
      <c r="F73" s="25"/>
    </row>
    <row r="74" customFormat="false" ht="14.25" hidden="false" customHeight="false" outlineLevel="0" collapsed="false">
      <c r="A74" s="30"/>
      <c r="B74" s="31" t="n">
        <v>45131</v>
      </c>
      <c r="C74" s="32" t="s">
        <v>50</v>
      </c>
      <c r="D74" s="32" t="n">
        <v>18</v>
      </c>
      <c r="E74" s="32"/>
      <c r="F74" s="32"/>
    </row>
    <row r="75" customFormat="false" ht="14.25" hidden="false" customHeight="false" outlineLevel="0" collapsed="false">
      <c r="A75" s="23"/>
      <c r="B75" s="24" t="n">
        <v>45132</v>
      </c>
      <c r="C75" s="25" t="s">
        <v>51</v>
      </c>
      <c r="D75" s="25" t="n">
        <v>19</v>
      </c>
      <c r="E75" s="25"/>
      <c r="F75" s="25"/>
    </row>
    <row r="76" customFormat="false" ht="14.25" hidden="false" customHeight="false" outlineLevel="0" collapsed="false">
      <c r="A76" s="23"/>
      <c r="B76" s="24" t="n">
        <v>45133</v>
      </c>
      <c r="C76" s="25" t="s">
        <v>45</v>
      </c>
      <c r="D76" s="25" t="n">
        <v>20</v>
      </c>
      <c r="E76" s="25"/>
      <c r="F76" s="25"/>
    </row>
    <row r="77" customFormat="false" ht="14.25" hidden="false" customHeight="false" outlineLevel="0" collapsed="false">
      <c r="A77" s="26"/>
      <c r="B77" s="27" t="n">
        <v>45134</v>
      </c>
      <c r="C77" s="28" t="s">
        <v>46</v>
      </c>
      <c r="D77" s="28" t="n">
        <v>21</v>
      </c>
      <c r="E77" s="28"/>
      <c r="F77" s="28"/>
    </row>
    <row r="78" customFormat="false" ht="14.25" hidden="false" customHeight="false" outlineLevel="0" collapsed="false">
      <c r="A78" s="35"/>
      <c r="B78" s="36" t="n">
        <v>45135</v>
      </c>
      <c r="C78" s="37" t="s">
        <v>47</v>
      </c>
      <c r="D78" s="38" t="n">
        <v>22</v>
      </c>
      <c r="E78" s="38"/>
      <c r="F78" s="38"/>
    </row>
    <row r="79" customFormat="false" ht="14.25" hidden="false" customHeight="false" outlineLevel="0" collapsed="false">
      <c r="A79" s="23"/>
      <c r="B79" s="24" t="n">
        <v>45136</v>
      </c>
      <c r="C79" s="25" t="s">
        <v>48</v>
      </c>
      <c r="D79" s="25" t="n">
        <v>23</v>
      </c>
      <c r="E79" s="25"/>
      <c r="F79" s="25"/>
    </row>
    <row r="80" customFormat="false" ht="14.25" hidden="false" customHeight="false" outlineLevel="0" collapsed="false">
      <c r="A80" s="23"/>
      <c r="B80" s="24" t="n">
        <v>45137</v>
      </c>
      <c r="C80" s="25" t="s">
        <v>50</v>
      </c>
      <c r="D80" s="25" t="n">
        <v>24</v>
      </c>
      <c r="E80" s="25"/>
      <c r="F80" s="25"/>
    </row>
    <row r="81" customFormat="false" ht="14.25" hidden="false" customHeight="false" outlineLevel="0" collapsed="false">
      <c r="A81" s="30"/>
      <c r="B81" s="31" t="n">
        <v>45138</v>
      </c>
      <c r="C81" s="32" t="s">
        <v>50</v>
      </c>
      <c r="D81" s="32" t="n">
        <v>25</v>
      </c>
      <c r="E81" s="32"/>
      <c r="F81" s="32"/>
    </row>
    <row r="82" customFormat="false" ht="14.25" hidden="false" customHeight="false" outlineLevel="0" collapsed="false">
      <c r="A82" s="23"/>
      <c r="B82" s="24" t="n">
        <v>45139</v>
      </c>
      <c r="C82" s="25" t="s">
        <v>51</v>
      </c>
      <c r="D82" s="25" t="n">
        <v>26</v>
      </c>
      <c r="E82" s="25"/>
      <c r="F82" s="25"/>
    </row>
    <row r="83" customFormat="false" ht="14.25" hidden="false" customHeight="false" outlineLevel="0" collapsed="false">
      <c r="A83" s="23"/>
      <c r="B83" s="24" t="n">
        <v>45140</v>
      </c>
      <c r="C83" s="25" t="s">
        <v>45</v>
      </c>
      <c r="D83" s="25" t="n">
        <v>27</v>
      </c>
      <c r="E83" s="25"/>
      <c r="F83" s="25"/>
    </row>
    <row r="84" customFormat="false" ht="14.25" hidden="false" customHeight="false" outlineLevel="0" collapsed="false">
      <c r="A84" s="26"/>
      <c r="B84" s="27" t="n">
        <v>45141</v>
      </c>
      <c r="C84" s="28" t="s">
        <v>46</v>
      </c>
      <c r="D84" s="28" t="n">
        <v>28</v>
      </c>
      <c r="E84" s="28"/>
      <c r="F84" s="28"/>
    </row>
    <row r="85" customFormat="false" ht="14.25" hidden="false" customHeight="false" outlineLevel="0" collapsed="false">
      <c r="A85" s="35"/>
      <c r="B85" s="36" t="n">
        <v>45142</v>
      </c>
      <c r="C85" s="37" t="s">
        <v>47</v>
      </c>
      <c r="D85" s="38" t="n">
        <v>29</v>
      </c>
      <c r="E85" s="38"/>
      <c r="F85" s="38"/>
    </row>
    <row r="86" s="34" customFormat="true" ht="14.25" hidden="false" customHeight="false" outlineLevel="0" collapsed="false">
      <c r="A86" s="23"/>
      <c r="B86" s="24" t="n">
        <v>45143</v>
      </c>
      <c r="C86" s="25" t="s">
        <v>48</v>
      </c>
      <c r="D86" s="25" t="n">
        <v>30</v>
      </c>
      <c r="E86" s="25"/>
      <c r="F86" s="25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2"/>
      <c r="EJ86" s="12"/>
      <c r="EK86" s="12"/>
      <c r="EL86" s="12"/>
      <c r="EM86" s="12"/>
      <c r="EN86" s="12"/>
      <c r="EO86" s="12"/>
      <c r="EP86" s="12"/>
      <c r="EQ86" s="12"/>
      <c r="ER86" s="12"/>
      <c r="ES86" s="12"/>
      <c r="ET86" s="12"/>
      <c r="EU86" s="12"/>
      <c r="EV86" s="12"/>
      <c r="EW86" s="12"/>
      <c r="EX86" s="12"/>
      <c r="EY86" s="12"/>
      <c r="EZ86" s="12"/>
      <c r="FA86" s="12"/>
      <c r="FB86" s="12"/>
      <c r="FC86" s="12"/>
      <c r="FD86" s="12"/>
      <c r="FE86" s="12"/>
      <c r="FF86" s="12"/>
      <c r="FG86" s="12"/>
      <c r="FH86" s="12"/>
      <c r="FI86" s="12"/>
      <c r="FJ86" s="12"/>
      <c r="FK86" s="12"/>
      <c r="FL86" s="12"/>
      <c r="FM86" s="12"/>
      <c r="FN86" s="12"/>
      <c r="FO86" s="12"/>
      <c r="FP86" s="12"/>
      <c r="FQ86" s="12"/>
      <c r="FR86" s="12"/>
      <c r="FS86" s="12"/>
      <c r="FT86" s="12"/>
      <c r="FU86" s="12"/>
      <c r="FV86" s="12"/>
      <c r="FW86" s="12"/>
      <c r="FX86" s="12"/>
      <c r="FY86" s="12"/>
      <c r="FZ86" s="12"/>
      <c r="GA86" s="12"/>
      <c r="GB86" s="12"/>
      <c r="GC86" s="12"/>
      <c r="GD86" s="12"/>
      <c r="GE86" s="12"/>
      <c r="GF86" s="12"/>
      <c r="GG86" s="12"/>
      <c r="GH86" s="12"/>
      <c r="GI86" s="12"/>
      <c r="GJ86" s="12"/>
      <c r="GK86" s="12"/>
      <c r="GL86" s="12"/>
      <c r="GM86" s="12"/>
      <c r="GN86" s="12"/>
      <c r="GO86" s="12"/>
      <c r="GP86" s="12"/>
      <c r="GQ86" s="12"/>
      <c r="GR86" s="12"/>
      <c r="GS86" s="12"/>
      <c r="GT86" s="12"/>
      <c r="GU86" s="12"/>
      <c r="GV86" s="12"/>
      <c r="GW86" s="12"/>
      <c r="GX86" s="12"/>
      <c r="GY86" s="12"/>
      <c r="GZ86" s="12"/>
      <c r="HA86" s="12"/>
      <c r="HB86" s="12"/>
      <c r="HC86" s="12"/>
      <c r="HD86" s="12"/>
      <c r="HE86" s="12"/>
      <c r="HF86" s="12"/>
      <c r="HG86" s="12"/>
      <c r="HH86" s="12"/>
      <c r="HI86" s="12"/>
      <c r="HJ86" s="12"/>
      <c r="HK86" s="12"/>
      <c r="HL86" s="12"/>
      <c r="HM86" s="12"/>
      <c r="HN86" s="12"/>
      <c r="HO86" s="12"/>
      <c r="HP86" s="12"/>
      <c r="HQ86" s="12"/>
      <c r="HR86" s="12"/>
      <c r="HS86" s="12"/>
      <c r="HT86" s="12"/>
      <c r="HU86" s="12"/>
      <c r="HV86" s="12"/>
      <c r="HW86" s="12"/>
      <c r="HX86" s="12"/>
      <c r="HY86" s="12"/>
      <c r="HZ86" s="12"/>
      <c r="IA86" s="12"/>
      <c r="IB86" s="12"/>
      <c r="IC86" s="12"/>
    </row>
    <row r="87" customFormat="false" ht="14.25" hidden="false" customHeight="false" outlineLevel="0" collapsed="false">
      <c r="A87" s="23"/>
      <c r="B87" s="24" t="n">
        <v>45144</v>
      </c>
      <c r="C87" s="25" t="s">
        <v>50</v>
      </c>
      <c r="D87" s="25" t="n">
        <v>31</v>
      </c>
      <c r="E87" s="25"/>
      <c r="F87" s="25"/>
    </row>
    <row r="88" customFormat="false" ht="14.25" hidden="false" customHeight="false" outlineLevel="0" collapsed="false">
      <c r="A88" s="30"/>
      <c r="B88" s="31" t="n">
        <v>45145</v>
      </c>
      <c r="C88" s="32" t="s">
        <v>50</v>
      </c>
      <c r="D88" s="32" t="n">
        <v>32</v>
      </c>
      <c r="E88" s="32"/>
      <c r="F88" s="32"/>
    </row>
    <row r="89" s="33" customFormat="true" ht="14.25" hidden="false" customHeight="false" outlineLevel="0" collapsed="false">
      <c r="A89" s="23"/>
      <c r="B89" s="24" t="n">
        <v>45146</v>
      </c>
      <c r="C89" s="25" t="s">
        <v>51</v>
      </c>
      <c r="D89" s="25" t="n">
        <v>33</v>
      </c>
      <c r="E89" s="25"/>
      <c r="F89" s="25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2"/>
      <c r="DF89" s="12"/>
      <c r="DG89" s="12"/>
      <c r="DH89" s="12"/>
      <c r="DI89" s="12"/>
      <c r="DJ89" s="12"/>
      <c r="DK89" s="12"/>
      <c r="DL89" s="12"/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2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2"/>
      <c r="EJ89" s="12"/>
      <c r="EK89" s="12"/>
      <c r="EL89" s="12"/>
      <c r="EM89" s="12"/>
      <c r="EN89" s="12"/>
      <c r="EO89" s="12"/>
      <c r="EP89" s="12"/>
      <c r="EQ89" s="12"/>
      <c r="ER89" s="12"/>
      <c r="ES89" s="12"/>
      <c r="ET89" s="12"/>
      <c r="EU89" s="12"/>
      <c r="EV89" s="12"/>
      <c r="EW89" s="12"/>
      <c r="EX89" s="12"/>
      <c r="EY89" s="12"/>
      <c r="EZ89" s="12"/>
      <c r="FA89" s="12"/>
      <c r="FB89" s="12"/>
      <c r="FC89" s="12"/>
      <c r="FD89" s="12"/>
      <c r="FE89" s="12"/>
      <c r="FF89" s="12"/>
      <c r="FG89" s="12"/>
      <c r="FH89" s="12"/>
      <c r="FI89" s="12"/>
      <c r="FJ89" s="12"/>
      <c r="FK89" s="12"/>
      <c r="FL89" s="12"/>
      <c r="FM89" s="12"/>
      <c r="FN89" s="12"/>
      <c r="FO89" s="12"/>
      <c r="FP89" s="12"/>
      <c r="FQ89" s="12"/>
      <c r="FR89" s="12"/>
      <c r="FS89" s="12"/>
      <c r="FT89" s="12"/>
      <c r="FU89" s="12"/>
      <c r="FV89" s="12"/>
      <c r="FW89" s="12"/>
      <c r="FX89" s="12"/>
      <c r="FY89" s="12"/>
      <c r="FZ89" s="12"/>
      <c r="GA89" s="12"/>
      <c r="GB89" s="12"/>
      <c r="GC89" s="12"/>
      <c r="GD89" s="12"/>
      <c r="GE89" s="12"/>
      <c r="GF89" s="12"/>
      <c r="GG89" s="12"/>
      <c r="GH89" s="12"/>
      <c r="GI89" s="12"/>
      <c r="GJ89" s="12"/>
      <c r="GK89" s="12"/>
      <c r="GL89" s="12"/>
      <c r="GM89" s="12"/>
      <c r="GN89" s="12"/>
      <c r="GO89" s="12"/>
      <c r="GP89" s="12"/>
      <c r="GQ89" s="12"/>
      <c r="GR89" s="12"/>
      <c r="GS89" s="12"/>
      <c r="GT89" s="12"/>
      <c r="GU89" s="12"/>
      <c r="GV89" s="12"/>
      <c r="GW89" s="12"/>
      <c r="GX89" s="12"/>
      <c r="GY89" s="12"/>
      <c r="GZ89" s="12"/>
      <c r="HA89" s="12"/>
      <c r="HB89" s="12"/>
      <c r="HC89" s="12"/>
      <c r="HD89" s="12"/>
      <c r="HE89" s="12"/>
      <c r="HF89" s="12"/>
      <c r="HG89" s="12"/>
      <c r="HH89" s="12"/>
      <c r="HI89" s="12"/>
      <c r="HJ89" s="12"/>
      <c r="HK89" s="12"/>
      <c r="HL89" s="12"/>
      <c r="HM89" s="12"/>
      <c r="HN89" s="12"/>
      <c r="HO89" s="12"/>
      <c r="HP89" s="12"/>
      <c r="HQ89" s="12"/>
      <c r="HR89" s="12"/>
      <c r="HS89" s="12"/>
      <c r="HT89" s="12"/>
      <c r="HU89" s="12"/>
      <c r="HV89" s="12"/>
      <c r="HW89" s="12"/>
      <c r="HX89" s="12"/>
      <c r="HY89" s="12"/>
      <c r="HZ89" s="12"/>
      <c r="IA89" s="12"/>
      <c r="IB89" s="12"/>
      <c r="IC89" s="12"/>
    </row>
    <row r="90" s="33" customFormat="true" ht="14.25" hidden="false" customHeight="false" outlineLevel="0" collapsed="false">
      <c r="A90" s="23"/>
      <c r="B90" s="24" t="n">
        <v>45147</v>
      </c>
      <c r="C90" s="25" t="s">
        <v>45</v>
      </c>
      <c r="D90" s="25" t="n">
        <v>34</v>
      </c>
      <c r="E90" s="25"/>
      <c r="F90" s="25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2"/>
      <c r="DF90" s="12"/>
      <c r="DG90" s="12"/>
      <c r="DH90" s="12"/>
      <c r="DI90" s="12"/>
      <c r="DJ90" s="12"/>
      <c r="DK90" s="12"/>
      <c r="DL90" s="12"/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2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2"/>
      <c r="EJ90" s="12"/>
      <c r="EK90" s="12"/>
      <c r="EL90" s="12"/>
      <c r="EM90" s="12"/>
      <c r="EN90" s="12"/>
      <c r="EO90" s="12"/>
      <c r="EP90" s="12"/>
      <c r="EQ90" s="12"/>
      <c r="ER90" s="12"/>
      <c r="ES90" s="12"/>
      <c r="ET90" s="12"/>
      <c r="EU90" s="12"/>
      <c r="EV90" s="12"/>
      <c r="EW90" s="12"/>
      <c r="EX90" s="12"/>
      <c r="EY90" s="12"/>
      <c r="EZ90" s="12"/>
      <c r="FA90" s="12"/>
      <c r="FB90" s="12"/>
      <c r="FC90" s="12"/>
      <c r="FD90" s="12"/>
      <c r="FE90" s="12"/>
      <c r="FF90" s="12"/>
      <c r="FG90" s="12"/>
      <c r="FH90" s="12"/>
      <c r="FI90" s="12"/>
      <c r="FJ90" s="12"/>
      <c r="FK90" s="12"/>
      <c r="FL90" s="12"/>
      <c r="FM90" s="12"/>
      <c r="FN90" s="12"/>
      <c r="FO90" s="12"/>
      <c r="FP90" s="12"/>
      <c r="FQ90" s="12"/>
      <c r="FR90" s="12"/>
      <c r="FS90" s="12"/>
      <c r="FT90" s="12"/>
      <c r="FU90" s="12"/>
      <c r="FV90" s="12"/>
      <c r="FW90" s="12"/>
      <c r="FX90" s="12"/>
      <c r="FY90" s="12"/>
      <c r="FZ90" s="12"/>
      <c r="GA90" s="12"/>
      <c r="GB90" s="12"/>
      <c r="GC90" s="12"/>
      <c r="GD90" s="12"/>
      <c r="GE90" s="12"/>
      <c r="GF90" s="12"/>
      <c r="GG90" s="12"/>
      <c r="GH90" s="12"/>
      <c r="GI90" s="12"/>
      <c r="GJ90" s="12"/>
      <c r="GK90" s="12"/>
      <c r="GL90" s="12"/>
      <c r="GM90" s="12"/>
      <c r="GN90" s="12"/>
      <c r="GO90" s="12"/>
      <c r="GP90" s="12"/>
      <c r="GQ90" s="12"/>
      <c r="GR90" s="12"/>
      <c r="GS90" s="12"/>
      <c r="GT90" s="12"/>
      <c r="GU90" s="12"/>
      <c r="GV90" s="12"/>
      <c r="GW90" s="12"/>
      <c r="GX90" s="12"/>
      <c r="GY90" s="12"/>
      <c r="GZ90" s="12"/>
      <c r="HA90" s="12"/>
      <c r="HB90" s="12"/>
      <c r="HC90" s="12"/>
      <c r="HD90" s="12"/>
      <c r="HE90" s="12"/>
      <c r="HF90" s="12"/>
      <c r="HG90" s="12"/>
      <c r="HH90" s="12"/>
      <c r="HI90" s="12"/>
      <c r="HJ90" s="12"/>
      <c r="HK90" s="12"/>
      <c r="HL90" s="12"/>
      <c r="HM90" s="12"/>
      <c r="HN90" s="12"/>
      <c r="HO90" s="12"/>
      <c r="HP90" s="12"/>
      <c r="HQ90" s="12"/>
      <c r="HR90" s="12"/>
      <c r="HS90" s="12"/>
      <c r="HT90" s="12"/>
      <c r="HU90" s="12"/>
      <c r="HV90" s="12"/>
      <c r="HW90" s="12"/>
      <c r="HX90" s="12"/>
      <c r="HY90" s="12"/>
      <c r="HZ90" s="12"/>
      <c r="IA90" s="12"/>
      <c r="IB90" s="12"/>
      <c r="IC90" s="12"/>
    </row>
    <row r="91" customFormat="false" ht="14.25" hidden="false" customHeight="false" outlineLevel="0" collapsed="false">
      <c r="A91" s="26"/>
      <c r="B91" s="27" t="n">
        <v>45148</v>
      </c>
      <c r="C91" s="28" t="s">
        <v>46</v>
      </c>
      <c r="D91" s="28" t="n">
        <v>35</v>
      </c>
      <c r="E91" s="28"/>
      <c r="F91" s="28"/>
    </row>
    <row r="92" customFormat="false" ht="14.25" hidden="false" customHeight="false" outlineLevel="0" collapsed="false">
      <c r="A92" s="35"/>
      <c r="B92" s="36" t="n">
        <v>45149</v>
      </c>
      <c r="C92" s="37" t="s">
        <v>47</v>
      </c>
      <c r="D92" s="38" t="n">
        <v>36</v>
      </c>
      <c r="E92" s="38"/>
      <c r="F92" s="38"/>
    </row>
    <row r="93" s="34" customFormat="true" ht="14.25" hidden="false" customHeight="false" outlineLevel="0" collapsed="false">
      <c r="A93" s="23"/>
      <c r="B93" s="24" t="n">
        <v>45150</v>
      </c>
      <c r="C93" s="25" t="s">
        <v>48</v>
      </c>
      <c r="D93" s="25" t="n">
        <v>37</v>
      </c>
      <c r="E93" s="25"/>
      <c r="F93" s="25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2"/>
      <c r="DF93" s="12"/>
      <c r="DG93" s="12"/>
      <c r="DH93" s="12"/>
      <c r="DI93" s="12"/>
      <c r="DJ93" s="12"/>
      <c r="DK93" s="12"/>
      <c r="DL93" s="12"/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2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2"/>
      <c r="EJ93" s="12"/>
      <c r="EK93" s="12"/>
      <c r="EL93" s="12"/>
      <c r="EM93" s="12"/>
      <c r="EN93" s="12"/>
      <c r="EO93" s="12"/>
      <c r="EP93" s="12"/>
      <c r="EQ93" s="12"/>
      <c r="ER93" s="12"/>
      <c r="ES93" s="12"/>
      <c r="ET93" s="12"/>
      <c r="EU93" s="12"/>
      <c r="EV93" s="12"/>
      <c r="EW93" s="12"/>
      <c r="EX93" s="12"/>
      <c r="EY93" s="12"/>
      <c r="EZ93" s="12"/>
      <c r="FA93" s="12"/>
      <c r="FB93" s="12"/>
      <c r="FC93" s="12"/>
      <c r="FD93" s="12"/>
      <c r="FE93" s="12"/>
      <c r="FF93" s="12"/>
      <c r="FG93" s="12"/>
      <c r="FH93" s="12"/>
      <c r="FI93" s="12"/>
      <c r="FJ93" s="12"/>
      <c r="FK93" s="12"/>
      <c r="FL93" s="12"/>
      <c r="FM93" s="12"/>
      <c r="FN93" s="12"/>
      <c r="FO93" s="12"/>
      <c r="FP93" s="12"/>
      <c r="FQ93" s="12"/>
      <c r="FR93" s="12"/>
      <c r="FS93" s="12"/>
      <c r="FT93" s="12"/>
      <c r="FU93" s="12"/>
      <c r="FV93" s="12"/>
      <c r="FW93" s="12"/>
      <c r="FX93" s="12"/>
      <c r="FY93" s="12"/>
      <c r="FZ93" s="12"/>
      <c r="GA93" s="12"/>
      <c r="GB93" s="12"/>
      <c r="GC93" s="12"/>
      <c r="GD93" s="12"/>
      <c r="GE93" s="12"/>
      <c r="GF93" s="12"/>
      <c r="GG93" s="12"/>
      <c r="GH93" s="12"/>
      <c r="GI93" s="12"/>
      <c r="GJ93" s="12"/>
      <c r="GK93" s="12"/>
      <c r="GL93" s="12"/>
      <c r="GM93" s="12"/>
      <c r="GN93" s="12"/>
      <c r="GO93" s="12"/>
      <c r="GP93" s="12"/>
      <c r="GQ93" s="12"/>
      <c r="GR93" s="12"/>
      <c r="GS93" s="12"/>
      <c r="GT93" s="12"/>
      <c r="GU93" s="12"/>
      <c r="GV93" s="12"/>
      <c r="GW93" s="12"/>
      <c r="GX93" s="12"/>
      <c r="GY93" s="12"/>
      <c r="GZ93" s="12"/>
      <c r="HA93" s="12"/>
      <c r="HB93" s="12"/>
      <c r="HC93" s="12"/>
      <c r="HD93" s="12"/>
      <c r="HE93" s="12"/>
      <c r="HF93" s="12"/>
      <c r="HG93" s="12"/>
      <c r="HH93" s="12"/>
      <c r="HI93" s="12"/>
      <c r="HJ93" s="12"/>
      <c r="HK93" s="12"/>
      <c r="HL93" s="12"/>
      <c r="HM93" s="12"/>
      <c r="HN93" s="12"/>
      <c r="HO93" s="12"/>
      <c r="HP93" s="12"/>
      <c r="HQ93" s="12"/>
      <c r="HR93" s="12"/>
      <c r="HS93" s="12"/>
      <c r="HT93" s="12"/>
      <c r="HU93" s="12"/>
      <c r="HV93" s="12"/>
      <c r="HW93" s="12"/>
      <c r="HX93" s="12"/>
      <c r="HY93" s="12"/>
      <c r="HZ93" s="12"/>
      <c r="IA93" s="12"/>
      <c r="IB93" s="12"/>
      <c r="IC93" s="12"/>
    </row>
    <row r="94" customFormat="false" ht="14.25" hidden="false" customHeight="false" outlineLevel="0" collapsed="false">
      <c r="A94" s="23"/>
      <c r="B94" s="24" t="n">
        <v>45151</v>
      </c>
      <c r="C94" s="25" t="s">
        <v>50</v>
      </c>
      <c r="D94" s="25" t="n">
        <v>38</v>
      </c>
      <c r="E94" s="25"/>
      <c r="F94" s="25"/>
    </row>
    <row r="95" customFormat="false" ht="14.25" hidden="false" customHeight="false" outlineLevel="0" collapsed="false">
      <c r="A95" s="30"/>
      <c r="B95" s="31" t="n">
        <v>45152</v>
      </c>
      <c r="C95" s="32" t="s">
        <v>50</v>
      </c>
      <c r="D95" s="32" t="n">
        <v>39</v>
      </c>
      <c r="E95" s="32"/>
      <c r="F95" s="32"/>
    </row>
    <row r="96" s="33" customFormat="true" ht="14.25" hidden="false" customHeight="false" outlineLevel="0" collapsed="false">
      <c r="A96" s="26"/>
      <c r="B96" s="36" t="n">
        <v>45153</v>
      </c>
      <c r="C96" s="28" t="s">
        <v>51</v>
      </c>
      <c r="D96" s="28" t="n">
        <v>40</v>
      </c>
      <c r="E96" s="28"/>
      <c r="F96" s="28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2"/>
      <c r="DF96" s="12"/>
      <c r="DG96" s="12"/>
      <c r="DH96" s="12"/>
      <c r="DI96" s="12"/>
      <c r="DJ96" s="12"/>
      <c r="DK96" s="12"/>
      <c r="DL96" s="12"/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2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2"/>
      <c r="EJ96" s="12"/>
      <c r="EK96" s="12"/>
      <c r="EL96" s="12"/>
      <c r="EM96" s="12"/>
      <c r="EN96" s="12"/>
      <c r="EO96" s="12"/>
      <c r="EP96" s="12"/>
      <c r="EQ96" s="12"/>
      <c r="ER96" s="12"/>
      <c r="ES96" s="12"/>
      <c r="ET96" s="12"/>
      <c r="EU96" s="12"/>
      <c r="EV96" s="12"/>
      <c r="EW96" s="12"/>
      <c r="EX96" s="12"/>
      <c r="EY96" s="12"/>
      <c r="EZ96" s="12"/>
      <c r="FA96" s="12"/>
      <c r="FB96" s="12"/>
      <c r="FC96" s="12"/>
      <c r="FD96" s="12"/>
      <c r="FE96" s="12"/>
      <c r="FF96" s="12"/>
      <c r="FG96" s="12"/>
      <c r="FH96" s="12"/>
      <c r="FI96" s="12"/>
      <c r="FJ96" s="12"/>
      <c r="FK96" s="12"/>
      <c r="FL96" s="12"/>
      <c r="FM96" s="12"/>
      <c r="FN96" s="12"/>
      <c r="FO96" s="12"/>
      <c r="FP96" s="12"/>
      <c r="FQ96" s="12"/>
      <c r="FR96" s="12"/>
      <c r="FS96" s="12"/>
      <c r="FT96" s="12"/>
      <c r="FU96" s="12"/>
      <c r="FV96" s="12"/>
      <c r="FW96" s="12"/>
      <c r="FX96" s="12"/>
      <c r="FY96" s="12"/>
      <c r="FZ96" s="12"/>
      <c r="GA96" s="12"/>
      <c r="GB96" s="12"/>
      <c r="GC96" s="12"/>
      <c r="GD96" s="12"/>
      <c r="GE96" s="12"/>
      <c r="GF96" s="12"/>
      <c r="GG96" s="12"/>
      <c r="GH96" s="12"/>
      <c r="GI96" s="12"/>
      <c r="GJ96" s="12"/>
      <c r="GK96" s="12"/>
      <c r="GL96" s="12"/>
      <c r="GM96" s="12"/>
      <c r="GN96" s="12"/>
      <c r="GO96" s="12"/>
      <c r="GP96" s="12"/>
      <c r="GQ96" s="12"/>
      <c r="GR96" s="12"/>
      <c r="GS96" s="12"/>
      <c r="GT96" s="12"/>
      <c r="GU96" s="12"/>
      <c r="GV96" s="12"/>
      <c r="GW96" s="12"/>
      <c r="GX96" s="12"/>
      <c r="GY96" s="12"/>
      <c r="GZ96" s="12"/>
      <c r="HA96" s="12"/>
      <c r="HB96" s="12"/>
      <c r="HC96" s="12"/>
      <c r="HD96" s="12"/>
      <c r="HE96" s="12"/>
      <c r="HF96" s="12"/>
      <c r="HG96" s="12"/>
      <c r="HH96" s="12"/>
      <c r="HI96" s="12"/>
      <c r="HJ96" s="12"/>
      <c r="HK96" s="12"/>
      <c r="HL96" s="12"/>
      <c r="HM96" s="12"/>
      <c r="HN96" s="12"/>
      <c r="HO96" s="12"/>
      <c r="HP96" s="12"/>
      <c r="HQ96" s="12"/>
      <c r="HR96" s="12"/>
      <c r="HS96" s="12"/>
      <c r="HT96" s="12"/>
      <c r="HU96" s="12"/>
      <c r="HV96" s="12"/>
      <c r="HW96" s="12"/>
      <c r="HX96" s="12"/>
      <c r="HY96" s="12"/>
      <c r="HZ96" s="12"/>
      <c r="IA96" s="12"/>
      <c r="IB96" s="12"/>
      <c r="IC96" s="12"/>
    </row>
    <row r="97" s="33" customFormat="true" ht="14.25" hidden="false" customHeight="false" outlineLevel="0" collapsed="false">
      <c r="A97" s="23"/>
      <c r="B97" s="24" t="n">
        <v>45154</v>
      </c>
      <c r="C97" s="25" t="s">
        <v>45</v>
      </c>
      <c r="D97" s="25" t="n">
        <v>41</v>
      </c>
      <c r="E97" s="25"/>
      <c r="F97" s="25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2"/>
      <c r="DF97" s="12"/>
      <c r="DG97" s="12"/>
      <c r="DH97" s="12"/>
      <c r="DI97" s="12"/>
      <c r="DJ97" s="12"/>
      <c r="DK97" s="12"/>
      <c r="DL97" s="12"/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2"/>
      <c r="EJ97" s="12"/>
      <c r="EK97" s="12"/>
      <c r="EL97" s="12"/>
      <c r="EM97" s="12"/>
      <c r="EN97" s="12"/>
      <c r="EO97" s="12"/>
      <c r="EP97" s="12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2"/>
      <c r="FE97" s="12"/>
      <c r="FF97" s="12"/>
      <c r="FG97" s="12"/>
      <c r="FH97" s="12"/>
      <c r="FI97" s="12"/>
      <c r="FJ97" s="12"/>
      <c r="FK97" s="12"/>
      <c r="FL97" s="12"/>
      <c r="FM97" s="12"/>
      <c r="FN97" s="12"/>
      <c r="FO97" s="12"/>
      <c r="FP97" s="12"/>
      <c r="FQ97" s="12"/>
      <c r="FR97" s="12"/>
      <c r="FS97" s="12"/>
      <c r="FT97" s="12"/>
      <c r="FU97" s="12"/>
      <c r="FV97" s="12"/>
      <c r="FW97" s="12"/>
      <c r="FX97" s="12"/>
      <c r="FY97" s="12"/>
      <c r="FZ97" s="12"/>
      <c r="GA97" s="12"/>
      <c r="GB97" s="12"/>
      <c r="GC97" s="12"/>
      <c r="GD97" s="12"/>
      <c r="GE97" s="12"/>
      <c r="GF97" s="12"/>
      <c r="GG97" s="12"/>
      <c r="GH97" s="12"/>
      <c r="GI97" s="12"/>
      <c r="GJ97" s="12"/>
      <c r="GK97" s="12"/>
      <c r="GL97" s="12"/>
      <c r="GM97" s="12"/>
      <c r="GN97" s="12"/>
      <c r="GO97" s="12"/>
      <c r="GP97" s="12"/>
      <c r="GQ97" s="12"/>
      <c r="GR97" s="12"/>
      <c r="GS97" s="12"/>
      <c r="GT97" s="12"/>
      <c r="GU97" s="12"/>
      <c r="GV97" s="12"/>
      <c r="GW97" s="12"/>
      <c r="GX97" s="12"/>
      <c r="GY97" s="12"/>
      <c r="GZ97" s="12"/>
      <c r="HA97" s="12"/>
      <c r="HB97" s="12"/>
      <c r="HC97" s="12"/>
      <c r="HD97" s="12"/>
      <c r="HE97" s="12"/>
      <c r="HF97" s="12"/>
      <c r="HG97" s="12"/>
      <c r="HH97" s="12"/>
      <c r="HI97" s="12"/>
      <c r="HJ97" s="12"/>
      <c r="HK97" s="12"/>
      <c r="HL97" s="12"/>
      <c r="HM97" s="12"/>
      <c r="HN97" s="12"/>
      <c r="HO97" s="12"/>
      <c r="HP97" s="12"/>
      <c r="HQ97" s="12"/>
      <c r="HR97" s="12"/>
      <c r="HS97" s="12"/>
      <c r="HT97" s="12"/>
      <c r="HU97" s="12"/>
      <c r="HV97" s="12"/>
      <c r="HW97" s="12"/>
      <c r="HX97" s="12"/>
      <c r="HY97" s="12"/>
      <c r="HZ97" s="12"/>
      <c r="IA97" s="12"/>
      <c r="IB97" s="12"/>
      <c r="IC97" s="12"/>
    </row>
    <row r="98" customFormat="false" ht="14.25" hidden="false" customHeight="false" outlineLevel="0" collapsed="false">
      <c r="A98" s="26"/>
      <c r="B98" s="27" t="n">
        <v>45155</v>
      </c>
      <c r="C98" s="28" t="s">
        <v>46</v>
      </c>
      <c r="D98" s="28" t="n">
        <v>42</v>
      </c>
      <c r="E98" s="28"/>
      <c r="F98" s="28"/>
    </row>
    <row r="99" customFormat="false" ht="14.25" hidden="false" customHeight="false" outlineLevel="0" collapsed="false">
      <c r="A99" s="35"/>
      <c r="B99" s="36" t="n">
        <v>45156</v>
      </c>
      <c r="C99" s="37" t="s">
        <v>47</v>
      </c>
      <c r="D99" s="37" t="n">
        <v>43</v>
      </c>
      <c r="E99" s="37"/>
      <c r="F99" s="37"/>
    </row>
    <row r="100" s="34" customFormat="true" ht="28.35" hidden="false" customHeight="false" outlineLevel="0" collapsed="false">
      <c r="A100" s="23"/>
      <c r="B100" s="24" t="n">
        <v>45157</v>
      </c>
      <c r="C100" s="25" t="s">
        <v>48</v>
      </c>
      <c r="D100" s="25" t="n">
        <v>44</v>
      </c>
      <c r="E100" s="29" t="s">
        <v>60</v>
      </c>
      <c r="F100" s="29" t="s">
        <v>60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2"/>
      <c r="DF100" s="12"/>
      <c r="DG100" s="12"/>
      <c r="DH100" s="12"/>
      <c r="DI100" s="12"/>
      <c r="DJ100" s="12"/>
      <c r="DK100" s="12"/>
      <c r="DL100" s="12"/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2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2"/>
      <c r="EJ100" s="12"/>
      <c r="EK100" s="12"/>
      <c r="EL100" s="12"/>
      <c r="EM100" s="12"/>
      <c r="EN100" s="12"/>
      <c r="EO100" s="12"/>
      <c r="EP100" s="12"/>
      <c r="EQ100" s="12"/>
      <c r="ER100" s="12"/>
      <c r="ES100" s="12"/>
      <c r="ET100" s="12"/>
      <c r="EU100" s="12"/>
      <c r="EV100" s="12"/>
      <c r="EW100" s="12"/>
      <c r="EX100" s="12"/>
      <c r="EY100" s="12"/>
      <c r="EZ100" s="12"/>
      <c r="FA100" s="12"/>
      <c r="FB100" s="12"/>
      <c r="FC100" s="12"/>
      <c r="FD100" s="12"/>
      <c r="FE100" s="12"/>
      <c r="FF100" s="12"/>
      <c r="FG100" s="12"/>
      <c r="FH100" s="12"/>
      <c r="FI100" s="12"/>
      <c r="FJ100" s="12"/>
      <c r="FK100" s="12"/>
      <c r="FL100" s="12"/>
      <c r="FM100" s="12"/>
      <c r="FN100" s="12"/>
      <c r="FO100" s="12"/>
      <c r="FP100" s="12"/>
      <c r="FQ100" s="12"/>
      <c r="FR100" s="12"/>
      <c r="FS100" s="12"/>
      <c r="FT100" s="12"/>
      <c r="FU100" s="12"/>
      <c r="FV100" s="12"/>
      <c r="FW100" s="12"/>
      <c r="FX100" s="12"/>
      <c r="FY100" s="12"/>
      <c r="FZ100" s="12"/>
      <c r="GA100" s="12"/>
      <c r="GB100" s="12"/>
      <c r="GC100" s="12"/>
      <c r="GD100" s="12"/>
      <c r="GE100" s="12"/>
      <c r="GF100" s="12"/>
      <c r="GG100" s="12"/>
      <c r="GH100" s="12"/>
      <c r="GI100" s="12"/>
      <c r="GJ100" s="12"/>
      <c r="GK100" s="12"/>
      <c r="GL100" s="12"/>
      <c r="GM100" s="12"/>
      <c r="GN100" s="12"/>
      <c r="GO100" s="12"/>
      <c r="GP100" s="12"/>
      <c r="GQ100" s="12"/>
      <c r="GR100" s="12"/>
      <c r="GS100" s="12"/>
      <c r="GT100" s="12"/>
      <c r="GU100" s="12"/>
      <c r="GV100" s="12"/>
      <c r="GW100" s="12"/>
      <c r="GX100" s="12"/>
      <c r="GY100" s="12"/>
      <c r="GZ100" s="12"/>
      <c r="HA100" s="12"/>
      <c r="HB100" s="12"/>
      <c r="HC100" s="12"/>
      <c r="HD100" s="12"/>
      <c r="HE100" s="12"/>
      <c r="HF100" s="12"/>
      <c r="HG100" s="12"/>
      <c r="HH100" s="12"/>
      <c r="HI100" s="12"/>
      <c r="HJ100" s="12"/>
      <c r="HK100" s="12"/>
      <c r="HL100" s="12"/>
      <c r="HM100" s="12"/>
      <c r="HN100" s="12"/>
      <c r="HO100" s="12"/>
      <c r="HP100" s="12"/>
      <c r="HQ100" s="12"/>
      <c r="HR100" s="12"/>
      <c r="HS100" s="12"/>
      <c r="HT100" s="12"/>
      <c r="HU100" s="12"/>
      <c r="HV100" s="12"/>
      <c r="HW100" s="12"/>
      <c r="HX100" s="12"/>
      <c r="HY100" s="12"/>
      <c r="HZ100" s="12"/>
      <c r="IA100" s="12"/>
      <c r="IB100" s="12"/>
      <c r="IC100" s="12"/>
    </row>
    <row r="101" customFormat="false" ht="14.25" hidden="false" customHeight="false" outlineLevel="0" collapsed="false">
      <c r="A101" s="23"/>
      <c r="B101" s="24" t="n">
        <v>45158</v>
      </c>
      <c r="C101" s="25" t="s">
        <v>50</v>
      </c>
      <c r="D101" s="25"/>
      <c r="E101" s="25"/>
      <c r="F101" s="25"/>
    </row>
    <row r="102" s="33" customFormat="true" ht="14.25" hidden="false" customHeight="false" outlineLevel="0" collapsed="false">
      <c r="A102" s="30"/>
      <c r="B102" s="31" t="n">
        <v>45159</v>
      </c>
      <c r="C102" s="32" t="s">
        <v>50</v>
      </c>
      <c r="D102" s="32"/>
      <c r="E102" s="32"/>
      <c r="F102" s="3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2"/>
      <c r="DF102" s="12"/>
      <c r="DG102" s="12"/>
      <c r="DH102" s="12"/>
      <c r="DI102" s="12"/>
      <c r="DJ102" s="12"/>
      <c r="DK102" s="12"/>
      <c r="DL102" s="12"/>
      <c r="DM102" s="12"/>
      <c r="DN102" s="12"/>
      <c r="DO102" s="12"/>
      <c r="DP102" s="12"/>
      <c r="DQ102" s="12"/>
      <c r="DR102" s="12"/>
      <c r="DS102" s="12"/>
      <c r="DT102" s="12"/>
      <c r="DU102" s="12"/>
      <c r="DV102" s="12"/>
      <c r="DW102" s="12"/>
      <c r="DX102" s="12"/>
      <c r="DY102" s="12"/>
      <c r="DZ102" s="12"/>
      <c r="EA102" s="12"/>
      <c r="EB102" s="12"/>
      <c r="EC102" s="12"/>
      <c r="ED102" s="12"/>
      <c r="EE102" s="12"/>
      <c r="EF102" s="12"/>
      <c r="EG102" s="12"/>
      <c r="EH102" s="12"/>
      <c r="EI102" s="12"/>
      <c r="EJ102" s="12"/>
      <c r="EK102" s="12"/>
      <c r="EL102" s="12"/>
      <c r="EM102" s="12"/>
      <c r="EN102" s="12"/>
      <c r="EO102" s="12"/>
      <c r="EP102" s="12"/>
      <c r="EQ102" s="12"/>
      <c r="ER102" s="12"/>
      <c r="ES102" s="12"/>
      <c r="ET102" s="12"/>
      <c r="EU102" s="12"/>
      <c r="EV102" s="12"/>
      <c r="EW102" s="12"/>
      <c r="EX102" s="12"/>
      <c r="EY102" s="12"/>
      <c r="EZ102" s="12"/>
      <c r="FA102" s="12"/>
      <c r="FB102" s="12"/>
      <c r="FC102" s="12"/>
      <c r="FD102" s="12"/>
      <c r="FE102" s="12"/>
      <c r="FF102" s="12"/>
      <c r="FG102" s="12"/>
      <c r="FH102" s="12"/>
      <c r="FI102" s="12"/>
      <c r="FJ102" s="12"/>
      <c r="FK102" s="12"/>
      <c r="FL102" s="12"/>
      <c r="FM102" s="12"/>
      <c r="FN102" s="12"/>
      <c r="FO102" s="12"/>
      <c r="FP102" s="12"/>
      <c r="FQ102" s="12"/>
      <c r="FR102" s="12"/>
      <c r="FS102" s="12"/>
      <c r="FT102" s="12"/>
      <c r="FU102" s="12"/>
      <c r="FV102" s="12"/>
      <c r="FW102" s="12"/>
      <c r="FX102" s="12"/>
      <c r="FY102" s="12"/>
      <c r="FZ102" s="12"/>
      <c r="GA102" s="12"/>
      <c r="GB102" s="12"/>
      <c r="GC102" s="12"/>
      <c r="GD102" s="12"/>
      <c r="GE102" s="12"/>
      <c r="GF102" s="12"/>
      <c r="GG102" s="12"/>
      <c r="GH102" s="12"/>
      <c r="GI102" s="12"/>
      <c r="GJ102" s="12"/>
      <c r="GK102" s="12"/>
      <c r="GL102" s="12"/>
      <c r="GM102" s="12"/>
      <c r="GN102" s="12"/>
      <c r="GO102" s="12"/>
      <c r="GP102" s="12"/>
      <c r="GQ102" s="12"/>
      <c r="GR102" s="12"/>
      <c r="GS102" s="12"/>
      <c r="GT102" s="12"/>
      <c r="GU102" s="12"/>
      <c r="GV102" s="12"/>
      <c r="GW102" s="12"/>
      <c r="GX102" s="12"/>
      <c r="GY102" s="12"/>
      <c r="GZ102" s="12"/>
      <c r="HA102" s="12"/>
      <c r="HB102" s="12"/>
      <c r="HC102" s="12"/>
      <c r="HD102" s="12"/>
      <c r="HE102" s="12"/>
      <c r="HF102" s="12"/>
      <c r="HG102" s="12"/>
      <c r="HH102" s="12"/>
      <c r="HI102" s="12"/>
      <c r="HJ102" s="12"/>
      <c r="HK102" s="12"/>
      <c r="HL102" s="12"/>
      <c r="HM102" s="12"/>
      <c r="HN102" s="12"/>
      <c r="HO102" s="12"/>
      <c r="HP102" s="12"/>
      <c r="HQ102" s="12"/>
      <c r="HR102" s="12"/>
      <c r="HS102" s="12"/>
      <c r="HT102" s="12"/>
      <c r="HU102" s="12"/>
      <c r="HV102" s="12"/>
      <c r="HW102" s="12"/>
      <c r="HX102" s="12"/>
      <c r="HY102" s="12"/>
      <c r="HZ102" s="12"/>
      <c r="IA102" s="12"/>
      <c r="IB102" s="12"/>
      <c r="IC102" s="12"/>
    </row>
    <row r="103" s="33" customFormat="true" ht="14.25" hidden="false" customHeight="false" outlineLevel="0" collapsed="false">
      <c r="A103" s="23"/>
      <c r="B103" s="24" t="n">
        <v>45160</v>
      </c>
      <c r="C103" s="25" t="s">
        <v>51</v>
      </c>
      <c r="D103" s="25"/>
      <c r="E103" s="25"/>
      <c r="F103" s="25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2"/>
      <c r="DF103" s="12"/>
      <c r="DG103" s="12"/>
      <c r="DH103" s="12"/>
      <c r="DI103" s="12"/>
      <c r="DJ103" s="12"/>
      <c r="DK103" s="12"/>
      <c r="DL103" s="12"/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2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2"/>
      <c r="EJ103" s="12"/>
      <c r="EK103" s="12"/>
      <c r="EL103" s="12"/>
      <c r="EM103" s="12"/>
      <c r="EN103" s="12"/>
      <c r="EO103" s="12"/>
      <c r="EP103" s="12"/>
      <c r="EQ103" s="12"/>
      <c r="ER103" s="12"/>
      <c r="ES103" s="12"/>
      <c r="ET103" s="12"/>
      <c r="EU103" s="12"/>
      <c r="EV103" s="12"/>
      <c r="EW103" s="12"/>
      <c r="EX103" s="12"/>
      <c r="EY103" s="12"/>
      <c r="EZ103" s="12"/>
      <c r="FA103" s="12"/>
      <c r="FB103" s="12"/>
      <c r="FC103" s="12"/>
      <c r="FD103" s="12"/>
      <c r="FE103" s="12"/>
      <c r="FF103" s="12"/>
      <c r="FG103" s="12"/>
      <c r="FH103" s="12"/>
      <c r="FI103" s="12"/>
      <c r="FJ103" s="12"/>
      <c r="FK103" s="12"/>
      <c r="FL103" s="12"/>
      <c r="FM103" s="12"/>
      <c r="FN103" s="12"/>
      <c r="FO103" s="12"/>
      <c r="FP103" s="12"/>
      <c r="FQ103" s="12"/>
      <c r="FR103" s="12"/>
      <c r="FS103" s="12"/>
      <c r="FT103" s="12"/>
      <c r="FU103" s="12"/>
      <c r="FV103" s="12"/>
      <c r="FW103" s="12"/>
      <c r="FX103" s="12"/>
      <c r="FY103" s="12"/>
      <c r="FZ103" s="12"/>
      <c r="GA103" s="12"/>
      <c r="GB103" s="12"/>
      <c r="GC103" s="12"/>
      <c r="GD103" s="12"/>
      <c r="GE103" s="12"/>
      <c r="GF103" s="12"/>
      <c r="GG103" s="12"/>
      <c r="GH103" s="12"/>
      <c r="GI103" s="12"/>
      <c r="GJ103" s="12"/>
      <c r="GK103" s="12"/>
      <c r="GL103" s="12"/>
      <c r="GM103" s="12"/>
      <c r="GN103" s="12"/>
      <c r="GO103" s="12"/>
      <c r="GP103" s="12"/>
      <c r="GQ103" s="12"/>
      <c r="GR103" s="12"/>
      <c r="GS103" s="12"/>
      <c r="GT103" s="12"/>
      <c r="GU103" s="12"/>
      <c r="GV103" s="12"/>
      <c r="GW103" s="12"/>
      <c r="GX103" s="12"/>
      <c r="GY103" s="12"/>
      <c r="GZ103" s="12"/>
      <c r="HA103" s="12"/>
      <c r="HB103" s="12"/>
      <c r="HC103" s="12"/>
      <c r="HD103" s="12"/>
      <c r="HE103" s="12"/>
      <c r="HF103" s="12"/>
      <c r="HG103" s="12"/>
      <c r="HH103" s="12"/>
      <c r="HI103" s="12"/>
      <c r="HJ103" s="12"/>
      <c r="HK103" s="12"/>
      <c r="HL103" s="12"/>
      <c r="HM103" s="12"/>
      <c r="HN103" s="12"/>
      <c r="HO103" s="12"/>
      <c r="HP103" s="12"/>
      <c r="HQ103" s="12"/>
      <c r="HR103" s="12"/>
      <c r="HS103" s="12"/>
      <c r="HT103" s="12"/>
      <c r="HU103" s="12"/>
      <c r="HV103" s="12"/>
      <c r="HW103" s="12"/>
      <c r="HX103" s="12"/>
      <c r="HY103" s="12"/>
      <c r="HZ103" s="12"/>
      <c r="IA103" s="12"/>
      <c r="IB103" s="12"/>
      <c r="IC103" s="12"/>
    </row>
    <row r="104" s="33" customFormat="true" ht="14.25" hidden="false" customHeight="false" outlineLevel="0" collapsed="false">
      <c r="A104" s="23"/>
      <c r="B104" s="24" t="n">
        <v>45161</v>
      </c>
      <c r="C104" s="25" t="s">
        <v>45</v>
      </c>
      <c r="D104" s="25"/>
      <c r="E104" s="25"/>
      <c r="F104" s="25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2"/>
      <c r="DF104" s="12"/>
      <c r="DG104" s="12"/>
      <c r="DH104" s="12"/>
      <c r="DI104" s="12"/>
      <c r="DJ104" s="12"/>
      <c r="DK104" s="12"/>
      <c r="DL104" s="12"/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2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2"/>
      <c r="EJ104" s="12"/>
      <c r="EK104" s="12"/>
      <c r="EL104" s="12"/>
      <c r="EM104" s="12"/>
      <c r="EN104" s="12"/>
      <c r="EO104" s="12"/>
      <c r="EP104" s="12"/>
      <c r="EQ104" s="12"/>
      <c r="ER104" s="12"/>
      <c r="ES104" s="12"/>
      <c r="ET104" s="12"/>
      <c r="EU104" s="12"/>
      <c r="EV104" s="12"/>
      <c r="EW104" s="12"/>
      <c r="EX104" s="12"/>
      <c r="EY104" s="12"/>
      <c r="EZ104" s="12"/>
      <c r="FA104" s="12"/>
      <c r="FB104" s="12"/>
      <c r="FC104" s="12"/>
      <c r="FD104" s="12"/>
      <c r="FE104" s="12"/>
      <c r="FF104" s="12"/>
      <c r="FG104" s="12"/>
      <c r="FH104" s="12"/>
      <c r="FI104" s="12"/>
      <c r="FJ104" s="12"/>
      <c r="FK104" s="12"/>
      <c r="FL104" s="12"/>
      <c r="FM104" s="12"/>
      <c r="FN104" s="12"/>
      <c r="FO104" s="12"/>
      <c r="FP104" s="12"/>
      <c r="FQ104" s="12"/>
      <c r="FR104" s="12"/>
      <c r="FS104" s="12"/>
      <c r="FT104" s="12"/>
      <c r="FU104" s="12"/>
      <c r="FV104" s="12"/>
      <c r="FW104" s="12"/>
      <c r="FX104" s="12"/>
      <c r="FY104" s="12"/>
      <c r="FZ104" s="12"/>
      <c r="GA104" s="12"/>
      <c r="GB104" s="12"/>
      <c r="GC104" s="12"/>
      <c r="GD104" s="12"/>
      <c r="GE104" s="12"/>
      <c r="GF104" s="12"/>
      <c r="GG104" s="12"/>
      <c r="GH104" s="12"/>
      <c r="GI104" s="12"/>
      <c r="GJ104" s="12"/>
      <c r="GK104" s="12"/>
      <c r="GL104" s="12"/>
      <c r="GM104" s="12"/>
      <c r="GN104" s="12"/>
      <c r="GO104" s="12"/>
      <c r="GP104" s="12"/>
      <c r="GQ104" s="12"/>
      <c r="GR104" s="12"/>
      <c r="GS104" s="12"/>
      <c r="GT104" s="12"/>
      <c r="GU104" s="12"/>
      <c r="GV104" s="12"/>
      <c r="GW104" s="12"/>
      <c r="GX104" s="12"/>
      <c r="GY104" s="12"/>
      <c r="GZ104" s="12"/>
      <c r="HA104" s="12"/>
      <c r="HB104" s="12"/>
      <c r="HC104" s="12"/>
      <c r="HD104" s="12"/>
      <c r="HE104" s="12"/>
      <c r="HF104" s="12"/>
      <c r="HG104" s="12"/>
      <c r="HH104" s="12"/>
      <c r="HI104" s="12"/>
      <c r="HJ104" s="12"/>
      <c r="HK104" s="12"/>
      <c r="HL104" s="12"/>
      <c r="HM104" s="12"/>
      <c r="HN104" s="12"/>
      <c r="HO104" s="12"/>
      <c r="HP104" s="12"/>
      <c r="HQ104" s="12"/>
      <c r="HR104" s="12"/>
      <c r="HS104" s="12"/>
      <c r="HT104" s="12"/>
      <c r="HU104" s="12"/>
      <c r="HV104" s="12"/>
      <c r="HW104" s="12"/>
      <c r="HX104" s="12"/>
      <c r="HY104" s="12"/>
      <c r="HZ104" s="12"/>
      <c r="IA104" s="12"/>
      <c r="IB104" s="12"/>
      <c r="IC104" s="12"/>
    </row>
    <row r="105" customFormat="false" ht="14.25" hidden="false" customHeight="false" outlineLevel="0" collapsed="false">
      <c r="A105" s="26"/>
      <c r="B105" s="27" t="n">
        <v>45162</v>
      </c>
      <c r="C105" s="28" t="s">
        <v>46</v>
      </c>
      <c r="D105" s="28"/>
      <c r="E105" s="28"/>
      <c r="F105" s="28"/>
    </row>
    <row r="106" customFormat="false" ht="14.25" hidden="false" customHeight="false" outlineLevel="0" collapsed="false">
      <c r="A106" s="35"/>
      <c r="B106" s="36" t="n">
        <v>45163</v>
      </c>
      <c r="C106" s="37" t="s">
        <v>47</v>
      </c>
      <c r="D106" s="37"/>
      <c r="E106" s="37"/>
      <c r="F106" s="37"/>
    </row>
    <row r="107" s="34" customFormat="true" ht="14.25" hidden="false" customHeight="false" outlineLevel="0" collapsed="false">
      <c r="A107" s="10"/>
      <c r="B107" s="15"/>
      <c r="C107" s="14"/>
      <c r="D107" s="14"/>
      <c r="E107" s="22"/>
      <c r="F107" s="2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2"/>
      <c r="DF107" s="12"/>
      <c r="DG107" s="12"/>
      <c r="DH107" s="12"/>
      <c r="DI107" s="12"/>
      <c r="DJ107" s="12"/>
      <c r="DK107" s="12"/>
      <c r="DL107" s="12"/>
      <c r="DM107" s="12"/>
      <c r="DN107" s="12"/>
      <c r="DO107" s="12"/>
      <c r="DP107" s="12"/>
      <c r="DQ107" s="12"/>
      <c r="DR107" s="12"/>
      <c r="DS107" s="12"/>
      <c r="DT107" s="12"/>
      <c r="DU107" s="12"/>
      <c r="DV107" s="12"/>
      <c r="DW107" s="12"/>
      <c r="DX107" s="12"/>
      <c r="DY107" s="12"/>
      <c r="DZ107" s="12"/>
      <c r="EA107" s="12"/>
      <c r="EB107" s="12"/>
      <c r="EC107" s="12"/>
      <c r="ED107" s="12"/>
      <c r="EE107" s="12"/>
      <c r="EF107" s="12"/>
      <c r="EG107" s="12"/>
      <c r="EH107" s="12"/>
      <c r="EI107" s="12"/>
      <c r="EJ107" s="12"/>
      <c r="EK107" s="12"/>
      <c r="EL107" s="12"/>
      <c r="EM107" s="12"/>
      <c r="EN107" s="12"/>
      <c r="EO107" s="12"/>
      <c r="EP107" s="12"/>
      <c r="EQ107" s="12"/>
      <c r="ER107" s="12"/>
      <c r="ES107" s="12"/>
      <c r="ET107" s="12"/>
      <c r="EU107" s="12"/>
      <c r="EV107" s="12"/>
      <c r="EW107" s="12"/>
      <c r="EX107" s="12"/>
      <c r="EY107" s="12"/>
      <c r="EZ107" s="12"/>
      <c r="FA107" s="12"/>
      <c r="FB107" s="12"/>
      <c r="FC107" s="12"/>
      <c r="FD107" s="12"/>
      <c r="FE107" s="12"/>
      <c r="FF107" s="12"/>
      <c r="FG107" s="12"/>
      <c r="FH107" s="12"/>
      <c r="FI107" s="12"/>
      <c r="FJ107" s="12"/>
      <c r="FK107" s="12"/>
      <c r="FL107" s="12"/>
      <c r="FM107" s="12"/>
      <c r="FN107" s="12"/>
      <c r="FO107" s="12"/>
      <c r="FP107" s="12"/>
      <c r="FQ107" s="12"/>
      <c r="FR107" s="12"/>
      <c r="FS107" s="12"/>
      <c r="FT107" s="12"/>
      <c r="FU107" s="12"/>
      <c r="FV107" s="12"/>
      <c r="FW107" s="12"/>
      <c r="FX107" s="12"/>
      <c r="FY107" s="12"/>
      <c r="FZ107" s="12"/>
      <c r="GA107" s="12"/>
      <c r="GB107" s="12"/>
      <c r="GC107" s="12"/>
      <c r="GD107" s="12"/>
      <c r="GE107" s="12"/>
      <c r="GF107" s="12"/>
      <c r="GG107" s="12"/>
      <c r="GH107" s="12"/>
      <c r="GI107" s="12"/>
      <c r="GJ107" s="12"/>
      <c r="GK107" s="12"/>
      <c r="GL107" s="12"/>
      <c r="GM107" s="12"/>
      <c r="GN107" s="12"/>
      <c r="GO107" s="12"/>
      <c r="GP107" s="12"/>
      <c r="GQ107" s="12"/>
      <c r="GR107" s="12"/>
      <c r="GS107" s="12"/>
      <c r="GT107" s="12"/>
      <c r="GU107" s="12"/>
      <c r="GV107" s="12"/>
      <c r="GW107" s="12"/>
      <c r="GX107" s="12"/>
      <c r="GY107" s="12"/>
      <c r="GZ107" s="12"/>
      <c r="HA107" s="12"/>
      <c r="HB107" s="12"/>
      <c r="HC107" s="12"/>
      <c r="HD107" s="12"/>
      <c r="HE107" s="12"/>
      <c r="HF107" s="12"/>
      <c r="HG107" s="12"/>
      <c r="HH107" s="12"/>
      <c r="HI107" s="12"/>
      <c r="HJ107" s="12"/>
      <c r="HK107" s="12"/>
      <c r="HL107" s="12"/>
      <c r="HM107" s="12"/>
      <c r="HN107" s="12"/>
      <c r="HO107" s="12"/>
      <c r="HP107" s="12"/>
      <c r="HQ107" s="12"/>
      <c r="HR107" s="12"/>
      <c r="HS107" s="12"/>
      <c r="HT107" s="12"/>
      <c r="HU107" s="12"/>
      <c r="HV107" s="12"/>
      <c r="HW107" s="12"/>
      <c r="HX107" s="12"/>
      <c r="HY107" s="12"/>
      <c r="HZ107" s="12"/>
      <c r="IA107" s="12"/>
      <c r="IB107" s="12"/>
      <c r="IC107" s="12"/>
    </row>
    <row r="108" customFormat="false" ht="14.25" hidden="false" customHeight="false" outlineLevel="0" collapsed="false">
      <c r="B108" s="15"/>
      <c r="C108" s="14"/>
      <c r="D108" s="14"/>
      <c r="E108" s="22"/>
      <c r="F108" s="22"/>
    </row>
    <row r="109" customFormat="false" ht="14.25" hidden="false" customHeight="false" outlineLevel="0" collapsed="false">
      <c r="B109" s="15"/>
      <c r="C109" s="14"/>
      <c r="D109" s="14"/>
      <c r="E109" s="22"/>
      <c r="F109" s="22"/>
    </row>
    <row r="110" customFormat="false" ht="14.25" hidden="false" customHeight="false" outlineLevel="0" collapsed="false">
      <c r="B110" s="15"/>
      <c r="C110" s="14"/>
      <c r="D110" s="14"/>
      <c r="E110" s="22"/>
      <c r="F110" s="22"/>
    </row>
    <row r="111" customFormat="false" ht="14.25" hidden="false" customHeight="false" outlineLevel="0" collapsed="false">
      <c r="B111" s="15"/>
      <c r="C111" s="14"/>
      <c r="D111" s="14"/>
      <c r="E111" s="22"/>
      <c r="F111" s="22"/>
    </row>
    <row r="112" customFormat="false" ht="14.25" hidden="false" customHeight="false" outlineLevel="0" collapsed="false">
      <c r="B112" s="15"/>
      <c r="C112" s="14"/>
      <c r="D112" s="14"/>
      <c r="E112" s="22"/>
      <c r="F112" s="22"/>
    </row>
    <row r="113" customFormat="false" ht="14.25" hidden="false" customHeight="false" outlineLevel="0" collapsed="false">
      <c r="B113" s="15"/>
      <c r="C113" s="14"/>
      <c r="D113" s="14"/>
      <c r="E113" s="22"/>
      <c r="F113" s="22"/>
    </row>
    <row r="114" customFormat="false" ht="14.25" hidden="false" customHeight="false" outlineLevel="0" collapsed="false">
      <c r="B114" s="15"/>
      <c r="C114" s="14"/>
      <c r="D114" s="14"/>
      <c r="E114" s="22"/>
      <c r="F114" s="22"/>
    </row>
    <row r="115" customFormat="false" ht="14.25" hidden="false" customHeight="false" outlineLevel="0" collapsed="false">
      <c r="B115" s="15"/>
      <c r="C115" s="14"/>
      <c r="D115" s="14"/>
      <c r="E115" s="22"/>
      <c r="F115" s="22"/>
    </row>
    <row r="116" customFormat="false" ht="14.25" hidden="false" customHeight="false" outlineLevel="0" collapsed="false">
      <c r="B116" s="15"/>
      <c r="C116" s="14"/>
      <c r="D116" s="14"/>
      <c r="E116" s="22"/>
      <c r="F116" s="22"/>
    </row>
    <row r="117" customFormat="false" ht="14.25" hidden="false" customHeight="false" outlineLevel="0" collapsed="false">
      <c r="B117" s="15"/>
      <c r="C117" s="14"/>
      <c r="D117" s="14"/>
      <c r="E117" s="22"/>
      <c r="F117" s="22"/>
    </row>
    <row r="118" customFormat="false" ht="14.25" hidden="false" customHeight="false" outlineLevel="0" collapsed="false">
      <c r="B118" s="15"/>
      <c r="C118" s="14"/>
      <c r="D118" s="14"/>
      <c r="E118" s="22"/>
      <c r="F118" s="22"/>
    </row>
    <row r="119" customFormat="false" ht="14.25" hidden="false" customHeight="false" outlineLevel="0" collapsed="false">
      <c r="B119" s="15"/>
      <c r="C119" s="14"/>
      <c r="D119" s="14"/>
      <c r="E119" s="22"/>
      <c r="F119" s="22"/>
    </row>
    <row r="120" customFormat="false" ht="14.25" hidden="false" customHeight="false" outlineLevel="0" collapsed="false">
      <c r="B120" s="15"/>
      <c r="C120" s="14"/>
      <c r="D120" s="14"/>
      <c r="E120" s="22"/>
      <c r="F120" s="22"/>
    </row>
    <row r="121" customFormat="false" ht="14.25" hidden="false" customHeight="false" outlineLevel="0" collapsed="false">
      <c r="B121" s="15"/>
      <c r="C121" s="14"/>
      <c r="D121" s="14"/>
      <c r="E121" s="22"/>
      <c r="F121" s="22"/>
    </row>
    <row r="122" customFormat="false" ht="14.25" hidden="false" customHeight="false" outlineLevel="0" collapsed="false">
      <c r="B122" s="15"/>
      <c r="C122" s="14"/>
      <c r="D122" s="14"/>
      <c r="E122" s="22"/>
      <c r="F122" s="22"/>
    </row>
    <row r="123" customFormat="false" ht="14.25" hidden="false" customHeight="false" outlineLevel="0" collapsed="false">
      <c r="B123" s="15"/>
      <c r="C123" s="14"/>
      <c r="D123" s="14"/>
      <c r="E123" s="22"/>
      <c r="F123" s="22"/>
    </row>
    <row r="124" customFormat="false" ht="14.25" hidden="false" customHeight="false" outlineLevel="0" collapsed="false">
      <c r="B124" s="15"/>
      <c r="C124" s="14"/>
      <c r="D124" s="14"/>
      <c r="E124" s="22"/>
      <c r="F124" s="22"/>
    </row>
    <row r="125" customFormat="false" ht="14.25" hidden="false" customHeight="false" outlineLevel="0" collapsed="false">
      <c r="B125" s="15"/>
      <c r="C125" s="14"/>
      <c r="D125" s="14"/>
      <c r="E125" s="22"/>
      <c r="F125" s="22"/>
    </row>
    <row r="126" customFormat="false" ht="14.25" hidden="false" customHeight="false" outlineLevel="0" collapsed="false">
      <c r="B126" s="15"/>
      <c r="C126" s="14"/>
      <c r="D126" s="14"/>
      <c r="E126" s="22"/>
      <c r="F126" s="22"/>
    </row>
    <row r="127" customFormat="false" ht="14.25" hidden="false" customHeight="false" outlineLevel="0" collapsed="false">
      <c r="B127" s="15"/>
      <c r="C127" s="14"/>
      <c r="D127" s="14"/>
      <c r="E127" s="22"/>
      <c r="F127" s="22"/>
    </row>
    <row r="128" customFormat="false" ht="14.25" hidden="false" customHeight="false" outlineLevel="0" collapsed="false">
      <c r="B128" s="15"/>
      <c r="C128" s="14"/>
      <c r="D128" s="14"/>
      <c r="E128" s="22"/>
      <c r="F128" s="22"/>
    </row>
    <row r="129" customFormat="false" ht="14.25" hidden="false" customHeight="false" outlineLevel="0" collapsed="false">
      <c r="B129" s="15"/>
      <c r="C129" s="14"/>
      <c r="D129" s="14"/>
      <c r="E129" s="22"/>
      <c r="F129" s="22"/>
    </row>
    <row r="130" customFormat="false" ht="14.25" hidden="false" customHeight="false" outlineLevel="0" collapsed="false">
      <c r="B130" s="15"/>
      <c r="C130" s="14"/>
      <c r="D130" s="14"/>
      <c r="E130" s="22"/>
      <c r="F130" s="22"/>
    </row>
    <row r="131" customFormat="false" ht="14.25" hidden="false" customHeight="false" outlineLevel="0" collapsed="false">
      <c r="B131" s="15"/>
      <c r="C131" s="14"/>
      <c r="D131" s="14"/>
      <c r="E131" s="22"/>
      <c r="F131" s="22"/>
    </row>
    <row r="132" customFormat="false" ht="14.25" hidden="false" customHeight="false" outlineLevel="0" collapsed="false">
      <c r="B132" s="15"/>
      <c r="C132" s="14"/>
      <c r="D132" s="14"/>
      <c r="E132" s="22"/>
      <c r="F132" s="22"/>
    </row>
    <row r="133" customFormat="false" ht="14.25" hidden="false" customHeight="false" outlineLevel="0" collapsed="false">
      <c r="B133" s="15"/>
      <c r="C133" s="14"/>
      <c r="D133" s="14"/>
      <c r="E133" s="22"/>
      <c r="F133" s="22"/>
    </row>
    <row r="134" customFormat="false" ht="14.25" hidden="false" customHeight="false" outlineLevel="0" collapsed="false">
      <c r="B134" s="15"/>
      <c r="C134" s="14"/>
      <c r="D134" s="14"/>
      <c r="E134" s="22"/>
      <c r="F134" s="22"/>
    </row>
    <row r="135" customFormat="false" ht="14.25" hidden="false" customHeight="false" outlineLevel="0" collapsed="false">
      <c r="B135" s="15"/>
      <c r="C135" s="14"/>
      <c r="D135" s="14"/>
      <c r="E135" s="22"/>
      <c r="F135" s="22"/>
    </row>
    <row r="136" customFormat="false" ht="14.25" hidden="false" customHeight="false" outlineLevel="0" collapsed="false">
      <c r="B136" s="15"/>
      <c r="C136" s="14"/>
      <c r="D136" s="14"/>
      <c r="E136" s="22"/>
      <c r="F136" s="22"/>
    </row>
    <row r="137" customFormat="false" ht="14.25" hidden="false" customHeight="false" outlineLevel="0" collapsed="false">
      <c r="B137" s="15"/>
      <c r="C137" s="14"/>
      <c r="D137" s="14"/>
      <c r="E137" s="22"/>
      <c r="F137" s="22"/>
    </row>
    <row r="138" customFormat="false" ht="14.25" hidden="false" customHeight="false" outlineLevel="0" collapsed="false">
      <c r="B138" s="15"/>
      <c r="C138" s="14"/>
      <c r="D138" s="14"/>
      <c r="E138" s="22"/>
      <c r="F138" s="22"/>
    </row>
    <row r="139" customFormat="false" ht="14.25" hidden="false" customHeight="false" outlineLevel="0" collapsed="false">
      <c r="B139" s="15"/>
      <c r="C139" s="14"/>
      <c r="D139" s="14"/>
      <c r="E139" s="22"/>
      <c r="F139" s="22"/>
    </row>
    <row r="140" customFormat="false" ht="14.25" hidden="false" customHeight="false" outlineLevel="0" collapsed="false">
      <c r="B140" s="15"/>
      <c r="C140" s="14"/>
      <c r="D140" s="14"/>
      <c r="E140" s="22"/>
      <c r="F140" s="22"/>
    </row>
    <row r="141" customFormat="false" ht="14.25" hidden="false" customHeight="false" outlineLevel="0" collapsed="false">
      <c r="B141" s="15"/>
      <c r="C141" s="14"/>
      <c r="D141" s="14"/>
      <c r="E141" s="22"/>
      <c r="F141" s="22"/>
    </row>
    <row r="142" customFormat="false" ht="14.25" hidden="false" customHeight="false" outlineLevel="0" collapsed="false">
      <c r="B142" s="15"/>
      <c r="C142" s="14"/>
      <c r="D142" s="14"/>
      <c r="E142" s="22"/>
      <c r="F142" s="22"/>
    </row>
    <row r="143" customFormat="false" ht="14.25" hidden="false" customHeight="false" outlineLevel="0" collapsed="false">
      <c r="B143" s="15"/>
      <c r="C143" s="14"/>
      <c r="D143" s="14"/>
      <c r="E143" s="22"/>
      <c r="F143" s="22"/>
    </row>
    <row r="144" customFormat="false" ht="14.25" hidden="false" customHeight="false" outlineLevel="0" collapsed="false">
      <c r="B144" s="15"/>
      <c r="C144" s="14"/>
      <c r="D144" s="14"/>
      <c r="E144" s="22"/>
      <c r="F144" s="22"/>
    </row>
    <row r="145" customFormat="false" ht="14.25" hidden="false" customHeight="false" outlineLevel="0" collapsed="false">
      <c r="B145" s="15"/>
      <c r="C145" s="14"/>
      <c r="D145" s="14"/>
      <c r="E145" s="22"/>
      <c r="F145" s="22"/>
    </row>
    <row r="146" customFormat="false" ht="14.25" hidden="false" customHeight="false" outlineLevel="0" collapsed="false">
      <c r="B146" s="15"/>
      <c r="C146" s="14"/>
      <c r="D146" s="14"/>
      <c r="E146" s="22"/>
      <c r="F146" s="22"/>
    </row>
    <row r="147" customFormat="false" ht="14.25" hidden="false" customHeight="false" outlineLevel="0" collapsed="false">
      <c r="B147" s="15"/>
      <c r="C147" s="14"/>
      <c r="D147" s="14"/>
      <c r="E147" s="22"/>
      <c r="F147" s="22"/>
    </row>
    <row r="148" customFormat="false" ht="14.25" hidden="false" customHeight="false" outlineLevel="0" collapsed="false">
      <c r="B148" s="15"/>
      <c r="C148" s="14"/>
      <c r="D148" s="14"/>
      <c r="E148" s="22"/>
      <c r="F148" s="22"/>
    </row>
    <row r="149" customFormat="false" ht="14.25" hidden="false" customHeight="false" outlineLevel="0" collapsed="false">
      <c r="B149" s="15"/>
      <c r="C149" s="14"/>
      <c r="D149" s="14"/>
      <c r="E149" s="22"/>
      <c r="F149" s="22"/>
    </row>
    <row r="150" customFormat="false" ht="14.25" hidden="false" customHeight="false" outlineLevel="0" collapsed="false">
      <c r="B150" s="15"/>
      <c r="C150" s="14"/>
      <c r="D150" s="14"/>
      <c r="E150" s="22"/>
      <c r="F150" s="22"/>
    </row>
    <row r="151" customFormat="false" ht="14.25" hidden="false" customHeight="false" outlineLevel="0" collapsed="false">
      <c r="B151" s="15"/>
      <c r="C151" s="14"/>
      <c r="D151" s="14"/>
      <c r="E151" s="22"/>
      <c r="F151" s="22"/>
    </row>
    <row r="152" customFormat="false" ht="14.25" hidden="false" customHeight="false" outlineLevel="0" collapsed="false">
      <c r="B152" s="15"/>
      <c r="C152" s="14"/>
      <c r="D152" s="14"/>
      <c r="E152" s="22"/>
      <c r="F152" s="22"/>
    </row>
    <row r="153" customFormat="false" ht="14.25" hidden="false" customHeight="false" outlineLevel="0" collapsed="false">
      <c r="B153" s="15"/>
      <c r="C153" s="14"/>
      <c r="D153" s="14"/>
      <c r="E153" s="22"/>
      <c r="F153" s="22"/>
    </row>
    <row r="154" customFormat="false" ht="14.25" hidden="false" customHeight="false" outlineLevel="0" collapsed="false">
      <c r="B154" s="15"/>
      <c r="C154" s="14"/>
      <c r="D154" s="14"/>
      <c r="E154" s="22"/>
      <c r="F154" s="22"/>
    </row>
    <row r="155" customFormat="false" ht="14.25" hidden="false" customHeight="false" outlineLevel="0" collapsed="false">
      <c r="B155" s="15"/>
      <c r="C155" s="14"/>
      <c r="D155" s="14"/>
      <c r="E155" s="22"/>
      <c r="F155" s="22"/>
    </row>
    <row r="156" customFormat="false" ht="14.25" hidden="false" customHeight="false" outlineLevel="0" collapsed="false">
      <c r="B156" s="15"/>
      <c r="C156" s="14"/>
      <c r="D156" s="14"/>
      <c r="E156" s="22"/>
      <c r="F156" s="22"/>
    </row>
    <row r="157" customFormat="false" ht="14.25" hidden="false" customHeight="false" outlineLevel="0" collapsed="false">
      <c r="B157" s="15"/>
      <c r="C157" s="14"/>
      <c r="D157" s="14"/>
      <c r="E157" s="22"/>
      <c r="F157" s="22"/>
    </row>
    <row r="158" customFormat="false" ht="14.25" hidden="false" customHeight="false" outlineLevel="0" collapsed="false">
      <c r="B158" s="15"/>
      <c r="C158" s="14"/>
      <c r="D158" s="14"/>
      <c r="E158" s="22"/>
      <c r="F158" s="22"/>
    </row>
    <row r="159" customFormat="false" ht="14.25" hidden="false" customHeight="false" outlineLevel="0" collapsed="false">
      <c r="B159" s="15"/>
      <c r="C159" s="14"/>
      <c r="D159" s="14"/>
      <c r="E159" s="22"/>
      <c r="F159" s="22"/>
    </row>
    <row r="160" customFormat="false" ht="14.25" hidden="false" customHeight="false" outlineLevel="0" collapsed="false">
      <c r="B160" s="15"/>
      <c r="C160" s="14"/>
      <c r="D160" s="14"/>
      <c r="E160" s="22"/>
      <c r="F160" s="22"/>
    </row>
    <row r="161" customFormat="false" ht="14.25" hidden="false" customHeight="false" outlineLevel="0" collapsed="false">
      <c r="B161" s="15"/>
      <c r="C161" s="14"/>
      <c r="D161" s="14"/>
      <c r="E161" s="22"/>
      <c r="F161" s="22"/>
    </row>
    <row r="162" customFormat="false" ht="14.25" hidden="false" customHeight="false" outlineLevel="0" collapsed="false">
      <c r="B162" s="15"/>
      <c r="C162" s="14"/>
      <c r="D162" s="14"/>
      <c r="E162" s="22"/>
      <c r="F162" s="22"/>
    </row>
    <row r="163" customFormat="false" ht="14.25" hidden="false" customHeight="false" outlineLevel="0" collapsed="false">
      <c r="B163" s="15"/>
      <c r="C163" s="14"/>
      <c r="D163" s="14"/>
      <c r="E163" s="22"/>
      <c r="F163" s="22"/>
    </row>
    <row r="164" customFormat="false" ht="14.25" hidden="false" customHeight="false" outlineLevel="0" collapsed="false">
      <c r="B164" s="15"/>
      <c r="C164" s="14"/>
      <c r="D164" s="14"/>
      <c r="E164" s="22"/>
      <c r="F164" s="22"/>
    </row>
    <row r="165" customFormat="false" ht="14.25" hidden="false" customHeight="false" outlineLevel="0" collapsed="false">
      <c r="B165" s="15"/>
      <c r="C165" s="14"/>
      <c r="D165" s="14"/>
      <c r="E165" s="22"/>
      <c r="F165" s="22"/>
    </row>
    <row r="166" customFormat="false" ht="14.25" hidden="false" customHeight="false" outlineLevel="0" collapsed="false">
      <c r="B166" s="15"/>
      <c r="C166" s="14"/>
      <c r="D166" s="14"/>
      <c r="E166" s="22"/>
      <c r="F166" s="22"/>
    </row>
    <row r="167" customFormat="false" ht="14.25" hidden="false" customHeight="false" outlineLevel="0" collapsed="false">
      <c r="B167" s="15"/>
      <c r="C167" s="14"/>
      <c r="D167" s="14"/>
      <c r="E167" s="22"/>
      <c r="F167" s="22"/>
    </row>
    <row r="168" customFormat="false" ht="14.25" hidden="false" customHeight="false" outlineLevel="0" collapsed="false">
      <c r="B168" s="15"/>
      <c r="C168" s="14"/>
      <c r="D168" s="14"/>
      <c r="E168" s="22"/>
      <c r="F168" s="22"/>
    </row>
    <row r="169" customFormat="false" ht="14.25" hidden="false" customHeight="false" outlineLevel="0" collapsed="false">
      <c r="B169" s="15"/>
      <c r="C169" s="14"/>
      <c r="D169" s="14"/>
      <c r="E169" s="22"/>
      <c r="F169" s="22"/>
    </row>
    <row r="170" customFormat="false" ht="14.25" hidden="false" customHeight="false" outlineLevel="0" collapsed="false">
      <c r="B170" s="15"/>
      <c r="C170" s="14"/>
      <c r="D170" s="14"/>
      <c r="E170" s="22"/>
      <c r="F170" s="22"/>
    </row>
    <row r="171" customFormat="false" ht="14.25" hidden="false" customHeight="false" outlineLevel="0" collapsed="false">
      <c r="B171" s="15"/>
      <c r="C171" s="14"/>
      <c r="D171" s="14"/>
      <c r="E171" s="22"/>
      <c r="F171" s="22"/>
    </row>
    <row r="172" customFormat="false" ht="14.25" hidden="false" customHeight="false" outlineLevel="0" collapsed="false">
      <c r="B172" s="15"/>
      <c r="C172" s="14"/>
      <c r="D172" s="14"/>
      <c r="E172" s="22"/>
      <c r="F172" s="22"/>
    </row>
    <row r="173" customFormat="false" ht="14.25" hidden="false" customHeight="false" outlineLevel="0" collapsed="false">
      <c r="B173" s="15"/>
      <c r="C173" s="14"/>
      <c r="D173" s="14"/>
      <c r="E173" s="22"/>
      <c r="F173" s="22"/>
    </row>
    <row r="174" customFormat="false" ht="14.25" hidden="false" customHeight="false" outlineLevel="0" collapsed="false">
      <c r="B174" s="15"/>
      <c r="C174" s="14"/>
      <c r="D174" s="14"/>
      <c r="E174" s="22"/>
      <c r="F174" s="22"/>
    </row>
    <row r="175" customFormat="false" ht="14.25" hidden="false" customHeight="false" outlineLevel="0" collapsed="false">
      <c r="B175" s="15"/>
      <c r="C175" s="14"/>
      <c r="D175" s="14"/>
      <c r="E175" s="22"/>
      <c r="F175" s="22"/>
    </row>
    <row r="176" customFormat="false" ht="14.25" hidden="false" customHeight="false" outlineLevel="0" collapsed="false">
      <c r="B176" s="15"/>
      <c r="C176" s="14"/>
      <c r="D176" s="14"/>
      <c r="E176" s="22"/>
      <c r="F176" s="22"/>
    </row>
    <row r="177" customFormat="false" ht="14.25" hidden="false" customHeight="false" outlineLevel="0" collapsed="false">
      <c r="B177" s="15"/>
      <c r="C177" s="14"/>
      <c r="D177" s="14"/>
      <c r="E177" s="22"/>
      <c r="F177" s="22"/>
    </row>
    <row r="178" customFormat="false" ht="14.25" hidden="false" customHeight="false" outlineLevel="0" collapsed="false">
      <c r="B178" s="15"/>
      <c r="C178" s="14"/>
      <c r="D178" s="14"/>
      <c r="E178" s="22"/>
      <c r="F178" s="22"/>
    </row>
    <row r="179" customFormat="false" ht="14.25" hidden="false" customHeight="false" outlineLevel="0" collapsed="false">
      <c r="B179" s="15"/>
      <c r="C179" s="14"/>
      <c r="D179" s="14"/>
      <c r="E179" s="22"/>
      <c r="F179" s="22"/>
    </row>
    <row r="180" customFormat="false" ht="14.25" hidden="false" customHeight="false" outlineLevel="0" collapsed="false">
      <c r="B180" s="15"/>
      <c r="C180" s="14"/>
      <c r="D180" s="14"/>
      <c r="E180" s="22"/>
      <c r="F180" s="22"/>
    </row>
    <row r="181" customFormat="false" ht="14.25" hidden="false" customHeight="false" outlineLevel="0" collapsed="false">
      <c r="B181" s="15"/>
      <c r="C181" s="14"/>
      <c r="D181" s="14"/>
      <c r="E181" s="22"/>
      <c r="F181" s="22"/>
    </row>
    <row r="182" customFormat="false" ht="14.25" hidden="false" customHeight="false" outlineLevel="0" collapsed="false">
      <c r="B182" s="15"/>
      <c r="C182" s="14"/>
      <c r="D182" s="14"/>
      <c r="E182" s="22"/>
      <c r="F182" s="22"/>
    </row>
    <row r="183" customFormat="false" ht="14.25" hidden="false" customHeight="false" outlineLevel="0" collapsed="false">
      <c r="B183" s="15"/>
      <c r="C183" s="14"/>
      <c r="D183" s="14"/>
      <c r="E183" s="22"/>
      <c r="F183" s="22"/>
    </row>
    <row r="184" customFormat="false" ht="14.25" hidden="false" customHeight="false" outlineLevel="0" collapsed="false">
      <c r="B184" s="15"/>
      <c r="C184" s="14"/>
      <c r="D184" s="14"/>
      <c r="E184" s="22"/>
      <c r="F184" s="22"/>
    </row>
    <row r="185" customFormat="false" ht="14.25" hidden="false" customHeight="false" outlineLevel="0" collapsed="false">
      <c r="B185" s="15"/>
      <c r="C185" s="14"/>
      <c r="D185" s="14"/>
      <c r="E185" s="22"/>
      <c r="F185" s="22"/>
    </row>
    <row r="186" customFormat="false" ht="14.25" hidden="false" customHeight="false" outlineLevel="0" collapsed="false">
      <c r="B186" s="15"/>
      <c r="C186" s="14"/>
      <c r="D186" s="14"/>
      <c r="E186" s="22"/>
      <c r="F186" s="22"/>
    </row>
    <row r="187" customFormat="false" ht="14.25" hidden="false" customHeight="false" outlineLevel="0" collapsed="false">
      <c r="B187" s="15"/>
      <c r="C187" s="14"/>
      <c r="D187" s="14"/>
      <c r="E187" s="22"/>
      <c r="F187" s="22"/>
    </row>
    <row r="188" customFormat="false" ht="14.25" hidden="false" customHeight="false" outlineLevel="0" collapsed="false">
      <c r="B188" s="15"/>
      <c r="C188" s="14"/>
      <c r="D188" s="14"/>
      <c r="E188" s="22"/>
      <c r="F188" s="22"/>
    </row>
    <row r="189" customFormat="false" ht="14.25" hidden="false" customHeight="false" outlineLevel="0" collapsed="false">
      <c r="B189" s="15"/>
      <c r="C189" s="14"/>
      <c r="D189" s="14"/>
      <c r="E189" s="22"/>
      <c r="F189" s="22"/>
    </row>
    <row r="190" customFormat="false" ht="14.25" hidden="false" customHeight="false" outlineLevel="0" collapsed="false">
      <c r="B190" s="15"/>
      <c r="C190" s="14"/>
      <c r="D190" s="14"/>
      <c r="E190" s="22"/>
      <c r="F190" s="22"/>
    </row>
    <row r="191" customFormat="false" ht="14.25" hidden="false" customHeight="false" outlineLevel="0" collapsed="false">
      <c r="B191" s="15"/>
      <c r="C191" s="14"/>
      <c r="D191" s="14"/>
      <c r="E191" s="22"/>
      <c r="F191" s="22"/>
    </row>
    <row r="192" customFormat="false" ht="14.25" hidden="false" customHeight="false" outlineLevel="0" collapsed="false">
      <c r="B192" s="15"/>
      <c r="C192" s="14"/>
      <c r="D192" s="14"/>
      <c r="E192" s="22"/>
      <c r="F192" s="22"/>
    </row>
    <row r="193" customFormat="false" ht="14.25" hidden="false" customHeight="false" outlineLevel="0" collapsed="false">
      <c r="B193" s="15"/>
      <c r="C193" s="14"/>
      <c r="D193" s="14"/>
      <c r="E193" s="22"/>
      <c r="F193" s="22"/>
    </row>
    <row r="194" customFormat="false" ht="14.25" hidden="false" customHeight="false" outlineLevel="0" collapsed="false">
      <c r="B194" s="15"/>
      <c r="C194" s="14"/>
      <c r="D194" s="14"/>
      <c r="E194" s="22"/>
      <c r="F194" s="22"/>
    </row>
    <row r="195" customFormat="false" ht="14.25" hidden="false" customHeight="false" outlineLevel="0" collapsed="false">
      <c r="B195" s="15"/>
      <c r="C195" s="14"/>
      <c r="D195" s="14"/>
      <c r="E195" s="22"/>
      <c r="F195" s="22"/>
    </row>
    <row r="196" customFormat="false" ht="14.25" hidden="false" customHeight="false" outlineLevel="0" collapsed="false">
      <c r="B196" s="15"/>
      <c r="C196" s="14"/>
      <c r="D196" s="14"/>
      <c r="E196" s="22"/>
      <c r="F196" s="22"/>
    </row>
    <row r="197" customFormat="false" ht="14.25" hidden="false" customHeight="false" outlineLevel="0" collapsed="false">
      <c r="B197" s="15"/>
      <c r="C197" s="14"/>
      <c r="D197" s="14"/>
      <c r="E197" s="22"/>
      <c r="F197" s="22"/>
    </row>
    <row r="198" customFormat="false" ht="14.25" hidden="false" customHeight="false" outlineLevel="0" collapsed="false">
      <c r="B198" s="15"/>
      <c r="C198" s="14"/>
      <c r="D198" s="14"/>
      <c r="E198" s="22"/>
      <c r="F198" s="22"/>
    </row>
    <row r="199" customFormat="false" ht="14.25" hidden="false" customHeight="false" outlineLevel="0" collapsed="false">
      <c r="B199" s="15"/>
      <c r="C199" s="14"/>
      <c r="D199" s="14"/>
      <c r="E199" s="22"/>
      <c r="F199" s="22"/>
    </row>
    <row r="200" customFormat="false" ht="14.25" hidden="false" customHeight="false" outlineLevel="0" collapsed="false">
      <c r="B200" s="15"/>
      <c r="C200" s="14"/>
      <c r="D200" s="14"/>
      <c r="E200" s="22"/>
      <c r="F200" s="22"/>
    </row>
    <row r="201" customFormat="false" ht="14.25" hidden="false" customHeight="false" outlineLevel="0" collapsed="false">
      <c r="B201" s="15"/>
      <c r="C201" s="14"/>
      <c r="D201" s="14"/>
      <c r="E201" s="22"/>
      <c r="F201" s="22"/>
    </row>
    <row r="202" customFormat="false" ht="14.25" hidden="false" customHeight="false" outlineLevel="0" collapsed="false">
      <c r="B202" s="15"/>
      <c r="C202" s="14"/>
      <c r="D202" s="14"/>
      <c r="E202" s="22"/>
      <c r="F202" s="22"/>
    </row>
    <row r="203" customFormat="false" ht="14.25" hidden="false" customHeight="false" outlineLevel="0" collapsed="false">
      <c r="B203" s="15"/>
      <c r="C203" s="14"/>
      <c r="D203" s="14"/>
      <c r="E203" s="22"/>
      <c r="F203" s="22"/>
    </row>
    <row r="204" customFormat="false" ht="14.25" hidden="false" customHeight="false" outlineLevel="0" collapsed="false">
      <c r="B204" s="15"/>
      <c r="C204" s="14"/>
      <c r="D204" s="14"/>
      <c r="E204" s="22"/>
      <c r="F204" s="22"/>
    </row>
    <row r="205" customFormat="false" ht="14.25" hidden="false" customHeight="false" outlineLevel="0" collapsed="false">
      <c r="B205" s="15"/>
      <c r="C205" s="14"/>
      <c r="D205" s="14"/>
      <c r="E205" s="22"/>
      <c r="F205" s="22"/>
    </row>
    <row r="206" customFormat="false" ht="14.25" hidden="false" customHeight="false" outlineLevel="0" collapsed="false">
      <c r="B206" s="15"/>
      <c r="C206" s="14"/>
      <c r="D206" s="14"/>
      <c r="E206" s="22"/>
      <c r="F206" s="22"/>
    </row>
    <row r="207" customFormat="false" ht="14.25" hidden="false" customHeight="false" outlineLevel="0" collapsed="false">
      <c r="B207" s="15"/>
      <c r="C207" s="14"/>
      <c r="D207" s="14"/>
      <c r="E207" s="22"/>
      <c r="F207" s="22"/>
    </row>
    <row r="208" customFormat="false" ht="14.25" hidden="false" customHeight="false" outlineLevel="0" collapsed="false">
      <c r="B208" s="15"/>
      <c r="C208" s="14"/>
      <c r="D208" s="14"/>
      <c r="E208" s="22"/>
      <c r="F208" s="22"/>
    </row>
    <row r="209" customFormat="false" ht="14.25" hidden="false" customHeight="false" outlineLevel="0" collapsed="false">
      <c r="B209" s="15"/>
      <c r="C209" s="14"/>
      <c r="D209" s="14"/>
      <c r="E209" s="22"/>
      <c r="F209" s="22"/>
    </row>
    <row r="210" customFormat="false" ht="14.25" hidden="false" customHeight="false" outlineLevel="0" collapsed="false">
      <c r="B210" s="15"/>
      <c r="C210" s="14"/>
      <c r="D210" s="14"/>
      <c r="E210" s="22"/>
      <c r="F210" s="22"/>
    </row>
    <row r="211" customFormat="false" ht="14.25" hidden="false" customHeight="false" outlineLevel="0" collapsed="false">
      <c r="B211" s="15"/>
      <c r="C211" s="14"/>
      <c r="D211" s="14"/>
      <c r="E211" s="22"/>
      <c r="F211" s="22"/>
    </row>
    <row r="212" customFormat="false" ht="14.25" hidden="false" customHeight="false" outlineLevel="0" collapsed="false">
      <c r="B212" s="15"/>
      <c r="C212" s="14"/>
      <c r="D212" s="14"/>
      <c r="E212" s="22"/>
      <c r="F212" s="22"/>
    </row>
    <row r="213" customFormat="false" ht="14.25" hidden="false" customHeight="false" outlineLevel="0" collapsed="false">
      <c r="B213" s="15"/>
      <c r="C213" s="14"/>
      <c r="D213" s="14"/>
      <c r="E213" s="22"/>
      <c r="F213" s="22"/>
    </row>
    <row r="214" customFormat="false" ht="14.25" hidden="false" customHeight="false" outlineLevel="0" collapsed="false">
      <c r="B214" s="15"/>
      <c r="C214" s="14"/>
      <c r="D214" s="14"/>
      <c r="E214" s="22"/>
      <c r="F214" s="22"/>
    </row>
    <row r="215" customFormat="false" ht="14.25" hidden="false" customHeight="false" outlineLevel="0" collapsed="false">
      <c r="B215" s="15"/>
      <c r="C215" s="14"/>
      <c r="D215" s="14"/>
      <c r="E215" s="22"/>
      <c r="F215" s="22"/>
    </row>
    <row r="216" customFormat="false" ht="14.25" hidden="false" customHeight="false" outlineLevel="0" collapsed="false">
      <c r="B216" s="15"/>
      <c r="C216" s="14"/>
      <c r="D216" s="14"/>
      <c r="E216" s="22"/>
      <c r="F216" s="22"/>
    </row>
    <row r="217" customFormat="false" ht="14.25" hidden="false" customHeight="false" outlineLevel="0" collapsed="false">
      <c r="B217" s="15"/>
      <c r="C217" s="14"/>
      <c r="D217" s="14"/>
      <c r="E217" s="22"/>
      <c r="F217" s="22"/>
    </row>
    <row r="218" customFormat="false" ht="14.25" hidden="false" customHeight="false" outlineLevel="0" collapsed="false">
      <c r="B218" s="15"/>
      <c r="C218" s="14"/>
      <c r="D218" s="14"/>
      <c r="E218" s="22"/>
      <c r="F218" s="22"/>
    </row>
    <row r="219" customFormat="false" ht="14.25" hidden="false" customHeight="false" outlineLevel="0" collapsed="false">
      <c r="B219" s="15"/>
      <c r="C219" s="14"/>
      <c r="D219" s="14"/>
      <c r="E219" s="22"/>
      <c r="F219" s="22"/>
    </row>
    <row r="220" customFormat="false" ht="14.25" hidden="false" customHeight="false" outlineLevel="0" collapsed="false">
      <c r="B220" s="15"/>
      <c r="C220" s="14"/>
      <c r="D220" s="14"/>
      <c r="E220" s="22"/>
      <c r="F220" s="22"/>
    </row>
    <row r="221" customFormat="false" ht="14.25" hidden="false" customHeight="false" outlineLevel="0" collapsed="false">
      <c r="B221" s="15"/>
      <c r="C221" s="14"/>
      <c r="D221" s="14"/>
      <c r="E221" s="22"/>
      <c r="F221" s="22"/>
    </row>
    <row r="222" customFormat="false" ht="14.25" hidden="false" customHeight="false" outlineLevel="0" collapsed="false">
      <c r="B222" s="15"/>
      <c r="C222" s="14"/>
      <c r="D222" s="14"/>
      <c r="E222" s="22"/>
      <c r="F222" s="22"/>
    </row>
    <row r="223" customFormat="false" ht="14.25" hidden="false" customHeight="false" outlineLevel="0" collapsed="false">
      <c r="B223" s="15"/>
      <c r="C223" s="14"/>
      <c r="D223" s="14"/>
      <c r="E223" s="22"/>
      <c r="F223" s="22"/>
    </row>
    <row r="224" customFormat="false" ht="14.25" hidden="false" customHeight="false" outlineLevel="0" collapsed="false">
      <c r="B224" s="15"/>
      <c r="C224" s="14"/>
      <c r="D224" s="14"/>
      <c r="E224" s="22"/>
      <c r="F224" s="22"/>
    </row>
    <row r="225" customFormat="false" ht="14.25" hidden="false" customHeight="false" outlineLevel="0" collapsed="false">
      <c r="B225" s="15"/>
      <c r="C225" s="14"/>
      <c r="D225" s="14"/>
      <c r="E225" s="22"/>
      <c r="F225" s="22"/>
    </row>
    <row r="226" customFormat="false" ht="14.25" hidden="false" customHeight="false" outlineLevel="0" collapsed="false">
      <c r="B226" s="15"/>
      <c r="C226" s="14"/>
      <c r="D226" s="14"/>
      <c r="E226" s="22"/>
      <c r="F226" s="22"/>
    </row>
    <row r="227" customFormat="false" ht="14.25" hidden="false" customHeight="false" outlineLevel="0" collapsed="false">
      <c r="B227" s="15"/>
      <c r="C227" s="14"/>
      <c r="D227" s="14"/>
      <c r="E227" s="22"/>
      <c r="F227" s="22"/>
    </row>
    <row r="228" customFormat="false" ht="14.25" hidden="false" customHeight="false" outlineLevel="0" collapsed="false">
      <c r="B228" s="15"/>
      <c r="C228" s="14"/>
      <c r="D228" s="14"/>
      <c r="E228" s="22"/>
      <c r="F228" s="22"/>
    </row>
    <row r="229" customFormat="false" ht="14.25" hidden="false" customHeight="false" outlineLevel="0" collapsed="false">
      <c r="B229" s="15"/>
      <c r="C229" s="14"/>
      <c r="D229" s="14"/>
      <c r="E229" s="22"/>
      <c r="F229" s="22"/>
    </row>
    <row r="230" customFormat="false" ht="14.25" hidden="false" customHeight="false" outlineLevel="0" collapsed="false">
      <c r="B230" s="15"/>
      <c r="C230" s="14"/>
      <c r="D230" s="14"/>
      <c r="E230" s="22"/>
      <c r="F230" s="22"/>
    </row>
    <row r="231" customFormat="false" ht="14.25" hidden="false" customHeight="false" outlineLevel="0" collapsed="false">
      <c r="B231" s="15"/>
      <c r="C231" s="14"/>
      <c r="D231" s="14"/>
      <c r="E231" s="22"/>
      <c r="F231" s="22"/>
    </row>
    <row r="232" customFormat="false" ht="14.25" hidden="false" customHeight="false" outlineLevel="0" collapsed="false">
      <c r="B232" s="15"/>
      <c r="C232" s="14"/>
      <c r="D232" s="14"/>
      <c r="E232" s="22"/>
      <c r="F232" s="22"/>
    </row>
    <row r="233" customFormat="false" ht="14.25" hidden="false" customHeight="false" outlineLevel="0" collapsed="false">
      <c r="B233" s="15"/>
      <c r="C233" s="14"/>
      <c r="D233" s="14"/>
      <c r="E233" s="22"/>
      <c r="F233" s="22"/>
    </row>
    <row r="234" customFormat="false" ht="14.25" hidden="false" customHeight="false" outlineLevel="0" collapsed="false">
      <c r="B234" s="15"/>
      <c r="C234" s="14"/>
      <c r="D234" s="14"/>
      <c r="E234" s="22"/>
      <c r="F234" s="22"/>
    </row>
    <row r="235" customFormat="false" ht="14.25" hidden="false" customHeight="false" outlineLevel="0" collapsed="false">
      <c r="B235" s="15"/>
      <c r="C235" s="14"/>
      <c r="D235" s="14"/>
      <c r="E235" s="22"/>
      <c r="F235" s="22"/>
    </row>
    <row r="236" customFormat="false" ht="14.25" hidden="false" customHeight="false" outlineLevel="0" collapsed="false">
      <c r="B236" s="15"/>
      <c r="C236" s="14"/>
      <c r="D236" s="14"/>
      <c r="E236" s="22"/>
      <c r="F236" s="22"/>
    </row>
    <row r="237" customFormat="false" ht="14.25" hidden="false" customHeight="false" outlineLevel="0" collapsed="false">
      <c r="B237" s="15"/>
      <c r="C237" s="14"/>
      <c r="D237" s="14"/>
      <c r="E237" s="22"/>
      <c r="F237" s="22"/>
    </row>
    <row r="238" customFormat="false" ht="14.25" hidden="false" customHeight="false" outlineLevel="0" collapsed="false">
      <c r="B238" s="15"/>
      <c r="C238" s="14"/>
      <c r="D238" s="14"/>
      <c r="E238" s="22"/>
      <c r="F238" s="22"/>
    </row>
    <row r="239" customFormat="false" ht="14.25" hidden="false" customHeight="false" outlineLevel="0" collapsed="false">
      <c r="B239" s="15"/>
      <c r="C239" s="14"/>
      <c r="D239" s="14"/>
      <c r="E239" s="22"/>
      <c r="F239" s="22"/>
    </row>
    <row r="240" customFormat="false" ht="14.25" hidden="false" customHeight="false" outlineLevel="0" collapsed="false">
      <c r="B240" s="15"/>
      <c r="C240" s="14"/>
      <c r="D240" s="14"/>
      <c r="E240" s="22"/>
      <c r="F240" s="22"/>
    </row>
    <row r="241" customFormat="false" ht="14.25" hidden="false" customHeight="false" outlineLevel="0" collapsed="false">
      <c r="B241" s="15"/>
      <c r="C241" s="14"/>
      <c r="D241" s="14"/>
      <c r="E241" s="22"/>
      <c r="F241" s="22"/>
    </row>
    <row r="242" customFormat="false" ht="14.25" hidden="false" customHeight="false" outlineLevel="0" collapsed="false">
      <c r="B242" s="15"/>
      <c r="C242" s="14"/>
      <c r="D242" s="14"/>
      <c r="E242" s="22"/>
      <c r="F242" s="22"/>
    </row>
    <row r="243" customFormat="false" ht="14.25" hidden="false" customHeight="false" outlineLevel="0" collapsed="false">
      <c r="B243" s="15"/>
      <c r="C243" s="14"/>
      <c r="D243" s="14"/>
      <c r="E243" s="22"/>
      <c r="F243" s="22"/>
    </row>
    <row r="244" customFormat="false" ht="14.25" hidden="false" customHeight="false" outlineLevel="0" collapsed="false">
      <c r="B244" s="15"/>
      <c r="C244" s="14"/>
      <c r="D244" s="14"/>
      <c r="E244" s="22"/>
      <c r="F244" s="22"/>
    </row>
    <row r="245" customFormat="false" ht="14.25" hidden="false" customHeight="false" outlineLevel="0" collapsed="false">
      <c r="B245" s="15"/>
      <c r="C245" s="14"/>
      <c r="D245" s="14"/>
      <c r="E245" s="22"/>
      <c r="F245" s="22"/>
    </row>
    <row r="246" customFormat="false" ht="14.25" hidden="false" customHeight="false" outlineLevel="0" collapsed="false">
      <c r="B246" s="15"/>
      <c r="C246" s="14"/>
      <c r="D246" s="14"/>
      <c r="E246" s="22"/>
      <c r="F246" s="22"/>
    </row>
    <row r="247" customFormat="false" ht="14.25" hidden="false" customHeight="false" outlineLevel="0" collapsed="false">
      <c r="B247" s="15"/>
      <c r="C247" s="14"/>
      <c r="D247" s="14"/>
      <c r="E247" s="22"/>
      <c r="F247" s="22"/>
    </row>
    <row r="248" customFormat="false" ht="14.25" hidden="false" customHeight="false" outlineLevel="0" collapsed="false">
      <c r="B248" s="15"/>
      <c r="C248" s="14"/>
      <c r="D248" s="14"/>
      <c r="E248" s="22"/>
      <c r="F248" s="22"/>
    </row>
    <row r="249" customFormat="false" ht="14.25" hidden="false" customHeight="false" outlineLevel="0" collapsed="false">
      <c r="B249" s="15"/>
      <c r="C249" s="14"/>
      <c r="D249" s="14"/>
      <c r="E249" s="22"/>
      <c r="F249" s="22"/>
    </row>
    <row r="250" customFormat="false" ht="14.25" hidden="false" customHeight="false" outlineLevel="0" collapsed="false">
      <c r="B250" s="15"/>
      <c r="C250" s="14"/>
      <c r="D250" s="14"/>
      <c r="E250" s="22"/>
      <c r="F250" s="22"/>
    </row>
    <row r="251" customFormat="false" ht="14.25" hidden="false" customHeight="false" outlineLevel="0" collapsed="false">
      <c r="B251" s="15"/>
      <c r="C251" s="14"/>
      <c r="D251" s="14"/>
      <c r="E251" s="22"/>
      <c r="F251" s="22"/>
    </row>
    <row r="252" customFormat="false" ht="14.25" hidden="false" customHeight="false" outlineLevel="0" collapsed="false">
      <c r="B252" s="15"/>
      <c r="C252" s="14"/>
      <c r="D252" s="14"/>
      <c r="E252" s="22"/>
      <c r="F252" s="22"/>
    </row>
    <row r="253" customFormat="false" ht="14.25" hidden="false" customHeight="false" outlineLevel="0" collapsed="false">
      <c r="B253" s="15"/>
      <c r="C253" s="14"/>
      <c r="D253" s="14"/>
      <c r="E253" s="22"/>
      <c r="F253" s="22"/>
    </row>
    <row r="254" customFormat="false" ht="14.25" hidden="false" customHeight="false" outlineLevel="0" collapsed="false">
      <c r="B254" s="15"/>
      <c r="C254" s="14"/>
      <c r="D254" s="14"/>
      <c r="E254" s="22"/>
      <c r="F254" s="22"/>
    </row>
    <row r="255" customFormat="false" ht="14.25" hidden="false" customHeight="false" outlineLevel="0" collapsed="false">
      <c r="B255" s="15"/>
      <c r="C255" s="14"/>
      <c r="D255" s="14"/>
      <c r="E255" s="22"/>
      <c r="F255" s="22"/>
    </row>
    <row r="256" customFormat="false" ht="14.25" hidden="false" customHeight="false" outlineLevel="0" collapsed="false">
      <c r="B256" s="15"/>
      <c r="C256" s="14"/>
      <c r="D256" s="14"/>
      <c r="E256" s="22"/>
      <c r="F256" s="22"/>
    </row>
    <row r="257" customFormat="false" ht="14.25" hidden="false" customHeight="false" outlineLevel="0" collapsed="false">
      <c r="B257" s="15"/>
      <c r="C257" s="14"/>
      <c r="D257" s="14"/>
      <c r="E257" s="22"/>
      <c r="F257" s="22"/>
    </row>
    <row r="258" customFormat="false" ht="14.25" hidden="false" customHeight="false" outlineLevel="0" collapsed="false">
      <c r="B258" s="15"/>
      <c r="C258" s="14"/>
      <c r="D258" s="14"/>
      <c r="E258" s="22"/>
      <c r="F258" s="22"/>
    </row>
    <row r="259" customFormat="false" ht="14.25" hidden="false" customHeight="false" outlineLevel="0" collapsed="false">
      <c r="B259" s="15"/>
      <c r="C259" s="14"/>
      <c r="D259" s="14"/>
      <c r="E259" s="22"/>
      <c r="F259" s="22"/>
    </row>
    <row r="260" customFormat="false" ht="14.25" hidden="false" customHeight="false" outlineLevel="0" collapsed="false">
      <c r="B260" s="15"/>
      <c r="C260" s="14"/>
      <c r="D260" s="14"/>
      <c r="E260" s="22"/>
      <c r="F260" s="22"/>
    </row>
    <row r="261" customFormat="false" ht="14.25" hidden="false" customHeight="false" outlineLevel="0" collapsed="false">
      <c r="B261" s="15"/>
      <c r="C261" s="14"/>
      <c r="D261" s="14"/>
      <c r="E261" s="22"/>
      <c r="F261" s="22"/>
    </row>
    <row r="262" customFormat="false" ht="14.25" hidden="false" customHeight="false" outlineLevel="0" collapsed="false">
      <c r="B262" s="15"/>
      <c r="C262" s="14"/>
      <c r="D262" s="14"/>
      <c r="E262" s="22"/>
      <c r="F262" s="22"/>
    </row>
    <row r="263" customFormat="false" ht="14.25" hidden="false" customHeight="false" outlineLevel="0" collapsed="false">
      <c r="B263" s="15"/>
      <c r="C263" s="14"/>
      <c r="D263" s="14"/>
      <c r="E263" s="22"/>
      <c r="F263" s="22"/>
    </row>
    <row r="264" customFormat="false" ht="14.25" hidden="false" customHeight="false" outlineLevel="0" collapsed="false">
      <c r="B264" s="15"/>
      <c r="C264" s="14"/>
      <c r="D264" s="14"/>
      <c r="E264" s="22"/>
      <c r="F264" s="22"/>
    </row>
    <row r="265" customFormat="false" ht="14.25" hidden="false" customHeight="false" outlineLevel="0" collapsed="false">
      <c r="B265" s="15"/>
      <c r="C265" s="14"/>
      <c r="D265" s="14"/>
      <c r="E265" s="22"/>
      <c r="F265" s="22"/>
    </row>
    <row r="266" customFormat="false" ht="14.25" hidden="false" customHeight="false" outlineLevel="0" collapsed="false">
      <c r="B266" s="15"/>
      <c r="C266" s="14"/>
      <c r="D266" s="14"/>
      <c r="E266" s="22"/>
      <c r="F266" s="22"/>
    </row>
    <row r="267" customFormat="false" ht="14.25" hidden="false" customHeight="false" outlineLevel="0" collapsed="false">
      <c r="B267" s="15"/>
      <c r="C267" s="14"/>
      <c r="D267" s="14"/>
      <c r="E267" s="22"/>
      <c r="F267" s="22"/>
    </row>
    <row r="268" customFormat="false" ht="14.25" hidden="false" customHeight="false" outlineLevel="0" collapsed="false">
      <c r="B268" s="15"/>
      <c r="C268" s="14"/>
      <c r="D268" s="14"/>
      <c r="E268" s="22"/>
      <c r="F268" s="22"/>
    </row>
    <row r="269" customFormat="false" ht="14.25" hidden="false" customHeight="false" outlineLevel="0" collapsed="false">
      <c r="B269" s="15"/>
      <c r="C269" s="14"/>
      <c r="D269" s="14"/>
      <c r="E269" s="22"/>
      <c r="F269" s="22"/>
    </row>
    <row r="270" customFormat="false" ht="14.25" hidden="false" customHeight="false" outlineLevel="0" collapsed="false">
      <c r="B270" s="15"/>
      <c r="C270" s="14"/>
      <c r="D270" s="14"/>
      <c r="E270" s="22"/>
      <c r="F270" s="22"/>
    </row>
    <row r="271" customFormat="false" ht="14.25" hidden="false" customHeight="false" outlineLevel="0" collapsed="false">
      <c r="B271" s="15"/>
      <c r="C271" s="14"/>
      <c r="D271" s="14"/>
      <c r="E271" s="22"/>
      <c r="F271" s="22"/>
    </row>
    <row r="272" customFormat="false" ht="14.25" hidden="false" customHeight="false" outlineLevel="0" collapsed="false">
      <c r="B272" s="15"/>
      <c r="C272" s="14"/>
      <c r="D272" s="14"/>
      <c r="E272" s="22"/>
      <c r="F272" s="22"/>
    </row>
    <row r="273" customFormat="false" ht="14.25" hidden="false" customHeight="false" outlineLevel="0" collapsed="false">
      <c r="B273" s="15"/>
      <c r="C273" s="14"/>
      <c r="D273" s="14"/>
      <c r="E273" s="22"/>
      <c r="F273" s="22"/>
    </row>
    <row r="274" customFormat="false" ht="14.25" hidden="false" customHeight="false" outlineLevel="0" collapsed="false">
      <c r="B274" s="15"/>
      <c r="C274" s="14"/>
      <c r="D274" s="14"/>
      <c r="E274" s="22"/>
      <c r="F274" s="22"/>
    </row>
    <row r="275" customFormat="false" ht="14.25" hidden="false" customHeight="false" outlineLevel="0" collapsed="false">
      <c r="B275" s="15"/>
      <c r="C275" s="14"/>
      <c r="D275" s="14"/>
      <c r="E275" s="22"/>
      <c r="F275" s="22"/>
    </row>
    <row r="276" customFormat="false" ht="14.25" hidden="false" customHeight="false" outlineLevel="0" collapsed="false">
      <c r="B276" s="15"/>
      <c r="C276" s="14"/>
      <c r="D276" s="14"/>
      <c r="E276" s="22"/>
      <c r="F276" s="22"/>
    </row>
    <row r="277" customFormat="false" ht="14.25" hidden="false" customHeight="false" outlineLevel="0" collapsed="false">
      <c r="B277" s="15"/>
      <c r="C277" s="14"/>
      <c r="D277" s="14"/>
      <c r="E277" s="22"/>
      <c r="F277" s="22"/>
    </row>
    <row r="278" customFormat="false" ht="14.25" hidden="false" customHeight="false" outlineLevel="0" collapsed="false">
      <c r="B278" s="15"/>
      <c r="C278" s="14"/>
      <c r="D278" s="14"/>
      <c r="E278" s="22"/>
      <c r="F278" s="22"/>
    </row>
    <row r="279" customFormat="false" ht="14.25" hidden="false" customHeight="false" outlineLevel="0" collapsed="false">
      <c r="B279" s="15"/>
      <c r="C279" s="14"/>
      <c r="D279" s="14"/>
      <c r="E279" s="22"/>
      <c r="F279" s="22"/>
    </row>
    <row r="280" customFormat="false" ht="14.25" hidden="false" customHeight="false" outlineLevel="0" collapsed="false">
      <c r="B280" s="15"/>
      <c r="C280" s="14"/>
      <c r="D280" s="14"/>
      <c r="E280" s="22"/>
      <c r="F280" s="22"/>
    </row>
    <row r="281" customFormat="false" ht="14.25" hidden="false" customHeight="false" outlineLevel="0" collapsed="false">
      <c r="B281" s="15"/>
      <c r="C281" s="14"/>
      <c r="D281" s="14"/>
      <c r="E281" s="22"/>
      <c r="F281" s="22"/>
    </row>
    <row r="282" customFormat="false" ht="14.25" hidden="false" customHeight="false" outlineLevel="0" collapsed="false">
      <c r="B282" s="15"/>
      <c r="C282" s="14"/>
      <c r="D282" s="14"/>
      <c r="E282" s="22"/>
      <c r="F282" s="22"/>
    </row>
    <row r="283" customFormat="false" ht="14.25" hidden="false" customHeight="false" outlineLevel="0" collapsed="false">
      <c r="B283" s="15"/>
      <c r="C283" s="14"/>
      <c r="D283" s="14"/>
      <c r="E283" s="22"/>
      <c r="F283" s="22"/>
    </row>
    <row r="284" customFormat="false" ht="14.25" hidden="false" customHeight="false" outlineLevel="0" collapsed="false">
      <c r="B284" s="15"/>
      <c r="C284" s="14"/>
      <c r="D284" s="14"/>
      <c r="E284" s="22"/>
      <c r="F284" s="22"/>
    </row>
    <row r="285" customFormat="false" ht="14.25" hidden="false" customHeight="false" outlineLevel="0" collapsed="false">
      <c r="B285" s="15"/>
      <c r="C285" s="14"/>
      <c r="D285" s="14"/>
      <c r="E285" s="22"/>
      <c r="F285" s="22"/>
    </row>
    <row r="286" customFormat="false" ht="14.25" hidden="false" customHeight="false" outlineLevel="0" collapsed="false">
      <c r="B286" s="15"/>
      <c r="C286" s="14"/>
      <c r="D286" s="14"/>
      <c r="E286" s="22"/>
      <c r="F286" s="22"/>
    </row>
    <row r="287" customFormat="false" ht="14.25" hidden="false" customHeight="false" outlineLevel="0" collapsed="false">
      <c r="B287" s="15"/>
      <c r="C287" s="14"/>
      <c r="D287" s="14"/>
      <c r="E287" s="22"/>
      <c r="F287" s="22"/>
    </row>
    <row r="288" customFormat="false" ht="14.25" hidden="false" customHeight="false" outlineLevel="0" collapsed="false">
      <c r="B288" s="15"/>
      <c r="C288" s="14"/>
      <c r="D288" s="14"/>
      <c r="E288" s="22"/>
      <c r="F288" s="22"/>
    </row>
    <row r="289" customFormat="false" ht="14.25" hidden="false" customHeight="false" outlineLevel="0" collapsed="false">
      <c r="B289" s="15"/>
      <c r="C289" s="14"/>
      <c r="D289" s="14"/>
      <c r="E289" s="22"/>
      <c r="F289" s="22"/>
    </row>
    <row r="290" customFormat="false" ht="14.25" hidden="false" customHeight="false" outlineLevel="0" collapsed="false">
      <c r="B290" s="15"/>
      <c r="C290" s="14"/>
      <c r="D290" s="14"/>
      <c r="E290" s="22"/>
      <c r="F290" s="22"/>
    </row>
    <row r="291" customFormat="false" ht="14.25" hidden="false" customHeight="false" outlineLevel="0" collapsed="false">
      <c r="B291" s="15"/>
      <c r="C291" s="14"/>
      <c r="D291" s="14"/>
      <c r="E291" s="22"/>
      <c r="F291" s="22"/>
    </row>
    <row r="292" customFormat="false" ht="14.25" hidden="false" customHeight="false" outlineLevel="0" collapsed="false">
      <c r="B292" s="15"/>
      <c r="C292" s="14"/>
      <c r="D292" s="14"/>
      <c r="E292" s="22"/>
      <c r="F292" s="22"/>
    </row>
    <row r="293" customFormat="false" ht="14.25" hidden="false" customHeight="false" outlineLevel="0" collapsed="false">
      <c r="B293" s="15"/>
      <c r="C293" s="14"/>
      <c r="D293" s="14"/>
      <c r="E293" s="22"/>
      <c r="F293" s="22"/>
    </row>
    <row r="294" customFormat="false" ht="14.25" hidden="false" customHeight="false" outlineLevel="0" collapsed="false">
      <c r="B294" s="15"/>
      <c r="C294" s="14"/>
      <c r="D294" s="14"/>
      <c r="E294" s="22"/>
      <c r="F294" s="22"/>
    </row>
    <row r="295" customFormat="false" ht="14.25" hidden="false" customHeight="false" outlineLevel="0" collapsed="false">
      <c r="B295" s="15"/>
      <c r="C295" s="14"/>
      <c r="D295" s="14"/>
      <c r="E295" s="22"/>
      <c r="F295" s="22"/>
    </row>
    <row r="296" customFormat="false" ht="14.25" hidden="false" customHeight="false" outlineLevel="0" collapsed="false">
      <c r="B296" s="15"/>
      <c r="C296" s="14"/>
      <c r="D296" s="14"/>
      <c r="E296" s="22"/>
      <c r="F296" s="22"/>
    </row>
    <row r="297" customFormat="false" ht="14.25" hidden="false" customHeight="false" outlineLevel="0" collapsed="false">
      <c r="B297" s="15"/>
      <c r="C297" s="14"/>
      <c r="D297" s="14"/>
      <c r="E297" s="22"/>
      <c r="F297" s="22"/>
    </row>
    <row r="298" customFormat="false" ht="14.25" hidden="false" customHeight="false" outlineLevel="0" collapsed="false">
      <c r="B298" s="15"/>
      <c r="C298" s="14"/>
      <c r="D298" s="14"/>
      <c r="E298" s="22"/>
      <c r="F298" s="22"/>
    </row>
    <row r="299" customFormat="false" ht="14.25" hidden="false" customHeight="false" outlineLevel="0" collapsed="false">
      <c r="B299" s="15"/>
      <c r="C299" s="14"/>
      <c r="D299" s="14"/>
      <c r="E299" s="22"/>
      <c r="F299" s="22"/>
    </row>
    <row r="300" customFormat="false" ht="14.25" hidden="false" customHeight="false" outlineLevel="0" collapsed="false">
      <c r="B300" s="15"/>
      <c r="C300" s="14"/>
      <c r="D300" s="14"/>
      <c r="E300" s="22"/>
      <c r="F300" s="22"/>
    </row>
    <row r="301" customFormat="false" ht="14.25" hidden="false" customHeight="false" outlineLevel="0" collapsed="false">
      <c r="B301" s="15"/>
      <c r="C301" s="14"/>
      <c r="D301" s="14"/>
      <c r="E301" s="22"/>
      <c r="F301" s="22"/>
    </row>
    <row r="302" customFormat="false" ht="14.25" hidden="false" customHeight="false" outlineLevel="0" collapsed="false">
      <c r="B302" s="15"/>
      <c r="C302" s="14"/>
      <c r="D302" s="14"/>
      <c r="E302" s="22"/>
      <c r="F302" s="22"/>
    </row>
    <row r="303" customFormat="false" ht="14.25" hidden="false" customHeight="false" outlineLevel="0" collapsed="false">
      <c r="B303" s="15"/>
      <c r="C303" s="14"/>
      <c r="D303" s="14"/>
      <c r="E303" s="22"/>
      <c r="F303" s="22"/>
    </row>
    <row r="304" customFormat="false" ht="14.25" hidden="false" customHeight="false" outlineLevel="0" collapsed="false">
      <c r="B304" s="15"/>
      <c r="C304" s="14"/>
      <c r="D304" s="14"/>
      <c r="E304" s="22"/>
      <c r="F304" s="22"/>
    </row>
    <row r="305" customFormat="false" ht="14.25" hidden="false" customHeight="false" outlineLevel="0" collapsed="false">
      <c r="B305" s="15"/>
      <c r="C305" s="14"/>
      <c r="D305" s="14"/>
      <c r="E305" s="22"/>
      <c r="F305" s="22"/>
    </row>
    <row r="306" customFormat="false" ht="14.25" hidden="false" customHeight="false" outlineLevel="0" collapsed="false">
      <c r="B306" s="15"/>
      <c r="C306" s="14"/>
      <c r="D306" s="14"/>
      <c r="E306" s="22"/>
      <c r="F306" s="22"/>
    </row>
    <row r="307" customFormat="false" ht="14.25" hidden="false" customHeight="false" outlineLevel="0" collapsed="false">
      <c r="B307" s="15"/>
      <c r="C307" s="14"/>
      <c r="D307" s="14"/>
      <c r="E307" s="22"/>
      <c r="F307" s="22"/>
    </row>
    <row r="308" customFormat="false" ht="14.25" hidden="false" customHeight="false" outlineLevel="0" collapsed="false">
      <c r="B308" s="15"/>
      <c r="C308" s="14"/>
      <c r="D308" s="14"/>
      <c r="E308" s="22"/>
      <c r="F308" s="22"/>
    </row>
    <row r="309" customFormat="false" ht="14.25" hidden="false" customHeight="false" outlineLevel="0" collapsed="false">
      <c r="B309" s="15"/>
      <c r="C309" s="14"/>
      <c r="D309" s="14"/>
      <c r="E309" s="22"/>
      <c r="F309" s="22"/>
    </row>
    <row r="310" customFormat="false" ht="14.25" hidden="false" customHeight="false" outlineLevel="0" collapsed="false">
      <c r="B310" s="15"/>
      <c r="C310" s="14"/>
      <c r="D310" s="14"/>
      <c r="E310" s="22"/>
      <c r="F310" s="22"/>
    </row>
    <row r="311" customFormat="false" ht="14.25" hidden="false" customHeight="false" outlineLevel="0" collapsed="false">
      <c r="B311" s="15"/>
      <c r="C311" s="14"/>
      <c r="D311" s="14"/>
      <c r="E311" s="22"/>
      <c r="F311" s="22"/>
    </row>
    <row r="312" customFormat="false" ht="14.25" hidden="false" customHeight="false" outlineLevel="0" collapsed="false">
      <c r="B312" s="15"/>
      <c r="C312" s="14"/>
      <c r="D312" s="14"/>
      <c r="E312" s="22"/>
      <c r="F312" s="22"/>
    </row>
    <row r="313" customFormat="false" ht="14.25" hidden="false" customHeight="false" outlineLevel="0" collapsed="false">
      <c r="B313" s="15"/>
      <c r="C313" s="14"/>
      <c r="D313" s="14"/>
      <c r="E313" s="22"/>
      <c r="F313" s="22"/>
    </row>
    <row r="314" customFormat="false" ht="14.25" hidden="false" customHeight="false" outlineLevel="0" collapsed="false">
      <c r="B314" s="15"/>
      <c r="C314" s="14"/>
      <c r="D314" s="14"/>
      <c r="E314" s="22"/>
      <c r="F314" s="22"/>
    </row>
    <row r="315" customFormat="false" ht="14.25" hidden="false" customHeight="false" outlineLevel="0" collapsed="false">
      <c r="B315" s="15"/>
      <c r="C315" s="14"/>
      <c r="D315" s="14"/>
      <c r="E315" s="22"/>
      <c r="F315" s="22"/>
    </row>
    <row r="316" customFormat="false" ht="14.25" hidden="false" customHeight="false" outlineLevel="0" collapsed="false">
      <c r="B316" s="15"/>
      <c r="C316" s="14"/>
      <c r="D316" s="14"/>
      <c r="E316" s="22"/>
      <c r="F316" s="22"/>
    </row>
    <row r="317" customFormat="false" ht="14.25" hidden="false" customHeight="false" outlineLevel="0" collapsed="false">
      <c r="B317" s="15"/>
      <c r="C317" s="14"/>
      <c r="D317" s="14"/>
      <c r="E317" s="22"/>
      <c r="F317" s="22"/>
    </row>
    <row r="318" customFormat="false" ht="14.25" hidden="false" customHeight="false" outlineLevel="0" collapsed="false">
      <c r="B318" s="15"/>
      <c r="C318" s="14"/>
      <c r="D318" s="14"/>
      <c r="E318" s="22"/>
      <c r="F318" s="22"/>
    </row>
    <row r="319" customFormat="false" ht="14.25" hidden="false" customHeight="false" outlineLevel="0" collapsed="false">
      <c r="B319" s="15"/>
      <c r="C319" s="14"/>
      <c r="D319" s="14"/>
      <c r="E319" s="22"/>
      <c r="F319" s="22"/>
    </row>
    <row r="320" customFormat="false" ht="14.25" hidden="false" customHeight="false" outlineLevel="0" collapsed="false">
      <c r="B320" s="15"/>
      <c r="C320" s="14"/>
      <c r="D320" s="14"/>
      <c r="E320" s="22"/>
      <c r="F320" s="22"/>
    </row>
    <row r="321" customFormat="false" ht="14.25" hidden="false" customHeight="false" outlineLevel="0" collapsed="false">
      <c r="B321" s="15"/>
      <c r="C321" s="14"/>
      <c r="D321" s="14"/>
      <c r="E321" s="22"/>
      <c r="F321" s="22"/>
    </row>
    <row r="322" customFormat="false" ht="14.25" hidden="false" customHeight="false" outlineLevel="0" collapsed="false">
      <c r="B322" s="15"/>
      <c r="C322" s="14"/>
      <c r="D322" s="14"/>
      <c r="E322" s="22"/>
      <c r="F322" s="22"/>
    </row>
    <row r="323" customFormat="false" ht="14.25" hidden="false" customHeight="false" outlineLevel="0" collapsed="false">
      <c r="B323" s="15"/>
      <c r="C323" s="14"/>
      <c r="D323" s="14"/>
      <c r="E323" s="22"/>
      <c r="F323" s="22"/>
    </row>
    <row r="324" customFormat="false" ht="14.25" hidden="false" customHeight="false" outlineLevel="0" collapsed="false">
      <c r="B324" s="15"/>
      <c r="C324" s="14"/>
      <c r="D324" s="14"/>
      <c r="E324" s="22"/>
      <c r="F324" s="22"/>
    </row>
    <row r="325" customFormat="false" ht="14.25" hidden="false" customHeight="false" outlineLevel="0" collapsed="false">
      <c r="B325" s="15"/>
      <c r="C325" s="14"/>
      <c r="D325" s="14"/>
      <c r="E325" s="22"/>
      <c r="F325" s="22"/>
    </row>
    <row r="326" customFormat="false" ht="14.25" hidden="false" customHeight="false" outlineLevel="0" collapsed="false">
      <c r="B326" s="15"/>
      <c r="C326" s="14"/>
      <c r="D326" s="14"/>
      <c r="E326" s="22"/>
      <c r="F326" s="22"/>
    </row>
    <row r="327" customFormat="false" ht="14.25" hidden="false" customHeight="false" outlineLevel="0" collapsed="false">
      <c r="B327" s="15"/>
      <c r="C327" s="14"/>
      <c r="D327" s="14"/>
      <c r="E327" s="22"/>
      <c r="F327" s="22"/>
    </row>
    <row r="328" customFormat="false" ht="14.25" hidden="false" customHeight="false" outlineLevel="0" collapsed="false">
      <c r="B328" s="15"/>
      <c r="C328" s="14"/>
      <c r="D328" s="14"/>
      <c r="E328" s="22"/>
      <c r="F328" s="22"/>
    </row>
    <row r="329" customFormat="false" ht="14.25" hidden="false" customHeight="false" outlineLevel="0" collapsed="false">
      <c r="B329" s="15"/>
      <c r="C329" s="14"/>
      <c r="D329" s="14"/>
      <c r="E329" s="22"/>
      <c r="F329" s="22"/>
    </row>
    <row r="330" customFormat="false" ht="14.25" hidden="false" customHeight="false" outlineLevel="0" collapsed="false">
      <c r="B330" s="15"/>
      <c r="C330" s="14"/>
      <c r="D330" s="14"/>
      <c r="E330" s="22"/>
      <c r="F330" s="22"/>
    </row>
    <row r="331" customFormat="false" ht="14.25" hidden="false" customHeight="false" outlineLevel="0" collapsed="false">
      <c r="B331" s="15"/>
      <c r="C331" s="14"/>
      <c r="D331" s="14"/>
      <c r="E331" s="22"/>
      <c r="F331" s="22"/>
    </row>
    <row r="332" customFormat="false" ht="14.25" hidden="false" customHeight="false" outlineLevel="0" collapsed="false">
      <c r="B332" s="15"/>
      <c r="C332" s="14"/>
      <c r="D332" s="14"/>
      <c r="E332" s="22"/>
      <c r="F332" s="22"/>
    </row>
    <row r="333" customFormat="false" ht="14.25" hidden="false" customHeight="false" outlineLevel="0" collapsed="false">
      <c r="B333" s="15"/>
      <c r="C333" s="14"/>
      <c r="D333" s="14"/>
      <c r="E333" s="22"/>
      <c r="F333" s="22"/>
    </row>
    <row r="334" customFormat="false" ht="14.25" hidden="false" customHeight="false" outlineLevel="0" collapsed="false">
      <c r="B334" s="15"/>
      <c r="C334" s="14"/>
      <c r="D334" s="14"/>
      <c r="E334" s="22"/>
      <c r="F334" s="22"/>
    </row>
    <row r="335" customFormat="false" ht="14.25" hidden="false" customHeight="false" outlineLevel="0" collapsed="false">
      <c r="B335" s="15"/>
      <c r="C335" s="14"/>
      <c r="D335" s="14"/>
      <c r="E335" s="22"/>
      <c r="F335" s="22"/>
    </row>
    <row r="336" customFormat="false" ht="14.25" hidden="false" customHeight="false" outlineLevel="0" collapsed="false">
      <c r="B336" s="15"/>
      <c r="C336" s="14"/>
      <c r="D336" s="14"/>
      <c r="E336" s="22"/>
      <c r="F336" s="22"/>
    </row>
    <row r="337" customFormat="false" ht="14.25" hidden="false" customHeight="false" outlineLevel="0" collapsed="false">
      <c r="B337" s="15"/>
      <c r="C337" s="14"/>
      <c r="D337" s="14"/>
      <c r="E337" s="22"/>
      <c r="F337" s="22"/>
    </row>
    <row r="338" customFormat="false" ht="14.25" hidden="false" customHeight="false" outlineLevel="0" collapsed="false">
      <c r="B338" s="15"/>
      <c r="C338" s="14"/>
      <c r="D338" s="14"/>
      <c r="E338" s="22"/>
      <c r="F338" s="22"/>
    </row>
    <row r="339" customFormat="false" ht="14.25" hidden="false" customHeight="false" outlineLevel="0" collapsed="false">
      <c r="B339" s="15"/>
      <c r="C339" s="14"/>
      <c r="D339" s="14"/>
      <c r="E339" s="22"/>
      <c r="F339" s="22"/>
    </row>
    <row r="340" customFormat="false" ht="14.25" hidden="false" customHeight="false" outlineLevel="0" collapsed="false">
      <c r="B340" s="15"/>
      <c r="C340" s="14"/>
      <c r="D340" s="14"/>
      <c r="E340" s="22"/>
      <c r="F340" s="22"/>
    </row>
    <row r="341" customFormat="false" ht="14.25" hidden="false" customHeight="false" outlineLevel="0" collapsed="false">
      <c r="B341" s="15"/>
      <c r="C341" s="14"/>
      <c r="D341" s="14"/>
      <c r="E341" s="22"/>
      <c r="F341" s="22"/>
    </row>
    <row r="342" customFormat="false" ht="14.25" hidden="false" customHeight="false" outlineLevel="0" collapsed="false">
      <c r="B342" s="15"/>
      <c r="C342" s="14"/>
      <c r="D342" s="14"/>
      <c r="E342" s="22"/>
      <c r="F342" s="22"/>
    </row>
    <row r="343" customFormat="false" ht="14.25" hidden="false" customHeight="false" outlineLevel="0" collapsed="false">
      <c r="B343" s="15"/>
      <c r="C343" s="14"/>
      <c r="D343" s="14"/>
      <c r="E343" s="22"/>
      <c r="F343" s="22"/>
    </row>
    <row r="344" customFormat="false" ht="14.25" hidden="false" customHeight="false" outlineLevel="0" collapsed="false">
      <c r="B344" s="15"/>
      <c r="C344" s="14"/>
      <c r="D344" s="14"/>
      <c r="E344" s="22"/>
      <c r="F344" s="22"/>
    </row>
    <row r="345" customFormat="false" ht="14.25" hidden="false" customHeight="false" outlineLevel="0" collapsed="false">
      <c r="B345" s="15"/>
      <c r="C345" s="14"/>
      <c r="D345" s="14"/>
      <c r="E345" s="22"/>
      <c r="F345" s="22"/>
    </row>
    <row r="346" customFormat="false" ht="14.25" hidden="false" customHeight="false" outlineLevel="0" collapsed="false">
      <c r="B346" s="15"/>
      <c r="C346" s="14"/>
      <c r="D346" s="14"/>
      <c r="E346" s="22"/>
      <c r="F346" s="22"/>
    </row>
    <row r="347" customFormat="false" ht="14.25" hidden="false" customHeight="false" outlineLevel="0" collapsed="false">
      <c r="B347" s="15"/>
      <c r="C347" s="14"/>
      <c r="D347" s="14"/>
      <c r="E347" s="22"/>
      <c r="F347" s="22"/>
    </row>
    <row r="348" customFormat="false" ht="14.25" hidden="false" customHeight="false" outlineLevel="0" collapsed="false">
      <c r="B348" s="15"/>
      <c r="C348" s="14"/>
      <c r="D348" s="14"/>
      <c r="E348" s="22"/>
      <c r="F348" s="22"/>
    </row>
    <row r="349" customFormat="false" ht="14.25" hidden="false" customHeight="false" outlineLevel="0" collapsed="false">
      <c r="B349" s="15"/>
      <c r="C349" s="14"/>
      <c r="D349" s="14"/>
      <c r="E349" s="22"/>
      <c r="F349" s="22"/>
    </row>
    <row r="350" customFormat="false" ht="14.25" hidden="false" customHeight="false" outlineLevel="0" collapsed="false">
      <c r="B350" s="15"/>
      <c r="C350" s="14"/>
      <c r="D350" s="14"/>
      <c r="E350" s="22"/>
      <c r="F350" s="22"/>
    </row>
    <row r="351" customFormat="false" ht="14.25" hidden="false" customHeight="false" outlineLevel="0" collapsed="false">
      <c r="B351" s="15"/>
      <c r="C351" s="14"/>
      <c r="D351" s="14"/>
      <c r="E351" s="22"/>
      <c r="F351" s="22"/>
    </row>
    <row r="352" customFormat="false" ht="14.25" hidden="false" customHeight="false" outlineLevel="0" collapsed="false">
      <c r="B352" s="15"/>
      <c r="C352" s="14"/>
      <c r="D352" s="14"/>
      <c r="E352" s="22"/>
      <c r="F352" s="22"/>
    </row>
    <row r="353" customFormat="false" ht="14.25" hidden="false" customHeight="false" outlineLevel="0" collapsed="false">
      <c r="B353" s="15"/>
      <c r="C353" s="14"/>
      <c r="D353" s="14"/>
      <c r="E353" s="22"/>
      <c r="F353" s="22"/>
    </row>
    <row r="354" customFormat="false" ht="14.25" hidden="false" customHeight="false" outlineLevel="0" collapsed="false">
      <c r="B354" s="15"/>
      <c r="C354" s="14"/>
      <c r="D354" s="14"/>
      <c r="E354" s="22"/>
      <c r="F354" s="22"/>
    </row>
    <row r="355" customFormat="false" ht="14.25" hidden="false" customHeight="false" outlineLevel="0" collapsed="false">
      <c r="B355" s="15"/>
      <c r="C355" s="14"/>
      <c r="D355" s="14"/>
      <c r="E355" s="22"/>
      <c r="F355" s="22"/>
    </row>
    <row r="356" customFormat="false" ht="14.25" hidden="false" customHeight="false" outlineLevel="0" collapsed="false">
      <c r="B356" s="15"/>
      <c r="C356" s="14"/>
      <c r="D356" s="14"/>
      <c r="E356" s="22"/>
      <c r="F356" s="22"/>
    </row>
    <row r="357" customFormat="false" ht="14.25" hidden="false" customHeight="false" outlineLevel="0" collapsed="false">
      <c r="B357" s="15"/>
      <c r="C357" s="14"/>
      <c r="D357" s="14"/>
      <c r="E357" s="22"/>
      <c r="F357" s="22"/>
    </row>
    <row r="358" customFormat="false" ht="14.25" hidden="false" customHeight="false" outlineLevel="0" collapsed="false">
      <c r="B358" s="15"/>
      <c r="C358" s="14"/>
      <c r="D358" s="14"/>
      <c r="E358" s="22"/>
      <c r="F358" s="22"/>
    </row>
    <row r="359" customFormat="false" ht="14.25" hidden="false" customHeight="false" outlineLevel="0" collapsed="false">
      <c r="B359" s="15"/>
      <c r="C359" s="14"/>
      <c r="D359" s="14"/>
      <c r="E359" s="22"/>
      <c r="F359" s="22"/>
    </row>
    <row r="360" customFormat="false" ht="14.25" hidden="false" customHeight="false" outlineLevel="0" collapsed="false">
      <c r="B360" s="15"/>
      <c r="C360" s="14"/>
      <c r="D360" s="14"/>
      <c r="E360" s="22"/>
      <c r="F360" s="22"/>
    </row>
    <row r="361" customFormat="false" ht="14.25" hidden="false" customHeight="false" outlineLevel="0" collapsed="false">
      <c r="B361" s="15"/>
      <c r="C361" s="14"/>
      <c r="D361" s="14"/>
      <c r="E361" s="22"/>
      <c r="F361" s="22"/>
    </row>
    <row r="362" customFormat="false" ht="14.25" hidden="false" customHeight="false" outlineLevel="0" collapsed="false">
      <c r="B362" s="15"/>
      <c r="C362" s="14"/>
      <c r="D362" s="14"/>
      <c r="E362" s="22"/>
      <c r="F362" s="22"/>
    </row>
    <row r="363" customFormat="false" ht="14.25" hidden="false" customHeight="false" outlineLevel="0" collapsed="false">
      <c r="B363" s="15"/>
      <c r="C363" s="14"/>
      <c r="D363" s="14"/>
      <c r="E363" s="22"/>
      <c r="F363" s="22"/>
    </row>
    <row r="364" customFormat="false" ht="14.25" hidden="false" customHeight="false" outlineLevel="0" collapsed="false">
      <c r="B364" s="15"/>
      <c r="C364" s="14"/>
      <c r="D364" s="14"/>
      <c r="E364" s="22"/>
      <c r="F364" s="22"/>
    </row>
    <row r="365" customFormat="false" ht="14.25" hidden="false" customHeight="false" outlineLevel="0" collapsed="false">
      <c r="B365" s="15"/>
      <c r="C365" s="14"/>
      <c r="D365" s="14"/>
      <c r="E365" s="22"/>
      <c r="F365" s="22"/>
    </row>
    <row r="366" customFormat="false" ht="14.25" hidden="false" customHeight="false" outlineLevel="0" collapsed="false">
      <c r="B366" s="15"/>
      <c r="C366" s="14"/>
      <c r="D366" s="14"/>
      <c r="E366" s="22"/>
      <c r="F366" s="22"/>
    </row>
    <row r="367" customFormat="false" ht="14.25" hidden="false" customHeight="false" outlineLevel="0" collapsed="false">
      <c r="B367" s="15"/>
      <c r="C367" s="14"/>
      <c r="D367" s="14"/>
      <c r="E367" s="22"/>
      <c r="F367" s="22"/>
    </row>
    <row r="368" customFormat="false" ht="14.25" hidden="false" customHeight="false" outlineLevel="0" collapsed="false">
      <c r="B368" s="15"/>
      <c r="C368" s="14"/>
      <c r="D368" s="14"/>
      <c r="E368" s="22"/>
      <c r="F368" s="22"/>
    </row>
    <row r="369" customFormat="false" ht="14.25" hidden="false" customHeight="false" outlineLevel="0" collapsed="false">
      <c r="B369" s="15"/>
      <c r="C369" s="14"/>
      <c r="D369" s="14"/>
      <c r="E369" s="22"/>
      <c r="F369" s="22"/>
    </row>
    <row r="370" customFormat="false" ht="14.25" hidden="false" customHeight="false" outlineLevel="0" collapsed="false">
      <c r="B370" s="15"/>
      <c r="C370" s="14"/>
      <c r="D370" s="14"/>
      <c r="E370" s="22"/>
      <c r="F370" s="22"/>
    </row>
    <row r="371" customFormat="false" ht="14.25" hidden="false" customHeight="false" outlineLevel="0" collapsed="false">
      <c r="B371" s="15"/>
      <c r="C371" s="14"/>
      <c r="D371" s="14"/>
      <c r="E371" s="22"/>
      <c r="F371" s="22"/>
    </row>
    <row r="372" customFormat="false" ht="14.25" hidden="false" customHeight="false" outlineLevel="0" collapsed="false">
      <c r="B372" s="15"/>
      <c r="C372" s="14"/>
      <c r="D372" s="14"/>
      <c r="E372" s="22"/>
      <c r="F372" s="22"/>
    </row>
    <row r="373" customFormat="false" ht="14.25" hidden="false" customHeight="false" outlineLevel="0" collapsed="false">
      <c r="B373" s="15"/>
      <c r="C373" s="14"/>
      <c r="D373" s="14"/>
      <c r="E373" s="22"/>
      <c r="F373" s="22"/>
    </row>
    <row r="374" customFormat="false" ht="14.25" hidden="false" customHeight="false" outlineLevel="0" collapsed="false">
      <c r="B374" s="15"/>
      <c r="C374" s="14"/>
      <c r="D374" s="14"/>
      <c r="E374" s="22"/>
      <c r="F374" s="22"/>
    </row>
    <row r="375" customFormat="false" ht="14.25" hidden="false" customHeight="false" outlineLevel="0" collapsed="false">
      <c r="B375" s="15"/>
      <c r="C375" s="14"/>
      <c r="D375" s="14"/>
      <c r="E375" s="22"/>
      <c r="F375" s="22"/>
    </row>
    <row r="376" customFormat="false" ht="14.25" hidden="false" customHeight="false" outlineLevel="0" collapsed="false">
      <c r="B376" s="15"/>
      <c r="C376" s="14"/>
      <c r="D376" s="14"/>
      <c r="E376" s="22"/>
      <c r="F376" s="22"/>
    </row>
    <row r="377" customFormat="false" ht="14.25" hidden="false" customHeight="false" outlineLevel="0" collapsed="false">
      <c r="B377" s="15"/>
      <c r="C377" s="14"/>
      <c r="D377" s="14"/>
      <c r="E377" s="22"/>
      <c r="F377" s="22"/>
    </row>
    <row r="378" customFormat="false" ht="14.25" hidden="false" customHeight="false" outlineLevel="0" collapsed="false">
      <c r="B378" s="15"/>
      <c r="C378" s="14"/>
      <c r="D378" s="14"/>
      <c r="E378" s="22"/>
      <c r="F378" s="22"/>
    </row>
    <row r="379" customFormat="false" ht="14.25" hidden="false" customHeight="false" outlineLevel="0" collapsed="false">
      <c r="B379" s="15"/>
      <c r="C379" s="14"/>
      <c r="D379" s="14"/>
      <c r="E379" s="22"/>
      <c r="F379" s="22"/>
    </row>
    <row r="380" customFormat="false" ht="14.25" hidden="false" customHeight="false" outlineLevel="0" collapsed="false">
      <c r="B380" s="15"/>
      <c r="C380" s="14"/>
      <c r="D380" s="14"/>
      <c r="E380" s="22"/>
      <c r="F380" s="22"/>
    </row>
    <row r="381" customFormat="false" ht="14.25" hidden="false" customHeight="false" outlineLevel="0" collapsed="false">
      <c r="B381" s="15"/>
      <c r="C381" s="14"/>
      <c r="D381" s="14"/>
      <c r="E381" s="22"/>
      <c r="F381" s="22"/>
    </row>
    <row r="382" customFormat="false" ht="14.25" hidden="false" customHeight="false" outlineLevel="0" collapsed="false">
      <c r="B382" s="15"/>
      <c r="C382" s="14"/>
      <c r="D382" s="14"/>
      <c r="E382" s="22"/>
      <c r="F382" s="22"/>
    </row>
    <row r="383" customFormat="false" ht="14.25" hidden="false" customHeight="false" outlineLevel="0" collapsed="false">
      <c r="B383" s="15"/>
      <c r="C383" s="14"/>
      <c r="D383" s="14"/>
      <c r="E383" s="22"/>
      <c r="F383" s="22"/>
    </row>
    <row r="384" customFormat="false" ht="14.25" hidden="false" customHeight="false" outlineLevel="0" collapsed="false">
      <c r="B384" s="15"/>
      <c r="C384" s="14"/>
      <c r="D384" s="14"/>
      <c r="E384" s="22"/>
      <c r="F384" s="22"/>
    </row>
    <row r="385" customFormat="false" ht="14.25" hidden="false" customHeight="false" outlineLevel="0" collapsed="false">
      <c r="B385" s="15"/>
      <c r="C385" s="14"/>
      <c r="D385" s="14"/>
      <c r="E385" s="22"/>
      <c r="F385" s="22"/>
    </row>
    <row r="386" customFormat="false" ht="14.25" hidden="false" customHeight="false" outlineLevel="0" collapsed="false">
      <c r="B386" s="15"/>
      <c r="C386" s="14"/>
      <c r="D386" s="14"/>
      <c r="E386" s="22"/>
      <c r="F386" s="22"/>
    </row>
    <row r="387" customFormat="false" ht="14.25" hidden="false" customHeight="false" outlineLevel="0" collapsed="false">
      <c r="B387" s="15"/>
      <c r="C387" s="14"/>
      <c r="D387" s="14"/>
      <c r="E387" s="22"/>
      <c r="F387" s="22"/>
    </row>
    <row r="388" customFormat="false" ht="14.25" hidden="false" customHeight="false" outlineLevel="0" collapsed="false">
      <c r="B388" s="15"/>
      <c r="C388" s="14"/>
      <c r="D388" s="14"/>
      <c r="E388" s="22"/>
      <c r="F388" s="22"/>
    </row>
    <row r="389" customFormat="false" ht="14.25" hidden="false" customHeight="false" outlineLevel="0" collapsed="false">
      <c r="B389" s="15"/>
      <c r="C389" s="14"/>
      <c r="D389" s="14"/>
      <c r="E389" s="22"/>
      <c r="F389" s="22"/>
    </row>
    <row r="390" customFormat="false" ht="14.25" hidden="false" customHeight="false" outlineLevel="0" collapsed="false">
      <c r="B390" s="15"/>
      <c r="C390" s="14"/>
      <c r="D390" s="14"/>
      <c r="E390" s="22"/>
      <c r="F390" s="22"/>
    </row>
    <row r="391" customFormat="false" ht="14.25" hidden="false" customHeight="false" outlineLevel="0" collapsed="false">
      <c r="B391" s="15"/>
      <c r="C391" s="14"/>
      <c r="D391" s="14"/>
      <c r="E391" s="22"/>
      <c r="F391" s="22"/>
    </row>
    <row r="392" customFormat="false" ht="14.25" hidden="false" customHeight="false" outlineLevel="0" collapsed="false">
      <c r="B392" s="15"/>
      <c r="C392" s="14"/>
      <c r="D392" s="14"/>
      <c r="E392" s="22"/>
      <c r="F392" s="22"/>
    </row>
    <row r="393" customFormat="false" ht="14.25" hidden="false" customHeight="false" outlineLevel="0" collapsed="false">
      <c r="B393" s="15"/>
      <c r="C393" s="14"/>
      <c r="D393" s="14"/>
      <c r="E393" s="22"/>
      <c r="F393" s="22"/>
    </row>
    <row r="394" customFormat="false" ht="14.25" hidden="false" customHeight="false" outlineLevel="0" collapsed="false">
      <c r="B394" s="15"/>
      <c r="C394" s="14"/>
      <c r="D394" s="14"/>
      <c r="E394" s="22"/>
      <c r="F394" s="22"/>
    </row>
    <row r="395" customFormat="false" ht="14.25" hidden="false" customHeight="false" outlineLevel="0" collapsed="false">
      <c r="B395" s="15"/>
      <c r="C395" s="14"/>
      <c r="D395" s="14"/>
      <c r="E395" s="22"/>
      <c r="F395" s="22"/>
    </row>
    <row r="396" customFormat="false" ht="14.25" hidden="false" customHeight="false" outlineLevel="0" collapsed="false">
      <c r="B396" s="15"/>
      <c r="C396" s="14"/>
      <c r="D396" s="14"/>
      <c r="E396" s="22"/>
      <c r="F396" s="22"/>
    </row>
    <row r="397" customFormat="false" ht="14.25" hidden="false" customHeight="false" outlineLevel="0" collapsed="false">
      <c r="B397" s="15"/>
      <c r="C397" s="14"/>
      <c r="D397" s="14"/>
      <c r="E397" s="22"/>
      <c r="F397" s="22"/>
    </row>
    <row r="398" customFormat="false" ht="14.25" hidden="false" customHeight="false" outlineLevel="0" collapsed="false">
      <c r="B398" s="15"/>
      <c r="C398" s="14"/>
      <c r="D398" s="14"/>
      <c r="E398" s="22"/>
      <c r="F398" s="22"/>
    </row>
    <row r="399" customFormat="false" ht="14.25" hidden="false" customHeight="false" outlineLevel="0" collapsed="false">
      <c r="B399" s="15"/>
      <c r="C399" s="14"/>
      <c r="D399" s="14"/>
      <c r="E399" s="22"/>
      <c r="F399" s="22"/>
    </row>
    <row r="400" customFormat="false" ht="14.25" hidden="false" customHeight="false" outlineLevel="0" collapsed="false">
      <c r="B400" s="15"/>
      <c r="C400" s="14"/>
      <c r="D400" s="14"/>
      <c r="E400" s="22"/>
      <c r="F400" s="22"/>
    </row>
    <row r="401" customFormat="false" ht="14.25" hidden="false" customHeight="false" outlineLevel="0" collapsed="false">
      <c r="B401" s="15"/>
      <c r="C401" s="14"/>
      <c r="D401" s="14"/>
      <c r="E401" s="22"/>
      <c r="F401" s="22"/>
    </row>
    <row r="402" customFormat="false" ht="14.25" hidden="false" customHeight="false" outlineLevel="0" collapsed="false">
      <c r="B402" s="15"/>
      <c r="C402" s="14"/>
      <c r="D402" s="14"/>
      <c r="E402" s="22"/>
      <c r="F402" s="22"/>
    </row>
    <row r="403" customFormat="false" ht="14.25" hidden="false" customHeight="false" outlineLevel="0" collapsed="false">
      <c r="B403" s="15"/>
      <c r="C403" s="14"/>
      <c r="D403" s="14"/>
      <c r="E403" s="22"/>
      <c r="F403" s="22"/>
    </row>
    <row r="404" customFormat="false" ht="14.25" hidden="false" customHeight="false" outlineLevel="0" collapsed="false">
      <c r="B404" s="15"/>
      <c r="C404" s="14"/>
      <c r="D404" s="14"/>
      <c r="E404" s="22"/>
      <c r="F404" s="22"/>
    </row>
    <row r="405" customFormat="false" ht="14.25" hidden="false" customHeight="false" outlineLevel="0" collapsed="false">
      <c r="B405" s="15"/>
      <c r="C405" s="14"/>
      <c r="D405" s="14"/>
      <c r="E405" s="22"/>
      <c r="F405" s="22"/>
    </row>
    <row r="406" customFormat="false" ht="14.25" hidden="false" customHeight="false" outlineLevel="0" collapsed="false">
      <c r="B406" s="15"/>
      <c r="C406" s="14"/>
      <c r="D406" s="14"/>
      <c r="E406" s="22"/>
      <c r="F406" s="22"/>
    </row>
    <row r="407" customFormat="false" ht="14.25" hidden="false" customHeight="false" outlineLevel="0" collapsed="false">
      <c r="B407" s="15"/>
      <c r="C407" s="14"/>
      <c r="D407" s="14"/>
      <c r="E407" s="22"/>
      <c r="F407" s="22"/>
    </row>
    <row r="408" customFormat="false" ht="14.25" hidden="false" customHeight="false" outlineLevel="0" collapsed="false">
      <c r="B408" s="15"/>
      <c r="C408" s="14"/>
      <c r="D408" s="14"/>
      <c r="E408" s="22"/>
      <c r="F408" s="22"/>
    </row>
    <row r="409" customFormat="false" ht="14.25" hidden="false" customHeight="false" outlineLevel="0" collapsed="false">
      <c r="B409" s="15"/>
      <c r="C409" s="14"/>
      <c r="D409" s="14"/>
      <c r="E409" s="22"/>
      <c r="F409" s="22"/>
    </row>
    <row r="410" customFormat="false" ht="14.25" hidden="false" customHeight="false" outlineLevel="0" collapsed="false">
      <c r="B410" s="15"/>
      <c r="C410" s="14"/>
      <c r="D410" s="14"/>
      <c r="E410" s="22"/>
      <c r="F410" s="22"/>
    </row>
    <row r="411" customFormat="false" ht="14.25" hidden="false" customHeight="false" outlineLevel="0" collapsed="false">
      <c r="B411" s="15"/>
      <c r="C411" s="14"/>
      <c r="D411" s="14"/>
      <c r="E411" s="22"/>
      <c r="F411" s="22"/>
    </row>
    <row r="412" customFormat="false" ht="14.25" hidden="false" customHeight="false" outlineLevel="0" collapsed="false">
      <c r="B412" s="15"/>
      <c r="C412" s="14"/>
      <c r="D412" s="14"/>
      <c r="E412" s="22"/>
      <c r="F412" s="22"/>
    </row>
    <row r="413" customFormat="false" ht="14.25" hidden="false" customHeight="false" outlineLevel="0" collapsed="false">
      <c r="B413" s="15"/>
      <c r="C413" s="14"/>
      <c r="D413" s="14"/>
      <c r="E413" s="22"/>
      <c r="F413" s="22"/>
    </row>
    <row r="414" customFormat="false" ht="14.25" hidden="false" customHeight="false" outlineLevel="0" collapsed="false">
      <c r="B414" s="15"/>
      <c r="C414" s="14"/>
      <c r="D414" s="14"/>
      <c r="E414" s="22"/>
      <c r="F414" s="22"/>
    </row>
    <row r="415" customFormat="false" ht="14.25" hidden="false" customHeight="false" outlineLevel="0" collapsed="false">
      <c r="B415" s="15"/>
      <c r="C415" s="14"/>
      <c r="D415" s="14"/>
      <c r="E415" s="22"/>
      <c r="F415" s="22"/>
    </row>
    <row r="416" customFormat="false" ht="14.25" hidden="false" customHeight="false" outlineLevel="0" collapsed="false">
      <c r="B416" s="15"/>
      <c r="C416" s="14"/>
      <c r="D416" s="14"/>
      <c r="E416" s="22"/>
      <c r="F416" s="22"/>
    </row>
    <row r="417" customFormat="false" ht="14.25" hidden="false" customHeight="false" outlineLevel="0" collapsed="false">
      <c r="B417" s="15"/>
      <c r="C417" s="14"/>
      <c r="D417" s="14"/>
      <c r="E417" s="22"/>
      <c r="F417" s="22"/>
    </row>
    <row r="418" customFormat="false" ht="14.25" hidden="false" customHeight="false" outlineLevel="0" collapsed="false">
      <c r="B418" s="15"/>
      <c r="C418" s="14"/>
      <c r="D418" s="14"/>
      <c r="E418" s="22"/>
      <c r="F418" s="22"/>
    </row>
    <row r="419" customFormat="false" ht="14.25" hidden="false" customHeight="false" outlineLevel="0" collapsed="false">
      <c r="B419" s="15"/>
      <c r="C419" s="14"/>
      <c r="D419" s="14"/>
      <c r="E419" s="22"/>
      <c r="F419" s="22"/>
    </row>
    <row r="420" customFormat="false" ht="14.25" hidden="false" customHeight="false" outlineLevel="0" collapsed="false">
      <c r="B420" s="15"/>
      <c r="C420" s="14"/>
      <c r="D420" s="14"/>
      <c r="E420" s="22"/>
      <c r="F420" s="22"/>
    </row>
    <row r="421" customFormat="false" ht="14.25" hidden="false" customHeight="false" outlineLevel="0" collapsed="false">
      <c r="B421" s="15"/>
      <c r="C421" s="14"/>
      <c r="D421" s="14"/>
      <c r="E421" s="22"/>
      <c r="F421" s="22"/>
    </row>
    <row r="422" customFormat="false" ht="14.25" hidden="false" customHeight="false" outlineLevel="0" collapsed="false">
      <c r="B422" s="15"/>
      <c r="C422" s="14"/>
      <c r="D422" s="14"/>
      <c r="E422" s="22"/>
      <c r="F422" s="22"/>
    </row>
    <row r="423" customFormat="false" ht="14.25" hidden="false" customHeight="false" outlineLevel="0" collapsed="false">
      <c r="B423" s="15"/>
      <c r="C423" s="14"/>
      <c r="D423" s="14"/>
      <c r="E423" s="22"/>
      <c r="F423" s="22"/>
    </row>
    <row r="424" customFormat="false" ht="14.25" hidden="false" customHeight="false" outlineLevel="0" collapsed="false">
      <c r="B424" s="15"/>
      <c r="C424" s="14"/>
      <c r="D424" s="14"/>
      <c r="E424" s="22"/>
      <c r="F424" s="22"/>
    </row>
    <row r="425" customFormat="false" ht="14.25" hidden="false" customHeight="false" outlineLevel="0" collapsed="false">
      <c r="B425" s="15"/>
      <c r="C425" s="14"/>
      <c r="D425" s="14"/>
      <c r="E425" s="22"/>
      <c r="F425" s="22"/>
    </row>
    <row r="426" customFormat="false" ht="14.25" hidden="false" customHeight="false" outlineLevel="0" collapsed="false">
      <c r="B426" s="15"/>
      <c r="C426" s="14"/>
      <c r="D426" s="14"/>
      <c r="E426" s="22"/>
      <c r="F426" s="22"/>
    </row>
    <row r="427" customFormat="false" ht="14.25" hidden="false" customHeight="false" outlineLevel="0" collapsed="false">
      <c r="B427" s="15"/>
      <c r="C427" s="14"/>
      <c r="D427" s="14"/>
      <c r="E427" s="22"/>
      <c r="F427" s="22"/>
    </row>
    <row r="428" customFormat="false" ht="14.25" hidden="false" customHeight="false" outlineLevel="0" collapsed="false">
      <c r="B428" s="15"/>
      <c r="C428" s="14"/>
      <c r="D428" s="14"/>
      <c r="E428" s="22"/>
      <c r="F428" s="22"/>
    </row>
    <row r="429" customFormat="false" ht="14.25" hidden="false" customHeight="false" outlineLevel="0" collapsed="false">
      <c r="B429" s="15"/>
      <c r="C429" s="14"/>
      <c r="D429" s="14"/>
      <c r="E429" s="22"/>
      <c r="F429" s="22"/>
    </row>
    <row r="430" customFormat="false" ht="14.25" hidden="false" customHeight="false" outlineLevel="0" collapsed="false">
      <c r="B430" s="15"/>
      <c r="C430" s="14"/>
      <c r="D430" s="14"/>
      <c r="E430" s="22"/>
      <c r="F430" s="22"/>
    </row>
    <row r="431" customFormat="false" ht="14.25" hidden="false" customHeight="false" outlineLevel="0" collapsed="false">
      <c r="B431" s="15"/>
      <c r="C431" s="14"/>
      <c r="D431" s="14"/>
      <c r="E431" s="22"/>
      <c r="F431" s="22"/>
    </row>
    <row r="432" customFormat="false" ht="14.25" hidden="false" customHeight="false" outlineLevel="0" collapsed="false">
      <c r="B432" s="15"/>
      <c r="C432" s="14"/>
      <c r="D432" s="14"/>
      <c r="E432" s="22"/>
      <c r="F432" s="22"/>
    </row>
    <row r="433" customFormat="false" ht="14.25" hidden="false" customHeight="false" outlineLevel="0" collapsed="false">
      <c r="B433" s="15"/>
      <c r="C433" s="14"/>
      <c r="D433" s="14"/>
      <c r="E433" s="22"/>
      <c r="F433" s="22"/>
    </row>
    <row r="434" customFormat="false" ht="14.25" hidden="false" customHeight="false" outlineLevel="0" collapsed="false">
      <c r="B434" s="15"/>
      <c r="C434" s="14"/>
      <c r="D434" s="14"/>
      <c r="E434" s="22"/>
      <c r="F434" s="22"/>
    </row>
    <row r="435" customFormat="false" ht="14.25" hidden="false" customHeight="false" outlineLevel="0" collapsed="false">
      <c r="B435" s="15"/>
      <c r="C435" s="14"/>
      <c r="D435" s="14"/>
      <c r="E435" s="22"/>
      <c r="F435" s="22"/>
    </row>
    <row r="436" customFormat="false" ht="14.25" hidden="false" customHeight="false" outlineLevel="0" collapsed="false">
      <c r="B436" s="15"/>
      <c r="C436" s="14"/>
      <c r="D436" s="14"/>
      <c r="E436" s="22"/>
      <c r="F436" s="22"/>
    </row>
    <row r="437" customFormat="false" ht="14.25" hidden="false" customHeight="false" outlineLevel="0" collapsed="false">
      <c r="B437" s="15"/>
      <c r="C437" s="14"/>
      <c r="D437" s="14"/>
      <c r="E437" s="22"/>
      <c r="F437" s="22"/>
    </row>
    <row r="438" customFormat="false" ht="14.25" hidden="false" customHeight="false" outlineLevel="0" collapsed="false">
      <c r="B438" s="15"/>
      <c r="C438" s="14"/>
      <c r="D438" s="14"/>
      <c r="E438" s="22"/>
      <c r="F438" s="22"/>
    </row>
    <row r="439" customFormat="false" ht="14.25" hidden="false" customHeight="false" outlineLevel="0" collapsed="false">
      <c r="B439" s="15"/>
      <c r="C439" s="14"/>
      <c r="D439" s="14"/>
      <c r="E439" s="22"/>
      <c r="F439" s="22"/>
    </row>
    <row r="440" customFormat="false" ht="14.25" hidden="false" customHeight="false" outlineLevel="0" collapsed="false">
      <c r="B440" s="15"/>
      <c r="C440" s="14"/>
      <c r="D440" s="14"/>
      <c r="E440" s="22"/>
      <c r="F440" s="22"/>
    </row>
    <row r="441" customFormat="false" ht="14.25" hidden="false" customHeight="false" outlineLevel="0" collapsed="false">
      <c r="B441" s="15"/>
      <c r="C441" s="14"/>
      <c r="D441" s="14"/>
      <c r="E441" s="22"/>
      <c r="F441" s="22"/>
    </row>
    <row r="442" customFormat="false" ht="14.25" hidden="false" customHeight="false" outlineLevel="0" collapsed="false">
      <c r="B442" s="15"/>
      <c r="C442" s="14"/>
      <c r="D442" s="14"/>
      <c r="E442" s="22"/>
      <c r="F442" s="2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D2" activeCellId="0" sqref="D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3" width="8.88"/>
    <col collapsed="false" customWidth="true" hidden="false" outlineLevel="0" max="2" min="2" style="3" width="13.34"/>
    <col collapsed="false" customWidth="true" hidden="false" outlineLevel="0" max="3" min="3" style="3" width="15.66"/>
    <col collapsed="false" customWidth="true" hidden="false" outlineLevel="0" max="4" min="4" style="3" width="15.33"/>
    <col collapsed="false" customWidth="true" hidden="false" outlineLevel="0" max="6" min="6" style="3" width="13.34"/>
    <col collapsed="false" customWidth="true" hidden="false" outlineLevel="0" max="7" min="7" style="3" width="8.88"/>
    <col collapsed="false" customWidth="true" hidden="false" outlineLevel="0" max="8" min="8" style="3" width="15.66"/>
    <col collapsed="false" customWidth="true" hidden="false" outlineLevel="0" max="9" min="9" style="3" width="15.33"/>
    <col collapsed="false" customWidth="true" hidden="false" outlineLevel="0" max="11" min="11" style="3" width="13.34"/>
    <col collapsed="false" customWidth="true" hidden="false" outlineLevel="0" max="12" min="12" style="3" width="8.88"/>
    <col collapsed="false" customWidth="true" hidden="false" outlineLevel="0" max="13" min="13" style="3" width="15.66"/>
    <col collapsed="false" customWidth="true" hidden="false" outlineLevel="0" max="14" min="14" style="3" width="15.33"/>
    <col collapsed="false" customWidth="true" hidden="false" outlineLevel="0" max="15" min="15" style="3" width="11.56"/>
    <col collapsed="false" customWidth="true" hidden="false" outlineLevel="0" max="16" min="16" style="3" width="15.66"/>
    <col collapsed="false" customWidth="true" hidden="false" outlineLevel="0" max="17" min="17" style="3" width="15.33"/>
  </cols>
  <sheetData>
    <row r="1" customFormat="false" ht="14.25" hidden="false" customHeight="false" outlineLevel="0" collapsed="false">
      <c r="A1" s="46" t="s">
        <v>61</v>
      </c>
      <c r="B1" s="46" t="s">
        <v>62</v>
      </c>
      <c r="C1" s="3" t="s">
        <v>63</v>
      </c>
      <c r="D1" s="3" t="s">
        <v>64</v>
      </c>
      <c r="F1" s="46" t="s">
        <v>62</v>
      </c>
      <c r="G1" s="46" t="s">
        <v>61</v>
      </c>
      <c r="H1" s="3" t="s">
        <v>63</v>
      </c>
      <c r="I1" s="3" t="s">
        <v>64</v>
      </c>
      <c r="K1" s="46" t="s">
        <v>62</v>
      </c>
      <c r="L1" s="46" t="s">
        <v>61</v>
      </c>
      <c r="M1" s="3" t="s">
        <v>63</v>
      </c>
      <c r="N1" s="3" t="s">
        <v>64</v>
      </c>
      <c r="P1" s="3" t="s">
        <v>63</v>
      </c>
      <c r="Q1" s="3" t="s">
        <v>64</v>
      </c>
    </row>
    <row r="2" customFormat="false" ht="14.25" hidden="false" customHeight="false" outlineLevel="0" collapsed="false">
      <c r="A2" s="47" t="n">
        <v>1</v>
      </c>
      <c r="B2" s="48" t="n">
        <v>16286882007</v>
      </c>
      <c r="C2" s="49" t="n">
        <v>182007</v>
      </c>
      <c r="D2" s="50" t="n">
        <v>25871</v>
      </c>
      <c r="F2" s="48" t="n">
        <v>16286802116</v>
      </c>
      <c r="G2" s="47" t="n">
        <v>13</v>
      </c>
      <c r="H2" s="49" t="n">
        <v>202116</v>
      </c>
      <c r="I2" s="50" t="n">
        <v>25031</v>
      </c>
      <c r="K2" s="48" t="n">
        <v>16286802116</v>
      </c>
      <c r="N2" s="50" t="n">
        <v>25031</v>
      </c>
      <c r="P2" s="49" t="n">
        <v>213074</v>
      </c>
      <c r="Q2" s="50" t="n">
        <v>25276</v>
      </c>
    </row>
    <row r="3" customFormat="false" ht="14.25" hidden="false" customHeight="false" outlineLevel="0" collapsed="false">
      <c r="A3" s="47" t="n">
        <v>2</v>
      </c>
      <c r="B3" s="48" t="n">
        <v>16286882103</v>
      </c>
      <c r="C3" s="49" t="n">
        <v>182103</v>
      </c>
      <c r="D3" s="50" t="n">
        <v>25367</v>
      </c>
      <c r="F3" s="48" t="n">
        <v>16286892472</v>
      </c>
      <c r="G3" s="47" t="n">
        <v>10</v>
      </c>
      <c r="H3" s="49" t="n">
        <v>192472</v>
      </c>
      <c r="I3" s="50" t="n">
        <v>25046</v>
      </c>
      <c r="K3" s="48" t="n">
        <v>16286892472</v>
      </c>
      <c r="L3" s="47" t="n">
        <v>10</v>
      </c>
      <c r="M3" s="49" t="n">
        <v>192472</v>
      </c>
      <c r="N3" s="50" t="n">
        <v>25046</v>
      </c>
      <c r="P3" s="49" t="n">
        <v>213097</v>
      </c>
      <c r="Q3" s="50" t="n">
        <v>25388</v>
      </c>
    </row>
    <row r="4" customFormat="false" ht="14.25" hidden="false" customHeight="false" outlineLevel="0" collapsed="false">
      <c r="A4" s="47" t="n">
        <v>3</v>
      </c>
      <c r="B4" s="48" t="n">
        <v>16286882231</v>
      </c>
      <c r="C4" s="49" t="n">
        <v>182231</v>
      </c>
      <c r="D4" s="50" t="n">
        <v>25195</v>
      </c>
      <c r="F4" s="48" t="n">
        <v>16286823404</v>
      </c>
      <c r="G4" s="47" t="n">
        <v>45</v>
      </c>
      <c r="H4" s="49" t="n">
        <v>223404</v>
      </c>
      <c r="I4" s="50" t="n">
        <v>25060</v>
      </c>
      <c r="K4" s="48" t="n">
        <v>16286823404</v>
      </c>
      <c r="L4" s="47" t="n">
        <v>45</v>
      </c>
      <c r="M4" s="49" t="n">
        <v>223404</v>
      </c>
      <c r="N4" s="50" t="n">
        <v>25060</v>
      </c>
      <c r="P4" s="49" t="n">
        <v>213117</v>
      </c>
      <c r="Q4" s="50" t="n">
        <v>25656</v>
      </c>
    </row>
    <row r="5" customFormat="false" ht="14.25" hidden="false" customHeight="false" outlineLevel="0" collapsed="false">
      <c r="A5" s="47" t="n">
        <v>4</v>
      </c>
      <c r="B5" s="48" t="n">
        <v>16286892010</v>
      </c>
      <c r="C5" s="49" t="n">
        <v>192010</v>
      </c>
      <c r="D5" s="50" t="n">
        <v>25283</v>
      </c>
      <c r="F5" s="48" t="n">
        <v>16286823215</v>
      </c>
      <c r="G5" s="47" t="n">
        <v>36</v>
      </c>
      <c r="H5" s="49" t="n">
        <v>223215</v>
      </c>
      <c r="I5" s="50" t="n">
        <v>25093</v>
      </c>
      <c r="K5" s="48" t="n">
        <v>16286823215</v>
      </c>
      <c r="L5" s="47" t="n">
        <v>36</v>
      </c>
      <c r="M5" s="49" t="n">
        <v>223215</v>
      </c>
      <c r="N5" s="50" t="n">
        <v>25093</v>
      </c>
      <c r="P5" s="49" t="n">
        <v>213129</v>
      </c>
      <c r="Q5" s="50" t="n">
        <v>25591</v>
      </c>
    </row>
    <row r="6" customFormat="false" ht="14.25" hidden="false" customHeight="false" outlineLevel="0" collapsed="false">
      <c r="A6" s="47" t="n">
        <v>5</v>
      </c>
      <c r="B6" s="48" t="n">
        <v>16286892072</v>
      </c>
      <c r="C6" s="49" t="n">
        <v>192072</v>
      </c>
      <c r="D6" s="50" t="n">
        <v>25800</v>
      </c>
      <c r="F6" s="48" t="n">
        <v>16286802290</v>
      </c>
      <c r="G6" s="47" t="n">
        <v>17</v>
      </c>
      <c r="H6" s="49" t="n">
        <v>202290</v>
      </c>
      <c r="I6" s="50" t="n">
        <v>25094</v>
      </c>
      <c r="K6" s="48" t="n">
        <v>16286802290</v>
      </c>
      <c r="N6" s="50" t="n">
        <v>25094</v>
      </c>
      <c r="P6" s="49" t="n">
        <v>213192</v>
      </c>
      <c r="Q6" s="50" t="n">
        <v>25927</v>
      </c>
    </row>
    <row r="7" customFormat="false" ht="14.25" hidden="false" customHeight="false" outlineLevel="0" collapsed="false">
      <c r="A7" s="47" t="n">
        <v>6</v>
      </c>
      <c r="B7" s="48" t="n">
        <v>16286892139</v>
      </c>
      <c r="C7" s="49" t="n">
        <v>192139</v>
      </c>
      <c r="D7" s="50" t="n">
        <v>25958</v>
      </c>
      <c r="F7" s="48" t="n">
        <v>16286823220</v>
      </c>
      <c r="G7" s="47" t="n">
        <v>37</v>
      </c>
      <c r="H7" s="49" t="n">
        <v>223220</v>
      </c>
      <c r="I7" s="50" t="n">
        <v>25167</v>
      </c>
      <c r="K7" s="48" t="n">
        <v>16286823220</v>
      </c>
      <c r="N7" s="50" t="n">
        <v>25167</v>
      </c>
      <c r="P7" s="49" t="n">
        <v>213254</v>
      </c>
      <c r="Q7" s="50" t="n">
        <v>25417</v>
      </c>
    </row>
    <row r="8" customFormat="false" ht="14.25" hidden="false" customHeight="false" outlineLevel="0" collapsed="false">
      <c r="A8" s="47" t="n">
        <v>7</v>
      </c>
      <c r="B8" s="48" t="n">
        <v>16286892193</v>
      </c>
      <c r="C8" s="49" t="n">
        <v>192193</v>
      </c>
      <c r="D8" s="50" t="n">
        <v>25232</v>
      </c>
      <c r="F8" s="48" t="n">
        <v>16286882231</v>
      </c>
      <c r="G8" s="47" t="n">
        <v>3</v>
      </c>
      <c r="H8" s="49" t="n">
        <v>182231</v>
      </c>
      <c r="I8" s="50" t="n">
        <v>25195</v>
      </c>
      <c r="K8" s="48" t="n">
        <v>16286882231</v>
      </c>
      <c r="L8" s="47" t="n">
        <v>3</v>
      </c>
      <c r="M8" s="49" t="n">
        <v>182231</v>
      </c>
      <c r="N8" s="50" t="n">
        <v>25195</v>
      </c>
      <c r="P8" s="49" t="n">
        <v>213261</v>
      </c>
      <c r="Q8" s="50" t="n">
        <v>25845</v>
      </c>
    </row>
    <row r="9" customFormat="false" ht="14.25" hidden="false" customHeight="false" outlineLevel="0" collapsed="false">
      <c r="A9" s="47" t="n">
        <v>8</v>
      </c>
      <c r="B9" s="48" t="n">
        <v>16286892249</v>
      </c>
      <c r="C9" s="49" t="n">
        <v>192249</v>
      </c>
      <c r="D9" s="50" t="n">
        <v>26012</v>
      </c>
      <c r="F9" s="48" t="n">
        <v>16286823280</v>
      </c>
      <c r="G9" s="47" t="n">
        <v>41</v>
      </c>
      <c r="H9" s="49" t="n">
        <v>223280</v>
      </c>
      <c r="I9" s="50" t="n">
        <v>25215</v>
      </c>
      <c r="K9" s="48" t="n">
        <v>16286823280</v>
      </c>
      <c r="L9" s="47" t="n">
        <v>41</v>
      </c>
      <c r="M9" s="49" t="n">
        <v>223280</v>
      </c>
      <c r="N9" s="50" t="n">
        <v>25215</v>
      </c>
      <c r="P9" s="49" t="n">
        <v>213282</v>
      </c>
      <c r="Q9" s="50" t="n">
        <v>25499</v>
      </c>
    </row>
    <row r="10" customFormat="false" ht="14.25" hidden="false" customHeight="false" outlineLevel="0" collapsed="false">
      <c r="A10" s="47" t="n">
        <v>9</v>
      </c>
      <c r="B10" s="48" t="n">
        <v>16286892333</v>
      </c>
      <c r="C10" s="49" t="n">
        <v>192333</v>
      </c>
      <c r="D10" s="50" t="n">
        <v>25697</v>
      </c>
      <c r="F10" s="48" t="n">
        <v>16286823292</v>
      </c>
      <c r="G10" s="47" t="n">
        <v>42</v>
      </c>
      <c r="H10" s="49" t="n">
        <v>223292</v>
      </c>
      <c r="I10" s="50" t="n">
        <v>25230</v>
      </c>
      <c r="K10" s="48" t="n">
        <v>16286823292</v>
      </c>
      <c r="L10" s="47"/>
      <c r="M10" s="49"/>
      <c r="N10" s="50" t="n">
        <v>25230</v>
      </c>
      <c r="P10" s="49" t="n">
        <v>213327</v>
      </c>
      <c r="Q10" s="50" t="n">
        <v>25439</v>
      </c>
    </row>
    <row r="11" customFormat="false" ht="14.25" hidden="false" customHeight="false" outlineLevel="0" collapsed="false">
      <c r="A11" s="47" t="n">
        <v>10</v>
      </c>
      <c r="B11" s="48" t="n">
        <v>16286892472</v>
      </c>
      <c r="C11" s="49" t="n">
        <v>192472</v>
      </c>
      <c r="D11" s="50" t="n">
        <v>25046</v>
      </c>
      <c r="F11" s="48" t="n">
        <v>16286892193</v>
      </c>
      <c r="G11" s="47" t="n">
        <v>7</v>
      </c>
      <c r="H11" s="49" t="n">
        <v>192193</v>
      </c>
      <c r="I11" s="50" t="n">
        <v>25232</v>
      </c>
      <c r="K11" s="48" t="n">
        <v>16286892193</v>
      </c>
      <c r="N11" s="50" t="n">
        <v>25232</v>
      </c>
      <c r="P11" s="49" t="n">
        <v>213348</v>
      </c>
      <c r="Q11" s="50" t="n">
        <v>25681</v>
      </c>
    </row>
    <row r="12" customFormat="false" ht="14.25" hidden="false" customHeight="false" outlineLevel="0" collapsed="false">
      <c r="A12" s="47" t="n">
        <v>11</v>
      </c>
      <c r="B12" s="48" t="n">
        <v>16286802045</v>
      </c>
      <c r="C12" s="49" t="n">
        <v>202045</v>
      </c>
      <c r="D12" s="50" t="n">
        <v>25701</v>
      </c>
      <c r="F12" s="48" t="n">
        <v>16286813074</v>
      </c>
      <c r="G12" s="47" t="n">
        <v>20</v>
      </c>
      <c r="H12" s="49" t="n">
        <v>213074</v>
      </c>
      <c r="I12" s="50" t="n">
        <v>25276</v>
      </c>
      <c r="K12" s="48" t="n">
        <v>16286813074</v>
      </c>
      <c r="N12" s="50" t="n">
        <v>25276</v>
      </c>
      <c r="P12" s="49" t="n">
        <v>213385</v>
      </c>
      <c r="Q12" s="50" t="n">
        <v>25486</v>
      </c>
    </row>
    <row r="13" customFormat="false" ht="14.25" hidden="false" customHeight="false" outlineLevel="0" collapsed="false">
      <c r="A13" s="47" t="n">
        <v>12</v>
      </c>
      <c r="B13" s="48" t="n">
        <v>16286802053</v>
      </c>
      <c r="C13" s="49" t="n">
        <v>202053</v>
      </c>
      <c r="D13" s="50" t="n">
        <v>25923</v>
      </c>
      <c r="F13" s="48" t="n">
        <v>16286892010</v>
      </c>
      <c r="G13" s="47" t="n">
        <v>4</v>
      </c>
      <c r="H13" s="49" t="n">
        <v>192010</v>
      </c>
      <c r="I13" s="50" t="n">
        <v>25283</v>
      </c>
      <c r="K13" s="48" t="n">
        <v>16286892010</v>
      </c>
      <c r="N13" s="50" t="n">
        <v>25283</v>
      </c>
      <c r="P13" s="49" t="n">
        <v>213442</v>
      </c>
      <c r="Q13" s="50" t="n">
        <v>25759</v>
      </c>
    </row>
    <row r="14" customFormat="false" ht="14.25" hidden="false" customHeight="false" outlineLevel="0" collapsed="false">
      <c r="A14" s="47" t="n">
        <v>13</v>
      </c>
      <c r="B14" s="48" t="n">
        <v>16286802116</v>
      </c>
      <c r="C14" s="49" t="n">
        <v>202116</v>
      </c>
      <c r="D14" s="50" t="n">
        <v>25031</v>
      </c>
      <c r="F14" s="48" t="n">
        <v>16286823270</v>
      </c>
      <c r="G14" s="47" t="n">
        <v>40</v>
      </c>
      <c r="H14" s="49" t="n">
        <v>223270</v>
      </c>
      <c r="I14" s="50" t="n">
        <v>25294</v>
      </c>
      <c r="K14" s="48" t="n">
        <v>16286823270</v>
      </c>
      <c r="L14" s="47" t="n">
        <v>40</v>
      </c>
      <c r="M14" s="49" t="n">
        <v>223270</v>
      </c>
      <c r="N14" s="50" t="n">
        <v>25294</v>
      </c>
      <c r="P14" s="49" t="n">
        <v>223044</v>
      </c>
      <c r="Q14" s="50" t="n">
        <v>25916</v>
      </c>
    </row>
    <row r="15" customFormat="false" ht="14.25" hidden="false" customHeight="false" outlineLevel="0" collapsed="false">
      <c r="A15" s="47" t="n">
        <v>14</v>
      </c>
      <c r="B15" s="48" t="n">
        <v>16286802176</v>
      </c>
      <c r="C15" s="49" t="n">
        <v>202176</v>
      </c>
      <c r="D15" s="50" t="n">
        <v>25336</v>
      </c>
      <c r="F15" s="48" t="n">
        <v>16286823419</v>
      </c>
      <c r="G15" s="47" t="n">
        <v>46</v>
      </c>
      <c r="H15" s="49" t="n">
        <v>223419</v>
      </c>
      <c r="I15" s="50" t="n">
        <v>25312</v>
      </c>
      <c r="K15" s="48" t="n">
        <v>16286823419</v>
      </c>
      <c r="N15" s="50" t="n">
        <v>25312</v>
      </c>
      <c r="P15" s="49" t="n">
        <v>223135</v>
      </c>
      <c r="Q15" s="50" t="n">
        <v>25948</v>
      </c>
    </row>
    <row r="16" customFormat="false" ht="14.25" hidden="false" customHeight="false" outlineLevel="0" collapsed="false">
      <c r="A16" s="47" t="n">
        <v>15</v>
      </c>
      <c r="B16" s="48" t="n">
        <v>16286802196</v>
      </c>
      <c r="C16" s="49" t="n">
        <v>202196</v>
      </c>
      <c r="D16" s="50" t="n">
        <v>25519</v>
      </c>
      <c r="F16" s="48" t="n">
        <v>16286802176</v>
      </c>
      <c r="G16" s="47" t="n">
        <v>14</v>
      </c>
      <c r="H16" s="49" t="n">
        <v>202176</v>
      </c>
      <c r="I16" s="50" t="n">
        <v>25336</v>
      </c>
      <c r="K16" s="48" t="n">
        <v>16286802176</v>
      </c>
      <c r="L16" s="47" t="n">
        <v>14</v>
      </c>
      <c r="M16" s="49" t="n">
        <v>202176</v>
      </c>
      <c r="N16" s="50" t="n">
        <v>25336</v>
      </c>
      <c r="P16" s="49" t="n">
        <v>223148</v>
      </c>
      <c r="Q16" s="50" t="n">
        <v>25368</v>
      </c>
    </row>
    <row r="17" customFormat="false" ht="14.25" hidden="false" customHeight="false" outlineLevel="0" collapsed="false">
      <c r="A17" s="47" t="n">
        <v>16</v>
      </c>
      <c r="B17" s="48" t="n">
        <v>16286802242</v>
      </c>
      <c r="C17" s="49" t="n">
        <v>202242</v>
      </c>
      <c r="D17" s="50" t="n">
        <v>25973</v>
      </c>
      <c r="F17" s="48" t="n">
        <v>16286882103</v>
      </c>
      <c r="G17" s="47" t="n">
        <v>2</v>
      </c>
      <c r="H17" s="49" t="n">
        <v>182103</v>
      </c>
      <c r="I17" s="50" t="n">
        <v>25367</v>
      </c>
      <c r="K17" s="48" t="n">
        <v>16286882103</v>
      </c>
      <c r="N17" s="50" t="n">
        <v>25367</v>
      </c>
      <c r="P17" s="49" t="n">
        <v>223161</v>
      </c>
      <c r="Q17" s="50" t="n">
        <v>25392</v>
      </c>
    </row>
    <row r="18" customFormat="false" ht="14.25" hidden="false" customHeight="false" outlineLevel="0" collapsed="false">
      <c r="A18" s="47" t="n">
        <v>17</v>
      </c>
      <c r="B18" s="48" t="n">
        <v>16286802290</v>
      </c>
      <c r="C18" s="49" t="n">
        <v>202290</v>
      </c>
      <c r="D18" s="50" t="n">
        <v>25094</v>
      </c>
      <c r="F18" s="48" t="n">
        <v>16286823148</v>
      </c>
      <c r="G18" s="47" t="n">
        <v>34</v>
      </c>
      <c r="H18" s="49" t="n">
        <v>223148</v>
      </c>
      <c r="I18" s="50" t="n">
        <v>25368</v>
      </c>
      <c r="K18" s="48" t="n">
        <v>16286823148</v>
      </c>
      <c r="N18" s="50" t="n">
        <v>25368</v>
      </c>
      <c r="P18" s="49" t="n">
        <v>223215</v>
      </c>
      <c r="Q18" s="50" t="n">
        <v>25093</v>
      </c>
    </row>
    <row r="19" customFormat="false" ht="14.25" hidden="false" customHeight="false" outlineLevel="0" collapsed="false">
      <c r="A19" s="47" t="n">
        <v>18</v>
      </c>
      <c r="B19" s="48" t="n">
        <v>16286802377</v>
      </c>
      <c r="C19" s="49" t="n">
        <v>202377</v>
      </c>
      <c r="D19" s="50" t="n">
        <v>25768</v>
      </c>
      <c r="F19" s="48" t="n">
        <v>16286823437</v>
      </c>
      <c r="G19" s="47" t="n">
        <v>47</v>
      </c>
      <c r="H19" s="49" t="n">
        <v>223437</v>
      </c>
      <c r="I19" s="50" t="n">
        <v>25376</v>
      </c>
      <c r="K19" s="48" t="n">
        <v>16286823437</v>
      </c>
      <c r="L19" s="47"/>
      <c r="M19" s="49"/>
      <c r="N19" s="50" t="n">
        <v>25376</v>
      </c>
      <c r="P19" s="49" t="n">
        <v>223220</v>
      </c>
      <c r="Q19" s="50" t="n">
        <v>25167</v>
      </c>
    </row>
    <row r="20" customFormat="false" ht="14.25" hidden="false" customHeight="false" outlineLevel="0" collapsed="false">
      <c r="A20" s="47" t="n">
        <v>19</v>
      </c>
      <c r="B20" s="48" t="n">
        <v>16286802451</v>
      </c>
      <c r="C20" s="49" t="n">
        <v>202451</v>
      </c>
      <c r="D20" s="50" t="n">
        <v>25861</v>
      </c>
      <c r="F20" s="48" t="n">
        <v>16286813097</v>
      </c>
      <c r="G20" s="47" t="n">
        <v>21</v>
      </c>
      <c r="H20" s="49" t="n">
        <v>213097</v>
      </c>
      <c r="I20" s="50" t="n">
        <v>25388</v>
      </c>
      <c r="K20" s="48" t="n">
        <v>16286813097</v>
      </c>
      <c r="N20" s="50" t="n">
        <v>25388</v>
      </c>
      <c r="P20" s="49" t="n">
        <v>223223</v>
      </c>
      <c r="Q20" s="50" t="n">
        <v>25801</v>
      </c>
    </row>
    <row r="21" customFormat="false" ht="14.25" hidden="false" customHeight="false" outlineLevel="0" collapsed="false">
      <c r="A21" s="47" t="n">
        <v>20</v>
      </c>
      <c r="B21" s="48" t="n">
        <v>16286813074</v>
      </c>
      <c r="C21" s="49" t="n">
        <v>213074</v>
      </c>
      <c r="D21" s="50" t="n">
        <v>25276</v>
      </c>
      <c r="F21" s="48" t="n">
        <v>16286823161</v>
      </c>
      <c r="G21" s="47" t="n">
        <v>35</v>
      </c>
      <c r="H21" s="49" t="n">
        <v>223161</v>
      </c>
      <c r="I21" s="50" t="n">
        <v>25392</v>
      </c>
      <c r="K21" s="48" t="n">
        <v>16286823161</v>
      </c>
      <c r="L21" s="47"/>
      <c r="M21" s="49"/>
      <c r="N21" s="50" t="n">
        <v>25392</v>
      </c>
      <c r="P21" s="49" t="n">
        <v>223258</v>
      </c>
      <c r="Q21" s="50" t="n">
        <v>25757</v>
      </c>
    </row>
    <row r="22" customFormat="false" ht="14.25" hidden="false" customHeight="false" outlineLevel="0" collapsed="false">
      <c r="A22" s="47" t="n">
        <v>21</v>
      </c>
      <c r="B22" s="48" t="n">
        <v>16286813097</v>
      </c>
      <c r="C22" s="49" t="n">
        <v>213097</v>
      </c>
      <c r="D22" s="50" t="n">
        <v>25388</v>
      </c>
      <c r="F22" s="48" t="n">
        <v>16286813254</v>
      </c>
      <c r="G22" s="47" t="n">
        <v>25</v>
      </c>
      <c r="H22" s="49" t="n">
        <v>213254</v>
      </c>
      <c r="I22" s="50" t="n">
        <v>25417</v>
      </c>
      <c r="K22" s="48" t="n">
        <v>16286813254</v>
      </c>
      <c r="N22" s="50" t="n">
        <v>25417</v>
      </c>
      <c r="P22" s="49" t="n">
        <v>223270</v>
      </c>
      <c r="Q22" s="50" t="n">
        <v>25294</v>
      </c>
    </row>
    <row r="23" customFormat="false" ht="14.25" hidden="false" customHeight="false" outlineLevel="0" collapsed="false">
      <c r="A23" s="47" t="n">
        <v>22</v>
      </c>
      <c r="B23" s="48" t="n">
        <v>16286813117</v>
      </c>
      <c r="C23" s="49" t="n">
        <v>213117</v>
      </c>
      <c r="D23" s="50" t="n">
        <v>25656</v>
      </c>
      <c r="F23" s="48" t="n">
        <v>16286813327</v>
      </c>
      <c r="G23" s="47" t="n">
        <v>28</v>
      </c>
      <c r="H23" s="49" t="n">
        <v>213327</v>
      </c>
      <c r="I23" s="50" t="n">
        <v>25439</v>
      </c>
      <c r="K23" s="48" t="n">
        <v>16286813327</v>
      </c>
      <c r="N23" s="50" t="n">
        <v>25439</v>
      </c>
      <c r="P23" s="49" t="n">
        <v>223280</v>
      </c>
      <c r="Q23" s="50" t="n">
        <v>25215</v>
      </c>
    </row>
    <row r="24" customFormat="false" ht="14.25" hidden="false" customHeight="false" outlineLevel="0" collapsed="false">
      <c r="A24" s="47" t="n">
        <v>23</v>
      </c>
      <c r="B24" s="48" t="n">
        <v>16286813129</v>
      </c>
      <c r="C24" s="49" t="n">
        <v>213129</v>
      </c>
      <c r="D24" s="50" t="n">
        <v>25591</v>
      </c>
      <c r="F24" s="48" t="n">
        <v>16286823440</v>
      </c>
      <c r="G24" s="47" t="n">
        <v>48</v>
      </c>
      <c r="H24" s="49" t="n">
        <v>223440</v>
      </c>
      <c r="I24" s="50" t="n">
        <v>25462</v>
      </c>
      <c r="K24" s="48" t="n">
        <v>16286823440</v>
      </c>
      <c r="L24" s="47" t="n">
        <v>48</v>
      </c>
      <c r="M24" s="49" t="n">
        <v>223440</v>
      </c>
      <c r="N24" s="50" t="n">
        <v>25462</v>
      </c>
      <c r="P24" s="49" t="n">
        <v>223292</v>
      </c>
      <c r="Q24" s="50" t="n">
        <v>25230</v>
      </c>
    </row>
    <row r="25" customFormat="false" ht="14.25" hidden="false" customHeight="false" outlineLevel="0" collapsed="false">
      <c r="A25" s="47" t="n">
        <v>24</v>
      </c>
      <c r="B25" s="48" t="n">
        <v>16286813192</v>
      </c>
      <c r="C25" s="49" t="n">
        <v>213192</v>
      </c>
      <c r="D25" s="50" t="n">
        <v>25927</v>
      </c>
      <c r="F25" s="48" t="n">
        <v>16286813385</v>
      </c>
      <c r="G25" s="47" t="n">
        <v>30</v>
      </c>
      <c r="H25" s="49" t="n">
        <v>213385</v>
      </c>
      <c r="I25" s="50" t="n">
        <v>25486</v>
      </c>
      <c r="K25" s="48" t="n">
        <v>16286813385</v>
      </c>
      <c r="N25" s="50" t="n">
        <v>25486</v>
      </c>
      <c r="P25" s="49" t="n">
        <v>223373</v>
      </c>
      <c r="Q25" s="50" t="n">
        <v>25741</v>
      </c>
    </row>
    <row r="26" customFormat="false" ht="14.25" hidden="false" customHeight="false" outlineLevel="0" collapsed="false">
      <c r="A26" s="47" t="n">
        <v>25</v>
      </c>
      <c r="B26" s="48" t="n">
        <v>16286813254</v>
      </c>
      <c r="C26" s="49" t="n">
        <v>213254</v>
      </c>
      <c r="D26" s="50" t="n">
        <v>25417</v>
      </c>
      <c r="F26" s="48" t="n">
        <v>16286813282</v>
      </c>
      <c r="G26" s="47" t="n">
        <v>27</v>
      </c>
      <c r="H26" s="49" t="n">
        <v>213282</v>
      </c>
      <c r="I26" s="50" t="n">
        <v>25499</v>
      </c>
      <c r="K26" s="48" t="n">
        <v>16286813282</v>
      </c>
      <c r="L26" s="47" t="n">
        <v>27</v>
      </c>
      <c r="M26" s="49" t="n">
        <v>213282</v>
      </c>
      <c r="N26" s="50" t="n">
        <v>25499</v>
      </c>
      <c r="P26" s="49" t="n">
        <v>223401</v>
      </c>
      <c r="Q26" s="50" t="n">
        <v>25742</v>
      </c>
    </row>
    <row r="27" customFormat="false" ht="14.25" hidden="false" customHeight="false" outlineLevel="0" collapsed="false">
      <c r="A27" s="47" t="n">
        <v>26</v>
      </c>
      <c r="B27" s="48" t="n">
        <v>16286813261</v>
      </c>
      <c r="C27" s="49" t="n">
        <v>213261</v>
      </c>
      <c r="D27" s="50" t="n">
        <v>25845</v>
      </c>
      <c r="F27" s="48" t="n">
        <v>16286802196</v>
      </c>
      <c r="G27" s="47" t="n">
        <v>15</v>
      </c>
      <c r="H27" s="49" t="n">
        <v>202196</v>
      </c>
      <c r="I27" s="50" t="n">
        <v>25519</v>
      </c>
      <c r="K27" s="48" t="n">
        <v>16286802196</v>
      </c>
      <c r="N27" s="50" t="n">
        <v>25519</v>
      </c>
      <c r="P27" s="49" t="n">
        <v>223404</v>
      </c>
      <c r="Q27" s="50" t="n">
        <v>25060</v>
      </c>
    </row>
    <row r="28" customFormat="false" ht="14.25" hidden="false" customHeight="false" outlineLevel="0" collapsed="false">
      <c r="A28" s="47" t="n">
        <v>27</v>
      </c>
      <c r="B28" s="48" t="n">
        <v>16286813282</v>
      </c>
      <c r="C28" s="49" t="n">
        <v>213282</v>
      </c>
      <c r="D28" s="50" t="n">
        <v>25499</v>
      </c>
      <c r="F28" s="48" t="n">
        <v>16286813129</v>
      </c>
      <c r="G28" s="47" t="n">
        <v>23</v>
      </c>
      <c r="H28" s="49" t="n">
        <v>213129</v>
      </c>
      <c r="I28" s="50" t="n">
        <v>25591</v>
      </c>
      <c r="K28" s="48" t="n">
        <v>16286813129</v>
      </c>
      <c r="N28" s="50" t="n">
        <v>25591</v>
      </c>
      <c r="P28" s="49" t="n">
        <v>223419</v>
      </c>
      <c r="Q28" s="50" t="n">
        <v>25312</v>
      </c>
    </row>
    <row r="29" customFormat="false" ht="14.25" hidden="false" customHeight="false" outlineLevel="0" collapsed="false">
      <c r="A29" s="47" t="n">
        <v>28</v>
      </c>
      <c r="B29" s="48" t="n">
        <v>16286813327</v>
      </c>
      <c r="C29" s="49" t="n">
        <v>213327</v>
      </c>
      <c r="D29" s="50" t="n">
        <v>25439</v>
      </c>
      <c r="F29" s="48" t="n">
        <v>16286813117</v>
      </c>
      <c r="G29" s="47" t="n">
        <v>22</v>
      </c>
      <c r="H29" s="49" t="n">
        <v>213117</v>
      </c>
      <c r="I29" s="50" t="n">
        <v>25656</v>
      </c>
      <c r="K29" s="48" t="n">
        <v>16286813117</v>
      </c>
      <c r="N29" s="50" t="n">
        <v>25656</v>
      </c>
      <c r="P29" s="49" t="n">
        <v>223437</v>
      </c>
      <c r="Q29" s="50" t="n">
        <v>25376</v>
      </c>
    </row>
    <row r="30" customFormat="false" ht="14.25" hidden="false" customHeight="false" outlineLevel="0" collapsed="false">
      <c r="A30" s="47" t="n">
        <v>29</v>
      </c>
      <c r="B30" s="48" t="n">
        <v>16286813348</v>
      </c>
      <c r="C30" s="49" t="n">
        <v>213348</v>
      </c>
      <c r="D30" s="50" t="n">
        <v>25681</v>
      </c>
      <c r="F30" s="48" t="n">
        <v>16286813348</v>
      </c>
      <c r="G30" s="47" t="n">
        <v>29</v>
      </c>
      <c r="H30" s="49" t="n">
        <v>213348</v>
      </c>
      <c r="I30" s="50" t="n">
        <v>25681</v>
      </c>
      <c r="K30" s="48" t="n">
        <v>16286813348</v>
      </c>
      <c r="N30" s="50" t="n">
        <v>25681</v>
      </c>
      <c r="P30" s="49" t="n">
        <v>223440</v>
      </c>
      <c r="Q30" s="50" t="n">
        <v>25462</v>
      </c>
    </row>
    <row r="31" customFormat="false" ht="14.25" hidden="false" customHeight="false" outlineLevel="0" collapsed="false">
      <c r="A31" s="47" t="n">
        <v>30</v>
      </c>
      <c r="B31" s="48" t="n">
        <v>16286813385</v>
      </c>
      <c r="C31" s="49" t="n">
        <v>213385</v>
      </c>
      <c r="D31" s="50" t="n">
        <v>25486</v>
      </c>
      <c r="F31" s="48" t="n">
        <v>16286892333</v>
      </c>
      <c r="G31" s="47" t="n">
        <v>9</v>
      </c>
      <c r="H31" s="49" t="n">
        <v>192333</v>
      </c>
      <c r="I31" s="50" t="n">
        <v>25697</v>
      </c>
      <c r="K31" s="48" t="n">
        <v>16286892333</v>
      </c>
      <c r="L31" s="47" t="n">
        <v>9</v>
      </c>
      <c r="M31" s="49" t="n">
        <v>192333</v>
      </c>
      <c r="N31" s="50" t="n">
        <v>25697</v>
      </c>
      <c r="P31" s="49" t="n">
        <v>182007</v>
      </c>
      <c r="Q31" s="50" t="n">
        <v>25871</v>
      </c>
    </row>
    <row r="32" customFormat="false" ht="14.25" hidden="false" customHeight="false" outlineLevel="0" collapsed="false">
      <c r="A32" s="47" t="n">
        <v>31</v>
      </c>
      <c r="B32" s="48" t="n">
        <v>16286813442</v>
      </c>
      <c r="C32" s="49" t="n">
        <v>213442</v>
      </c>
      <c r="D32" s="50" t="n">
        <v>25759</v>
      </c>
      <c r="F32" s="48" t="n">
        <v>16286802045</v>
      </c>
      <c r="G32" s="47" t="n">
        <v>11</v>
      </c>
      <c r="H32" s="49" t="n">
        <v>202045</v>
      </c>
      <c r="I32" s="50" t="n">
        <v>25701</v>
      </c>
      <c r="K32" s="48" t="n">
        <v>16286802045</v>
      </c>
      <c r="L32" s="47"/>
      <c r="M32" s="49"/>
      <c r="N32" s="50" t="n">
        <v>25701</v>
      </c>
      <c r="P32" s="49" t="n">
        <v>182103</v>
      </c>
      <c r="Q32" s="50" t="n">
        <v>25367</v>
      </c>
    </row>
    <row r="33" customFormat="false" ht="14.25" hidden="false" customHeight="false" outlineLevel="0" collapsed="false">
      <c r="A33" s="47" t="n">
        <v>32</v>
      </c>
      <c r="B33" s="48" t="n">
        <v>16286823044</v>
      </c>
      <c r="C33" s="49" t="n">
        <v>223044</v>
      </c>
      <c r="D33" s="50" t="n">
        <v>25916</v>
      </c>
      <c r="F33" s="48" t="n">
        <v>16286823373</v>
      </c>
      <c r="G33" s="47" t="n">
        <v>43</v>
      </c>
      <c r="H33" s="49" t="n">
        <v>223373</v>
      </c>
      <c r="I33" s="50" t="n">
        <v>25741</v>
      </c>
      <c r="K33" s="48" t="n">
        <v>16286823373</v>
      </c>
      <c r="L33" s="47"/>
      <c r="M33" s="49"/>
      <c r="N33" s="50" t="n">
        <v>25741</v>
      </c>
      <c r="P33" s="49" t="n">
        <v>182231</v>
      </c>
      <c r="Q33" s="50" t="n">
        <v>25195</v>
      </c>
    </row>
    <row r="34" customFormat="false" ht="14.25" hidden="false" customHeight="false" outlineLevel="0" collapsed="false">
      <c r="A34" s="47" t="n">
        <v>33</v>
      </c>
      <c r="B34" s="48" t="n">
        <v>16286823135</v>
      </c>
      <c r="C34" s="49" t="n">
        <v>223135</v>
      </c>
      <c r="D34" s="50" t="n">
        <v>25948</v>
      </c>
      <c r="F34" s="48" t="n">
        <v>16286823401</v>
      </c>
      <c r="G34" s="47" t="n">
        <v>44</v>
      </c>
      <c r="H34" s="49" t="n">
        <v>223401</v>
      </c>
      <c r="I34" s="50" t="n">
        <v>25742</v>
      </c>
      <c r="K34" s="48" t="n">
        <v>16286823401</v>
      </c>
      <c r="L34" s="47" t="n">
        <v>44</v>
      </c>
      <c r="M34" s="49" t="n">
        <v>223401</v>
      </c>
      <c r="N34" s="50" t="n">
        <v>25742</v>
      </c>
      <c r="P34" s="49" t="n">
        <v>192010</v>
      </c>
      <c r="Q34" s="50" t="n">
        <v>25283</v>
      </c>
    </row>
    <row r="35" customFormat="false" ht="14.25" hidden="false" customHeight="false" outlineLevel="0" collapsed="false">
      <c r="A35" s="47" t="n">
        <v>34</v>
      </c>
      <c r="B35" s="48" t="n">
        <v>16286823148</v>
      </c>
      <c r="C35" s="49" t="n">
        <v>223148</v>
      </c>
      <c r="D35" s="50" t="n">
        <v>25368</v>
      </c>
      <c r="F35" s="48" t="n">
        <v>16286823258</v>
      </c>
      <c r="G35" s="47" t="n">
        <v>39</v>
      </c>
      <c r="H35" s="49" t="n">
        <v>223258</v>
      </c>
      <c r="I35" s="50" t="n">
        <v>25757</v>
      </c>
      <c r="K35" s="48" t="n">
        <v>16286823258</v>
      </c>
      <c r="N35" s="50" t="n">
        <v>25757</v>
      </c>
      <c r="P35" s="49" t="n">
        <v>192072</v>
      </c>
      <c r="Q35" s="50" t="n">
        <v>25800</v>
      </c>
    </row>
    <row r="36" customFormat="false" ht="14.25" hidden="false" customHeight="false" outlineLevel="0" collapsed="false">
      <c r="A36" s="47" t="n">
        <v>35</v>
      </c>
      <c r="B36" s="48" t="n">
        <v>16286823161</v>
      </c>
      <c r="C36" s="49" t="n">
        <v>223161</v>
      </c>
      <c r="D36" s="50" t="n">
        <v>25392</v>
      </c>
      <c r="F36" s="48" t="n">
        <v>16286813442</v>
      </c>
      <c r="G36" s="47" t="n">
        <v>31</v>
      </c>
      <c r="H36" s="49" t="n">
        <v>213442</v>
      </c>
      <c r="I36" s="50" t="n">
        <v>25759</v>
      </c>
      <c r="K36" s="48" t="n">
        <v>16286813442</v>
      </c>
      <c r="N36" s="50" t="n">
        <v>25759</v>
      </c>
      <c r="P36" s="49" t="n">
        <v>192139</v>
      </c>
      <c r="Q36" s="50" t="n">
        <v>25958</v>
      </c>
    </row>
    <row r="37" customFormat="false" ht="14.25" hidden="false" customHeight="false" outlineLevel="0" collapsed="false">
      <c r="A37" s="47" t="n">
        <v>36</v>
      </c>
      <c r="B37" s="48" t="n">
        <v>16286823215</v>
      </c>
      <c r="C37" s="49" t="n">
        <v>223215</v>
      </c>
      <c r="D37" s="50" t="n">
        <v>25093</v>
      </c>
      <c r="F37" s="48" t="n">
        <v>16286802377</v>
      </c>
      <c r="G37" s="47" t="n">
        <v>18</v>
      </c>
      <c r="H37" s="49" t="n">
        <v>202377</v>
      </c>
      <c r="I37" s="50" t="n">
        <v>25768</v>
      </c>
      <c r="K37" s="48" t="n">
        <v>16286802377</v>
      </c>
      <c r="L37" s="47" t="n">
        <v>18</v>
      </c>
      <c r="M37" s="49" t="n">
        <v>202377</v>
      </c>
      <c r="N37" s="50" t="n">
        <v>25768</v>
      </c>
      <c r="P37" s="49" t="n">
        <v>192193</v>
      </c>
      <c r="Q37" s="50" t="n">
        <v>25232</v>
      </c>
    </row>
    <row r="38" customFormat="false" ht="14.25" hidden="false" customHeight="false" outlineLevel="0" collapsed="false">
      <c r="A38" s="47" t="n">
        <v>37</v>
      </c>
      <c r="B38" s="48" t="n">
        <v>16286823220</v>
      </c>
      <c r="C38" s="49" t="n">
        <v>223220</v>
      </c>
      <c r="D38" s="50" t="n">
        <v>25167</v>
      </c>
      <c r="F38" s="48" t="n">
        <v>16286892072</v>
      </c>
      <c r="G38" s="47" t="n">
        <v>5</v>
      </c>
      <c r="H38" s="49" t="n">
        <v>192072</v>
      </c>
      <c r="I38" s="50" t="n">
        <v>25800</v>
      </c>
      <c r="K38" s="48" t="n">
        <v>16286892072</v>
      </c>
      <c r="N38" s="50" t="n">
        <v>25800</v>
      </c>
      <c r="P38" s="49" t="n">
        <v>192249</v>
      </c>
      <c r="Q38" s="50" t="n">
        <v>26012</v>
      </c>
    </row>
    <row r="39" customFormat="false" ht="14.25" hidden="false" customHeight="false" outlineLevel="0" collapsed="false">
      <c r="A39" s="47" t="n">
        <v>38</v>
      </c>
      <c r="B39" s="48" t="n">
        <v>16286823223</v>
      </c>
      <c r="C39" s="49" t="n">
        <v>223223</v>
      </c>
      <c r="D39" s="50" t="n">
        <v>25801</v>
      </c>
      <c r="F39" s="48" t="n">
        <v>16286823223</v>
      </c>
      <c r="G39" s="47" t="n">
        <v>38</v>
      </c>
      <c r="H39" s="49" t="n">
        <v>223223</v>
      </c>
      <c r="I39" s="50" t="n">
        <v>25801</v>
      </c>
      <c r="K39" s="48" t="n">
        <v>16286823223</v>
      </c>
      <c r="N39" s="50" t="n">
        <v>25801</v>
      </c>
      <c r="P39" s="49" t="n">
        <v>192333</v>
      </c>
      <c r="Q39" s="50" t="n">
        <v>25697</v>
      </c>
    </row>
    <row r="40" customFormat="false" ht="14.25" hidden="false" customHeight="false" outlineLevel="0" collapsed="false">
      <c r="A40" s="47" t="n">
        <v>39</v>
      </c>
      <c r="B40" s="48" t="n">
        <v>16286823258</v>
      </c>
      <c r="C40" s="49" t="n">
        <v>223258</v>
      </c>
      <c r="D40" s="50" t="n">
        <v>25757</v>
      </c>
      <c r="F40" s="48" t="n">
        <v>16286813261</v>
      </c>
      <c r="G40" s="47" t="n">
        <v>26</v>
      </c>
      <c r="H40" s="49" t="n">
        <v>213261</v>
      </c>
      <c r="I40" s="50" t="n">
        <v>25845</v>
      </c>
      <c r="K40" s="48" t="n">
        <v>16286813261</v>
      </c>
      <c r="N40" s="50" t="n">
        <v>25845</v>
      </c>
      <c r="P40" s="49" t="n">
        <v>192472</v>
      </c>
      <c r="Q40" s="50" t="n">
        <v>25046</v>
      </c>
    </row>
    <row r="41" customFormat="false" ht="14.25" hidden="false" customHeight="false" outlineLevel="0" collapsed="false">
      <c r="A41" s="47" t="n">
        <v>40</v>
      </c>
      <c r="B41" s="48" t="n">
        <v>16286823270</v>
      </c>
      <c r="C41" s="49" t="n">
        <v>223270</v>
      </c>
      <c r="D41" s="50" t="n">
        <v>25294</v>
      </c>
      <c r="F41" s="48" t="n">
        <v>16286802451</v>
      </c>
      <c r="G41" s="47" t="n">
        <v>19</v>
      </c>
      <c r="H41" s="49" t="n">
        <v>202451</v>
      </c>
      <c r="I41" s="50" t="n">
        <v>25861</v>
      </c>
      <c r="K41" s="48" t="n">
        <v>16286802451</v>
      </c>
      <c r="N41" s="50" t="n">
        <v>25861</v>
      </c>
      <c r="P41" s="49" t="n">
        <v>202045</v>
      </c>
      <c r="Q41" s="50" t="n">
        <v>25701</v>
      </c>
    </row>
    <row r="42" customFormat="false" ht="14.25" hidden="false" customHeight="false" outlineLevel="0" collapsed="false">
      <c r="A42" s="47" t="n">
        <v>41</v>
      </c>
      <c r="B42" s="48" t="n">
        <v>16286823280</v>
      </c>
      <c r="C42" s="49" t="n">
        <v>223280</v>
      </c>
      <c r="D42" s="50" t="n">
        <v>25215</v>
      </c>
      <c r="F42" s="48" t="n">
        <v>16286882007</v>
      </c>
      <c r="G42" s="47" t="n">
        <v>1</v>
      </c>
      <c r="H42" s="49" t="n">
        <v>182007</v>
      </c>
      <c r="I42" s="50" t="n">
        <v>25871</v>
      </c>
      <c r="K42" s="48" t="n">
        <v>16286882007</v>
      </c>
      <c r="L42" s="47" t="n">
        <v>1</v>
      </c>
      <c r="M42" s="49" t="n">
        <v>182007</v>
      </c>
      <c r="N42" s="50" t="n">
        <v>25871</v>
      </c>
      <c r="P42" s="49" t="n">
        <v>202053</v>
      </c>
      <c r="Q42" s="50" t="n">
        <v>25923</v>
      </c>
    </row>
    <row r="43" customFormat="false" ht="14.25" hidden="false" customHeight="false" outlineLevel="0" collapsed="false">
      <c r="A43" s="47" t="n">
        <v>42</v>
      </c>
      <c r="B43" s="48" t="n">
        <v>16286823292</v>
      </c>
      <c r="C43" s="49" t="n">
        <v>223292</v>
      </c>
      <c r="D43" s="50" t="n">
        <v>25230</v>
      </c>
      <c r="F43" s="48" t="n">
        <v>16286823044</v>
      </c>
      <c r="G43" s="47" t="n">
        <v>32</v>
      </c>
      <c r="H43" s="49" t="n">
        <v>223044</v>
      </c>
      <c r="I43" s="50" t="n">
        <v>25916</v>
      </c>
      <c r="K43" s="48" t="n">
        <v>16286823044</v>
      </c>
      <c r="N43" s="50" t="n">
        <v>25916</v>
      </c>
      <c r="P43" s="49" t="n">
        <v>202116</v>
      </c>
      <c r="Q43" s="50" t="n">
        <v>25031</v>
      </c>
    </row>
    <row r="44" customFormat="false" ht="14.25" hidden="false" customHeight="false" outlineLevel="0" collapsed="false">
      <c r="A44" s="47" t="n">
        <v>43</v>
      </c>
      <c r="B44" s="48" t="n">
        <v>16286823373</v>
      </c>
      <c r="C44" s="49" t="n">
        <v>223373</v>
      </c>
      <c r="D44" s="50" t="n">
        <v>25741</v>
      </c>
      <c r="F44" s="48" t="n">
        <v>16286802053</v>
      </c>
      <c r="G44" s="47" t="n">
        <v>12</v>
      </c>
      <c r="H44" s="49" t="n">
        <v>202053</v>
      </c>
      <c r="I44" s="50" t="n">
        <v>25923</v>
      </c>
      <c r="K44" s="48" t="n">
        <v>16286802053</v>
      </c>
      <c r="L44" s="47"/>
      <c r="M44" s="49"/>
      <c r="N44" s="50" t="n">
        <v>25923</v>
      </c>
      <c r="P44" s="49" t="n">
        <v>202176</v>
      </c>
      <c r="Q44" s="50" t="n">
        <v>25336</v>
      </c>
    </row>
    <row r="45" customFormat="false" ht="14.25" hidden="false" customHeight="false" outlineLevel="0" collapsed="false">
      <c r="A45" s="47" t="n">
        <v>44</v>
      </c>
      <c r="B45" s="48" t="n">
        <v>16286823401</v>
      </c>
      <c r="C45" s="49" t="n">
        <v>223401</v>
      </c>
      <c r="D45" s="50" t="n">
        <v>25742</v>
      </c>
      <c r="F45" s="48" t="n">
        <v>16286813192</v>
      </c>
      <c r="G45" s="47" t="n">
        <v>24</v>
      </c>
      <c r="H45" s="49" t="n">
        <v>213192</v>
      </c>
      <c r="I45" s="50" t="n">
        <v>25927</v>
      </c>
      <c r="K45" s="48" t="n">
        <v>16286813192</v>
      </c>
      <c r="L45" s="47" t="n">
        <v>24</v>
      </c>
      <c r="M45" s="49" t="n">
        <v>213192</v>
      </c>
      <c r="N45" s="50" t="n">
        <v>25927</v>
      </c>
      <c r="P45" s="49" t="n">
        <v>202196</v>
      </c>
      <c r="Q45" s="50" t="n">
        <v>25519</v>
      </c>
    </row>
    <row r="46" customFormat="false" ht="14.25" hidden="false" customHeight="false" outlineLevel="0" collapsed="false">
      <c r="A46" s="47" t="n">
        <v>45</v>
      </c>
      <c r="B46" s="48" t="n">
        <v>16286823404</v>
      </c>
      <c r="C46" s="49" t="n">
        <v>223404</v>
      </c>
      <c r="D46" s="50" t="n">
        <v>25060</v>
      </c>
      <c r="F46" s="48" t="n">
        <v>16286823135</v>
      </c>
      <c r="G46" s="47" t="n">
        <v>33</v>
      </c>
      <c r="H46" s="49" t="n">
        <v>223135</v>
      </c>
      <c r="I46" s="50" t="n">
        <v>25948</v>
      </c>
      <c r="K46" s="48" t="n">
        <v>16286823135</v>
      </c>
      <c r="L46" s="47" t="n">
        <v>33</v>
      </c>
      <c r="M46" s="49" t="n">
        <v>223135</v>
      </c>
      <c r="N46" s="50" t="n">
        <v>25948</v>
      </c>
      <c r="P46" s="49" t="n">
        <v>202242</v>
      </c>
      <c r="Q46" s="50" t="n">
        <v>25973</v>
      </c>
    </row>
    <row r="47" customFormat="false" ht="14.25" hidden="false" customHeight="false" outlineLevel="0" collapsed="false">
      <c r="A47" s="47" t="n">
        <v>46</v>
      </c>
      <c r="B47" s="48" t="n">
        <v>16286823419</v>
      </c>
      <c r="C47" s="49" t="n">
        <v>223419</v>
      </c>
      <c r="D47" s="50" t="n">
        <v>25312</v>
      </c>
      <c r="F47" s="48" t="n">
        <v>16286892139</v>
      </c>
      <c r="G47" s="47" t="n">
        <v>6</v>
      </c>
      <c r="H47" s="49" t="n">
        <v>192139</v>
      </c>
      <c r="I47" s="50" t="n">
        <v>25958</v>
      </c>
      <c r="K47" s="48" t="n">
        <v>16286892139</v>
      </c>
      <c r="L47" s="47" t="n">
        <v>6</v>
      </c>
      <c r="M47" s="49" t="n">
        <v>192139</v>
      </c>
      <c r="N47" s="50" t="n">
        <v>25958</v>
      </c>
      <c r="P47" s="49" t="n">
        <v>202290</v>
      </c>
      <c r="Q47" s="50" t="n">
        <v>25094</v>
      </c>
    </row>
    <row r="48" customFormat="false" ht="14.25" hidden="false" customHeight="false" outlineLevel="0" collapsed="false">
      <c r="A48" s="47" t="n">
        <v>47</v>
      </c>
      <c r="B48" s="48" t="n">
        <v>16286823437</v>
      </c>
      <c r="C48" s="49" t="n">
        <v>223437</v>
      </c>
      <c r="D48" s="50" t="n">
        <v>25376</v>
      </c>
      <c r="F48" s="48" t="n">
        <v>16286802242</v>
      </c>
      <c r="G48" s="47" t="n">
        <v>16</v>
      </c>
      <c r="H48" s="49" t="n">
        <v>202242</v>
      </c>
      <c r="I48" s="50" t="n">
        <v>25973</v>
      </c>
      <c r="K48" s="48" t="n">
        <v>16286802242</v>
      </c>
      <c r="N48" s="50" t="n">
        <v>25973</v>
      </c>
      <c r="P48" s="49" t="n">
        <v>202377</v>
      </c>
      <c r="Q48" s="50" t="n">
        <v>25768</v>
      </c>
    </row>
    <row r="49" customFormat="false" ht="14.25" hidden="false" customHeight="false" outlineLevel="0" collapsed="false">
      <c r="A49" s="47" t="n">
        <v>48</v>
      </c>
      <c r="B49" s="48" t="n">
        <v>16286823440</v>
      </c>
      <c r="C49" s="49" t="n">
        <v>223440</v>
      </c>
      <c r="D49" s="50" t="n">
        <v>25462</v>
      </c>
      <c r="F49" s="48" t="n">
        <v>16286892249</v>
      </c>
      <c r="G49" s="47" t="n">
        <v>8</v>
      </c>
      <c r="H49" s="49" t="n">
        <v>192249</v>
      </c>
      <c r="I49" s="50" t="n">
        <v>26012</v>
      </c>
      <c r="K49" s="48" t="n">
        <v>16286892249</v>
      </c>
      <c r="N49" s="50" t="n">
        <v>26012</v>
      </c>
      <c r="P49" s="49" t="n">
        <v>202451</v>
      </c>
      <c r="Q49" s="50" t="n">
        <v>25861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1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AA14" activeCellId="0" sqref="AA14"/>
    </sheetView>
  </sheetViews>
  <sheetFormatPr defaultColWidth="11.5625" defaultRowHeight="14.25" zeroHeight="false" outlineLevelRow="0" outlineLevelCol="0"/>
  <cols>
    <col collapsed="false" customWidth="true" hidden="false" outlineLevel="0" max="1" min="1" style="3" width="4.44"/>
    <col collapsed="false" customWidth="true" hidden="false" outlineLevel="0" max="2" min="2" style="3" width="22.67"/>
    <col collapsed="false" customWidth="true" hidden="false" outlineLevel="0" max="4" min="3" style="3" width="8.67"/>
    <col collapsed="false" customWidth="true" hidden="false" outlineLevel="0" max="5" min="5" style="3" width="13"/>
    <col collapsed="false" customWidth="true" hidden="false" outlineLevel="0" max="6" min="6" style="3" width="7.33"/>
    <col collapsed="false" customWidth="false" hidden="false" outlineLevel="0" max="7" min="7" style="3" width="11.56"/>
    <col collapsed="false" customWidth="true" hidden="false" outlineLevel="0" max="8" min="8" style="3" width="18.11"/>
    <col collapsed="false" customWidth="true" hidden="false" outlineLevel="0" max="9" min="9" style="3" width="5.66"/>
    <col collapsed="false" customWidth="true" hidden="false" outlineLevel="0" max="10" min="10" style="3" width="11.89"/>
    <col collapsed="false" customWidth="true" hidden="false" outlineLevel="0" max="11" min="11" style="3" width="9.33"/>
    <col collapsed="false" customWidth="true" hidden="false" outlineLevel="0" max="12" min="12" style="3" width="17.67"/>
    <col collapsed="false" customWidth="true" hidden="false" outlineLevel="0" max="13" min="13" style="3" width="9.33"/>
    <col collapsed="false" customWidth="false" hidden="false" outlineLevel="0" max="16384" min="14" style="3" width="11.56"/>
  </cols>
  <sheetData>
    <row r="1" customFormat="false" ht="41.75" hidden="false" customHeight="false" outlineLevel="0" collapsed="false">
      <c r="A1" s="3" t="s">
        <v>65</v>
      </c>
      <c r="B1" s="51" t="s">
        <v>66</v>
      </c>
      <c r="C1" s="51" t="s">
        <v>20</v>
      </c>
      <c r="D1" s="51" t="s">
        <v>67</v>
      </c>
      <c r="E1" s="51" t="s">
        <v>68</v>
      </c>
      <c r="F1" s="51" t="s">
        <v>69</v>
      </c>
      <c r="G1" s="52" t="s">
        <v>70</v>
      </c>
      <c r="H1" s="3" t="s">
        <v>71</v>
      </c>
      <c r="I1" s="3" t="s">
        <v>72</v>
      </c>
      <c r="J1" s="51" t="s">
        <v>73</v>
      </c>
      <c r="K1" s="51" t="s">
        <v>74</v>
      </c>
      <c r="L1" s="51" t="s">
        <v>75</v>
      </c>
      <c r="M1" s="52" t="s">
        <v>76</v>
      </c>
    </row>
    <row r="2" customFormat="false" ht="14.25" hidden="false" customHeight="false" outlineLevel="0" collapsed="false">
      <c r="A2" s="3" t="n">
        <v>15</v>
      </c>
      <c r="B2" s="51" t="s">
        <v>77</v>
      </c>
      <c r="C2" s="51" t="s">
        <v>78</v>
      </c>
      <c r="D2" s="8" t="n">
        <v>213665</v>
      </c>
      <c r="E2" s="51" t="s">
        <v>79</v>
      </c>
      <c r="F2" s="47" t="n">
        <v>4</v>
      </c>
      <c r="G2" s="49" t="n">
        <v>192010</v>
      </c>
      <c r="H2" s="3" t="s">
        <v>80</v>
      </c>
      <c r="I2" s="3" t="n">
        <v>0</v>
      </c>
      <c r="J2" s="53" t="n">
        <v>45113</v>
      </c>
      <c r="K2" s="3" t="s">
        <v>81</v>
      </c>
      <c r="L2" s="54" t="n">
        <v>45113.4313078704</v>
      </c>
      <c r="M2" s="3" t="n">
        <v>1</v>
      </c>
    </row>
    <row r="3" customFormat="false" ht="14.25" hidden="false" customHeight="false" outlineLevel="0" collapsed="false">
      <c r="A3" s="3" t="n">
        <v>16</v>
      </c>
      <c r="B3" s="51" t="s">
        <v>77</v>
      </c>
      <c r="C3" s="51" t="s">
        <v>78</v>
      </c>
      <c r="D3" s="8" t="n">
        <v>213665</v>
      </c>
      <c r="E3" s="51" t="s">
        <v>79</v>
      </c>
      <c r="F3" s="47" t="n">
        <v>4</v>
      </c>
      <c r="G3" s="49" t="n">
        <v>192010</v>
      </c>
      <c r="H3" s="3" t="s">
        <v>82</v>
      </c>
      <c r="I3" s="3" t="n">
        <v>1</v>
      </c>
      <c r="J3" s="53" t="n">
        <v>45113</v>
      </c>
      <c r="K3" s="3" t="s">
        <v>83</v>
      </c>
      <c r="L3" s="54" t="n">
        <v>45113.4313310185</v>
      </c>
      <c r="M3" s="3" t="n">
        <v>2</v>
      </c>
    </row>
    <row r="4" customFormat="false" ht="14.25" hidden="false" customHeight="false" outlineLevel="0" collapsed="false">
      <c r="A4" s="3" t="n">
        <v>17</v>
      </c>
      <c r="B4" s="51" t="s">
        <v>77</v>
      </c>
      <c r="C4" s="51" t="s">
        <v>78</v>
      </c>
      <c r="D4" s="8" t="n">
        <v>213665</v>
      </c>
      <c r="E4" s="51" t="s">
        <v>79</v>
      </c>
      <c r="F4" s="47" t="n">
        <v>4</v>
      </c>
      <c r="G4" s="49" t="n">
        <v>192010</v>
      </c>
      <c r="H4" s="3" t="s">
        <v>84</v>
      </c>
      <c r="I4" s="3" t="n">
        <v>1</v>
      </c>
      <c r="J4" s="53" t="n">
        <v>45113</v>
      </c>
      <c r="K4" s="3" t="s">
        <v>85</v>
      </c>
      <c r="L4" s="54" t="n">
        <v>45113.4314699074</v>
      </c>
      <c r="M4" s="3" t="n">
        <v>3</v>
      </c>
    </row>
    <row r="5" customFormat="false" ht="14.25" hidden="false" customHeight="false" outlineLevel="0" collapsed="false">
      <c r="A5" s="3" t="n">
        <v>18</v>
      </c>
      <c r="B5" s="51" t="s">
        <v>77</v>
      </c>
      <c r="C5" s="51" t="s">
        <v>78</v>
      </c>
      <c r="D5" s="8" t="n">
        <v>213665</v>
      </c>
      <c r="E5" s="51" t="s">
        <v>79</v>
      </c>
      <c r="F5" s="47" t="n">
        <v>4</v>
      </c>
      <c r="G5" s="49" t="n">
        <v>192010</v>
      </c>
      <c r="H5" s="3" t="s">
        <v>86</v>
      </c>
      <c r="I5" s="3" t="n">
        <v>1</v>
      </c>
      <c r="J5" s="53" t="n">
        <v>45113</v>
      </c>
      <c r="K5" s="3" t="s">
        <v>87</v>
      </c>
      <c r="L5" s="54" t="n">
        <v>45113.4314930556</v>
      </c>
      <c r="M5" s="3" t="n">
        <v>4</v>
      </c>
    </row>
    <row r="6" customFormat="false" ht="14.25" hidden="false" customHeight="false" outlineLevel="0" collapsed="false">
      <c r="A6" s="3" t="n">
        <v>19</v>
      </c>
      <c r="B6" s="51" t="s">
        <v>77</v>
      </c>
      <c r="C6" s="51" t="s">
        <v>78</v>
      </c>
      <c r="D6" s="8" t="n">
        <v>213665</v>
      </c>
      <c r="E6" s="51" t="s">
        <v>88</v>
      </c>
      <c r="F6" s="47" t="n">
        <v>2</v>
      </c>
      <c r="G6" s="49" t="n">
        <v>182103</v>
      </c>
      <c r="H6" s="3" t="s">
        <v>89</v>
      </c>
      <c r="I6" s="3" t="n">
        <v>0</v>
      </c>
      <c r="J6" s="53" t="n">
        <v>45113</v>
      </c>
      <c r="K6" s="3" t="s">
        <v>90</v>
      </c>
      <c r="L6" s="54" t="n">
        <v>45113.4324652778</v>
      </c>
      <c r="M6" s="3" t="n">
        <v>5</v>
      </c>
    </row>
    <row r="7" customFormat="false" ht="14.25" hidden="false" customHeight="false" outlineLevel="0" collapsed="false">
      <c r="A7" s="3" t="n">
        <v>20</v>
      </c>
      <c r="B7" s="51" t="s">
        <v>77</v>
      </c>
      <c r="C7" s="51" t="s">
        <v>78</v>
      </c>
      <c r="D7" s="8" t="n">
        <v>213665</v>
      </c>
      <c r="E7" s="51" t="s">
        <v>88</v>
      </c>
      <c r="F7" s="47" t="n">
        <v>2</v>
      </c>
      <c r="G7" s="49" t="n">
        <v>182103</v>
      </c>
      <c r="H7" s="3" t="s">
        <v>91</v>
      </c>
      <c r="I7" s="3" t="n">
        <v>1</v>
      </c>
      <c r="J7" s="53" t="n">
        <v>45113</v>
      </c>
      <c r="K7" s="3" t="s">
        <v>92</v>
      </c>
      <c r="L7" s="54" t="n">
        <v>45113.4324768519</v>
      </c>
      <c r="M7" s="3" t="n">
        <v>6</v>
      </c>
    </row>
    <row r="8" customFormat="false" ht="14.25" hidden="false" customHeight="false" outlineLevel="0" collapsed="false">
      <c r="A8" s="3" t="n">
        <v>21</v>
      </c>
      <c r="B8" s="51" t="s">
        <v>77</v>
      </c>
      <c r="C8" s="51" t="s">
        <v>78</v>
      </c>
      <c r="D8" s="8" t="n">
        <v>213665</v>
      </c>
      <c r="E8" s="51" t="s">
        <v>88</v>
      </c>
      <c r="F8" s="47" t="n">
        <v>2</v>
      </c>
      <c r="G8" s="49" t="n">
        <v>182103</v>
      </c>
      <c r="H8" s="3" t="s">
        <v>93</v>
      </c>
      <c r="I8" s="3" t="n">
        <v>1</v>
      </c>
      <c r="J8" s="53" t="n">
        <v>45113</v>
      </c>
      <c r="K8" s="3" t="s">
        <v>94</v>
      </c>
      <c r="L8" s="54" t="n">
        <v>45113.4325115741</v>
      </c>
      <c r="M8" s="3" t="n">
        <v>7</v>
      </c>
    </row>
    <row r="9" customFormat="false" ht="14.25" hidden="false" customHeight="false" outlineLevel="0" collapsed="false">
      <c r="A9" s="3" t="n">
        <v>22</v>
      </c>
      <c r="B9" s="51" t="s">
        <v>77</v>
      </c>
      <c r="C9" s="51" t="s">
        <v>78</v>
      </c>
      <c r="D9" s="8" t="n">
        <v>213665</v>
      </c>
      <c r="E9" s="51" t="s">
        <v>88</v>
      </c>
      <c r="F9" s="47" t="n">
        <v>2</v>
      </c>
      <c r="G9" s="49" t="n">
        <v>182103</v>
      </c>
      <c r="H9" s="3" t="s">
        <v>95</v>
      </c>
      <c r="I9" s="3" t="n">
        <v>2</v>
      </c>
      <c r="J9" s="53" t="n">
        <v>45113</v>
      </c>
      <c r="K9" s="3" t="s">
        <v>96</v>
      </c>
      <c r="L9" s="54" t="n">
        <v>45113.4325347222</v>
      </c>
      <c r="M9" s="3" t="n">
        <v>8</v>
      </c>
    </row>
    <row r="10" customFormat="false" ht="14.25" hidden="false" customHeight="false" outlineLevel="0" collapsed="false">
      <c r="A10" s="3" t="n">
        <v>23</v>
      </c>
      <c r="B10" s="51" t="s">
        <v>77</v>
      </c>
      <c r="C10" s="51" t="s">
        <v>78</v>
      </c>
      <c r="D10" s="8" t="n">
        <v>213665</v>
      </c>
      <c r="E10" s="51" t="s">
        <v>88</v>
      </c>
      <c r="F10" s="47" t="n">
        <v>2</v>
      </c>
      <c r="G10" s="49" t="n">
        <v>182103</v>
      </c>
      <c r="H10" s="3" t="s">
        <v>97</v>
      </c>
      <c r="I10" s="3" t="n">
        <v>1</v>
      </c>
      <c r="J10" s="53" t="n">
        <v>45113</v>
      </c>
      <c r="K10" s="3" t="s">
        <v>98</v>
      </c>
      <c r="L10" s="54" t="n">
        <v>45113.4326273148</v>
      </c>
      <c r="M10" s="3" t="n">
        <v>9</v>
      </c>
    </row>
    <row r="11" customFormat="false" ht="14.25" hidden="false" customHeight="false" outlineLevel="0" collapsed="false">
      <c r="A11" s="3" t="n">
        <v>24</v>
      </c>
      <c r="B11" s="51" t="s">
        <v>77</v>
      </c>
      <c r="C11" s="51" t="s">
        <v>78</v>
      </c>
      <c r="D11" s="8" t="n">
        <v>213665</v>
      </c>
      <c r="E11" s="51" t="s">
        <v>88</v>
      </c>
      <c r="F11" s="47" t="n">
        <v>2</v>
      </c>
      <c r="G11" s="49" t="n">
        <v>182103</v>
      </c>
      <c r="H11" s="3" t="s">
        <v>99</v>
      </c>
      <c r="I11" s="3" t="n">
        <v>0</v>
      </c>
      <c r="J11" s="53" t="n">
        <v>45113</v>
      </c>
      <c r="K11" s="3" t="s">
        <v>100</v>
      </c>
      <c r="L11" s="54" t="n">
        <v>45113.4326736111</v>
      </c>
      <c r="M11" s="3" t="n">
        <v>10</v>
      </c>
    </row>
    <row r="12" customFormat="false" ht="14.25" hidden="false" customHeight="false" outlineLevel="0" collapsed="false">
      <c r="A12" s="3" t="n">
        <v>25</v>
      </c>
      <c r="B12" s="51" t="s">
        <v>77</v>
      </c>
      <c r="C12" s="51" t="s">
        <v>78</v>
      </c>
      <c r="D12" s="8" t="n">
        <v>213665</v>
      </c>
      <c r="E12" s="51" t="s">
        <v>88</v>
      </c>
      <c r="F12" s="47" t="n">
        <v>2</v>
      </c>
      <c r="G12" s="49" t="n">
        <v>182103</v>
      </c>
      <c r="H12" s="3" t="s">
        <v>101</v>
      </c>
      <c r="I12" s="3" t="n">
        <v>1</v>
      </c>
      <c r="J12" s="53" t="n">
        <v>45113</v>
      </c>
      <c r="K12" s="3" t="s">
        <v>102</v>
      </c>
      <c r="L12" s="54" t="n">
        <v>45113.4327546296</v>
      </c>
      <c r="M12" s="3" t="n">
        <v>11</v>
      </c>
    </row>
    <row r="13" customFormat="false" ht="14.25" hidden="false" customHeight="false" outlineLevel="0" collapsed="false">
      <c r="A13" s="3" t="n">
        <v>27</v>
      </c>
      <c r="B13" s="51" t="s">
        <v>77</v>
      </c>
      <c r="C13" s="51" t="s">
        <v>78</v>
      </c>
      <c r="D13" s="8" t="n">
        <v>213665</v>
      </c>
      <c r="E13" s="51" t="s">
        <v>103</v>
      </c>
      <c r="F13" s="47" t="n">
        <v>12</v>
      </c>
      <c r="G13" s="49" t="n">
        <v>202053</v>
      </c>
      <c r="H13" s="3" t="s">
        <v>104</v>
      </c>
      <c r="I13" s="3" t="n">
        <v>3</v>
      </c>
      <c r="J13" s="53" t="n">
        <v>45113</v>
      </c>
      <c r="K13" s="3" t="s">
        <v>105</v>
      </c>
      <c r="L13" s="54" t="n">
        <v>45113.6887384259</v>
      </c>
      <c r="M13" s="3" t="n">
        <v>12</v>
      </c>
    </row>
    <row r="14" customFormat="false" ht="14.25" hidden="false" customHeight="false" outlineLevel="0" collapsed="false">
      <c r="A14" s="3" t="n">
        <v>28</v>
      </c>
      <c r="B14" s="51" t="s">
        <v>77</v>
      </c>
      <c r="C14" s="51" t="s">
        <v>78</v>
      </c>
      <c r="D14" s="8" t="n">
        <v>213665</v>
      </c>
      <c r="E14" s="51" t="s">
        <v>103</v>
      </c>
      <c r="F14" s="47" t="n">
        <v>12</v>
      </c>
      <c r="G14" s="49" t="n">
        <v>202053</v>
      </c>
      <c r="H14" s="3" t="s">
        <v>106</v>
      </c>
      <c r="I14" s="3" t="n">
        <v>1</v>
      </c>
      <c r="J14" s="53" t="n">
        <v>45113</v>
      </c>
      <c r="K14" s="3" t="s">
        <v>107</v>
      </c>
      <c r="L14" s="54" t="n">
        <v>45113.6903009259</v>
      </c>
      <c r="M14" s="3" t="n">
        <v>13</v>
      </c>
    </row>
    <row r="15" customFormat="false" ht="14.25" hidden="false" customHeight="false" outlineLevel="0" collapsed="false">
      <c r="A15" s="3" t="n">
        <v>29</v>
      </c>
      <c r="B15" s="51" t="s">
        <v>77</v>
      </c>
      <c r="C15" s="51" t="s">
        <v>78</v>
      </c>
      <c r="D15" s="8" t="n">
        <v>213665</v>
      </c>
      <c r="E15" s="51" t="s">
        <v>108</v>
      </c>
      <c r="F15" s="47" t="n">
        <v>39</v>
      </c>
      <c r="G15" s="49" t="n">
        <v>223258</v>
      </c>
      <c r="H15" s="3" t="s">
        <v>109</v>
      </c>
      <c r="I15" s="3" t="n">
        <v>0</v>
      </c>
      <c r="J15" s="53" t="n">
        <v>45113</v>
      </c>
      <c r="K15" s="3" t="s">
        <v>110</v>
      </c>
      <c r="L15" s="54" t="n">
        <v>45113.716712963</v>
      </c>
      <c r="M15" s="3" t="n">
        <v>14</v>
      </c>
    </row>
    <row r="16" customFormat="false" ht="14.25" hidden="false" customHeight="false" outlineLevel="0" collapsed="false">
      <c r="A16" s="3" t="n">
        <v>30</v>
      </c>
      <c r="B16" s="51" t="s">
        <v>77</v>
      </c>
      <c r="C16" s="51" t="s">
        <v>78</v>
      </c>
      <c r="D16" s="8" t="n">
        <v>213665</v>
      </c>
      <c r="E16" s="51" t="s">
        <v>108</v>
      </c>
      <c r="F16" s="47" t="n">
        <v>39</v>
      </c>
      <c r="G16" s="49" t="n">
        <v>223258</v>
      </c>
      <c r="H16" s="3" t="s">
        <v>111</v>
      </c>
      <c r="I16" s="3" t="n">
        <v>1</v>
      </c>
      <c r="J16" s="53" t="n">
        <v>45113</v>
      </c>
      <c r="K16" s="3" t="s">
        <v>112</v>
      </c>
      <c r="L16" s="54" t="n">
        <v>45113.716724537</v>
      </c>
      <c r="M16" s="3" t="n">
        <v>15</v>
      </c>
    </row>
    <row r="17" customFormat="false" ht="14.25" hidden="false" customHeight="false" outlineLevel="0" collapsed="false">
      <c r="A17" s="3" t="n">
        <v>31</v>
      </c>
      <c r="B17" s="51" t="s">
        <v>77</v>
      </c>
      <c r="C17" s="51" t="s">
        <v>78</v>
      </c>
      <c r="D17" s="8" t="n">
        <v>213665</v>
      </c>
      <c r="E17" s="51" t="s">
        <v>103</v>
      </c>
      <c r="F17" s="47" t="n">
        <v>12</v>
      </c>
      <c r="G17" s="49" t="n">
        <v>202053</v>
      </c>
      <c r="H17" s="3" t="s">
        <v>113</v>
      </c>
      <c r="I17" s="3" t="n">
        <v>1</v>
      </c>
      <c r="J17" s="53" t="n">
        <v>45113</v>
      </c>
      <c r="K17" s="3" t="s">
        <v>114</v>
      </c>
      <c r="L17" s="54" t="n">
        <v>45113.7253819444</v>
      </c>
      <c r="M17" s="3" t="n">
        <v>16</v>
      </c>
    </row>
    <row r="18" customFormat="false" ht="14.25" hidden="false" customHeight="false" outlineLevel="0" collapsed="false">
      <c r="A18" s="3" t="n">
        <v>32</v>
      </c>
      <c r="B18" s="51" t="s">
        <v>77</v>
      </c>
      <c r="C18" s="51" t="s">
        <v>78</v>
      </c>
      <c r="D18" s="8" t="n">
        <v>213665</v>
      </c>
      <c r="E18" s="51" t="s">
        <v>103</v>
      </c>
      <c r="F18" s="47" t="n">
        <v>12</v>
      </c>
      <c r="G18" s="49" t="n">
        <v>202053</v>
      </c>
      <c r="H18" s="3" t="s">
        <v>115</v>
      </c>
      <c r="I18" s="3" t="n">
        <v>1</v>
      </c>
      <c r="J18" s="53" t="n">
        <v>45113</v>
      </c>
      <c r="K18" s="3" t="s">
        <v>116</v>
      </c>
      <c r="L18" s="54" t="n">
        <v>45113.7263194444</v>
      </c>
      <c r="M18" s="3" t="n">
        <v>17</v>
      </c>
    </row>
    <row r="19" customFormat="false" ht="14.25" hidden="false" customHeight="false" outlineLevel="0" collapsed="false">
      <c r="A19" s="3" t="n">
        <v>33</v>
      </c>
      <c r="B19" s="51" t="s">
        <v>77</v>
      </c>
      <c r="C19" s="51" t="s">
        <v>78</v>
      </c>
      <c r="D19" s="8" t="n">
        <v>213665</v>
      </c>
      <c r="E19" s="51" t="s">
        <v>103</v>
      </c>
      <c r="F19" s="47" t="n">
        <v>12</v>
      </c>
      <c r="G19" s="49" t="n">
        <v>202053</v>
      </c>
      <c r="H19" s="3" t="s">
        <v>117</v>
      </c>
      <c r="I19" s="3" t="n">
        <v>0</v>
      </c>
      <c r="J19" s="53" t="n">
        <v>45113</v>
      </c>
      <c r="K19" s="3" t="s">
        <v>118</v>
      </c>
      <c r="L19" s="54" t="n">
        <v>45113.7263425926</v>
      </c>
      <c r="M19" s="3" t="n">
        <v>18</v>
      </c>
    </row>
    <row r="20" customFormat="false" ht="14.25" hidden="false" customHeight="false" outlineLevel="0" collapsed="false">
      <c r="A20" s="3" t="n">
        <v>34</v>
      </c>
      <c r="B20" s="51" t="s">
        <v>77</v>
      </c>
      <c r="C20" s="51" t="s">
        <v>78</v>
      </c>
      <c r="D20" s="8" t="n">
        <v>213665</v>
      </c>
      <c r="E20" s="51" t="s">
        <v>88</v>
      </c>
      <c r="F20" s="47" t="n">
        <v>2</v>
      </c>
      <c r="G20" s="49" t="n">
        <v>182103</v>
      </c>
      <c r="H20" s="3" t="s">
        <v>119</v>
      </c>
      <c r="I20" s="3" t="n">
        <v>0</v>
      </c>
      <c r="J20" s="53" t="n">
        <v>45113</v>
      </c>
      <c r="K20" s="3" t="s">
        <v>120</v>
      </c>
      <c r="L20" s="54" t="n">
        <v>45113.7720023148</v>
      </c>
      <c r="M20" s="3" t="n">
        <v>19</v>
      </c>
    </row>
    <row r="21" customFormat="false" ht="14.25" hidden="false" customHeight="false" outlineLevel="0" collapsed="false">
      <c r="A21" s="3" t="n">
        <v>35</v>
      </c>
      <c r="B21" s="51" t="s">
        <v>77</v>
      </c>
      <c r="C21" s="51" t="s">
        <v>78</v>
      </c>
      <c r="D21" s="8" t="n">
        <v>213665</v>
      </c>
      <c r="E21" s="51" t="s">
        <v>88</v>
      </c>
      <c r="F21" s="47" t="n">
        <v>2</v>
      </c>
      <c r="G21" s="49" t="n">
        <v>182103</v>
      </c>
      <c r="H21" s="3" t="s">
        <v>121</v>
      </c>
      <c r="I21" s="3" t="n">
        <v>0</v>
      </c>
      <c r="J21" s="53" t="n">
        <v>45113</v>
      </c>
      <c r="K21" s="3" t="s">
        <v>122</v>
      </c>
      <c r="L21" s="54" t="n">
        <v>45113.7721875</v>
      </c>
      <c r="M21" s="3" t="n">
        <v>20</v>
      </c>
    </row>
    <row r="22" customFormat="false" ht="14.25" hidden="false" customHeight="false" outlineLevel="0" collapsed="false">
      <c r="A22" s="3" t="n">
        <v>36</v>
      </c>
      <c r="B22" s="51" t="s">
        <v>77</v>
      </c>
      <c r="C22" s="51" t="s">
        <v>78</v>
      </c>
      <c r="D22" s="8" t="n">
        <v>213665</v>
      </c>
      <c r="E22" s="51" t="s">
        <v>123</v>
      </c>
      <c r="F22" s="47" t="n">
        <v>37</v>
      </c>
      <c r="G22" s="49" t="n">
        <v>223220</v>
      </c>
      <c r="H22" s="3" t="s">
        <v>124</v>
      </c>
      <c r="I22" s="3" t="n">
        <v>1</v>
      </c>
      <c r="J22" s="53" t="n">
        <v>45113</v>
      </c>
      <c r="K22" s="3" t="s">
        <v>125</v>
      </c>
      <c r="L22" s="54" t="n">
        <v>45113.937025463</v>
      </c>
      <c r="M22" s="3" t="n">
        <v>21</v>
      </c>
    </row>
    <row r="23" customFormat="false" ht="14.25" hidden="false" customHeight="false" outlineLevel="0" collapsed="false">
      <c r="A23" s="3" t="n">
        <v>37</v>
      </c>
      <c r="B23" s="51" t="s">
        <v>77</v>
      </c>
      <c r="C23" s="51" t="s">
        <v>78</v>
      </c>
      <c r="D23" s="8" t="n">
        <v>213665</v>
      </c>
      <c r="E23" s="51" t="s">
        <v>126</v>
      </c>
      <c r="F23" s="47" t="n">
        <v>5</v>
      </c>
      <c r="G23" s="49" t="n">
        <v>192072</v>
      </c>
      <c r="H23" s="3" t="s">
        <v>127</v>
      </c>
      <c r="I23" s="3" t="n">
        <v>1</v>
      </c>
      <c r="J23" s="53" t="n">
        <v>45113</v>
      </c>
      <c r="K23" s="3" t="s">
        <v>128</v>
      </c>
      <c r="L23" s="54" t="n">
        <v>45113.9463773148</v>
      </c>
      <c r="M23" s="3" t="n">
        <v>22</v>
      </c>
    </row>
    <row r="24" customFormat="false" ht="14.25" hidden="false" customHeight="false" outlineLevel="0" collapsed="false">
      <c r="A24" s="3" t="n">
        <v>38</v>
      </c>
      <c r="B24" s="51" t="s">
        <v>77</v>
      </c>
      <c r="C24" s="51" t="s">
        <v>78</v>
      </c>
      <c r="D24" s="8" t="n">
        <v>213665</v>
      </c>
      <c r="E24" s="51" t="s">
        <v>108</v>
      </c>
      <c r="F24" s="47" t="n">
        <v>39</v>
      </c>
      <c r="G24" s="49" t="n">
        <v>223258</v>
      </c>
      <c r="H24" s="3" t="s">
        <v>129</v>
      </c>
      <c r="I24" s="3" t="n">
        <v>4</v>
      </c>
      <c r="J24" s="53" t="n">
        <v>45113</v>
      </c>
      <c r="K24" s="3" t="s">
        <v>130</v>
      </c>
      <c r="L24" s="54" t="n">
        <v>45113.9671990741</v>
      </c>
      <c r="M24" s="3" t="n">
        <v>23</v>
      </c>
    </row>
    <row r="25" customFormat="false" ht="14.25" hidden="false" customHeight="false" outlineLevel="0" collapsed="false">
      <c r="A25" s="3" t="n">
        <v>39</v>
      </c>
      <c r="B25" s="51" t="s">
        <v>77</v>
      </c>
      <c r="C25" s="51" t="s">
        <v>78</v>
      </c>
      <c r="D25" s="8" t="n">
        <v>213665</v>
      </c>
      <c r="E25" s="51" t="s">
        <v>108</v>
      </c>
      <c r="F25" s="47" t="n">
        <v>39</v>
      </c>
      <c r="G25" s="49" t="n">
        <v>223258</v>
      </c>
      <c r="H25" s="3" t="s">
        <v>131</v>
      </c>
      <c r="I25" s="3" t="n">
        <v>0</v>
      </c>
      <c r="J25" s="53" t="n">
        <v>45113</v>
      </c>
      <c r="K25" s="3" t="s">
        <v>132</v>
      </c>
      <c r="L25" s="54" t="n">
        <v>45113.968599537</v>
      </c>
      <c r="M25" s="3" t="n">
        <v>24</v>
      </c>
    </row>
    <row r="26" customFormat="false" ht="14.25" hidden="false" customHeight="false" outlineLevel="0" collapsed="false">
      <c r="A26" s="3" t="n">
        <v>40</v>
      </c>
      <c r="B26" s="51" t="s">
        <v>77</v>
      </c>
      <c r="C26" s="51" t="s">
        <v>78</v>
      </c>
      <c r="D26" s="8" t="n">
        <v>213665</v>
      </c>
      <c r="E26" s="51" t="s">
        <v>108</v>
      </c>
      <c r="F26" s="47" t="n">
        <v>39</v>
      </c>
      <c r="G26" s="49" t="n">
        <v>223258</v>
      </c>
      <c r="H26" s="3" t="s">
        <v>133</v>
      </c>
      <c r="I26" s="3" t="n">
        <v>0</v>
      </c>
      <c r="J26" s="53" t="n">
        <v>45113</v>
      </c>
      <c r="K26" s="3" t="s">
        <v>134</v>
      </c>
      <c r="L26" s="54" t="n">
        <v>45113.9915277778</v>
      </c>
      <c r="M26" s="3" t="n">
        <v>25</v>
      </c>
    </row>
    <row r="27" customFormat="false" ht="14.25" hidden="false" customHeight="false" outlineLevel="0" collapsed="false">
      <c r="A27" s="3" t="n">
        <v>41</v>
      </c>
      <c r="B27" s="51" t="s">
        <v>77</v>
      </c>
      <c r="C27" s="51" t="s">
        <v>78</v>
      </c>
      <c r="D27" s="8" t="n">
        <v>213665</v>
      </c>
      <c r="E27" s="51" t="s">
        <v>135</v>
      </c>
      <c r="F27" s="47" t="n">
        <v>38</v>
      </c>
      <c r="G27" s="49" t="n">
        <v>223223</v>
      </c>
      <c r="H27" s="3" t="s">
        <v>136</v>
      </c>
      <c r="I27" s="3" t="n">
        <v>1</v>
      </c>
      <c r="J27" s="53" t="n">
        <v>45113</v>
      </c>
      <c r="K27" s="3" t="s">
        <v>137</v>
      </c>
      <c r="L27" s="54" t="n">
        <v>45113.9958333333</v>
      </c>
      <c r="M27" s="3" t="n">
        <v>26</v>
      </c>
    </row>
    <row r="28" customFormat="false" ht="14.25" hidden="false" customHeight="false" outlineLevel="0" collapsed="false">
      <c r="A28" s="3" t="n">
        <v>42</v>
      </c>
      <c r="B28" s="51" t="s">
        <v>77</v>
      </c>
      <c r="C28" s="51" t="s">
        <v>78</v>
      </c>
      <c r="D28" s="8" t="n">
        <v>213665</v>
      </c>
      <c r="E28" s="51" t="s">
        <v>138</v>
      </c>
      <c r="F28" s="47" t="n">
        <v>8</v>
      </c>
      <c r="G28" s="49" t="n">
        <v>192249</v>
      </c>
      <c r="H28" s="3" t="s">
        <v>139</v>
      </c>
      <c r="I28" s="3" t="n">
        <v>4</v>
      </c>
      <c r="J28" s="53" t="n">
        <v>45114</v>
      </c>
      <c r="K28" s="3" t="s">
        <v>140</v>
      </c>
      <c r="L28" s="54" t="n">
        <v>45114.0069328704</v>
      </c>
      <c r="M28" s="3" t="n">
        <v>27</v>
      </c>
    </row>
    <row r="29" customFormat="false" ht="14.25" hidden="false" customHeight="false" outlineLevel="0" collapsed="false">
      <c r="A29" s="3" t="n">
        <v>43</v>
      </c>
      <c r="B29" s="51" t="s">
        <v>77</v>
      </c>
      <c r="C29" s="51" t="s">
        <v>78</v>
      </c>
      <c r="D29" s="8" t="n">
        <v>213665</v>
      </c>
      <c r="E29" s="51" t="s">
        <v>138</v>
      </c>
      <c r="F29" s="47" t="n">
        <v>8</v>
      </c>
      <c r="G29" s="49" t="n">
        <v>192249</v>
      </c>
      <c r="H29" s="3" t="s">
        <v>141</v>
      </c>
      <c r="I29" s="3" t="n">
        <v>0</v>
      </c>
      <c r="J29" s="53" t="n">
        <v>45114</v>
      </c>
      <c r="K29" s="3" t="s">
        <v>142</v>
      </c>
      <c r="L29" s="54" t="n">
        <v>45114.0069907407</v>
      </c>
      <c r="M29" s="3" t="n">
        <v>28</v>
      </c>
    </row>
    <row r="30" customFormat="false" ht="14.25" hidden="false" customHeight="false" outlineLevel="0" collapsed="false">
      <c r="A30" s="3" t="n">
        <v>44</v>
      </c>
      <c r="B30" s="51" t="s">
        <v>77</v>
      </c>
      <c r="C30" s="51" t="s">
        <v>78</v>
      </c>
      <c r="D30" s="8" t="n">
        <v>213665</v>
      </c>
      <c r="E30" s="51" t="s">
        <v>143</v>
      </c>
      <c r="F30" s="47" t="n">
        <v>32</v>
      </c>
      <c r="G30" s="49" t="n">
        <v>223044</v>
      </c>
      <c r="H30" s="3" t="s">
        <v>144</v>
      </c>
      <c r="I30" s="3" t="n">
        <v>1</v>
      </c>
      <c r="J30" s="53" t="n">
        <v>45114</v>
      </c>
      <c r="K30" s="3" t="s">
        <v>145</v>
      </c>
      <c r="L30" s="54" t="n">
        <v>45114.0078125</v>
      </c>
      <c r="M30" s="3" t="n">
        <v>29</v>
      </c>
    </row>
    <row r="31" customFormat="false" ht="14.25" hidden="false" customHeight="false" outlineLevel="0" collapsed="false">
      <c r="A31" s="3" t="n">
        <v>45</v>
      </c>
      <c r="B31" s="51" t="s">
        <v>77</v>
      </c>
      <c r="C31" s="51" t="s">
        <v>78</v>
      </c>
      <c r="D31" s="8" t="n">
        <v>213665</v>
      </c>
      <c r="E31" s="51" t="s">
        <v>143</v>
      </c>
      <c r="F31" s="47" t="n">
        <v>32</v>
      </c>
      <c r="G31" s="49" t="n">
        <v>223044</v>
      </c>
      <c r="H31" s="3" t="s">
        <v>146</v>
      </c>
      <c r="I31" s="3" t="n">
        <v>0</v>
      </c>
      <c r="J31" s="53" t="n">
        <v>45114</v>
      </c>
      <c r="K31" s="3" t="s">
        <v>147</v>
      </c>
      <c r="L31" s="54" t="n">
        <v>45114.0078356481</v>
      </c>
      <c r="M31" s="3" t="n">
        <v>30</v>
      </c>
    </row>
    <row r="32" customFormat="false" ht="14.25" hidden="false" customHeight="false" outlineLevel="0" collapsed="false">
      <c r="A32" s="3" t="n">
        <v>46</v>
      </c>
      <c r="B32" s="51" t="s">
        <v>77</v>
      </c>
      <c r="C32" s="51" t="s">
        <v>78</v>
      </c>
      <c r="D32" s="8" t="n">
        <v>213665</v>
      </c>
      <c r="E32" s="51" t="s">
        <v>148</v>
      </c>
      <c r="F32" s="47" t="n">
        <v>17</v>
      </c>
      <c r="G32" s="49" t="n">
        <v>202290</v>
      </c>
      <c r="H32" s="3" t="s">
        <v>149</v>
      </c>
      <c r="I32" s="3" t="n">
        <v>1</v>
      </c>
      <c r="J32" s="53" t="n">
        <v>45114</v>
      </c>
      <c r="K32" s="3" t="s">
        <v>150</v>
      </c>
      <c r="L32" s="54" t="n">
        <v>45114.0087962963</v>
      </c>
      <c r="M32" s="3" t="n">
        <v>31</v>
      </c>
    </row>
    <row r="33" customFormat="false" ht="14.25" hidden="false" customHeight="false" outlineLevel="0" collapsed="false">
      <c r="A33" s="3" t="n">
        <v>47</v>
      </c>
      <c r="B33" s="51" t="s">
        <v>77</v>
      </c>
      <c r="C33" s="51" t="s">
        <v>78</v>
      </c>
      <c r="D33" s="8" t="n">
        <v>213665</v>
      </c>
      <c r="E33" s="51" t="s">
        <v>151</v>
      </c>
      <c r="F33" s="47" t="n">
        <v>22</v>
      </c>
      <c r="G33" s="49" t="n">
        <v>213117</v>
      </c>
      <c r="H33" s="3" t="s">
        <v>152</v>
      </c>
      <c r="I33" s="3" t="n">
        <v>1</v>
      </c>
      <c r="J33" s="53" t="n">
        <v>45114</v>
      </c>
      <c r="K33" s="3" t="s">
        <v>153</v>
      </c>
      <c r="L33" s="54" t="n">
        <v>45114.0115046296</v>
      </c>
      <c r="M33" s="3" t="n">
        <v>32</v>
      </c>
    </row>
    <row r="34" customFormat="false" ht="14.25" hidden="false" customHeight="false" outlineLevel="0" collapsed="false">
      <c r="A34" s="3" t="n">
        <v>48</v>
      </c>
      <c r="B34" s="51" t="s">
        <v>77</v>
      </c>
      <c r="C34" s="51" t="s">
        <v>78</v>
      </c>
      <c r="D34" s="8" t="n">
        <v>213665</v>
      </c>
      <c r="E34" s="51" t="s">
        <v>151</v>
      </c>
      <c r="F34" s="47" t="n">
        <v>22</v>
      </c>
      <c r="G34" s="49" t="n">
        <v>213117</v>
      </c>
      <c r="H34" s="3" t="s">
        <v>154</v>
      </c>
      <c r="I34" s="3" t="n">
        <v>1</v>
      </c>
      <c r="J34" s="53" t="n">
        <v>45114</v>
      </c>
      <c r="K34" s="3" t="s">
        <v>155</v>
      </c>
      <c r="L34" s="54" t="n">
        <v>45114.0123032407</v>
      </c>
      <c r="M34" s="3" t="n">
        <v>33</v>
      </c>
    </row>
    <row r="35" customFormat="false" ht="14.25" hidden="false" customHeight="false" outlineLevel="0" collapsed="false">
      <c r="A35" s="3" t="n">
        <v>49</v>
      </c>
      <c r="B35" s="51" t="s">
        <v>77</v>
      </c>
      <c r="C35" s="51" t="s">
        <v>78</v>
      </c>
      <c r="D35" s="8" t="n">
        <v>213665</v>
      </c>
      <c r="E35" s="51" t="s">
        <v>151</v>
      </c>
      <c r="F35" s="47" t="n">
        <v>22</v>
      </c>
      <c r="G35" s="49" t="n">
        <v>213117</v>
      </c>
      <c r="H35" s="3" t="s">
        <v>156</v>
      </c>
      <c r="I35" s="3" t="n">
        <v>1</v>
      </c>
      <c r="J35" s="53" t="n">
        <v>45114</v>
      </c>
      <c r="K35" s="3" t="s">
        <v>157</v>
      </c>
      <c r="L35" s="54" t="n">
        <v>45114.012337963</v>
      </c>
      <c r="M35" s="3" t="n">
        <v>34</v>
      </c>
    </row>
    <row r="36" customFormat="false" ht="14.25" hidden="false" customHeight="false" outlineLevel="0" collapsed="false">
      <c r="A36" s="3" t="n">
        <v>50</v>
      </c>
      <c r="B36" s="51" t="s">
        <v>77</v>
      </c>
      <c r="C36" s="51" t="s">
        <v>78</v>
      </c>
      <c r="D36" s="8" t="n">
        <v>213665</v>
      </c>
      <c r="E36" s="51" t="s">
        <v>148</v>
      </c>
      <c r="F36" s="47" t="n">
        <v>17</v>
      </c>
      <c r="G36" s="49" t="n">
        <v>202290</v>
      </c>
      <c r="H36" s="3" t="s">
        <v>158</v>
      </c>
      <c r="I36" s="3" t="n">
        <v>2</v>
      </c>
      <c r="J36" s="53" t="n">
        <v>45114</v>
      </c>
      <c r="K36" s="3" t="s">
        <v>159</v>
      </c>
      <c r="L36" s="54" t="n">
        <v>45114.0560648148</v>
      </c>
      <c r="M36" s="3" t="n">
        <v>35</v>
      </c>
    </row>
    <row r="37" customFormat="false" ht="14.25" hidden="false" customHeight="false" outlineLevel="0" collapsed="false">
      <c r="A37" s="3" t="n">
        <v>51</v>
      </c>
      <c r="B37" s="51" t="s">
        <v>77</v>
      </c>
      <c r="C37" s="51" t="s">
        <v>78</v>
      </c>
      <c r="D37" s="8" t="n">
        <v>213665</v>
      </c>
      <c r="E37" s="51" t="s">
        <v>160</v>
      </c>
      <c r="F37" s="47" t="n">
        <v>35</v>
      </c>
      <c r="G37" s="49" t="n">
        <v>223161</v>
      </c>
      <c r="H37" s="3" t="s">
        <v>161</v>
      </c>
      <c r="I37" s="3" t="n">
        <v>0</v>
      </c>
      <c r="J37" s="53" t="n">
        <v>45114</v>
      </c>
      <c r="K37" s="3" t="s">
        <v>162</v>
      </c>
      <c r="L37" s="54" t="n">
        <v>45114.0626736111</v>
      </c>
      <c r="M37" s="3" t="n">
        <v>36</v>
      </c>
    </row>
    <row r="38" customFormat="false" ht="14.25" hidden="false" customHeight="false" outlineLevel="0" collapsed="false">
      <c r="A38" s="3" t="n">
        <v>52</v>
      </c>
      <c r="B38" s="51" t="s">
        <v>77</v>
      </c>
      <c r="C38" s="51" t="s">
        <v>78</v>
      </c>
      <c r="D38" s="8" t="n">
        <v>213665</v>
      </c>
      <c r="E38" s="51" t="s">
        <v>160</v>
      </c>
      <c r="F38" s="47" t="n">
        <v>35</v>
      </c>
      <c r="G38" s="49" t="n">
        <v>223161</v>
      </c>
      <c r="H38" s="3" t="s">
        <v>163</v>
      </c>
      <c r="I38" s="3" t="n">
        <v>1</v>
      </c>
      <c r="J38" s="53" t="n">
        <v>45114</v>
      </c>
      <c r="K38" s="3" t="s">
        <v>164</v>
      </c>
      <c r="L38" s="54" t="n">
        <v>45114.0653935185</v>
      </c>
      <c r="M38" s="3" t="n">
        <v>37</v>
      </c>
    </row>
    <row r="39" customFormat="false" ht="14.25" hidden="false" customHeight="false" outlineLevel="0" collapsed="false">
      <c r="A39" s="3" t="n">
        <v>53</v>
      </c>
      <c r="B39" s="51" t="s">
        <v>77</v>
      </c>
      <c r="C39" s="51" t="s">
        <v>78</v>
      </c>
      <c r="D39" s="8" t="n">
        <v>213665</v>
      </c>
      <c r="E39" s="51" t="s">
        <v>160</v>
      </c>
      <c r="F39" s="47" t="n">
        <v>35</v>
      </c>
      <c r="G39" s="49" t="n">
        <v>223161</v>
      </c>
      <c r="H39" s="3" t="s">
        <v>165</v>
      </c>
      <c r="I39" s="3" t="n">
        <v>2</v>
      </c>
      <c r="J39" s="53" t="n">
        <v>45114</v>
      </c>
      <c r="K39" s="3" t="s">
        <v>166</v>
      </c>
      <c r="L39" s="54" t="n">
        <v>45114.1054398148</v>
      </c>
      <c r="M39" s="3" t="n">
        <v>38</v>
      </c>
    </row>
    <row r="40" customFormat="false" ht="14.25" hidden="false" customHeight="false" outlineLevel="0" collapsed="false">
      <c r="A40" s="3" t="n">
        <v>54</v>
      </c>
      <c r="B40" s="51" t="s">
        <v>77</v>
      </c>
      <c r="C40" s="51" t="s">
        <v>78</v>
      </c>
      <c r="D40" s="8" t="n">
        <v>213665</v>
      </c>
      <c r="E40" s="51" t="s">
        <v>167</v>
      </c>
      <c r="F40" s="47" t="n">
        <v>34</v>
      </c>
      <c r="G40" s="49" t="n">
        <v>223148</v>
      </c>
      <c r="H40" s="3" t="s">
        <v>168</v>
      </c>
      <c r="I40" s="3" t="n">
        <v>2</v>
      </c>
      <c r="J40" s="53" t="n">
        <v>45114</v>
      </c>
      <c r="K40" s="3" t="s">
        <v>169</v>
      </c>
      <c r="L40" s="54" t="n">
        <v>45114.1300462963</v>
      </c>
      <c r="M40" s="3" t="n">
        <v>39</v>
      </c>
    </row>
    <row r="41" customFormat="false" ht="14.25" hidden="false" customHeight="false" outlineLevel="0" collapsed="false">
      <c r="A41" s="3" t="n">
        <v>55</v>
      </c>
      <c r="B41" s="51" t="s">
        <v>77</v>
      </c>
      <c r="C41" s="51" t="s">
        <v>78</v>
      </c>
      <c r="D41" s="8" t="n">
        <v>213665</v>
      </c>
      <c r="E41" s="51" t="s">
        <v>167</v>
      </c>
      <c r="F41" s="47" t="n">
        <v>34</v>
      </c>
      <c r="G41" s="49" t="n">
        <v>223148</v>
      </c>
      <c r="H41" s="3" t="s">
        <v>170</v>
      </c>
      <c r="I41" s="3" t="n">
        <v>1</v>
      </c>
      <c r="J41" s="53" t="n">
        <v>45114</v>
      </c>
      <c r="K41" s="3" t="s">
        <v>171</v>
      </c>
      <c r="L41" s="54" t="n">
        <v>45114.1312384259</v>
      </c>
      <c r="M41" s="3" t="n">
        <v>40</v>
      </c>
    </row>
    <row r="42" customFormat="false" ht="14.25" hidden="false" customHeight="false" outlineLevel="0" collapsed="false">
      <c r="A42" s="3" t="n">
        <v>56</v>
      </c>
      <c r="B42" s="51" t="s">
        <v>77</v>
      </c>
      <c r="C42" s="51" t="s">
        <v>78</v>
      </c>
      <c r="D42" s="8" t="n">
        <v>213665</v>
      </c>
      <c r="E42" s="51" t="s">
        <v>167</v>
      </c>
      <c r="F42" s="47" t="n">
        <v>34</v>
      </c>
      <c r="G42" s="49" t="n">
        <v>223148</v>
      </c>
      <c r="H42" s="3" t="s">
        <v>172</v>
      </c>
      <c r="I42" s="3" t="n">
        <v>1</v>
      </c>
      <c r="J42" s="53" t="n">
        <v>45114</v>
      </c>
      <c r="K42" s="3" t="s">
        <v>173</v>
      </c>
      <c r="L42" s="54" t="n">
        <v>45114.1312847222</v>
      </c>
      <c r="M42" s="3" t="n">
        <v>41</v>
      </c>
    </row>
    <row r="43" customFormat="false" ht="14.25" hidden="false" customHeight="false" outlineLevel="0" collapsed="false">
      <c r="A43" s="3" t="n">
        <v>57</v>
      </c>
      <c r="B43" s="51" t="s">
        <v>77</v>
      </c>
      <c r="C43" s="51" t="s">
        <v>78</v>
      </c>
      <c r="D43" s="8" t="n">
        <v>213665</v>
      </c>
      <c r="E43" s="51" t="s">
        <v>160</v>
      </c>
      <c r="F43" s="47" t="n">
        <v>35</v>
      </c>
      <c r="G43" s="49" t="n">
        <v>223161</v>
      </c>
      <c r="H43" s="3" t="s">
        <v>174</v>
      </c>
      <c r="I43" s="3" t="n">
        <v>0</v>
      </c>
      <c r="J43" s="53" t="n">
        <v>45114</v>
      </c>
      <c r="K43" s="3" t="s">
        <v>175</v>
      </c>
      <c r="L43" s="54" t="n">
        <v>45114.1460648148</v>
      </c>
      <c r="M43" s="3" t="n">
        <v>42</v>
      </c>
    </row>
    <row r="44" customFormat="false" ht="14.25" hidden="false" customHeight="false" outlineLevel="0" collapsed="false">
      <c r="A44" s="3" t="n">
        <v>58</v>
      </c>
      <c r="B44" s="51" t="s">
        <v>77</v>
      </c>
      <c r="C44" s="51" t="s">
        <v>78</v>
      </c>
      <c r="D44" s="8" t="n">
        <v>213665</v>
      </c>
      <c r="E44" s="51" t="s">
        <v>160</v>
      </c>
      <c r="F44" s="47" t="n">
        <v>35</v>
      </c>
      <c r="G44" s="49" t="n">
        <v>223161</v>
      </c>
      <c r="H44" s="3" t="s">
        <v>176</v>
      </c>
      <c r="I44" s="3" t="n">
        <v>0</v>
      </c>
      <c r="J44" s="53" t="n">
        <v>45114</v>
      </c>
      <c r="K44" s="3" t="s">
        <v>177</v>
      </c>
      <c r="L44" s="54" t="n">
        <v>45114.1506828704</v>
      </c>
      <c r="M44" s="3" t="n">
        <v>43</v>
      </c>
    </row>
    <row r="45" customFormat="false" ht="14.25" hidden="false" customHeight="false" outlineLevel="0" collapsed="false">
      <c r="A45" s="3" t="n">
        <v>59</v>
      </c>
      <c r="B45" s="51" t="s">
        <v>77</v>
      </c>
      <c r="C45" s="51" t="s">
        <v>78</v>
      </c>
      <c r="D45" s="8" t="n">
        <v>213665</v>
      </c>
      <c r="E45" s="51" t="s">
        <v>160</v>
      </c>
      <c r="F45" s="47" t="n">
        <v>35</v>
      </c>
      <c r="G45" s="49" t="n">
        <v>223161</v>
      </c>
      <c r="H45" s="3" t="s">
        <v>178</v>
      </c>
      <c r="I45" s="3" t="n">
        <v>1</v>
      </c>
      <c r="J45" s="53" t="n">
        <v>45114</v>
      </c>
      <c r="K45" s="3" t="s">
        <v>179</v>
      </c>
      <c r="L45" s="54" t="n">
        <v>45114.1515046296</v>
      </c>
      <c r="M45" s="3" t="n">
        <v>44</v>
      </c>
    </row>
    <row r="46" customFormat="false" ht="14.25" hidden="false" customHeight="false" outlineLevel="0" collapsed="false">
      <c r="A46" s="3" t="n">
        <v>60</v>
      </c>
      <c r="B46" s="51" t="s">
        <v>77</v>
      </c>
      <c r="C46" s="51" t="s">
        <v>78</v>
      </c>
      <c r="D46" s="8" t="n">
        <v>213665</v>
      </c>
      <c r="E46" s="51" t="s">
        <v>160</v>
      </c>
      <c r="F46" s="47" t="n">
        <v>35</v>
      </c>
      <c r="G46" s="49" t="n">
        <v>223161</v>
      </c>
      <c r="H46" s="3" t="s">
        <v>180</v>
      </c>
      <c r="I46" s="3" t="n">
        <v>1</v>
      </c>
      <c r="J46" s="53" t="n">
        <v>45114</v>
      </c>
      <c r="K46" s="3" t="s">
        <v>181</v>
      </c>
      <c r="L46" s="54" t="n">
        <v>45114.1515277778</v>
      </c>
      <c r="M46" s="3" t="n">
        <v>45</v>
      </c>
    </row>
    <row r="47" customFormat="false" ht="14.25" hidden="false" customHeight="false" outlineLevel="0" collapsed="false">
      <c r="A47" s="3" t="n">
        <v>61</v>
      </c>
      <c r="B47" s="51" t="s">
        <v>77</v>
      </c>
      <c r="C47" s="51" t="s">
        <v>78</v>
      </c>
      <c r="D47" s="8" t="n">
        <v>213665</v>
      </c>
      <c r="E47" s="51" t="s">
        <v>167</v>
      </c>
      <c r="F47" s="47" t="n">
        <v>34</v>
      </c>
      <c r="G47" s="49" t="n">
        <v>223148</v>
      </c>
      <c r="H47" s="3" t="s">
        <v>182</v>
      </c>
      <c r="I47" s="3" t="n">
        <v>1</v>
      </c>
      <c r="J47" s="53" t="n">
        <v>45114</v>
      </c>
      <c r="K47" s="3" t="s">
        <v>183</v>
      </c>
      <c r="L47" s="54" t="n">
        <v>45114.1524189815</v>
      </c>
      <c r="M47" s="3" t="n">
        <v>46</v>
      </c>
    </row>
    <row r="48" customFormat="false" ht="14.25" hidden="false" customHeight="false" outlineLevel="0" collapsed="false">
      <c r="A48" s="3" t="n">
        <v>62</v>
      </c>
      <c r="B48" s="51" t="s">
        <v>77</v>
      </c>
      <c r="C48" s="51" t="s">
        <v>78</v>
      </c>
      <c r="D48" s="8" t="n">
        <v>213665</v>
      </c>
      <c r="E48" s="51" t="s">
        <v>160</v>
      </c>
      <c r="F48" s="47" t="n">
        <v>35</v>
      </c>
      <c r="G48" s="49" t="n">
        <v>223161</v>
      </c>
      <c r="H48" s="3" t="s">
        <v>184</v>
      </c>
      <c r="I48" s="3" t="n">
        <v>1</v>
      </c>
      <c r="J48" s="53" t="n">
        <v>45114</v>
      </c>
      <c r="K48" s="3" t="s">
        <v>185</v>
      </c>
      <c r="L48" s="54" t="n">
        <v>45114.1532407407</v>
      </c>
      <c r="M48" s="3" t="n">
        <v>47</v>
      </c>
    </row>
    <row r="49" customFormat="false" ht="14.25" hidden="false" customHeight="false" outlineLevel="0" collapsed="false">
      <c r="A49" s="3" t="n">
        <v>63</v>
      </c>
      <c r="B49" s="51" t="s">
        <v>77</v>
      </c>
      <c r="C49" s="51" t="s">
        <v>78</v>
      </c>
      <c r="D49" s="8" t="n">
        <v>213665</v>
      </c>
      <c r="E49" s="51" t="s">
        <v>160</v>
      </c>
      <c r="F49" s="47" t="n">
        <v>35</v>
      </c>
      <c r="G49" s="49" t="n">
        <v>223161</v>
      </c>
      <c r="H49" s="3" t="s">
        <v>186</v>
      </c>
      <c r="I49" s="3" t="n">
        <v>2</v>
      </c>
      <c r="J49" s="53" t="n">
        <v>45114</v>
      </c>
      <c r="K49" s="3" t="s">
        <v>187</v>
      </c>
      <c r="L49" s="54" t="n">
        <v>45114.1543634259</v>
      </c>
      <c r="M49" s="3" t="n">
        <v>48</v>
      </c>
    </row>
    <row r="50" customFormat="false" ht="14.25" hidden="false" customHeight="false" outlineLevel="0" collapsed="false">
      <c r="A50" s="3" t="n">
        <v>64</v>
      </c>
      <c r="B50" s="51" t="s">
        <v>77</v>
      </c>
      <c r="C50" s="51" t="s">
        <v>78</v>
      </c>
      <c r="D50" s="8" t="n">
        <v>213665</v>
      </c>
      <c r="E50" s="51" t="s">
        <v>160</v>
      </c>
      <c r="F50" s="47" t="n">
        <v>35</v>
      </c>
      <c r="G50" s="49" t="n">
        <v>223161</v>
      </c>
      <c r="H50" s="3" t="s">
        <v>188</v>
      </c>
      <c r="I50" s="3" t="n">
        <v>2</v>
      </c>
      <c r="J50" s="53" t="n">
        <v>45114</v>
      </c>
      <c r="K50" s="3" t="s">
        <v>189</v>
      </c>
      <c r="L50" s="54" t="n">
        <v>45114.1543865741</v>
      </c>
      <c r="M50" s="3" t="n">
        <v>49</v>
      </c>
    </row>
    <row r="51" customFormat="false" ht="14.25" hidden="false" customHeight="false" outlineLevel="0" collapsed="false">
      <c r="A51" s="3" t="n">
        <v>65</v>
      </c>
      <c r="B51" s="51" t="s">
        <v>77</v>
      </c>
      <c r="C51" s="51" t="s">
        <v>78</v>
      </c>
      <c r="D51" s="8" t="n">
        <v>213665</v>
      </c>
      <c r="E51" s="51" t="s">
        <v>160</v>
      </c>
      <c r="F51" s="47" t="n">
        <v>35</v>
      </c>
      <c r="G51" s="49" t="n">
        <v>223161</v>
      </c>
      <c r="H51" s="3" t="s">
        <v>190</v>
      </c>
      <c r="I51" s="3" t="n">
        <v>2</v>
      </c>
      <c r="J51" s="53" t="n">
        <v>45114</v>
      </c>
      <c r="K51" s="3" t="s">
        <v>191</v>
      </c>
      <c r="L51" s="54" t="n">
        <v>45114.1554282407</v>
      </c>
      <c r="M51" s="3" t="n">
        <v>50</v>
      </c>
    </row>
    <row r="52" customFormat="false" ht="14.25" hidden="false" customHeight="false" outlineLevel="0" collapsed="false">
      <c r="A52" s="3" t="n">
        <v>66</v>
      </c>
      <c r="B52" s="51" t="s">
        <v>77</v>
      </c>
      <c r="C52" s="51" t="s">
        <v>78</v>
      </c>
      <c r="D52" s="8" t="n">
        <v>213665</v>
      </c>
      <c r="E52" s="51" t="s">
        <v>160</v>
      </c>
      <c r="F52" s="47" t="n">
        <v>35</v>
      </c>
      <c r="G52" s="49" t="n">
        <v>223161</v>
      </c>
      <c r="H52" s="3" t="s">
        <v>192</v>
      </c>
      <c r="I52" s="3" t="n">
        <v>1</v>
      </c>
      <c r="J52" s="53" t="n">
        <v>45114</v>
      </c>
      <c r="K52" s="3" t="s">
        <v>193</v>
      </c>
      <c r="L52" s="54" t="n">
        <v>45114.1574652778</v>
      </c>
      <c r="M52" s="3" t="n">
        <v>51</v>
      </c>
    </row>
    <row r="53" customFormat="false" ht="14.25" hidden="false" customHeight="false" outlineLevel="0" collapsed="false">
      <c r="A53" s="3" t="n">
        <v>67</v>
      </c>
      <c r="B53" s="51" t="s">
        <v>77</v>
      </c>
      <c r="C53" s="51" t="s">
        <v>78</v>
      </c>
      <c r="D53" s="8" t="n">
        <v>213665</v>
      </c>
      <c r="E53" s="51" t="s">
        <v>160</v>
      </c>
      <c r="F53" s="47" t="n">
        <v>35</v>
      </c>
      <c r="G53" s="49" t="n">
        <v>223161</v>
      </c>
      <c r="H53" s="3" t="s">
        <v>194</v>
      </c>
      <c r="I53" s="3" t="n">
        <v>1</v>
      </c>
      <c r="J53" s="53" t="n">
        <v>45114</v>
      </c>
      <c r="K53" s="3" t="s">
        <v>195</v>
      </c>
      <c r="L53" s="54" t="n">
        <v>45114.1598842593</v>
      </c>
      <c r="M53" s="3" t="n">
        <v>52</v>
      </c>
    </row>
    <row r="54" customFormat="false" ht="14.25" hidden="false" customHeight="false" outlineLevel="0" collapsed="false">
      <c r="A54" s="3" t="n">
        <v>68</v>
      </c>
      <c r="B54" s="51" t="s">
        <v>77</v>
      </c>
      <c r="C54" s="51" t="s">
        <v>78</v>
      </c>
      <c r="D54" s="8" t="n">
        <v>213665</v>
      </c>
      <c r="E54" s="51" t="s">
        <v>160</v>
      </c>
      <c r="F54" s="47" t="n">
        <v>35</v>
      </c>
      <c r="G54" s="49" t="n">
        <v>223161</v>
      </c>
      <c r="H54" s="3" t="s">
        <v>196</v>
      </c>
      <c r="I54" s="3" t="n">
        <v>2</v>
      </c>
      <c r="J54" s="53" t="n">
        <v>45114</v>
      </c>
      <c r="K54" s="3" t="s">
        <v>197</v>
      </c>
      <c r="L54" s="54" t="n">
        <v>45114.1623958333</v>
      </c>
      <c r="M54" s="3" t="n">
        <v>53</v>
      </c>
    </row>
    <row r="55" customFormat="false" ht="14.25" hidden="false" customHeight="false" outlineLevel="0" collapsed="false">
      <c r="A55" s="3" t="n">
        <v>69</v>
      </c>
      <c r="B55" s="51" t="s">
        <v>77</v>
      </c>
      <c r="C55" s="51" t="s">
        <v>78</v>
      </c>
      <c r="D55" s="8" t="n">
        <v>213665</v>
      </c>
      <c r="E55" s="51" t="s">
        <v>160</v>
      </c>
      <c r="F55" s="47" t="n">
        <v>35</v>
      </c>
      <c r="G55" s="49" t="n">
        <v>223161</v>
      </c>
      <c r="H55" s="3" t="s">
        <v>198</v>
      </c>
      <c r="I55" s="3" t="n">
        <v>2</v>
      </c>
      <c r="J55" s="53" t="n">
        <v>45114</v>
      </c>
      <c r="K55" s="3" t="s">
        <v>199</v>
      </c>
      <c r="L55" s="54" t="n">
        <v>45114.1630902778</v>
      </c>
      <c r="M55" s="3" t="n">
        <v>54</v>
      </c>
    </row>
    <row r="56" customFormat="false" ht="14.25" hidden="false" customHeight="false" outlineLevel="0" collapsed="false">
      <c r="A56" s="3" t="n">
        <v>70</v>
      </c>
      <c r="B56" s="51" t="s">
        <v>77</v>
      </c>
      <c r="C56" s="51" t="s">
        <v>78</v>
      </c>
      <c r="D56" s="8" t="n">
        <v>213665</v>
      </c>
      <c r="E56" s="51" t="s">
        <v>160</v>
      </c>
      <c r="F56" s="47" t="n">
        <v>35</v>
      </c>
      <c r="G56" s="49" t="n">
        <v>223161</v>
      </c>
      <c r="H56" s="3" t="s">
        <v>200</v>
      </c>
      <c r="I56" s="3" t="n">
        <v>2</v>
      </c>
      <c r="J56" s="53" t="n">
        <v>45114</v>
      </c>
      <c r="K56" s="3" t="s">
        <v>201</v>
      </c>
      <c r="L56" s="54" t="n">
        <v>45114.1635185185</v>
      </c>
      <c r="M56" s="3" t="n">
        <v>55</v>
      </c>
    </row>
    <row r="57" customFormat="false" ht="14.25" hidden="false" customHeight="false" outlineLevel="0" collapsed="false">
      <c r="A57" s="3" t="n">
        <v>71</v>
      </c>
      <c r="B57" s="51" t="s">
        <v>77</v>
      </c>
      <c r="C57" s="51" t="s">
        <v>78</v>
      </c>
      <c r="D57" s="8" t="n">
        <v>213665</v>
      </c>
      <c r="E57" s="51" t="s">
        <v>126</v>
      </c>
      <c r="F57" s="47" t="n">
        <v>5</v>
      </c>
      <c r="G57" s="49" t="n">
        <v>192072</v>
      </c>
      <c r="H57" s="3" t="s">
        <v>202</v>
      </c>
      <c r="I57" s="3" t="n">
        <v>1</v>
      </c>
      <c r="J57" s="53" t="n">
        <v>45114</v>
      </c>
      <c r="K57" s="3" t="s">
        <v>203</v>
      </c>
      <c r="L57" s="54" t="n">
        <v>45114.185162037</v>
      </c>
      <c r="M57" s="3" t="n">
        <v>56</v>
      </c>
    </row>
    <row r="58" customFormat="false" ht="14.25" hidden="false" customHeight="false" outlineLevel="0" collapsed="false">
      <c r="A58" s="3" t="n">
        <v>72</v>
      </c>
      <c r="B58" s="51" t="s">
        <v>77</v>
      </c>
      <c r="C58" s="51" t="s">
        <v>78</v>
      </c>
      <c r="D58" s="8" t="n">
        <v>213665</v>
      </c>
      <c r="E58" s="51" t="s">
        <v>126</v>
      </c>
      <c r="F58" s="47" t="n">
        <v>5</v>
      </c>
      <c r="G58" s="49" t="n">
        <v>192072</v>
      </c>
      <c r="H58" s="3" t="s">
        <v>204</v>
      </c>
      <c r="I58" s="3" t="n">
        <v>2</v>
      </c>
      <c r="J58" s="53" t="n">
        <v>45114</v>
      </c>
      <c r="K58" s="3" t="s">
        <v>205</v>
      </c>
      <c r="L58" s="54" t="n">
        <v>45114.5159953704</v>
      </c>
      <c r="M58" s="3" t="n">
        <v>57</v>
      </c>
    </row>
    <row r="59" customFormat="false" ht="14.25" hidden="false" customHeight="false" outlineLevel="0" collapsed="false">
      <c r="A59" s="3" t="n">
        <v>73</v>
      </c>
      <c r="B59" s="51" t="s">
        <v>77</v>
      </c>
      <c r="C59" s="51" t="s">
        <v>78</v>
      </c>
      <c r="D59" s="8" t="n">
        <v>213665</v>
      </c>
      <c r="E59" s="51" t="s">
        <v>138</v>
      </c>
      <c r="F59" s="47" t="n">
        <v>8</v>
      </c>
      <c r="G59" s="49" t="n">
        <v>192249</v>
      </c>
      <c r="H59" s="3" t="s">
        <v>206</v>
      </c>
      <c r="I59" s="3" t="n">
        <v>2</v>
      </c>
      <c r="J59" s="53" t="n">
        <v>45114</v>
      </c>
      <c r="K59" s="3" t="s">
        <v>207</v>
      </c>
      <c r="L59" s="54" t="n">
        <v>45114.6450810185</v>
      </c>
      <c r="M59" s="3" t="n">
        <v>58</v>
      </c>
    </row>
    <row r="60" customFormat="false" ht="14.25" hidden="false" customHeight="false" outlineLevel="0" collapsed="false">
      <c r="A60" s="3" t="n">
        <v>74</v>
      </c>
      <c r="B60" s="51" t="s">
        <v>77</v>
      </c>
      <c r="C60" s="51" t="s">
        <v>78</v>
      </c>
      <c r="D60" s="8" t="n">
        <v>213665</v>
      </c>
      <c r="E60" s="51" t="s">
        <v>138</v>
      </c>
      <c r="F60" s="47" t="n">
        <v>8</v>
      </c>
      <c r="G60" s="49" t="n">
        <v>192249</v>
      </c>
      <c r="H60" s="3" t="s">
        <v>208</v>
      </c>
      <c r="I60" s="3" t="n">
        <v>0</v>
      </c>
      <c r="J60" s="53" t="n">
        <v>45114</v>
      </c>
      <c r="K60" s="3" t="s">
        <v>209</v>
      </c>
      <c r="L60" s="54" t="n">
        <v>45114.645462963</v>
      </c>
      <c r="M60" s="3" t="n">
        <v>59</v>
      </c>
    </row>
    <row r="61" customFormat="false" ht="14.25" hidden="false" customHeight="false" outlineLevel="0" collapsed="false">
      <c r="A61" s="3" t="n">
        <v>75</v>
      </c>
      <c r="B61" s="51" t="s">
        <v>77</v>
      </c>
      <c r="C61" s="51" t="s">
        <v>78</v>
      </c>
      <c r="D61" s="8" t="n">
        <v>213665</v>
      </c>
      <c r="E61" s="51" t="s">
        <v>138</v>
      </c>
      <c r="F61" s="47" t="n">
        <v>8</v>
      </c>
      <c r="G61" s="49" t="n">
        <v>192249</v>
      </c>
      <c r="H61" s="3" t="s">
        <v>210</v>
      </c>
      <c r="I61" s="3" t="n">
        <v>1</v>
      </c>
      <c r="J61" s="53" t="n">
        <v>45114</v>
      </c>
      <c r="K61" s="3" t="s">
        <v>211</v>
      </c>
      <c r="L61" s="54" t="n">
        <v>45114.6456944444</v>
      </c>
      <c r="M61" s="3" t="n">
        <v>60</v>
      </c>
    </row>
    <row r="62" customFormat="false" ht="14.25" hidden="false" customHeight="false" outlineLevel="0" collapsed="false">
      <c r="A62" s="3" t="n">
        <v>76</v>
      </c>
      <c r="B62" s="51" t="s">
        <v>77</v>
      </c>
      <c r="C62" s="51" t="s">
        <v>78</v>
      </c>
      <c r="D62" s="8" t="n">
        <v>213665</v>
      </c>
      <c r="E62" s="51" t="s">
        <v>138</v>
      </c>
      <c r="F62" s="47" t="n">
        <v>8</v>
      </c>
      <c r="G62" s="49" t="n">
        <v>192249</v>
      </c>
      <c r="H62" s="3" t="s">
        <v>212</v>
      </c>
      <c r="I62" s="3" t="n">
        <v>1</v>
      </c>
      <c r="J62" s="53" t="n">
        <v>45114</v>
      </c>
      <c r="K62" s="3" t="s">
        <v>213</v>
      </c>
      <c r="L62" s="54" t="n">
        <v>45114.645775463</v>
      </c>
      <c r="M62" s="3" t="n">
        <v>61</v>
      </c>
    </row>
    <row r="63" customFormat="false" ht="14.25" hidden="false" customHeight="false" outlineLevel="0" collapsed="false">
      <c r="A63" s="3" t="n">
        <v>77</v>
      </c>
      <c r="B63" s="51" t="s">
        <v>77</v>
      </c>
      <c r="C63" s="51" t="s">
        <v>78</v>
      </c>
      <c r="D63" s="8" t="n">
        <v>213665</v>
      </c>
      <c r="E63" s="51" t="s">
        <v>138</v>
      </c>
      <c r="F63" s="47" t="n">
        <v>8</v>
      </c>
      <c r="G63" s="49" t="n">
        <v>192249</v>
      </c>
      <c r="H63" s="3" t="s">
        <v>214</v>
      </c>
      <c r="I63" s="3" t="n">
        <v>0</v>
      </c>
      <c r="J63" s="53" t="n">
        <v>45114</v>
      </c>
      <c r="K63" s="3" t="s">
        <v>215</v>
      </c>
      <c r="L63" s="54" t="n">
        <v>45114.6463310185</v>
      </c>
      <c r="M63" s="3" t="n">
        <v>62</v>
      </c>
    </row>
    <row r="64" customFormat="false" ht="14.25" hidden="false" customHeight="false" outlineLevel="0" collapsed="false">
      <c r="A64" s="3" t="n">
        <v>78</v>
      </c>
      <c r="B64" s="51" t="s">
        <v>77</v>
      </c>
      <c r="C64" s="51" t="s">
        <v>78</v>
      </c>
      <c r="D64" s="8" t="n">
        <v>213665</v>
      </c>
      <c r="E64" s="51" t="s">
        <v>138</v>
      </c>
      <c r="F64" s="47" t="n">
        <v>8</v>
      </c>
      <c r="G64" s="49" t="n">
        <v>192249</v>
      </c>
      <c r="H64" s="3" t="s">
        <v>216</v>
      </c>
      <c r="I64" s="3" t="n">
        <v>0</v>
      </c>
      <c r="J64" s="53" t="n">
        <v>45114</v>
      </c>
      <c r="K64" s="3" t="s">
        <v>217</v>
      </c>
      <c r="L64" s="54" t="n">
        <v>45114.6463425926</v>
      </c>
      <c r="M64" s="3" t="n">
        <v>63</v>
      </c>
    </row>
    <row r="65" customFormat="false" ht="14.25" hidden="false" customHeight="false" outlineLevel="0" collapsed="false">
      <c r="A65" s="3" t="n">
        <v>79</v>
      </c>
      <c r="B65" s="51" t="s">
        <v>77</v>
      </c>
      <c r="C65" s="51" t="s">
        <v>78</v>
      </c>
      <c r="D65" s="8" t="n">
        <v>213665</v>
      </c>
      <c r="E65" s="51" t="s">
        <v>138</v>
      </c>
      <c r="F65" s="47" t="n">
        <v>8</v>
      </c>
      <c r="G65" s="49" t="n">
        <v>192249</v>
      </c>
      <c r="H65" s="3" t="s">
        <v>218</v>
      </c>
      <c r="I65" s="3" t="n">
        <v>2</v>
      </c>
      <c r="J65" s="53" t="n">
        <v>45114</v>
      </c>
      <c r="K65" s="3" t="s">
        <v>219</v>
      </c>
      <c r="L65" s="54" t="n">
        <v>45114.6467824074</v>
      </c>
      <c r="M65" s="3" t="n">
        <v>64</v>
      </c>
    </row>
    <row r="66" customFormat="false" ht="14.25" hidden="false" customHeight="false" outlineLevel="0" collapsed="false">
      <c r="A66" s="3" t="n">
        <v>80</v>
      </c>
      <c r="B66" s="51" t="s">
        <v>77</v>
      </c>
      <c r="C66" s="51" t="s">
        <v>78</v>
      </c>
      <c r="D66" s="8" t="n">
        <v>213665</v>
      </c>
      <c r="E66" s="51" t="s">
        <v>138</v>
      </c>
      <c r="F66" s="47" t="n">
        <v>8</v>
      </c>
      <c r="G66" s="49" t="n">
        <v>192249</v>
      </c>
      <c r="H66" s="3" t="s">
        <v>220</v>
      </c>
      <c r="I66" s="3" t="n">
        <v>2</v>
      </c>
      <c r="J66" s="53" t="n">
        <v>45114</v>
      </c>
      <c r="K66" s="3" t="s">
        <v>221</v>
      </c>
      <c r="L66" s="54" t="n">
        <v>45114.6469907407</v>
      </c>
      <c r="M66" s="3" t="n">
        <v>65</v>
      </c>
    </row>
    <row r="67" customFormat="false" ht="14.25" hidden="false" customHeight="false" outlineLevel="0" collapsed="false">
      <c r="A67" s="3" t="n">
        <v>81</v>
      </c>
      <c r="B67" s="51" t="s">
        <v>77</v>
      </c>
      <c r="C67" s="51" t="s">
        <v>78</v>
      </c>
      <c r="D67" s="8" t="n">
        <v>213665</v>
      </c>
      <c r="E67" s="51" t="s">
        <v>138</v>
      </c>
      <c r="F67" s="47" t="n">
        <v>8</v>
      </c>
      <c r="G67" s="49" t="n">
        <v>192249</v>
      </c>
      <c r="H67" s="3" t="s">
        <v>222</v>
      </c>
      <c r="I67" s="3" t="n">
        <v>0</v>
      </c>
      <c r="J67" s="53" t="n">
        <v>45114</v>
      </c>
      <c r="K67" s="3" t="s">
        <v>223</v>
      </c>
      <c r="L67" s="54" t="n">
        <v>45114.6472569444</v>
      </c>
      <c r="M67" s="3" t="n">
        <v>66</v>
      </c>
    </row>
    <row r="68" customFormat="false" ht="14.25" hidden="false" customHeight="false" outlineLevel="0" collapsed="false">
      <c r="A68" s="3" t="n">
        <v>82</v>
      </c>
      <c r="B68" s="51" t="s">
        <v>77</v>
      </c>
      <c r="C68" s="51" t="s">
        <v>78</v>
      </c>
      <c r="D68" s="8" t="n">
        <v>213665</v>
      </c>
      <c r="E68" s="51" t="s">
        <v>138</v>
      </c>
      <c r="F68" s="47" t="n">
        <v>8</v>
      </c>
      <c r="G68" s="49" t="n">
        <v>192249</v>
      </c>
      <c r="H68" s="3" t="s">
        <v>224</v>
      </c>
      <c r="I68" s="3" t="n">
        <v>1</v>
      </c>
      <c r="J68" s="53" t="n">
        <v>45114</v>
      </c>
      <c r="K68" s="3" t="s">
        <v>225</v>
      </c>
      <c r="L68" s="54" t="n">
        <v>45114.6476736111</v>
      </c>
      <c r="M68" s="3" t="n">
        <v>67</v>
      </c>
    </row>
    <row r="69" customFormat="false" ht="14.25" hidden="false" customHeight="false" outlineLevel="0" collapsed="false">
      <c r="A69" s="3" t="n">
        <v>83</v>
      </c>
      <c r="B69" s="51" t="s">
        <v>77</v>
      </c>
      <c r="C69" s="51" t="s">
        <v>78</v>
      </c>
      <c r="D69" s="8" t="n">
        <v>213665</v>
      </c>
      <c r="E69" s="51" t="s">
        <v>138</v>
      </c>
      <c r="F69" s="47" t="n">
        <v>8</v>
      </c>
      <c r="G69" s="49" t="n">
        <v>192249</v>
      </c>
      <c r="H69" s="3" t="s">
        <v>226</v>
      </c>
      <c r="I69" s="3" t="n">
        <v>2</v>
      </c>
      <c r="J69" s="53" t="n">
        <v>45114</v>
      </c>
      <c r="K69" s="3" t="s">
        <v>227</v>
      </c>
      <c r="L69" s="54" t="n">
        <v>45114.6476967593</v>
      </c>
      <c r="M69" s="3" t="n">
        <v>68</v>
      </c>
    </row>
    <row r="70" customFormat="false" ht="14.25" hidden="false" customHeight="false" outlineLevel="0" collapsed="false">
      <c r="A70" s="3" t="n">
        <v>84</v>
      </c>
      <c r="B70" s="51" t="s">
        <v>77</v>
      </c>
      <c r="C70" s="51" t="s">
        <v>78</v>
      </c>
      <c r="D70" s="8" t="n">
        <v>213665</v>
      </c>
      <c r="E70" s="51" t="s">
        <v>138</v>
      </c>
      <c r="F70" s="47" t="n">
        <v>8</v>
      </c>
      <c r="G70" s="49" t="n">
        <v>192249</v>
      </c>
      <c r="H70" s="3" t="s">
        <v>228</v>
      </c>
      <c r="I70" s="3" t="n">
        <v>2</v>
      </c>
      <c r="J70" s="53" t="n">
        <v>45114</v>
      </c>
      <c r="K70" s="3" t="s">
        <v>229</v>
      </c>
      <c r="L70" s="54" t="n">
        <v>45114.6478819444</v>
      </c>
      <c r="M70" s="3" t="n">
        <v>69</v>
      </c>
    </row>
    <row r="71" customFormat="false" ht="14.25" hidden="false" customHeight="false" outlineLevel="0" collapsed="false">
      <c r="A71" s="3" t="n">
        <v>85</v>
      </c>
      <c r="B71" s="51" t="s">
        <v>77</v>
      </c>
      <c r="C71" s="51" t="s">
        <v>78</v>
      </c>
      <c r="D71" s="8" t="n">
        <v>213665</v>
      </c>
      <c r="E71" s="51" t="s">
        <v>138</v>
      </c>
      <c r="F71" s="47" t="n">
        <v>8</v>
      </c>
      <c r="G71" s="49" t="n">
        <v>192249</v>
      </c>
      <c r="H71" s="3" t="s">
        <v>230</v>
      </c>
      <c r="I71" s="3" t="n">
        <v>2</v>
      </c>
      <c r="J71" s="53" t="n">
        <v>45114</v>
      </c>
      <c r="K71" s="3" t="s">
        <v>231</v>
      </c>
      <c r="L71" s="54" t="n">
        <v>45114.6483217593</v>
      </c>
      <c r="M71" s="3" t="n">
        <v>70</v>
      </c>
    </row>
    <row r="72" customFormat="false" ht="14.25" hidden="false" customHeight="false" outlineLevel="0" collapsed="false">
      <c r="A72" s="3" t="n">
        <v>86</v>
      </c>
      <c r="B72" s="51" t="s">
        <v>77</v>
      </c>
      <c r="C72" s="51" t="s">
        <v>78</v>
      </c>
      <c r="D72" s="8" t="n">
        <v>213665</v>
      </c>
      <c r="E72" s="51" t="s">
        <v>138</v>
      </c>
      <c r="F72" s="47" t="n">
        <v>8</v>
      </c>
      <c r="G72" s="49" t="n">
        <v>192249</v>
      </c>
      <c r="H72" s="3" t="s">
        <v>232</v>
      </c>
      <c r="I72" s="3" t="n">
        <v>2</v>
      </c>
      <c r="J72" s="53" t="n">
        <v>45114</v>
      </c>
      <c r="K72" s="3" t="s">
        <v>233</v>
      </c>
      <c r="L72" s="54" t="n">
        <v>45114.6484837963</v>
      </c>
      <c r="M72" s="3" t="n">
        <v>71</v>
      </c>
    </row>
    <row r="73" customFormat="false" ht="14.25" hidden="false" customHeight="false" outlineLevel="0" collapsed="false">
      <c r="A73" s="3" t="n">
        <v>87</v>
      </c>
      <c r="B73" s="51" t="s">
        <v>77</v>
      </c>
      <c r="C73" s="51" t="s">
        <v>78</v>
      </c>
      <c r="D73" s="8" t="n">
        <v>213665</v>
      </c>
      <c r="E73" s="51" t="s">
        <v>138</v>
      </c>
      <c r="F73" s="47" t="n">
        <v>8</v>
      </c>
      <c r="G73" s="49" t="n">
        <v>192249</v>
      </c>
      <c r="H73" s="3" t="s">
        <v>234</v>
      </c>
      <c r="I73" s="3" t="n">
        <v>1</v>
      </c>
      <c r="J73" s="53" t="n">
        <v>45114</v>
      </c>
      <c r="K73" s="3" t="s">
        <v>235</v>
      </c>
      <c r="L73" s="54" t="n">
        <v>45114.6491898148</v>
      </c>
      <c r="M73" s="3" t="n">
        <v>72</v>
      </c>
    </row>
    <row r="74" customFormat="false" ht="14.25" hidden="false" customHeight="false" outlineLevel="0" collapsed="false">
      <c r="A74" s="3" t="n">
        <v>88</v>
      </c>
      <c r="B74" s="51" t="s">
        <v>77</v>
      </c>
      <c r="C74" s="51" t="s">
        <v>78</v>
      </c>
      <c r="D74" s="8" t="n">
        <v>213665</v>
      </c>
      <c r="E74" s="51" t="s">
        <v>138</v>
      </c>
      <c r="F74" s="47" t="n">
        <v>8</v>
      </c>
      <c r="G74" s="49" t="n">
        <v>192249</v>
      </c>
      <c r="H74" s="3" t="s">
        <v>236</v>
      </c>
      <c r="I74" s="3" t="n">
        <v>3</v>
      </c>
      <c r="J74" s="53" t="n">
        <v>45114</v>
      </c>
      <c r="K74" s="3" t="s">
        <v>237</v>
      </c>
      <c r="L74" s="54" t="n">
        <v>45114.6492708333</v>
      </c>
      <c r="M74" s="3" t="n">
        <v>73</v>
      </c>
    </row>
    <row r="75" customFormat="false" ht="14.25" hidden="false" customHeight="false" outlineLevel="0" collapsed="false">
      <c r="A75" s="3" t="n">
        <v>89</v>
      </c>
      <c r="B75" s="51" t="s">
        <v>77</v>
      </c>
      <c r="C75" s="51" t="s">
        <v>78</v>
      </c>
      <c r="D75" s="8" t="n">
        <v>213665</v>
      </c>
      <c r="E75" s="51" t="s">
        <v>238</v>
      </c>
      <c r="F75" s="47" t="n">
        <v>13</v>
      </c>
      <c r="G75" s="49" t="n">
        <v>202116</v>
      </c>
      <c r="H75" s="3" t="s">
        <v>239</v>
      </c>
      <c r="I75" s="3" t="n">
        <v>0</v>
      </c>
      <c r="J75" s="53" t="n">
        <v>45114</v>
      </c>
      <c r="K75" s="3" t="s">
        <v>240</v>
      </c>
      <c r="L75" s="54" t="n">
        <v>45114.669537037</v>
      </c>
      <c r="M75" s="3" t="n">
        <v>74</v>
      </c>
    </row>
    <row r="76" customFormat="false" ht="14.25" hidden="false" customHeight="false" outlineLevel="0" collapsed="false">
      <c r="A76" s="3" t="n">
        <v>90</v>
      </c>
      <c r="B76" s="51" t="s">
        <v>77</v>
      </c>
      <c r="C76" s="51" t="s">
        <v>78</v>
      </c>
      <c r="D76" s="8" t="n">
        <v>213665</v>
      </c>
      <c r="E76" s="51" t="s">
        <v>241</v>
      </c>
      <c r="F76" s="47" t="n">
        <v>46</v>
      </c>
      <c r="G76" s="49" t="n">
        <v>223419</v>
      </c>
      <c r="H76" s="3" t="s">
        <v>242</v>
      </c>
      <c r="I76" s="3" t="n">
        <v>2</v>
      </c>
      <c r="J76" s="53" t="n">
        <v>45114</v>
      </c>
      <c r="K76" s="3" t="s">
        <v>243</v>
      </c>
      <c r="L76" s="54" t="n">
        <v>45114.7437384259</v>
      </c>
      <c r="M76" s="3" t="n">
        <v>75</v>
      </c>
    </row>
    <row r="77" customFormat="false" ht="14.25" hidden="false" customHeight="false" outlineLevel="0" collapsed="false">
      <c r="A77" s="3" t="n">
        <v>91</v>
      </c>
      <c r="B77" s="51" t="s">
        <v>77</v>
      </c>
      <c r="C77" s="51" t="s">
        <v>78</v>
      </c>
      <c r="D77" s="8" t="n">
        <v>213665</v>
      </c>
      <c r="E77" s="51" t="s">
        <v>244</v>
      </c>
      <c r="F77" s="47" t="n">
        <v>25</v>
      </c>
      <c r="G77" s="49" t="n">
        <v>213254</v>
      </c>
      <c r="H77" s="3" t="s">
        <v>245</v>
      </c>
      <c r="I77" s="3" t="n">
        <v>2</v>
      </c>
      <c r="J77" s="53" t="n">
        <v>45114</v>
      </c>
      <c r="K77" s="3" t="s">
        <v>246</v>
      </c>
      <c r="L77" s="54" t="n">
        <v>45114.7636111111</v>
      </c>
      <c r="M77" s="3" t="n">
        <v>76</v>
      </c>
    </row>
    <row r="78" customFormat="false" ht="14.25" hidden="false" customHeight="false" outlineLevel="0" collapsed="false">
      <c r="A78" s="3" t="n">
        <v>92</v>
      </c>
      <c r="B78" s="51" t="s">
        <v>77</v>
      </c>
      <c r="C78" s="51" t="s">
        <v>78</v>
      </c>
      <c r="D78" s="8" t="n">
        <v>213665</v>
      </c>
      <c r="E78" s="51" t="s">
        <v>247</v>
      </c>
      <c r="F78" s="47" t="n">
        <v>47</v>
      </c>
      <c r="G78" s="49" t="n">
        <v>223437</v>
      </c>
      <c r="H78" s="3" t="s">
        <v>248</v>
      </c>
      <c r="I78" s="3" t="n">
        <v>2</v>
      </c>
      <c r="J78" s="53" t="n">
        <v>45115</v>
      </c>
      <c r="K78" s="3" t="s">
        <v>249</v>
      </c>
      <c r="L78" s="54" t="n">
        <v>45115.140462963</v>
      </c>
      <c r="M78" s="3" t="n">
        <v>77</v>
      </c>
    </row>
    <row r="79" customFormat="false" ht="14.25" hidden="false" customHeight="false" outlineLevel="0" collapsed="false">
      <c r="A79" s="3" t="n">
        <v>21</v>
      </c>
      <c r="B79" s="51" t="s">
        <v>250</v>
      </c>
      <c r="C79" s="51" t="s">
        <v>251</v>
      </c>
      <c r="D79" s="6" t="n">
        <v>213777</v>
      </c>
      <c r="E79" s="51" t="s">
        <v>160</v>
      </c>
      <c r="F79" s="47" t="n">
        <v>35</v>
      </c>
      <c r="G79" s="49" t="n">
        <v>223161</v>
      </c>
      <c r="H79" s="3" t="s">
        <v>252</v>
      </c>
      <c r="I79" s="3" t="n">
        <v>1</v>
      </c>
      <c r="J79" s="53" t="n">
        <v>45111</v>
      </c>
      <c r="K79" s="3" t="s">
        <v>253</v>
      </c>
      <c r="L79" s="54" t="n">
        <v>45111.3475231482</v>
      </c>
      <c r="M79" s="3" t="n">
        <v>1</v>
      </c>
    </row>
    <row r="80" customFormat="false" ht="14.25" hidden="false" customHeight="false" outlineLevel="0" collapsed="false">
      <c r="A80" s="3" t="n">
        <v>22</v>
      </c>
      <c r="B80" s="51" t="s">
        <v>250</v>
      </c>
      <c r="C80" s="51" t="s">
        <v>251</v>
      </c>
      <c r="D80" s="6" t="n">
        <v>213777</v>
      </c>
      <c r="E80" s="51" t="s">
        <v>247</v>
      </c>
      <c r="F80" s="47" t="n">
        <v>47</v>
      </c>
      <c r="G80" s="49" t="n">
        <v>223437</v>
      </c>
      <c r="H80" s="3" t="s">
        <v>254</v>
      </c>
      <c r="I80" s="3" t="n">
        <v>2</v>
      </c>
      <c r="J80" s="53" t="n">
        <v>45111</v>
      </c>
      <c r="K80" s="3" t="s">
        <v>255</v>
      </c>
      <c r="L80" s="54" t="n">
        <v>45111.3579861111</v>
      </c>
      <c r="M80" s="3" t="n">
        <v>2</v>
      </c>
    </row>
    <row r="81" customFormat="false" ht="14.25" hidden="false" customHeight="false" outlineLevel="0" collapsed="false">
      <c r="A81" s="3" t="n">
        <v>23</v>
      </c>
      <c r="B81" s="51" t="s">
        <v>250</v>
      </c>
      <c r="C81" s="51" t="s">
        <v>251</v>
      </c>
      <c r="D81" s="6" t="n">
        <v>213777</v>
      </c>
      <c r="E81" s="51" t="s">
        <v>103</v>
      </c>
      <c r="F81" s="47" t="n">
        <v>12</v>
      </c>
      <c r="G81" s="49" t="n">
        <v>202053</v>
      </c>
      <c r="H81" s="3" t="s">
        <v>256</v>
      </c>
      <c r="I81" s="3" t="n">
        <v>1</v>
      </c>
      <c r="J81" s="53" t="n">
        <v>45112</v>
      </c>
      <c r="K81" s="3" t="s">
        <v>257</v>
      </c>
      <c r="L81" s="54" t="n">
        <v>45112.2832407407</v>
      </c>
      <c r="M81" s="3" t="n">
        <v>3</v>
      </c>
    </row>
    <row r="82" customFormat="false" ht="14.25" hidden="false" customHeight="false" outlineLevel="0" collapsed="false">
      <c r="A82" s="3" t="n">
        <v>24</v>
      </c>
      <c r="B82" s="51" t="s">
        <v>250</v>
      </c>
      <c r="C82" s="51" t="s">
        <v>251</v>
      </c>
      <c r="D82" s="6" t="n">
        <v>213777</v>
      </c>
      <c r="E82" s="51" t="s">
        <v>103</v>
      </c>
      <c r="F82" s="47" t="n">
        <v>12</v>
      </c>
      <c r="G82" s="49" t="n">
        <v>202053</v>
      </c>
      <c r="H82" s="3" t="s">
        <v>258</v>
      </c>
      <c r="I82" s="3" t="n">
        <v>1</v>
      </c>
      <c r="J82" s="53" t="n">
        <v>45112</v>
      </c>
      <c r="K82" s="3" t="s">
        <v>259</v>
      </c>
      <c r="L82" s="54" t="n">
        <v>45112.2840856482</v>
      </c>
      <c r="M82" s="3" t="n">
        <v>4</v>
      </c>
    </row>
    <row r="83" customFormat="false" ht="14.25" hidden="false" customHeight="false" outlineLevel="0" collapsed="false">
      <c r="A83" s="3" t="n">
        <v>25</v>
      </c>
      <c r="B83" s="51" t="s">
        <v>250</v>
      </c>
      <c r="C83" s="51" t="s">
        <v>251</v>
      </c>
      <c r="D83" s="6" t="n">
        <v>213777</v>
      </c>
      <c r="E83" s="51" t="s">
        <v>103</v>
      </c>
      <c r="F83" s="47" t="n">
        <v>12</v>
      </c>
      <c r="G83" s="49" t="n">
        <v>202053</v>
      </c>
      <c r="H83" s="3" t="s">
        <v>260</v>
      </c>
      <c r="I83" s="3" t="n">
        <v>2</v>
      </c>
      <c r="J83" s="53" t="n">
        <v>45112</v>
      </c>
      <c r="K83" s="3" t="s">
        <v>261</v>
      </c>
      <c r="L83" s="54" t="n">
        <v>45112.284375</v>
      </c>
      <c r="M83" s="3" t="n">
        <v>5</v>
      </c>
    </row>
    <row r="84" customFormat="false" ht="14.25" hidden="false" customHeight="false" outlineLevel="0" collapsed="false">
      <c r="A84" s="3" t="n">
        <v>26</v>
      </c>
      <c r="B84" s="51" t="s">
        <v>250</v>
      </c>
      <c r="C84" s="51" t="s">
        <v>251</v>
      </c>
      <c r="D84" s="6" t="n">
        <v>213777</v>
      </c>
      <c r="E84" s="51" t="s">
        <v>103</v>
      </c>
      <c r="F84" s="47" t="n">
        <v>12</v>
      </c>
      <c r="G84" s="49" t="n">
        <v>202053</v>
      </c>
      <c r="H84" s="3" t="s">
        <v>262</v>
      </c>
      <c r="I84" s="3" t="n">
        <v>2</v>
      </c>
      <c r="J84" s="53" t="n">
        <v>45112</v>
      </c>
      <c r="K84" s="3" t="s">
        <v>263</v>
      </c>
      <c r="L84" s="54" t="n">
        <v>45112.2845717593</v>
      </c>
      <c r="M84" s="3" t="n">
        <v>6</v>
      </c>
    </row>
    <row r="85" customFormat="false" ht="14.25" hidden="false" customHeight="false" outlineLevel="0" collapsed="false">
      <c r="A85" s="3" t="n">
        <v>27</v>
      </c>
      <c r="B85" s="51" t="s">
        <v>250</v>
      </c>
      <c r="C85" s="51" t="s">
        <v>251</v>
      </c>
      <c r="D85" s="6" t="n">
        <v>213777</v>
      </c>
      <c r="E85" s="51" t="s">
        <v>103</v>
      </c>
      <c r="F85" s="47" t="n">
        <v>12</v>
      </c>
      <c r="G85" s="49" t="n">
        <v>202053</v>
      </c>
      <c r="H85" s="3" t="s">
        <v>264</v>
      </c>
      <c r="I85" s="3" t="n">
        <v>1</v>
      </c>
      <c r="J85" s="53" t="n">
        <v>45112</v>
      </c>
      <c r="K85" s="3" t="s">
        <v>265</v>
      </c>
      <c r="L85" s="54" t="n">
        <v>45112.2848263889</v>
      </c>
      <c r="M85" s="3" t="n">
        <v>7</v>
      </c>
    </row>
    <row r="86" customFormat="false" ht="14.25" hidden="false" customHeight="false" outlineLevel="0" collapsed="false">
      <c r="A86" s="3" t="n">
        <v>28</v>
      </c>
      <c r="B86" s="51" t="s">
        <v>250</v>
      </c>
      <c r="C86" s="51" t="s">
        <v>251</v>
      </c>
      <c r="D86" s="6" t="n">
        <v>213777</v>
      </c>
      <c r="E86" s="51" t="s">
        <v>103</v>
      </c>
      <c r="F86" s="47" t="n">
        <v>12</v>
      </c>
      <c r="G86" s="49" t="n">
        <v>202053</v>
      </c>
      <c r="H86" s="3" t="s">
        <v>266</v>
      </c>
      <c r="I86" s="3" t="n">
        <v>1</v>
      </c>
      <c r="J86" s="53" t="n">
        <v>45112</v>
      </c>
      <c r="K86" s="3" t="s">
        <v>267</v>
      </c>
      <c r="L86" s="54" t="n">
        <v>45112.2851851852</v>
      </c>
      <c r="M86" s="3" t="n">
        <v>8</v>
      </c>
    </row>
    <row r="87" customFormat="false" ht="14.25" hidden="false" customHeight="false" outlineLevel="0" collapsed="false">
      <c r="A87" s="3" t="n">
        <v>29</v>
      </c>
      <c r="B87" s="51" t="s">
        <v>250</v>
      </c>
      <c r="C87" s="51" t="s">
        <v>251</v>
      </c>
      <c r="D87" s="6" t="n">
        <v>213777</v>
      </c>
      <c r="E87" s="51" t="s">
        <v>103</v>
      </c>
      <c r="F87" s="47" t="n">
        <v>12</v>
      </c>
      <c r="G87" s="49" t="n">
        <v>202053</v>
      </c>
      <c r="H87" s="3" t="s">
        <v>268</v>
      </c>
      <c r="I87" s="3" t="n">
        <v>2</v>
      </c>
      <c r="J87" s="53" t="n">
        <v>45112</v>
      </c>
      <c r="K87" s="3" t="s">
        <v>269</v>
      </c>
      <c r="L87" s="54" t="n">
        <v>45112.2855902778</v>
      </c>
      <c r="M87" s="3" t="n">
        <v>9</v>
      </c>
    </row>
    <row r="88" customFormat="false" ht="14.25" hidden="false" customHeight="false" outlineLevel="0" collapsed="false">
      <c r="A88" s="3" t="n">
        <v>30</v>
      </c>
      <c r="B88" s="51" t="s">
        <v>250</v>
      </c>
      <c r="C88" s="51" t="s">
        <v>251</v>
      </c>
      <c r="D88" s="6" t="n">
        <v>213777</v>
      </c>
      <c r="E88" s="51" t="s">
        <v>103</v>
      </c>
      <c r="F88" s="47" t="n">
        <v>12</v>
      </c>
      <c r="G88" s="49" t="n">
        <v>202053</v>
      </c>
      <c r="H88" s="3" t="s">
        <v>270</v>
      </c>
      <c r="I88" s="3" t="n">
        <v>1</v>
      </c>
      <c r="J88" s="53" t="n">
        <v>45112</v>
      </c>
      <c r="K88" s="3" t="s">
        <v>271</v>
      </c>
      <c r="L88" s="54" t="n">
        <v>45112.2859375</v>
      </c>
      <c r="M88" s="3" t="n">
        <v>10</v>
      </c>
    </row>
    <row r="89" customFormat="false" ht="14.25" hidden="false" customHeight="false" outlineLevel="0" collapsed="false">
      <c r="A89" s="3" t="n">
        <v>31</v>
      </c>
      <c r="B89" s="51" t="s">
        <v>250</v>
      </c>
      <c r="C89" s="51" t="s">
        <v>251</v>
      </c>
      <c r="D89" s="6" t="n">
        <v>213777</v>
      </c>
      <c r="E89" s="51" t="s">
        <v>103</v>
      </c>
      <c r="F89" s="47" t="n">
        <v>12</v>
      </c>
      <c r="G89" s="49" t="n">
        <v>202053</v>
      </c>
      <c r="H89" s="3" t="s">
        <v>272</v>
      </c>
      <c r="I89" s="3" t="n">
        <v>1</v>
      </c>
      <c r="J89" s="53" t="n">
        <v>45112</v>
      </c>
      <c r="K89" s="3" t="s">
        <v>273</v>
      </c>
      <c r="L89" s="54" t="n">
        <v>45112.2866435185</v>
      </c>
      <c r="M89" s="3" t="n">
        <v>11</v>
      </c>
    </row>
    <row r="90" customFormat="false" ht="14.25" hidden="false" customHeight="false" outlineLevel="0" collapsed="false">
      <c r="A90" s="3" t="n">
        <v>32</v>
      </c>
      <c r="B90" s="51" t="s">
        <v>250</v>
      </c>
      <c r="C90" s="51" t="s">
        <v>251</v>
      </c>
      <c r="D90" s="6" t="n">
        <v>213777</v>
      </c>
      <c r="E90" s="51" t="s">
        <v>103</v>
      </c>
      <c r="F90" s="47" t="n">
        <v>12</v>
      </c>
      <c r="G90" s="49" t="n">
        <v>202053</v>
      </c>
      <c r="H90" s="3" t="s">
        <v>274</v>
      </c>
      <c r="I90" s="3" t="n">
        <v>1</v>
      </c>
      <c r="J90" s="53" t="n">
        <v>45112</v>
      </c>
      <c r="K90" s="3" t="s">
        <v>275</v>
      </c>
      <c r="L90" s="54" t="n">
        <v>45112.2866666667</v>
      </c>
      <c r="M90" s="3" t="n">
        <v>12</v>
      </c>
    </row>
    <row r="91" customFormat="false" ht="14.25" hidden="false" customHeight="false" outlineLevel="0" collapsed="false">
      <c r="A91" s="3" t="n">
        <v>33</v>
      </c>
      <c r="B91" s="51" t="s">
        <v>250</v>
      </c>
      <c r="C91" s="51" t="s">
        <v>251</v>
      </c>
      <c r="D91" s="6" t="n">
        <v>213777</v>
      </c>
      <c r="E91" s="51" t="s">
        <v>103</v>
      </c>
      <c r="F91" s="47" t="n">
        <v>12</v>
      </c>
      <c r="G91" s="49" t="n">
        <v>202053</v>
      </c>
      <c r="H91" s="3" t="s">
        <v>276</v>
      </c>
      <c r="I91" s="3" t="n">
        <v>2</v>
      </c>
      <c r="J91" s="53" t="n">
        <v>45112</v>
      </c>
      <c r="K91" s="3" t="s">
        <v>277</v>
      </c>
      <c r="L91" s="54" t="n">
        <v>45112.2876967593</v>
      </c>
      <c r="M91" s="3" t="n">
        <v>13</v>
      </c>
    </row>
    <row r="92" customFormat="false" ht="14.25" hidden="false" customHeight="false" outlineLevel="0" collapsed="false">
      <c r="A92" s="3" t="n">
        <v>34</v>
      </c>
      <c r="B92" s="51" t="s">
        <v>250</v>
      </c>
      <c r="C92" s="51" t="s">
        <v>251</v>
      </c>
      <c r="D92" s="6" t="n">
        <v>213777</v>
      </c>
      <c r="E92" s="51" t="s">
        <v>103</v>
      </c>
      <c r="F92" s="47" t="n">
        <v>12</v>
      </c>
      <c r="G92" s="49" t="n">
        <v>202053</v>
      </c>
      <c r="H92" s="3" t="s">
        <v>278</v>
      </c>
      <c r="I92" s="3" t="n">
        <v>0</v>
      </c>
      <c r="J92" s="53" t="n">
        <v>45112</v>
      </c>
      <c r="K92" s="3" t="s">
        <v>279</v>
      </c>
      <c r="L92" s="54" t="n">
        <v>45112.2880902778</v>
      </c>
      <c r="M92" s="3" t="n">
        <v>14</v>
      </c>
    </row>
    <row r="93" customFormat="false" ht="14.25" hidden="false" customHeight="false" outlineLevel="0" collapsed="false">
      <c r="A93" s="3" t="n">
        <v>35</v>
      </c>
      <c r="B93" s="51" t="s">
        <v>250</v>
      </c>
      <c r="C93" s="51" t="s">
        <v>251</v>
      </c>
      <c r="D93" s="6" t="n">
        <v>213777</v>
      </c>
      <c r="E93" s="51" t="s">
        <v>103</v>
      </c>
      <c r="F93" s="47" t="n">
        <v>12</v>
      </c>
      <c r="G93" s="49" t="n">
        <v>202053</v>
      </c>
      <c r="H93" s="3" t="s">
        <v>280</v>
      </c>
      <c r="I93" s="3" t="n">
        <v>1</v>
      </c>
      <c r="J93" s="53" t="n">
        <v>45112</v>
      </c>
      <c r="K93" s="3" t="s">
        <v>281</v>
      </c>
      <c r="L93" s="54" t="n">
        <v>45112.2926388889</v>
      </c>
      <c r="M93" s="3" t="n">
        <v>15</v>
      </c>
    </row>
    <row r="94" customFormat="false" ht="14.25" hidden="false" customHeight="false" outlineLevel="0" collapsed="false">
      <c r="A94" s="3" t="n">
        <v>36</v>
      </c>
      <c r="B94" s="51" t="s">
        <v>250</v>
      </c>
      <c r="C94" s="51" t="s">
        <v>251</v>
      </c>
      <c r="D94" s="6" t="n">
        <v>213777</v>
      </c>
      <c r="E94" s="51" t="s">
        <v>143</v>
      </c>
      <c r="F94" s="47" t="n">
        <v>32</v>
      </c>
      <c r="G94" s="49" t="n">
        <v>223044</v>
      </c>
      <c r="H94" s="3" t="s">
        <v>282</v>
      </c>
      <c r="I94" s="3" t="n">
        <v>1</v>
      </c>
      <c r="J94" s="53" t="n">
        <v>45112</v>
      </c>
      <c r="K94" s="3" t="s">
        <v>283</v>
      </c>
      <c r="L94" s="54" t="n">
        <v>45112.2953356481</v>
      </c>
      <c r="M94" s="3" t="n">
        <v>16</v>
      </c>
    </row>
    <row r="95" customFormat="false" ht="14.25" hidden="false" customHeight="false" outlineLevel="0" collapsed="false">
      <c r="A95" s="3" t="n">
        <v>37</v>
      </c>
      <c r="B95" s="51" t="s">
        <v>250</v>
      </c>
      <c r="C95" s="51" t="s">
        <v>251</v>
      </c>
      <c r="D95" s="6" t="n">
        <v>213777</v>
      </c>
      <c r="E95" s="51" t="s">
        <v>103</v>
      </c>
      <c r="F95" s="47" t="n">
        <v>12</v>
      </c>
      <c r="G95" s="49" t="n">
        <v>202053</v>
      </c>
      <c r="H95" s="3" t="s">
        <v>284</v>
      </c>
      <c r="I95" s="3" t="n">
        <v>3</v>
      </c>
      <c r="J95" s="53" t="n">
        <v>45112</v>
      </c>
      <c r="K95" s="3" t="s">
        <v>285</v>
      </c>
      <c r="L95" s="54" t="n">
        <v>45112.3237847222</v>
      </c>
      <c r="M95" s="3" t="n">
        <v>17</v>
      </c>
    </row>
    <row r="96" customFormat="false" ht="14.25" hidden="false" customHeight="false" outlineLevel="0" collapsed="false">
      <c r="A96" s="3" t="n">
        <v>38</v>
      </c>
      <c r="B96" s="51" t="s">
        <v>250</v>
      </c>
      <c r="C96" s="51" t="s">
        <v>251</v>
      </c>
      <c r="D96" s="6" t="n">
        <v>213777</v>
      </c>
      <c r="E96" s="51" t="s">
        <v>103</v>
      </c>
      <c r="F96" s="47" t="n">
        <v>12</v>
      </c>
      <c r="G96" s="49" t="n">
        <v>202053</v>
      </c>
      <c r="H96" s="3" t="s">
        <v>286</v>
      </c>
      <c r="I96" s="3" t="n">
        <v>1</v>
      </c>
      <c r="J96" s="53" t="n">
        <v>45112</v>
      </c>
      <c r="K96" s="3" t="s">
        <v>287</v>
      </c>
      <c r="L96" s="54" t="n">
        <v>45112.3239699074</v>
      </c>
      <c r="M96" s="3" t="n">
        <v>18</v>
      </c>
    </row>
    <row r="97" customFormat="false" ht="14.25" hidden="false" customHeight="false" outlineLevel="0" collapsed="false">
      <c r="A97" s="3" t="n">
        <v>39</v>
      </c>
      <c r="B97" s="51" t="s">
        <v>250</v>
      </c>
      <c r="C97" s="51" t="s">
        <v>251</v>
      </c>
      <c r="D97" s="6" t="n">
        <v>213777</v>
      </c>
      <c r="E97" s="51" t="s">
        <v>103</v>
      </c>
      <c r="F97" s="47" t="n">
        <v>12</v>
      </c>
      <c r="G97" s="49" t="n">
        <v>202053</v>
      </c>
      <c r="H97" s="3" t="s">
        <v>288</v>
      </c>
      <c r="I97" s="3" t="n">
        <v>3</v>
      </c>
      <c r="J97" s="53" t="n">
        <v>45112</v>
      </c>
      <c r="K97" s="3" t="s">
        <v>289</v>
      </c>
      <c r="L97" s="54" t="n">
        <v>45112.3241550926</v>
      </c>
      <c r="M97" s="3" t="n">
        <v>19</v>
      </c>
    </row>
    <row r="98" customFormat="false" ht="14.25" hidden="false" customHeight="false" outlineLevel="0" collapsed="false">
      <c r="A98" s="3" t="n">
        <v>40</v>
      </c>
      <c r="B98" s="51" t="s">
        <v>250</v>
      </c>
      <c r="C98" s="51" t="s">
        <v>251</v>
      </c>
      <c r="D98" s="6" t="n">
        <v>213777</v>
      </c>
      <c r="E98" s="51" t="s">
        <v>103</v>
      </c>
      <c r="F98" s="47" t="n">
        <v>12</v>
      </c>
      <c r="G98" s="49" t="n">
        <v>202053</v>
      </c>
      <c r="H98" s="3" t="s">
        <v>290</v>
      </c>
      <c r="I98" s="3" t="n">
        <v>0</v>
      </c>
      <c r="J98" s="53" t="n">
        <v>45112</v>
      </c>
      <c r="K98" s="3" t="s">
        <v>291</v>
      </c>
      <c r="L98" s="54" t="n">
        <v>45112.3243402778</v>
      </c>
      <c r="M98" s="3" t="n">
        <v>20</v>
      </c>
    </row>
    <row r="99" customFormat="false" ht="14.25" hidden="false" customHeight="false" outlineLevel="0" collapsed="false">
      <c r="A99" s="3" t="n">
        <v>41</v>
      </c>
      <c r="B99" s="51" t="s">
        <v>250</v>
      </c>
      <c r="C99" s="51" t="s">
        <v>251</v>
      </c>
      <c r="D99" s="6" t="n">
        <v>213777</v>
      </c>
      <c r="E99" s="51" t="s">
        <v>103</v>
      </c>
      <c r="F99" s="47" t="n">
        <v>12</v>
      </c>
      <c r="G99" s="49" t="n">
        <v>202053</v>
      </c>
      <c r="H99" s="3" t="s">
        <v>292</v>
      </c>
      <c r="I99" s="3" t="n">
        <v>2</v>
      </c>
      <c r="J99" s="53" t="n">
        <v>45112</v>
      </c>
      <c r="K99" s="3" t="s">
        <v>293</v>
      </c>
      <c r="L99" s="54" t="n">
        <v>45112.3245138889</v>
      </c>
      <c r="M99" s="3" t="n">
        <v>21</v>
      </c>
    </row>
    <row r="100" customFormat="false" ht="14.25" hidden="false" customHeight="false" outlineLevel="0" collapsed="false">
      <c r="A100" s="3" t="n">
        <v>42</v>
      </c>
      <c r="B100" s="51" t="s">
        <v>250</v>
      </c>
      <c r="C100" s="51" t="s">
        <v>251</v>
      </c>
      <c r="D100" s="6" t="n">
        <v>213777</v>
      </c>
      <c r="E100" s="51" t="s">
        <v>103</v>
      </c>
      <c r="F100" s="47" t="n">
        <v>12</v>
      </c>
      <c r="G100" s="49" t="n">
        <v>202053</v>
      </c>
      <c r="H100" s="3" t="s">
        <v>294</v>
      </c>
      <c r="I100" s="3" t="n">
        <v>2</v>
      </c>
      <c r="J100" s="53" t="n">
        <v>45112</v>
      </c>
      <c r="K100" s="3" t="s">
        <v>295</v>
      </c>
      <c r="L100" s="54" t="n">
        <v>45112.3250115741</v>
      </c>
      <c r="M100" s="3" t="n">
        <v>22</v>
      </c>
    </row>
    <row r="101" customFormat="false" ht="14.25" hidden="false" customHeight="false" outlineLevel="0" collapsed="false">
      <c r="A101" s="3" t="n">
        <v>43</v>
      </c>
      <c r="B101" s="51" t="s">
        <v>250</v>
      </c>
      <c r="C101" s="51" t="s">
        <v>251</v>
      </c>
      <c r="D101" s="6" t="n">
        <v>213777</v>
      </c>
      <c r="E101" s="51" t="s">
        <v>103</v>
      </c>
      <c r="F101" s="47" t="n">
        <v>12</v>
      </c>
      <c r="G101" s="49" t="n">
        <v>202053</v>
      </c>
      <c r="H101" s="3" t="s">
        <v>296</v>
      </c>
      <c r="I101" s="3" t="n">
        <v>1</v>
      </c>
      <c r="J101" s="53" t="n">
        <v>45112</v>
      </c>
      <c r="K101" s="3" t="s">
        <v>297</v>
      </c>
      <c r="L101" s="54" t="n">
        <v>45112.3250347222</v>
      </c>
      <c r="M101" s="3" t="n">
        <v>23</v>
      </c>
    </row>
    <row r="102" customFormat="false" ht="14.25" hidden="false" customHeight="false" outlineLevel="0" collapsed="false">
      <c r="A102" s="3" t="n">
        <v>44</v>
      </c>
      <c r="B102" s="51" t="s">
        <v>250</v>
      </c>
      <c r="C102" s="51" t="s">
        <v>251</v>
      </c>
      <c r="D102" s="6" t="n">
        <v>213777</v>
      </c>
      <c r="E102" s="51" t="s">
        <v>103</v>
      </c>
      <c r="F102" s="47" t="n">
        <v>12</v>
      </c>
      <c r="G102" s="49" t="n">
        <v>202053</v>
      </c>
      <c r="H102" s="3" t="s">
        <v>298</v>
      </c>
      <c r="I102" s="3" t="n">
        <v>1</v>
      </c>
      <c r="J102" s="53" t="n">
        <v>45112</v>
      </c>
      <c r="K102" s="3" t="s">
        <v>299</v>
      </c>
      <c r="L102" s="54" t="n">
        <v>45112.3253009259</v>
      </c>
      <c r="M102" s="3" t="n">
        <v>24</v>
      </c>
    </row>
    <row r="103" customFormat="false" ht="14.25" hidden="false" customHeight="false" outlineLevel="0" collapsed="false">
      <c r="A103" s="3" t="n">
        <v>45</v>
      </c>
      <c r="B103" s="51" t="s">
        <v>250</v>
      </c>
      <c r="C103" s="51" t="s">
        <v>251</v>
      </c>
      <c r="D103" s="6" t="n">
        <v>213777</v>
      </c>
      <c r="E103" s="51" t="s">
        <v>103</v>
      </c>
      <c r="F103" s="47" t="n">
        <v>12</v>
      </c>
      <c r="G103" s="49" t="n">
        <v>202053</v>
      </c>
      <c r="H103" s="3" t="s">
        <v>300</v>
      </c>
      <c r="I103" s="3" t="n">
        <v>1</v>
      </c>
      <c r="J103" s="53" t="n">
        <v>45112</v>
      </c>
      <c r="K103" s="3" t="s">
        <v>301</v>
      </c>
      <c r="L103" s="54" t="n">
        <v>45112.3253240741</v>
      </c>
      <c r="M103" s="3" t="n">
        <v>25</v>
      </c>
    </row>
    <row r="104" customFormat="false" ht="14.25" hidden="false" customHeight="false" outlineLevel="0" collapsed="false">
      <c r="A104" s="3" t="n">
        <v>46</v>
      </c>
      <c r="B104" s="51" t="s">
        <v>250</v>
      </c>
      <c r="C104" s="51" t="s">
        <v>251</v>
      </c>
      <c r="D104" s="6" t="n">
        <v>213777</v>
      </c>
      <c r="E104" s="51" t="s">
        <v>103</v>
      </c>
      <c r="F104" s="47" t="n">
        <v>12</v>
      </c>
      <c r="G104" s="49" t="n">
        <v>202053</v>
      </c>
      <c r="H104" s="3" t="s">
        <v>302</v>
      </c>
      <c r="I104" s="3" t="n">
        <v>1</v>
      </c>
      <c r="J104" s="53" t="n">
        <v>45112</v>
      </c>
      <c r="K104" s="3" t="s">
        <v>303</v>
      </c>
      <c r="L104" s="54" t="n">
        <v>45112.3260185185</v>
      </c>
      <c r="M104" s="3" t="n">
        <v>26</v>
      </c>
    </row>
    <row r="105" customFormat="false" ht="14.25" hidden="false" customHeight="false" outlineLevel="0" collapsed="false">
      <c r="A105" s="3" t="n">
        <v>47</v>
      </c>
      <c r="B105" s="51" t="s">
        <v>250</v>
      </c>
      <c r="C105" s="51" t="s">
        <v>251</v>
      </c>
      <c r="D105" s="6" t="n">
        <v>213777</v>
      </c>
      <c r="E105" s="51" t="s">
        <v>103</v>
      </c>
      <c r="F105" s="47" t="n">
        <v>12</v>
      </c>
      <c r="G105" s="49" t="n">
        <v>202053</v>
      </c>
      <c r="H105" s="3" t="s">
        <v>304</v>
      </c>
      <c r="I105" s="3" t="n">
        <v>0</v>
      </c>
      <c r="J105" s="53" t="n">
        <v>45112</v>
      </c>
      <c r="K105" s="3" t="s">
        <v>305</v>
      </c>
      <c r="L105" s="54" t="n">
        <v>45112.3278819444</v>
      </c>
      <c r="M105" s="3" t="n">
        <v>27</v>
      </c>
    </row>
    <row r="106" customFormat="false" ht="14.25" hidden="false" customHeight="false" outlineLevel="0" collapsed="false">
      <c r="A106" s="3" t="n">
        <v>48</v>
      </c>
      <c r="B106" s="51" t="s">
        <v>250</v>
      </c>
      <c r="C106" s="51" t="s">
        <v>251</v>
      </c>
      <c r="D106" s="6" t="n">
        <v>213777</v>
      </c>
      <c r="E106" s="51" t="s">
        <v>103</v>
      </c>
      <c r="F106" s="47" t="n">
        <v>12</v>
      </c>
      <c r="G106" s="49" t="n">
        <v>202053</v>
      </c>
      <c r="H106" s="3" t="s">
        <v>306</v>
      </c>
      <c r="I106" s="3" t="n">
        <v>2</v>
      </c>
      <c r="J106" s="53" t="n">
        <v>45112</v>
      </c>
      <c r="K106" s="3" t="s">
        <v>307</v>
      </c>
      <c r="L106" s="54" t="n">
        <v>45112.328287037</v>
      </c>
      <c r="M106" s="3" t="n">
        <v>28</v>
      </c>
    </row>
    <row r="107" customFormat="false" ht="14.25" hidden="false" customHeight="false" outlineLevel="0" collapsed="false">
      <c r="A107" s="3" t="n">
        <v>49</v>
      </c>
      <c r="B107" s="51" t="s">
        <v>250</v>
      </c>
      <c r="C107" s="51" t="s">
        <v>251</v>
      </c>
      <c r="D107" s="6" t="n">
        <v>213777</v>
      </c>
      <c r="E107" s="51" t="s">
        <v>103</v>
      </c>
      <c r="F107" s="47" t="n">
        <v>12</v>
      </c>
      <c r="G107" s="49" t="n">
        <v>202053</v>
      </c>
      <c r="H107" s="3" t="s">
        <v>308</v>
      </c>
      <c r="I107" s="3" t="n">
        <v>1</v>
      </c>
      <c r="J107" s="53" t="n">
        <v>45112</v>
      </c>
      <c r="K107" s="3" t="s">
        <v>309</v>
      </c>
      <c r="L107" s="54" t="n">
        <v>45112.3287962963</v>
      </c>
      <c r="M107" s="3" t="n">
        <v>29</v>
      </c>
    </row>
    <row r="108" customFormat="false" ht="14.25" hidden="false" customHeight="false" outlineLevel="0" collapsed="false">
      <c r="A108" s="3" t="n">
        <v>50</v>
      </c>
      <c r="B108" s="51" t="s">
        <v>250</v>
      </c>
      <c r="C108" s="51" t="s">
        <v>251</v>
      </c>
      <c r="D108" s="6" t="n">
        <v>213777</v>
      </c>
      <c r="E108" s="51" t="s">
        <v>103</v>
      </c>
      <c r="F108" s="47" t="n">
        <v>12</v>
      </c>
      <c r="G108" s="49" t="n">
        <v>202053</v>
      </c>
      <c r="H108" s="3" t="s">
        <v>310</v>
      </c>
      <c r="I108" s="3" t="n">
        <v>1</v>
      </c>
      <c r="J108" s="53" t="n">
        <v>45112</v>
      </c>
      <c r="K108" s="3" t="s">
        <v>311</v>
      </c>
      <c r="L108" s="54" t="n">
        <v>45112.3292361111</v>
      </c>
      <c r="M108" s="3" t="n">
        <v>30</v>
      </c>
    </row>
    <row r="109" customFormat="false" ht="14.25" hidden="false" customHeight="false" outlineLevel="0" collapsed="false">
      <c r="A109" s="3" t="n">
        <v>51</v>
      </c>
      <c r="B109" s="51" t="s">
        <v>250</v>
      </c>
      <c r="C109" s="51" t="s">
        <v>251</v>
      </c>
      <c r="D109" s="6" t="n">
        <v>213777</v>
      </c>
      <c r="E109" s="51" t="s">
        <v>103</v>
      </c>
      <c r="F109" s="47" t="n">
        <v>12</v>
      </c>
      <c r="G109" s="49" t="n">
        <v>202053</v>
      </c>
      <c r="H109" s="3" t="s">
        <v>312</v>
      </c>
      <c r="I109" s="3" t="n">
        <v>0</v>
      </c>
      <c r="J109" s="53" t="n">
        <v>45112</v>
      </c>
      <c r="K109" s="3" t="s">
        <v>313</v>
      </c>
      <c r="L109" s="54" t="n">
        <v>45112.3295023148</v>
      </c>
      <c r="M109" s="3" t="n">
        <v>31</v>
      </c>
    </row>
    <row r="110" customFormat="false" ht="14.25" hidden="false" customHeight="false" outlineLevel="0" collapsed="false">
      <c r="A110" s="3" t="n">
        <v>52</v>
      </c>
      <c r="B110" s="51" t="s">
        <v>250</v>
      </c>
      <c r="C110" s="51" t="s">
        <v>251</v>
      </c>
      <c r="D110" s="6" t="n">
        <v>213777</v>
      </c>
      <c r="E110" s="51" t="s">
        <v>103</v>
      </c>
      <c r="F110" s="47" t="n">
        <v>12</v>
      </c>
      <c r="G110" s="49" t="n">
        <v>202053</v>
      </c>
      <c r="H110" s="3" t="s">
        <v>314</v>
      </c>
      <c r="I110" s="3" t="n">
        <v>1</v>
      </c>
      <c r="J110" s="53" t="n">
        <v>45112</v>
      </c>
      <c r="K110" s="3" t="s">
        <v>315</v>
      </c>
      <c r="L110" s="54" t="n">
        <v>45112.3299652778</v>
      </c>
      <c r="M110" s="3" t="n">
        <v>32</v>
      </c>
    </row>
    <row r="111" customFormat="false" ht="14.25" hidden="false" customHeight="false" outlineLevel="0" collapsed="false">
      <c r="A111" s="3" t="n">
        <v>53</v>
      </c>
      <c r="B111" s="51" t="s">
        <v>250</v>
      </c>
      <c r="C111" s="51" t="s">
        <v>251</v>
      </c>
      <c r="D111" s="6" t="n">
        <v>213777</v>
      </c>
      <c r="E111" s="51" t="s">
        <v>103</v>
      </c>
      <c r="F111" s="47" t="n">
        <v>12</v>
      </c>
      <c r="G111" s="49" t="n">
        <v>202053</v>
      </c>
      <c r="H111" s="3" t="s">
        <v>316</v>
      </c>
      <c r="I111" s="3" t="n">
        <v>2</v>
      </c>
      <c r="J111" s="53" t="n">
        <v>45112</v>
      </c>
      <c r="K111" s="3" t="s">
        <v>317</v>
      </c>
      <c r="L111" s="54" t="n">
        <v>45112.3313541667</v>
      </c>
      <c r="M111" s="3" t="n">
        <v>33</v>
      </c>
    </row>
    <row r="112" customFormat="false" ht="14.25" hidden="false" customHeight="false" outlineLevel="0" collapsed="false">
      <c r="A112" s="3" t="n">
        <v>54</v>
      </c>
      <c r="B112" s="51" t="s">
        <v>250</v>
      </c>
      <c r="C112" s="51" t="s">
        <v>251</v>
      </c>
      <c r="D112" s="6" t="n">
        <v>213777</v>
      </c>
      <c r="E112" s="51" t="s">
        <v>103</v>
      </c>
      <c r="F112" s="47" t="n">
        <v>12</v>
      </c>
      <c r="G112" s="49" t="n">
        <v>202053</v>
      </c>
      <c r="H112" s="3" t="s">
        <v>318</v>
      </c>
      <c r="I112" s="3" t="n">
        <v>1</v>
      </c>
      <c r="J112" s="53" t="n">
        <v>45112</v>
      </c>
      <c r="K112" s="3" t="s">
        <v>319</v>
      </c>
      <c r="L112" s="54" t="n">
        <v>45112.3324305556</v>
      </c>
      <c r="M112" s="3" t="n">
        <v>34</v>
      </c>
    </row>
    <row r="113" customFormat="false" ht="14.25" hidden="false" customHeight="false" outlineLevel="0" collapsed="false">
      <c r="A113" s="3" t="n">
        <v>55</v>
      </c>
      <c r="B113" s="51" t="s">
        <v>250</v>
      </c>
      <c r="C113" s="51" t="s">
        <v>251</v>
      </c>
      <c r="D113" s="6" t="n">
        <v>213777</v>
      </c>
      <c r="E113" s="51" t="s">
        <v>103</v>
      </c>
      <c r="F113" s="47" t="n">
        <v>12</v>
      </c>
      <c r="G113" s="49" t="n">
        <v>202053</v>
      </c>
      <c r="H113" s="3" t="s">
        <v>320</v>
      </c>
      <c r="I113" s="3" t="n">
        <v>1</v>
      </c>
      <c r="J113" s="53" t="n">
        <v>45112</v>
      </c>
      <c r="K113" s="3" t="s">
        <v>321</v>
      </c>
      <c r="L113" s="54" t="n">
        <v>45112.3329398148</v>
      </c>
      <c r="M113" s="3" t="n">
        <v>35</v>
      </c>
    </row>
    <row r="114" customFormat="false" ht="14.25" hidden="false" customHeight="false" outlineLevel="0" collapsed="false">
      <c r="A114" s="3" t="n">
        <v>56</v>
      </c>
      <c r="B114" s="51" t="s">
        <v>250</v>
      </c>
      <c r="C114" s="51" t="s">
        <v>251</v>
      </c>
      <c r="D114" s="6" t="n">
        <v>213777</v>
      </c>
      <c r="E114" s="51" t="s">
        <v>103</v>
      </c>
      <c r="F114" s="47" t="n">
        <v>12</v>
      </c>
      <c r="G114" s="49" t="n">
        <v>202053</v>
      </c>
      <c r="H114" s="3" t="s">
        <v>322</v>
      </c>
      <c r="I114" s="3" t="n">
        <v>1</v>
      </c>
      <c r="J114" s="53" t="n">
        <v>45112</v>
      </c>
      <c r="K114" s="3" t="s">
        <v>323</v>
      </c>
      <c r="L114" s="54" t="n">
        <v>45112.3334027778</v>
      </c>
      <c r="M114" s="3" t="n">
        <v>36</v>
      </c>
    </row>
    <row r="115" customFormat="false" ht="14.25" hidden="false" customHeight="false" outlineLevel="0" collapsed="false">
      <c r="A115" s="3" t="n">
        <v>57</v>
      </c>
      <c r="B115" s="51" t="s">
        <v>250</v>
      </c>
      <c r="C115" s="51" t="s">
        <v>251</v>
      </c>
      <c r="D115" s="6" t="n">
        <v>213777</v>
      </c>
      <c r="E115" s="51" t="s">
        <v>103</v>
      </c>
      <c r="F115" s="47" t="n">
        <v>12</v>
      </c>
      <c r="G115" s="49" t="n">
        <v>202053</v>
      </c>
      <c r="H115" s="3" t="s">
        <v>324</v>
      </c>
      <c r="I115" s="3" t="n">
        <v>1</v>
      </c>
      <c r="J115" s="53" t="n">
        <v>45112</v>
      </c>
      <c r="K115" s="3" t="s">
        <v>325</v>
      </c>
      <c r="L115" s="54" t="n">
        <v>45112.3346527778</v>
      </c>
      <c r="M115" s="3" t="n">
        <v>37</v>
      </c>
    </row>
    <row r="116" customFormat="false" ht="14.25" hidden="false" customHeight="false" outlineLevel="0" collapsed="false">
      <c r="A116" s="3" t="n">
        <v>58</v>
      </c>
      <c r="B116" s="51" t="s">
        <v>250</v>
      </c>
      <c r="C116" s="51" t="s">
        <v>251</v>
      </c>
      <c r="D116" s="6" t="n">
        <v>213777</v>
      </c>
      <c r="E116" s="51" t="s">
        <v>103</v>
      </c>
      <c r="F116" s="47" t="n">
        <v>12</v>
      </c>
      <c r="G116" s="49" t="n">
        <v>202053</v>
      </c>
      <c r="H116" s="3" t="s">
        <v>326</v>
      </c>
      <c r="I116" s="3" t="n">
        <v>2</v>
      </c>
      <c r="J116" s="53" t="n">
        <v>45112</v>
      </c>
      <c r="K116" s="3" t="s">
        <v>327</v>
      </c>
      <c r="L116" s="54" t="n">
        <v>45112.3349768519</v>
      </c>
      <c r="M116" s="3" t="n">
        <v>38</v>
      </c>
    </row>
    <row r="117" customFormat="false" ht="14.25" hidden="false" customHeight="false" outlineLevel="0" collapsed="false">
      <c r="A117" s="3" t="n">
        <v>59</v>
      </c>
      <c r="B117" s="51" t="s">
        <v>250</v>
      </c>
      <c r="C117" s="51" t="s">
        <v>251</v>
      </c>
      <c r="D117" s="6" t="n">
        <v>213777</v>
      </c>
      <c r="E117" s="51" t="s">
        <v>103</v>
      </c>
      <c r="F117" s="47" t="n">
        <v>12</v>
      </c>
      <c r="G117" s="49" t="n">
        <v>202053</v>
      </c>
      <c r="H117" s="3" t="s">
        <v>328</v>
      </c>
      <c r="I117" s="3" t="n">
        <v>3</v>
      </c>
      <c r="J117" s="53" t="n">
        <v>45112</v>
      </c>
      <c r="K117" s="3" t="s">
        <v>329</v>
      </c>
      <c r="L117" s="54" t="n">
        <v>45112.3365393519</v>
      </c>
      <c r="M117" s="3" t="n">
        <v>39</v>
      </c>
    </row>
    <row r="118" customFormat="false" ht="14.25" hidden="false" customHeight="false" outlineLevel="0" collapsed="false">
      <c r="A118" s="3" t="n">
        <v>60</v>
      </c>
      <c r="B118" s="51" t="s">
        <v>250</v>
      </c>
      <c r="C118" s="51" t="s">
        <v>251</v>
      </c>
      <c r="D118" s="6" t="n">
        <v>213777</v>
      </c>
      <c r="E118" s="51" t="s">
        <v>103</v>
      </c>
      <c r="F118" s="47" t="n">
        <v>12</v>
      </c>
      <c r="G118" s="49" t="n">
        <v>202053</v>
      </c>
      <c r="H118" s="3" t="s">
        <v>330</v>
      </c>
      <c r="I118" s="3" t="n">
        <v>3</v>
      </c>
      <c r="J118" s="53" t="n">
        <v>45112</v>
      </c>
      <c r="K118" s="3" t="s">
        <v>331</v>
      </c>
      <c r="L118" s="54" t="n">
        <v>45112.3370023148</v>
      </c>
      <c r="M118" s="3" t="n">
        <v>40</v>
      </c>
    </row>
    <row r="119" customFormat="false" ht="14.25" hidden="false" customHeight="false" outlineLevel="0" collapsed="false">
      <c r="A119" s="3" t="n">
        <v>61</v>
      </c>
      <c r="B119" s="51" t="s">
        <v>250</v>
      </c>
      <c r="C119" s="51" t="s">
        <v>251</v>
      </c>
      <c r="D119" s="6" t="n">
        <v>213777</v>
      </c>
      <c r="E119" s="51" t="s">
        <v>103</v>
      </c>
      <c r="F119" s="47" t="n">
        <v>12</v>
      </c>
      <c r="G119" s="49" t="n">
        <v>202053</v>
      </c>
      <c r="H119" s="3" t="s">
        <v>332</v>
      </c>
      <c r="I119" s="3" t="n">
        <v>2</v>
      </c>
      <c r="J119" s="53" t="n">
        <v>45112</v>
      </c>
      <c r="K119" s="3" t="s">
        <v>333</v>
      </c>
      <c r="L119" s="54" t="n">
        <v>45112.3959375</v>
      </c>
      <c r="M119" s="3" t="n">
        <v>41</v>
      </c>
    </row>
    <row r="120" customFormat="false" ht="14.25" hidden="false" customHeight="false" outlineLevel="0" collapsed="false">
      <c r="A120" s="3" t="n">
        <v>62</v>
      </c>
      <c r="B120" s="51" t="s">
        <v>250</v>
      </c>
      <c r="C120" s="51" t="s">
        <v>251</v>
      </c>
      <c r="D120" s="6" t="n">
        <v>213777</v>
      </c>
      <c r="E120" s="51" t="s">
        <v>103</v>
      </c>
      <c r="F120" s="47" t="n">
        <v>12</v>
      </c>
      <c r="G120" s="49" t="n">
        <v>202053</v>
      </c>
      <c r="H120" s="3" t="s">
        <v>334</v>
      </c>
      <c r="I120" s="3" t="n">
        <v>3</v>
      </c>
      <c r="J120" s="53" t="n">
        <v>45112</v>
      </c>
      <c r="K120" s="3" t="s">
        <v>335</v>
      </c>
      <c r="L120" s="54" t="n">
        <v>45112.3987731482</v>
      </c>
      <c r="M120" s="3" t="n">
        <v>42</v>
      </c>
    </row>
    <row r="121" customFormat="false" ht="14.25" hidden="false" customHeight="false" outlineLevel="0" collapsed="false">
      <c r="A121" s="3" t="n">
        <v>63</v>
      </c>
      <c r="B121" s="51" t="s">
        <v>250</v>
      </c>
      <c r="C121" s="51" t="s">
        <v>251</v>
      </c>
      <c r="D121" s="6" t="n">
        <v>213777</v>
      </c>
      <c r="E121" s="51" t="s">
        <v>103</v>
      </c>
      <c r="F121" s="47" t="n">
        <v>12</v>
      </c>
      <c r="G121" s="49" t="n">
        <v>202053</v>
      </c>
      <c r="H121" s="3" t="s">
        <v>336</v>
      </c>
      <c r="I121" s="3" t="n">
        <v>0</v>
      </c>
      <c r="J121" s="53" t="n">
        <v>45112</v>
      </c>
      <c r="K121" s="3" t="s">
        <v>337</v>
      </c>
      <c r="L121" s="54" t="n">
        <v>45112.4002777778</v>
      </c>
      <c r="M121" s="3" t="n">
        <v>43</v>
      </c>
    </row>
    <row r="122" customFormat="false" ht="14.25" hidden="false" customHeight="false" outlineLevel="0" collapsed="false">
      <c r="A122" s="3" t="n">
        <v>64</v>
      </c>
      <c r="B122" s="51" t="s">
        <v>250</v>
      </c>
      <c r="C122" s="51" t="s">
        <v>251</v>
      </c>
      <c r="D122" s="6" t="n">
        <v>213777</v>
      </c>
      <c r="E122" s="51" t="s">
        <v>103</v>
      </c>
      <c r="F122" s="47" t="n">
        <v>12</v>
      </c>
      <c r="G122" s="49" t="n">
        <v>202053</v>
      </c>
      <c r="H122" s="3" t="s">
        <v>338</v>
      </c>
      <c r="I122" s="3" t="n">
        <v>1</v>
      </c>
      <c r="J122" s="53" t="n">
        <v>45112</v>
      </c>
      <c r="K122" s="3" t="s">
        <v>339</v>
      </c>
      <c r="L122" s="54" t="n">
        <v>45112.4002893519</v>
      </c>
      <c r="M122" s="3" t="n">
        <v>44</v>
      </c>
    </row>
    <row r="123" customFormat="false" ht="14.25" hidden="false" customHeight="false" outlineLevel="0" collapsed="false">
      <c r="A123" s="3" t="n">
        <v>65</v>
      </c>
      <c r="B123" s="51" t="s">
        <v>250</v>
      </c>
      <c r="C123" s="51" t="s">
        <v>251</v>
      </c>
      <c r="D123" s="6" t="n">
        <v>213777</v>
      </c>
      <c r="E123" s="51" t="s">
        <v>103</v>
      </c>
      <c r="F123" s="47" t="n">
        <v>12</v>
      </c>
      <c r="G123" s="49" t="n">
        <v>202053</v>
      </c>
      <c r="H123" s="3" t="s">
        <v>340</v>
      </c>
      <c r="I123" s="3" t="n">
        <v>3</v>
      </c>
      <c r="J123" s="53" t="n">
        <v>45112</v>
      </c>
      <c r="K123" s="3" t="s">
        <v>341</v>
      </c>
      <c r="L123" s="54" t="n">
        <v>45112.4010069444</v>
      </c>
      <c r="M123" s="3" t="n">
        <v>45</v>
      </c>
    </row>
    <row r="124" customFormat="false" ht="14.25" hidden="false" customHeight="false" outlineLevel="0" collapsed="false">
      <c r="A124" s="3" t="n">
        <v>66</v>
      </c>
      <c r="B124" s="51" t="s">
        <v>250</v>
      </c>
      <c r="C124" s="51" t="s">
        <v>251</v>
      </c>
      <c r="D124" s="6" t="n">
        <v>213777</v>
      </c>
      <c r="E124" s="51" t="s">
        <v>103</v>
      </c>
      <c r="F124" s="47" t="n">
        <v>12</v>
      </c>
      <c r="G124" s="49" t="n">
        <v>202053</v>
      </c>
      <c r="H124" s="3" t="s">
        <v>342</v>
      </c>
      <c r="I124" s="3" t="n">
        <v>0</v>
      </c>
      <c r="J124" s="53" t="n">
        <v>45112</v>
      </c>
      <c r="K124" s="3" t="s">
        <v>343</v>
      </c>
      <c r="L124" s="54" t="n">
        <v>45112.4036342593</v>
      </c>
      <c r="M124" s="3" t="n">
        <v>46</v>
      </c>
    </row>
    <row r="125" customFormat="false" ht="14.25" hidden="false" customHeight="false" outlineLevel="0" collapsed="false">
      <c r="A125" s="3" t="n">
        <v>67</v>
      </c>
      <c r="B125" s="51" t="s">
        <v>250</v>
      </c>
      <c r="C125" s="51" t="s">
        <v>251</v>
      </c>
      <c r="D125" s="6" t="n">
        <v>213777</v>
      </c>
      <c r="E125" s="51" t="s">
        <v>148</v>
      </c>
      <c r="F125" s="47" t="n">
        <v>17</v>
      </c>
      <c r="G125" s="49" t="n">
        <v>202290</v>
      </c>
      <c r="H125" s="3" t="s">
        <v>344</v>
      </c>
      <c r="I125" s="3" t="n">
        <v>1</v>
      </c>
      <c r="J125" s="53" t="n">
        <v>45112</v>
      </c>
      <c r="K125" s="3" t="s">
        <v>345</v>
      </c>
      <c r="L125" s="54" t="n">
        <v>45112.4063078704</v>
      </c>
      <c r="M125" s="3" t="n">
        <v>47</v>
      </c>
    </row>
    <row r="126" customFormat="false" ht="14.25" hidden="false" customHeight="false" outlineLevel="0" collapsed="false">
      <c r="A126" s="3" t="n">
        <v>68</v>
      </c>
      <c r="B126" s="51" t="s">
        <v>250</v>
      </c>
      <c r="C126" s="51" t="s">
        <v>251</v>
      </c>
      <c r="D126" s="6" t="n">
        <v>213777</v>
      </c>
      <c r="E126" s="51" t="s">
        <v>148</v>
      </c>
      <c r="F126" s="47" t="n">
        <v>17</v>
      </c>
      <c r="G126" s="49" t="n">
        <v>202290</v>
      </c>
      <c r="H126" s="3" t="s">
        <v>346</v>
      </c>
      <c r="I126" s="3" t="n">
        <v>2</v>
      </c>
      <c r="J126" s="53" t="n">
        <v>45112</v>
      </c>
      <c r="K126" s="3" t="s">
        <v>347</v>
      </c>
      <c r="L126" s="54" t="n">
        <v>45112.4063310185</v>
      </c>
      <c r="M126" s="3" t="n">
        <v>48</v>
      </c>
    </row>
    <row r="127" customFormat="false" ht="14.25" hidden="false" customHeight="false" outlineLevel="0" collapsed="false">
      <c r="A127" s="3" t="n">
        <v>69</v>
      </c>
      <c r="B127" s="51" t="s">
        <v>250</v>
      </c>
      <c r="C127" s="51" t="s">
        <v>251</v>
      </c>
      <c r="D127" s="6" t="n">
        <v>213777</v>
      </c>
      <c r="E127" s="51" t="s">
        <v>148</v>
      </c>
      <c r="F127" s="47" t="n">
        <v>17</v>
      </c>
      <c r="G127" s="49" t="n">
        <v>202290</v>
      </c>
      <c r="H127" s="3" t="s">
        <v>348</v>
      </c>
      <c r="I127" s="3" t="n">
        <v>4</v>
      </c>
      <c r="J127" s="53" t="n">
        <v>45112</v>
      </c>
      <c r="K127" s="3" t="s">
        <v>349</v>
      </c>
      <c r="L127" s="54" t="n">
        <v>45112.4069675926</v>
      </c>
      <c r="M127" s="3" t="n">
        <v>49</v>
      </c>
    </row>
    <row r="128" customFormat="false" ht="14.25" hidden="false" customHeight="false" outlineLevel="0" collapsed="false">
      <c r="A128" s="3" t="n">
        <v>70</v>
      </c>
      <c r="B128" s="51" t="s">
        <v>250</v>
      </c>
      <c r="C128" s="51" t="s">
        <v>251</v>
      </c>
      <c r="D128" s="6" t="n">
        <v>213777</v>
      </c>
      <c r="E128" s="51" t="s">
        <v>148</v>
      </c>
      <c r="F128" s="47" t="n">
        <v>17</v>
      </c>
      <c r="G128" s="49" t="n">
        <v>202290</v>
      </c>
      <c r="H128" s="3" t="s">
        <v>350</v>
      </c>
      <c r="I128" s="3" t="n">
        <v>2</v>
      </c>
      <c r="J128" s="53" t="n">
        <v>45112</v>
      </c>
      <c r="K128" s="3" t="s">
        <v>351</v>
      </c>
      <c r="L128" s="54" t="n">
        <v>45112.4072453704</v>
      </c>
      <c r="M128" s="3" t="n">
        <v>50</v>
      </c>
    </row>
    <row r="129" customFormat="false" ht="14.25" hidden="false" customHeight="false" outlineLevel="0" collapsed="false">
      <c r="A129" s="3" t="n">
        <v>71</v>
      </c>
      <c r="B129" s="51" t="s">
        <v>250</v>
      </c>
      <c r="C129" s="51" t="s">
        <v>251</v>
      </c>
      <c r="D129" s="6" t="n">
        <v>213777</v>
      </c>
      <c r="E129" s="51" t="s">
        <v>148</v>
      </c>
      <c r="F129" s="47" t="n">
        <v>17</v>
      </c>
      <c r="G129" s="49" t="n">
        <v>202290</v>
      </c>
      <c r="H129" s="3" t="s">
        <v>352</v>
      </c>
      <c r="I129" s="3" t="n">
        <v>1</v>
      </c>
      <c r="J129" s="53" t="n">
        <v>45112</v>
      </c>
      <c r="K129" s="3" t="s">
        <v>353</v>
      </c>
      <c r="L129" s="54" t="n">
        <v>45112.4134259259</v>
      </c>
      <c r="M129" s="3" t="n">
        <v>51</v>
      </c>
    </row>
    <row r="130" customFormat="false" ht="14.25" hidden="false" customHeight="false" outlineLevel="0" collapsed="false">
      <c r="A130" s="3" t="n">
        <v>72</v>
      </c>
      <c r="B130" s="51" t="s">
        <v>250</v>
      </c>
      <c r="C130" s="51" t="s">
        <v>251</v>
      </c>
      <c r="D130" s="6" t="n">
        <v>213777</v>
      </c>
      <c r="E130" s="51" t="s">
        <v>148</v>
      </c>
      <c r="F130" s="47" t="n">
        <v>17</v>
      </c>
      <c r="G130" s="49" t="n">
        <v>202290</v>
      </c>
      <c r="H130" s="3" t="s">
        <v>354</v>
      </c>
      <c r="I130" s="3" t="n">
        <v>3</v>
      </c>
      <c r="J130" s="53" t="n">
        <v>45112</v>
      </c>
      <c r="K130" s="3" t="s">
        <v>355</v>
      </c>
      <c r="L130" s="54" t="n">
        <v>45112.5990625</v>
      </c>
      <c r="M130" s="3" t="n">
        <v>52</v>
      </c>
    </row>
    <row r="131" customFormat="false" ht="14.25" hidden="false" customHeight="false" outlineLevel="0" collapsed="false">
      <c r="A131" s="3" t="n">
        <v>73</v>
      </c>
      <c r="B131" s="51" t="s">
        <v>250</v>
      </c>
      <c r="C131" s="51" t="s">
        <v>251</v>
      </c>
      <c r="D131" s="6" t="n">
        <v>213777</v>
      </c>
      <c r="E131" s="51" t="s">
        <v>148</v>
      </c>
      <c r="F131" s="47" t="n">
        <v>17</v>
      </c>
      <c r="G131" s="49" t="n">
        <v>202290</v>
      </c>
      <c r="H131" s="3" t="s">
        <v>356</v>
      </c>
      <c r="I131" s="3" t="n">
        <v>1</v>
      </c>
      <c r="J131" s="53" t="n">
        <v>45112</v>
      </c>
      <c r="K131" s="3" t="s">
        <v>357</v>
      </c>
      <c r="L131" s="54" t="n">
        <v>45112.6002430556</v>
      </c>
      <c r="M131" s="3" t="n">
        <v>53</v>
      </c>
    </row>
    <row r="132" customFormat="false" ht="14.25" hidden="false" customHeight="false" outlineLevel="0" collapsed="false">
      <c r="A132" s="3" t="n">
        <v>74</v>
      </c>
      <c r="B132" s="51" t="s">
        <v>250</v>
      </c>
      <c r="C132" s="51" t="s">
        <v>251</v>
      </c>
      <c r="D132" s="6" t="n">
        <v>213777</v>
      </c>
      <c r="E132" s="51" t="s">
        <v>148</v>
      </c>
      <c r="F132" s="47" t="n">
        <v>17</v>
      </c>
      <c r="G132" s="49" t="n">
        <v>202290</v>
      </c>
      <c r="H132" s="3" t="s">
        <v>358</v>
      </c>
      <c r="I132" s="3" t="n">
        <v>1</v>
      </c>
      <c r="J132" s="53" t="n">
        <v>45112</v>
      </c>
      <c r="K132" s="3" t="s">
        <v>359</v>
      </c>
      <c r="L132" s="54" t="n">
        <v>45112.6018634259</v>
      </c>
      <c r="M132" s="3" t="n">
        <v>54</v>
      </c>
    </row>
    <row r="133" customFormat="false" ht="14.25" hidden="false" customHeight="false" outlineLevel="0" collapsed="false">
      <c r="A133" s="3" t="n">
        <v>75</v>
      </c>
      <c r="B133" s="51" t="s">
        <v>250</v>
      </c>
      <c r="C133" s="51" t="s">
        <v>251</v>
      </c>
      <c r="D133" s="6" t="n">
        <v>213777</v>
      </c>
      <c r="E133" s="51" t="s">
        <v>148</v>
      </c>
      <c r="F133" s="47" t="n">
        <v>17</v>
      </c>
      <c r="G133" s="49" t="n">
        <v>202290</v>
      </c>
      <c r="H133" s="3" t="s">
        <v>360</v>
      </c>
      <c r="I133" s="3" t="n">
        <v>1</v>
      </c>
      <c r="J133" s="53" t="n">
        <v>45112</v>
      </c>
      <c r="K133" s="3" t="s">
        <v>361</v>
      </c>
      <c r="L133" s="54" t="n">
        <v>45112.6030092593</v>
      </c>
      <c r="M133" s="3" t="n">
        <v>55</v>
      </c>
    </row>
    <row r="134" customFormat="false" ht="14.25" hidden="false" customHeight="false" outlineLevel="0" collapsed="false">
      <c r="A134" s="3" t="n">
        <v>76</v>
      </c>
      <c r="B134" s="51" t="s">
        <v>250</v>
      </c>
      <c r="C134" s="51" t="s">
        <v>251</v>
      </c>
      <c r="D134" s="6" t="n">
        <v>213777</v>
      </c>
      <c r="E134" s="51" t="s">
        <v>148</v>
      </c>
      <c r="F134" s="47" t="n">
        <v>17</v>
      </c>
      <c r="G134" s="49" t="n">
        <v>202290</v>
      </c>
      <c r="H134" s="3" t="s">
        <v>362</v>
      </c>
      <c r="I134" s="3" t="n">
        <v>2</v>
      </c>
      <c r="J134" s="53" t="n">
        <v>45112</v>
      </c>
      <c r="K134" s="3" t="s">
        <v>363</v>
      </c>
      <c r="L134" s="54" t="n">
        <v>45112.6034490741</v>
      </c>
      <c r="M134" s="3" t="n">
        <v>56</v>
      </c>
    </row>
    <row r="135" customFormat="false" ht="14.25" hidden="false" customHeight="false" outlineLevel="0" collapsed="false">
      <c r="A135" s="3" t="n">
        <v>77</v>
      </c>
      <c r="B135" s="51" t="s">
        <v>250</v>
      </c>
      <c r="C135" s="51" t="s">
        <v>251</v>
      </c>
      <c r="D135" s="6" t="n">
        <v>213777</v>
      </c>
      <c r="E135" s="51" t="s">
        <v>364</v>
      </c>
      <c r="F135" s="47" t="n">
        <v>26</v>
      </c>
      <c r="G135" s="49" t="n">
        <v>213261</v>
      </c>
      <c r="H135" s="3" t="s">
        <v>365</v>
      </c>
      <c r="I135" s="3" t="n">
        <v>2</v>
      </c>
      <c r="J135" s="53" t="n">
        <v>45112</v>
      </c>
      <c r="K135" s="3" t="s">
        <v>366</v>
      </c>
      <c r="L135" s="54" t="n">
        <v>45112.7710300926</v>
      </c>
      <c r="M135" s="3" t="n">
        <v>57</v>
      </c>
    </row>
    <row r="136" customFormat="false" ht="14.25" hidden="false" customHeight="false" outlineLevel="0" collapsed="false">
      <c r="A136" s="3" t="n">
        <v>78</v>
      </c>
      <c r="B136" s="51" t="s">
        <v>250</v>
      </c>
      <c r="C136" s="51" t="s">
        <v>251</v>
      </c>
      <c r="D136" s="6" t="n">
        <v>213777</v>
      </c>
      <c r="E136" s="51" t="s">
        <v>364</v>
      </c>
      <c r="F136" s="47" t="n">
        <v>26</v>
      </c>
      <c r="G136" s="49" t="n">
        <v>213261</v>
      </c>
      <c r="H136" s="3" t="s">
        <v>367</v>
      </c>
      <c r="I136" s="3" t="n">
        <v>2</v>
      </c>
      <c r="J136" s="53" t="n">
        <v>45112</v>
      </c>
      <c r="K136" s="3" t="s">
        <v>368</v>
      </c>
      <c r="L136" s="54" t="n">
        <v>45112.7713310185</v>
      </c>
      <c r="M136" s="3" t="n">
        <v>58</v>
      </c>
    </row>
    <row r="137" customFormat="false" ht="14.25" hidden="false" customHeight="false" outlineLevel="0" collapsed="false">
      <c r="A137" s="3" t="n">
        <v>79</v>
      </c>
      <c r="B137" s="51" t="s">
        <v>250</v>
      </c>
      <c r="C137" s="51" t="s">
        <v>251</v>
      </c>
      <c r="D137" s="6" t="n">
        <v>213777</v>
      </c>
      <c r="E137" s="51" t="s">
        <v>364</v>
      </c>
      <c r="F137" s="47" t="n">
        <v>26</v>
      </c>
      <c r="G137" s="49" t="n">
        <v>213261</v>
      </c>
      <c r="H137" s="3" t="s">
        <v>369</v>
      </c>
      <c r="I137" s="3" t="n">
        <v>1</v>
      </c>
      <c r="J137" s="53" t="n">
        <v>45112</v>
      </c>
      <c r="K137" s="3" t="s">
        <v>370</v>
      </c>
      <c r="L137" s="54" t="n">
        <v>45112.7726273148</v>
      </c>
      <c r="M137" s="3" t="n">
        <v>59</v>
      </c>
    </row>
    <row r="138" customFormat="false" ht="14.25" hidden="false" customHeight="false" outlineLevel="0" collapsed="false">
      <c r="A138" s="3" t="n">
        <v>80</v>
      </c>
      <c r="B138" s="51" t="s">
        <v>250</v>
      </c>
      <c r="C138" s="51" t="s">
        <v>251</v>
      </c>
      <c r="D138" s="6" t="n">
        <v>213777</v>
      </c>
      <c r="E138" s="51" t="s">
        <v>364</v>
      </c>
      <c r="F138" s="47" t="n">
        <v>26</v>
      </c>
      <c r="G138" s="49" t="n">
        <v>213261</v>
      </c>
      <c r="H138" s="3" t="s">
        <v>371</v>
      </c>
      <c r="I138" s="3" t="n">
        <v>2</v>
      </c>
      <c r="J138" s="53" t="n">
        <v>45112</v>
      </c>
      <c r="K138" s="3" t="s">
        <v>372</v>
      </c>
      <c r="L138" s="54" t="n">
        <v>45112.7759953704</v>
      </c>
      <c r="M138" s="3" t="n">
        <v>60</v>
      </c>
    </row>
    <row r="139" customFormat="false" ht="14.25" hidden="false" customHeight="false" outlineLevel="0" collapsed="false">
      <c r="A139" s="3" t="n">
        <v>81</v>
      </c>
      <c r="B139" s="51" t="s">
        <v>250</v>
      </c>
      <c r="C139" s="51" t="s">
        <v>251</v>
      </c>
      <c r="D139" s="6" t="n">
        <v>213777</v>
      </c>
      <c r="E139" s="51" t="s">
        <v>364</v>
      </c>
      <c r="F139" s="47" t="n">
        <v>26</v>
      </c>
      <c r="G139" s="49" t="n">
        <v>213261</v>
      </c>
      <c r="H139" s="3" t="s">
        <v>373</v>
      </c>
      <c r="I139" s="3" t="n">
        <v>0</v>
      </c>
      <c r="J139" s="53" t="n">
        <v>45112</v>
      </c>
      <c r="K139" s="3" t="s">
        <v>374</v>
      </c>
      <c r="L139" s="54" t="n">
        <v>45112.9861111111</v>
      </c>
      <c r="M139" s="3" t="n">
        <v>61</v>
      </c>
    </row>
    <row r="140" customFormat="false" ht="14.25" hidden="false" customHeight="false" outlineLevel="0" collapsed="false">
      <c r="A140" s="3" t="n">
        <v>82</v>
      </c>
      <c r="B140" s="51" t="s">
        <v>250</v>
      </c>
      <c r="C140" s="51" t="s">
        <v>251</v>
      </c>
      <c r="D140" s="6" t="n">
        <v>213777</v>
      </c>
      <c r="E140" s="51" t="s">
        <v>364</v>
      </c>
      <c r="F140" s="47" t="n">
        <v>26</v>
      </c>
      <c r="G140" s="49" t="n">
        <v>213261</v>
      </c>
      <c r="H140" s="3" t="s">
        <v>375</v>
      </c>
      <c r="I140" s="3" t="n">
        <v>0</v>
      </c>
      <c r="J140" s="53" t="n">
        <v>45113</v>
      </c>
      <c r="K140" s="3" t="s">
        <v>376</v>
      </c>
      <c r="L140" s="54" t="n">
        <v>45113.0231597222</v>
      </c>
      <c r="M140" s="3" t="n">
        <v>62</v>
      </c>
    </row>
    <row r="141" customFormat="false" ht="14.25" hidden="false" customHeight="false" outlineLevel="0" collapsed="false">
      <c r="A141" s="3" t="n">
        <v>84</v>
      </c>
      <c r="B141" s="51" t="s">
        <v>250</v>
      </c>
      <c r="C141" s="51" t="s">
        <v>251</v>
      </c>
      <c r="D141" s="6" t="n">
        <v>213777</v>
      </c>
      <c r="E141" s="51" t="s">
        <v>160</v>
      </c>
      <c r="F141" s="47" t="n">
        <v>35</v>
      </c>
      <c r="G141" s="49" t="n">
        <v>223161</v>
      </c>
      <c r="H141" s="3" t="s">
        <v>377</v>
      </c>
      <c r="I141" s="3" t="n">
        <v>1</v>
      </c>
      <c r="J141" s="53" t="n">
        <v>45113</v>
      </c>
      <c r="K141" s="3" t="s">
        <v>378</v>
      </c>
      <c r="L141" s="54" t="n">
        <v>45113.5590625</v>
      </c>
      <c r="M141" s="3" t="n">
        <v>64</v>
      </c>
    </row>
    <row r="142" customFormat="false" ht="14.25" hidden="false" customHeight="false" outlineLevel="0" collapsed="false">
      <c r="A142" s="3" t="n">
        <v>85</v>
      </c>
      <c r="B142" s="51" t="s">
        <v>250</v>
      </c>
      <c r="C142" s="51" t="s">
        <v>251</v>
      </c>
      <c r="D142" s="6" t="n">
        <v>213777</v>
      </c>
      <c r="E142" s="51" t="s">
        <v>379</v>
      </c>
      <c r="F142" s="47" t="n">
        <v>30</v>
      </c>
      <c r="G142" s="49" t="n">
        <v>213385</v>
      </c>
      <c r="H142" s="3" t="s">
        <v>380</v>
      </c>
      <c r="I142" s="3" t="n">
        <v>1</v>
      </c>
      <c r="J142" s="53" t="n">
        <v>45113</v>
      </c>
      <c r="K142" s="3" t="s">
        <v>381</v>
      </c>
      <c r="L142" s="54" t="n">
        <v>45113.559525463</v>
      </c>
      <c r="M142" s="3" t="n">
        <v>65</v>
      </c>
    </row>
    <row r="143" customFormat="false" ht="14.25" hidden="false" customHeight="false" outlineLevel="0" collapsed="false">
      <c r="A143" s="3" t="n">
        <v>86</v>
      </c>
      <c r="B143" s="51" t="s">
        <v>250</v>
      </c>
      <c r="C143" s="51" t="s">
        <v>251</v>
      </c>
      <c r="D143" s="6" t="n">
        <v>213777</v>
      </c>
      <c r="E143" s="51" t="s">
        <v>138</v>
      </c>
      <c r="F143" s="47" t="n">
        <v>8</v>
      </c>
      <c r="G143" s="49" t="n">
        <v>192249</v>
      </c>
      <c r="H143" s="3" t="s">
        <v>382</v>
      </c>
      <c r="I143" s="3" t="n">
        <v>1</v>
      </c>
      <c r="J143" s="53" t="n">
        <v>45113</v>
      </c>
      <c r="K143" s="3" t="s">
        <v>383</v>
      </c>
      <c r="L143" s="54" t="n">
        <v>45113.6119097222</v>
      </c>
      <c r="M143" s="3" t="n">
        <v>66</v>
      </c>
    </row>
    <row r="144" customFormat="false" ht="14.25" hidden="false" customHeight="false" outlineLevel="0" collapsed="false">
      <c r="A144" s="3" t="n">
        <v>87</v>
      </c>
      <c r="B144" s="51" t="s">
        <v>250</v>
      </c>
      <c r="C144" s="51" t="s">
        <v>251</v>
      </c>
      <c r="D144" s="6" t="n">
        <v>213777</v>
      </c>
      <c r="E144" s="51" t="s">
        <v>138</v>
      </c>
      <c r="F144" s="47" t="n">
        <v>8</v>
      </c>
      <c r="G144" s="49" t="n">
        <v>192249</v>
      </c>
      <c r="H144" s="3" t="s">
        <v>384</v>
      </c>
      <c r="I144" s="3" t="n">
        <v>2</v>
      </c>
      <c r="J144" s="53" t="n">
        <v>45113</v>
      </c>
      <c r="K144" s="3" t="s">
        <v>385</v>
      </c>
      <c r="L144" s="54" t="n">
        <v>45113.6898263889</v>
      </c>
      <c r="M144" s="3" t="n">
        <v>67</v>
      </c>
    </row>
    <row r="145" customFormat="false" ht="14.25" hidden="false" customHeight="false" outlineLevel="0" collapsed="false">
      <c r="A145" s="3" t="n">
        <v>88</v>
      </c>
      <c r="B145" s="51" t="s">
        <v>250</v>
      </c>
      <c r="C145" s="51" t="s">
        <v>251</v>
      </c>
      <c r="D145" s="6" t="n">
        <v>213777</v>
      </c>
      <c r="E145" s="51" t="s">
        <v>244</v>
      </c>
      <c r="F145" s="47" t="n">
        <v>25</v>
      </c>
      <c r="G145" s="49" t="n">
        <v>213254</v>
      </c>
      <c r="H145" s="3" t="s">
        <v>386</v>
      </c>
      <c r="I145" s="3" t="n">
        <v>1</v>
      </c>
      <c r="J145" s="53" t="n">
        <v>45113</v>
      </c>
      <c r="K145" s="3" t="s">
        <v>387</v>
      </c>
      <c r="L145" s="54" t="n">
        <v>45113.6962615741</v>
      </c>
      <c r="M145" s="3" t="n">
        <v>68</v>
      </c>
    </row>
    <row r="146" customFormat="false" ht="14.25" hidden="false" customHeight="false" outlineLevel="0" collapsed="false">
      <c r="A146" s="3" t="n">
        <v>89</v>
      </c>
      <c r="B146" s="51" t="s">
        <v>250</v>
      </c>
      <c r="C146" s="51" t="s">
        <v>251</v>
      </c>
      <c r="D146" s="6" t="n">
        <v>213777</v>
      </c>
      <c r="E146" s="51" t="s">
        <v>244</v>
      </c>
      <c r="F146" s="47" t="n">
        <v>25</v>
      </c>
      <c r="G146" s="49" t="n">
        <v>213254</v>
      </c>
      <c r="H146" s="3" t="s">
        <v>388</v>
      </c>
      <c r="I146" s="3" t="n">
        <v>1</v>
      </c>
      <c r="J146" s="53" t="n">
        <v>45113</v>
      </c>
      <c r="K146" s="3" t="s">
        <v>389</v>
      </c>
      <c r="L146" s="54" t="n">
        <v>45113.7091435185</v>
      </c>
      <c r="M146" s="3" t="n">
        <v>69</v>
      </c>
    </row>
    <row r="147" customFormat="false" ht="14.25" hidden="false" customHeight="false" outlineLevel="0" collapsed="false">
      <c r="A147" s="3" t="n">
        <v>90</v>
      </c>
      <c r="B147" s="51" t="s">
        <v>250</v>
      </c>
      <c r="C147" s="51" t="s">
        <v>251</v>
      </c>
      <c r="D147" s="6" t="n">
        <v>213777</v>
      </c>
      <c r="E147" s="51" t="s">
        <v>244</v>
      </c>
      <c r="F147" s="47" t="n">
        <v>25</v>
      </c>
      <c r="G147" s="49" t="n">
        <v>213254</v>
      </c>
      <c r="H147" s="3" t="s">
        <v>390</v>
      </c>
      <c r="I147" s="3" t="n">
        <v>1</v>
      </c>
      <c r="J147" s="53" t="n">
        <v>45113</v>
      </c>
      <c r="K147" s="3" t="s">
        <v>391</v>
      </c>
      <c r="L147" s="54" t="n">
        <v>45113.7362962963</v>
      </c>
      <c r="M147" s="3" t="n">
        <v>70</v>
      </c>
    </row>
    <row r="148" customFormat="false" ht="14.25" hidden="false" customHeight="false" outlineLevel="0" collapsed="false">
      <c r="A148" s="3" t="n">
        <v>91</v>
      </c>
      <c r="B148" s="51" t="s">
        <v>250</v>
      </c>
      <c r="C148" s="51" t="s">
        <v>251</v>
      </c>
      <c r="D148" s="6" t="n">
        <v>213777</v>
      </c>
      <c r="E148" s="51" t="s">
        <v>244</v>
      </c>
      <c r="F148" s="47" t="n">
        <v>25</v>
      </c>
      <c r="G148" s="49" t="n">
        <v>213254</v>
      </c>
      <c r="H148" s="3" t="s">
        <v>392</v>
      </c>
      <c r="I148" s="3" t="n">
        <v>0</v>
      </c>
      <c r="J148" s="53" t="n">
        <v>45113</v>
      </c>
      <c r="K148" s="3" t="s">
        <v>393</v>
      </c>
      <c r="L148" s="54" t="n">
        <v>45113.7368634259</v>
      </c>
      <c r="M148" s="3" t="n">
        <v>71</v>
      </c>
    </row>
    <row r="149" customFormat="false" ht="14.25" hidden="false" customHeight="false" outlineLevel="0" collapsed="false">
      <c r="A149" s="3" t="n">
        <v>92</v>
      </c>
      <c r="B149" s="51" t="s">
        <v>250</v>
      </c>
      <c r="C149" s="51" t="s">
        <v>251</v>
      </c>
      <c r="D149" s="6" t="n">
        <v>213777</v>
      </c>
      <c r="E149" s="51" t="s">
        <v>244</v>
      </c>
      <c r="F149" s="47" t="n">
        <v>25</v>
      </c>
      <c r="G149" s="49" t="n">
        <v>213254</v>
      </c>
      <c r="H149" s="3" t="s">
        <v>394</v>
      </c>
      <c r="I149" s="3" t="n">
        <v>1</v>
      </c>
      <c r="J149" s="53" t="n">
        <v>45113</v>
      </c>
      <c r="K149" s="3" t="s">
        <v>395</v>
      </c>
      <c r="L149" s="54" t="n">
        <v>45113.738125</v>
      </c>
      <c r="M149" s="3" t="n">
        <v>72</v>
      </c>
    </row>
    <row r="150" customFormat="false" ht="14.25" hidden="false" customHeight="false" outlineLevel="0" collapsed="false">
      <c r="A150" s="3" t="n">
        <v>93</v>
      </c>
      <c r="B150" s="51" t="s">
        <v>250</v>
      </c>
      <c r="C150" s="51" t="s">
        <v>251</v>
      </c>
      <c r="D150" s="6" t="n">
        <v>213777</v>
      </c>
      <c r="E150" s="51" t="s">
        <v>244</v>
      </c>
      <c r="F150" s="47" t="n">
        <v>25</v>
      </c>
      <c r="G150" s="49" t="n">
        <v>213254</v>
      </c>
      <c r="H150" s="3" t="s">
        <v>396</v>
      </c>
      <c r="I150" s="3" t="n">
        <v>1</v>
      </c>
      <c r="J150" s="53" t="n">
        <v>45113</v>
      </c>
      <c r="K150" s="3" t="s">
        <v>397</v>
      </c>
      <c r="L150" s="54" t="n">
        <v>45113.8049768519</v>
      </c>
      <c r="M150" s="3" t="n">
        <v>73</v>
      </c>
    </row>
    <row r="151" customFormat="false" ht="14.25" hidden="false" customHeight="false" outlineLevel="0" collapsed="false">
      <c r="A151" s="3" t="n">
        <v>94</v>
      </c>
      <c r="B151" s="51" t="s">
        <v>250</v>
      </c>
      <c r="C151" s="51" t="s">
        <v>251</v>
      </c>
      <c r="D151" s="6" t="n">
        <v>213777</v>
      </c>
      <c r="E151" s="51" t="s">
        <v>244</v>
      </c>
      <c r="F151" s="47" t="n">
        <v>25</v>
      </c>
      <c r="G151" s="49" t="n">
        <v>213254</v>
      </c>
      <c r="H151" s="3" t="s">
        <v>398</v>
      </c>
      <c r="I151" s="3" t="n">
        <v>1</v>
      </c>
      <c r="J151" s="53" t="n">
        <v>45113</v>
      </c>
      <c r="K151" s="3" t="s">
        <v>399</v>
      </c>
      <c r="L151" s="54" t="n">
        <v>45113.8070833333</v>
      </c>
      <c r="M151" s="3" t="n">
        <v>74</v>
      </c>
    </row>
    <row r="152" customFormat="false" ht="14.25" hidden="false" customHeight="false" outlineLevel="0" collapsed="false">
      <c r="A152" s="3" t="n">
        <v>95</v>
      </c>
      <c r="B152" s="51" t="s">
        <v>250</v>
      </c>
      <c r="C152" s="51" t="s">
        <v>251</v>
      </c>
      <c r="D152" s="6" t="n">
        <v>213777</v>
      </c>
      <c r="E152" s="51" t="s">
        <v>244</v>
      </c>
      <c r="F152" s="47" t="n">
        <v>25</v>
      </c>
      <c r="G152" s="49" t="n">
        <v>213254</v>
      </c>
      <c r="H152" s="3" t="s">
        <v>400</v>
      </c>
      <c r="I152" s="3" t="n">
        <v>2</v>
      </c>
      <c r="J152" s="53" t="n">
        <v>45113</v>
      </c>
      <c r="K152" s="3" t="s">
        <v>401</v>
      </c>
      <c r="L152" s="54" t="n">
        <v>45113.8985532407</v>
      </c>
      <c r="M152" s="3" t="n">
        <v>75</v>
      </c>
    </row>
    <row r="153" customFormat="false" ht="14.25" hidden="false" customHeight="false" outlineLevel="0" collapsed="false">
      <c r="A153" s="3" t="n">
        <v>96</v>
      </c>
      <c r="B153" s="51" t="s">
        <v>250</v>
      </c>
      <c r="C153" s="51" t="s">
        <v>251</v>
      </c>
      <c r="D153" s="6" t="n">
        <v>213777</v>
      </c>
      <c r="E153" s="51" t="s">
        <v>244</v>
      </c>
      <c r="F153" s="47" t="n">
        <v>25</v>
      </c>
      <c r="G153" s="49" t="n">
        <v>213254</v>
      </c>
      <c r="H153" s="3" t="s">
        <v>402</v>
      </c>
      <c r="I153" s="3" t="n">
        <v>0</v>
      </c>
      <c r="J153" s="53" t="n">
        <v>45113</v>
      </c>
      <c r="K153" s="3" t="s">
        <v>403</v>
      </c>
      <c r="L153" s="54" t="n">
        <v>45113.8991087963</v>
      </c>
      <c r="M153" s="3" t="n">
        <v>76</v>
      </c>
    </row>
    <row r="154" customFormat="false" ht="14.25" hidden="false" customHeight="false" outlineLevel="0" collapsed="false">
      <c r="A154" s="3" t="n">
        <v>97</v>
      </c>
      <c r="B154" s="51" t="s">
        <v>250</v>
      </c>
      <c r="C154" s="51" t="s">
        <v>251</v>
      </c>
      <c r="D154" s="6" t="n">
        <v>213777</v>
      </c>
      <c r="E154" s="51" t="s">
        <v>123</v>
      </c>
      <c r="F154" s="47" t="n">
        <v>37</v>
      </c>
      <c r="G154" s="49" t="n">
        <v>223220</v>
      </c>
      <c r="H154" s="3" t="s">
        <v>404</v>
      </c>
      <c r="I154" s="3" t="n">
        <v>1</v>
      </c>
      <c r="J154" s="53" t="n">
        <v>45113</v>
      </c>
      <c r="K154" s="3" t="s">
        <v>405</v>
      </c>
      <c r="L154" s="54" t="n">
        <v>45113.9234259259</v>
      </c>
      <c r="M154" s="3" t="n">
        <v>77</v>
      </c>
    </row>
    <row r="155" customFormat="false" ht="14.25" hidden="false" customHeight="false" outlineLevel="0" collapsed="false">
      <c r="A155" s="3" t="n">
        <v>98</v>
      </c>
      <c r="B155" s="51" t="s">
        <v>250</v>
      </c>
      <c r="C155" s="51" t="s">
        <v>251</v>
      </c>
      <c r="D155" s="6" t="n">
        <v>213777</v>
      </c>
      <c r="E155" s="51" t="s">
        <v>406</v>
      </c>
      <c r="F155" s="47" t="n">
        <v>28</v>
      </c>
      <c r="G155" s="49" t="n">
        <v>213327</v>
      </c>
      <c r="H155" s="3" t="s">
        <v>407</v>
      </c>
      <c r="I155" s="3" t="n">
        <v>1</v>
      </c>
      <c r="J155" s="53" t="n">
        <v>45113</v>
      </c>
      <c r="K155" s="3" t="s">
        <v>408</v>
      </c>
      <c r="L155" s="54" t="n">
        <v>45113.9315509259</v>
      </c>
      <c r="M155" s="3" t="n">
        <v>78</v>
      </c>
    </row>
    <row r="156" customFormat="false" ht="14.25" hidden="false" customHeight="false" outlineLevel="0" collapsed="false">
      <c r="A156" s="3" t="n">
        <v>99</v>
      </c>
      <c r="B156" s="51" t="s">
        <v>250</v>
      </c>
      <c r="C156" s="51" t="s">
        <v>251</v>
      </c>
      <c r="D156" s="6" t="n">
        <v>213777</v>
      </c>
      <c r="E156" s="51" t="s">
        <v>126</v>
      </c>
      <c r="F156" s="47" t="n">
        <v>5</v>
      </c>
      <c r="G156" s="49" t="n">
        <v>192072</v>
      </c>
      <c r="H156" s="3" t="s">
        <v>409</v>
      </c>
      <c r="I156" s="3" t="n">
        <v>0</v>
      </c>
      <c r="J156" s="53" t="n">
        <v>45114</v>
      </c>
      <c r="K156" s="3" t="s">
        <v>410</v>
      </c>
      <c r="L156" s="54" t="n">
        <v>45114.0087615741</v>
      </c>
      <c r="M156" s="3" t="n">
        <v>79</v>
      </c>
    </row>
    <row r="157" customFormat="false" ht="14.25" hidden="false" customHeight="false" outlineLevel="0" collapsed="false">
      <c r="A157" s="3" t="n">
        <v>100</v>
      </c>
      <c r="B157" s="51" t="s">
        <v>250</v>
      </c>
      <c r="C157" s="51" t="s">
        <v>251</v>
      </c>
      <c r="D157" s="6" t="n">
        <v>213777</v>
      </c>
      <c r="E157" s="51" t="s">
        <v>148</v>
      </c>
      <c r="F157" s="47" t="n">
        <v>17</v>
      </c>
      <c r="G157" s="49" t="n">
        <v>202290</v>
      </c>
      <c r="H157" s="3" t="s">
        <v>411</v>
      </c>
      <c r="I157" s="3" t="n">
        <v>1</v>
      </c>
      <c r="J157" s="53" t="n">
        <v>45114</v>
      </c>
      <c r="K157" s="3" t="s">
        <v>412</v>
      </c>
      <c r="L157" s="54" t="n">
        <v>45114.0473842593</v>
      </c>
      <c r="M157" s="3" t="n">
        <v>80</v>
      </c>
    </row>
    <row r="158" customFormat="false" ht="14.25" hidden="false" customHeight="false" outlineLevel="0" collapsed="false">
      <c r="A158" s="3" t="n">
        <v>101</v>
      </c>
      <c r="B158" s="51" t="s">
        <v>250</v>
      </c>
      <c r="C158" s="51" t="s">
        <v>251</v>
      </c>
      <c r="D158" s="6" t="n">
        <v>213777</v>
      </c>
      <c r="E158" s="51" t="s">
        <v>135</v>
      </c>
      <c r="F158" s="47" t="n">
        <v>38</v>
      </c>
      <c r="G158" s="49" t="n">
        <v>223223</v>
      </c>
      <c r="H158" s="3" t="s">
        <v>413</v>
      </c>
      <c r="I158" s="3" t="n">
        <v>0</v>
      </c>
      <c r="J158" s="53" t="n">
        <v>45114</v>
      </c>
      <c r="K158" s="3" t="s">
        <v>414</v>
      </c>
      <c r="L158" s="54" t="n">
        <v>45114.0531597222</v>
      </c>
      <c r="M158" s="3" t="n">
        <v>81</v>
      </c>
    </row>
    <row r="159" customFormat="false" ht="14.25" hidden="false" customHeight="false" outlineLevel="0" collapsed="false">
      <c r="A159" s="3" t="n">
        <v>102</v>
      </c>
      <c r="B159" s="51" t="s">
        <v>250</v>
      </c>
      <c r="C159" s="51" t="s">
        <v>251</v>
      </c>
      <c r="D159" s="6" t="n">
        <v>213777</v>
      </c>
      <c r="E159" s="51" t="s">
        <v>135</v>
      </c>
      <c r="F159" s="47" t="n">
        <v>38</v>
      </c>
      <c r="G159" s="49" t="n">
        <v>223223</v>
      </c>
      <c r="H159" s="3" t="s">
        <v>415</v>
      </c>
      <c r="I159" s="3" t="n">
        <v>1</v>
      </c>
      <c r="J159" s="53" t="n">
        <v>45114</v>
      </c>
      <c r="K159" s="3" t="s">
        <v>416</v>
      </c>
      <c r="L159" s="54" t="n">
        <v>45114.0572800926</v>
      </c>
      <c r="M159" s="3" t="n">
        <v>82</v>
      </c>
    </row>
    <row r="160" customFormat="false" ht="14.25" hidden="false" customHeight="false" outlineLevel="0" collapsed="false">
      <c r="A160" s="3" t="n">
        <v>103</v>
      </c>
      <c r="B160" s="51" t="s">
        <v>250</v>
      </c>
      <c r="C160" s="51" t="s">
        <v>251</v>
      </c>
      <c r="D160" s="6" t="n">
        <v>213777</v>
      </c>
      <c r="E160" s="51" t="s">
        <v>135</v>
      </c>
      <c r="F160" s="47" t="n">
        <v>38</v>
      </c>
      <c r="G160" s="49" t="n">
        <v>223223</v>
      </c>
      <c r="H160" s="3" t="s">
        <v>417</v>
      </c>
      <c r="I160" s="3" t="n">
        <v>1</v>
      </c>
      <c r="J160" s="53" t="n">
        <v>45114</v>
      </c>
      <c r="K160" s="3" t="s">
        <v>418</v>
      </c>
      <c r="L160" s="54" t="n">
        <v>45114.0588194444</v>
      </c>
      <c r="M160" s="3" t="n">
        <v>83</v>
      </c>
    </row>
    <row r="161" customFormat="false" ht="14.25" hidden="false" customHeight="false" outlineLevel="0" collapsed="false">
      <c r="A161" s="3" t="n">
        <v>104</v>
      </c>
      <c r="B161" s="51" t="s">
        <v>250</v>
      </c>
      <c r="C161" s="51" t="s">
        <v>251</v>
      </c>
      <c r="D161" s="6" t="n">
        <v>213777</v>
      </c>
      <c r="E161" s="51" t="s">
        <v>148</v>
      </c>
      <c r="F161" s="47" t="n">
        <v>17</v>
      </c>
      <c r="G161" s="49" t="n">
        <v>202290</v>
      </c>
      <c r="H161" s="3" t="s">
        <v>419</v>
      </c>
      <c r="I161" s="3" t="n">
        <v>1</v>
      </c>
      <c r="J161" s="53" t="n">
        <v>45114</v>
      </c>
      <c r="K161" s="3" t="s">
        <v>420</v>
      </c>
      <c r="L161" s="54" t="n">
        <v>45114.0611689815</v>
      </c>
      <c r="M161" s="3" t="n">
        <v>84</v>
      </c>
    </row>
    <row r="162" customFormat="false" ht="14.25" hidden="false" customHeight="false" outlineLevel="0" collapsed="false">
      <c r="A162" s="3" t="n">
        <v>105</v>
      </c>
      <c r="B162" s="51" t="s">
        <v>250</v>
      </c>
      <c r="C162" s="51" t="s">
        <v>251</v>
      </c>
      <c r="D162" s="6" t="n">
        <v>213777</v>
      </c>
      <c r="E162" s="51" t="s">
        <v>148</v>
      </c>
      <c r="F162" s="47" t="n">
        <v>17</v>
      </c>
      <c r="G162" s="49" t="n">
        <v>202290</v>
      </c>
      <c r="H162" s="3" t="s">
        <v>421</v>
      </c>
      <c r="I162" s="3" t="n">
        <v>1</v>
      </c>
      <c r="J162" s="53" t="n">
        <v>45114</v>
      </c>
      <c r="K162" s="3" t="s">
        <v>422</v>
      </c>
      <c r="L162" s="54" t="n">
        <v>45114.0646180556</v>
      </c>
      <c r="M162" s="3" t="n">
        <v>85</v>
      </c>
    </row>
    <row r="163" customFormat="false" ht="14.25" hidden="false" customHeight="false" outlineLevel="0" collapsed="false">
      <c r="A163" s="3" t="n">
        <v>106</v>
      </c>
      <c r="B163" s="51" t="s">
        <v>250</v>
      </c>
      <c r="C163" s="51" t="s">
        <v>251</v>
      </c>
      <c r="D163" s="6" t="n">
        <v>213777</v>
      </c>
      <c r="E163" s="51" t="s">
        <v>148</v>
      </c>
      <c r="F163" s="47" t="n">
        <v>17</v>
      </c>
      <c r="G163" s="49" t="n">
        <v>202290</v>
      </c>
      <c r="H163" s="3" t="s">
        <v>423</v>
      </c>
      <c r="I163" s="3" t="n">
        <v>1</v>
      </c>
      <c r="J163" s="53" t="n">
        <v>45114</v>
      </c>
      <c r="K163" s="3" t="s">
        <v>424</v>
      </c>
      <c r="L163" s="54" t="n">
        <v>45114.1052314815</v>
      </c>
      <c r="M163" s="3" t="n">
        <v>86</v>
      </c>
    </row>
    <row r="164" customFormat="false" ht="14.25" hidden="false" customHeight="false" outlineLevel="0" collapsed="false">
      <c r="A164" s="3" t="n">
        <v>107</v>
      </c>
      <c r="B164" s="51" t="s">
        <v>250</v>
      </c>
      <c r="C164" s="51" t="s">
        <v>251</v>
      </c>
      <c r="D164" s="6" t="n">
        <v>213777</v>
      </c>
      <c r="E164" s="51" t="s">
        <v>148</v>
      </c>
      <c r="F164" s="47" t="n">
        <v>17</v>
      </c>
      <c r="G164" s="49" t="n">
        <v>202290</v>
      </c>
      <c r="H164" s="3" t="s">
        <v>425</v>
      </c>
      <c r="I164" s="3" t="n">
        <v>1</v>
      </c>
      <c r="J164" s="53" t="n">
        <v>45114</v>
      </c>
      <c r="K164" s="3" t="s">
        <v>426</v>
      </c>
      <c r="L164" s="54" t="n">
        <v>45114.1322453704</v>
      </c>
      <c r="M164" s="3" t="n">
        <v>87</v>
      </c>
    </row>
    <row r="165" customFormat="false" ht="14.25" hidden="false" customHeight="false" outlineLevel="0" collapsed="false">
      <c r="A165" s="3" t="n">
        <v>109</v>
      </c>
      <c r="B165" s="51" t="s">
        <v>250</v>
      </c>
      <c r="C165" s="51" t="s">
        <v>251</v>
      </c>
      <c r="D165" s="6" t="n">
        <v>213777</v>
      </c>
      <c r="E165" s="51" t="s">
        <v>135</v>
      </c>
      <c r="F165" s="47" t="n">
        <v>38</v>
      </c>
      <c r="G165" s="49" t="n">
        <v>223223</v>
      </c>
      <c r="H165" s="3" t="s">
        <v>427</v>
      </c>
      <c r="I165" s="3" t="n">
        <v>1</v>
      </c>
      <c r="J165" s="53" t="n">
        <v>45114</v>
      </c>
      <c r="K165" s="3" t="s">
        <v>428</v>
      </c>
      <c r="L165" s="54" t="n">
        <v>45114.2385416667</v>
      </c>
      <c r="M165" s="3" t="n">
        <v>89</v>
      </c>
    </row>
    <row r="166" customFormat="false" ht="14.25" hidden="false" customHeight="false" outlineLevel="0" collapsed="false">
      <c r="A166" s="3" t="n">
        <v>110</v>
      </c>
      <c r="B166" s="51" t="s">
        <v>250</v>
      </c>
      <c r="C166" s="51" t="s">
        <v>251</v>
      </c>
      <c r="D166" s="6" t="n">
        <v>213777</v>
      </c>
      <c r="E166" s="51" t="s">
        <v>135</v>
      </c>
      <c r="F166" s="47" t="n">
        <v>38</v>
      </c>
      <c r="G166" s="49" t="n">
        <v>223223</v>
      </c>
      <c r="H166" s="3" t="s">
        <v>429</v>
      </c>
      <c r="I166" s="3" t="n">
        <v>3</v>
      </c>
      <c r="J166" s="53" t="n">
        <v>45114</v>
      </c>
      <c r="K166" s="3" t="s">
        <v>430</v>
      </c>
      <c r="L166" s="54" t="n">
        <v>45114.2391666667</v>
      </c>
      <c r="M166" s="3" t="n">
        <v>90</v>
      </c>
    </row>
    <row r="167" customFormat="false" ht="14.25" hidden="false" customHeight="false" outlineLevel="0" collapsed="false">
      <c r="A167" s="3" t="n">
        <v>111</v>
      </c>
      <c r="B167" s="51" t="s">
        <v>250</v>
      </c>
      <c r="C167" s="51" t="s">
        <v>251</v>
      </c>
      <c r="D167" s="6" t="n">
        <v>213777</v>
      </c>
      <c r="E167" s="51" t="s">
        <v>148</v>
      </c>
      <c r="F167" s="47" t="n">
        <v>17</v>
      </c>
      <c r="G167" s="49" t="n">
        <v>202290</v>
      </c>
      <c r="H167" s="3" t="s">
        <v>431</v>
      </c>
      <c r="I167" s="3" t="n">
        <v>1</v>
      </c>
      <c r="J167" s="53" t="n">
        <v>45114</v>
      </c>
      <c r="K167" s="3" t="s">
        <v>432</v>
      </c>
      <c r="L167" s="54" t="n">
        <v>45114.4127662037</v>
      </c>
      <c r="M167" s="3" t="n">
        <v>91</v>
      </c>
    </row>
    <row r="168" customFormat="false" ht="14.25" hidden="false" customHeight="false" outlineLevel="0" collapsed="false">
      <c r="A168" s="3" t="n">
        <v>112</v>
      </c>
      <c r="B168" s="51" t="s">
        <v>250</v>
      </c>
      <c r="C168" s="51" t="s">
        <v>251</v>
      </c>
      <c r="D168" s="6" t="n">
        <v>213777</v>
      </c>
      <c r="E168" s="51" t="s">
        <v>148</v>
      </c>
      <c r="F168" s="47" t="n">
        <v>17</v>
      </c>
      <c r="G168" s="49" t="n">
        <v>202290</v>
      </c>
      <c r="H168" s="3" t="s">
        <v>433</v>
      </c>
      <c r="I168" s="3" t="n">
        <v>0</v>
      </c>
      <c r="J168" s="53" t="n">
        <v>45114</v>
      </c>
      <c r="K168" s="3" t="s">
        <v>434</v>
      </c>
      <c r="L168" s="54" t="n">
        <v>45114.4480208333</v>
      </c>
      <c r="M168" s="3" t="n">
        <v>92</v>
      </c>
    </row>
    <row r="169" customFormat="false" ht="14.25" hidden="false" customHeight="false" outlineLevel="0" collapsed="false">
      <c r="A169" s="3" t="n">
        <v>113</v>
      </c>
      <c r="B169" s="51" t="s">
        <v>250</v>
      </c>
      <c r="C169" s="51" t="s">
        <v>251</v>
      </c>
      <c r="D169" s="6" t="n">
        <v>213777</v>
      </c>
      <c r="E169" s="51" t="s">
        <v>79</v>
      </c>
      <c r="F169" s="47" t="n">
        <v>4</v>
      </c>
      <c r="G169" s="49" t="n">
        <v>192010</v>
      </c>
      <c r="H169" s="3" t="s">
        <v>435</v>
      </c>
      <c r="I169" s="3" t="n">
        <v>2</v>
      </c>
      <c r="J169" s="53" t="n">
        <v>45114</v>
      </c>
      <c r="K169" s="3" t="s">
        <v>436</v>
      </c>
      <c r="L169" s="54" t="n">
        <v>45114.6067708333</v>
      </c>
      <c r="M169" s="3" t="n">
        <v>93</v>
      </c>
    </row>
    <row r="170" customFormat="false" ht="14.25" hidden="false" customHeight="false" outlineLevel="0" collapsed="false">
      <c r="A170" s="3" t="n">
        <v>114</v>
      </c>
      <c r="B170" s="51" t="s">
        <v>250</v>
      </c>
      <c r="C170" s="51" t="s">
        <v>251</v>
      </c>
      <c r="D170" s="6" t="n">
        <v>213777</v>
      </c>
      <c r="E170" s="51" t="s">
        <v>247</v>
      </c>
      <c r="F170" s="47" t="n">
        <v>47</v>
      </c>
      <c r="G170" s="49" t="n">
        <v>223437</v>
      </c>
      <c r="H170" s="3" t="s">
        <v>437</v>
      </c>
      <c r="I170" s="3" t="n">
        <v>1</v>
      </c>
      <c r="J170" s="53" t="n">
        <v>45115</v>
      </c>
      <c r="K170" s="3" t="s">
        <v>438</v>
      </c>
      <c r="L170" s="54" t="n">
        <v>45115.0239699074</v>
      </c>
      <c r="M170" s="3" t="n">
        <v>94</v>
      </c>
    </row>
    <row r="171" customFormat="false" ht="14.25" hidden="false" customHeight="false" outlineLevel="0" collapsed="false">
      <c r="A171" s="3" t="n">
        <v>115</v>
      </c>
      <c r="B171" s="51" t="s">
        <v>250</v>
      </c>
      <c r="C171" s="51" t="s">
        <v>251</v>
      </c>
      <c r="D171" s="6" t="n">
        <v>213777</v>
      </c>
      <c r="E171" s="51" t="s">
        <v>247</v>
      </c>
      <c r="F171" s="47" t="n">
        <v>47</v>
      </c>
      <c r="G171" s="49" t="n">
        <v>223437</v>
      </c>
      <c r="H171" s="3" t="s">
        <v>439</v>
      </c>
      <c r="I171" s="3" t="n">
        <v>1</v>
      </c>
      <c r="J171" s="53" t="n">
        <v>45115</v>
      </c>
      <c r="K171" s="3" t="s">
        <v>440</v>
      </c>
      <c r="L171" s="54" t="n">
        <v>45115.0471064815</v>
      </c>
      <c r="M171" s="3" t="n">
        <v>95</v>
      </c>
    </row>
    <row r="172" customFormat="false" ht="14.25" hidden="false" customHeight="false" outlineLevel="0" collapsed="false">
      <c r="A172" s="3" t="n">
        <v>116</v>
      </c>
      <c r="B172" s="51" t="s">
        <v>250</v>
      </c>
      <c r="C172" s="51" t="s">
        <v>251</v>
      </c>
      <c r="D172" s="6" t="n">
        <v>213777</v>
      </c>
      <c r="E172" s="51" t="s">
        <v>247</v>
      </c>
      <c r="F172" s="47" t="n">
        <v>47</v>
      </c>
      <c r="G172" s="49" t="n">
        <v>223437</v>
      </c>
      <c r="H172" s="3" t="s">
        <v>441</v>
      </c>
      <c r="I172" s="3" t="n">
        <v>0</v>
      </c>
      <c r="J172" s="53" t="n">
        <v>45115</v>
      </c>
      <c r="K172" s="3" t="s">
        <v>442</v>
      </c>
      <c r="L172" s="54" t="n">
        <v>45115.04875</v>
      </c>
      <c r="M172" s="3" t="n">
        <v>96</v>
      </c>
    </row>
    <row r="173" customFormat="false" ht="14.25" hidden="false" customHeight="false" outlineLevel="0" collapsed="false">
      <c r="A173" s="3" t="n">
        <v>117</v>
      </c>
      <c r="B173" s="51" t="s">
        <v>250</v>
      </c>
      <c r="C173" s="51" t="s">
        <v>251</v>
      </c>
      <c r="D173" s="6" t="n">
        <v>213777</v>
      </c>
      <c r="E173" s="51" t="s">
        <v>247</v>
      </c>
      <c r="F173" s="47" t="n">
        <v>47</v>
      </c>
      <c r="G173" s="49" t="n">
        <v>223437</v>
      </c>
      <c r="H173" s="3" t="s">
        <v>443</v>
      </c>
      <c r="I173" s="3" t="n">
        <v>0</v>
      </c>
      <c r="J173" s="53" t="n">
        <v>45115</v>
      </c>
      <c r="K173" s="3" t="s">
        <v>444</v>
      </c>
      <c r="L173" s="54" t="n">
        <v>45115.0542476852</v>
      </c>
      <c r="M173" s="3" t="n">
        <v>97</v>
      </c>
    </row>
    <row r="174" customFormat="false" ht="14.25" hidden="false" customHeight="false" outlineLevel="0" collapsed="false">
      <c r="A174" s="3" t="n">
        <v>16</v>
      </c>
      <c r="B174" s="51" t="s">
        <v>445</v>
      </c>
      <c r="C174" s="51" t="s">
        <v>446</v>
      </c>
      <c r="D174" s="6" t="n">
        <v>213668</v>
      </c>
      <c r="E174" s="51" t="s">
        <v>447</v>
      </c>
      <c r="F174" s="47" t="n">
        <v>42</v>
      </c>
      <c r="G174" s="49" t="n">
        <v>223292</v>
      </c>
      <c r="H174" s="3" t="s">
        <v>448</v>
      </c>
      <c r="I174" s="3" t="n">
        <v>1</v>
      </c>
      <c r="J174" s="53" t="n">
        <v>45111</v>
      </c>
      <c r="K174" s="3" t="s">
        <v>449</v>
      </c>
      <c r="L174" s="54" t="n">
        <v>45111.3571990741</v>
      </c>
      <c r="M174" s="3" t="n">
        <v>1</v>
      </c>
    </row>
    <row r="175" customFormat="false" ht="14.25" hidden="false" customHeight="false" outlineLevel="0" collapsed="false">
      <c r="A175" s="3" t="n">
        <v>17</v>
      </c>
      <c r="B175" s="51" t="s">
        <v>445</v>
      </c>
      <c r="C175" s="51" t="s">
        <v>446</v>
      </c>
      <c r="D175" s="6" t="n">
        <v>213668</v>
      </c>
      <c r="E175" s="51" t="s">
        <v>450</v>
      </c>
      <c r="F175" s="47" t="n">
        <v>29</v>
      </c>
      <c r="G175" s="49" t="n">
        <v>213348</v>
      </c>
      <c r="H175" s="3" t="s">
        <v>451</v>
      </c>
      <c r="I175" s="3" t="n">
        <v>0</v>
      </c>
      <c r="J175" s="53" t="n">
        <v>45112</v>
      </c>
      <c r="K175" s="3" t="s">
        <v>452</v>
      </c>
      <c r="L175" s="54" t="n">
        <v>45112.4818981482</v>
      </c>
      <c r="M175" s="3" t="n">
        <v>2</v>
      </c>
    </row>
    <row r="176" customFormat="false" ht="14.25" hidden="false" customHeight="false" outlineLevel="0" collapsed="false">
      <c r="A176" s="3" t="n">
        <v>18</v>
      </c>
      <c r="B176" s="51" t="s">
        <v>445</v>
      </c>
      <c r="C176" s="51" t="s">
        <v>446</v>
      </c>
      <c r="D176" s="6" t="n">
        <v>213668</v>
      </c>
      <c r="E176" s="51" t="s">
        <v>450</v>
      </c>
      <c r="F176" s="47" t="n">
        <v>29</v>
      </c>
      <c r="G176" s="49" t="n">
        <v>213348</v>
      </c>
      <c r="H176" s="3" t="s">
        <v>453</v>
      </c>
      <c r="I176" s="3" t="n">
        <v>1</v>
      </c>
      <c r="J176" s="53" t="n">
        <v>45112</v>
      </c>
      <c r="K176" s="3" t="s">
        <v>454</v>
      </c>
      <c r="L176" s="54" t="n">
        <v>45112.4972800926</v>
      </c>
      <c r="M176" s="3" t="n">
        <v>3</v>
      </c>
    </row>
    <row r="177" customFormat="false" ht="14.25" hidden="false" customHeight="false" outlineLevel="0" collapsed="false">
      <c r="A177" s="3" t="n">
        <v>19</v>
      </c>
      <c r="B177" s="51" t="s">
        <v>445</v>
      </c>
      <c r="C177" s="51" t="s">
        <v>446</v>
      </c>
      <c r="D177" s="6" t="n">
        <v>213668</v>
      </c>
      <c r="E177" s="51" t="s">
        <v>450</v>
      </c>
      <c r="F177" s="47" t="n">
        <v>29</v>
      </c>
      <c r="G177" s="49" t="n">
        <v>213348</v>
      </c>
      <c r="H177" s="3" t="s">
        <v>455</v>
      </c>
      <c r="I177" s="3" t="n">
        <v>1</v>
      </c>
      <c r="J177" s="53" t="n">
        <v>45112</v>
      </c>
      <c r="K177" s="3" t="s">
        <v>456</v>
      </c>
      <c r="L177" s="54" t="n">
        <v>45112.4975694444</v>
      </c>
      <c r="M177" s="3" t="n">
        <v>4</v>
      </c>
    </row>
    <row r="178" customFormat="false" ht="14.25" hidden="false" customHeight="false" outlineLevel="0" collapsed="false">
      <c r="A178" s="3" t="n">
        <v>20</v>
      </c>
      <c r="B178" s="51" t="s">
        <v>445</v>
      </c>
      <c r="C178" s="51" t="s">
        <v>446</v>
      </c>
      <c r="D178" s="6" t="n">
        <v>213668</v>
      </c>
      <c r="E178" s="51" t="s">
        <v>450</v>
      </c>
      <c r="F178" s="47" t="n">
        <v>29</v>
      </c>
      <c r="G178" s="49" t="n">
        <v>213348</v>
      </c>
      <c r="H178" s="3" t="s">
        <v>457</v>
      </c>
      <c r="I178" s="3" t="n">
        <v>2</v>
      </c>
      <c r="J178" s="53" t="n">
        <v>45112</v>
      </c>
      <c r="K178" s="3" t="s">
        <v>458</v>
      </c>
      <c r="L178" s="54" t="n">
        <v>45112.4977083333</v>
      </c>
      <c r="M178" s="3" t="n">
        <v>5</v>
      </c>
    </row>
    <row r="179" customFormat="false" ht="14.25" hidden="false" customHeight="false" outlineLevel="0" collapsed="false">
      <c r="A179" s="3" t="n">
        <v>21</v>
      </c>
      <c r="B179" s="51" t="s">
        <v>445</v>
      </c>
      <c r="C179" s="51" t="s">
        <v>446</v>
      </c>
      <c r="D179" s="6" t="n">
        <v>213668</v>
      </c>
      <c r="E179" s="51" t="s">
        <v>450</v>
      </c>
      <c r="F179" s="47" t="n">
        <v>29</v>
      </c>
      <c r="G179" s="49" t="n">
        <v>213348</v>
      </c>
      <c r="H179" s="3" t="s">
        <v>459</v>
      </c>
      <c r="I179" s="3" t="n">
        <v>1</v>
      </c>
      <c r="J179" s="53" t="n">
        <v>45112</v>
      </c>
      <c r="K179" s="3" t="s">
        <v>460</v>
      </c>
      <c r="L179" s="54" t="n">
        <v>45112.4989583333</v>
      </c>
      <c r="M179" s="3" t="n">
        <v>6</v>
      </c>
    </row>
    <row r="180" customFormat="false" ht="14.25" hidden="false" customHeight="false" outlineLevel="0" collapsed="false">
      <c r="A180" s="3" t="n">
        <v>22</v>
      </c>
      <c r="B180" s="51" t="s">
        <v>445</v>
      </c>
      <c r="C180" s="51" t="s">
        <v>446</v>
      </c>
      <c r="D180" s="6" t="n">
        <v>213668</v>
      </c>
      <c r="E180" s="51" t="s">
        <v>450</v>
      </c>
      <c r="F180" s="47" t="n">
        <v>29</v>
      </c>
      <c r="G180" s="49" t="n">
        <v>213348</v>
      </c>
      <c r="H180" s="3" t="s">
        <v>461</v>
      </c>
      <c r="I180" s="3" t="n">
        <v>2</v>
      </c>
      <c r="J180" s="53" t="n">
        <v>45112</v>
      </c>
      <c r="K180" s="3" t="s">
        <v>462</v>
      </c>
      <c r="L180" s="54" t="n">
        <v>45112.5032407407</v>
      </c>
      <c r="M180" s="3" t="n">
        <v>7</v>
      </c>
    </row>
    <row r="181" customFormat="false" ht="14.25" hidden="false" customHeight="false" outlineLevel="0" collapsed="false">
      <c r="A181" s="3" t="n">
        <v>23</v>
      </c>
      <c r="B181" s="51" t="s">
        <v>445</v>
      </c>
      <c r="C181" s="51" t="s">
        <v>446</v>
      </c>
      <c r="D181" s="6" t="n">
        <v>213668</v>
      </c>
      <c r="E181" s="51" t="s">
        <v>450</v>
      </c>
      <c r="F181" s="47" t="n">
        <v>29</v>
      </c>
      <c r="G181" s="49" t="n">
        <v>213348</v>
      </c>
      <c r="H181" s="3" t="s">
        <v>463</v>
      </c>
      <c r="I181" s="3" t="n">
        <v>0</v>
      </c>
      <c r="J181" s="53" t="n">
        <v>45112</v>
      </c>
      <c r="K181" s="3" t="s">
        <v>464</v>
      </c>
      <c r="L181" s="54" t="n">
        <v>45112.5126967593</v>
      </c>
      <c r="M181" s="3" t="n">
        <v>8</v>
      </c>
    </row>
    <row r="182" customFormat="false" ht="14.25" hidden="false" customHeight="false" outlineLevel="0" collapsed="false">
      <c r="A182" s="3" t="n">
        <v>24</v>
      </c>
      <c r="B182" s="51" t="s">
        <v>445</v>
      </c>
      <c r="C182" s="51" t="s">
        <v>446</v>
      </c>
      <c r="D182" s="6" t="n">
        <v>213668</v>
      </c>
      <c r="E182" s="51" t="s">
        <v>450</v>
      </c>
      <c r="F182" s="47" t="n">
        <v>29</v>
      </c>
      <c r="G182" s="49" t="n">
        <v>213348</v>
      </c>
      <c r="H182" s="3" t="s">
        <v>465</v>
      </c>
      <c r="I182" s="3" t="n">
        <v>1</v>
      </c>
      <c r="J182" s="53" t="n">
        <v>45112</v>
      </c>
      <c r="K182" s="3" t="s">
        <v>466</v>
      </c>
      <c r="L182" s="54" t="n">
        <v>45112.5434722222</v>
      </c>
      <c r="M182" s="3" t="n">
        <v>9</v>
      </c>
    </row>
    <row r="183" customFormat="false" ht="14.25" hidden="false" customHeight="false" outlineLevel="0" collapsed="false">
      <c r="A183" s="3" t="n">
        <v>25</v>
      </c>
      <c r="B183" s="51" t="s">
        <v>445</v>
      </c>
      <c r="C183" s="51" t="s">
        <v>446</v>
      </c>
      <c r="D183" s="6" t="n">
        <v>213668</v>
      </c>
      <c r="E183" s="51" t="s">
        <v>450</v>
      </c>
      <c r="F183" s="47" t="n">
        <v>29</v>
      </c>
      <c r="G183" s="49" t="n">
        <v>213348</v>
      </c>
      <c r="H183" s="3" t="s">
        <v>467</v>
      </c>
      <c r="I183" s="3" t="n">
        <v>1</v>
      </c>
      <c r="J183" s="53" t="n">
        <v>45112</v>
      </c>
      <c r="K183" s="3" t="s">
        <v>468</v>
      </c>
      <c r="L183" s="54" t="n">
        <v>45112.5434953704</v>
      </c>
      <c r="M183" s="3" t="n">
        <v>10</v>
      </c>
    </row>
    <row r="184" customFormat="false" ht="14.25" hidden="false" customHeight="false" outlineLevel="0" collapsed="false">
      <c r="A184" s="3" t="n">
        <v>26</v>
      </c>
      <c r="B184" s="51" t="s">
        <v>445</v>
      </c>
      <c r="C184" s="51" t="s">
        <v>446</v>
      </c>
      <c r="D184" s="6" t="n">
        <v>213668</v>
      </c>
      <c r="E184" s="51" t="s">
        <v>450</v>
      </c>
      <c r="F184" s="47" t="n">
        <v>29</v>
      </c>
      <c r="G184" s="49" t="n">
        <v>213348</v>
      </c>
      <c r="H184" s="3" t="s">
        <v>469</v>
      </c>
      <c r="I184" s="3" t="n">
        <v>1</v>
      </c>
      <c r="J184" s="53" t="n">
        <v>45112</v>
      </c>
      <c r="K184" s="3" t="s">
        <v>470</v>
      </c>
      <c r="L184" s="54" t="n">
        <v>45112.5845833333</v>
      </c>
      <c r="M184" s="3" t="n">
        <v>11</v>
      </c>
    </row>
    <row r="185" customFormat="false" ht="14.25" hidden="false" customHeight="false" outlineLevel="0" collapsed="false">
      <c r="A185" s="3" t="n">
        <v>27</v>
      </c>
      <c r="B185" s="51" t="s">
        <v>445</v>
      </c>
      <c r="C185" s="51" t="s">
        <v>446</v>
      </c>
      <c r="D185" s="6" t="n">
        <v>213668</v>
      </c>
      <c r="E185" s="51" t="s">
        <v>450</v>
      </c>
      <c r="F185" s="47" t="n">
        <v>29</v>
      </c>
      <c r="G185" s="49" t="n">
        <v>213348</v>
      </c>
      <c r="H185" s="3" t="s">
        <v>471</v>
      </c>
      <c r="I185" s="3" t="n">
        <v>1</v>
      </c>
      <c r="J185" s="53" t="n">
        <v>45112</v>
      </c>
      <c r="K185" s="3" t="s">
        <v>472</v>
      </c>
      <c r="L185" s="54" t="n">
        <v>45112.6010300926</v>
      </c>
      <c r="M185" s="3" t="n">
        <v>12</v>
      </c>
    </row>
    <row r="186" customFormat="false" ht="14.25" hidden="false" customHeight="false" outlineLevel="0" collapsed="false">
      <c r="A186" s="3" t="n">
        <v>28</v>
      </c>
      <c r="B186" s="51" t="s">
        <v>445</v>
      </c>
      <c r="C186" s="51" t="s">
        <v>446</v>
      </c>
      <c r="D186" s="6" t="n">
        <v>213668</v>
      </c>
      <c r="E186" s="51" t="s">
        <v>450</v>
      </c>
      <c r="F186" s="47" t="n">
        <v>29</v>
      </c>
      <c r="G186" s="49" t="n">
        <v>213348</v>
      </c>
      <c r="H186" s="3" t="s">
        <v>473</v>
      </c>
      <c r="I186" s="3" t="n">
        <v>1</v>
      </c>
      <c r="J186" s="53" t="n">
        <v>45112</v>
      </c>
      <c r="K186" s="3" t="s">
        <v>474</v>
      </c>
      <c r="L186" s="54" t="n">
        <v>45112.6065393519</v>
      </c>
      <c r="M186" s="3" t="n">
        <v>13</v>
      </c>
    </row>
    <row r="187" customFormat="false" ht="14.25" hidden="false" customHeight="false" outlineLevel="0" collapsed="false">
      <c r="A187" s="3" t="n">
        <v>29</v>
      </c>
      <c r="B187" s="51" t="s">
        <v>445</v>
      </c>
      <c r="C187" s="51" t="s">
        <v>446</v>
      </c>
      <c r="D187" s="6" t="n">
        <v>213668</v>
      </c>
      <c r="E187" s="51" t="s">
        <v>450</v>
      </c>
      <c r="F187" s="47" t="n">
        <v>29</v>
      </c>
      <c r="G187" s="49" t="n">
        <v>213348</v>
      </c>
      <c r="H187" s="3" t="s">
        <v>475</v>
      </c>
      <c r="I187" s="3" t="n">
        <v>1</v>
      </c>
      <c r="J187" s="53" t="n">
        <v>45112</v>
      </c>
      <c r="K187" s="3" t="s">
        <v>476</v>
      </c>
      <c r="L187" s="54" t="n">
        <v>45112.6154166667</v>
      </c>
      <c r="M187" s="3" t="n">
        <v>14</v>
      </c>
    </row>
    <row r="188" customFormat="false" ht="14.25" hidden="false" customHeight="false" outlineLevel="0" collapsed="false">
      <c r="A188" s="3" t="n">
        <v>30</v>
      </c>
      <c r="B188" s="51" t="s">
        <v>445</v>
      </c>
      <c r="C188" s="51" t="s">
        <v>446</v>
      </c>
      <c r="D188" s="6" t="n">
        <v>213668</v>
      </c>
      <c r="E188" s="51" t="s">
        <v>450</v>
      </c>
      <c r="F188" s="47" t="n">
        <v>29</v>
      </c>
      <c r="G188" s="49" t="n">
        <v>213348</v>
      </c>
      <c r="H188" s="3" t="s">
        <v>477</v>
      </c>
      <c r="I188" s="3" t="n">
        <v>1</v>
      </c>
      <c r="J188" s="53" t="n">
        <v>45112</v>
      </c>
      <c r="K188" s="3" t="s">
        <v>478</v>
      </c>
      <c r="L188" s="54" t="n">
        <v>45112.6156944444</v>
      </c>
      <c r="M188" s="3" t="n">
        <v>15</v>
      </c>
    </row>
    <row r="189" customFormat="false" ht="14.25" hidden="false" customHeight="false" outlineLevel="0" collapsed="false">
      <c r="A189" s="3" t="n">
        <v>31</v>
      </c>
      <c r="B189" s="51" t="s">
        <v>445</v>
      </c>
      <c r="C189" s="51" t="s">
        <v>446</v>
      </c>
      <c r="D189" s="6" t="n">
        <v>213668</v>
      </c>
      <c r="E189" s="51" t="s">
        <v>450</v>
      </c>
      <c r="F189" s="47" t="n">
        <v>29</v>
      </c>
      <c r="G189" s="49" t="n">
        <v>213348</v>
      </c>
      <c r="H189" s="3" t="s">
        <v>479</v>
      </c>
      <c r="I189" s="3" t="n">
        <v>0</v>
      </c>
      <c r="J189" s="53" t="n">
        <v>45112</v>
      </c>
      <c r="K189" s="3" t="s">
        <v>480</v>
      </c>
      <c r="L189" s="54" t="n">
        <v>45112.7483796296</v>
      </c>
      <c r="M189" s="3" t="n">
        <v>16</v>
      </c>
    </row>
    <row r="190" customFormat="false" ht="14.25" hidden="false" customHeight="false" outlineLevel="0" collapsed="false">
      <c r="A190" s="3" t="n">
        <v>32</v>
      </c>
      <c r="B190" s="51" t="s">
        <v>445</v>
      </c>
      <c r="C190" s="51" t="s">
        <v>446</v>
      </c>
      <c r="D190" s="6" t="n">
        <v>213668</v>
      </c>
      <c r="E190" s="51" t="s">
        <v>450</v>
      </c>
      <c r="F190" s="47" t="n">
        <v>29</v>
      </c>
      <c r="G190" s="49" t="n">
        <v>213348</v>
      </c>
      <c r="H190" s="3" t="s">
        <v>481</v>
      </c>
      <c r="I190" s="3" t="n">
        <v>1</v>
      </c>
      <c r="J190" s="53" t="n">
        <v>45112</v>
      </c>
      <c r="K190" s="3" t="s">
        <v>482</v>
      </c>
      <c r="L190" s="54" t="n">
        <v>45112.7485185185</v>
      </c>
      <c r="M190" s="3" t="n">
        <v>17</v>
      </c>
    </row>
    <row r="191" customFormat="false" ht="14.25" hidden="false" customHeight="false" outlineLevel="0" collapsed="false">
      <c r="A191" s="3" t="n">
        <v>33</v>
      </c>
      <c r="B191" s="51" t="s">
        <v>445</v>
      </c>
      <c r="C191" s="51" t="s">
        <v>446</v>
      </c>
      <c r="D191" s="6" t="n">
        <v>213668</v>
      </c>
      <c r="E191" s="51" t="s">
        <v>450</v>
      </c>
      <c r="F191" s="47" t="n">
        <v>29</v>
      </c>
      <c r="G191" s="49" t="n">
        <v>213348</v>
      </c>
      <c r="H191" s="3" t="s">
        <v>483</v>
      </c>
      <c r="I191" s="3" t="n">
        <v>2</v>
      </c>
      <c r="J191" s="53" t="n">
        <v>45112</v>
      </c>
      <c r="K191" s="3" t="s">
        <v>484</v>
      </c>
      <c r="L191" s="54" t="n">
        <v>45112.7495949074</v>
      </c>
      <c r="M191" s="3" t="n">
        <v>18</v>
      </c>
    </row>
    <row r="192" customFormat="false" ht="14.25" hidden="false" customHeight="false" outlineLevel="0" collapsed="false">
      <c r="A192" s="3" t="n">
        <v>34</v>
      </c>
      <c r="B192" s="51" t="s">
        <v>445</v>
      </c>
      <c r="C192" s="51" t="s">
        <v>446</v>
      </c>
      <c r="D192" s="6" t="n">
        <v>213668</v>
      </c>
      <c r="E192" s="51" t="s">
        <v>450</v>
      </c>
      <c r="F192" s="47" t="n">
        <v>29</v>
      </c>
      <c r="G192" s="49" t="n">
        <v>213348</v>
      </c>
      <c r="H192" s="3" t="s">
        <v>485</v>
      </c>
      <c r="I192" s="3" t="n">
        <v>1</v>
      </c>
      <c r="J192" s="53" t="n">
        <v>45112</v>
      </c>
      <c r="K192" s="3" t="s">
        <v>486</v>
      </c>
      <c r="L192" s="54" t="n">
        <v>45112.7499768519</v>
      </c>
      <c r="M192" s="3" t="n">
        <v>19</v>
      </c>
    </row>
    <row r="193" customFormat="false" ht="14.25" hidden="false" customHeight="false" outlineLevel="0" collapsed="false">
      <c r="A193" s="3" t="n">
        <v>17</v>
      </c>
      <c r="B193" s="51" t="s">
        <v>487</v>
      </c>
      <c r="C193" s="51" t="s">
        <v>488</v>
      </c>
      <c r="D193" s="6" t="n">
        <v>213711</v>
      </c>
      <c r="E193" s="51" t="s">
        <v>489</v>
      </c>
      <c r="F193" s="47" t="n">
        <v>11</v>
      </c>
      <c r="G193" s="49" t="n">
        <v>202045</v>
      </c>
      <c r="H193" s="3" t="s">
        <v>490</v>
      </c>
      <c r="I193" s="3" t="n">
        <v>0</v>
      </c>
      <c r="J193" s="53" t="n">
        <v>45111</v>
      </c>
      <c r="K193" s="3" t="s">
        <v>491</v>
      </c>
      <c r="L193" s="54" t="n">
        <v>45111.870462963</v>
      </c>
      <c r="M193" s="3" t="n">
        <v>1</v>
      </c>
    </row>
    <row r="194" customFormat="false" ht="14.25" hidden="false" customHeight="false" outlineLevel="0" collapsed="false">
      <c r="A194" s="3" t="n">
        <v>18</v>
      </c>
      <c r="B194" s="51" t="s">
        <v>487</v>
      </c>
      <c r="C194" s="51" t="s">
        <v>488</v>
      </c>
      <c r="D194" s="6" t="n">
        <v>213711</v>
      </c>
      <c r="E194" s="51" t="s">
        <v>489</v>
      </c>
      <c r="F194" s="47" t="n">
        <v>11</v>
      </c>
      <c r="G194" s="49" t="n">
        <v>202045</v>
      </c>
      <c r="H194" s="3" t="s">
        <v>492</v>
      </c>
      <c r="I194" s="3" t="n">
        <v>1</v>
      </c>
      <c r="J194" s="53" t="n">
        <v>45111</v>
      </c>
      <c r="K194" s="3" t="s">
        <v>493</v>
      </c>
      <c r="L194" s="54" t="n">
        <v>45111.8772106482</v>
      </c>
      <c r="M194" s="3" t="n">
        <v>2</v>
      </c>
    </row>
    <row r="195" customFormat="false" ht="14.25" hidden="false" customHeight="false" outlineLevel="0" collapsed="false">
      <c r="A195" s="3" t="n">
        <v>19</v>
      </c>
      <c r="B195" s="51" t="s">
        <v>487</v>
      </c>
      <c r="C195" s="51" t="s">
        <v>488</v>
      </c>
      <c r="D195" s="6" t="n">
        <v>213711</v>
      </c>
      <c r="E195" s="51" t="s">
        <v>494</v>
      </c>
      <c r="F195" s="47" t="n">
        <v>43</v>
      </c>
      <c r="G195" s="49" t="n">
        <v>223373</v>
      </c>
      <c r="H195" s="3" t="s">
        <v>495</v>
      </c>
      <c r="I195" s="3" t="n">
        <v>2</v>
      </c>
      <c r="J195" s="53" t="n">
        <v>45111</v>
      </c>
      <c r="K195" s="3" t="s">
        <v>496</v>
      </c>
      <c r="L195" s="54" t="n">
        <v>45111.8818634259</v>
      </c>
      <c r="M195" s="3" t="n">
        <v>3</v>
      </c>
    </row>
    <row r="196" customFormat="false" ht="14.25" hidden="false" customHeight="false" outlineLevel="0" collapsed="false">
      <c r="A196" s="3" t="n">
        <v>20</v>
      </c>
      <c r="B196" s="51" t="s">
        <v>487</v>
      </c>
      <c r="C196" s="51" t="s">
        <v>488</v>
      </c>
      <c r="D196" s="6" t="n">
        <v>213711</v>
      </c>
      <c r="E196" s="51" t="s">
        <v>489</v>
      </c>
      <c r="F196" s="47" t="n">
        <v>11</v>
      </c>
      <c r="G196" s="49" t="n">
        <v>202045</v>
      </c>
      <c r="H196" s="3" t="s">
        <v>497</v>
      </c>
      <c r="I196" s="3" t="n">
        <v>0</v>
      </c>
      <c r="J196" s="53" t="n">
        <v>45111</v>
      </c>
      <c r="K196" s="3" t="s">
        <v>498</v>
      </c>
      <c r="L196" s="54" t="n">
        <v>45111.8897685185</v>
      </c>
      <c r="M196" s="3" t="n">
        <v>4</v>
      </c>
    </row>
    <row r="197" customFormat="false" ht="14.25" hidden="false" customHeight="false" outlineLevel="0" collapsed="false">
      <c r="A197" s="3" t="n">
        <v>21</v>
      </c>
      <c r="B197" s="51" t="s">
        <v>487</v>
      </c>
      <c r="C197" s="51" t="s">
        <v>488</v>
      </c>
      <c r="D197" s="6" t="n">
        <v>213711</v>
      </c>
      <c r="E197" s="51" t="s">
        <v>499</v>
      </c>
      <c r="F197" s="47" t="n">
        <v>20</v>
      </c>
      <c r="G197" s="49" t="n">
        <v>213074</v>
      </c>
      <c r="H197" s="3" t="s">
        <v>500</v>
      </c>
      <c r="I197" s="3" t="n">
        <v>0</v>
      </c>
      <c r="J197" s="53" t="n">
        <v>45112</v>
      </c>
      <c r="K197" s="3" t="s">
        <v>501</v>
      </c>
      <c r="L197" s="54" t="n">
        <v>45112.3030092593</v>
      </c>
      <c r="M197" s="3" t="n">
        <v>5</v>
      </c>
    </row>
    <row r="198" customFormat="false" ht="14.25" hidden="false" customHeight="false" outlineLevel="0" collapsed="false">
      <c r="A198" s="3" t="n">
        <v>22</v>
      </c>
      <c r="B198" s="51" t="s">
        <v>487</v>
      </c>
      <c r="C198" s="51" t="s">
        <v>488</v>
      </c>
      <c r="D198" s="6" t="n">
        <v>213711</v>
      </c>
      <c r="E198" s="51" t="s">
        <v>499</v>
      </c>
      <c r="F198" s="47" t="n">
        <v>20</v>
      </c>
      <c r="G198" s="49" t="n">
        <v>213074</v>
      </c>
      <c r="H198" s="3" t="s">
        <v>502</v>
      </c>
      <c r="I198" s="3" t="n">
        <v>2</v>
      </c>
      <c r="J198" s="53" t="n">
        <v>45112</v>
      </c>
      <c r="K198" s="3" t="s">
        <v>503</v>
      </c>
      <c r="L198" s="54" t="n">
        <v>45112.3030671296</v>
      </c>
      <c r="M198" s="3" t="n">
        <v>6</v>
      </c>
    </row>
    <row r="199" customFormat="false" ht="14.25" hidden="false" customHeight="false" outlineLevel="0" collapsed="false">
      <c r="A199" s="3" t="n">
        <v>23</v>
      </c>
      <c r="B199" s="51" t="s">
        <v>487</v>
      </c>
      <c r="C199" s="51" t="s">
        <v>488</v>
      </c>
      <c r="D199" s="6" t="n">
        <v>213711</v>
      </c>
      <c r="E199" s="51" t="s">
        <v>499</v>
      </c>
      <c r="F199" s="47" t="n">
        <v>20</v>
      </c>
      <c r="G199" s="49" t="n">
        <v>213074</v>
      </c>
      <c r="H199" s="3" t="s">
        <v>504</v>
      </c>
      <c r="I199" s="3" t="n">
        <v>1</v>
      </c>
      <c r="J199" s="53" t="n">
        <v>45112</v>
      </c>
      <c r="K199" s="3" t="s">
        <v>505</v>
      </c>
      <c r="L199" s="54" t="n">
        <v>45112.3032638889</v>
      </c>
      <c r="M199" s="3" t="n">
        <v>7</v>
      </c>
    </row>
    <row r="200" customFormat="false" ht="14.25" hidden="false" customHeight="false" outlineLevel="0" collapsed="false">
      <c r="A200" s="3" t="n">
        <v>24</v>
      </c>
      <c r="B200" s="51" t="s">
        <v>487</v>
      </c>
      <c r="C200" s="51" t="s">
        <v>488</v>
      </c>
      <c r="D200" s="6" t="n">
        <v>213711</v>
      </c>
      <c r="E200" s="51" t="s">
        <v>499</v>
      </c>
      <c r="F200" s="47" t="n">
        <v>20</v>
      </c>
      <c r="G200" s="49" t="n">
        <v>213074</v>
      </c>
      <c r="H200" s="3" t="s">
        <v>506</v>
      </c>
      <c r="I200" s="3" t="n">
        <v>1</v>
      </c>
      <c r="J200" s="53" t="n">
        <v>45112</v>
      </c>
      <c r="K200" s="3" t="s">
        <v>507</v>
      </c>
      <c r="L200" s="54" t="n">
        <v>45112.3037268519</v>
      </c>
      <c r="M200" s="3" t="n">
        <v>8</v>
      </c>
    </row>
    <row r="201" customFormat="false" ht="14.25" hidden="false" customHeight="false" outlineLevel="0" collapsed="false">
      <c r="A201" s="3" t="n">
        <v>25</v>
      </c>
      <c r="B201" s="51" t="s">
        <v>487</v>
      </c>
      <c r="C201" s="51" t="s">
        <v>488</v>
      </c>
      <c r="D201" s="6" t="n">
        <v>213711</v>
      </c>
      <c r="E201" s="51" t="s">
        <v>499</v>
      </c>
      <c r="F201" s="47" t="n">
        <v>20</v>
      </c>
      <c r="G201" s="49" t="n">
        <v>213074</v>
      </c>
      <c r="H201" s="3" t="s">
        <v>508</v>
      </c>
      <c r="I201" s="3" t="n">
        <v>1</v>
      </c>
      <c r="J201" s="53" t="n">
        <v>45112</v>
      </c>
      <c r="K201" s="3" t="s">
        <v>509</v>
      </c>
      <c r="L201" s="54" t="n">
        <v>45112.3038773148</v>
      </c>
      <c r="M201" s="3" t="n">
        <v>9</v>
      </c>
    </row>
    <row r="202" customFormat="false" ht="14.25" hidden="false" customHeight="false" outlineLevel="0" collapsed="false">
      <c r="A202" s="3" t="n">
        <v>26</v>
      </c>
      <c r="B202" s="51" t="s">
        <v>487</v>
      </c>
      <c r="C202" s="51" t="s">
        <v>488</v>
      </c>
      <c r="D202" s="6" t="n">
        <v>213711</v>
      </c>
      <c r="E202" s="51" t="s">
        <v>499</v>
      </c>
      <c r="F202" s="47" t="n">
        <v>20</v>
      </c>
      <c r="G202" s="49" t="n">
        <v>213074</v>
      </c>
      <c r="H202" s="3" t="s">
        <v>510</v>
      </c>
      <c r="I202" s="3" t="n">
        <v>1</v>
      </c>
      <c r="J202" s="53" t="n">
        <v>45112</v>
      </c>
      <c r="K202" s="3" t="s">
        <v>511</v>
      </c>
      <c r="L202" s="54" t="n">
        <v>45112.3043287037</v>
      </c>
      <c r="M202" s="3" t="n">
        <v>10</v>
      </c>
    </row>
    <row r="203" customFormat="false" ht="14.25" hidden="false" customHeight="false" outlineLevel="0" collapsed="false">
      <c r="A203" s="3" t="n">
        <v>27</v>
      </c>
      <c r="B203" s="51" t="s">
        <v>487</v>
      </c>
      <c r="C203" s="51" t="s">
        <v>488</v>
      </c>
      <c r="D203" s="6" t="n">
        <v>213711</v>
      </c>
      <c r="E203" s="51" t="s">
        <v>499</v>
      </c>
      <c r="F203" s="47" t="n">
        <v>20</v>
      </c>
      <c r="G203" s="49" t="n">
        <v>213074</v>
      </c>
      <c r="H203" s="3" t="s">
        <v>512</v>
      </c>
      <c r="I203" s="3" t="n">
        <v>0</v>
      </c>
      <c r="J203" s="53" t="n">
        <v>45112</v>
      </c>
      <c r="K203" s="3" t="s">
        <v>513</v>
      </c>
      <c r="L203" s="54" t="n">
        <v>45112.3044907407</v>
      </c>
      <c r="M203" s="3" t="n">
        <v>11</v>
      </c>
    </row>
    <row r="204" customFormat="false" ht="14.25" hidden="false" customHeight="false" outlineLevel="0" collapsed="false">
      <c r="A204" s="3" t="n">
        <v>28</v>
      </c>
      <c r="B204" s="51" t="s">
        <v>487</v>
      </c>
      <c r="C204" s="51" t="s">
        <v>488</v>
      </c>
      <c r="D204" s="6" t="n">
        <v>213711</v>
      </c>
      <c r="E204" s="51" t="s">
        <v>499</v>
      </c>
      <c r="F204" s="47" t="n">
        <v>20</v>
      </c>
      <c r="G204" s="49" t="n">
        <v>213074</v>
      </c>
      <c r="H204" s="3" t="s">
        <v>514</v>
      </c>
      <c r="I204" s="3" t="n">
        <v>1</v>
      </c>
      <c r="J204" s="53" t="n">
        <v>45112</v>
      </c>
      <c r="K204" s="3" t="s">
        <v>515</v>
      </c>
      <c r="L204" s="54" t="n">
        <v>45112.3046064815</v>
      </c>
      <c r="M204" s="3" t="n">
        <v>12</v>
      </c>
    </row>
    <row r="205" customFormat="false" ht="14.25" hidden="false" customHeight="false" outlineLevel="0" collapsed="false">
      <c r="A205" s="3" t="n">
        <v>29</v>
      </c>
      <c r="B205" s="51" t="s">
        <v>487</v>
      </c>
      <c r="C205" s="51" t="s">
        <v>488</v>
      </c>
      <c r="D205" s="6" t="n">
        <v>213711</v>
      </c>
      <c r="E205" s="51" t="s">
        <v>499</v>
      </c>
      <c r="F205" s="47" t="n">
        <v>20</v>
      </c>
      <c r="G205" s="49" t="n">
        <v>213074</v>
      </c>
      <c r="H205" s="3" t="s">
        <v>516</v>
      </c>
      <c r="I205" s="3" t="n">
        <v>1</v>
      </c>
      <c r="J205" s="53" t="n">
        <v>45112</v>
      </c>
      <c r="K205" s="3" t="s">
        <v>517</v>
      </c>
      <c r="L205" s="54" t="n">
        <v>45112.3046643519</v>
      </c>
      <c r="M205" s="3" t="n">
        <v>13</v>
      </c>
    </row>
    <row r="206" customFormat="false" ht="14.25" hidden="false" customHeight="false" outlineLevel="0" collapsed="false">
      <c r="A206" s="3" t="n">
        <v>30</v>
      </c>
      <c r="B206" s="51" t="s">
        <v>487</v>
      </c>
      <c r="C206" s="51" t="s">
        <v>488</v>
      </c>
      <c r="D206" s="6" t="n">
        <v>213711</v>
      </c>
      <c r="E206" s="51" t="s">
        <v>499</v>
      </c>
      <c r="F206" s="47" t="n">
        <v>20</v>
      </c>
      <c r="G206" s="49" t="n">
        <v>213074</v>
      </c>
      <c r="H206" s="3" t="s">
        <v>518</v>
      </c>
      <c r="I206" s="3" t="n">
        <v>1</v>
      </c>
      <c r="J206" s="53" t="n">
        <v>45112</v>
      </c>
      <c r="K206" s="3" t="s">
        <v>519</v>
      </c>
      <c r="L206" s="54" t="n">
        <v>45112.3053240741</v>
      </c>
      <c r="M206" s="3" t="n">
        <v>14</v>
      </c>
    </row>
    <row r="207" customFormat="false" ht="14.25" hidden="false" customHeight="false" outlineLevel="0" collapsed="false">
      <c r="A207" s="3" t="n">
        <v>31</v>
      </c>
      <c r="B207" s="51" t="s">
        <v>487</v>
      </c>
      <c r="C207" s="51" t="s">
        <v>488</v>
      </c>
      <c r="D207" s="6" t="n">
        <v>213711</v>
      </c>
      <c r="E207" s="51" t="s">
        <v>499</v>
      </c>
      <c r="F207" s="47" t="n">
        <v>20</v>
      </c>
      <c r="G207" s="49" t="n">
        <v>213074</v>
      </c>
      <c r="H207" s="3" t="s">
        <v>520</v>
      </c>
      <c r="I207" s="3" t="n">
        <v>1</v>
      </c>
      <c r="J207" s="53" t="n">
        <v>45112</v>
      </c>
      <c r="K207" s="3" t="s">
        <v>521</v>
      </c>
      <c r="L207" s="54" t="n">
        <v>45112.3054166667</v>
      </c>
      <c r="M207" s="3" t="n">
        <v>15</v>
      </c>
    </row>
    <row r="208" customFormat="false" ht="14.25" hidden="false" customHeight="false" outlineLevel="0" collapsed="false">
      <c r="A208" s="3" t="n">
        <v>32</v>
      </c>
      <c r="B208" s="51" t="s">
        <v>487</v>
      </c>
      <c r="C208" s="51" t="s">
        <v>488</v>
      </c>
      <c r="D208" s="6" t="n">
        <v>213711</v>
      </c>
      <c r="E208" s="51" t="s">
        <v>499</v>
      </c>
      <c r="F208" s="47" t="n">
        <v>20</v>
      </c>
      <c r="G208" s="49" t="n">
        <v>213074</v>
      </c>
      <c r="H208" s="3" t="s">
        <v>522</v>
      </c>
      <c r="I208" s="3" t="n">
        <v>1</v>
      </c>
      <c r="J208" s="53" t="n">
        <v>45112</v>
      </c>
      <c r="K208" s="3" t="s">
        <v>523</v>
      </c>
      <c r="L208" s="54" t="n">
        <v>45112.3055671296</v>
      </c>
      <c r="M208" s="3" t="n">
        <v>16</v>
      </c>
    </row>
    <row r="209" customFormat="false" ht="14.25" hidden="false" customHeight="false" outlineLevel="0" collapsed="false">
      <c r="A209" s="3" t="n">
        <v>33</v>
      </c>
      <c r="B209" s="51" t="s">
        <v>487</v>
      </c>
      <c r="C209" s="51" t="s">
        <v>488</v>
      </c>
      <c r="D209" s="6" t="n">
        <v>213711</v>
      </c>
      <c r="E209" s="51" t="s">
        <v>499</v>
      </c>
      <c r="F209" s="47" t="n">
        <v>20</v>
      </c>
      <c r="G209" s="49" t="n">
        <v>213074</v>
      </c>
      <c r="H209" s="3" t="s">
        <v>524</v>
      </c>
      <c r="I209" s="3" t="n">
        <v>1</v>
      </c>
      <c r="J209" s="53" t="n">
        <v>45112</v>
      </c>
      <c r="K209" s="3" t="s">
        <v>525</v>
      </c>
      <c r="L209" s="54" t="n">
        <v>45112.3080208333</v>
      </c>
      <c r="M209" s="3" t="n">
        <v>17</v>
      </c>
    </row>
    <row r="210" customFormat="false" ht="14.25" hidden="false" customHeight="false" outlineLevel="0" collapsed="false">
      <c r="A210" s="3" t="n">
        <v>34</v>
      </c>
      <c r="B210" s="51" t="s">
        <v>487</v>
      </c>
      <c r="C210" s="51" t="s">
        <v>488</v>
      </c>
      <c r="D210" s="6" t="n">
        <v>213711</v>
      </c>
      <c r="E210" s="51" t="s">
        <v>499</v>
      </c>
      <c r="F210" s="47" t="n">
        <v>20</v>
      </c>
      <c r="G210" s="49" t="n">
        <v>213074</v>
      </c>
      <c r="H210" s="3" t="s">
        <v>526</v>
      </c>
      <c r="I210" s="3" t="n">
        <v>0</v>
      </c>
      <c r="J210" s="53" t="n">
        <v>45112</v>
      </c>
      <c r="K210" s="3" t="s">
        <v>527</v>
      </c>
      <c r="L210" s="54" t="n">
        <v>45112.3082407407</v>
      </c>
      <c r="M210" s="3" t="n">
        <v>18</v>
      </c>
    </row>
    <row r="211" customFormat="false" ht="14.25" hidden="false" customHeight="false" outlineLevel="0" collapsed="false">
      <c r="A211" s="3" t="n">
        <v>35</v>
      </c>
      <c r="B211" s="51" t="s">
        <v>487</v>
      </c>
      <c r="C211" s="51" t="s">
        <v>488</v>
      </c>
      <c r="D211" s="6" t="n">
        <v>213711</v>
      </c>
      <c r="E211" s="51" t="s">
        <v>499</v>
      </c>
      <c r="F211" s="47" t="n">
        <v>20</v>
      </c>
      <c r="G211" s="49" t="n">
        <v>213074</v>
      </c>
      <c r="H211" s="3" t="s">
        <v>528</v>
      </c>
      <c r="I211" s="3" t="n">
        <v>0</v>
      </c>
      <c r="J211" s="53" t="n">
        <v>45112</v>
      </c>
      <c r="K211" s="3" t="s">
        <v>529</v>
      </c>
      <c r="L211" s="54" t="n">
        <v>45112.3151273148</v>
      </c>
      <c r="M211" s="3" t="n">
        <v>19</v>
      </c>
    </row>
    <row r="212" customFormat="false" ht="14.25" hidden="false" customHeight="false" outlineLevel="0" collapsed="false">
      <c r="A212" s="3" t="n">
        <v>36</v>
      </c>
      <c r="B212" s="51" t="s">
        <v>487</v>
      </c>
      <c r="C212" s="51" t="s">
        <v>488</v>
      </c>
      <c r="D212" s="6" t="n">
        <v>213711</v>
      </c>
      <c r="E212" s="51" t="s">
        <v>499</v>
      </c>
      <c r="F212" s="47" t="n">
        <v>20</v>
      </c>
      <c r="G212" s="49" t="n">
        <v>213074</v>
      </c>
      <c r="H212" s="3" t="s">
        <v>530</v>
      </c>
      <c r="I212" s="3" t="n">
        <v>3</v>
      </c>
      <c r="J212" s="53" t="n">
        <v>45112</v>
      </c>
      <c r="K212" s="3" t="s">
        <v>531</v>
      </c>
      <c r="L212" s="54" t="n">
        <v>45112.3153819444</v>
      </c>
      <c r="M212" s="3" t="n">
        <v>20</v>
      </c>
    </row>
    <row r="213" customFormat="false" ht="14.25" hidden="false" customHeight="false" outlineLevel="0" collapsed="false">
      <c r="A213" s="3" t="n">
        <v>37</v>
      </c>
      <c r="B213" s="51" t="s">
        <v>487</v>
      </c>
      <c r="C213" s="51" t="s">
        <v>488</v>
      </c>
      <c r="D213" s="6" t="n">
        <v>213711</v>
      </c>
      <c r="E213" s="51" t="s">
        <v>499</v>
      </c>
      <c r="F213" s="47" t="n">
        <v>20</v>
      </c>
      <c r="G213" s="49" t="n">
        <v>213074</v>
      </c>
      <c r="H213" s="3" t="s">
        <v>532</v>
      </c>
      <c r="I213" s="3" t="n">
        <v>1</v>
      </c>
      <c r="J213" s="53" t="n">
        <v>45112</v>
      </c>
      <c r="K213" s="3" t="s">
        <v>533</v>
      </c>
      <c r="L213" s="54" t="n">
        <v>45112.3155787037</v>
      </c>
      <c r="M213" s="3" t="n">
        <v>21</v>
      </c>
    </row>
    <row r="214" customFormat="false" ht="14.25" hidden="false" customHeight="false" outlineLevel="0" collapsed="false">
      <c r="A214" s="3" t="n">
        <v>38</v>
      </c>
      <c r="B214" s="51" t="s">
        <v>487</v>
      </c>
      <c r="C214" s="51" t="s">
        <v>488</v>
      </c>
      <c r="D214" s="6" t="n">
        <v>213711</v>
      </c>
      <c r="E214" s="51" t="s">
        <v>499</v>
      </c>
      <c r="F214" s="47" t="n">
        <v>20</v>
      </c>
      <c r="G214" s="49" t="n">
        <v>213074</v>
      </c>
      <c r="H214" s="3" t="s">
        <v>534</v>
      </c>
      <c r="I214" s="3" t="n">
        <v>1</v>
      </c>
      <c r="J214" s="53" t="n">
        <v>45112</v>
      </c>
      <c r="K214" s="3" t="s">
        <v>535</v>
      </c>
      <c r="L214" s="54" t="n">
        <v>45112.3156597222</v>
      </c>
      <c r="M214" s="3" t="n">
        <v>22</v>
      </c>
    </row>
    <row r="215" customFormat="false" ht="14.25" hidden="false" customHeight="false" outlineLevel="0" collapsed="false">
      <c r="A215" s="3" t="n">
        <v>39</v>
      </c>
      <c r="B215" s="51" t="s">
        <v>487</v>
      </c>
      <c r="C215" s="51" t="s">
        <v>488</v>
      </c>
      <c r="D215" s="6" t="n">
        <v>213711</v>
      </c>
      <c r="E215" s="51" t="s">
        <v>499</v>
      </c>
      <c r="F215" s="47" t="n">
        <v>20</v>
      </c>
      <c r="G215" s="49" t="n">
        <v>213074</v>
      </c>
      <c r="H215" s="3" t="s">
        <v>536</v>
      </c>
      <c r="I215" s="3" t="n">
        <v>2</v>
      </c>
      <c r="J215" s="53" t="n">
        <v>45112</v>
      </c>
      <c r="K215" s="3" t="s">
        <v>537</v>
      </c>
      <c r="L215" s="54" t="n">
        <v>45112.621087963</v>
      </c>
      <c r="M215" s="3" t="n">
        <v>23</v>
      </c>
    </row>
    <row r="216" customFormat="false" ht="14.25" hidden="false" customHeight="false" outlineLevel="0" collapsed="false">
      <c r="A216" s="3" t="n">
        <v>40</v>
      </c>
      <c r="B216" s="51" t="s">
        <v>487</v>
      </c>
      <c r="C216" s="51" t="s">
        <v>488</v>
      </c>
      <c r="D216" s="6" t="n">
        <v>213711</v>
      </c>
      <c r="E216" s="51" t="s">
        <v>499</v>
      </c>
      <c r="F216" s="47" t="n">
        <v>20</v>
      </c>
      <c r="G216" s="49" t="n">
        <v>213074</v>
      </c>
      <c r="H216" s="3" t="s">
        <v>538</v>
      </c>
      <c r="I216" s="3" t="n">
        <v>1</v>
      </c>
      <c r="J216" s="53" t="n">
        <v>45112</v>
      </c>
      <c r="K216" s="3" t="s">
        <v>539</v>
      </c>
      <c r="L216" s="54" t="n">
        <v>45112.6214351852</v>
      </c>
      <c r="M216" s="3" t="n">
        <v>24</v>
      </c>
    </row>
    <row r="217" customFormat="false" ht="14.25" hidden="false" customHeight="false" outlineLevel="0" collapsed="false">
      <c r="A217" s="3" t="n">
        <v>41</v>
      </c>
      <c r="B217" s="51" t="s">
        <v>487</v>
      </c>
      <c r="C217" s="51" t="s">
        <v>488</v>
      </c>
      <c r="D217" s="6" t="n">
        <v>213711</v>
      </c>
      <c r="E217" s="51" t="s">
        <v>499</v>
      </c>
      <c r="F217" s="47" t="n">
        <v>20</v>
      </c>
      <c r="G217" s="49" t="n">
        <v>213074</v>
      </c>
      <c r="H217" s="3" t="s">
        <v>540</v>
      </c>
      <c r="I217" s="3" t="n">
        <v>3</v>
      </c>
      <c r="J217" s="53" t="n">
        <v>45112</v>
      </c>
      <c r="K217" s="3" t="s">
        <v>541</v>
      </c>
      <c r="L217" s="54" t="n">
        <v>45112.6230092593</v>
      </c>
      <c r="M217" s="3" t="n">
        <v>25</v>
      </c>
    </row>
    <row r="218" customFormat="false" ht="14.25" hidden="false" customHeight="false" outlineLevel="0" collapsed="false">
      <c r="A218" s="3" t="n">
        <v>42</v>
      </c>
      <c r="B218" s="51" t="s">
        <v>487</v>
      </c>
      <c r="C218" s="51" t="s">
        <v>488</v>
      </c>
      <c r="D218" s="6" t="n">
        <v>213711</v>
      </c>
      <c r="E218" s="51" t="s">
        <v>499</v>
      </c>
      <c r="F218" s="47" t="n">
        <v>20</v>
      </c>
      <c r="G218" s="49" t="n">
        <v>213074</v>
      </c>
      <c r="H218" s="3" t="s">
        <v>542</v>
      </c>
      <c r="I218" s="3" t="n">
        <v>0</v>
      </c>
      <c r="J218" s="53" t="n">
        <v>45112</v>
      </c>
      <c r="K218" s="3" t="s">
        <v>543</v>
      </c>
      <c r="L218" s="54" t="n">
        <v>45112.6236111111</v>
      </c>
      <c r="M218" s="3" t="n">
        <v>26</v>
      </c>
    </row>
    <row r="219" customFormat="false" ht="14.25" hidden="false" customHeight="false" outlineLevel="0" collapsed="false">
      <c r="A219" s="3" t="n">
        <v>43</v>
      </c>
      <c r="B219" s="51" t="s">
        <v>487</v>
      </c>
      <c r="C219" s="51" t="s">
        <v>488</v>
      </c>
      <c r="D219" s="6" t="n">
        <v>213711</v>
      </c>
      <c r="E219" s="51" t="s">
        <v>499</v>
      </c>
      <c r="F219" s="47" t="n">
        <v>20</v>
      </c>
      <c r="G219" s="49" t="n">
        <v>213074</v>
      </c>
      <c r="H219" s="3" t="s">
        <v>544</v>
      </c>
      <c r="I219" s="3" t="n">
        <v>3</v>
      </c>
      <c r="J219" s="53" t="n">
        <v>45112</v>
      </c>
      <c r="K219" s="3" t="s">
        <v>545</v>
      </c>
      <c r="L219" s="54" t="n">
        <v>45112.6238310185</v>
      </c>
      <c r="M219" s="3" t="n">
        <v>27</v>
      </c>
    </row>
    <row r="220" customFormat="false" ht="14.25" hidden="false" customHeight="false" outlineLevel="0" collapsed="false">
      <c r="A220" s="3" t="n">
        <v>44</v>
      </c>
      <c r="B220" s="51" t="s">
        <v>487</v>
      </c>
      <c r="C220" s="51" t="s">
        <v>488</v>
      </c>
      <c r="D220" s="6" t="n">
        <v>213711</v>
      </c>
      <c r="E220" s="51" t="s">
        <v>499</v>
      </c>
      <c r="F220" s="47" t="n">
        <v>20</v>
      </c>
      <c r="G220" s="49" t="n">
        <v>213074</v>
      </c>
      <c r="H220" s="3" t="s">
        <v>546</v>
      </c>
      <c r="I220" s="3" t="n">
        <v>1</v>
      </c>
      <c r="J220" s="53" t="n">
        <v>45112</v>
      </c>
      <c r="K220" s="3" t="s">
        <v>547</v>
      </c>
      <c r="L220" s="54" t="n">
        <v>45112.6243865741</v>
      </c>
      <c r="M220" s="3" t="n">
        <v>28</v>
      </c>
    </row>
    <row r="221" customFormat="false" ht="14.25" hidden="false" customHeight="false" outlineLevel="0" collapsed="false">
      <c r="A221" s="3" t="n">
        <v>45</v>
      </c>
      <c r="B221" s="51" t="s">
        <v>487</v>
      </c>
      <c r="C221" s="51" t="s">
        <v>488</v>
      </c>
      <c r="D221" s="6" t="n">
        <v>213711</v>
      </c>
      <c r="E221" s="51" t="s">
        <v>499</v>
      </c>
      <c r="F221" s="47" t="n">
        <v>20</v>
      </c>
      <c r="G221" s="49" t="n">
        <v>213074</v>
      </c>
      <c r="H221" s="3" t="s">
        <v>548</v>
      </c>
      <c r="I221" s="3" t="n">
        <v>1</v>
      </c>
      <c r="J221" s="53" t="n">
        <v>45112</v>
      </c>
      <c r="K221" s="3" t="s">
        <v>549</v>
      </c>
      <c r="L221" s="54" t="n">
        <v>45112.6244907407</v>
      </c>
      <c r="M221" s="3" t="n">
        <v>29</v>
      </c>
    </row>
    <row r="222" customFormat="false" ht="14.25" hidden="false" customHeight="false" outlineLevel="0" collapsed="false">
      <c r="A222" s="3" t="n">
        <v>46</v>
      </c>
      <c r="B222" s="51" t="s">
        <v>487</v>
      </c>
      <c r="C222" s="51" t="s">
        <v>488</v>
      </c>
      <c r="D222" s="6" t="n">
        <v>213711</v>
      </c>
      <c r="E222" s="51" t="s">
        <v>499</v>
      </c>
      <c r="F222" s="47" t="n">
        <v>20</v>
      </c>
      <c r="G222" s="49" t="n">
        <v>213074</v>
      </c>
      <c r="H222" s="3" t="s">
        <v>550</v>
      </c>
      <c r="I222" s="3" t="n">
        <v>1</v>
      </c>
      <c r="J222" s="53" t="n">
        <v>45112</v>
      </c>
      <c r="K222" s="3" t="s">
        <v>551</v>
      </c>
      <c r="L222" s="54" t="n">
        <v>45112.6317824074</v>
      </c>
      <c r="M222" s="3" t="n">
        <v>30</v>
      </c>
    </row>
    <row r="223" customFormat="false" ht="14.25" hidden="false" customHeight="false" outlineLevel="0" collapsed="false">
      <c r="A223" s="3" t="n">
        <v>47</v>
      </c>
      <c r="B223" s="51" t="s">
        <v>487</v>
      </c>
      <c r="C223" s="51" t="s">
        <v>488</v>
      </c>
      <c r="D223" s="6" t="n">
        <v>213711</v>
      </c>
      <c r="E223" s="51" t="s">
        <v>499</v>
      </c>
      <c r="F223" s="47" t="n">
        <v>20</v>
      </c>
      <c r="G223" s="49" t="n">
        <v>213074</v>
      </c>
      <c r="H223" s="3" t="s">
        <v>552</v>
      </c>
      <c r="I223" s="3" t="n">
        <v>2</v>
      </c>
      <c r="J223" s="53" t="n">
        <v>45112</v>
      </c>
      <c r="K223" s="3" t="s">
        <v>553</v>
      </c>
      <c r="L223" s="54" t="n">
        <v>45112.6327546296</v>
      </c>
      <c r="M223" s="3" t="n">
        <v>31</v>
      </c>
    </row>
    <row r="224" customFormat="false" ht="14.25" hidden="false" customHeight="false" outlineLevel="0" collapsed="false">
      <c r="A224" s="3" t="n">
        <v>48</v>
      </c>
      <c r="B224" s="51" t="s">
        <v>487</v>
      </c>
      <c r="C224" s="51" t="s">
        <v>488</v>
      </c>
      <c r="D224" s="6" t="n">
        <v>213711</v>
      </c>
      <c r="E224" s="51" t="s">
        <v>499</v>
      </c>
      <c r="F224" s="47" t="n">
        <v>20</v>
      </c>
      <c r="G224" s="49" t="n">
        <v>213074</v>
      </c>
      <c r="H224" s="3" t="s">
        <v>554</v>
      </c>
      <c r="I224" s="3" t="n">
        <v>1</v>
      </c>
      <c r="J224" s="53" t="n">
        <v>45112</v>
      </c>
      <c r="K224" s="3" t="s">
        <v>555</v>
      </c>
      <c r="L224" s="54" t="n">
        <v>45112.6328240741</v>
      </c>
      <c r="M224" s="3" t="n">
        <v>32</v>
      </c>
    </row>
    <row r="225" customFormat="false" ht="14.25" hidden="false" customHeight="false" outlineLevel="0" collapsed="false">
      <c r="A225" s="3" t="n">
        <v>49</v>
      </c>
      <c r="B225" s="51" t="s">
        <v>487</v>
      </c>
      <c r="C225" s="51" t="s">
        <v>488</v>
      </c>
      <c r="D225" s="6" t="n">
        <v>213711</v>
      </c>
      <c r="E225" s="51" t="s">
        <v>499</v>
      </c>
      <c r="F225" s="47" t="n">
        <v>20</v>
      </c>
      <c r="G225" s="49" t="n">
        <v>213074</v>
      </c>
      <c r="H225" s="3" t="s">
        <v>556</v>
      </c>
      <c r="I225" s="3" t="n">
        <v>0</v>
      </c>
      <c r="J225" s="53" t="n">
        <v>45112</v>
      </c>
      <c r="K225" s="3" t="s">
        <v>557</v>
      </c>
      <c r="L225" s="54" t="n">
        <v>45112.6329166667</v>
      </c>
      <c r="M225" s="3" t="n">
        <v>33</v>
      </c>
    </row>
    <row r="226" customFormat="false" ht="14.25" hidden="false" customHeight="false" outlineLevel="0" collapsed="false">
      <c r="A226" s="3" t="n">
        <v>50</v>
      </c>
      <c r="B226" s="51" t="s">
        <v>487</v>
      </c>
      <c r="C226" s="51" t="s">
        <v>488</v>
      </c>
      <c r="D226" s="6" t="n">
        <v>213711</v>
      </c>
      <c r="E226" s="51" t="s">
        <v>499</v>
      </c>
      <c r="F226" s="47" t="n">
        <v>20</v>
      </c>
      <c r="G226" s="49" t="n">
        <v>213074</v>
      </c>
      <c r="H226" s="3" t="s">
        <v>558</v>
      </c>
      <c r="I226" s="3" t="n">
        <v>1</v>
      </c>
      <c r="J226" s="53" t="n">
        <v>45112</v>
      </c>
      <c r="K226" s="3" t="s">
        <v>559</v>
      </c>
      <c r="L226" s="54" t="n">
        <v>45112.6335763889</v>
      </c>
      <c r="M226" s="3" t="n">
        <v>34</v>
      </c>
    </row>
    <row r="227" customFormat="false" ht="14.25" hidden="false" customHeight="false" outlineLevel="0" collapsed="false">
      <c r="A227" s="3" t="n">
        <v>51</v>
      </c>
      <c r="B227" s="51" t="s">
        <v>487</v>
      </c>
      <c r="C227" s="51" t="s">
        <v>488</v>
      </c>
      <c r="D227" s="6" t="n">
        <v>213711</v>
      </c>
      <c r="E227" s="51" t="s">
        <v>499</v>
      </c>
      <c r="F227" s="47" t="n">
        <v>20</v>
      </c>
      <c r="G227" s="49" t="n">
        <v>213074</v>
      </c>
      <c r="H227" s="3" t="s">
        <v>560</v>
      </c>
      <c r="I227" s="3" t="n">
        <v>1</v>
      </c>
      <c r="J227" s="53" t="n">
        <v>45112</v>
      </c>
      <c r="K227" s="3" t="s">
        <v>561</v>
      </c>
      <c r="L227" s="54" t="n">
        <v>45112.6336342593</v>
      </c>
      <c r="M227" s="3" t="n">
        <v>35</v>
      </c>
    </row>
    <row r="228" customFormat="false" ht="14.25" hidden="false" customHeight="false" outlineLevel="0" collapsed="false">
      <c r="A228" s="3" t="n">
        <v>52</v>
      </c>
      <c r="B228" s="51" t="s">
        <v>487</v>
      </c>
      <c r="C228" s="51" t="s">
        <v>488</v>
      </c>
      <c r="D228" s="6" t="n">
        <v>213711</v>
      </c>
      <c r="E228" s="51" t="s">
        <v>499</v>
      </c>
      <c r="F228" s="47" t="n">
        <v>20</v>
      </c>
      <c r="G228" s="49" t="n">
        <v>213074</v>
      </c>
      <c r="H228" s="3" t="s">
        <v>562</v>
      </c>
      <c r="I228" s="3" t="n">
        <v>2</v>
      </c>
      <c r="J228" s="53" t="n">
        <v>45112</v>
      </c>
      <c r="K228" s="3" t="s">
        <v>563</v>
      </c>
      <c r="L228" s="54" t="n">
        <v>45112.6337268519</v>
      </c>
      <c r="M228" s="3" t="n">
        <v>36</v>
      </c>
    </row>
    <row r="229" customFormat="false" ht="14.25" hidden="false" customHeight="false" outlineLevel="0" collapsed="false">
      <c r="A229" s="3" t="n">
        <v>53</v>
      </c>
      <c r="B229" s="51" t="s">
        <v>487</v>
      </c>
      <c r="C229" s="51" t="s">
        <v>488</v>
      </c>
      <c r="D229" s="6" t="n">
        <v>213711</v>
      </c>
      <c r="E229" s="51" t="s">
        <v>499</v>
      </c>
      <c r="F229" s="47" t="n">
        <v>20</v>
      </c>
      <c r="G229" s="49" t="n">
        <v>213074</v>
      </c>
      <c r="H229" s="3" t="s">
        <v>564</v>
      </c>
      <c r="I229" s="3" t="n">
        <v>2</v>
      </c>
      <c r="J229" s="53" t="n">
        <v>45112</v>
      </c>
      <c r="K229" s="3" t="s">
        <v>565</v>
      </c>
      <c r="L229" s="54" t="n">
        <v>45112.6339930556</v>
      </c>
      <c r="M229" s="3" t="n">
        <v>37</v>
      </c>
    </row>
    <row r="230" customFormat="false" ht="14.25" hidden="false" customHeight="false" outlineLevel="0" collapsed="false">
      <c r="A230" s="3" t="n">
        <v>54</v>
      </c>
      <c r="B230" s="51" t="s">
        <v>487</v>
      </c>
      <c r="C230" s="51" t="s">
        <v>488</v>
      </c>
      <c r="D230" s="6" t="n">
        <v>213711</v>
      </c>
      <c r="E230" s="51" t="s">
        <v>499</v>
      </c>
      <c r="F230" s="47" t="n">
        <v>20</v>
      </c>
      <c r="G230" s="49" t="n">
        <v>213074</v>
      </c>
      <c r="H230" s="3" t="s">
        <v>566</v>
      </c>
      <c r="I230" s="3" t="n">
        <v>2</v>
      </c>
      <c r="J230" s="53" t="n">
        <v>45112</v>
      </c>
      <c r="K230" s="3" t="s">
        <v>567</v>
      </c>
      <c r="L230" s="54" t="n">
        <v>45112.6345138889</v>
      </c>
      <c r="M230" s="3" t="n">
        <v>38</v>
      </c>
    </row>
    <row r="231" customFormat="false" ht="14.25" hidden="false" customHeight="false" outlineLevel="0" collapsed="false">
      <c r="A231" s="3" t="n">
        <v>55</v>
      </c>
      <c r="B231" s="51" t="s">
        <v>487</v>
      </c>
      <c r="C231" s="51" t="s">
        <v>488</v>
      </c>
      <c r="D231" s="6" t="n">
        <v>213711</v>
      </c>
      <c r="E231" s="51" t="s">
        <v>499</v>
      </c>
      <c r="F231" s="47" t="n">
        <v>20</v>
      </c>
      <c r="G231" s="49" t="n">
        <v>213074</v>
      </c>
      <c r="H231" s="3" t="s">
        <v>568</v>
      </c>
      <c r="I231" s="3" t="n">
        <v>2</v>
      </c>
      <c r="J231" s="53" t="n">
        <v>45112</v>
      </c>
      <c r="K231" s="3" t="s">
        <v>569</v>
      </c>
      <c r="L231" s="54" t="n">
        <v>45112.6349652778</v>
      </c>
      <c r="M231" s="3" t="n">
        <v>39</v>
      </c>
    </row>
    <row r="232" customFormat="false" ht="14.25" hidden="false" customHeight="false" outlineLevel="0" collapsed="false">
      <c r="A232" s="3" t="n">
        <v>56</v>
      </c>
      <c r="B232" s="51" t="s">
        <v>487</v>
      </c>
      <c r="C232" s="51" t="s">
        <v>488</v>
      </c>
      <c r="D232" s="6" t="n">
        <v>213711</v>
      </c>
      <c r="E232" s="51" t="s">
        <v>499</v>
      </c>
      <c r="F232" s="47" t="n">
        <v>20</v>
      </c>
      <c r="G232" s="49" t="n">
        <v>213074</v>
      </c>
      <c r="H232" s="3" t="s">
        <v>570</v>
      </c>
      <c r="I232" s="3" t="n">
        <v>1</v>
      </c>
      <c r="J232" s="53" t="n">
        <v>45112</v>
      </c>
      <c r="K232" s="3" t="s">
        <v>571</v>
      </c>
      <c r="L232" s="54" t="n">
        <v>45112.6353125</v>
      </c>
      <c r="M232" s="3" t="n">
        <v>40</v>
      </c>
    </row>
    <row r="233" customFormat="false" ht="14.25" hidden="false" customHeight="false" outlineLevel="0" collapsed="false">
      <c r="A233" s="3" t="n">
        <v>57</v>
      </c>
      <c r="B233" s="51" t="s">
        <v>487</v>
      </c>
      <c r="C233" s="51" t="s">
        <v>488</v>
      </c>
      <c r="D233" s="6" t="n">
        <v>213711</v>
      </c>
      <c r="E233" s="51" t="s">
        <v>499</v>
      </c>
      <c r="F233" s="47" t="n">
        <v>20</v>
      </c>
      <c r="G233" s="49" t="n">
        <v>213074</v>
      </c>
      <c r="H233" s="3" t="s">
        <v>572</v>
      </c>
      <c r="I233" s="3" t="n">
        <v>1</v>
      </c>
      <c r="J233" s="53" t="n">
        <v>45112</v>
      </c>
      <c r="K233" s="3" t="s">
        <v>573</v>
      </c>
      <c r="L233" s="54" t="n">
        <v>45112.6356828704</v>
      </c>
      <c r="M233" s="3" t="n">
        <v>41</v>
      </c>
    </row>
    <row r="234" customFormat="false" ht="14.25" hidden="false" customHeight="false" outlineLevel="0" collapsed="false">
      <c r="A234" s="3" t="n">
        <v>58</v>
      </c>
      <c r="B234" s="51" t="s">
        <v>487</v>
      </c>
      <c r="C234" s="51" t="s">
        <v>488</v>
      </c>
      <c r="D234" s="6" t="n">
        <v>213711</v>
      </c>
      <c r="E234" s="51" t="s">
        <v>450</v>
      </c>
      <c r="F234" s="47" t="n">
        <v>29</v>
      </c>
      <c r="G234" s="49" t="n">
        <v>213348</v>
      </c>
      <c r="H234" s="3" t="s">
        <v>574</v>
      </c>
      <c r="I234" s="3" t="n">
        <v>0</v>
      </c>
      <c r="J234" s="53" t="n">
        <v>45112</v>
      </c>
      <c r="K234" s="3" t="s">
        <v>575</v>
      </c>
      <c r="L234" s="54" t="n">
        <v>45112.6370717593</v>
      </c>
      <c r="M234" s="3" t="n">
        <v>42</v>
      </c>
    </row>
    <row r="235" customFormat="false" ht="14.25" hidden="false" customHeight="false" outlineLevel="0" collapsed="false">
      <c r="A235" s="3" t="n">
        <v>59</v>
      </c>
      <c r="B235" s="51" t="s">
        <v>487</v>
      </c>
      <c r="C235" s="51" t="s">
        <v>488</v>
      </c>
      <c r="D235" s="6" t="n">
        <v>213711</v>
      </c>
      <c r="E235" s="51" t="s">
        <v>450</v>
      </c>
      <c r="F235" s="47" t="n">
        <v>29</v>
      </c>
      <c r="G235" s="49" t="n">
        <v>213348</v>
      </c>
      <c r="H235" s="3" t="s">
        <v>576</v>
      </c>
      <c r="I235" s="3" t="n">
        <v>1</v>
      </c>
      <c r="J235" s="53" t="n">
        <v>45112</v>
      </c>
      <c r="K235" s="3" t="s">
        <v>577</v>
      </c>
      <c r="L235" s="54" t="n">
        <v>45112.6377314815</v>
      </c>
      <c r="M235" s="3" t="n">
        <v>43</v>
      </c>
    </row>
    <row r="236" customFormat="false" ht="14.25" hidden="false" customHeight="false" outlineLevel="0" collapsed="false">
      <c r="A236" s="3" t="n">
        <v>60</v>
      </c>
      <c r="B236" s="51" t="s">
        <v>487</v>
      </c>
      <c r="C236" s="51" t="s">
        <v>488</v>
      </c>
      <c r="D236" s="6" t="n">
        <v>213711</v>
      </c>
      <c r="E236" s="51" t="s">
        <v>450</v>
      </c>
      <c r="F236" s="47" t="n">
        <v>29</v>
      </c>
      <c r="G236" s="49" t="n">
        <v>213348</v>
      </c>
      <c r="H236" s="3" t="s">
        <v>578</v>
      </c>
      <c r="I236" s="3" t="n">
        <v>2</v>
      </c>
      <c r="J236" s="53" t="n">
        <v>45112</v>
      </c>
      <c r="K236" s="3" t="s">
        <v>579</v>
      </c>
      <c r="L236" s="54" t="n">
        <v>45112.6377777778</v>
      </c>
      <c r="M236" s="3" t="n">
        <v>44</v>
      </c>
    </row>
    <row r="237" customFormat="false" ht="14.25" hidden="false" customHeight="false" outlineLevel="0" collapsed="false">
      <c r="A237" s="3" t="n">
        <v>61</v>
      </c>
      <c r="B237" s="51" t="s">
        <v>487</v>
      </c>
      <c r="C237" s="51" t="s">
        <v>488</v>
      </c>
      <c r="D237" s="6" t="n">
        <v>213711</v>
      </c>
      <c r="E237" s="51" t="s">
        <v>450</v>
      </c>
      <c r="F237" s="47" t="n">
        <v>29</v>
      </c>
      <c r="G237" s="49" t="n">
        <v>213348</v>
      </c>
      <c r="H237" s="3" t="s">
        <v>580</v>
      </c>
      <c r="I237" s="3" t="n">
        <v>2</v>
      </c>
      <c r="J237" s="53" t="n">
        <v>45112</v>
      </c>
      <c r="K237" s="3" t="s">
        <v>581</v>
      </c>
      <c r="L237" s="54" t="n">
        <v>45112.6381828704</v>
      </c>
      <c r="M237" s="3" t="n">
        <v>45</v>
      </c>
    </row>
    <row r="238" customFormat="false" ht="14.25" hidden="false" customHeight="false" outlineLevel="0" collapsed="false">
      <c r="A238" s="3" t="n">
        <v>62</v>
      </c>
      <c r="B238" s="51" t="s">
        <v>487</v>
      </c>
      <c r="C238" s="51" t="s">
        <v>488</v>
      </c>
      <c r="D238" s="6" t="n">
        <v>213711</v>
      </c>
      <c r="E238" s="51" t="s">
        <v>450</v>
      </c>
      <c r="F238" s="47" t="n">
        <v>29</v>
      </c>
      <c r="G238" s="49" t="n">
        <v>213348</v>
      </c>
      <c r="H238" s="3" t="s">
        <v>582</v>
      </c>
      <c r="I238" s="3" t="n">
        <v>2</v>
      </c>
      <c r="J238" s="53" t="n">
        <v>45112</v>
      </c>
      <c r="K238" s="3" t="s">
        <v>583</v>
      </c>
      <c r="L238" s="54" t="n">
        <v>45112.6404976852</v>
      </c>
      <c r="M238" s="3" t="n">
        <v>46</v>
      </c>
    </row>
    <row r="239" customFormat="false" ht="14.25" hidden="false" customHeight="false" outlineLevel="0" collapsed="false">
      <c r="A239" s="3" t="n">
        <v>63</v>
      </c>
      <c r="B239" s="51" t="s">
        <v>487</v>
      </c>
      <c r="C239" s="51" t="s">
        <v>488</v>
      </c>
      <c r="D239" s="6" t="n">
        <v>213711</v>
      </c>
      <c r="E239" s="51" t="s">
        <v>450</v>
      </c>
      <c r="F239" s="47" t="n">
        <v>29</v>
      </c>
      <c r="G239" s="49" t="n">
        <v>213348</v>
      </c>
      <c r="H239" s="3" t="s">
        <v>584</v>
      </c>
      <c r="I239" s="3" t="n">
        <v>1</v>
      </c>
      <c r="J239" s="53" t="n">
        <v>45112</v>
      </c>
      <c r="K239" s="3" t="s">
        <v>585</v>
      </c>
      <c r="L239" s="54" t="n">
        <v>45112.6406134259</v>
      </c>
      <c r="M239" s="3" t="n">
        <v>47</v>
      </c>
    </row>
    <row r="240" customFormat="false" ht="14.25" hidden="false" customHeight="false" outlineLevel="0" collapsed="false">
      <c r="A240" s="3" t="n">
        <v>64</v>
      </c>
      <c r="B240" s="51" t="s">
        <v>487</v>
      </c>
      <c r="C240" s="51" t="s">
        <v>488</v>
      </c>
      <c r="D240" s="6" t="n">
        <v>213711</v>
      </c>
      <c r="E240" s="51" t="s">
        <v>450</v>
      </c>
      <c r="F240" s="47" t="n">
        <v>29</v>
      </c>
      <c r="G240" s="49" t="n">
        <v>213348</v>
      </c>
      <c r="H240" s="3" t="s">
        <v>586</v>
      </c>
      <c r="I240" s="3" t="n">
        <v>1</v>
      </c>
      <c r="J240" s="53" t="n">
        <v>45112</v>
      </c>
      <c r="K240" s="3" t="s">
        <v>587</v>
      </c>
      <c r="L240" s="54" t="n">
        <v>45112.6630324074</v>
      </c>
      <c r="M240" s="3" t="n">
        <v>48</v>
      </c>
    </row>
    <row r="241" customFormat="false" ht="14.25" hidden="false" customHeight="false" outlineLevel="0" collapsed="false">
      <c r="A241" s="3" t="n">
        <v>65</v>
      </c>
      <c r="B241" s="51" t="s">
        <v>487</v>
      </c>
      <c r="C241" s="51" t="s">
        <v>488</v>
      </c>
      <c r="D241" s="6" t="n">
        <v>213711</v>
      </c>
      <c r="E241" s="51" t="s">
        <v>450</v>
      </c>
      <c r="F241" s="47" t="n">
        <v>29</v>
      </c>
      <c r="G241" s="49" t="n">
        <v>213348</v>
      </c>
      <c r="H241" s="3" t="s">
        <v>588</v>
      </c>
      <c r="I241" s="3" t="n">
        <v>3</v>
      </c>
      <c r="J241" s="53" t="n">
        <v>45112</v>
      </c>
      <c r="K241" s="3" t="s">
        <v>589</v>
      </c>
      <c r="L241" s="54" t="n">
        <v>45112.6631018519</v>
      </c>
      <c r="M241" s="3" t="n">
        <v>49</v>
      </c>
    </row>
    <row r="242" customFormat="false" ht="14.25" hidden="false" customHeight="false" outlineLevel="0" collapsed="false">
      <c r="A242" s="3" t="n">
        <v>66</v>
      </c>
      <c r="B242" s="51" t="s">
        <v>487</v>
      </c>
      <c r="C242" s="51" t="s">
        <v>488</v>
      </c>
      <c r="D242" s="6" t="n">
        <v>213711</v>
      </c>
      <c r="E242" s="51" t="s">
        <v>450</v>
      </c>
      <c r="F242" s="47" t="n">
        <v>29</v>
      </c>
      <c r="G242" s="49" t="n">
        <v>213348</v>
      </c>
      <c r="H242" s="3" t="s">
        <v>590</v>
      </c>
      <c r="I242" s="3" t="n">
        <v>1</v>
      </c>
      <c r="J242" s="53" t="n">
        <v>45112</v>
      </c>
      <c r="K242" s="3" t="s">
        <v>591</v>
      </c>
      <c r="L242" s="54" t="n">
        <v>45112.6632638889</v>
      </c>
      <c r="M242" s="3" t="n">
        <v>50</v>
      </c>
    </row>
    <row r="243" customFormat="false" ht="14.25" hidden="false" customHeight="false" outlineLevel="0" collapsed="false">
      <c r="A243" s="3" t="n">
        <v>67</v>
      </c>
      <c r="B243" s="51" t="s">
        <v>487</v>
      </c>
      <c r="C243" s="51" t="s">
        <v>488</v>
      </c>
      <c r="D243" s="6" t="n">
        <v>213711</v>
      </c>
      <c r="E243" s="51" t="s">
        <v>450</v>
      </c>
      <c r="F243" s="47" t="n">
        <v>29</v>
      </c>
      <c r="G243" s="49" t="n">
        <v>213348</v>
      </c>
      <c r="H243" s="3" t="s">
        <v>592</v>
      </c>
      <c r="I243" s="3" t="n">
        <v>2</v>
      </c>
      <c r="J243" s="53" t="n">
        <v>45112</v>
      </c>
      <c r="K243" s="3" t="s">
        <v>593</v>
      </c>
      <c r="L243" s="54" t="n">
        <v>45112.686087963</v>
      </c>
      <c r="M243" s="3" t="n">
        <v>51</v>
      </c>
    </row>
    <row r="244" customFormat="false" ht="14.25" hidden="false" customHeight="false" outlineLevel="0" collapsed="false">
      <c r="A244" s="3" t="n">
        <v>68</v>
      </c>
      <c r="B244" s="51" t="s">
        <v>487</v>
      </c>
      <c r="C244" s="51" t="s">
        <v>488</v>
      </c>
      <c r="D244" s="6" t="n">
        <v>213711</v>
      </c>
      <c r="E244" s="51" t="s">
        <v>450</v>
      </c>
      <c r="F244" s="47" t="n">
        <v>29</v>
      </c>
      <c r="G244" s="49" t="n">
        <v>213348</v>
      </c>
      <c r="H244" s="3" t="s">
        <v>594</v>
      </c>
      <c r="I244" s="3" t="n">
        <v>2</v>
      </c>
      <c r="J244" s="53" t="n">
        <v>45112</v>
      </c>
      <c r="K244" s="3" t="s">
        <v>595</v>
      </c>
      <c r="L244" s="54" t="n">
        <v>45112.6864467593</v>
      </c>
      <c r="M244" s="3" t="n">
        <v>52</v>
      </c>
    </row>
    <row r="245" customFormat="false" ht="14.25" hidden="false" customHeight="false" outlineLevel="0" collapsed="false">
      <c r="A245" s="3" t="n">
        <v>69</v>
      </c>
      <c r="B245" s="51" t="s">
        <v>487</v>
      </c>
      <c r="C245" s="51" t="s">
        <v>488</v>
      </c>
      <c r="D245" s="6" t="n">
        <v>213711</v>
      </c>
      <c r="E245" s="51" t="s">
        <v>450</v>
      </c>
      <c r="F245" s="47" t="n">
        <v>29</v>
      </c>
      <c r="G245" s="49" t="n">
        <v>213348</v>
      </c>
      <c r="H245" s="3" t="s">
        <v>596</v>
      </c>
      <c r="I245" s="3" t="n">
        <v>1</v>
      </c>
      <c r="J245" s="53" t="n">
        <v>45112</v>
      </c>
      <c r="K245" s="3" t="s">
        <v>597</v>
      </c>
      <c r="L245" s="54" t="n">
        <v>45112.6866319444</v>
      </c>
      <c r="M245" s="3" t="n">
        <v>53</v>
      </c>
    </row>
    <row r="246" customFormat="false" ht="14.25" hidden="false" customHeight="false" outlineLevel="0" collapsed="false">
      <c r="A246" s="3" t="n">
        <v>70</v>
      </c>
      <c r="B246" s="51" t="s">
        <v>487</v>
      </c>
      <c r="C246" s="51" t="s">
        <v>488</v>
      </c>
      <c r="D246" s="6" t="n">
        <v>213711</v>
      </c>
      <c r="E246" s="51" t="s">
        <v>598</v>
      </c>
      <c r="F246" s="47" t="n">
        <v>31</v>
      </c>
      <c r="G246" s="49" t="n">
        <v>213442</v>
      </c>
      <c r="H246" s="3" t="s">
        <v>599</v>
      </c>
      <c r="I246" s="3" t="n">
        <v>1</v>
      </c>
      <c r="J246" s="53" t="n">
        <v>45112</v>
      </c>
      <c r="K246" s="3" t="s">
        <v>600</v>
      </c>
      <c r="L246" s="54" t="n">
        <v>45112.6903356482</v>
      </c>
      <c r="M246" s="3" t="n">
        <v>54</v>
      </c>
    </row>
    <row r="247" customFormat="false" ht="14.25" hidden="false" customHeight="false" outlineLevel="0" collapsed="false">
      <c r="A247" s="3" t="n">
        <v>71</v>
      </c>
      <c r="B247" s="51" t="s">
        <v>487</v>
      </c>
      <c r="C247" s="51" t="s">
        <v>488</v>
      </c>
      <c r="D247" s="6" t="n">
        <v>213711</v>
      </c>
      <c r="E247" s="51" t="s">
        <v>598</v>
      </c>
      <c r="F247" s="47" t="n">
        <v>31</v>
      </c>
      <c r="G247" s="49" t="n">
        <v>213442</v>
      </c>
      <c r="H247" s="3" t="s">
        <v>601</v>
      </c>
      <c r="I247" s="3" t="n">
        <v>2</v>
      </c>
      <c r="J247" s="53" t="n">
        <v>45112</v>
      </c>
      <c r="K247" s="3" t="s">
        <v>602</v>
      </c>
      <c r="L247" s="54" t="n">
        <v>45112.6925115741</v>
      </c>
      <c r="M247" s="3" t="n">
        <v>55</v>
      </c>
    </row>
    <row r="248" customFormat="false" ht="14.25" hidden="false" customHeight="false" outlineLevel="0" collapsed="false">
      <c r="A248" s="3" t="n">
        <v>72</v>
      </c>
      <c r="B248" s="51" t="s">
        <v>487</v>
      </c>
      <c r="C248" s="51" t="s">
        <v>488</v>
      </c>
      <c r="D248" s="6" t="n">
        <v>213711</v>
      </c>
      <c r="E248" s="51" t="s">
        <v>603</v>
      </c>
      <c r="F248" s="47" t="n">
        <v>15</v>
      </c>
      <c r="G248" s="49" t="n">
        <v>202196</v>
      </c>
      <c r="H248" s="3" t="s">
        <v>604</v>
      </c>
      <c r="I248" s="3" t="n">
        <v>2</v>
      </c>
      <c r="J248" s="53" t="n">
        <v>45112</v>
      </c>
      <c r="K248" s="3" t="s">
        <v>605</v>
      </c>
      <c r="L248" s="54" t="n">
        <v>45112.7028009259</v>
      </c>
      <c r="M248" s="3" t="n">
        <v>56</v>
      </c>
    </row>
    <row r="249" customFormat="false" ht="14.25" hidden="false" customHeight="false" outlineLevel="0" collapsed="false">
      <c r="A249" s="3" t="n">
        <v>73</v>
      </c>
      <c r="B249" s="51" t="s">
        <v>487</v>
      </c>
      <c r="C249" s="51" t="s">
        <v>488</v>
      </c>
      <c r="D249" s="6" t="n">
        <v>213711</v>
      </c>
      <c r="E249" s="51" t="s">
        <v>603</v>
      </c>
      <c r="F249" s="47" t="n">
        <v>15</v>
      </c>
      <c r="G249" s="49" t="n">
        <v>202196</v>
      </c>
      <c r="H249" s="3" t="s">
        <v>606</v>
      </c>
      <c r="I249" s="3" t="n">
        <v>2</v>
      </c>
      <c r="J249" s="53" t="n">
        <v>45112</v>
      </c>
      <c r="K249" s="3" t="s">
        <v>607</v>
      </c>
      <c r="L249" s="54" t="n">
        <v>45112.7030439815</v>
      </c>
      <c r="M249" s="3" t="n">
        <v>57</v>
      </c>
    </row>
    <row r="250" customFormat="false" ht="14.25" hidden="false" customHeight="false" outlineLevel="0" collapsed="false">
      <c r="A250" s="3" t="n">
        <v>74</v>
      </c>
      <c r="B250" s="51" t="s">
        <v>487</v>
      </c>
      <c r="C250" s="51" t="s">
        <v>488</v>
      </c>
      <c r="D250" s="6" t="n">
        <v>213711</v>
      </c>
      <c r="E250" s="51" t="s">
        <v>603</v>
      </c>
      <c r="F250" s="47" t="n">
        <v>15</v>
      </c>
      <c r="G250" s="49" t="n">
        <v>202196</v>
      </c>
      <c r="H250" s="3" t="s">
        <v>608</v>
      </c>
      <c r="I250" s="3" t="n">
        <v>0</v>
      </c>
      <c r="J250" s="53" t="n">
        <v>45112</v>
      </c>
      <c r="K250" s="3" t="s">
        <v>609</v>
      </c>
      <c r="L250" s="54" t="n">
        <v>45112.7036111111</v>
      </c>
      <c r="M250" s="3" t="n">
        <v>58</v>
      </c>
    </row>
    <row r="251" customFormat="false" ht="14.25" hidden="false" customHeight="false" outlineLevel="0" collapsed="false">
      <c r="A251" s="3" t="n">
        <v>75</v>
      </c>
      <c r="B251" s="51" t="s">
        <v>487</v>
      </c>
      <c r="C251" s="51" t="s">
        <v>488</v>
      </c>
      <c r="D251" s="6" t="n">
        <v>213711</v>
      </c>
      <c r="E251" s="51" t="s">
        <v>603</v>
      </c>
      <c r="F251" s="47" t="n">
        <v>15</v>
      </c>
      <c r="G251" s="49" t="n">
        <v>202196</v>
      </c>
      <c r="H251" s="3" t="s">
        <v>610</v>
      </c>
      <c r="I251" s="3" t="n">
        <v>2</v>
      </c>
      <c r="J251" s="53" t="n">
        <v>45112</v>
      </c>
      <c r="K251" s="3" t="s">
        <v>611</v>
      </c>
      <c r="L251" s="54" t="n">
        <v>45112.703900463</v>
      </c>
      <c r="M251" s="3" t="n">
        <v>59</v>
      </c>
    </row>
    <row r="252" customFormat="false" ht="14.25" hidden="false" customHeight="false" outlineLevel="0" collapsed="false">
      <c r="A252" s="3" t="n">
        <v>76</v>
      </c>
      <c r="B252" s="51" t="s">
        <v>487</v>
      </c>
      <c r="C252" s="51" t="s">
        <v>488</v>
      </c>
      <c r="D252" s="6" t="n">
        <v>213711</v>
      </c>
      <c r="E252" s="51" t="s">
        <v>603</v>
      </c>
      <c r="F252" s="47" t="n">
        <v>15</v>
      </c>
      <c r="G252" s="49" t="n">
        <v>202196</v>
      </c>
      <c r="H252" s="3" t="s">
        <v>612</v>
      </c>
      <c r="I252" s="3" t="n">
        <v>1</v>
      </c>
      <c r="J252" s="53" t="n">
        <v>45112</v>
      </c>
      <c r="K252" s="3" t="s">
        <v>613</v>
      </c>
      <c r="L252" s="54" t="n">
        <v>45112.7039930556</v>
      </c>
      <c r="M252" s="3" t="n">
        <v>60</v>
      </c>
    </row>
    <row r="253" customFormat="false" ht="14.25" hidden="false" customHeight="false" outlineLevel="0" collapsed="false">
      <c r="A253" s="3" t="n">
        <v>77</v>
      </c>
      <c r="B253" s="51" t="s">
        <v>487</v>
      </c>
      <c r="C253" s="51" t="s">
        <v>488</v>
      </c>
      <c r="D253" s="6" t="n">
        <v>213711</v>
      </c>
      <c r="E253" s="51" t="s">
        <v>603</v>
      </c>
      <c r="F253" s="47" t="n">
        <v>15</v>
      </c>
      <c r="G253" s="49" t="n">
        <v>202196</v>
      </c>
      <c r="H253" s="3" t="s">
        <v>614</v>
      </c>
      <c r="I253" s="3" t="n">
        <v>1</v>
      </c>
      <c r="J253" s="53" t="n">
        <v>45112</v>
      </c>
      <c r="K253" s="3" t="s">
        <v>615</v>
      </c>
      <c r="L253" s="54" t="n">
        <v>45112.705787037</v>
      </c>
      <c r="M253" s="3" t="n">
        <v>61</v>
      </c>
    </row>
    <row r="254" customFormat="false" ht="14.25" hidden="false" customHeight="false" outlineLevel="0" collapsed="false">
      <c r="A254" s="3" t="n">
        <v>78</v>
      </c>
      <c r="B254" s="51" t="s">
        <v>487</v>
      </c>
      <c r="C254" s="51" t="s">
        <v>488</v>
      </c>
      <c r="D254" s="6" t="n">
        <v>213711</v>
      </c>
      <c r="E254" s="51" t="s">
        <v>603</v>
      </c>
      <c r="F254" s="47" t="n">
        <v>15</v>
      </c>
      <c r="G254" s="49" t="n">
        <v>202196</v>
      </c>
      <c r="H254" s="3" t="s">
        <v>616</v>
      </c>
      <c r="I254" s="3" t="n">
        <v>2</v>
      </c>
      <c r="J254" s="53" t="n">
        <v>45112</v>
      </c>
      <c r="K254" s="3" t="s">
        <v>617</v>
      </c>
      <c r="L254" s="54" t="n">
        <v>45112.7128009259</v>
      </c>
      <c r="M254" s="3" t="n">
        <v>62</v>
      </c>
    </row>
    <row r="255" customFormat="false" ht="14.25" hidden="false" customHeight="false" outlineLevel="0" collapsed="false">
      <c r="A255" s="3" t="n">
        <v>79</v>
      </c>
      <c r="B255" s="51" t="s">
        <v>487</v>
      </c>
      <c r="C255" s="51" t="s">
        <v>488</v>
      </c>
      <c r="D255" s="6" t="n">
        <v>213711</v>
      </c>
      <c r="E255" s="51" t="s">
        <v>603</v>
      </c>
      <c r="F255" s="47" t="n">
        <v>15</v>
      </c>
      <c r="G255" s="49" t="n">
        <v>202196</v>
      </c>
      <c r="H255" s="3" t="s">
        <v>618</v>
      </c>
      <c r="I255" s="3" t="n">
        <v>2</v>
      </c>
      <c r="J255" s="53" t="n">
        <v>45112</v>
      </c>
      <c r="K255" s="3" t="s">
        <v>619</v>
      </c>
      <c r="L255" s="54" t="n">
        <v>45112.7153819444</v>
      </c>
      <c r="M255" s="3" t="n">
        <v>63</v>
      </c>
    </row>
    <row r="256" customFormat="false" ht="14.25" hidden="false" customHeight="false" outlineLevel="0" collapsed="false">
      <c r="A256" s="3" t="n">
        <v>80</v>
      </c>
      <c r="B256" s="51" t="s">
        <v>487</v>
      </c>
      <c r="C256" s="51" t="s">
        <v>488</v>
      </c>
      <c r="D256" s="6" t="n">
        <v>213711</v>
      </c>
      <c r="E256" s="51" t="s">
        <v>603</v>
      </c>
      <c r="F256" s="47" t="n">
        <v>15</v>
      </c>
      <c r="G256" s="49" t="n">
        <v>202196</v>
      </c>
      <c r="H256" s="3" t="s">
        <v>620</v>
      </c>
      <c r="I256" s="3" t="n">
        <v>2</v>
      </c>
      <c r="J256" s="53" t="n">
        <v>45112</v>
      </c>
      <c r="K256" s="3" t="s">
        <v>621</v>
      </c>
      <c r="L256" s="54" t="n">
        <v>45112.7195486111</v>
      </c>
      <c r="M256" s="3" t="n">
        <v>64</v>
      </c>
    </row>
    <row r="257" customFormat="false" ht="14.25" hidden="false" customHeight="false" outlineLevel="0" collapsed="false">
      <c r="A257" s="3" t="n">
        <v>81</v>
      </c>
      <c r="B257" s="51" t="s">
        <v>487</v>
      </c>
      <c r="C257" s="51" t="s">
        <v>488</v>
      </c>
      <c r="D257" s="6" t="n">
        <v>213711</v>
      </c>
      <c r="E257" s="51" t="s">
        <v>603</v>
      </c>
      <c r="F257" s="47" t="n">
        <v>15</v>
      </c>
      <c r="G257" s="49" t="n">
        <v>202196</v>
      </c>
      <c r="H257" s="3" t="s">
        <v>622</v>
      </c>
      <c r="I257" s="3" t="n">
        <v>3</v>
      </c>
      <c r="J257" s="53" t="n">
        <v>45112</v>
      </c>
      <c r="K257" s="3" t="s">
        <v>623</v>
      </c>
      <c r="L257" s="54" t="n">
        <v>45112.7555671296</v>
      </c>
      <c r="M257" s="3" t="n">
        <v>65</v>
      </c>
    </row>
    <row r="258" customFormat="false" ht="14.25" hidden="false" customHeight="false" outlineLevel="0" collapsed="false">
      <c r="A258" s="3" t="n">
        <v>82</v>
      </c>
      <c r="B258" s="51" t="s">
        <v>487</v>
      </c>
      <c r="C258" s="51" t="s">
        <v>488</v>
      </c>
      <c r="D258" s="6" t="n">
        <v>213711</v>
      </c>
      <c r="E258" s="51" t="s">
        <v>603</v>
      </c>
      <c r="F258" s="47" t="n">
        <v>15</v>
      </c>
      <c r="G258" s="49" t="n">
        <v>202196</v>
      </c>
      <c r="H258" s="3" t="s">
        <v>624</v>
      </c>
      <c r="I258" s="3" t="n">
        <v>2</v>
      </c>
      <c r="J258" s="53" t="n">
        <v>45112</v>
      </c>
      <c r="K258" s="3" t="s">
        <v>625</v>
      </c>
      <c r="L258" s="54" t="n">
        <v>45112.785787037</v>
      </c>
      <c r="M258" s="3" t="n">
        <v>66</v>
      </c>
    </row>
    <row r="259" customFormat="false" ht="14.25" hidden="false" customHeight="false" outlineLevel="0" collapsed="false">
      <c r="A259" s="3" t="n">
        <v>83</v>
      </c>
      <c r="B259" s="51" t="s">
        <v>487</v>
      </c>
      <c r="C259" s="51" t="s">
        <v>488</v>
      </c>
      <c r="D259" s="6" t="n">
        <v>213711</v>
      </c>
      <c r="E259" s="51" t="s">
        <v>603</v>
      </c>
      <c r="F259" s="47" t="n">
        <v>15</v>
      </c>
      <c r="G259" s="49" t="n">
        <v>202196</v>
      </c>
      <c r="H259" s="3" t="s">
        <v>626</v>
      </c>
      <c r="I259" s="3" t="n">
        <v>1</v>
      </c>
      <c r="J259" s="53" t="n">
        <v>45112</v>
      </c>
      <c r="K259" s="3" t="s">
        <v>627</v>
      </c>
      <c r="L259" s="54" t="n">
        <v>45112.7860300926</v>
      </c>
      <c r="M259" s="3" t="n">
        <v>67</v>
      </c>
    </row>
    <row r="260" customFormat="false" ht="14.25" hidden="false" customHeight="false" outlineLevel="0" collapsed="false">
      <c r="A260" s="3" t="n">
        <v>84</v>
      </c>
      <c r="B260" s="51" t="s">
        <v>487</v>
      </c>
      <c r="C260" s="51" t="s">
        <v>488</v>
      </c>
      <c r="D260" s="6" t="n">
        <v>213711</v>
      </c>
      <c r="E260" s="51" t="s">
        <v>603</v>
      </c>
      <c r="F260" s="47" t="n">
        <v>15</v>
      </c>
      <c r="G260" s="49" t="n">
        <v>202196</v>
      </c>
      <c r="H260" s="3" t="s">
        <v>628</v>
      </c>
      <c r="I260" s="3" t="n">
        <v>2</v>
      </c>
      <c r="J260" s="53" t="n">
        <v>45112</v>
      </c>
      <c r="K260" s="3" t="s">
        <v>629</v>
      </c>
      <c r="L260" s="54" t="n">
        <v>45112.7861805556</v>
      </c>
      <c r="M260" s="3" t="n">
        <v>68</v>
      </c>
    </row>
    <row r="261" customFormat="false" ht="14.25" hidden="false" customHeight="false" outlineLevel="0" collapsed="false">
      <c r="A261" s="3" t="n">
        <v>85</v>
      </c>
      <c r="B261" s="51" t="s">
        <v>487</v>
      </c>
      <c r="C261" s="51" t="s">
        <v>488</v>
      </c>
      <c r="D261" s="6" t="n">
        <v>213711</v>
      </c>
      <c r="E261" s="51" t="s">
        <v>238</v>
      </c>
      <c r="F261" s="47" t="n">
        <v>13</v>
      </c>
      <c r="G261" s="49" t="n">
        <v>202116</v>
      </c>
      <c r="H261" s="3" t="s">
        <v>630</v>
      </c>
      <c r="I261" s="3" t="n">
        <v>1</v>
      </c>
      <c r="J261" s="53" t="n">
        <v>45112</v>
      </c>
      <c r="K261" s="3" t="s">
        <v>631</v>
      </c>
      <c r="L261" s="54" t="n">
        <v>45112.7887731481</v>
      </c>
      <c r="M261" s="3" t="n">
        <v>69</v>
      </c>
    </row>
    <row r="262" customFormat="false" ht="14.25" hidden="false" customHeight="false" outlineLevel="0" collapsed="false">
      <c r="A262" s="3" t="n">
        <v>86</v>
      </c>
      <c r="B262" s="51" t="s">
        <v>487</v>
      </c>
      <c r="C262" s="51" t="s">
        <v>488</v>
      </c>
      <c r="D262" s="6" t="n">
        <v>213711</v>
      </c>
      <c r="E262" s="51" t="s">
        <v>238</v>
      </c>
      <c r="F262" s="47" t="n">
        <v>13</v>
      </c>
      <c r="G262" s="49" t="n">
        <v>202116</v>
      </c>
      <c r="H262" s="3" t="s">
        <v>632</v>
      </c>
      <c r="I262" s="3" t="n">
        <v>1</v>
      </c>
      <c r="J262" s="53" t="n">
        <v>45112</v>
      </c>
      <c r="K262" s="3" t="s">
        <v>633</v>
      </c>
      <c r="L262" s="54" t="n">
        <v>45112.7888078704</v>
      </c>
      <c r="M262" s="3" t="n">
        <v>70</v>
      </c>
    </row>
    <row r="263" customFormat="false" ht="14.25" hidden="false" customHeight="false" outlineLevel="0" collapsed="false">
      <c r="A263" s="3" t="n">
        <v>87</v>
      </c>
      <c r="B263" s="51" t="s">
        <v>487</v>
      </c>
      <c r="C263" s="51" t="s">
        <v>488</v>
      </c>
      <c r="D263" s="6" t="n">
        <v>213711</v>
      </c>
      <c r="E263" s="51" t="s">
        <v>238</v>
      </c>
      <c r="F263" s="47" t="n">
        <v>13</v>
      </c>
      <c r="G263" s="49" t="n">
        <v>202116</v>
      </c>
      <c r="H263" s="3" t="s">
        <v>634</v>
      </c>
      <c r="I263" s="3" t="n">
        <v>1</v>
      </c>
      <c r="J263" s="53" t="n">
        <v>45112</v>
      </c>
      <c r="K263" s="3" t="s">
        <v>635</v>
      </c>
      <c r="L263" s="54" t="n">
        <v>45112.7889814815</v>
      </c>
      <c r="M263" s="3" t="n">
        <v>71</v>
      </c>
    </row>
    <row r="264" customFormat="false" ht="14.25" hidden="false" customHeight="false" outlineLevel="0" collapsed="false">
      <c r="A264" s="3" t="n">
        <v>88</v>
      </c>
      <c r="B264" s="51" t="s">
        <v>487</v>
      </c>
      <c r="C264" s="51" t="s">
        <v>488</v>
      </c>
      <c r="D264" s="6" t="n">
        <v>213711</v>
      </c>
      <c r="E264" s="51" t="s">
        <v>238</v>
      </c>
      <c r="F264" s="47" t="n">
        <v>13</v>
      </c>
      <c r="G264" s="49" t="n">
        <v>202116</v>
      </c>
      <c r="H264" s="3" t="s">
        <v>636</v>
      </c>
      <c r="I264" s="3" t="n">
        <v>3</v>
      </c>
      <c r="J264" s="53" t="n">
        <v>45112</v>
      </c>
      <c r="K264" s="3" t="s">
        <v>637</v>
      </c>
      <c r="L264" s="54" t="n">
        <v>45112.789525463</v>
      </c>
      <c r="M264" s="3" t="n">
        <v>72</v>
      </c>
    </row>
    <row r="265" customFormat="false" ht="14.25" hidden="false" customHeight="false" outlineLevel="0" collapsed="false">
      <c r="A265" s="3" t="n">
        <v>89</v>
      </c>
      <c r="B265" s="51" t="s">
        <v>487</v>
      </c>
      <c r="C265" s="51" t="s">
        <v>488</v>
      </c>
      <c r="D265" s="6" t="n">
        <v>213711</v>
      </c>
      <c r="E265" s="51" t="s">
        <v>238</v>
      </c>
      <c r="F265" s="47" t="n">
        <v>13</v>
      </c>
      <c r="G265" s="49" t="n">
        <v>202116</v>
      </c>
      <c r="H265" s="3" t="s">
        <v>638</v>
      </c>
      <c r="I265" s="3" t="n">
        <v>1</v>
      </c>
      <c r="J265" s="53" t="n">
        <v>45112</v>
      </c>
      <c r="K265" s="3" t="s">
        <v>639</v>
      </c>
      <c r="L265" s="54" t="n">
        <v>45112.7895717593</v>
      </c>
      <c r="M265" s="3" t="n">
        <v>73</v>
      </c>
    </row>
    <row r="266" customFormat="false" ht="14.25" hidden="false" customHeight="false" outlineLevel="0" collapsed="false">
      <c r="A266" s="3" t="n">
        <v>90</v>
      </c>
      <c r="B266" s="51" t="s">
        <v>487</v>
      </c>
      <c r="C266" s="51" t="s">
        <v>488</v>
      </c>
      <c r="D266" s="6" t="n">
        <v>213711</v>
      </c>
      <c r="E266" s="51" t="s">
        <v>238</v>
      </c>
      <c r="F266" s="55" t="n">
        <v>13</v>
      </c>
      <c r="G266" s="56" t="n">
        <v>202116</v>
      </c>
      <c r="H266" s="3" t="s">
        <v>640</v>
      </c>
      <c r="I266" s="3" t="n">
        <v>2</v>
      </c>
      <c r="J266" s="53" t="n">
        <v>45112</v>
      </c>
      <c r="K266" s="3" t="s">
        <v>641</v>
      </c>
      <c r="L266" s="54" t="n">
        <v>45112.7903356482</v>
      </c>
      <c r="M266" s="3" t="n">
        <v>74</v>
      </c>
    </row>
    <row r="267" customFormat="false" ht="14.25" hidden="false" customHeight="false" outlineLevel="0" collapsed="false">
      <c r="A267" s="3" t="n">
        <v>91</v>
      </c>
      <c r="B267" s="51" t="s">
        <v>487</v>
      </c>
      <c r="C267" s="51" t="s">
        <v>488</v>
      </c>
      <c r="D267" s="6" t="n">
        <v>213711</v>
      </c>
      <c r="E267" s="51" t="s">
        <v>238</v>
      </c>
      <c r="F267" s="47" t="n">
        <v>13</v>
      </c>
      <c r="G267" s="49" t="n">
        <v>202116</v>
      </c>
      <c r="H267" s="3" t="s">
        <v>642</v>
      </c>
      <c r="I267" s="3" t="n">
        <v>0</v>
      </c>
      <c r="J267" s="53" t="n">
        <v>45112</v>
      </c>
      <c r="K267" s="3" t="s">
        <v>643</v>
      </c>
      <c r="L267" s="54" t="n">
        <v>45112.7909722222</v>
      </c>
      <c r="M267" s="3" t="n">
        <v>75</v>
      </c>
    </row>
    <row r="268" customFormat="false" ht="14.25" hidden="false" customHeight="false" outlineLevel="0" collapsed="false">
      <c r="A268" s="3" t="n">
        <v>92</v>
      </c>
      <c r="B268" s="51" t="s">
        <v>487</v>
      </c>
      <c r="C268" s="51" t="s">
        <v>488</v>
      </c>
      <c r="D268" s="6" t="n">
        <v>213711</v>
      </c>
      <c r="E268" s="51" t="s">
        <v>238</v>
      </c>
      <c r="F268" s="47" t="n">
        <v>13</v>
      </c>
      <c r="G268" s="49" t="n">
        <v>202116</v>
      </c>
      <c r="H268" s="3" t="s">
        <v>644</v>
      </c>
      <c r="I268" s="3" t="n">
        <v>1</v>
      </c>
      <c r="J268" s="53" t="n">
        <v>45112</v>
      </c>
      <c r="K268" s="3" t="s">
        <v>645</v>
      </c>
      <c r="L268" s="54" t="n">
        <v>45112.7911226852</v>
      </c>
      <c r="M268" s="3" t="n">
        <v>76</v>
      </c>
    </row>
    <row r="269" customFormat="false" ht="14.25" hidden="false" customHeight="false" outlineLevel="0" collapsed="false">
      <c r="A269" s="3" t="n">
        <v>93</v>
      </c>
      <c r="B269" s="51" t="s">
        <v>487</v>
      </c>
      <c r="C269" s="51" t="s">
        <v>488</v>
      </c>
      <c r="D269" s="6" t="n">
        <v>213711</v>
      </c>
      <c r="E269" s="51" t="s">
        <v>646</v>
      </c>
      <c r="F269" s="47" t="n">
        <v>19</v>
      </c>
      <c r="G269" s="49" t="n">
        <v>202451</v>
      </c>
      <c r="H269" s="3" t="s">
        <v>647</v>
      </c>
      <c r="I269" s="3" t="n">
        <v>2</v>
      </c>
      <c r="J269" s="53" t="n">
        <v>45112</v>
      </c>
      <c r="K269" s="3" t="s">
        <v>648</v>
      </c>
      <c r="L269" s="54" t="n">
        <v>45112.7915162037</v>
      </c>
      <c r="M269" s="3" t="n">
        <v>77</v>
      </c>
    </row>
    <row r="270" customFormat="false" ht="14.25" hidden="false" customHeight="false" outlineLevel="0" collapsed="false">
      <c r="A270" s="3" t="n">
        <v>94</v>
      </c>
      <c r="B270" s="51" t="s">
        <v>487</v>
      </c>
      <c r="C270" s="51" t="s">
        <v>488</v>
      </c>
      <c r="D270" s="6" t="n">
        <v>213711</v>
      </c>
      <c r="E270" s="51" t="s">
        <v>646</v>
      </c>
      <c r="F270" s="47" t="n">
        <v>19</v>
      </c>
      <c r="G270" s="49" t="n">
        <v>202451</v>
      </c>
      <c r="H270" s="3" t="s">
        <v>649</v>
      </c>
      <c r="I270" s="3" t="n">
        <v>1</v>
      </c>
      <c r="J270" s="53" t="n">
        <v>45112</v>
      </c>
      <c r="K270" s="3" t="s">
        <v>650</v>
      </c>
      <c r="L270" s="54" t="n">
        <v>45112.7915740741</v>
      </c>
      <c r="M270" s="3" t="n">
        <v>78</v>
      </c>
    </row>
    <row r="271" customFormat="false" ht="14.25" hidden="false" customHeight="false" outlineLevel="0" collapsed="false">
      <c r="A271" s="3" t="n">
        <v>95</v>
      </c>
      <c r="B271" s="51" t="s">
        <v>487</v>
      </c>
      <c r="C271" s="51" t="s">
        <v>488</v>
      </c>
      <c r="D271" s="6" t="n">
        <v>213711</v>
      </c>
      <c r="E271" s="51" t="s">
        <v>598</v>
      </c>
      <c r="F271" s="47" t="n">
        <v>31</v>
      </c>
      <c r="G271" s="49" t="n">
        <v>213442</v>
      </c>
      <c r="H271" s="3" t="s">
        <v>651</v>
      </c>
      <c r="I271" s="3" t="n">
        <v>1</v>
      </c>
      <c r="J271" s="53" t="n">
        <v>45112</v>
      </c>
      <c r="K271" s="3" t="s">
        <v>652</v>
      </c>
      <c r="L271" s="54" t="n">
        <v>45112.9325231482</v>
      </c>
      <c r="M271" s="3" t="n">
        <v>79</v>
      </c>
    </row>
    <row r="272" customFormat="false" ht="14.25" hidden="false" customHeight="false" outlineLevel="0" collapsed="false">
      <c r="A272" s="3" t="n">
        <v>96</v>
      </c>
      <c r="B272" s="51" t="s">
        <v>487</v>
      </c>
      <c r="C272" s="51" t="s">
        <v>488</v>
      </c>
      <c r="D272" s="6" t="n">
        <v>213711</v>
      </c>
      <c r="E272" s="51" t="s">
        <v>598</v>
      </c>
      <c r="F272" s="47" t="n">
        <v>31</v>
      </c>
      <c r="G272" s="49" t="n">
        <v>213442</v>
      </c>
      <c r="H272" s="3" t="s">
        <v>653</v>
      </c>
      <c r="I272" s="3" t="n">
        <v>0</v>
      </c>
      <c r="J272" s="53" t="n">
        <v>45112</v>
      </c>
      <c r="K272" s="3" t="s">
        <v>654</v>
      </c>
      <c r="L272" s="54" t="n">
        <v>45112.9325462963</v>
      </c>
      <c r="M272" s="3" t="n">
        <v>80</v>
      </c>
    </row>
    <row r="273" customFormat="false" ht="14.25" hidden="false" customHeight="false" outlineLevel="0" collapsed="false">
      <c r="A273" s="3" t="n">
        <v>97</v>
      </c>
      <c r="B273" s="51" t="s">
        <v>487</v>
      </c>
      <c r="C273" s="51" t="s">
        <v>488</v>
      </c>
      <c r="D273" s="6" t="n">
        <v>213711</v>
      </c>
      <c r="E273" s="51" t="s">
        <v>598</v>
      </c>
      <c r="F273" s="47" t="n">
        <v>31</v>
      </c>
      <c r="G273" s="49" t="n">
        <v>213442</v>
      </c>
      <c r="H273" s="3" t="s">
        <v>655</v>
      </c>
      <c r="I273" s="3" t="n">
        <v>0</v>
      </c>
      <c r="J273" s="53" t="n">
        <v>45113</v>
      </c>
      <c r="K273" s="3" t="s">
        <v>656</v>
      </c>
      <c r="L273" s="54" t="n">
        <v>45113.009537037</v>
      </c>
      <c r="M273" s="3" t="n">
        <v>81</v>
      </c>
    </row>
    <row r="274" customFormat="false" ht="14.25" hidden="false" customHeight="false" outlineLevel="0" collapsed="false">
      <c r="A274" s="3" t="n">
        <v>99</v>
      </c>
      <c r="B274" s="51" t="s">
        <v>487</v>
      </c>
      <c r="C274" s="51" t="s">
        <v>488</v>
      </c>
      <c r="D274" s="6" t="n">
        <v>213711</v>
      </c>
      <c r="E274" s="51" t="s">
        <v>598</v>
      </c>
      <c r="F274" s="47" t="n">
        <v>31</v>
      </c>
      <c r="G274" s="49" t="n">
        <v>213442</v>
      </c>
      <c r="H274" s="3" t="s">
        <v>657</v>
      </c>
      <c r="I274" s="3" t="n">
        <v>1</v>
      </c>
      <c r="J274" s="53" t="n">
        <v>45113</v>
      </c>
      <c r="K274" s="3" t="s">
        <v>658</v>
      </c>
      <c r="L274" s="54" t="n">
        <v>45113.0195023148</v>
      </c>
      <c r="M274" s="3" t="n">
        <v>83</v>
      </c>
    </row>
    <row r="275" customFormat="false" ht="14.25" hidden="false" customHeight="false" outlineLevel="0" collapsed="false">
      <c r="A275" s="3" t="n">
        <v>100</v>
      </c>
      <c r="B275" s="51" t="s">
        <v>487</v>
      </c>
      <c r="C275" s="51" t="s">
        <v>488</v>
      </c>
      <c r="D275" s="6" t="n">
        <v>213711</v>
      </c>
      <c r="E275" s="51" t="s">
        <v>598</v>
      </c>
      <c r="F275" s="47" t="n">
        <v>31</v>
      </c>
      <c r="G275" s="49" t="n">
        <v>213442</v>
      </c>
      <c r="H275" s="3" t="s">
        <v>659</v>
      </c>
      <c r="I275" s="3" t="n">
        <v>2</v>
      </c>
      <c r="J275" s="53" t="n">
        <v>45113</v>
      </c>
      <c r="K275" s="3" t="s">
        <v>660</v>
      </c>
      <c r="L275" s="54" t="n">
        <v>45113.0220601852</v>
      </c>
      <c r="M275" s="3" t="n">
        <v>84</v>
      </c>
    </row>
    <row r="276" customFormat="false" ht="14.25" hidden="false" customHeight="false" outlineLevel="0" collapsed="false">
      <c r="A276" s="3" t="n">
        <v>101</v>
      </c>
      <c r="B276" s="51" t="s">
        <v>487</v>
      </c>
      <c r="C276" s="51" t="s">
        <v>488</v>
      </c>
      <c r="D276" s="6" t="n">
        <v>213711</v>
      </c>
      <c r="E276" s="51" t="s">
        <v>598</v>
      </c>
      <c r="F276" s="47" t="n">
        <v>31</v>
      </c>
      <c r="G276" s="49" t="n">
        <v>213442</v>
      </c>
      <c r="H276" s="3" t="s">
        <v>661</v>
      </c>
      <c r="I276" s="3" t="n">
        <v>2</v>
      </c>
      <c r="J276" s="53" t="n">
        <v>45113</v>
      </c>
      <c r="K276" s="3" t="s">
        <v>662</v>
      </c>
      <c r="L276" s="54" t="n">
        <v>45113.0231828704</v>
      </c>
      <c r="M276" s="3" t="n">
        <v>85</v>
      </c>
    </row>
    <row r="277" customFormat="false" ht="14.25" hidden="false" customHeight="false" outlineLevel="0" collapsed="false">
      <c r="A277" s="3" t="n">
        <v>102</v>
      </c>
      <c r="B277" s="51" t="s">
        <v>487</v>
      </c>
      <c r="C277" s="51" t="s">
        <v>488</v>
      </c>
      <c r="D277" s="6" t="n">
        <v>213711</v>
      </c>
      <c r="E277" s="51" t="s">
        <v>598</v>
      </c>
      <c r="F277" s="47" t="n">
        <v>31</v>
      </c>
      <c r="G277" s="49" t="n">
        <v>213442</v>
      </c>
      <c r="H277" s="3" t="s">
        <v>663</v>
      </c>
      <c r="I277" s="3" t="n">
        <v>2</v>
      </c>
      <c r="J277" s="53" t="n">
        <v>45113</v>
      </c>
      <c r="K277" s="3" t="s">
        <v>664</v>
      </c>
      <c r="L277" s="54" t="n">
        <v>45113.0232060185</v>
      </c>
      <c r="M277" s="3" t="n">
        <v>86</v>
      </c>
    </row>
    <row r="278" customFormat="false" ht="14.25" hidden="false" customHeight="false" outlineLevel="0" collapsed="false">
      <c r="A278" s="3" t="n">
        <v>103</v>
      </c>
      <c r="B278" s="51" t="s">
        <v>487</v>
      </c>
      <c r="C278" s="51" t="s">
        <v>488</v>
      </c>
      <c r="D278" s="6" t="n">
        <v>213711</v>
      </c>
      <c r="E278" s="51" t="s">
        <v>598</v>
      </c>
      <c r="F278" s="47" t="n">
        <v>31</v>
      </c>
      <c r="G278" s="49" t="n">
        <v>213442</v>
      </c>
      <c r="H278" s="3" t="s">
        <v>665</v>
      </c>
      <c r="I278" s="3" t="n">
        <v>1</v>
      </c>
      <c r="J278" s="53" t="n">
        <v>45113</v>
      </c>
      <c r="K278" s="3" t="s">
        <v>666</v>
      </c>
      <c r="L278" s="54" t="n">
        <v>45113.024537037</v>
      </c>
      <c r="M278" s="3" t="n">
        <v>87</v>
      </c>
    </row>
    <row r="279" customFormat="false" ht="14.25" hidden="false" customHeight="false" outlineLevel="0" collapsed="false">
      <c r="A279" s="3" t="n">
        <v>104</v>
      </c>
      <c r="B279" s="51" t="s">
        <v>487</v>
      </c>
      <c r="C279" s="51" t="s">
        <v>488</v>
      </c>
      <c r="D279" s="6" t="n">
        <v>213711</v>
      </c>
      <c r="E279" s="51" t="s">
        <v>598</v>
      </c>
      <c r="F279" s="47" t="n">
        <v>31</v>
      </c>
      <c r="G279" s="49" t="n">
        <v>213442</v>
      </c>
      <c r="H279" s="3" t="s">
        <v>667</v>
      </c>
      <c r="I279" s="3" t="n">
        <v>0</v>
      </c>
      <c r="J279" s="53" t="n">
        <v>45113</v>
      </c>
      <c r="K279" s="3" t="s">
        <v>668</v>
      </c>
      <c r="L279" s="54" t="n">
        <v>45113.0371064815</v>
      </c>
      <c r="M279" s="3" t="n">
        <v>88</v>
      </c>
    </row>
    <row r="280" customFormat="false" ht="14.25" hidden="false" customHeight="false" outlineLevel="0" collapsed="false">
      <c r="A280" s="3" t="n">
        <v>105</v>
      </c>
      <c r="B280" s="51" t="s">
        <v>487</v>
      </c>
      <c r="C280" s="51" t="s">
        <v>488</v>
      </c>
      <c r="D280" s="6" t="n">
        <v>213711</v>
      </c>
      <c r="E280" s="51" t="s">
        <v>598</v>
      </c>
      <c r="F280" s="47" t="n">
        <v>31</v>
      </c>
      <c r="G280" s="49" t="n">
        <v>213442</v>
      </c>
      <c r="H280" s="3" t="s">
        <v>669</v>
      </c>
      <c r="I280" s="3" t="n">
        <v>0</v>
      </c>
      <c r="J280" s="53" t="n">
        <v>45113</v>
      </c>
      <c r="K280" s="3" t="s">
        <v>670</v>
      </c>
      <c r="L280" s="54" t="n">
        <v>45113.0371412037</v>
      </c>
      <c r="M280" s="3" t="n">
        <v>89</v>
      </c>
    </row>
    <row r="281" customFormat="false" ht="14.25" hidden="false" customHeight="false" outlineLevel="0" collapsed="false">
      <c r="A281" s="3" t="n">
        <v>106</v>
      </c>
      <c r="B281" s="51" t="s">
        <v>487</v>
      </c>
      <c r="C281" s="51" t="s">
        <v>488</v>
      </c>
      <c r="D281" s="6" t="n">
        <v>213711</v>
      </c>
      <c r="E281" s="51" t="s">
        <v>598</v>
      </c>
      <c r="F281" s="47" t="n">
        <v>31</v>
      </c>
      <c r="G281" s="49" t="n">
        <v>213442</v>
      </c>
      <c r="H281" s="3" t="s">
        <v>671</v>
      </c>
      <c r="I281" s="3" t="n">
        <v>0</v>
      </c>
      <c r="J281" s="53" t="n">
        <v>45113</v>
      </c>
      <c r="K281" s="3" t="s">
        <v>672</v>
      </c>
      <c r="L281" s="54" t="n">
        <v>45113.0397685185</v>
      </c>
      <c r="M281" s="3" t="n">
        <v>90</v>
      </c>
    </row>
    <row r="282" customFormat="false" ht="14.25" hidden="false" customHeight="false" outlineLevel="0" collapsed="false">
      <c r="A282" s="3" t="n">
        <v>107</v>
      </c>
      <c r="B282" s="51" t="s">
        <v>487</v>
      </c>
      <c r="C282" s="51" t="s">
        <v>488</v>
      </c>
      <c r="D282" s="6" t="n">
        <v>213711</v>
      </c>
      <c r="E282" s="51" t="s">
        <v>646</v>
      </c>
      <c r="F282" s="47" t="n">
        <v>19</v>
      </c>
      <c r="G282" s="49" t="n">
        <v>202451</v>
      </c>
      <c r="H282" s="3" t="s">
        <v>673</v>
      </c>
      <c r="I282" s="3" t="n">
        <v>0</v>
      </c>
      <c r="J282" s="53" t="n">
        <v>45113</v>
      </c>
      <c r="K282" s="3" t="s">
        <v>674</v>
      </c>
      <c r="L282" s="54" t="n">
        <v>45113.0792476852</v>
      </c>
      <c r="M282" s="3" t="n">
        <v>91</v>
      </c>
    </row>
    <row r="283" customFormat="false" ht="14.25" hidden="false" customHeight="false" outlineLevel="0" collapsed="false">
      <c r="A283" s="3" t="n">
        <v>108</v>
      </c>
      <c r="B283" s="51" t="s">
        <v>487</v>
      </c>
      <c r="C283" s="51" t="s">
        <v>488</v>
      </c>
      <c r="D283" s="6" t="n">
        <v>213711</v>
      </c>
      <c r="E283" s="51" t="s">
        <v>646</v>
      </c>
      <c r="F283" s="47" t="n">
        <v>19</v>
      </c>
      <c r="G283" s="49" t="n">
        <v>202451</v>
      </c>
      <c r="H283" s="3" t="s">
        <v>675</v>
      </c>
      <c r="I283" s="3" t="n">
        <v>2</v>
      </c>
      <c r="J283" s="53" t="n">
        <v>45113</v>
      </c>
      <c r="K283" s="3" t="s">
        <v>676</v>
      </c>
      <c r="L283" s="54" t="n">
        <v>45113.0792939815</v>
      </c>
      <c r="M283" s="3" t="n">
        <v>92</v>
      </c>
    </row>
    <row r="284" customFormat="false" ht="14.25" hidden="false" customHeight="false" outlineLevel="0" collapsed="false">
      <c r="A284" s="3" t="n">
        <v>109</v>
      </c>
      <c r="B284" s="51" t="s">
        <v>487</v>
      </c>
      <c r="C284" s="51" t="s">
        <v>488</v>
      </c>
      <c r="D284" s="6" t="n">
        <v>213711</v>
      </c>
      <c r="E284" s="51" t="s">
        <v>646</v>
      </c>
      <c r="F284" s="47" t="n">
        <v>19</v>
      </c>
      <c r="G284" s="49" t="n">
        <v>202451</v>
      </c>
      <c r="H284" s="3" t="s">
        <v>677</v>
      </c>
      <c r="I284" s="3" t="n">
        <v>1</v>
      </c>
      <c r="J284" s="53" t="n">
        <v>45113</v>
      </c>
      <c r="K284" s="3" t="s">
        <v>678</v>
      </c>
      <c r="L284" s="54" t="n">
        <v>45113.0798611111</v>
      </c>
      <c r="M284" s="3" t="n">
        <v>93</v>
      </c>
    </row>
    <row r="285" customFormat="false" ht="14.25" hidden="false" customHeight="false" outlineLevel="0" collapsed="false">
      <c r="A285" s="3" t="n">
        <v>110</v>
      </c>
      <c r="B285" s="51" t="s">
        <v>487</v>
      </c>
      <c r="C285" s="51" t="s">
        <v>488</v>
      </c>
      <c r="D285" s="6" t="n">
        <v>213711</v>
      </c>
      <c r="E285" s="51" t="s">
        <v>646</v>
      </c>
      <c r="F285" s="47" t="n">
        <v>19</v>
      </c>
      <c r="G285" s="49" t="n">
        <v>202451</v>
      </c>
      <c r="H285" s="3" t="s">
        <v>679</v>
      </c>
      <c r="I285" s="3" t="n">
        <v>0</v>
      </c>
      <c r="J285" s="53" t="n">
        <v>45113</v>
      </c>
      <c r="K285" s="3" t="s">
        <v>680</v>
      </c>
      <c r="L285" s="54" t="n">
        <v>45113.0845833333</v>
      </c>
      <c r="M285" s="3" t="n">
        <v>94</v>
      </c>
    </row>
    <row r="286" customFormat="false" ht="14.25" hidden="false" customHeight="false" outlineLevel="0" collapsed="false">
      <c r="A286" s="3" t="n">
        <v>111</v>
      </c>
      <c r="B286" s="51" t="s">
        <v>487</v>
      </c>
      <c r="C286" s="51" t="s">
        <v>488</v>
      </c>
      <c r="D286" s="6" t="n">
        <v>213711</v>
      </c>
      <c r="E286" s="51" t="s">
        <v>646</v>
      </c>
      <c r="F286" s="47" t="n">
        <v>19</v>
      </c>
      <c r="G286" s="49" t="n">
        <v>202451</v>
      </c>
      <c r="H286" s="3" t="s">
        <v>681</v>
      </c>
      <c r="I286" s="3" t="n">
        <v>2</v>
      </c>
      <c r="J286" s="53" t="n">
        <v>45113</v>
      </c>
      <c r="K286" s="3" t="s">
        <v>682</v>
      </c>
      <c r="L286" s="54" t="n">
        <v>45113.0846180556</v>
      </c>
      <c r="M286" s="3" t="n">
        <v>95</v>
      </c>
    </row>
    <row r="287" customFormat="false" ht="14.25" hidden="false" customHeight="false" outlineLevel="0" collapsed="false">
      <c r="A287" s="3" t="n">
        <v>112</v>
      </c>
      <c r="B287" s="51" t="s">
        <v>487</v>
      </c>
      <c r="C287" s="51" t="s">
        <v>488</v>
      </c>
      <c r="D287" s="6" t="n">
        <v>213711</v>
      </c>
      <c r="E287" s="51" t="s">
        <v>598</v>
      </c>
      <c r="F287" s="47" t="n">
        <v>31</v>
      </c>
      <c r="G287" s="49" t="n">
        <v>213442</v>
      </c>
      <c r="H287" s="3" t="s">
        <v>683</v>
      </c>
      <c r="I287" s="3" t="n">
        <v>3</v>
      </c>
      <c r="J287" s="53" t="n">
        <v>45113</v>
      </c>
      <c r="K287" s="3" t="s">
        <v>684</v>
      </c>
      <c r="L287" s="54" t="n">
        <v>45113.122650463</v>
      </c>
      <c r="M287" s="3" t="n">
        <v>96</v>
      </c>
    </row>
    <row r="288" customFormat="false" ht="14.25" hidden="false" customHeight="false" outlineLevel="0" collapsed="false">
      <c r="A288" s="3" t="n">
        <v>113</v>
      </c>
      <c r="B288" s="51" t="s">
        <v>487</v>
      </c>
      <c r="C288" s="51" t="s">
        <v>488</v>
      </c>
      <c r="D288" s="6" t="n">
        <v>213711</v>
      </c>
      <c r="E288" s="51" t="s">
        <v>598</v>
      </c>
      <c r="F288" s="47" t="n">
        <v>31</v>
      </c>
      <c r="G288" s="49" t="n">
        <v>213442</v>
      </c>
      <c r="H288" s="3" t="s">
        <v>685</v>
      </c>
      <c r="I288" s="3" t="n">
        <v>1</v>
      </c>
      <c r="J288" s="53" t="n">
        <v>45113</v>
      </c>
      <c r="K288" s="3" t="s">
        <v>686</v>
      </c>
      <c r="L288" s="54" t="n">
        <v>45113.1249305556</v>
      </c>
      <c r="M288" s="3" t="n">
        <v>97</v>
      </c>
    </row>
    <row r="289" customFormat="false" ht="14.25" hidden="false" customHeight="false" outlineLevel="0" collapsed="false">
      <c r="A289" s="3" t="n">
        <v>114</v>
      </c>
      <c r="B289" s="51" t="s">
        <v>487</v>
      </c>
      <c r="C289" s="51" t="s">
        <v>488</v>
      </c>
      <c r="D289" s="6" t="n">
        <v>213711</v>
      </c>
      <c r="E289" s="51" t="s">
        <v>598</v>
      </c>
      <c r="F289" s="47" t="n">
        <v>31</v>
      </c>
      <c r="G289" s="49" t="n">
        <v>213442</v>
      </c>
      <c r="H289" s="3" t="s">
        <v>687</v>
      </c>
      <c r="I289" s="3" t="n">
        <v>3</v>
      </c>
      <c r="J289" s="53" t="n">
        <v>45113</v>
      </c>
      <c r="K289" s="3" t="s">
        <v>688</v>
      </c>
      <c r="L289" s="54" t="n">
        <v>45113.1900231482</v>
      </c>
      <c r="M289" s="3" t="n">
        <v>98</v>
      </c>
    </row>
    <row r="290" customFormat="false" ht="14.25" hidden="false" customHeight="false" outlineLevel="0" collapsed="false">
      <c r="A290" s="3" t="n">
        <v>115</v>
      </c>
      <c r="B290" s="51" t="s">
        <v>487</v>
      </c>
      <c r="C290" s="51" t="s">
        <v>488</v>
      </c>
      <c r="D290" s="6" t="n">
        <v>213711</v>
      </c>
      <c r="E290" s="51" t="s">
        <v>598</v>
      </c>
      <c r="F290" s="47" t="n">
        <v>31</v>
      </c>
      <c r="G290" s="49" t="n">
        <v>213442</v>
      </c>
      <c r="H290" s="3" t="s">
        <v>689</v>
      </c>
      <c r="I290" s="3" t="n">
        <v>1</v>
      </c>
      <c r="J290" s="53" t="n">
        <v>45113</v>
      </c>
      <c r="K290" s="3" t="s">
        <v>690</v>
      </c>
      <c r="L290" s="54" t="n">
        <v>45113.1912268519</v>
      </c>
      <c r="M290" s="3" t="n">
        <v>99</v>
      </c>
    </row>
    <row r="291" customFormat="false" ht="14.25" hidden="false" customHeight="false" outlineLevel="0" collapsed="false">
      <c r="A291" s="3" t="n">
        <v>116</v>
      </c>
      <c r="B291" s="51" t="s">
        <v>487</v>
      </c>
      <c r="C291" s="51" t="s">
        <v>488</v>
      </c>
      <c r="D291" s="6" t="n">
        <v>213711</v>
      </c>
      <c r="E291" s="51" t="s">
        <v>598</v>
      </c>
      <c r="F291" s="47" t="n">
        <v>31</v>
      </c>
      <c r="G291" s="49" t="n">
        <v>213442</v>
      </c>
      <c r="H291" s="3" t="s">
        <v>691</v>
      </c>
      <c r="I291" s="3" t="n">
        <v>1</v>
      </c>
      <c r="J291" s="53" t="n">
        <v>45113</v>
      </c>
      <c r="K291" s="3" t="s">
        <v>692</v>
      </c>
      <c r="L291" s="54" t="n">
        <v>45113.1915509259</v>
      </c>
      <c r="M291" s="3" t="n">
        <v>100</v>
      </c>
    </row>
    <row r="292" customFormat="false" ht="14.25" hidden="false" customHeight="false" outlineLevel="0" collapsed="false">
      <c r="A292" s="3" t="n">
        <v>117</v>
      </c>
      <c r="B292" s="51" t="s">
        <v>487</v>
      </c>
      <c r="C292" s="51" t="s">
        <v>488</v>
      </c>
      <c r="D292" s="6" t="n">
        <v>213711</v>
      </c>
      <c r="E292" s="51" t="s">
        <v>598</v>
      </c>
      <c r="F292" s="47" t="n">
        <v>31</v>
      </c>
      <c r="G292" s="49" t="n">
        <v>213442</v>
      </c>
      <c r="H292" s="3" t="s">
        <v>693</v>
      </c>
      <c r="I292" s="3" t="n">
        <v>0</v>
      </c>
      <c r="J292" s="53" t="n">
        <v>45113</v>
      </c>
      <c r="K292" s="3" t="s">
        <v>694</v>
      </c>
      <c r="L292" s="54" t="n">
        <v>45113.1922222222</v>
      </c>
      <c r="M292" s="3" t="n">
        <v>101</v>
      </c>
    </row>
    <row r="293" customFormat="false" ht="14.25" hidden="false" customHeight="false" outlineLevel="0" collapsed="false">
      <c r="A293" s="3" t="n">
        <v>118</v>
      </c>
      <c r="B293" s="51" t="s">
        <v>487</v>
      </c>
      <c r="C293" s="51" t="s">
        <v>488</v>
      </c>
      <c r="D293" s="6" t="n">
        <v>213711</v>
      </c>
      <c r="E293" s="51" t="s">
        <v>598</v>
      </c>
      <c r="F293" s="47" t="n">
        <v>31</v>
      </c>
      <c r="G293" s="49" t="n">
        <v>213442</v>
      </c>
      <c r="H293" s="3" t="s">
        <v>695</v>
      </c>
      <c r="I293" s="3" t="n">
        <v>2</v>
      </c>
      <c r="J293" s="53" t="n">
        <v>45113</v>
      </c>
      <c r="K293" s="3" t="s">
        <v>696</v>
      </c>
      <c r="L293" s="54" t="n">
        <v>45113.1928356482</v>
      </c>
      <c r="M293" s="3" t="n">
        <v>102</v>
      </c>
    </row>
    <row r="294" customFormat="false" ht="14.25" hidden="false" customHeight="false" outlineLevel="0" collapsed="false">
      <c r="A294" s="3" t="n">
        <v>119</v>
      </c>
      <c r="B294" s="51" t="s">
        <v>487</v>
      </c>
      <c r="C294" s="51" t="s">
        <v>488</v>
      </c>
      <c r="D294" s="6" t="n">
        <v>213711</v>
      </c>
      <c r="E294" s="51" t="s">
        <v>598</v>
      </c>
      <c r="F294" s="47" t="n">
        <v>31</v>
      </c>
      <c r="G294" s="49" t="n">
        <v>213442</v>
      </c>
      <c r="H294" s="3" t="s">
        <v>697</v>
      </c>
      <c r="I294" s="3" t="n">
        <v>1</v>
      </c>
      <c r="J294" s="53" t="n">
        <v>45113</v>
      </c>
      <c r="K294" s="3" t="s">
        <v>698</v>
      </c>
      <c r="L294" s="54" t="n">
        <v>45113.1932407407</v>
      </c>
      <c r="M294" s="3" t="n">
        <v>103</v>
      </c>
    </row>
    <row r="295" customFormat="false" ht="14.25" hidden="false" customHeight="false" outlineLevel="0" collapsed="false">
      <c r="A295" s="3" t="n">
        <v>120</v>
      </c>
      <c r="B295" s="51" t="s">
        <v>487</v>
      </c>
      <c r="C295" s="51" t="s">
        <v>488</v>
      </c>
      <c r="D295" s="6" t="n">
        <v>213711</v>
      </c>
      <c r="E295" s="51" t="s">
        <v>598</v>
      </c>
      <c r="F295" s="47" t="n">
        <v>31</v>
      </c>
      <c r="G295" s="49" t="n">
        <v>213442</v>
      </c>
      <c r="H295" s="3" t="s">
        <v>699</v>
      </c>
      <c r="I295" s="3" t="n">
        <v>4</v>
      </c>
      <c r="J295" s="53" t="n">
        <v>45113</v>
      </c>
      <c r="K295" s="3" t="s">
        <v>700</v>
      </c>
      <c r="L295" s="54" t="n">
        <v>45113.1945486111</v>
      </c>
      <c r="M295" s="3" t="n">
        <v>104</v>
      </c>
    </row>
    <row r="296" customFormat="false" ht="14.25" hidden="false" customHeight="false" outlineLevel="0" collapsed="false">
      <c r="A296" s="3" t="n">
        <v>121</v>
      </c>
      <c r="B296" s="51" t="s">
        <v>487</v>
      </c>
      <c r="C296" s="51" t="s">
        <v>488</v>
      </c>
      <c r="D296" s="6" t="n">
        <v>213711</v>
      </c>
      <c r="E296" s="51" t="s">
        <v>598</v>
      </c>
      <c r="F296" s="47" t="n">
        <v>31</v>
      </c>
      <c r="G296" s="49" t="n">
        <v>213442</v>
      </c>
      <c r="H296" s="3" t="s">
        <v>701</v>
      </c>
      <c r="I296" s="3" t="n">
        <v>2</v>
      </c>
      <c r="J296" s="53" t="n">
        <v>45113</v>
      </c>
      <c r="K296" s="3" t="s">
        <v>702</v>
      </c>
      <c r="L296" s="54" t="n">
        <v>45113.1947337963</v>
      </c>
      <c r="M296" s="3" t="n">
        <v>105</v>
      </c>
    </row>
    <row r="297" customFormat="false" ht="14.25" hidden="false" customHeight="false" outlineLevel="0" collapsed="false">
      <c r="A297" s="3" t="n">
        <v>122</v>
      </c>
      <c r="B297" s="51" t="s">
        <v>487</v>
      </c>
      <c r="C297" s="51" t="s">
        <v>488</v>
      </c>
      <c r="D297" s="6" t="n">
        <v>213711</v>
      </c>
      <c r="E297" s="51" t="s">
        <v>598</v>
      </c>
      <c r="F297" s="47" t="n">
        <v>31</v>
      </c>
      <c r="G297" s="49" t="n">
        <v>213442</v>
      </c>
      <c r="H297" s="3" t="s">
        <v>703</v>
      </c>
      <c r="I297" s="3" t="n">
        <v>3</v>
      </c>
      <c r="J297" s="53" t="n">
        <v>45113</v>
      </c>
      <c r="K297" s="3" t="s">
        <v>704</v>
      </c>
      <c r="L297" s="54" t="n">
        <v>45113.1949074074</v>
      </c>
      <c r="M297" s="3" t="n">
        <v>106</v>
      </c>
    </row>
    <row r="298" customFormat="false" ht="14.25" hidden="false" customHeight="false" outlineLevel="0" collapsed="false">
      <c r="A298" s="3" t="n">
        <v>123</v>
      </c>
      <c r="B298" s="51" t="s">
        <v>487</v>
      </c>
      <c r="C298" s="51" t="s">
        <v>488</v>
      </c>
      <c r="D298" s="6" t="n">
        <v>213711</v>
      </c>
      <c r="E298" s="51" t="s">
        <v>598</v>
      </c>
      <c r="F298" s="47" t="n">
        <v>31</v>
      </c>
      <c r="G298" s="49" t="n">
        <v>213442</v>
      </c>
      <c r="H298" s="3" t="s">
        <v>705</v>
      </c>
      <c r="I298" s="3" t="n">
        <v>3</v>
      </c>
      <c r="J298" s="53" t="n">
        <v>45113</v>
      </c>
      <c r="K298" s="3" t="s">
        <v>706</v>
      </c>
      <c r="L298" s="54" t="n">
        <v>45113.1976041667</v>
      </c>
      <c r="M298" s="3" t="n">
        <v>107</v>
      </c>
    </row>
    <row r="299" customFormat="false" ht="14.25" hidden="false" customHeight="false" outlineLevel="0" collapsed="false">
      <c r="A299" s="3" t="n">
        <v>124</v>
      </c>
      <c r="B299" s="51" t="s">
        <v>487</v>
      </c>
      <c r="C299" s="51" t="s">
        <v>488</v>
      </c>
      <c r="D299" s="6" t="n">
        <v>213711</v>
      </c>
      <c r="E299" s="51" t="s">
        <v>598</v>
      </c>
      <c r="F299" s="47" t="n">
        <v>31</v>
      </c>
      <c r="G299" s="49" t="n">
        <v>213442</v>
      </c>
      <c r="H299" s="3" t="s">
        <v>707</v>
      </c>
      <c r="I299" s="3" t="n">
        <v>4</v>
      </c>
      <c r="J299" s="53" t="n">
        <v>45113</v>
      </c>
      <c r="K299" s="3" t="s">
        <v>708</v>
      </c>
      <c r="L299" s="54" t="n">
        <v>45113.1979050926</v>
      </c>
      <c r="M299" s="3" t="n">
        <v>108</v>
      </c>
    </row>
    <row r="300" customFormat="false" ht="14.25" hidden="false" customHeight="false" outlineLevel="0" collapsed="false">
      <c r="A300" s="3" t="n">
        <v>125</v>
      </c>
      <c r="B300" s="51" t="s">
        <v>487</v>
      </c>
      <c r="C300" s="51" t="s">
        <v>488</v>
      </c>
      <c r="D300" s="6" t="n">
        <v>213711</v>
      </c>
      <c r="E300" s="51" t="s">
        <v>598</v>
      </c>
      <c r="F300" s="47" t="n">
        <v>31</v>
      </c>
      <c r="G300" s="49" t="n">
        <v>213442</v>
      </c>
      <c r="H300" s="3" t="s">
        <v>709</v>
      </c>
      <c r="I300" s="3" t="n">
        <v>2</v>
      </c>
      <c r="J300" s="53" t="n">
        <v>45113</v>
      </c>
      <c r="K300" s="3" t="s">
        <v>710</v>
      </c>
      <c r="L300" s="54" t="n">
        <v>45113.1983564815</v>
      </c>
      <c r="M300" s="3" t="n">
        <v>109</v>
      </c>
    </row>
    <row r="301" customFormat="false" ht="14.25" hidden="false" customHeight="false" outlineLevel="0" collapsed="false">
      <c r="A301" s="3" t="n">
        <v>126</v>
      </c>
      <c r="B301" s="51" t="s">
        <v>487</v>
      </c>
      <c r="C301" s="51" t="s">
        <v>488</v>
      </c>
      <c r="D301" s="6" t="n">
        <v>213711</v>
      </c>
      <c r="E301" s="51" t="s">
        <v>598</v>
      </c>
      <c r="F301" s="47" t="n">
        <v>31</v>
      </c>
      <c r="G301" s="49" t="n">
        <v>213442</v>
      </c>
      <c r="H301" s="3" t="s">
        <v>711</v>
      </c>
      <c r="I301" s="3" t="n">
        <v>1</v>
      </c>
      <c r="J301" s="53" t="n">
        <v>45113</v>
      </c>
      <c r="K301" s="3" t="s">
        <v>712</v>
      </c>
      <c r="L301" s="54" t="n">
        <v>45113.1988425926</v>
      </c>
      <c r="M301" s="3" t="n">
        <v>110</v>
      </c>
    </row>
    <row r="302" customFormat="false" ht="14.25" hidden="false" customHeight="false" outlineLevel="0" collapsed="false">
      <c r="A302" s="3" t="n">
        <v>127</v>
      </c>
      <c r="B302" s="51" t="s">
        <v>487</v>
      </c>
      <c r="C302" s="51" t="s">
        <v>488</v>
      </c>
      <c r="D302" s="6" t="n">
        <v>213711</v>
      </c>
      <c r="E302" s="51" t="s">
        <v>598</v>
      </c>
      <c r="F302" s="47" t="n">
        <v>31</v>
      </c>
      <c r="G302" s="49" t="n">
        <v>213442</v>
      </c>
      <c r="H302" s="3" t="s">
        <v>713</v>
      </c>
      <c r="I302" s="3" t="n">
        <v>1</v>
      </c>
      <c r="J302" s="53" t="n">
        <v>45113</v>
      </c>
      <c r="K302" s="3" t="s">
        <v>714</v>
      </c>
      <c r="L302" s="54" t="n">
        <v>45113.1988657407</v>
      </c>
      <c r="M302" s="3" t="n">
        <v>111</v>
      </c>
    </row>
    <row r="303" customFormat="false" ht="14.25" hidden="false" customHeight="false" outlineLevel="0" collapsed="false">
      <c r="A303" s="3" t="n">
        <v>128</v>
      </c>
      <c r="B303" s="51" t="s">
        <v>487</v>
      </c>
      <c r="C303" s="51" t="s">
        <v>488</v>
      </c>
      <c r="D303" s="6" t="n">
        <v>213711</v>
      </c>
      <c r="E303" s="51" t="s">
        <v>598</v>
      </c>
      <c r="F303" s="47" t="n">
        <v>31</v>
      </c>
      <c r="G303" s="49" t="n">
        <v>213442</v>
      </c>
      <c r="H303" s="3" t="s">
        <v>715</v>
      </c>
      <c r="I303" s="3" t="n">
        <v>1</v>
      </c>
      <c r="J303" s="53" t="n">
        <v>45113</v>
      </c>
      <c r="K303" s="3" t="s">
        <v>716</v>
      </c>
      <c r="L303" s="54" t="n">
        <v>45113.1990046296</v>
      </c>
      <c r="M303" s="3" t="n">
        <v>112</v>
      </c>
    </row>
    <row r="304" customFormat="false" ht="14.25" hidden="false" customHeight="false" outlineLevel="0" collapsed="false">
      <c r="A304" s="3" t="n">
        <v>129</v>
      </c>
      <c r="B304" s="51" t="s">
        <v>487</v>
      </c>
      <c r="C304" s="51" t="s">
        <v>488</v>
      </c>
      <c r="D304" s="6" t="n">
        <v>213711</v>
      </c>
      <c r="E304" s="51" t="s">
        <v>598</v>
      </c>
      <c r="F304" s="47" t="n">
        <v>31</v>
      </c>
      <c r="G304" s="49" t="n">
        <v>213442</v>
      </c>
      <c r="H304" s="3" t="s">
        <v>717</v>
      </c>
      <c r="I304" s="3" t="n">
        <v>1</v>
      </c>
      <c r="J304" s="53" t="n">
        <v>45113</v>
      </c>
      <c r="K304" s="3" t="s">
        <v>718</v>
      </c>
      <c r="L304" s="54" t="n">
        <v>45113.1991782407</v>
      </c>
      <c r="M304" s="3" t="n">
        <v>113</v>
      </c>
    </row>
    <row r="305" customFormat="false" ht="14.25" hidden="false" customHeight="false" outlineLevel="0" collapsed="false">
      <c r="A305" s="3" t="n">
        <v>130</v>
      </c>
      <c r="B305" s="51" t="s">
        <v>487</v>
      </c>
      <c r="C305" s="51" t="s">
        <v>488</v>
      </c>
      <c r="D305" s="6" t="n">
        <v>213711</v>
      </c>
      <c r="E305" s="51" t="s">
        <v>598</v>
      </c>
      <c r="F305" s="47" t="n">
        <v>31</v>
      </c>
      <c r="G305" s="49" t="n">
        <v>213442</v>
      </c>
      <c r="H305" s="3" t="s">
        <v>719</v>
      </c>
      <c r="I305" s="3" t="n">
        <v>1</v>
      </c>
      <c r="J305" s="53" t="n">
        <v>45113</v>
      </c>
      <c r="K305" s="3" t="s">
        <v>720</v>
      </c>
      <c r="L305" s="54" t="n">
        <v>45113.1992013889</v>
      </c>
      <c r="M305" s="3" t="n">
        <v>114</v>
      </c>
    </row>
    <row r="306" customFormat="false" ht="14.25" hidden="false" customHeight="false" outlineLevel="0" collapsed="false">
      <c r="A306" s="3" t="n">
        <v>131</v>
      </c>
      <c r="B306" s="51" t="s">
        <v>487</v>
      </c>
      <c r="C306" s="51" t="s">
        <v>488</v>
      </c>
      <c r="D306" s="6" t="n">
        <v>213711</v>
      </c>
      <c r="E306" s="51" t="s">
        <v>598</v>
      </c>
      <c r="F306" s="47" t="n">
        <v>31</v>
      </c>
      <c r="G306" s="49" t="n">
        <v>213442</v>
      </c>
      <c r="H306" s="3" t="s">
        <v>721</v>
      </c>
      <c r="I306" s="3" t="n">
        <v>3</v>
      </c>
      <c r="J306" s="53" t="n">
        <v>45113</v>
      </c>
      <c r="K306" s="3" t="s">
        <v>722</v>
      </c>
      <c r="L306" s="54" t="n">
        <v>45113.1994907407</v>
      </c>
      <c r="M306" s="3" t="n">
        <v>115</v>
      </c>
    </row>
    <row r="307" customFormat="false" ht="14.25" hidden="false" customHeight="false" outlineLevel="0" collapsed="false">
      <c r="A307" s="3" t="n">
        <v>132</v>
      </c>
      <c r="B307" s="51" t="s">
        <v>487</v>
      </c>
      <c r="C307" s="51" t="s">
        <v>488</v>
      </c>
      <c r="D307" s="6" t="n">
        <v>213711</v>
      </c>
      <c r="E307" s="51" t="s">
        <v>598</v>
      </c>
      <c r="F307" s="47" t="n">
        <v>31</v>
      </c>
      <c r="G307" s="49" t="n">
        <v>213442</v>
      </c>
      <c r="H307" s="3" t="s">
        <v>723</v>
      </c>
      <c r="I307" s="3" t="n">
        <v>1</v>
      </c>
      <c r="J307" s="53" t="n">
        <v>45113</v>
      </c>
      <c r="K307" s="3" t="s">
        <v>724</v>
      </c>
      <c r="L307" s="54" t="n">
        <v>45113.2006712963</v>
      </c>
      <c r="M307" s="3" t="n">
        <v>116</v>
      </c>
    </row>
    <row r="308" customFormat="false" ht="14.25" hidden="false" customHeight="false" outlineLevel="0" collapsed="false">
      <c r="A308" s="3" t="n">
        <v>133</v>
      </c>
      <c r="B308" s="51" t="s">
        <v>487</v>
      </c>
      <c r="C308" s="51" t="s">
        <v>488</v>
      </c>
      <c r="D308" s="6" t="n">
        <v>213711</v>
      </c>
      <c r="E308" s="51" t="s">
        <v>598</v>
      </c>
      <c r="F308" s="47" t="n">
        <v>31</v>
      </c>
      <c r="G308" s="49" t="n">
        <v>213442</v>
      </c>
      <c r="H308" s="3" t="s">
        <v>725</v>
      </c>
      <c r="I308" s="3" t="n">
        <v>3</v>
      </c>
      <c r="J308" s="53" t="n">
        <v>45113</v>
      </c>
      <c r="K308" s="3" t="s">
        <v>726</v>
      </c>
      <c r="L308" s="54" t="n">
        <v>45113.2008449074</v>
      </c>
      <c r="M308" s="3" t="n">
        <v>117</v>
      </c>
    </row>
    <row r="309" customFormat="false" ht="14.25" hidden="false" customHeight="false" outlineLevel="0" collapsed="false">
      <c r="A309" s="3" t="n">
        <v>134</v>
      </c>
      <c r="B309" s="51" t="s">
        <v>487</v>
      </c>
      <c r="C309" s="51" t="s">
        <v>488</v>
      </c>
      <c r="D309" s="6" t="n">
        <v>213711</v>
      </c>
      <c r="E309" s="51" t="s">
        <v>727</v>
      </c>
      <c r="F309" s="47" t="n">
        <v>21</v>
      </c>
      <c r="G309" s="49" t="n">
        <v>213097</v>
      </c>
      <c r="H309" s="3" t="s">
        <v>728</v>
      </c>
      <c r="I309" s="3" t="n">
        <v>0</v>
      </c>
      <c r="J309" s="53" t="n">
        <v>45113</v>
      </c>
      <c r="K309" s="3" t="s">
        <v>729</v>
      </c>
      <c r="L309" s="54" t="n">
        <v>45113.2017013889</v>
      </c>
      <c r="M309" s="3" t="n">
        <v>118</v>
      </c>
    </row>
    <row r="310" customFormat="false" ht="14.25" hidden="false" customHeight="false" outlineLevel="0" collapsed="false">
      <c r="A310" s="3" t="n">
        <v>135</v>
      </c>
      <c r="B310" s="51" t="s">
        <v>487</v>
      </c>
      <c r="C310" s="51" t="s">
        <v>488</v>
      </c>
      <c r="D310" s="6" t="n">
        <v>213711</v>
      </c>
      <c r="E310" s="51" t="s">
        <v>727</v>
      </c>
      <c r="F310" s="47" t="n">
        <v>21</v>
      </c>
      <c r="G310" s="49" t="n">
        <v>213097</v>
      </c>
      <c r="H310" s="3" t="s">
        <v>730</v>
      </c>
      <c r="I310" s="3" t="n">
        <v>1</v>
      </c>
      <c r="J310" s="53" t="n">
        <v>45113</v>
      </c>
      <c r="K310" s="3" t="s">
        <v>731</v>
      </c>
      <c r="L310" s="54" t="n">
        <v>45113.201712963</v>
      </c>
      <c r="M310" s="3" t="n">
        <v>119</v>
      </c>
    </row>
    <row r="311" customFormat="false" ht="14.25" hidden="false" customHeight="false" outlineLevel="0" collapsed="false">
      <c r="A311" s="3" t="n">
        <v>136</v>
      </c>
      <c r="B311" s="51" t="s">
        <v>487</v>
      </c>
      <c r="C311" s="51" t="s">
        <v>488</v>
      </c>
      <c r="D311" s="6" t="n">
        <v>213711</v>
      </c>
      <c r="E311" s="51" t="s">
        <v>727</v>
      </c>
      <c r="F311" s="47" t="n">
        <v>21</v>
      </c>
      <c r="G311" s="49" t="n">
        <v>213097</v>
      </c>
      <c r="H311" s="3" t="s">
        <v>732</v>
      </c>
      <c r="I311" s="3" t="n">
        <v>1</v>
      </c>
      <c r="J311" s="53" t="n">
        <v>45113</v>
      </c>
      <c r="K311" s="3" t="s">
        <v>733</v>
      </c>
      <c r="L311" s="54" t="n">
        <v>45113.2018981481</v>
      </c>
      <c r="M311" s="3" t="n">
        <v>120</v>
      </c>
    </row>
    <row r="312" customFormat="false" ht="14.25" hidden="false" customHeight="false" outlineLevel="0" collapsed="false">
      <c r="A312" s="3" t="n">
        <v>137</v>
      </c>
      <c r="B312" s="51" t="s">
        <v>487</v>
      </c>
      <c r="C312" s="51" t="s">
        <v>488</v>
      </c>
      <c r="D312" s="6" t="n">
        <v>213711</v>
      </c>
      <c r="E312" s="51" t="s">
        <v>727</v>
      </c>
      <c r="F312" s="47" t="n">
        <v>21</v>
      </c>
      <c r="G312" s="49" t="n">
        <v>213097</v>
      </c>
      <c r="H312" s="3" t="s">
        <v>734</v>
      </c>
      <c r="I312" s="3" t="n">
        <v>1</v>
      </c>
      <c r="J312" s="53" t="n">
        <v>45113</v>
      </c>
      <c r="K312" s="3" t="s">
        <v>735</v>
      </c>
      <c r="L312" s="54" t="n">
        <v>45113.2022106481</v>
      </c>
      <c r="M312" s="3" t="n">
        <v>121</v>
      </c>
    </row>
    <row r="313" customFormat="false" ht="14.25" hidden="false" customHeight="false" outlineLevel="0" collapsed="false">
      <c r="A313" s="3" t="n">
        <v>138</v>
      </c>
      <c r="B313" s="51" t="s">
        <v>487</v>
      </c>
      <c r="C313" s="51" t="s">
        <v>488</v>
      </c>
      <c r="D313" s="6" t="n">
        <v>213711</v>
      </c>
      <c r="E313" s="51" t="s">
        <v>727</v>
      </c>
      <c r="F313" s="47" t="n">
        <v>21</v>
      </c>
      <c r="G313" s="49" t="n">
        <v>213097</v>
      </c>
      <c r="H313" s="3" t="s">
        <v>736</v>
      </c>
      <c r="I313" s="3" t="n">
        <v>2</v>
      </c>
      <c r="J313" s="53" t="n">
        <v>45113</v>
      </c>
      <c r="K313" s="3" t="s">
        <v>737</v>
      </c>
      <c r="L313" s="54" t="n">
        <v>45113.2022222222</v>
      </c>
      <c r="M313" s="3" t="n">
        <v>122</v>
      </c>
    </row>
    <row r="314" customFormat="false" ht="14.25" hidden="false" customHeight="false" outlineLevel="0" collapsed="false">
      <c r="A314" s="3" t="n">
        <v>139</v>
      </c>
      <c r="B314" s="51" t="s">
        <v>487</v>
      </c>
      <c r="C314" s="51" t="s">
        <v>488</v>
      </c>
      <c r="D314" s="6" t="n">
        <v>213711</v>
      </c>
      <c r="E314" s="51" t="s">
        <v>727</v>
      </c>
      <c r="F314" s="47" t="n">
        <v>21</v>
      </c>
      <c r="G314" s="49" t="n">
        <v>213097</v>
      </c>
      <c r="H314" s="3" t="s">
        <v>738</v>
      </c>
      <c r="I314" s="3" t="n">
        <v>1</v>
      </c>
      <c r="J314" s="53" t="n">
        <v>45113</v>
      </c>
      <c r="K314" s="3" t="s">
        <v>739</v>
      </c>
      <c r="L314" s="54" t="n">
        <v>45113.2024768519</v>
      </c>
      <c r="M314" s="3" t="n">
        <v>123</v>
      </c>
    </row>
    <row r="315" customFormat="false" ht="14.25" hidden="false" customHeight="false" outlineLevel="0" collapsed="false">
      <c r="A315" s="3" t="n">
        <v>140</v>
      </c>
      <c r="B315" s="51" t="s">
        <v>487</v>
      </c>
      <c r="C315" s="51" t="s">
        <v>488</v>
      </c>
      <c r="D315" s="6" t="n">
        <v>213711</v>
      </c>
      <c r="E315" s="51" t="s">
        <v>727</v>
      </c>
      <c r="F315" s="47" t="n">
        <v>21</v>
      </c>
      <c r="G315" s="49" t="n">
        <v>213097</v>
      </c>
      <c r="H315" s="3" t="s">
        <v>740</v>
      </c>
      <c r="I315" s="3" t="n">
        <v>0</v>
      </c>
      <c r="J315" s="53" t="n">
        <v>45113</v>
      </c>
      <c r="K315" s="3" t="s">
        <v>741</v>
      </c>
      <c r="L315" s="54" t="n">
        <v>45113.2027199074</v>
      </c>
      <c r="M315" s="3" t="n">
        <v>124</v>
      </c>
    </row>
    <row r="316" customFormat="false" ht="14.25" hidden="false" customHeight="false" outlineLevel="0" collapsed="false">
      <c r="A316" s="3" t="n">
        <v>141</v>
      </c>
      <c r="B316" s="51" t="s">
        <v>487</v>
      </c>
      <c r="C316" s="51" t="s">
        <v>488</v>
      </c>
      <c r="D316" s="6" t="n">
        <v>213711</v>
      </c>
      <c r="E316" s="51" t="s">
        <v>727</v>
      </c>
      <c r="F316" s="47" t="n">
        <v>21</v>
      </c>
      <c r="G316" s="49" t="n">
        <v>213097</v>
      </c>
      <c r="H316" s="3" t="s">
        <v>742</v>
      </c>
      <c r="I316" s="3" t="n">
        <v>0</v>
      </c>
      <c r="J316" s="53" t="n">
        <v>45113</v>
      </c>
      <c r="K316" s="3" t="s">
        <v>743</v>
      </c>
      <c r="L316" s="54" t="n">
        <v>45113.2027430556</v>
      </c>
      <c r="M316" s="3" t="n">
        <v>125</v>
      </c>
    </row>
    <row r="317" customFormat="false" ht="14.25" hidden="false" customHeight="false" outlineLevel="0" collapsed="false">
      <c r="A317" s="3" t="n">
        <v>142</v>
      </c>
      <c r="B317" s="51" t="s">
        <v>487</v>
      </c>
      <c r="C317" s="51" t="s">
        <v>488</v>
      </c>
      <c r="D317" s="6" t="n">
        <v>213711</v>
      </c>
      <c r="E317" s="51" t="s">
        <v>727</v>
      </c>
      <c r="F317" s="47" t="n">
        <v>21</v>
      </c>
      <c r="G317" s="49" t="n">
        <v>213097</v>
      </c>
      <c r="H317" s="3" t="s">
        <v>744</v>
      </c>
      <c r="I317" s="3" t="n">
        <v>1</v>
      </c>
      <c r="J317" s="53" t="n">
        <v>45113</v>
      </c>
      <c r="K317" s="3" t="s">
        <v>745</v>
      </c>
      <c r="L317" s="54" t="n">
        <v>45113.203287037</v>
      </c>
      <c r="M317" s="3" t="n">
        <v>126</v>
      </c>
    </row>
    <row r="318" customFormat="false" ht="14.25" hidden="false" customHeight="false" outlineLevel="0" collapsed="false">
      <c r="A318" s="3" t="n">
        <v>143</v>
      </c>
      <c r="B318" s="51" t="s">
        <v>487</v>
      </c>
      <c r="C318" s="51" t="s">
        <v>488</v>
      </c>
      <c r="D318" s="6" t="n">
        <v>213711</v>
      </c>
      <c r="E318" s="51" t="s">
        <v>727</v>
      </c>
      <c r="F318" s="47" t="n">
        <v>21</v>
      </c>
      <c r="G318" s="49" t="n">
        <v>213097</v>
      </c>
      <c r="H318" s="3" t="s">
        <v>746</v>
      </c>
      <c r="I318" s="3" t="n">
        <v>1</v>
      </c>
      <c r="J318" s="53" t="n">
        <v>45113</v>
      </c>
      <c r="K318" s="3" t="s">
        <v>747</v>
      </c>
      <c r="L318" s="54" t="n">
        <v>45113.2036689815</v>
      </c>
      <c r="M318" s="3" t="n">
        <v>127</v>
      </c>
    </row>
    <row r="319" customFormat="false" ht="14.25" hidden="false" customHeight="false" outlineLevel="0" collapsed="false">
      <c r="A319" s="3" t="n">
        <v>144</v>
      </c>
      <c r="B319" s="51" t="s">
        <v>487</v>
      </c>
      <c r="C319" s="51" t="s">
        <v>488</v>
      </c>
      <c r="D319" s="6" t="n">
        <v>213711</v>
      </c>
      <c r="E319" s="51" t="s">
        <v>727</v>
      </c>
      <c r="F319" s="55" t="n">
        <v>21</v>
      </c>
      <c r="G319" s="56" t="n">
        <v>213097</v>
      </c>
      <c r="H319" s="3" t="s">
        <v>748</v>
      </c>
      <c r="I319" s="3" t="n">
        <v>2</v>
      </c>
      <c r="J319" s="53" t="n">
        <v>45113</v>
      </c>
      <c r="K319" s="3" t="s">
        <v>749</v>
      </c>
      <c r="L319" s="54" t="n">
        <v>45113.2041087963</v>
      </c>
      <c r="M319" s="3" t="n">
        <v>128</v>
      </c>
    </row>
    <row r="320" customFormat="false" ht="14.25" hidden="false" customHeight="false" outlineLevel="0" collapsed="false">
      <c r="A320" s="3" t="n">
        <v>145</v>
      </c>
      <c r="B320" s="51" t="s">
        <v>487</v>
      </c>
      <c r="C320" s="51" t="s">
        <v>488</v>
      </c>
      <c r="D320" s="6" t="n">
        <v>213711</v>
      </c>
      <c r="E320" s="51" t="s">
        <v>646</v>
      </c>
      <c r="F320" s="47" t="n">
        <v>19</v>
      </c>
      <c r="G320" s="49" t="n">
        <v>202451</v>
      </c>
      <c r="H320" s="3" t="s">
        <v>750</v>
      </c>
      <c r="I320" s="3" t="n">
        <v>2</v>
      </c>
      <c r="J320" s="53" t="n">
        <v>45113</v>
      </c>
      <c r="K320" s="3" t="s">
        <v>751</v>
      </c>
      <c r="L320" s="54" t="n">
        <v>45113.2043865741</v>
      </c>
      <c r="M320" s="3" t="n">
        <v>129</v>
      </c>
    </row>
    <row r="321" customFormat="false" ht="14.25" hidden="false" customHeight="false" outlineLevel="0" collapsed="false">
      <c r="A321" s="3" t="n">
        <v>146</v>
      </c>
      <c r="B321" s="51" t="s">
        <v>487</v>
      </c>
      <c r="C321" s="51" t="s">
        <v>488</v>
      </c>
      <c r="D321" s="6" t="n">
        <v>213711</v>
      </c>
      <c r="E321" s="51" t="s">
        <v>646</v>
      </c>
      <c r="F321" s="47" t="n">
        <v>19</v>
      </c>
      <c r="G321" s="49" t="n">
        <v>202451</v>
      </c>
      <c r="H321" s="3" t="s">
        <v>752</v>
      </c>
      <c r="I321" s="3" t="n">
        <v>1</v>
      </c>
      <c r="J321" s="53" t="n">
        <v>45113</v>
      </c>
      <c r="K321" s="3" t="s">
        <v>753</v>
      </c>
      <c r="L321" s="54" t="n">
        <v>45113.2056134259</v>
      </c>
      <c r="M321" s="3" t="n">
        <v>130</v>
      </c>
    </row>
    <row r="322" customFormat="false" ht="14.25" hidden="false" customHeight="false" outlineLevel="0" collapsed="false">
      <c r="A322" s="3" t="n">
        <v>147</v>
      </c>
      <c r="B322" s="51" t="s">
        <v>487</v>
      </c>
      <c r="C322" s="51" t="s">
        <v>488</v>
      </c>
      <c r="D322" s="6" t="n">
        <v>213711</v>
      </c>
      <c r="E322" s="51" t="s">
        <v>727</v>
      </c>
      <c r="F322" s="47" t="n">
        <v>21</v>
      </c>
      <c r="G322" s="49" t="n">
        <v>213097</v>
      </c>
      <c r="H322" s="3" t="s">
        <v>754</v>
      </c>
      <c r="I322" s="3" t="n">
        <v>1</v>
      </c>
      <c r="J322" s="53" t="n">
        <v>45113</v>
      </c>
      <c r="K322" s="3" t="s">
        <v>755</v>
      </c>
      <c r="L322" s="54" t="n">
        <v>45113.2091898148</v>
      </c>
      <c r="M322" s="3" t="n">
        <v>131</v>
      </c>
    </row>
    <row r="323" customFormat="false" ht="14.25" hidden="false" customHeight="false" outlineLevel="0" collapsed="false">
      <c r="A323" s="3" t="n">
        <v>148</v>
      </c>
      <c r="B323" s="51" t="s">
        <v>487</v>
      </c>
      <c r="C323" s="51" t="s">
        <v>488</v>
      </c>
      <c r="D323" s="6" t="n">
        <v>213711</v>
      </c>
      <c r="E323" s="51" t="s">
        <v>727</v>
      </c>
      <c r="F323" s="47" t="n">
        <v>21</v>
      </c>
      <c r="G323" s="49" t="n">
        <v>213097</v>
      </c>
      <c r="H323" s="3" t="s">
        <v>756</v>
      </c>
      <c r="I323" s="3" t="n">
        <v>2</v>
      </c>
      <c r="J323" s="53" t="n">
        <v>45113</v>
      </c>
      <c r="K323" s="3" t="s">
        <v>757</v>
      </c>
      <c r="L323" s="54" t="n">
        <v>45113.2092013889</v>
      </c>
      <c r="M323" s="3" t="n">
        <v>132</v>
      </c>
    </row>
    <row r="324" customFormat="false" ht="14.25" hidden="false" customHeight="false" outlineLevel="0" collapsed="false">
      <c r="A324" s="3" t="n">
        <v>149</v>
      </c>
      <c r="B324" s="51" t="s">
        <v>487</v>
      </c>
      <c r="C324" s="51" t="s">
        <v>488</v>
      </c>
      <c r="D324" s="6" t="n">
        <v>213711</v>
      </c>
      <c r="E324" s="51" t="s">
        <v>598</v>
      </c>
      <c r="F324" s="47" t="n">
        <v>31</v>
      </c>
      <c r="G324" s="49" t="n">
        <v>213442</v>
      </c>
      <c r="H324" s="3" t="s">
        <v>758</v>
      </c>
      <c r="I324" s="3" t="n">
        <v>0</v>
      </c>
      <c r="J324" s="53" t="n">
        <v>45113</v>
      </c>
      <c r="K324" s="3" t="s">
        <v>759</v>
      </c>
      <c r="L324" s="54" t="n">
        <v>45113.2858564815</v>
      </c>
      <c r="M324" s="3" t="n">
        <v>133</v>
      </c>
    </row>
    <row r="325" customFormat="false" ht="14.25" hidden="false" customHeight="false" outlineLevel="0" collapsed="false">
      <c r="A325" s="3" t="n">
        <v>150</v>
      </c>
      <c r="B325" s="51" t="s">
        <v>487</v>
      </c>
      <c r="C325" s="51" t="s">
        <v>488</v>
      </c>
      <c r="D325" s="6" t="n">
        <v>213711</v>
      </c>
      <c r="E325" s="51" t="s">
        <v>603</v>
      </c>
      <c r="F325" s="47" t="n">
        <v>15</v>
      </c>
      <c r="G325" s="49" t="n">
        <v>202196</v>
      </c>
      <c r="H325" s="3" t="s">
        <v>760</v>
      </c>
      <c r="I325" s="3" t="n">
        <v>2</v>
      </c>
      <c r="J325" s="53" t="n">
        <v>45113</v>
      </c>
      <c r="K325" s="3" t="s">
        <v>761</v>
      </c>
      <c r="L325" s="54" t="n">
        <v>45113.2896412037</v>
      </c>
      <c r="M325" s="3" t="n">
        <v>134</v>
      </c>
    </row>
    <row r="326" customFormat="false" ht="14.25" hidden="false" customHeight="false" outlineLevel="0" collapsed="false">
      <c r="A326" s="3" t="n">
        <v>151</v>
      </c>
      <c r="B326" s="51" t="s">
        <v>487</v>
      </c>
      <c r="C326" s="51" t="s">
        <v>488</v>
      </c>
      <c r="D326" s="6" t="n">
        <v>213711</v>
      </c>
      <c r="E326" s="51" t="s">
        <v>603</v>
      </c>
      <c r="F326" s="47" t="n">
        <v>15</v>
      </c>
      <c r="G326" s="49" t="n">
        <v>202196</v>
      </c>
      <c r="H326" s="3" t="s">
        <v>762</v>
      </c>
      <c r="I326" s="3" t="n">
        <v>0</v>
      </c>
      <c r="J326" s="53" t="n">
        <v>45113</v>
      </c>
      <c r="K326" s="3" t="s">
        <v>763</v>
      </c>
      <c r="L326" s="54" t="n">
        <v>45113.2900578704</v>
      </c>
      <c r="M326" s="3" t="n">
        <v>135</v>
      </c>
    </row>
    <row r="327" customFormat="false" ht="14.25" hidden="false" customHeight="false" outlineLevel="0" collapsed="false">
      <c r="A327" s="3" t="n">
        <v>152</v>
      </c>
      <c r="B327" s="51" t="s">
        <v>487</v>
      </c>
      <c r="C327" s="51" t="s">
        <v>488</v>
      </c>
      <c r="D327" s="6" t="n">
        <v>213711</v>
      </c>
      <c r="E327" s="51" t="s">
        <v>603</v>
      </c>
      <c r="F327" s="47" t="n">
        <v>15</v>
      </c>
      <c r="G327" s="49" t="n">
        <v>202196</v>
      </c>
      <c r="H327" s="3" t="s">
        <v>764</v>
      </c>
      <c r="I327" s="3" t="n">
        <v>2</v>
      </c>
      <c r="J327" s="53" t="n">
        <v>45113</v>
      </c>
      <c r="K327" s="3" t="s">
        <v>765</v>
      </c>
      <c r="L327" s="54" t="n">
        <v>45113.2900810185</v>
      </c>
      <c r="M327" s="3" t="n">
        <v>136</v>
      </c>
    </row>
    <row r="328" customFormat="false" ht="14.25" hidden="false" customHeight="false" outlineLevel="0" collapsed="false">
      <c r="A328" s="3" t="n">
        <v>153</v>
      </c>
      <c r="B328" s="51" t="s">
        <v>487</v>
      </c>
      <c r="C328" s="51" t="s">
        <v>488</v>
      </c>
      <c r="D328" s="6" t="n">
        <v>213711</v>
      </c>
      <c r="E328" s="51" t="s">
        <v>603</v>
      </c>
      <c r="F328" s="47" t="n">
        <v>15</v>
      </c>
      <c r="G328" s="49" t="n">
        <v>202196</v>
      </c>
      <c r="H328" s="3" t="s">
        <v>766</v>
      </c>
      <c r="I328" s="3" t="n">
        <v>2</v>
      </c>
      <c r="J328" s="53" t="n">
        <v>45113</v>
      </c>
      <c r="K328" s="3" t="s">
        <v>767</v>
      </c>
      <c r="L328" s="54" t="n">
        <v>45113.2936226852</v>
      </c>
      <c r="M328" s="3" t="n">
        <v>137</v>
      </c>
    </row>
    <row r="329" customFormat="false" ht="14.25" hidden="false" customHeight="false" outlineLevel="0" collapsed="false">
      <c r="A329" s="3" t="n">
        <v>154</v>
      </c>
      <c r="B329" s="51" t="s">
        <v>487</v>
      </c>
      <c r="C329" s="51" t="s">
        <v>488</v>
      </c>
      <c r="D329" s="6" t="n">
        <v>213711</v>
      </c>
      <c r="E329" s="51" t="s">
        <v>603</v>
      </c>
      <c r="F329" s="47" t="n">
        <v>15</v>
      </c>
      <c r="G329" s="49" t="n">
        <v>202196</v>
      </c>
      <c r="H329" s="3" t="s">
        <v>768</v>
      </c>
      <c r="I329" s="3" t="n">
        <v>2</v>
      </c>
      <c r="J329" s="53" t="n">
        <v>45113</v>
      </c>
      <c r="K329" s="3" t="s">
        <v>769</v>
      </c>
      <c r="L329" s="54" t="n">
        <v>45113.3972916667</v>
      </c>
      <c r="M329" s="3" t="n">
        <v>138</v>
      </c>
    </row>
    <row r="330" customFormat="false" ht="14.25" hidden="false" customHeight="false" outlineLevel="0" collapsed="false">
      <c r="A330" s="3" t="n">
        <v>155</v>
      </c>
      <c r="B330" s="51" t="s">
        <v>487</v>
      </c>
      <c r="C330" s="51" t="s">
        <v>488</v>
      </c>
      <c r="D330" s="6" t="n">
        <v>213711</v>
      </c>
      <c r="E330" s="51" t="s">
        <v>603</v>
      </c>
      <c r="F330" s="47" t="n">
        <v>15</v>
      </c>
      <c r="G330" s="49" t="n">
        <v>202196</v>
      </c>
      <c r="H330" s="3" t="s">
        <v>770</v>
      </c>
      <c r="I330" s="3" t="n">
        <v>5</v>
      </c>
      <c r="J330" s="53" t="n">
        <v>45113</v>
      </c>
      <c r="K330" s="3" t="s">
        <v>771</v>
      </c>
      <c r="L330" s="54" t="n">
        <v>45113.397349537</v>
      </c>
      <c r="M330" s="3" t="n">
        <v>139</v>
      </c>
    </row>
    <row r="331" customFormat="false" ht="14.25" hidden="false" customHeight="false" outlineLevel="0" collapsed="false">
      <c r="A331" s="3" t="n">
        <v>156</v>
      </c>
      <c r="B331" s="51" t="s">
        <v>487</v>
      </c>
      <c r="C331" s="51" t="s">
        <v>488</v>
      </c>
      <c r="D331" s="6" t="n">
        <v>213711</v>
      </c>
      <c r="E331" s="51" t="s">
        <v>603</v>
      </c>
      <c r="F331" s="47" t="n">
        <v>15</v>
      </c>
      <c r="G331" s="49" t="n">
        <v>202196</v>
      </c>
      <c r="H331" s="3" t="s">
        <v>772</v>
      </c>
      <c r="I331" s="3" t="n">
        <v>1</v>
      </c>
      <c r="J331" s="53" t="n">
        <v>45113</v>
      </c>
      <c r="K331" s="3" t="s">
        <v>773</v>
      </c>
      <c r="L331" s="54" t="n">
        <v>45113.3990625</v>
      </c>
      <c r="M331" s="3" t="n">
        <v>140</v>
      </c>
    </row>
    <row r="332" customFormat="false" ht="14.25" hidden="false" customHeight="false" outlineLevel="0" collapsed="false">
      <c r="A332" s="3" t="n">
        <v>157</v>
      </c>
      <c r="B332" s="51" t="s">
        <v>487</v>
      </c>
      <c r="C332" s="51" t="s">
        <v>488</v>
      </c>
      <c r="D332" s="6" t="n">
        <v>213711</v>
      </c>
      <c r="E332" s="51" t="s">
        <v>603</v>
      </c>
      <c r="F332" s="47" t="n">
        <v>15</v>
      </c>
      <c r="G332" s="49" t="n">
        <v>202196</v>
      </c>
      <c r="H332" s="3" t="s">
        <v>774</v>
      </c>
      <c r="I332" s="3" t="n">
        <v>3</v>
      </c>
      <c r="J332" s="53" t="n">
        <v>45113</v>
      </c>
      <c r="K332" s="3" t="s">
        <v>775</v>
      </c>
      <c r="L332" s="54" t="n">
        <v>45113.400787037</v>
      </c>
      <c r="M332" s="3" t="n">
        <v>141</v>
      </c>
    </row>
    <row r="333" customFormat="false" ht="14.25" hidden="false" customHeight="false" outlineLevel="0" collapsed="false">
      <c r="A333" s="3" t="n">
        <v>158</v>
      </c>
      <c r="B333" s="51" t="s">
        <v>487</v>
      </c>
      <c r="C333" s="51" t="s">
        <v>488</v>
      </c>
      <c r="D333" s="6" t="n">
        <v>213711</v>
      </c>
      <c r="E333" s="51" t="s">
        <v>489</v>
      </c>
      <c r="F333" s="47" t="n">
        <v>11</v>
      </c>
      <c r="G333" s="49" t="n">
        <v>202045</v>
      </c>
      <c r="H333" s="3" t="s">
        <v>776</v>
      </c>
      <c r="I333" s="3" t="n">
        <v>2</v>
      </c>
      <c r="J333" s="53" t="n">
        <v>45113</v>
      </c>
      <c r="K333" s="3" t="s">
        <v>777</v>
      </c>
      <c r="L333" s="54" t="n">
        <v>45113.4017824074</v>
      </c>
      <c r="M333" s="3" t="n">
        <v>142</v>
      </c>
    </row>
    <row r="334" customFormat="false" ht="14.25" hidden="false" customHeight="false" outlineLevel="0" collapsed="false">
      <c r="A334" s="3" t="n">
        <v>159</v>
      </c>
      <c r="B334" s="51" t="s">
        <v>487</v>
      </c>
      <c r="C334" s="51" t="s">
        <v>488</v>
      </c>
      <c r="D334" s="6" t="n">
        <v>213711</v>
      </c>
      <c r="E334" s="51" t="s">
        <v>489</v>
      </c>
      <c r="F334" s="47" t="n">
        <v>11</v>
      </c>
      <c r="G334" s="49" t="n">
        <v>202045</v>
      </c>
      <c r="H334" s="3" t="s">
        <v>778</v>
      </c>
      <c r="I334" s="3" t="n">
        <v>0</v>
      </c>
      <c r="J334" s="53" t="n">
        <v>45113</v>
      </c>
      <c r="K334" s="3" t="s">
        <v>779</v>
      </c>
      <c r="L334" s="54" t="n">
        <v>45113.4042013889</v>
      </c>
      <c r="M334" s="3" t="n">
        <v>143</v>
      </c>
    </row>
    <row r="335" customFormat="false" ht="14.25" hidden="false" customHeight="false" outlineLevel="0" collapsed="false">
      <c r="A335" s="3" t="n">
        <v>160</v>
      </c>
      <c r="B335" s="51" t="s">
        <v>487</v>
      </c>
      <c r="C335" s="51" t="s">
        <v>488</v>
      </c>
      <c r="D335" s="6" t="n">
        <v>213711</v>
      </c>
      <c r="E335" s="51" t="s">
        <v>598</v>
      </c>
      <c r="F335" s="47" t="n">
        <v>31</v>
      </c>
      <c r="G335" s="49" t="n">
        <v>213442</v>
      </c>
      <c r="H335" s="3" t="s">
        <v>780</v>
      </c>
      <c r="I335" s="3" t="n">
        <v>0</v>
      </c>
      <c r="J335" s="53" t="n">
        <v>45113</v>
      </c>
      <c r="K335" s="3" t="s">
        <v>781</v>
      </c>
      <c r="L335" s="54" t="n">
        <v>45113.4097685185</v>
      </c>
      <c r="M335" s="3" t="n">
        <v>144</v>
      </c>
    </row>
    <row r="336" customFormat="false" ht="14.25" hidden="false" customHeight="false" outlineLevel="0" collapsed="false">
      <c r="A336" s="3" t="n">
        <v>161</v>
      </c>
      <c r="B336" s="51" t="s">
        <v>487</v>
      </c>
      <c r="C336" s="51" t="s">
        <v>488</v>
      </c>
      <c r="D336" s="6" t="n">
        <v>213711</v>
      </c>
      <c r="E336" s="51" t="s">
        <v>603</v>
      </c>
      <c r="F336" s="47" t="n">
        <v>15</v>
      </c>
      <c r="G336" s="49" t="n">
        <v>202196</v>
      </c>
      <c r="H336" s="3" t="s">
        <v>782</v>
      </c>
      <c r="I336" s="3" t="n">
        <v>0</v>
      </c>
      <c r="J336" s="53" t="n">
        <v>45113</v>
      </c>
      <c r="K336" s="3" t="s">
        <v>783</v>
      </c>
      <c r="L336" s="54" t="n">
        <v>45113.4427083333</v>
      </c>
      <c r="M336" s="3" t="n">
        <v>145</v>
      </c>
    </row>
    <row r="337" customFormat="false" ht="14.25" hidden="false" customHeight="false" outlineLevel="0" collapsed="false">
      <c r="A337" s="3" t="n">
        <v>162</v>
      </c>
      <c r="B337" s="51" t="s">
        <v>487</v>
      </c>
      <c r="C337" s="51" t="s">
        <v>488</v>
      </c>
      <c r="D337" s="6" t="n">
        <v>213711</v>
      </c>
      <c r="E337" s="51" t="s">
        <v>603</v>
      </c>
      <c r="F337" s="47" t="n">
        <v>15</v>
      </c>
      <c r="G337" s="49" t="n">
        <v>202196</v>
      </c>
      <c r="H337" s="3" t="s">
        <v>784</v>
      </c>
      <c r="I337" s="3" t="n">
        <v>3</v>
      </c>
      <c r="J337" s="53" t="n">
        <v>45113</v>
      </c>
      <c r="K337" s="3" t="s">
        <v>785</v>
      </c>
      <c r="L337" s="54" t="n">
        <v>45113.4436921296</v>
      </c>
      <c r="M337" s="3" t="n">
        <v>146</v>
      </c>
    </row>
    <row r="338" customFormat="false" ht="14.25" hidden="false" customHeight="false" outlineLevel="0" collapsed="false">
      <c r="A338" s="3" t="n">
        <v>163</v>
      </c>
      <c r="B338" s="51" t="s">
        <v>487</v>
      </c>
      <c r="C338" s="51" t="s">
        <v>488</v>
      </c>
      <c r="D338" s="6" t="n">
        <v>213711</v>
      </c>
      <c r="E338" s="51" t="s">
        <v>447</v>
      </c>
      <c r="F338" s="47" t="n">
        <v>42</v>
      </c>
      <c r="G338" s="49" t="n">
        <v>223292</v>
      </c>
      <c r="H338" s="3" t="s">
        <v>786</v>
      </c>
      <c r="I338" s="3" t="n">
        <v>1</v>
      </c>
      <c r="J338" s="53" t="n">
        <v>45113</v>
      </c>
      <c r="K338" s="3" t="s">
        <v>787</v>
      </c>
      <c r="L338" s="54" t="n">
        <v>45113.4453587963</v>
      </c>
      <c r="M338" s="3" t="n">
        <v>147</v>
      </c>
    </row>
    <row r="339" customFormat="false" ht="14.25" hidden="false" customHeight="false" outlineLevel="0" collapsed="false">
      <c r="A339" s="3" t="n">
        <v>164</v>
      </c>
      <c r="B339" s="51" t="s">
        <v>487</v>
      </c>
      <c r="C339" s="51" t="s">
        <v>488</v>
      </c>
      <c r="D339" s="6" t="n">
        <v>213711</v>
      </c>
      <c r="E339" s="51" t="s">
        <v>447</v>
      </c>
      <c r="F339" s="47" t="n">
        <v>42</v>
      </c>
      <c r="G339" s="49" t="n">
        <v>223292</v>
      </c>
      <c r="H339" s="3" t="s">
        <v>788</v>
      </c>
      <c r="I339" s="3" t="n">
        <v>1</v>
      </c>
      <c r="J339" s="53" t="n">
        <v>45113</v>
      </c>
      <c r="K339" s="3" t="s">
        <v>789</v>
      </c>
      <c r="L339" s="54" t="n">
        <v>45113.4453819444</v>
      </c>
      <c r="M339" s="3" t="n">
        <v>148</v>
      </c>
    </row>
    <row r="340" customFormat="false" ht="14.25" hidden="false" customHeight="false" outlineLevel="0" collapsed="false">
      <c r="A340" s="3" t="n">
        <v>165</v>
      </c>
      <c r="B340" s="51" t="s">
        <v>487</v>
      </c>
      <c r="C340" s="51" t="s">
        <v>488</v>
      </c>
      <c r="D340" s="6" t="n">
        <v>213711</v>
      </c>
      <c r="E340" s="51" t="s">
        <v>603</v>
      </c>
      <c r="F340" s="47" t="n">
        <v>15</v>
      </c>
      <c r="G340" s="49" t="n">
        <v>202196</v>
      </c>
      <c r="H340" s="3" t="s">
        <v>790</v>
      </c>
      <c r="I340" s="3" t="n">
        <v>1</v>
      </c>
      <c r="J340" s="53" t="n">
        <v>45113</v>
      </c>
      <c r="K340" s="3" t="s">
        <v>791</v>
      </c>
      <c r="L340" s="54" t="n">
        <v>45113.4463310185</v>
      </c>
      <c r="M340" s="3" t="n">
        <v>149</v>
      </c>
    </row>
    <row r="341" customFormat="false" ht="14.25" hidden="false" customHeight="false" outlineLevel="0" collapsed="false">
      <c r="A341" s="3" t="n">
        <v>166</v>
      </c>
      <c r="B341" s="51" t="s">
        <v>487</v>
      </c>
      <c r="C341" s="51" t="s">
        <v>488</v>
      </c>
      <c r="D341" s="6" t="n">
        <v>213711</v>
      </c>
      <c r="E341" s="51" t="s">
        <v>792</v>
      </c>
      <c r="F341" s="47" t="n">
        <v>7</v>
      </c>
      <c r="G341" s="49" t="n">
        <v>192193</v>
      </c>
      <c r="H341" s="3" t="s">
        <v>793</v>
      </c>
      <c r="I341" s="3" t="n">
        <v>1</v>
      </c>
      <c r="J341" s="53" t="n">
        <v>45113</v>
      </c>
      <c r="K341" s="3" t="s">
        <v>794</v>
      </c>
      <c r="L341" s="54" t="n">
        <v>45113.4503125</v>
      </c>
      <c r="M341" s="3" t="n">
        <v>150</v>
      </c>
    </row>
    <row r="342" customFormat="false" ht="14.25" hidden="false" customHeight="false" outlineLevel="0" collapsed="false">
      <c r="A342" s="3" t="n">
        <v>167</v>
      </c>
      <c r="B342" s="51" t="s">
        <v>487</v>
      </c>
      <c r="C342" s="51" t="s">
        <v>488</v>
      </c>
      <c r="D342" s="6" t="n">
        <v>213711</v>
      </c>
      <c r="E342" s="51" t="s">
        <v>795</v>
      </c>
      <c r="F342" s="47" t="n">
        <v>23</v>
      </c>
      <c r="G342" s="49" t="n">
        <v>213129</v>
      </c>
      <c r="H342" s="3" t="s">
        <v>796</v>
      </c>
      <c r="I342" s="3" t="n">
        <v>3</v>
      </c>
      <c r="J342" s="53" t="n">
        <v>45113</v>
      </c>
      <c r="K342" s="3" t="s">
        <v>797</v>
      </c>
      <c r="L342" s="54" t="n">
        <v>45113.5327199074</v>
      </c>
      <c r="M342" s="3" t="n">
        <v>151</v>
      </c>
    </row>
    <row r="343" customFormat="false" ht="14.25" hidden="false" customHeight="false" outlineLevel="0" collapsed="false">
      <c r="A343" s="3" t="n">
        <v>168</v>
      </c>
      <c r="B343" s="51" t="s">
        <v>487</v>
      </c>
      <c r="C343" s="51" t="s">
        <v>488</v>
      </c>
      <c r="D343" s="6" t="n">
        <v>213711</v>
      </c>
      <c r="E343" s="51" t="s">
        <v>489</v>
      </c>
      <c r="F343" s="47" t="n">
        <v>11</v>
      </c>
      <c r="G343" s="49" t="n">
        <v>202045</v>
      </c>
      <c r="H343" s="3" t="s">
        <v>798</v>
      </c>
      <c r="I343" s="3" t="n">
        <v>2</v>
      </c>
      <c r="J343" s="53" t="n">
        <v>45113</v>
      </c>
      <c r="K343" s="3" t="s">
        <v>799</v>
      </c>
      <c r="L343" s="54" t="n">
        <v>45113.5689351852</v>
      </c>
      <c r="M343" s="3" t="n">
        <v>152</v>
      </c>
    </row>
    <row r="344" customFormat="false" ht="14.25" hidden="false" customHeight="false" outlineLevel="0" collapsed="false">
      <c r="A344" s="3" t="n">
        <v>169</v>
      </c>
      <c r="B344" s="51" t="s">
        <v>487</v>
      </c>
      <c r="C344" s="51" t="s">
        <v>488</v>
      </c>
      <c r="D344" s="6" t="n">
        <v>213711</v>
      </c>
      <c r="E344" s="51" t="s">
        <v>603</v>
      </c>
      <c r="F344" s="47" t="n">
        <v>15</v>
      </c>
      <c r="G344" s="49" t="n">
        <v>202196</v>
      </c>
      <c r="H344" s="3" t="s">
        <v>800</v>
      </c>
      <c r="I344" s="3" t="n">
        <v>3</v>
      </c>
      <c r="J344" s="53" t="n">
        <v>45113</v>
      </c>
      <c r="K344" s="3" t="s">
        <v>801</v>
      </c>
      <c r="L344" s="54" t="n">
        <v>45113.5703356481</v>
      </c>
      <c r="M344" s="3" t="n">
        <v>153</v>
      </c>
    </row>
    <row r="345" customFormat="false" ht="14.25" hidden="false" customHeight="false" outlineLevel="0" collapsed="false">
      <c r="A345" s="3" t="n">
        <v>170</v>
      </c>
      <c r="B345" s="51" t="s">
        <v>487</v>
      </c>
      <c r="C345" s="51" t="s">
        <v>488</v>
      </c>
      <c r="D345" s="6" t="n">
        <v>213711</v>
      </c>
      <c r="E345" s="51" t="s">
        <v>603</v>
      </c>
      <c r="F345" s="47" t="n">
        <v>15</v>
      </c>
      <c r="G345" s="49" t="n">
        <v>202196</v>
      </c>
      <c r="H345" s="3" t="s">
        <v>802</v>
      </c>
      <c r="I345" s="3" t="n">
        <v>1</v>
      </c>
      <c r="J345" s="53" t="n">
        <v>45113</v>
      </c>
      <c r="K345" s="3" t="s">
        <v>803</v>
      </c>
      <c r="L345" s="54" t="n">
        <v>45113.572974537</v>
      </c>
      <c r="M345" s="3" t="n">
        <v>154</v>
      </c>
    </row>
    <row r="346" customFormat="false" ht="14.25" hidden="false" customHeight="false" outlineLevel="0" collapsed="false">
      <c r="A346" s="3" t="n">
        <v>171</v>
      </c>
      <c r="B346" s="51" t="s">
        <v>487</v>
      </c>
      <c r="C346" s="51" t="s">
        <v>488</v>
      </c>
      <c r="D346" s="6" t="n">
        <v>213711</v>
      </c>
      <c r="E346" s="51" t="s">
        <v>603</v>
      </c>
      <c r="F346" s="47" t="n">
        <v>15</v>
      </c>
      <c r="G346" s="49" t="n">
        <v>202196</v>
      </c>
      <c r="H346" s="3" t="s">
        <v>804</v>
      </c>
      <c r="I346" s="3" t="n">
        <v>1</v>
      </c>
      <c r="J346" s="53" t="n">
        <v>45113</v>
      </c>
      <c r="K346" s="3" t="s">
        <v>805</v>
      </c>
      <c r="L346" s="54" t="n">
        <v>45113.5730092593</v>
      </c>
      <c r="M346" s="3" t="n">
        <v>155</v>
      </c>
    </row>
    <row r="347" customFormat="false" ht="14.25" hidden="false" customHeight="false" outlineLevel="0" collapsed="false">
      <c r="A347" s="3" t="n">
        <v>172</v>
      </c>
      <c r="B347" s="51" t="s">
        <v>487</v>
      </c>
      <c r="C347" s="51" t="s">
        <v>488</v>
      </c>
      <c r="D347" s="6" t="n">
        <v>213711</v>
      </c>
      <c r="E347" s="51" t="s">
        <v>795</v>
      </c>
      <c r="F347" s="47" t="n">
        <v>23</v>
      </c>
      <c r="G347" s="49" t="n">
        <v>213129</v>
      </c>
      <c r="H347" s="3" t="s">
        <v>806</v>
      </c>
      <c r="I347" s="3" t="n">
        <v>1</v>
      </c>
      <c r="J347" s="53" t="n">
        <v>45113</v>
      </c>
      <c r="K347" s="3" t="s">
        <v>807</v>
      </c>
      <c r="L347" s="54" t="n">
        <v>45113.5775</v>
      </c>
      <c r="M347" s="3" t="n">
        <v>156</v>
      </c>
    </row>
    <row r="348" customFormat="false" ht="14.25" hidden="false" customHeight="false" outlineLevel="0" collapsed="false">
      <c r="A348" s="3" t="n">
        <v>173</v>
      </c>
      <c r="B348" s="51" t="s">
        <v>487</v>
      </c>
      <c r="C348" s="51" t="s">
        <v>488</v>
      </c>
      <c r="D348" s="6" t="n">
        <v>213711</v>
      </c>
      <c r="E348" s="51" t="s">
        <v>795</v>
      </c>
      <c r="F348" s="47" t="n">
        <v>23</v>
      </c>
      <c r="G348" s="49" t="n">
        <v>213129</v>
      </c>
      <c r="H348" s="3" t="s">
        <v>808</v>
      </c>
      <c r="I348" s="3" t="n">
        <v>0</v>
      </c>
      <c r="J348" s="53" t="n">
        <v>45113</v>
      </c>
      <c r="K348" s="3" t="s">
        <v>809</v>
      </c>
      <c r="L348" s="54" t="n">
        <v>45113.577962963</v>
      </c>
      <c r="M348" s="3" t="n">
        <v>157</v>
      </c>
    </row>
    <row r="349" customFormat="false" ht="14.25" hidden="false" customHeight="false" outlineLevel="0" collapsed="false">
      <c r="A349" s="3" t="n">
        <v>174</v>
      </c>
      <c r="B349" s="51" t="s">
        <v>487</v>
      </c>
      <c r="C349" s="51" t="s">
        <v>488</v>
      </c>
      <c r="D349" s="6" t="n">
        <v>213711</v>
      </c>
      <c r="E349" s="51" t="s">
        <v>795</v>
      </c>
      <c r="F349" s="47" t="n">
        <v>23</v>
      </c>
      <c r="G349" s="49" t="n">
        <v>213129</v>
      </c>
      <c r="H349" s="3" t="s">
        <v>810</v>
      </c>
      <c r="I349" s="3" t="n">
        <v>2</v>
      </c>
      <c r="J349" s="53" t="n">
        <v>45113</v>
      </c>
      <c r="K349" s="3" t="s">
        <v>811</v>
      </c>
      <c r="L349" s="54" t="n">
        <v>45113.577974537</v>
      </c>
      <c r="M349" s="3" t="n">
        <v>158</v>
      </c>
    </row>
    <row r="350" customFormat="false" ht="14.25" hidden="false" customHeight="false" outlineLevel="0" collapsed="false">
      <c r="A350" s="3" t="n">
        <v>175</v>
      </c>
      <c r="B350" s="51" t="s">
        <v>487</v>
      </c>
      <c r="C350" s="51" t="s">
        <v>488</v>
      </c>
      <c r="D350" s="6" t="n">
        <v>213711</v>
      </c>
      <c r="E350" s="51" t="s">
        <v>795</v>
      </c>
      <c r="F350" s="47" t="n">
        <v>23</v>
      </c>
      <c r="G350" s="49" t="n">
        <v>213129</v>
      </c>
      <c r="H350" s="3" t="s">
        <v>812</v>
      </c>
      <c r="I350" s="3" t="n">
        <v>2</v>
      </c>
      <c r="J350" s="53" t="n">
        <v>45113</v>
      </c>
      <c r="K350" s="3" t="s">
        <v>813</v>
      </c>
      <c r="L350" s="54" t="n">
        <v>45113.5785648148</v>
      </c>
      <c r="M350" s="3" t="n">
        <v>159</v>
      </c>
    </row>
    <row r="351" customFormat="false" ht="14.25" hidden="false" customHeight="false" outlineLevel="0" collapsed="false">
      <c r="A351" s="3" t="n">
        <v>176</v>
      </c>
      <c r="B351" s="51" t="s">
        <v>487</v>
      </c>
      <c r="C351" s="51" t="s">
        <v>488</v>
      </c>
      <c r="D351" s="6" t="n">
        <v>213711</v>
      </c>
      <c r="E351" s="51" t="s">
        <v>489</v>
      </c>
      <c r="F351" s="47" t="n">
        <v>11</v>
      </c>
      <c r="G351" s="49" t="n">
        <v>202045</v>
      </c>
      <c r="H351" s="3" t="s">
        <v>814</v>
      </c>
      <c r="I351" s="3" t="n">
        <v>1</v>
      </c>
      <c r="J351" s="53" t="n">
        <v>45113</v>
      </c>
      <c r="K351" s="3" t="s">
        <v>815</v>
      </c>
      <c r="L351" s="54" t="n">
        <v>45113.5788425926</v>
      </c>
      <c r="M351" s="3" t="n">
        <v>160</v>
      </c>
    </row>
    <row r="352" customFormat="false" ht="14.25" hidden="false" customHeight="false" outlineLevel="0" collapsed="false">
      <c r="A352" s="3" t="n">
        <v>177</v>
      </c>
      <c r="B352" s="51" t="s">
        <v>487</v>
      </c>
      <c r="C352" s="51" t="s">
        <v>488</v>
      </c>
      <c r="D352" s="6" t="n">
        <v>213711</v>
      </c>
      <c r="E352" s="51" t="s">
        <v>792</v>
      </c>
      <c r="F352" s="47" t="n">
        <v>7</v>
      </c>
      <c r="G352" s="49" t="n">
        <v>192193</v>
      </c>
      <c r="H352" s="3" t="s">
        <v>816</v>
      </c>
      <c r="I352" s="3" t="n">
        <v>1</v>
      </c>
      <c r="J352" s="53" t="n">
        <v>45113</v>
      </c>
      <c r="K352" s="3" t="s">
        <v>817</v>
      </c>
      <c r="L352" s="54" t="n">
        <v>45113.6590393519</v>
      </c>
      <c r="M352" s="3" t="n">
        <v>161</v>
      </c>
    </row>
    <row r="353" customFormat="false" ht="14.25" hidden="false" customHeight="false" outlineLevel="0" collapsed="false">
      <c r="A353" s="3" t="n">
        <v>178</v>
      </c>
      <c r="B353" s="51" t="s">
        <v>487</v>
      </c>
      <c r="C353" s="51" t="s">
        <v>488</v>
      </c>
      <c r="D353" s="6" t="n">
        <v>213711</v>
      </c>
      <c r="E353" s="51" t="s">
        <v>792</v>
      </c>
      <c r="F353" s="47" t="n">
        <v>7</v>
      </c>
      <c r="G353" s="49" t="n">
        <v>192193</v>
      </c>
      <c r="H353" s="3" t="s">
        <v>818</v>
      </c>
      <c r="I353" s="3" t="n">
        <v>2</v>
      </c>
      <c r="J353" s="53" t="n">
        <v>45113</v>
      </c>
      <c r="K353" s="3" t="s">
        <v>819</v>
      </c>
      <c r="L353" s="54" t="n">
        <v>45113.659537037</v>
      </c>
      <c r="M353" s="3" t="n">
        <v>162</v>
      </c>
    </row>
    <row r="354" customFormat="false" ht="14.25" hidden="false" customHeight="false" outlineLevel="0" collapsed="false">
      <c r="A354" s="3" t="n">
        <v>179</v>
      </c>
      <c r="B354" s="51" t="s">
        <v>487</v>
      </c>
      <c r="C354" s="51" t="s">
        <v>488</v>
      </c>
      <c r="D354" s="6" t="n">
        <v>213711</v>
      </c>
      <c r="E354" s="51" t="s">
        <v>795</v>
      </c>
      <c r="F354" s="47" t="n">
        <v>23</v>
      </c>
      <c r="G354" s="49" t="n">
        <v>213129</v>
      </c>
      <c r="H354" s="3" t="s">
        <v>820</v>
      </c>
      <c r="I354" s="3" t="n">
        <v>1</v>
      </c>
      <c r="J354" s="53" t="n">
        <v>45113</v>
      </c>
      <c r="K354" s="3" t="s">
        <v>821</v>
      </c>
      <c r="L354" s="54" t="n">
        <v>45113.6630787037</v>
      </c>
      <c r="M354" s="3" t="n">
        <v>163</v>
      </c>
    </row>
    <row r="355" customFormat="false" ht="14.25" hidden="false" customHeight="false" outlineLevel="0" collapsed="false">
      <c r="A355" s="3" t="n">
        <v>180</v>
      </c>
      <c r="B355" s="51" t="s">
        <v>487</v>
      </c>
      <c r="C355" s="51" t="s">
        <v>488</v>
      </c>
      <c r="D355" s="6" t="n">
        <v>213711</v>
      </c>
      <c r="E355" s="51" t="s">
        <v>792</v>
      </c>
      <c r="F355" s="47" t="n">
        <v>7</v>
      </c>
      <c r="G355" s="49" t="n">
        <v>192193</v>
      </c>
      <c r="H355" s="3" t="s">
        <v>822</v>
      </c>
      <c r="I355" s="3" t="n">
        <v>2</v>
      </c>
      <c r="J355" s="53" t="n">
        <v>45113</v>
      </c>
      <c r="K355" s="3" t="s">
        <v>823</v>
      </c>
      <c r="L355" s="54" t="n">
        <v>45113.6636921296</v>
      </c>
      <c r="M355" s="3" t="n">
        <v>164</v>
      </c>
    </row>
    <row r="356" customFormat="false" ht="14.25" hidden="false" customHeight="false" outlineLevel="0" collapsed="false">
      <c r="A356" s="3" t="n">
        <v>181</v>
      </c>
      <c r="B356" s="51" t="s">
        <v>487</v>
      </c>
      <c r="C356" s="51" t="s">
        <v>488</v>
      </c>
      <c r="D356" s="6" t="n">
        <v>213711</v>
      </c>
      <c r="E356" s="51" t="s">
        <v>824</v>
      </c>
      <c r="F356" s="47" t="n">
        <v>16</v>
      </c>
      <c r="G356" s="49" t="n">
        <v>202242</v>
      </c>
      <c r="H356" s="3" t="s">
        <v>825</v>
      </c>
      <c r="I356" s="3" t="n">
        <v>1</v>
      </c>
      <c r="J356" s="53" t="n">
        <v>45113</v>
      </c>
      <c r="K356" s="3" t="s">
        <v>826</v>
      </c>
      <c r="L356" s="54" t="n">
        <v>45113.6820601852</v>
      </c>
      <c r="M356" s="3" t="n">
        <v>165</v>
      </c>
    </row>
    <row r="357" customFormat="false" ht="14.25" hidden="false" customHeight="false" outlineLevel="0" collapsed="false">
      <c r="A357" s="3" t="n">
        <v>182</v>
      </c>
      <c r="B357" s="51" t="s">
        <v>487</v>
      </c>
      <c r="C357" s="51" t="s">
        <v>488</v>
      </c>
      <c r="D357" s="6" t="n">
        <v>213711</v>
      </c>
      <c r="E357" s="51" t="s">
        <v>824</v>
      </c>
      <c r="F357" s="47" t="n">
        <v>16</v>
      </c>
      <c r="G357" s="49" t="n">
        <v>202242</v>
      </c>
      <c r="H357" s="3" t="s">
        <v>827</v>
      </c>
      <c r="I357" s="3" t="n">
        <v>1</v>
      </c>
      <c r="J357" s="53" t="n">
        <v>45113</v>
      </c>
      <c r="K357" s="3" t="s">
        <v>828</v>
      </c>
      <c r="L357" s="54" t="n">
        <v>45113.6823148148</v>
      </c>
      <c r="M357" s="3" t="n">
        <v>166</v>
      </c>
    </row>
    <row r="358" customFormat="false" ht="14.25" hidden="false" customHeight="false" outlineLevel="0" collapsed="false">
      <c r="A358" s="3" t="n">
        <v>183</v>
      </c>
      <c r="B358" s="51" t="s">
        <v>487</v>
      </c>
      <c r="C358" s="51" t="s">
        <v>488</v>
      </c>
      <c r="D358" s="6" t="n">
        <v>213711</v>
      </c>
      <c r="E358" s="51" t="s">
        <v>792</v>
      </c>
      <c r="F358" s="47" t="n">
        <v>7</v>
      </c>
      <c r="G358" s="49" t="n">
        <v>192193</v>
      </c>
      <c r="H358" s="3" t="s">
        <v>829</v>
      </c>
      <c r="I358" s="3" t="n">
        <v>3</v>
      </c>
      <c r="J358" s="53" t="n">
        <v>45113</v>
      </c>
      <c r="K358" s="3" t="s">
        <v>830</v>
      </c>
      <c r="L358" s="54" t="n">
        <v>45113.6831481482</v>
      </c>
      <c r="M358" s="3" t="n">
        <v>167</v>
      </c>
    </row>
    <row r="359" customFormat="false" ht="14.25" hidden="false" customHeight="false" outlineLevel="0" collapsed="false">
      <c r="A359" s="3" t="n">
        <v>184</v>
      </c>
      <c r="B359" s="51" t="s">
        <v>487</v>
      </c>
      <c r="C359" s="51" t="s">
        <v>488</v>
      </c>
      <c r="D359" s="6" t="n">
        <v>213711</v>
      </c>
      <c r="E359" s="51" t="s">
        <v>792</v>
      </c>
      <c r="F359" s="47" t="n">
        <v>7</v>
      </c>
      <c r="G359" s="49" t="n">
        <v>192193</v>
      </c>
      <c r="H359" s="3" t="s">
        <v>831</v>
      </c>
      <c r="I359" s="3" t="n">
        <v>2</v>
      </c>
      <c r="J359" s="53" t="n">
        <v>45113</v>
      </c>
      <c r="K359" s="3" t="s">
        <v>832</v>
      </c>
      <c r="L359" s="54" t="n">
        <v>45113.6837847222</v>
      </c>
      <c r="M359" s="3" t="n">
        <v>168</v>
      </c>
    </row>
    <row r="360" customFormat="false" ht="14.25" hidden="false" customHeight="false" outlineLevel="0" collapsed="false">
      <c r="A360" s="3" t="n">
        <v>185</v>
      </c>
      <c r="B360" s="51" t="s">
        <v>487</v>
      </c>
      <c r="C360" s="51" t="s">
        <v>488</v>
      </c>
      <c r="D360" s="6" t="n">
        <v>213711</v>
      </c>
      <c r="E360" s="51" t="s">
        <v>489</v>
      </c>
      <c r="F360" s="47" t="n">
        <v>11</v>
      </c>
      <c r="G360" s="49" t="n">
        <v>202045</v>
      </c>
      <c r="H360" s="3" t="s">
        <v>833</v>
      </c>
      <c r="I360" s="3" t="n">
        <v>1</v>
      </c>
      <c r="J360" s="53" t="n">
        <v>45113</v>
      </c>
      <c r="K360" s="3" t="s">
        <v>834</v>
      </c>
      <c r="L360" s="54" t="n">
        <v>45113.6849189815</v>
      </c>
      <c r="M360" s="3" t="n">
        <v>169</v>
      </c>
    </row>
    <row r="361" customFormat="false" ht="14.25" hidden="false" customHeight="false" outlineLevel="0" collapsed="false">
      <c r="A361" s="3" t="n">
        <v>186</v>
      </c>
      <c r="B361" s="51" t="s">
        <v>487</v>
      </c>
      <c r="C361" s="51" t="s">
        <v>488</v>
      </c>
      <c r="D361" s="6" t="n">
        <v>213711</v>
      </c>
      <c r="E361" s="51" t="s">
        <v>795</v>
      </c>
      <c r="F361" s="47" t="n">
        <v>23</v>
      </c>
      <c r="G361" s="49" t="n">
        <v>213129</v>
      </c>
      <c r="H361" s="3" t="s">
        <v>835</v>
      </c>
      <c r="I361" s="3" t="n">
        <v>2</v>
      </c>
      <c r="J361" s="53" t="n">
        <v>45113</v>
      </c>
      <c r="K361" s="3" t="s">
        <v>836</v>
      </c>
      <c r="L361" s="54" t="n">
        <v>45113.6860648148</v>
      </c>
      <c r="M361" s="3" t="n">
        <v>170</v>
      </c>
    </row>
    <row r="362" customFormat="false" ht="14.25" hidden="false" customHeight="false" outlineLevel="0" collapsed="false">
      <c r="A362" s="3" t="n">
        <v>187</v>
      </c>
      <c r="B362" s="51" t="s">
        <v>487</v>
      </c>
      <c r="C362" s="51" t="s">
        <v>488</v>
      </c>
      <c r="D362" s="6" t="n">
        <v>213711</v>
      </c>
      <c r="E362" s="51" t="s">
        <v>824</v>
      </c>
      <c r="F362" s="47" t="n">
        <v>16</v>
      </c>
      <c r="G362" s="49" t="n">
        <v>202242</v>
      </c>
      <c r="H362" s="3" t="s">
        <v>837</v>
      </c>
      <c r="I362" s="3" t="n">
        <v>3</v>
      </c>
      <c r="J362" s="53" t="n">
        <v>45113</v>
      </c>
      <c r="K362" s="3" t="s">
        <v>838</v>
      </c>
      <c r="L362" s="54" t="n">
        <v>45113.6889351852</v>
      </c>
      <c r="M362" s="3" t="n">
        <v>171</v>
      </c>
    </row>
    <row r="363" customFormat="false" ht="14.25" hidden="false" customHeight="false" outlineLevel="0" collapsed="false">
      <c r="A363" s="3" t="n">
        <v>188</v>
      </c>
      <c r="B363" s="51" t="s">
        <v>487</v>
      </c>
      <c r="C363" s="51" t="s">
        <v>488</v>
      </c>
      <c r="D363" s="6" t="n">
        <v>213711</v>
      </c>
      <c r="E363" s="51" t="s">
        <v>824</v>
      </c>
      <c r="F363" s="47" t="n">
        <v>16</v>
      </c>
      <c r="G363" s="49" t="n">
        <v>202242</v>
      </c>
      <c r="H363" s="3" t="s">
        <v>839</v>
      </c>
      <c r="I363" s="3" t="n">
        <v>1</v>
      </c>
      <c r="J363" s="53" t="n">
        <v>45113</v>
      </c>
      <c r="K363" s="3" t="s">
        <v>840</v>
      </c>
      <c r="L363" s="54" t="n">
        <v>45113.6891435185</v>
      </c>
      <c r="M363" s="3" t="n">
        <v>172</v>
      </c>
    </row>
    <row r="364" customFormat="false" ht="14.25" hidden="false" customHeight="false" outlineLevel="0" collapsed="false">
      <c r="A364" s="3" t="n">
        <v>189</v>
      </c>
      <c r="B364" s="51" t="s">
        <v>487</v>
      </c>
      <c r="C364" s="51" t="s">
        <v>488</v>
      </c>
      <c r="D364" s="6" t="n">
        <v>213711</v>
      </c>
      <c r="E364" s="51" t="s">
        <v>824</v>
      </c>
      <c r="F364" s="47" t="n">
        <v>16</v>
      </c>
      <c r="G364" s="49" t="n">
        <v>202242</v>
      </c>
      <c r="H364" s="3" t="s">
        <v>841</v>
      </c>
      <c r="I364" s="3" t="n">
        <v>1</v>
      </c>
      <c r="J364" s="53" t="n">
        <v>45113</v>
      </c>
      <c r="K364" s="3" t="s">
        <v>842</v>
      </c>
      <c r="L364" s="54" t="n">
        <v>45113.6893634259</v>
      </c>
      <c r="M364" s="3" t="n">
        <v>173</v>
      </c>
    </row>
    <row r="365" customFormat="false" ht="14.25" hidden="false" customHeight="false" outlineLevel="0" collapsed="false">
      <c r="A365" s="3" t="n">
        <v>190</v>
      </c>
      <c r="B365" s="51" t="s">
        <v>487</v>
      </c>
      <c r="C365" s="51" t="s">
        <v>488</v>
      </c>
      <c r="D365" s="6" t="n">
        <v>213711</v>
      </c>
      <c r="E365" s="51" t="s">
        <v>792</v>
      </c>
      <c r="F365" s="47" t="n">
        <v>7</v>
      </c>
      <c r="G365" s="49" t="n">
        <v>192193</v>
      </c>
      <c r="H365" s="3" t="s">
        <v>843</v>
      </c>
      <c r="I365" s="3" t="n">
        <v>1</v>
      </c>
      <c r="J365" s="53" t="n">
        <v>45113</v>
      </c>
      <c r="K365" s="3" t="s">
        <v>844</v>
      </c>
      <c r="L365" s="54" t="n">
        <v>45113.7086689815</v>
      </c>
      <c r="M365" s="3" t="n">
        <v>174</v>
      </c>
    </row>
    <row r="366" customFormat="false" ht="14.25" hidden="false" customHeight="false" outlineLevel="0" collapsed="false">
      <c r="A366" s="3" t="n">
        <v>191</v>
      </c>
      <c r="B366" s="51" t="s">
        <v>487</v>
      </c>
      <c r="C366" s="51" t="s">
        <v>488</v>
      </c>
      <c r="D366" s="6" t="n">
        <v>213711</v>
      </c>
      <c r="E366" s="51" t="s">
        <v>824</v>
      </c>
      <c r="F366" s="47" t="n">
        <v>16</v>
      </c>
      <c r="G366" s="49" t="n">
        <v>202242</v>
      </c>
      <c r="H366" s="3" t="s">
        <v>845</v>
      </c>
      <c r="I366" s="3" t="n">
        <v>1</v>
      </c>
      <c r="J366" s="53" t="n">
        <v>45113</v>
      </c>
      <c r="K366" s="3" t="s">
        <v>846</v>
      </c>
      <c r="L366" s="54" t="n">
        <v>45113.7096990741</v>
      </c>
      <c r="M366" s="3" t="n">
        <v>175</v>
      </c>
    </row>
    <row r="367" customFormat="false" ht="14.25" hidden="false" customHeight="false" outlineLevel="0" collapsed="false">
      <c r="A367" s="3" t="n">
        <v>192</v>
      </c>
      <c r="B367" s="51" t="s">
        <v>487</v>
      </c>
      <c r="C367" s="51" t="s">
        <v>488</v>
      </c>
      <c r="D367" s="6" t="n">
        <v>213711</v>
      </c>
      <c r="E367" s="51" t="s">
        <v>824</v>
      </c>
      <c r="F367" s="47" t="n">
        <v>16</v>
      </c>
      <c r="G367" s="49" t="n">
        <v>202242</v>
      </c>
      <c r="H367" s="3" t="s">
        <v>847</v>
      </c>
      <c r="I367" s="3" t="n">
        <v>2</v>
      </c>
      <c r="J367" s="53" t="n">
        <v>45113</v>
      </c>
      <c r="K367" s="3" t="s">
        <v>848</v>
      </c>
      <c r="L367" s="54" t="n">
        <v>45113.8375462963</v>
      </c>
      <c r="M367" s="3" t="n">
        <v>176</v>
      </c>
    </row>
    <row r="368" customFormat="false" ht="14.25" hidden="false" customHeight="false" outlineLevel="0" collapsed="false">
      <c r="A368" s="3" t="n">
        <v>193</v>
      </c>
      <c r="B368" s="51" t="s">
        <v>487</v>
      </c>
      <c r="C368" s="51" t="s">
        <v>488</v>
      </c>
      <c r="D368" s="6" t="n">
        <v>213711</v>
      </c>
      <c r="E368" s="51" t="s">
        <v>795</v>
      </c>
      <c r="F368" s="47" t="n">
        <v>23</v>
      </c>
      <c r="G368" s="49" t="n">
        <v>213129</v>
      </c>
      <c r="H368" s="3" t="s">
        <v>849</v>
      </c>
      <c r="I368" s="3" t="n">
        <v>1</v>
      </c>
      <c r="J368" s="53" t="n">
        <v>45113</v>
      </c>
      <c r="K368" s="3" t="s">
        <v>850</v>
      </c>
      <c r="L368" s="54" t="n">
        <v>45113.8467476852</v>
      </c>
      <c r="M368" s="3" t="n">
        <v>177</v>
      </c>
    </row>
    <row r="369" customFormat="false" ht="14.25" hidden="false" customHeight="false" outlineLevel="0" collapsed="false">
      <c r="A369" s="3" t="n">
        <v>194</v>
      </c>
      <c r="B369" s="51" t="s">
        <v>487</v>
      </c>
      <c r="C369" s="51" t="s">
        <v>488</v>
      </c>
      <c r="D369" s="6" t="n">
        <v>213711</v>
      </c>
      <c r="E369" s="51" t="s">
        <v>795</v>
      </c>
      <c r="F369" s="47" t="n">
        <v>23</v>
      </c>
      <c r="G369" s="49" t="n">
        <v>213129</v>
      </c>
      <c r="H369" s="3" t="s">
        <v>851</v>
      </c>
      <c r="I369" s="3" t="n">
        <v>0</v>
      </c>
      <c r="J369" s="53" t="n">
        <v>45113</v>
      </c>
      <c r="K369" s="3" t="s">
        <v>852</v>
      </c>
      <c r="L369" s="54" t="n">
        <v>45113.847037037</v>
      </c>
      <c r="M369" s="3" t="n">
        <v>178</v>
      </c>
    </row>
    <row r="370" customFormat="false" ht="14.25" hidden="false" customHeight="false" outlineLevel="0" collapsed="false">
      <c r="A370" s="3" t="n">
        <v>195</v>
      </c>
      <c r="B370" s="51" t="s">
        <v>487</v>
      </c>
      <c r="C370" s="51" t="s">
        <v>488</v>
      </c>
      <c r="D370" s="6" t="n">
        <v>213711</v>
      </c>
      <c r="E370" s="51" t="s">
        <v>795</v>
      </c>
      <c r="F370" s="47" t="n">
        <v>23</v>
      </c>
      <c r="G370" s="49" t="n">
        <v>213129</v>
      </c>
      <c r="H370" s="3" t="s">
        <v>853</v>
      </c>
      <c r="I370" s="3" t="n">
        <v>1</v>
      </c>
      <c r="J370" s="53" t="n">
        <v>45113</v>
      </c>
      <c r="K370" s="3" t="s">
        <v>854</v>
      </c>
      <c r="L370" s="54" t="n">
        <v>45113.84875</v>
      </c>
      <c r="M370" s="3" t="n">
        <v>179</v>
      </c>
    </row>
    <row r="371" customFormat="false" ht="14.25" hidden="false" customHeight="false" outlineLevel="0" collapsed="false">
      <c r="A371" s="3" t="n">
        <v>196</v>
      </c>
      <c r="B371" s="51" t="s">
        <v>487</v>
      </c>
      <c r="C371" s="51" t="s">
        <v>488</v>
      </c>
      <c r="D371" s="6" t="n">
        <v>213711</v>
      </c>
      <c r="E371" s="51" t="s">
        <v>795</v>
      </c>
      <c r="F371" s="47" t="n">
        <v>23</v>
      </c>
      <c r="G371" s="49" t="n">
        <v>213129</v>
      </c>
      <c r="H371" s="3" t="s">
        <v>855</v>
      </c>
      <c r="I371" s="3" t="n">
        <v>2</v>
      </c>
      <c r="J371" s="53" t="n">
        <v>45113</v>
      </c>
      <c r="K371" s="3" t="s">
        <v>856</v>
      </c>
      <c r="L371" s="54" t="n">
        <v>45113.8499652778</v>
      </c>
      <c r="M371" s="3" t="n">
        <v>180</v>
      </c>
    </row>
    <row r="372" customFormat="false" ht="14.25" hidden="false" customHeight="false" outlineLevel="0" collapsed="false">
      <c r="A372" s="3" t="n">
        <v>197</v>
      </c>
      <c r="B372" s="51" t="s">
        <v>487</v>
      </c>
      <c r="C372" s="51" t="s">
        <v>488</v>
      </c>
      <c r="D372" s="6" t="n">
        <v>213711</v>
      </c>
      <c r="E372" s="51" t="s">
        <v>795</v>
      </c>
      <c r="F372" s="47" t="n">
        <v>23</v>
      </c>
      <c r="G372" s="49" t="n">
        <v>213129</v>
      </c>
      <c r="H372" s="3" t="s">
        <v>857</v>
      </c>
      <c r="I372" s="3" t="n">
        <v>1</v>
      </c>
      <c r="J372" s="53" t="n">
        <v>45113</v>
      </c>
      <c r="K372" s="3" t="s">
        <v>858</v>
      </c>
      <c r="L372" s="54" t="n">
        <v>45113.8499884259</v>
      </c>
      <c r="M372" s="3" t="n">
        <v>181</v>
      </c>
    </row>
    <row r="373" customFormat="false" ht="14.25" hidden="false" customHeight="false" outlineLevel="0" collapsed="false">
      <c r="A373" s="3" t="n">
        <v>198</v>
      </c>
      <c r="B373" s="51" t="s">
        <v>487</v>
      </c>
      <c r="C373" s="51" t="s">
        <v>488</v>
      </c>
      <c r="D373" s="6" t="n">
        <v>213711</v>
      </c>
      <c r="E373" s="51" t="s">
        <v>795</v>
      </c>
      <c r="F373" s="47" t="n">
        <v>23</v>
      </c>
      <c r="G373" s="49" t="n">
        <v>213129</v>
      </c>
      <c r="H373" s="3" t="s">
        <v>859</v>
      </c>
      <c r="I373" s="3" t="n">
        <v>2</v>
      </c>
      <c r="J373" s="53" t="n">
        <v>45113</v>
      </c>
      <c r="K373" s="3" t="s">
        <v>860</v>
      </c>
      <c r="L373" s="54" t="n">
        <v>45113.8502662037</v>
      </c>
      <c r="M373" s="3" t="n">
        <v>182</v>
      </c>
    </row>
    <row r="374" customFormat="false" ht="14.25" hidden="false" customHeight="false" outlineLevel="0" collapsed="false">
      <c r="A374" s="3" t="n">
        <v>199</v>
      </c>
      <c r="B374" s="51" t="s">
        <v>487</v>
      </c>
      <c r="C374" s="51" t="s">
        <v>488</v>
      </c>
      <c r="D374" s="6" t="n">
        <v>213711</v>
      </c>
      <c r="E374" s="51" t="s">
        <v>795</v>
      </c>
      <c r="F374" s="47" t="n">
        <v>23</v>
      </c>
      <c r="G374" s="49" t="n">
        <v>213129</v>
      </c>
      <c r="H374" s="3" t="s">
        <v>861</v>
      </c>
      <c r="I374" s="3" t="n">
        <v>1</v>
      </c>
      <c r="J374" s="53" t="n">
        <v>45113</v>
      </c>
      <c r="K374" s="3" t="s">
        <v>862</v>
      </c>
      <c r="L374" s="54" t="n">
        <v>45113.8504282407</v>
      </c>
      <c r="M374" s="3" t="n">
        <v>183</v>
      </c>
    </row>
    <row r="375" customFormat="false" ht="14.25" hidden="false" customHeight="false" outlineLevel="0" collapsed="false">
      <c r="A375" s="3" t="n">
        <v>200</v>
      </c>
      <c r="B375" s="51" t="s">
        <v>487</v>
      </c>
      <c r="C375" s="51" t="s">
        <v>488</v>
      </c>
      <c r="D375" s="6" t="n">
        <v>213711</v>
      </c>
      <c r="E375" s="51" t="s">
        <v>795</v>
      </c>
      <c r="F375" s="47" t="n">
        <v>23</v>
      </c>
      <c r="G375" s="49" t="n">
        <v>213129</v>
      </c>
      <c r="H375" s="3" t="s">
        <v>863</v>
      </c>
      <c r="I375" s="3" t="n">
        <v>1</v>
      </c>
      <c r="J375" s="53" t="n">
        <v>45113</v>
      </c>
      <c r="K375" s="3" t="s">
        <v>864</v>
      </c>
      <c r="L375" s="54" t="n">
        <v>45113.8505555556</v>
      </c>
      <c r="M375" s="3" t="n">
        <v>184</v>
      </c>
    </row>
    <row r="376" customFormat="false" ht="14.25" hidden="false" customHeight="false" outlineLevel="0" collapsed="false">
      <c r="A376" s="3" t="n">
        <v>201</v>
      </c>
      <c r="B376" s="51" t="s">
        <v>487</v>
      </c>
      <c r="C376" s="51" t="s">
        <v>488</v>
      </c>
      <c r="D376" s="6" t="n">
        <v>213711</v>
      </c>
      <c r="E376" s="51" t="s">
        <v>795</v>
      </c>
      <c r="F376" s="47" t="n">
        <v>23</v>
      </c>
      <c r="G376" s="49" t="n">
        <v>213129</v>
      </c>
      <c r="H376" s="3" t="s">
        <v>865</v>
      </c>
      <c r="I376" s="3" t="n">
        <v>0</v>
      </c>
      <c r="J376" s="53" t="n">
        <v>45113</v>
      </c>
      <c r="K376" s="3" t="s">
        <v>866</v>
      </c>
      <c r="L376" s="54" t="n">
        <v>45113.8507986111</v>
      </c>
      <c r="M376" s="3" t="n">
        <v>185</v>
      </c>
    </row>
    <row r="377" customFormat="false" ht="14.25" hidden="false" customHeight="false" outlineLevel="0" collapsed="false">
      <c r="A377" s="3" t="n">
        <v>202</v>
      </c>
      <c r="B377" s="51" t="s">
        <v>487</v>
      </c>
      <c r="C377" s="51" t="s">
        <v>488</v>
      </c>
      <c r="D377" s="6" t="n">
        <v>213711</v>
      </c>
      <c r="E377" s="51" t="s">
        <v>795</v>
      </c>
      <c r="F377" s="47" t="n">
        <v>23</v>
      </c>
      <c r="G377" s="49" t="n">
        <v>213129</v>
      </c>
      <c r="H377" s="3" t="s">
        <v>867</v>
      </c>
      <c r="I377" s="3" t="n">
        <v>2</v>
      </c>
      <c r="J377" s="53" t="n">
        <v>45113</v>
      </c>
      <c r="K377" s="3" t="s">
        <v>868</v>
      </c>
      <c r="L377" s="54" t="n">
        <v>45113.8511689815</v>
      </c>
      <c r="M377" s="3" t="n">
        <v>186</v>
      </c>
    </row>
    <row r="378" customFormat="false" ht="14.25" hidden="false" customHeight="false" outlineLevel="0" collapsed="false">
      <c r="A378" s="3" t="n">
        <v>203</v>
      </c>
      <c r="B378" s="51" t="s">
        <v>487</v>
      </c>
      <c r="C378" s="51" t="s">
        <v>488</v>
      </c>
      <c r="D378" s="6" t="n">
        <v>213711</v>
      </c>
      <c r="E378" s="51" t="s">
        <v>795</v>
      </c>
      <c r="F378" s="47" t="n">
        <v>23</v>
      </c>
      <c r="G378" s="49" t="n">
        <v>213129</v>
      </c>
      <c r="H378" s="3" t="s">
        <v>869</v>
      </c>
      <c r="I378" s="3" t="n">
        <v>1</v>
      </c>
      <c r="J378" s="53" t="n">
        <v>45113</v>
      </c>
      <c r="K378" s="3" t="s">
        <v>870</v>
      </c>
      <c r="L378" s="54" t="n">
        <v>45113.851400463</v>
      </c>
      <c r="M378" s="3" t="n">
        <v>187</v>
      </c>
    </row>
    <row r="379" customFormat="false" ht="14.25" hidden="false" customHeight="false" outlineLevel="0" collapsed="false">
      <c r="A379" s="3" t="n">
        <v>204</v>
      </c>
      <c r="B379" s="51" t="s">
        <v>487</v>
      </c>
      <c r="C379" s="51" t="s">
        <v>488</v>
      </c>
      <c r="D379" s="6" t="n">
        <v>213711</v>
      </c>
      <c r="E379" s="51" t="s">
        <v>795</v>
      </c>
      <c r="F379" s="47" t="n">
        <v>23</v>
      </c>
      <c r="G379" s="49" t="n">
        <v>213129</v>
      </c>
      <c r="H379" s="3" t="s">
        <v>871</v>
      </c>
      <c r="I379" s="3" t="n">
        <v>0</v>
      </c>
      <c r="J379" s="53" t="n">
        <v>45113</v>
      </c>
      <c r="K379" s="3" t="s">
        <v>872</v>
      </c>
      <c r="L379" s="54" t="n">
        <v>45113.8612268519</v>
      </c>
      <c r="M379" s="3" t="n">
        <v>188</v>
      </c>
    </row>
    <row r="380" customFormat="false" ht="14.25" hidden="false" customHeight="false" outlineLevel="0" collapsed="false">
      <c r="A380" s="3" t="n">
        <v>205</v>
      </c>
      <c r="B380" s="51" t="s">
        <v>487</v>
      </c>
      <c r="C380" s="51" t="s">
        <v>488</v>
      </c>
      <c r="D380" s="6" t="n">
        <v>213711</v>
      </c>
      <c r="E380" s="51" t="s">
        <v>499</v>
      </c>
      <c r="F380" s="47" t="n">
        <v>20</v>
      </c>
      <c r="G380" s="49" t="n">
        <v>213074</v>
      </c>
      <c r="H380" s="3" t="s">
        <v>873</v>
      </c>
      <c r="I380" s="3" t="n">
        <v>1</v>
      </c>
      <c r="J380" s="53" t="n">
        <v>45113</v>
      </c>
      <c r="K380" s="3" t="s">
        <v>874</v>
      </c>
      <c r="L380" s="54" t="n">
        <v>45113.8928125</v>
      </c>
      <c r="M380" s="3" t="n">
        <v>189</v>
      </c>
    </row>
    <row r="381" customFormat="false" ht="14.25" hidden="false" customHeight="false" outlineLevel="0" collapsed="false">
      <c r="A381" s="3" t="n">
        <v>206</v>
      </c>
      <c r="B381" s="51" t="s">
        <v>487</v>
      </c>
      <c r="C381" s="51" t="s">
        <v>488</v>
      </c>
      <c r="D381" s="6" t="n">
        <v>213711</v>
      </c>
      <c r="E381" s="51" t="s">
        <v>499</v>
      </c>
      <c r="F381" s="47" t="n">
        <v>20</v>
      </c>
      <c r="G381" s="49" t="n">
        <v>213074</v>
      </c>
      <c r="H381" s="3" t="s">
        <v>875</v>
      </c>
      <c r="I381" s="3" t="n">
        <v>1</v>
      </c>
      <c r="J381" s="53" t="n">
        <v>45113</v>
      </c>
      <c r="K381" s="3" t="s">
        <v>876</v>
      </c>
      <c r="L381" s="54" t="n">
        <v>45113.8932986111</v>
      </c>
      <c r="M381" s="3" t="n">
        <v>190</v>
      </c>
    </row>
    <row r="382" customFormat="false" ht="14.25" hidden="false" customHeight="false" outlineLevel="0" collapsed="false">
      <c r="A382" s="3" t="n">
        <v>207</v>
      </c>
      <c r="B382" s="51" t="s">
        <v>487</v>
      </c>
      <c r="C382" s="51" t="s">
        <v>488</v>
      </c>
      <c r="D382" s="6" t="n">
        <v>213711</v>
      </c>
      <c r="E382" s="51" t="s">
        <v>499</v>
      </c>
      <c r="F382" s="47" t="n">
        <v>20</v>
      </c>
      <c r="G382" s="49" t="n">
        <v>213074</v>
      </c>
      <c r="H382" s="3" t="s">
        <v>877</v>
      </c>
      <c r="I382" s="3" t="n">
        <v>2</v>
      </c>
      <c r="J382" s="53" t="n">
        <v>45113</v>
      </c>
      <c r="K382" s="3" t="s">
        <v>878</v>
      </c>
      <c r="L382" s="54" t="n">
        <v>45113.8934027778</v>
      </c>
      <c r="M382" s="3" t="n">
        <v>191</v>
      </c>
    </row>
    <row r="383" customFormat="false" ht="14.25" hidden="false" customHeight="false" outlineLevel="0" collapsed="false">
      <c r="A383" s="3" t="n">
        <v>208</v>
      </c>
      <c r="B383" s="51" t="s">
        <v>487</v>
      </c>
      <c r="C383" s="51" t="s">
        <v>488</v>
      </c>
      <c r="D383" s="6" t="n">
        <v>213711</v>
      </c>
      <c r="E383" s="51" t="s">
        <v>499</v>
      </c>
      <c r="F383" s="47" t="n">
        <v>20</v>
      </c>
      <c r="G383" s="49" t="n">
        <v>213074</v>
      </c>
      <c r="H383" s="3" t="s">
        <v>879</v>
      </c>
      <c r="I383" s="3" t="n">
        <v>1</v>
      </c>
      <c r="J383" s="53" t="n">
        <v>45113</v>
      </c>
      <c r="K383" s="3" t="s">
        <v>880</v>
      </c>
      <c r="L383" s="54" t="n">
        <v>45113.8941550926</v>
      </c>
      <c r="M383" s="3" t="n">
        <v>192</v>
      </c>
    </row>
    <row r="384" customFormat="false" ht="14.25" hidden="false" customHeight="false" outlineLevel="0" collapsed="false">
      <c r="A384" s="3" t="n">
        <v>209</v>
      </c>
      <c r="B384" s="51" t="s">
        <v>487</v>
      </c>
      <c r="C384" s="51" t="s">
        <v>488</v>
      </c>
      <c r="D384" s="6" t="n">
        <v>213711</v>
      </c>
      <c r="E384" s="51" t="s">
        <v>499</v>
      </c>
      <c r="F384" s="47" t="n">
        <v>20</v>
      </c>
      <c r="G384" s="49" t="n">
        <v>213074</v>
      </c>
      <c r="H384" s="3" t="s">
        <v>881</v>
      </c>
      <c r="I384" s="3" t="n">
        <v>1</v>
      </c>
      <c r="J384" s="53" t="n">
        <v>45113</v>
      </c>
      <c r="K384" s="3" t="s">
        <v>882</v>
      </c>
      <c r="L384" s="54" t="n">
        <v>45113.8944907407</v>
      </c>
      <c r="M384" s="3" t="n">
        <v>193</v>
      </c>
    </row>
    <row r="385" customFormat="false" ht="14.25" hidden="false" customHeight="false" outlineLevel="0" collapsed="false">
      <c r="A385" s="3" t="n">
        <v>210</v>
      </c>
      <c r="B385" s="51" t="s">
        <v>487</v>
      </c>
      <c r="C385" s="51" t="s">
        <v>488</v>
      </c>
      <c r="D385" s="6" t="n">
        <v>213711</v>
      </c>
      <c r="E385" s="51" t="s">
        <v>824</v>
      </c>
      <c r="F385" s="47" t="n">
        <v>16</v>
      </c>
      <c r="G385" s="49" t="n">
        <v>202242</v>
      </c>
      <c r="H385" s="3" t="s">
        <v>883</v>
      </c>
      <c r="I385" s="3" t="n">
        <v>3</v>
      </c>
      <c r="J385" s="53" t="n">
        <v>45113</v>
      </c>
      <c r="K385" s="3" t="s">
        <v>884</v>
      </c>
      <c r="L385" s="54" t="n">
        <v>45113.9081828704</v>
      </c>
      <c r="M385" s="3" t="n">
        <v>194</v>
      </c>
    </row>
    <row r="386" customFormat="false" ht="14.25" hidden="false" customHeight="false" outlineLevel="0" collapsed="false">
      <c r="A386" s="3" t="n">
        <v>211</v>
      </c>
      <c r="B386" s="51" t="s">
        <v>487</v>
      </c>
      <c r="C386" s="51" t="s">
        <v>488</v>
      </c>
      <c r="D386" s="6" t="n">
        <v>213711</v>
      </c>
      <c r="E386" s="51" t="s">
        <v>824</v>
      </c>
      <c r="F386" s="47" t="n">
        <v>16</v>
      </c>
      <c r="G386" s="49" t="n">
        <v>202242</v>
      </c>
      <c r="H386" s="3" t="s">
        <v>885</v>
      </c>
      <c r="I386" s="3" t="n">
        <v>0</v>
      </c>
      <c r="J386" s="53" t="n">
        <v>45113</v>
      </c>
      <c r="K386" s="3" t="s">
        <v>886</v>
      </c>
      <c r="L386" s="54" t="n">
        <v>45113.9083680556</v>
      </c>
      <c r="M386" s="3" t="n">
        <v>195</v>
      </c>
    </row>
    <row r="387" customFormat="false" ht="14.25" hidden="false" customHeight="false" outlineLevel="0" collapsed="false">
      <c r="A387" s="3" t="n">
        <v>212</v>
      </c>
      <c r="B387" s="51" t="s">
        <v>487</v>
      </c>
      <c r="C387" s="51" t="s">
        <v>488</v>
      </c>
      <c r="D387" s="6" t="n">
        <v>213711</v>
      </c>
      <c r="E387" s="51" t="s">
        <v>824</v>
      </c>
      <c r="F387" s="47" t="n">
        <v>16</v>
      </c>
      <c r="G387" s="49" t="n">
        <v>202242</v>
      </c>
      <c r="H387" s="3" t="s">
        <v>887</v>
      </c>
      <c r="I387" s="3" t="n">
        <v>4</v>
      </c>
      <c r="J387" s="53" t="n">
        <v>45114</v>
      </c>
      <c r="K387" s="3" t="s">
        <v>888</v>
      </c>
      <c r="L387" s="54" t="n">
        <v>45114.2777083333</v>
      </c>
      <c r="M387" s="3" t="n">
        <v>196</v>
      </c>
    </row>
    <row r="388" customFormat="false" ht="14.25" hidden="false" customHeight="false" outlineLevel="0" collapsed="false">
      <c r="A388" s="3" t="n">
        <v>213</v>
      </c>
      <c r="B388" s="51" t="s">
        <v>487</v>
      </c>
      <c r="C388" s="51" t="s">
        <v>488</v>
      </c>
      <c r="D388" s="6" t="n">
        <v>213711</v>
      </c>
      <c r="E388" s="51" t="s">
        <v>824</v>
      </c>
      <c r="F388" s="47" t="n">
        <v>16</v>
      </c>
      <c r="G388" s="49" t="n">
        <v>202242</v>
      </c>
      <c r="H388" s="3" t="s">
        <v>889</v>
      </c>
      <c r="I388" s="3" t="n">
        <v>2</v>
      </c>
      <c r="J388" s="53" t="n">
        <v>45114</v>
      </c>
      <c r="K388" s="3" t="s">
        <v>890</v>
      </c>
      <c r="L388" s="54" t="n">
        <v>45114.2797685185</v>
      </c>
      <c r="M388" s="3" t="n">
        <v>197</v>
      </c>
    </row>
    <row r="389" customFormat="false" ht="14.25" hidden="false" customHeight="false" outlineLevel="0" collapsed="false">
      <c r="A389" s="3" t="n">
        <v>214</v>
      </c>
      <c r="B389" s="51" t="s">
        <v>487</v>
      </c>
      <c r="C389" s="51" t="s">
        <v>488</v>
      </c>
      <c r="D389" s="6" t="n">
        <v>213711</v>
      </c>
      <c r="E389" s="51" t="s">
        <v>824</v>
      </c>
      <c r="F389" s="47" t="n">
        <v>16</v>
      </c>
      <c r="G389" s="49" t="n">
        <v>202242</v>
      </c>
      <c r="H389" s="3" t="s">
        <v>891</v>
      </c>
      <c r="I389" s="3" t="n">
        <v>2</v>
      </c>
      <c r="J389" s="53" t="n">
        <v>45114</v>
      </c>
      <c r="K389" s="3" t="s">
        <v>892</v>
      </c>
      <c r="L389" s="54" t="n">
        <v>45114.2799189815</v>
      </c>
      <c r="M389" s="3" t="n">
        <v>198</v>
      </c>
    </row>
    <row r="390" customFormat="false" ht="14.25" hidden="false" customHeight="false" outlineLevel="0" collapsed="false">
      <c r="A390" s="3" t="n">
        <v>215</v>
      </c>
      <c r="B390" s="51" t="s">
        <v>487</v>
      </c>
      <c r="C390" s="51" t="s">
        <v>488</v>
      </c>
      <c r="D390" s="6" t="n">
        <v>213711</v>
      </c>
      <c r="E390" s="51" t="s">
        <v>824</v>
      </c>
      <c r="F390" s="55" t="n">
        <v>16</v>
      </c>
      <c r="G390" s="56" t="n">
        <v>202242</v>
      </c>
      <c r="H390" s="3" t="s">
        <v>893</v>
      </c>
      <c r="I390" s="3" t="n">
        <v>1</v>
      </c>
      <c r="J390" s="53" t="n">
        <v>45114</v>
      </c>
      <c r="K390" s="3" t="s">
        <v>894</v>
      </c>
      <c r="L390" s="54" t="n">
        <v>45114.2801851852</v>
      </c>
      <c r="M390" s="3" t="n">
        <v>199</v>
      </c>
    </row>
    <row r="391" customFormat="false" ht="14.25" hidden="false" customHeight="false" outlineLevel="0" collapsed="false">
      <c r="A391" s="3" t="n">
        <v>216</v>
      </c>
      <c r="B391" s="51" t="s">
        <v>487</v>
      </c>
      <c r="C391" s="51" t="s">
        <v>488</v>
      </c>
      <c r="D391" s="6" t="n">
        <v>213711</v>
      </c>
      <c r="E391" s="51" t="s">
        <v>824</v>
      </c>
      <c r="F391" s="47" t="n">
        <v>16</v>
      </c>
      <c r="G391" s="49" t="n">
        <v>202242</v>
      </c>
      <c r="H391" s="3" t="s">
        <v>895</v>
      </c>
      <c r="I391" s="3" t="n">
        <v>3</v>
      </c>
      <c r="J391" s="53" t="n">
        <v>45114</v>
      </c>
      <c r="K391" s="3" t="s">
        <v>896</v>
      </c>
      <c r="L391" s="54" t="n">
        <v>45114.2809375</v>
      </c>
      <c r="M391" s="3" t="n">
        <v>200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96"/>
  <sheetViews>
    <sheetView showFormulas="false" showGridLines="true" showRowColHeaders="true" showZeros="true" rightToLeft="false" tabSelected="false" showOutlineSymbols="true" defaultGridColor="true" view="normal" topLeftCell="O13" colorId="64" zoomScale="100" zoomScaleNormal="100" zoomScalePageLayoutView="100" workbookViewId="0">
      <selection pane="topLeft" activeCell="W1" activeCellId="0" sqref="W1"/>
    </sheetView>
  </sheetViews>
  <sheetFormatPr defaultColWidth="11.5625" defaultRowHeight="14.25" zeroHeight="false" outlineLevelRow="0" outlineLevelCol="0"/>
  <cols>
    <col collapsed="false" customWidth="true" hidden="false" outlineLevel="0" max="1" min="1" style="3" width="4.44"/>
    <col collapsed="false" customWidth="true" hidden="false" outlineLevel="0" max="2" min="2" style="3" width="22.67"/>
    <col collapsed="false" customWidth="true" hidden="false" outlineLevel="0" max="4" min="3" style="3" width="8.67"/>
    <col collapsed="false" customWidth="true" hidden="false" outlineLevel="0" max="5" min="5" style="3" width="13"/>
    <col collapsed="false" customWidth="true" hidden="false" outlineLevel="0" max="6" min="6" style="3" width="7.33"/>
    <col collapsed="false" customWidth="false" hidden="false" outlineLevel="0" max="7" min="7" style="3" width="11.56"/>
    <col collapsed="false" customWidth="true" hidden="false" outlineLevel="0" max="8" min="8" style="3" width="13"/>
    <col collapsed="false" customWidth="true" hidden="false" outlineLevel="0" max="9" min="9" style="3" width="18.11"/>
    <col collapsed="false" customWidth="true" hidden="false" outlineLevel="0" max="10" min="10" style="3" width="5.66"/>
    <col collapsed="false" customWidth="true" hidden="false" outlineLevel="0" max="11" min="11" style="3" width="11.89"/>
    <col collapsed="false" customWidth="true" hidden="false" outlineLevel="0" max="12" min="12" style="3" width="9.33"/>
    <col collapsed="false" customWidth="true" hidden="false" outlineLevel="0" max="13" min="13" style="3" width="17.67"/>
    <col collapsed="false" customWidth="false" hidden="false" outlineLevel="0" max="16" min="14" style="3" width="11.56"/>
    <col collapsed="false" customWidth="true" hidden="false" outlineLevel="0" max="18" min="17" style="3" width="9.33"/>
    <col collapsed="false" customWidth="false" hidden="false" outlineLevel="0" max="16384" min="19" style="3" width="11.56"/>
  </cols>
  <sheetData>
    <row r="1" customFormat="false" ht="41.75" hidden="false" customHeight="false" outlineLevel="0" collapsed="false">
      <c r="A1" s="57" t="s">
        <v>65</v>
      </c>
      <c r="B1" s="51" t="s">
        <v>66</v>
      </c>
      <c r="C1" s="51" t="s">
        <v>20</v>
      </c>
      <c r="D1" s="51" t="s">
        <v>67</v>
      </c>
      <c r="E1" s="51" t="s">
        <v>68</v>
      </c>
      <c r="F1" s="51" t="s">
        <v>69</v>
      </c>
      <c r="G1" s="52" t="s">
        <v>70</v>
      </c>
      <c r="H1" s="51" t="s">
        <v>68</v>
      </c>
      <c r="I1" s="57" t="s">
        <v>71</v>
      </c>
      <c r="J1" s="57" t="s">
        <v>72</v>
      </c>
      <c r="K1" s="51" t="s">
        <v>73</v>
      </c>
      <c r="L1" s="51" t="s">
        <v>74</v>
      </c>
      <c r="M1" s="51" t="s">
        <v>75</v>
      </c>
      <c r="N1" s="52" t="s">
        <v>897</v>
      </c>
      <c r="O1" s="52" t="s">
        <v>897</v>
      </c>
      <c r="P1" s="52" t="s">
        <v>898</v>
      </c>
      <c r="Q1" s="52" t="s">
        <v>76</v>
      </c>
      <c r="R1" s="52"/>
    </row>
    <row r="2" customFormat="false" ht="14.25" hidden="false" customHeight="false" outlineLevel="0" collapsed="false">
      <c r="A2" s="3" t="n">
        <v>21</v>
      </c>
      <c r="B2" s="51" t="s">
        <v>250</v>
      </c>
      <c r="C2" s="51" t="s">
        <v>251</v>
      </c>
      <c r="D2" s="51" t="n">
        <v>213777</v>
      </c>
      <c r="E2" s="51" t="s">
        <v>160</v>
      </c>
      <c r="F2" s="47" t="n">
        <v>35</v>
      </c>
      <c r="G2" s="49" t="n">
        <v>223161</v>
      </c>
      <c r="H2" s="51" t="s">
        <v>160</v>
      </c>
      <c r="I2" s="3" t="s">
        <v>252</v>
      </c>
      <c r="J2" s="3" t="n">
        <v>1</v>
      </c>
      <c r="K2" s="53" t="n">
        <v>45111</v>
      </c>
      <c r="L2" s="3" t="s">
        <v>253</v>
      </c>
      <c r="M2" s="54" t="n">
        <v>45111.3475231482</v>
      </c>
      <c r="N2" s="3" t="n">
        <v>1</v>
      </c>
      <c r="O2" s="3" t="n">
        <v>1</v>
      </c>
      <c r="P2" s="3" t="n">
        <v>1</v>
      </c>
      <c r="Q2" s="3" t="n">
        <v>1</v>
      </c>
    </row>
    <row r="3" customFormat="false" ht="14.25" hidden="false" customHeight="false" outlineLevel="0" collapsed="false">
      <c r="A3" s="3" t="n">
        <v>84</v>
      </c>
      <c r="B3" s="51" t="s">
        <v>250</v>
      </c>
      <c r="C3" s="51" t="s">
        <v>251</v>
      </c>
      <c r="D3" s="51" t="n">
        <v>213777</v>
      </c>
      <c r="E3" s="51" t="s">
        <v>160</v>
      </c>
      <c r="F3" s="47" t="n">
        <v>35</v>
      </c>
      <c r="G3" s="49" t="n">
        <v>223161</v>
      </c>
      <c r="H3" s="51" t="s">
        <v>160</v>
      </c>
      <c r="I3" s="3" t="s">
        <v>377</v>
      </c>
      <c r="J3" s="3" t="n">
        <v>1</v>
      </c>
      <c r="K3" s="53" t="n">
        <v>45113</v>
      </c>
      <c r="L3" s="3" t="s">
        <v>378</v>
      </c>
      <c r="M3" s="54" t="n">
        <v>45113.5590625</v>
      </c>
      <c r="N3" s="3" t="n">
        <v>1</v>
      </c>
      <c r="O3" s="3" t="n">
        <v>1</v>
      </c>
      <c r="P3" s="3" t="n">
        <v>2</v>
      </c>
      <c r="Q3" s="3" t="n">
        <v>64</v>
      </c>
    </row>
    <row r="4" customFormat="false" ht="14.25" hidden="false" customHeight="false" outlineLevel="0" collapsed="false">
      <c r="A4" s="3" t="n">
        <v>51</v>
      </c>
      <c r="B4" s="51" t="s">
        <v>77</v>
      </c>
      <c r="C4" s="51" t="s">
        <v>78</v>
      </c>
      <c r="D4" s="51" t="n">
        <v>213665</v>
      </c>
      <c r="E4" s="51" t="s">
        <v>160</v>
      </c>
      <c r="F4" s="47" t="n">
        <v>35</v>
      </c>
      <c r="G4" s="49" t="n">
        <v>223161</v>
      </c>
      <c r="H4" s="51" t="s">
        <v>160</v>
      </c>
      <c r="I4" s="3" t="s">
        <v>161</v>
      </c>
      <c r="J4" s="3" t="n">
        <v>0</v>
      </c>
      <c r="K4" s="53" t="n">
        <v>45114</v>
      </c>
      <c r="L4" s="3" t="s">
        <v>162</v>
      </c>
      <c r="M4" s="54" t="n">
        <v>45114.0626736111</v>
      </c>
      <c r="N4" s="3" t="n">
        <v>1</v>
      </c>
      <c r="O4" s="3" t="n">
        <v>1</v>
      </c>
      <c r="P4" s="3" t="n">
        <v>3</v>
      </c>
      <c r="Q4" s="3" t="n">
        <v>36</v>
      </c>
    </row>
    <row r="5" customFormat="false" ht="14.25" hidden="false" customHeight="false" outlineLevel="0" collapsed="false">
      <c r="A5" s="3" t="n">
        <v>52</v>
      </c>
      <c r="B5" s="51" t="s">
        <v>77</v>
      </c>
      <c r="C5" s="51" t="s">
        <v>78</v>
      </c>
      <c r="D5" s="51" t="n">
        <v>213665</v>
      </c>
      <c r="E5" s="51" t="s">
        <v>160</v>
      </c>
      <c r="F5" s="47" t="n">
        <v>35</v>
      </c>
      <c r="G5" s="49" t="n">
        <v>223161</v>
      </c>
      <c r="H5" s="51" t="s">
        <v>160</v>
      </c>
      <c r="I5" s="3" t="s">
        <v>163</v>
      </c>
      <c r="J5" s="3" t="n">
        <v>1</v>
      </c>
      <c r="K5" s="53" t="n">
        <v>45114</v>
      </c>
      <c r="L5" s="3" t="s">
        <v>164</v>
      </c>
      <c r="M5" s="54" t="n">
        <v>45114.0653935185</v>
      </c>
      <c r="N5" s="3" t="n">
        <v>1</v>
      </c>
      <c r="O5" s="3" t="n">
        <v>1</v>
      </c>
      <c r="P5" s="3" t="n">
        <v>4</v>
      </c>
      <c r="Q5" s="3" t="n">
        <v>37</v>
      </c>
    </row>
    <row r="6" customFormat="false" ht="14.25" hidden="false" customHeight="false" outlineLevel="0" collapsed="false">
      <c r="A6" s="3" t="n">
        <v>53</v>
      </c>
      <c r="B6" s="51" t="s">
        <v>77</v>
      </c>
      <c r="C6" s="51" t="s">
        <v>78</v>
      </c>
      <c r="D6" s="51" t="n">
        <v>213665</v>
      </c>
      <c r="E6" s="51" t="s">
        <v>160</v>
      </c>
      <c r="F6" s="47" t="n">
        <v>35</v>
      </c>
      <c r="G6" s="49" t="n">
        <v>223161</v>
      </c>
      <c r="H6" s="51" t="s">
        <v>160</v>
      </c>
      <c r="I6" s="3" t="s">
        <v>165</v>
      </c>
      <c r="J6" s="3" t="n">
        <v>2</v>
      </c>
      <c r="K6" s="53" t="n">
        <v>45114</v>
      </c>
      <c r="L6" s="3" t="s">
        <v>166</v>
      </c>
      <c r="M6" s="54" t="n">
        <v>45114.1054398148</v>
      </c>
      <c r="N6" s="3" t="n">
        <v>1</v>
      </c>
      <c r="O6" s="3" t="n">
        <v>1</v>
      </c>
      <c r="P6" s="3" t="n">
        <v>5</v>
      </c>
      <c r="Q6" s="3" t="n">
        <v>38</v>
      </c>
    </row>
    <row r="7" customFormat="false" ht="14.25" hidden="false" customHeight="false" outlineLevel="0" collapsed="false">
      <c r="A7" s="3" t="n">
        <v>57</v>
      </c>
      <c r="B7" s="51" t="s">
        <v>77</v>
      </c>
      <c r="C7" s="51" t="s">
        <v>78</v>
      </c>
      <c r="D7" s="51" t="n">
        <v>213665</v>
      </c>
      <c r="E7" s="51" t="s">
        <v>160</v>
      </c>
      <c r="F7" s="47" t="n">
        <v>35</v>
      </c>
      <c r="G7" s="49" t="n">
        <v>223161</v>
      </c>
      <c r="H7" s="51" t="s">
        <v>160</v>
      </c>
      <c r="I7" s="3" t="s">
        <v>174</v>
      </c>
      <c r="J7" s="3" t="n">
        <v>0</v>
      </c>
      <c r="K7" s="53" t="n">
        <v>45114</v>
      </c>
      <c r="L7" s="3" t="s">
        <v>175</v>
      </c>
      <c r="M7" s="54" t="n">
        <v>45114.1460648148</v>
      </c>
      <c r="N7" s="3" t="n">
        <v>1</v>
      </c>
      <c r="O7" s="3" t="n">
        <v>1</v>
      </c>
      <c r="P7" s="3" t="n">
        <v>6</v>
      </c>
      <c r="Q7" s="3" t="n">
        <v>42</v>
      </c>
    </row>
    <row r="8" customFormat="false" ht="14.25" hidden="false" customHeight="false" outlineLevel="0" collapsed="false">
      <c r="A8" s="3" t="n">
        <v>58</v>
      </c>
      <c r="B8" s="51" t="s">
        <v>77</v>
      </c>
      <c r="C8" s="51" t="s">
        <v>78</v>
      </c>
      <c r="D8" s="51" t="n">
        <v>213665</v>
      </c>
      <c r="E8" s="51" t="s">
        <v>160</v>
      </c>
      <c r="F8" s="47" t="n">
        <v>35</v>
      </c>
      <c r="G8" s="49" t="n">
        <v>223161</v>
      </c>
      <c r="H8" s="51" t="s">
        <v>160</v>
      </c>
      <c r="I8" s="3" t="s">
        <v>176</v>
      </c>
      <c r="J8" s="3" t="n">
        <v>0</v>
      </c>
      <c r="K8" s="53" t="n">
        <v>45114</v>
      </c>
      <c r="L8" s="3" t="s">
        <v>177</v>
      </c>
      <c r="M8" s="54" t="n">
        <v>45114.1506828704</v>
      </c>
      <c r="N8" s="3" t="n">
        <v>1</v>
      </c>
      <c r="O8" s="3" t="n">
        <v>1</v>
      </c>
      <c r="P8" s="3" t="n">
        <v>7</v>
      </c>
      <c r="Q8" s="3" t="n">
        <v>43</v>
      </c>
    </row>
    <row r="9" customFormat="false" ht="14.25" hidden="false" customHeight="false" outlineLevel="0" collapsed="false">
      <c r="A9" s="3" t="n">
        <v>59</v>
      </c>
      <c r="B9" s="51" t="s">
        <v>77</v>
      </c>
      <c r="C9" s="51" t="s">
        <v>78</v>
      </c>
      <c r="D9" s="51" t="n">
        <v>213665</v>
      </c>
      <c r="E9" s="51" t="s">
        <v>160</v>
      </c>
      <c r="F9" s="47" t="n">
        <v>35</v>
      </c>
      <c r="G9" s="49" t="n">
        <v>223161</v>
      </c>
      <c r="H9" s="51" t="s">
        <v>160</v>
      </c>
      <c r="I9" s="3" t="s">
        <v>178</v>
      </c>
      <c r="J9" s="3" t="n">
        <v>1</v>
      </c>
      <c r="K9" s="53" t="n">
        <v>45114</v>
      </c>
      <c r="L9" s="3" t="s">
        <v>179</v>
      </c>
      <c r="M9" s="54" t="n">
        <v>45114.1515046296</v>
      </c>
      <c r="N9" s="3" t="n">
        <v>1</v>
      </c>
      <c r="O9" s="3" t="n">
        <v>1</v>
      </c>
      <c r="P9" s="3" t="n">
        <v>8</v>
      </c>
      <c r="Q9" s="3" t="n">
        <v>44</v>
      </c>
    </row>
    <row r="10" customFormat="false" ht="14.25" hidden="false" customHeight="false" outlineLevel="0" collapsed="false">
      <c r="A10" s="3" t="n">
        <v>60</v>
      </c>
      <c r="B10" s="51" t="s">
        <v>77</v>
      </c>
      <c r="C10" s="51" t="s">
        <v>78</v>
      </c>
      <c r="D10" s="51" t="n">
        <v>213665</v>
      </c>
      <c r="E10" s="51" t="s">
        <v>160</v>
      </c>
      <c r="F10" s="47" t="n">
        <v>35</v>
      </c>
      <c r="G10" s="49" t="n">
        <v>223161</v>
      </c>
      <c r="H10" s="51" t="s">
        <v>160</v>
      </c>
      <c r="I10" s="3" t="s">
        <v>180</v>
      </c>
      <c r="J10" s="3" t="n">
        <v>1</v>
      </c>
      <c r="K10" s="53" t="n">
        <v>45114</v>
      </c>
      <c r="L10" s="3" t="s">
        <v>181</v>
      </c>
      <c r="M10" s="54" t="n">
        <v>45114.1515277778</v>
      </c>
      <c r="N10" s="3" t="n">
        <v>1</v>
      </c>
      <c r="O10" s="3" t="n">
        <v>1</v>
      </c>
      <c r="P10" s="3" t="n">
        <v>9</v>
      </c>
      <c r="Q10" s="3" t="n">
        <v>45</v>
      </c>
    </row>
    <row r="11" customFormat="false" ht="14.25" hidden="false" customHeight="false" outlineLevel="0" collapsed="false">
      <c r="A11" s="3" t="n">
        <v>62</v>
      </c>
      <c r="B11" s="51" t="s">
        <v>77</v>
      </c>
      <c r="C11" s="51" t="s">
        <v>78</v>
      </c>
      <c r="D11" s="51" t="n">
        <v>213665</v>
      </c>
      <c r="E11" s="51" t="s">
        <v>160</v>
      </c>
      <c r="F11" s="47" t="n">
        <v>35</v>
      </c>
      <c r="G11" s="49" t="n">
        <v>223161</v>
      </c>
      <c r="H11" s="51" t="s">
        <v>160</v>
      </c>
      <c r="I11" s="3" t="s">
        <v>184</v>
      </c>
      <c r="J11" s="3" t="n">
        <v>1</v>
      </c>
      <c r="K11" s="53" t="n">
        <v>45114</v>
      </c>
      <c r="L11" s="3" t="s">
        <v>185</v>
      </c>
      <c r="M11" s="54" t="n">
        <v>45114.1532407407</v>
      </c>
      <c r="N11" s="3" t="n">
        <v>1</v>
      </c>
      <c r="O11" s="3" t="n">
        <v>1</v>
      </c>
      <c r="P11" s="3" t="n">
        <v>10</v>
      </c>
      <c r="Q11" s="3" t="n">
        <v>47</v>
      </c>
    </row>
    <row r="12" customFormat="false" ht="14.25" hidden="false" customHeight="false" outlineLevel="0" collapsed="false">
      <c r="A12" s="3" t="n">
        <v>63</v>
      </c>
      <c r="B12" s="51" t="s">
        <v>77</v>
      </c>
      <c r="C12" s="51" t="s">
        <v>78</v>
      </c>
      <c r="D12" s="51" t="n">
        <v>213665</v>
      </c>
      <c r="E12" s="51" t="s">
        <v>160</v>
      </c>
      <c r="F12" s="47" t="n">
        <v>35</v>
      </c>
      <c r="G12" s="49" t="n">
        <v>223161</v>
      </c>
      <c r="H12" s="51" t="s">
        <v>160</v>
      </c>
      <c r="I12" s="3" t="s">
        <v>186</v>
      </c>
      <c r="J12" s="3" t="n">
        <v>2</v>
      </c>
      <c r="K12" s="53" t="n">
        <v>45114</v>
      </c>
      <c r="L12" s="3" t="s">
        <v>187</v>
      </c>
      <c r="M12" s="54" t="n">
        <v>45114.1543634259</v>
      </c>
      <c r="N12" s="3" t="n">
        <v>1</v>
      </c>
      <c r="O12" s="3" t="n">
        <v>1</v>
      </c>
      <c r="P12" s="3" t="n">
        <v>11</v>
      </c>
      <c r="Q12" s="3" t="n">
        <v>48</v>
      </c>
    </row>
    <row r="13" customFormat="false" ht="14.25" hidden="false" customHeight="false" outlineLevel="0" collapsed="false">
      <c r="A13" s="3" t="n">
        <v>64</v>
      </c>
      <c r="B13" s="51" t="s">
        <v>77</v>
      </c>
      <c r="C13" s="51" t="s">
        <v>78</v>
      </c>
      <c r="D13" s="51" t="n">
        <v>213665</v>
      </c>
      <c r="E13" s="51" t="s">
        <v>160</v>
      </c>
      <c r="F13" s="47" t="n">
        <v>35</v>
      </c>
      <c r="G13" s="49" t="n">
        <v>223161</v>
      </c>
      <c r="H13" s="51" t="s">
        <v>160</v>
      </c>
      <c r="I13" s="3" t="s">
        <v>188</v>
      </c>
      <c r="J13" s="3" t="n">
        <v>2</v>
      </c>
      <c r="K13" s="53" t="n">
        <v>45114</v>
      </c>
      <c r="L13" s="3" t="s">
        <v>189</v>
      </c>
      <c r="M13" s="54" t="n">
        <v>45114.1543865741</v>
      </c>
      <c r="N13" s="3" t="n">
        <v>1</v>
      </c>
      <c r="O13" s="3" t="n">
        <v>1</v>
      </c>
      <c r="P13" s="3" t="n">
        <v>12</v>
      </c>
      <c r="Q13" s="3" t="n">
        <v>49</v>
      </c>
    </row>
    <row r="14" customFormat="false" ht="14.25" hidden="false" customHeight="false" outlineLevel="0" collapsed="false">
      <c r="A14" s="3" t="n">
        <v>65</v>
      </c>
      <c r="B14" s="51" t="s">
        <v>77</v>
      </c>
      <c r="C14" s="51" t="s">
        <v>78</v>
      </c>
      <c r="D14" s="51" t="n">
        <v>213665</v>
      </c>
      <c r="E14" s="51" t="s">
        <v>160</v>
      </c>
      <c r="F14" s="47" t="n">
        <v>35</v>
      </c>
      <c r="G14" s="49" t="n">
        <v>223161</v>
      </c>
      <c r="H14" s="51" t="s">
        <v>160</v>
      </c>
      <c r="I14" s="3" t="s">
        <v>190</v>
      </c>
      <c r="J14" s="3" t="n">
        <v>2</v>
      </c>
      <c r="K14" s="53" t="n">
        <v>45114</v>
      </c>
      <c r="L14" s="3" t="s">
        <v>191</v>
      </c>
      <c r="M14" s="54" t="n">
        <v>45114.1554282407</v>
      </c>
      <c r="N14" s="3" t="n">
        <v>1</v>
      </c>
      <c r="O14" s="3" t="n">
        <v>1</v>
      </c>
      <c r="P14" s="3" t="n">
        <v>13</v>
      </c>
      <c r="Q14" s="3" t="n">
        <v>50</v>
      </c>
    </row>
    <row r="15" customFormat="false" ht="14.25" hidden="false" customHeight="false" outlineLevel="0" collapsed="false">
      <c r="A15" s="3" t="n">
        <v>66</v>
      </c>
      <c r="B15" s="51" t="s">
        <v>77</v>
      </c>
      <c r="C15" s="51" t="s">
        <v>78</v>
      </c>
      <c r="D15" s="51" t="n">
        <v>213665</v>
      </c>
      <c r="E15" s="51" t="s">
        <v>160</v>
      </c>
      <c r="F15" s="47" t="n">
        <v>35</v>
      </c>
      <c r="G15" s="49" t="n">
        <v>223161</v>
      </c>
      <c r="H15" s="51" t="s">
        <v>160</v>
      </c>
      <c r="I15" s="3" t="s">
        <v>192</v>
      </c>
      <c r="J15" s="3" t="n">
        <v>1</v>
      </c>
      <c r="K15" s="53" t="n">
        <v>45114</v>
      </c>
      <c r="L15" s="3" t="s">
        <v>193</v>
      </c>
      <c r="M15" s="54" t="n">
        <v>45114.1574652778</v>
      </c>
      <c r="N15" s="3" t="n">
        <v>1</v>
      </c>
      <c r="O15" s="3" t="n">
        <v>1</v>
      </c>
      <c r="P15" s="3" t="n">
        <v>14</v>
      </c>
      <c r="Q15" s="3" t="n">
        <v>51</v>
      </c>
    </row>
    <row r="16" customFormat="false" ht="14.25" hidden="false" customHeight="false" outlineLevel="0" collapsed="false">
      <c r="A16" s="3" t="n">
        <v>67</v>
      </c>
      <c r="B16" s="51" t="s">
        <v>77</v>
      </c>
      <c r="C16" s="51" t="s">
        <v>78</v>
      </c>
      <c r="D16" s="51" t="n">
        <v>213665</v>
      </c>
      <c r="E16" s="51" t="s">
        <v>160</v>
      </c>
      <c r="F16" s="47" t="n">
        <v>35</v>
      </c>
      <c r="G16" s="49" t="n">
        <v>223161</v>
      </c>
      <c r="H16" s="51" t="s">
        <v>160</v>
      </c>
      <c r="I16" s="3" t="s">
        <v>194</v>
      </c>
      <c r="J16" s="3" t="n">
        <v>1</v>
      </c>
      <c r="K16" s="53" t="n">
        <v>45114</v>
      </c>
      <c r="L16" s="3" t="s">
        <v>195</v>
      </c>
      <c r="M16" s="54" t="n">
        <v>45114.1598842593</v>
      </c>
      <c r="N16" s="3" t="n">
        <v>1</v>
      </c>
      <c r="O16" s="3" t="n">
        <v>1</v>
      </c>
      <c r="P16" s="3" t="n">
        <v>15</v>
      </c>
      <c r="Q16" s="3" t="n">
        <v>52</v>
      </c>
    </row>
    <row r="17" customFormat="false" ht="14.25" hidden="false" customHeight="false" outlineLevel="0" collapsed="false">
      <c r="A17" s="3" t="n">
        <v>68</v>
      </c>
      <c r="B17" s="51" t="s">
        <v>77</v>
      </c>
      <c r="C17" s="51" t="s">
        <v>78</v>
      </c>
      <c r="D17" s="51" t="n">
        <v>213665</v>
      </c>
      <c r="E17" s="51" t="s">
        <v>160</v>
      </c>
      <c r="F17" s="47" t="n">
        <v>35</v>
      </c>
      <c r="G17" s="49" t="n">
        <v>223161</v>
      </c>
      <c r="H17" s="51" t="s">
        <v>160</v>
      </c>
      <c r="I17" s="3" t="s">
        <v>196</v>
      </c>
      <c r="J17" s="3" t="n">
        <v>2</v>
      </c>
      <c r="K17" s="53" t="n">
        <v>45114</v>
      </c>
      <c r="L17" s="3" t="s">
        <v>197</v>
      </c>
      <c r="M17" s="54" t="n">
        <v>45114.1623958333</v>
      </c>
      <c r="N17" s="3" t="n">
        <v>1</v>
      </c>
      <c r="O17" s="3" t="n">
        <v>1</v>
      </c>
      <c r="P17" s="3" t="n">
        <v>16</v>
      </c>
      <c r="Q17" s="3" t="n">
        <v>53</v>
      </c>
    </row>
    <row r="18" customFormat="false" ht="14.25" hidden="false" customHeight="false" outlineLevel="0" collapsed="false">
      <c r="A18" s="3" t="n">
        <v>69</v>
      </c>
      <c r="B18" s="51" t="s">
        <v>77</v>
      </c>
      <c r="C18" s="51" t="s">
        <v>78</v>
      </c>
      <c r="D18" s="51" t="n">
        <v>213665</v>
      </c>
      <c r="E18" s="51" t="s">
        <v>160</v>
      </c>
      <c r="F18" s="47" t="n">
        <v>35</v>
      </c>
      <c r="G18" s="49" t="n">
        <v>223161</v>
      </c>
      <c r="H18" s="51" t="s">
        <v>160</v>
      </c>
      <c r="I18" s="3" t="s">
        <v>198</v>
      </c>
      <c r="J18" s="3" t="n">
        <v>2</v>
      </c>
      <c r="K18" s="53" t="n">
        <v>45114</v>
      </c>
      <c r="L18" s="3" t="s">
        <v>199</v>
      </c>
      <c r="M18" s="54" t="n">
        <v>45114.1630902778</v>
      </c>
      <c r="N18" s="3" t="n">
        <v>1</v>
      </c>
      <c r="O18" s="3" t="n">
        <v>1</v>
      </c>
      <c r="P18" s="3" t="n">
        <v>17</v>
      </c>
      <c r="Q18" s="3" t="n">
        <v>54</v>
      </c>
    </row>
    <row r="19" customFormat="false" ht="14.25" hidden="false" customHeight="false" outlineLevel="0" collapsed="false">
      <c r="A19" s="3" t="n">
        <v>70</v>
      </c>
      <c r="B19" s="51" t="s">
        <v>77</v>
      </c>
      <c r="C19" s="51" t="s">
        <v>78</v>
      </c>
      <c r="D19" s="51" t="n">
        <v>213665</v>
      </c>
      <c r="E19" s="51" t="s">
        <v>160</v>
      </c>
      <c r="F19" s="47" t="n">
        <v>35</v>
      </c>
      <c r="G19" s="49" t="n">
        <v>223161</v>
      </c>
      <c r="H19" s="51" t="s">
        <v>160</v>
      </c>
      <c r="I19" s="3" t="s">
        <v>200</v>
      </c>
      <c r="J19" s="3" t="n">
        <v>2</v>
      </c>
      <c r="K19" s="53" t="n">
        <v>45114</v>
      </c>
      <c r="L19" s="3" t="s">
        <v>201</v>
      </c>
      <c r="M19" s="54" t="n">
        <v>45114.1635185185</v>
      </c>
      <c r="N19" s="3" t="n">
        <v>1</v>
      </c>
      <c r="O19" s="3" t="n">
        <v>1</v>
      </c>
      <c r="P19" s="3" t="n">
        <v>18</v>
      </c>
      <c r="Q19" s="3" t="n">
        <v>55</v>
      </c>
    </row>
    <row r="20" customFormat="false" ht="14.25" hidden="false" customHeight="false" outlineLevel="0" collapsed="false">
      <c r="A20" s="3" t="n">
        <v>16</v>
      </c>
      <c r="B20" s="51" t="s">
        <v>445</v>
      </c>
      <c r="C20" s="51" t="s">
        <v>446</v>
      </c>
      <c r="D20" s="51" t="n">
        <v>213668</v>
      </c>
      <c r="E20" s="51" t="s">
        <v>447</v>
      </c>
      <c r="F20" s="47" t="n">
        <v>42</v>
      </c>
      <c r="G20" s="49" t="n">
        <v>223292</v>
      </c>
      <c r="H20" s="51" t="s">
        <v>447</v>
      </c>
      <c r="I20" s="3" t="s">
        <v>448</v>
      </c>
      <c r="J20" s="3" t="n">
        <v>1</v>
      </c>
      <c r="K20" s="53" t="n">
        <v>45111</v>
      </c>
      <c r="L20" s="3" t="s">
        <v>449</v>
      </c>
      <c r="M20" s="54" t="n">
        <v>45111.3571990741</v>
      </c>
      <c r="N20" s="3" t="n">
        <v>2</v>
      </c>
      <c r="O20" s="3" t="n">
        <v>2</v>
      </c>
      <c r="P20" s="3" t="n">
        <v>1</v>
      </c>
      <c r="Q20" s="3" t="n">
        <v>1</v>
      </c>
    </row>
    <row r="21" customFormat="false" ht="14.25" hidden="false" customHeight="false" outlineLevel="0" collapsed="false">
      <c r="A21" s="3" t="n">
        <v>163</v>
      </c>
      <c r="B21" s="51" t="s">
        <v>487</v>
      </c>
      <c r="C21" s="51" t="s">
        <v>488</v>
      </c>
      <c r="D21" s="51" t="n">
        <v>213711</v>
      </c>
      <c r="E21" s="51" t="s">
        <v>447</v>
      </c>
      <c r="F21" s="47" t="n">
        <v>42</v>
      </c>
      <c r="G21" s="49" t="n">
        <v>223292</v>
      </c>
      <c r="H21" s="51" t="s">
        <v>447</v>
      </c>
      <c r="I21" s="3" t="s">
        <v>786</v>
      </c>
      <c r="J21" s="3" t="n">
        <v>1</v>
      </c>
      <c r="K21" s="53" t="n">
        <v>45113</v>
      </c>
      <c r="L21" s="3" t="s">
        <v>787</v>
      </c>
      <c r="M21" s="54" t="n">
        <v>45113.4453587963</v>
      </c>
      <c r="N21" s="3" t="n">
        <v>2</v>
      </c>
      <c r="O21" s="3" t="n">
        <v>2</v>
      </c>
      <c r="P21" s="3" t="n">
        <v>2</v>
      </c>
      <c r="Q21" s="3" t="n">
        <v>147</v>
      </c>
    </row>
    <row r="22" customFormat="false" ht="14.25" hidden="false" customHeight="false" outlineLevel="0" collapsed="false">
      <c r="A22" s="3" t="n">
        <v>164</v>
      </c>
      <c r="B22" s="51" t="s">
        <v>487</v>
      </c>
      <c r="C22" s="51" t="s">
        <v>488</v>
      </c>
      <c r="D22" s="51" t="n">
        <v>213711</v>
      </c>
      <c r="E22" s="51" t="s">
        <v>447</v>
      </c>
      <c r="F22" s="47" t="n">
        <v>42</v>
      </c>
      <c r="G22" s="49" t="n">
        <v>223292</v>
      </c>
      <c r="H22" s="51" t="s">
        <v>447</v>
      </c>
      <c r="I22" s="3" t="s">
        <v>788</v>
      </c>
      <c r="J22" s="3" t="n">
        <v>1</v>
      </c>
      <c r="K22" s="53" t="n">
        <v>45113</v>
      </c>
      <c r="L22" s="3" t="s">
        <v>789</v>
      </c>
      <c r="M22" s="54" t="n">
        <v>45113.4453819444</v>
      </c>
      <c r="N22" s="3" t="n">
        <v>2</v>
      </c>
      <c r="O22" s="3" t="n">
        <v>2</v>
      </c>
      <c r="P22" s="3" t="n">
        <v>3</v>
      </c>
      <c r="Q22" s="3" t="n">
        <v>148</v>
      </c>
    </row>
    <row r="23" customFormat="false" ht="14.25" hidden="false" customHeight="false" outlineLevel="0" collapsed="false">
      <c r="A23" s="3" t="n">
        <v>22</v>
      </c>
      <c r="B23" s="51" t="s">
        <v>250</v>
      </c>
      <c r="C23" s="51" t="s">
        <v>251</v>
      </c>
      <c r="D23" s="51" t="n">
        <v>213777</v>
      </c>
      <c r="E23" s="51" t="s">
        <v>247</v>
      </c>
      <c r="F23" s="47" t="n">
        <v>47</v>
      </c>
      <c r="G23" s="49" t="n">
        <v>223437</v>
      </c>
      <c r="H23" s="51" t="s">
        <v>247</v>
      </c>
      <c r="I23" s="3" t="s">
        <v>254</v>
      </c>
      <c r="J23" s="3" t="n">
        <v>2</v>
      </c>
      <c r="K23" s="53" t="n">
        <v>45111</v>
      </c>
      <c r="L23" s="3" t="s">
        <v>255</v>
      </c>
      <c r="M23" s="54" t="n">
        <v>45111.3579861111</v>
      </c>
      <c r="N23" s="3" t="n">
        <v>3</v>
      </c>
      <c r="O23" s="3" t="n">
        <v>3</v>
      </c>
      <c r="P23" s="3" t="n">
        <v>1</v>
      </c>
      <c r="Q23" s="3" t="n">
        <v>2</v>
      </c>
    </row>
    <row r="24" customFormat="false" ht="14.25" hidden="false" customHeight="false" outlineLevel="0" collapsed="false">
      <c r="A24" s="3" t="n">
        <v>114</v>
      </c>
      <c r="B24" s="51" t="s">
        <v>250</v>
      </c>
      <c r="C24" s="51" t="s">
        <v>251</v>
      </c>
      <c r="D24" s="51" t="n">
        <v>213777</v>
      </c>
      <c r="E24" s="51" t="s">
        <v>247</v>
      </c>
      <c r="F24" s="47" t="n">
        <v>47</v>
      </c>
      <c r="G24" s="49" t="n">
        <v>223437</v>
      </c>
      <c r="H24" s="51" t="s">
        <v>247</v>
      </c>
      <c r="I24" s="3" t="s">
        <v>437</v>
      </c>
      <c r="J24" s="3" t="n">
        <v>1</v>
      </c>
      <c r="K24" s="53" t="n">
        <v>45115</v>
      </c>
      <c r="L24" s="3" t="s">
        <v>438</v>
      </c>
      <c r="M24" s="54" t="n">
        <v>45115.0239699074</v>
      </c>
      <c r="N24" s="3" t="n">
        <v>3</v>
      </c>
      <c r="O24" s="3" t="n">
        <v>3</v>
      </c>
      <c r="P24" s="3" t="n">
        <v>2</v>
      </c>
      <c r="Q24" s="3" t="n">
        <v>94</v>
      </c>
    </row>
    <row r="25" customFormat="false" ht="14.25" hidden="false" customHeight="false" outlineLevel="0" collapsed="false">
      <c r="A25" s="3" t="n">
        <v>115</v>
      </c>
      <c r="B25" s="51" t="s">
        <v>250</v>
      </c>
      <c r="C25" s="51" t="s">
        <v>251</v>
      </c>
      <c r="D25" s="51" t="n">
        <v>213777</v>
      </c>
      <c r="E25" s="51" t="s">
        <v>247</v>
      </c>
      <c r="F25" s="47" t="n">
        <v>47</v>
      </c>
      <c r="G25" s="49" t="n">
        <v>223437</v>
      </c>
      <c r="H25" s="51" t="s">
        <v>247</v>
      </c>
      <c r="I25" s="3" t="s">
        <v>439</v>
      </c>
      <c r="J25" s="3" t="n">
        <v>1</v>
      </c>
      <c r="K25" s="53" t="n">
        <v>45115</v>
      </c>
      <c r="L25" s="3" t="s">
        <v>440</v>
      </c>
      <c r="M25" s="54" t="n">
        <v>45115.0471064815</v>
      </c>
      <c r="N25" s="3" t="n">
        <v>3</v>
      </c>
      <c r="O25" s="3" t="n">
        <v>3</v>
      </c>
      <c r="P25" s="3" t="n">
        <v>3</v>
      </c>
      <c r="Q25" s="3" t="n">
        <v>95</v>
      </c>
    </row>
    <row r="26" customFormat="false" ht="14.25" hidden="false" customHeight="false" outlineLevel="0" collapsed="false">
      <c r="A26" s="3" t="n">
        <v>116</v>
      </c>
      <c r="B26" s="51" t="s">
        <v>250</v>
      </c>
      <c r="C26" s="51" t="s">
        <v>251</v>
      </c>
      <c r="D26" s="51" t="n">
        <v>213777</v>
      </c>
      <c r="E26" s="51" t="s">
        <v>247</v>
      </c>
      <c r="F26" s="47" t="n">
        <v>47</v>
      </c>
      <c r="G26" s="49" t="n">
        <v>223437</v>
      </c>
      <c r="H26" s="51" t="s">
        <v>247</v>
      </c>
      <c r="I26" s="3" t="s">
        <v>441</v>
      </c>
      <c r="J26" s="3" t="n">
        <v>0</v>
      </c>
      <c r="K26" s="53" t="n">
        <v>45115</v>
      </c>
      <c r="L26" s="3" t="s">
        <v>442</v>
      </c>
      <c r="M26" s="54" t="n">
        <v>45115.04875</v>
      </c>
      <c r="N26" s="3" t="n">
        <v>3</v>
      </c>
      <c r="O26" s="3" t="n">
        <v>3</v>
      </c>
      <c r="P26" s="3" t="n">
        <v>4</v>
      </c>
      <c r="Q26" s="3" t="n">
        <v>96</v>
      </c>
    </row>
    <row r="27" customFormat="false" ht="14.25" hidden="false" customHeight="false" outlineLevel="0" collapsed="false">
      <c r="A27" s="3" t="n">
        <v>117</v>
      </c>
      <c r="B27" s="51" t="s">
        <v>250</v>
      </c>
      <c r="C27" s="51" t="s">
        <v>251</v>
      </c>
      <c r="D27" s="51" t="n">
        <v>213777</v>
      </c>
      <c r="E27" s="51" t="s">
        <v>247</v>
      </c>
      <c r="F27" s="47" t="n">
        <v>47</v>
      </c>
      <c r="G27" s="49" t="n">
        <v>223437</v>
      </c>
      <c r="H27" s="51" t="s">
        <v>247</v>
      </c>
      <c r="I27" s="3" t="s">
        <v>443</v>
      </c>
      <c r="J27" s="3" t="n">
        <v>0</v>
      </c>
      <c r="K27" s="53" t="n">
        <v>45115</v>
      </c>
      <c r="L27" s="3" t="s">
        <v>444</v>
      </c>
      <c r="M27" s="54" t="n">
        <v>45115.0542476852</v>
      </c>
      <c r="N27" s="3" t="n">
        <v>3</v>
      </c>
      <c r="O27" s="3" t="n">
        <v>3</v>
      </c>
      <c r="P27" s="3" t="n">
        <v>5</v>
      </c>
      <c r="Q27" s="3" t="n">
        <v>97</v>
      </c>
    </row>
    <row r="28" customFormat="false" ht="14.25" hidden="false" customHeight="false" outlineLevel="0" collapsed="false">
      <c r="A28" s="3" t="n">
        <v>92</v>
      </c>
      <c r="B28" s="51" t="s">
        <v>77</v>
      </c>
      <c r="C28" s="51" t="s">
        <v>78</v>
      </c>
      <c r="D28" s="51" t="n">
        <v>213665</v>
      </c>
      <c r="E28" s="51" t="s">
        <v>247</v>
      </c>
      <c r="F28" s="47" t="n">
        <v>47</v>
      </c>
      <c r="G28" s="49" t="n">
        <v>223437</v>
      </c>
      <c r="H28" s="51" t="s">
        <v>247</v>
      </c>
      <c r="I28" s="3" t="s">
        <v>248</v>
      </c>
      <c r="J28" s="3" t="n">
        <v>2</v>
      </c>
      <c r="K28" s="53" t="n">
        <v>45115</v>
      </c>
      <c r="L28" s="3" t="s">
        <v>249</v>
      </c>
      <c r="M28" s="54" t="n">
        <v>45115.140462963</v>
      </c>
      <c r="N28" s="3" t="n">
        <v>3</v>
      </c>
      <c r="O28" s="3" t="n">
        <v>3</v>
      </c>
      <c r="P28" s="3" t="n">
        <v>6</v>
      </c>
      <c r="Q28" s="3" t="n">
        <v>77</v>
      </c>
    </row>
    <row r="29" customFormat="false" ht="14.25" hidden="false" customHeight="false" outlineLevel="0" collapsed="false">
      <c r="A29" s="3" t="n">
        <v>17</v>
      </c>
      <c r="B29" s="51" t="s">
        <v>487</v>
      </c>
      <c r="C29" s="51" t="s">
        <v>488</v>
      </c>
      <c r="D29" s="51" t="n">
        <v>213711</v>
      </c>
      <c r="E29" s="51" t="s">
        <v>489</v>
      </c>
      <c r="F29" s="47" t="n">
        <v>11</v>
      </c>
      <c r="G29" s="49" t="n">
        <v>202045</v>
      </c>
      <c r="H29" s="51" t="s">
        <v>489</v>
      </c>
      <c r="I29" s="3" t="s">
        <v>490</v>
      </c>
      <c r="J29" s="3" t="n">
        <v>0</v>
      </c>
      <c r="K29" s="53" t="n">
        <v>45111</v>
      </c>
      <c r="L29" s="3" t="s">
        <v>491</v>
      </c>
      <c r="M29" s="54" t="n">
        <v>45111.870462963</v>
      </c>
      <c r="N29" s="3" t="n">
        <v>4</v>
      </c>
      <c r="O29" s="3" t="n">
        <v>4</v>
      </c>
      <c r="P29" s="3" t="n">
        <v>1</v>
      </c>
      <c r="Q29" s="3" t="n">
        <v>1</v>
      </c>
    </row>
    <row r="30" customFormat="false" ht="14.25" hidden="false" customHeight="false" outlineLevel="0" collapsed="false">
      <c r="A30" s="3" t="n">
        <v>18</v>
      </c>
      <c r="B30" s="51" t="s">
        <v>487</v>
      </c>
      <c r="C30" s="51" t="s">
        <v>488</v>
      </c>
      <c r="D30" s="51" t="n">
        <v>213711</v>
      </c>
      <c r="E30" s="51" t="s">
        <v>489</v>
      </c>
      <c r="F30" s="47" t="n">
        <v>11</v>
      </c>
      <c r="G30" s="49" t="n">
        <v>202045</v>
      </c>
      <c r="H30" s="51" t="s">
        <v>489</v>
      </c>
      <c r="I30" s="3" t="s">
        <v>492</v>
      </c>
      <c r="J30" s="3" t="n">
        <v>1</v>
      </c>
      <c r="K30" s="53" t="n">
        <v>45111</v>
      </c>
      <c r="L30" s="3" t="s">
        <v>493</v>
      </c>
      <c r="M30" s="54" t="n">
        <v>45111.8772106482</v>
      </c>
      <c r="N30" s="3" t="n">
        <v>4</v>
      </c>
      <c r="O30" s="3" t="n">
        <v>4</v>
      </c>
      <c r="P30" s="3" t="n">
        <v>2</v>
      </c>
      <c r="Q30" s="3" t="n">
        <v>2</v>
      </c>
    </row>
    <row r="31" customFormat="false" ht="14.25" hidden="false" customHeight="false" outlineLevel="0" collapsed="false">
      <c r="A31" s="3" t="n">
        <v>20</v>
      </c>
      <c r="B31" s="51" t="s">
        <v>487</v>
      </c>
      <c r="C31" s="51" t="s">
        <v>488</v>
      </c>
      <c r="D31" s="51" t="n">
        <v>213711</v>
      </c>
      <c r="E31" s="51" t="s">
        <v>489</v>
      </c>
      <c r="F31" s="47" t="n">
        <v>11</v>
      </c>
      <c r="G31" s="49" t="n">
        <v>202045</v>
      </c>
      <c r="H31" s="51" t="s">
        <v>489</v>
      </c>
      <c r="I31" s="3" t="s">
        <v>497</v>
      </c>
      <c r="J31" s="3" t="n">
        <v>0</v>
      </c>
      <c r="K31" s="53" t="n">
        <v>45111</v>
      </c>
      <c r="L31" s="3" t="s">
        <v>498</v>
      </c>
      <c r="M31" s="54" t="n">
        <v>45111.8897685185</v>
      </c>
      <c r="N31" s="3" t="n">
        <v>4</v>
      </c>
      <c r="O31" s="3" t="n">
        <v>4</v>
      </c>
      <c r="P31" s="3" t="n">
        <v>3</v>
      </c>
      <c r="Q31" s="3" t="n">
        <v>4</v>
      </c>
    </row>
    <row r="32" customFormat="false" ht="14.25" hidden="false" customHeight="false" outlineLevel="0" collapsed="false">
      <c r="A32" s="3" t="n">
        <v>158</v>
      </c>
      <c r="B32" s="51" t="s">
        <v>487</v>
      </c>
      <c r="C32" s="51" t="s">
        <v>488</v>
      </c>
      <c r="D32" s="51" t="n">
        <v>213711</v>
      </c>
      <c r="E32" s="51" t="s">
        <v>489</v>
      </c>
      <c r="F32" s="47" t="n">
        <v>11</v>
      </c>
      <c r="G32" s="49" t="n">
        <v>202045</v>
      </c>
      <c r="H32" s="51" t="s">
        <v>489</v>
      </c>
      <c r="I32" s="3" t="s">
        <v>776</v>
      </c>
      <c r="J32" s="3" t="n">
        <v>2</v>
      </c>
      <c r="K32" s="53" t="n">
        <v>45113</v>
      </c>
      <c r="L32" s="3" t="s">
        <v>777</v>
      </c>
      <c r="M32" s="54" t="n">
        <v>45113.4017824074</v>
      </c>
      <c r="N32" s="3" t="n">
        <v>4</v>
      </c>
      <c r="O32" s="3" t="n">
        <v>4</v>
      </c>
      <c r="P32" s="3" t="n">
        <v>4</v>
      </c>
      <c r="Q32" s="3" t="n">
        <v>142</v>
      </c>
    </row>
    <row r="33" customFormat="false" ht="14.25" hidden="false" customHeight="false" outlineLevel="0" collapsed="false">
      <c r="A33" s="3" t="n">
        <v>159</v>
      </c>
      <c r="B33" s="51" t="s">
        <v>487</v>
      </c>
      <c r="C33" s="51" t="s">
        <v>488</v>
      </c>
      <c r="D33" s="51" t="n">
        <v>213711</v>
      </c>
      <c r="E33" s="51" t="s">
        <v>489</v>
      </c>
      <c r="F33" s="47" t="n">
        <v>11</v>
      </c>
      <c r="G33" s="49" t="n">
        <v>202045</v>
      </c>
      <c r="H33" s="51" t="s">
        <v>489</v>
      </c>
      <c r="I33" s="3" t="s">
        <v>778</v>
      </c>
      <c r="J33" s="3" t="n">
        <v>0</v>
      </c>
      <c r="K33" s="53" t="n">
        <v>45113</v>
      </c>
      <c r="L33" s="3" t="s">
        <v>779</v>
      </c>
      <c r="M33" s="54" t="n">
        <v>45113.4042013889</v>
      </c>
      <c r="N33" s="3" t="n">
        <v>4</v>
      </c>
      <c r="O33" s="3" t="n">
        <v>4</v>
      </c>
      <c r="P33" s="3" t="n">
        <v>5</v>
      </c>
      <c r="Q33" s="3" t="n">
        <v>143</v>
      </c>
    </row>
    <row r="34" customFormat="false" ht="14.25" hidden="false" customHeight="false" outlineLevel="0" collapsed="false">
      <c r="A34" s="3" t="n">
        <v>168</v>
      </c>
      <c r="B34" s="51" t="s">
        <v>487</v>
      </c>
      <c r="C34" s="51" t="s">
        <v>488</v>
      </c>
      <c r="D34" s="51" t="n">
        <v>213711</v>
      </c>
      <c r="E34" s="51" t="s">
        <v>489</v>
      </c>
      <c r="F34" s="47" t="n">
        <v>11</v>
      </c>
      <c r="G34" s="49" t="n">
        <v>202045</v>
      </c>
      <c r="H34" s="51" t="s">
        <v>489</v>
      </c>
      <c r="I34" s="3" t="s">
        <v>798</v>
      </c>
      <c r="J34" s="3" t="n">
        <v>2</v>
      </c>
      <c r="K34" s="53" t="n">
        <v>45113</v>
      </c>
      <c r="L34" s="3" t="s">
        <v>799</v>
      </c>
      <c r="M34" s="54" t="n">
        <v>45113.5689351852</v>
      </c>
      <c r="N34" s="3" t="n">
        <v>4</v>
      </c>
      <c r="O34" s="3" t="n">
        <v>4</v>
      </c>
      <c r="P34" s="3" t="n">
        <v>6</v>
      </c>
      <c r="Q34" s="3" t="n">
        <v>152</v>
      </c>
    </row>
    <row r="35" customFormat="false" ht="14.25" hidden="false" customHeight="false" outlineLevel="0" collapsed="false">
      <c r="A35" s="3" t="n">
        <v>176</v>
      </c>
      <c r="B35" s="51" t="s">
        <v>487</v>
      </c>
      <c r="C35" s="51" t="s">
        <v>488</v>
      </c>
      <c r="D35" s="51" t="n">
        <v>213711</v>
      </c>
      <c r="E35" s="51" t="s">
        <v>489</v>
      </c>
      <c r="F35" s="47" t="n">
        <v>11</v>
      </c>
      <c r="G35" s="49" t="n">
        <v>202045</v>
      </c>
      <c r="H35" s="51" t="s">
        <v>489</v>
      </c>
      <c r="I35" s="3" t="s">
        <v>814</v>
      </c>
      <c r="J35" s="3" t="n">
        <v>1</v>
      </c>
      <c r="K35" s="53" t="n">
        <v>45113</v>
      </c>
      <c r="L35" s="3" t="s">
        <v>815</v>
      </c>
      <c r="M35" s="54" t="n">
        <v>45113.5788425926</v>
      </c>
      <c r="N35" s="3" t="n">
        <v>4</v>
      </c>
      <c r="O35" s="3" t="n">
        <v>4</v>
      </c>
      <c r="P35" s="3" t="n">
        <v>7</v>
      </c>
      <c r="Q35" s="3" t="n">
        <v>160</v>
      </c>
    </row>
    <row r="36" customFormat="false" ht="14.25" hidden="false" customHeight="false" outlineLevel="0" collapsed="false">
      <c r="A36" s="3" t="n">
        <v>185</v>
      </c>
      <c r="B36" s="51" t="s">
        <v>487</v>
      </c>
      <c r="C36" s="51" t="s">
        <v>488</v>
      </c>
      <c r="D36" s="51" t="n">
        <v>213711</v>
      </c>
      <c r="E36" s="51" t="s">
        <v>489</v>
      </c>
      <c r="F36" s="47" t="n">
        <v>11</v>
      </c>
      <c r="G36" s="49" t="n">
        <v>202045</v>
      </c>
      <c r="H36" s="51" t="s">
        <v>489</v>
      </c>
      <c r="I36" s="3" t="s">
        <v>833</v>
      </c>
      <c r="J36" s="3" t="n">
        <v>1</v>
      </c>
      <c r="K36" s="53" t="n">
        <v>45113</v>
      </c>
      <c r="L36" s="3" t="s">
        <v>834</v>
      </c>
      <c r="M36" s="54" t="n">
        <v>45113.6849189815</v>
      </c>
      <c r="N36" s="3" t="n">
        <v>4</v>
      </c>
      <c r="O36" s="3" t="n">
        <v>4</v>
      </c>
      <c r="P36" s="3" t="n">
        <v>8</v>
      </c>
      <c r="Q36" s="3" t="n">
        <v>169</v>
      </c>
    </row>
    <row r="37" customFormat="false" ht="14.25" hidden="false" customHeight="false" outlineLevel="0" collapsed="false">
      <c r="A37" s="3" t="n">
        <v>19</v>
      </c>
      <c r="B37" s="51" t="s">
        <v>487</v>
      </c>
      <c r="C37" s="51" t="s">
        <v>488</v>
      </c>
      <c r="D37" s="51" t="n">
        <v>213711</v>
      </c>
      <c r="E37" s="51" t="s">
        <v>494</v>
      </c>
      <c r="F37" s="47" t="n">
        <v>43</v>
      </c>
      <c r="G37" s="49" t="n">
        <v>223373</v>
      </c>
      <c r="H37" s="51" t="s">
        <v>494</v>
      </c>
      <c r="I37" s="3" t="s">
        <v>495</v>
      </c>
      <c r="J37" s="3" t="n">
        <v>2</v>
      </c>
      <c r="K37" s="53" t="n">
        <v>45111</v>
      </c>
      <c r="L37" s="3" t="s">
        <v>496</v>
      </c>
      <c r="M37" s="54" t="n">
        <v>45111.8818634259</v>
      </c>
      <c r="N37" s="3" t="n">
        <v>5</v>
      </c>
      <c r="O37" s="3" t="n">
        <v>5</v>
      </c>
      <c r="P37" s="3" t="n">
        <v>1</v>
      </c>
      <c r="Q37" s="3" t="n">
        <v>3</v>
      </c>
    </row>
    <row r="38" customFormat="false" ht="14.25" hidden="false" customHeight="false" outlineLevel="0" collapsed="false">
      <c r="A38" s="3" t="n">
        <v>23</v>
      </c>
      <c r="B38" s="51" t="s">
        <v>250</v>
      </c>
      <c r="C38" s="51" t="s">
        <v>251</v>
      </c>
      <c r="D38" s="51" t="n">
        <v>213777</v>
      </c>
      <c r="E38" s="51" t="s">
        <v>103</v>
      </c>
      <c r="F38" s="47" t="n">
        <v>12</v>
      </c>
      <c r="G38" s="49" t="n">
        <v>202053</v>
      </c>
      <c r="H38" s="51" t="s">
        <v>103</v>
      </c>
      <c r="I38" s="3" t="s">
        <v>256</v>
      </c>
      <c r="J38" s="3" t="n">
        <v>1</v>
      </c>
      <c r="K38" s="53" t="n">
        <v>45112</v>
      </c>
      <c r="L38" s="3" t="s">
        <v>257</v>
      </c>
      <c r="M38" s="54" t="n">
        <v>45112.2832407407</v>
      </c>
      <c r="N38" s="3" t="n">
        <v>6</v>
      </c>
      <c r="O38" s="3" t="n">
        <v>6</v>
      </c>
      <c r="P38" s="3" t="n">
        <v>1</v>
      </c>
      <c r="Q38" s="3" t="n">
        <v>3</v>
      </c>
    </row>
    <row r="39" customFormat="false" ht="14.25" hidden="false" customHeight="false" outlineLevel="0" collapsed="false">
      <c r="A39" s="3" t="n">
        <v>24</v>
      </c>
      <c r="B39" s="51" t="s">
        <v>250</v>
      </c>
      <c r="C39" s="51" t="s">
        <v>251</v>
      </c>
      <c r="D39" s="51" t="n">
        <v>213777</v>
      </c>
      <c r="E39" s="51" t="s">
        <v>103</v>
      </c>
      <c r="F39" s="47" t="n">
        <v>12</v>
      </c>
      <c r="G39" s="49" t="n">
        <v>202053</v>
      </c>
      <c r="H39" s="51" t="s">
        <v>103</v>
      </c>
      <c r="I39" s="3" t="s">
        <v>258</v>
      </c>
      <c r="J39" s="3" t="n">
        <v>1</v>
      </c>
      <c r="K39" s="53" t="n">
        <v>45112</v>
      </c>
      <c r="L39" s="3" t="s">
        <v>259</v>
      </c>
      <c r="M39" s="54" t="n">
        <v>45112.2840856482</v>
      </c>
      <c r="N39" s="3" t="n">
        <v>6</v>
      </c>
      <c r="O39" s="3" t="n">
        <v>6</v>
      </c>
      <c r="P39" s="3" t="n">
        <v>2</v>
      </c>
      <c r="Q39" s="3" t="n">
        <v>4</v>
      </c>
    </row>
    <row r="40" customFormat="false" ht="14.25" hidden="false" customHeight="false" outlineLevel="0" collapsed="false">
      <c r="A40" s="3" t="n">
        <v>25</v>
      </c>
      <c r="B40" s="51" t="s">
        <v>250</v>
      </c>
      <c r="C40" s="51" t="s">
        <v>251</v>
      </c>
      <c r="D40" s="51" t="n">
        <v>213777</v>
      </c>
      <c r="E40" s="51" t="s">
        <v>103</v>
      </c>
      <c r="F40" s="47" t="n">
        <v>12</v>
      </c>
      <c r="G40" s="49" t="n">
        <v>202053</v>
      </c>
      <c r="H40" s="51" t="s">
        <v>103</v>
      </c>
      <c r="I40" s="3" t="s">
        <v>260</v>
      </c>
      <c r="J40" s="3" t="n">
        <v>2</v>
      </c>
      <c r="K40" s="53" t="n">
        <v>45112</v>
      </c>
      <c r="L40" s="3" t="s">
        <v>261</v>
      </c>
      <c r="M40" s="54" t="n">
        <v>45112.284375</v>
      </c>
      <c r="N40" s="3" t="n">
        <v>6</v>
      </c>
      <c r="O40" s="3" t="n">
        <v>6</v>
      </c>
      <c r="P40" s="3" t="n">
        <v>3</v>
      </c>
      <c r="Q40" s="3" t="n">
        <v>5</v>
      </c>
    </row>
    <row r="41" customFormat="false" ht="14.25" hidden="false" customHeight="false" outlineLevel="0" collapsed="false">
      <c r="A41" s="3" t="n">
        <v>26</v>
      </c>
      <c r="B41" s="51" t="s">
        <v>250</v>
      </c>
      <c r="C41" s="51" t="s">
        <v>251</v>
      </c>
      <c r="D41" s="51" t="n">
        <v>213777</v>
      </c>
      <c r="E41" s="51" t="s">
        <v>103</v>
      </c>
      <c r="F41" s="47" t="n">
        <v>12</v>
      </c>
      <c r="G41" s="49" t="n">
        <v>202053</v>
      </c>
      <c r="H41" s="51" t="s">
        <v>103</v>
      </c>
      <c r="I41" s="3" t="s">
        <v>262</v>
      </c>
      <c r="J41" s="3" t="n">
        <v>2</v>
      </c>
      <c r="K41" s="53" t="n">
        <v>45112</v>
      </c>
      <c r="L41" s="3" t="s">
        <v>263</v>
      </c>
      <c r="M41" s="54" t="n">
        <v>45112.2845717593</v>
      </c>
      <c r="N41" s="3" t="n">
        <v>6</v>
      </c>
      <c r="O41" s="3" t="n">
        <v>6</v>
      </c>
      <c r="P41" s="3" t="n">
        <v>4</v>
      </c>
      <c r="Q41" s="3" t="n">
        <v>6</v>
      </c>
    </row>
    <row r="42" customFormat="false" ht="14.25" hidden="false" customHeight="false" outlineLevel="0" collapsed="false">
      <c r="A42" s="3" t="n">
        <v>27</v>
      </c>
      <c r="B42" s="51" t="s">
        <v>250</v>
      </c>
      <c r="C42" s="51" t="s">
        <v>251</v>
      </c>
      <c r="D42" s="51" t="n">
        <v>213777</v>
      </c>
      <c r="E42" s="51" t="s">
        <v>103</v>
      </c>
      <c r="F42" s="47" t="n">
        <v>12</v>
      </c>
      <c r="G42" s="49" t="n">
        <v>202053</v>
      </c>
      <c r="H42" s="51" t="s">
        <v>103</v>
      </c>
      <c r="I42" s="3" t="s">
        <v>264</v>
      </c>
      <c r="J42" s="3" t="n">
        <v>1</v>
      </c>
      <c r="K42" s="53" t="n">
        <v>45112</v>
      </c>
      <c r="L42" s="3" t="s">
        <v>265</v>
      </c>
      <c r="M42" s="54" t="n">
        <v>45112.2848263889</v>
      </c>
      <c r="N42" s="3" t="n">
        <v>6</v>
      </c>
      <c r="O42" s="3" t="n">
        <v>6</v>
      </c>
      <c r="P42" s="3" t="n">
        <v>5</v>
      </c>
      <c r="Q42" s="3" t="n">
        <v>7</v>
      </c>
    </row>
    <row r="43" customFormat="false" ht="14.25" hidden="false" customHeight="false" outlineLevel="0" collapsed="false">
      <c r="A43" s="3" t="n">
        <v>28</v>
      </c>
      <c r="B43" s="51" t="s">
        <v>250</v>
      </c>
      <c r="C43" s="51" t="s">
        <v>251</v>
      </c>
      <c r="D43" s="51" t="n">
        <v>213777</v>
      </c>
      <c r="E43" s="51" t="s">
        <v>103</v>
      </c>
      <c r="F43" s="47" t="n">
        <v>12</v>
      </c>
      <c r="G43" s="49" t="n">
        <v>202053</v>
      </c>
      <c r="H43" s="51" t="s">
        <v>103</v>
      </c>
      <c r="I43" s="3" t="s">
        <v>266</v>
      </c>
      <c r="J43" s="3" t="n">
        <v>1</v>
      </c>
      <c r="K43" s="53" t="n">
        <v>45112</v>
      </c>
      <c r="L43" s="3" t="s">
        <v>267</v>
      </c>
      <c r="M43" s="54" t="n">
        <v>45112.2851851852</v>
      </c>
      <c r="N43" s="3" t="n">
        <v>6</v>
      </c>
      <c r="O43" s="3" t="n">
        <v>6</v>
      </c>
      <c r="P43" s="3" t="n">
        <v>6</v>
      </c>
      <c r="Q43" s="3" t="n">
        <v>8</v>
      </c>
    </row>
    <row r="44" customFormat="false" ht="14.25" hidden="false" customHeight="false" outlineLevel="0" collapsed="false">
      <c r="A44" s="3" t="n">
        <v>29</v>
      </c>
      <c r="B44" s="51" t="s">
        <v>250</v>
      </c>
      <c r="C44" s="51" t="s">
        <v>251</v>
      </c>
      <c r="D44" s="51" t="n">
        <v>213777</v>
      </c>
      <c r="E44" s="51" t="s">
        <v>103</v>
      </c>
      <c r="F44" s="47" t="n">
        <v>12</v>
      </c>
      <c r="G44" s="49" t="n">
        <v>202053</v>
      </c>
      <c r="H44" s="51" t="s">
        <v>103</v>
      </c>
      <c r="I44" s="3" t="s">
        <v>268</v>
      </c>
      <c r="J44" s="3" t="n">
        <v>2</v>
      </c>
      <c r="K44" s="53" t="n">
        <v>45112</v>
      </c>
      <c r="L44" s="3" t="s">
        <v>269</v>
      </c>
      <c r="M44" s="54" t="n">
        <v>45112.2855902778</v>
      </c>
      <c r="N44" s="3" t="n">
        <v>6</v>
      </c>
      <c r="O44" s="3" t="n">
        <v>6</v>
      </c>
      <c r="P44" s="3" t="n">
        <v>7</v>
      </c>
      <c r="Q44" s="3" t="n">
        <v>9</v>
      </c>
    </row>
    <row r="45" customFormat="false" ht="14.25" hidden="false" customHeight="false" outlineLevel="0" collapsed="false">
      <c r="A45" s="3" t="n">
        <v>30</v>
      </c>
      <c r="B45" s="51" t="s">
        <v>250</v>
      </c>
      <c r="C45" s="51" t="s">
        <v>251</v>
      </c>
      <c r="D45" s="51" t="n">
        <v>213777</v>
      </c>
      <c r="E45" s="51" t="s">
        <v>103</v>
      </c>
      <c r="F45" s="47" t="n">
        <v>12</v>
      </c>
      <c r="G45" s="49" t="n">
        <v>202053</v>
      </c>
      <c r="H45" s="51" t="s">
        <v>103</v>
      </c>
      <c r="I45" s="3" t="s">
        <v>270</v>
      </c>
      <c r="J45" s="3" t="n">
        <v>1</v>
      </c>
      <c r="K45" s="53" t="n">
        <v>45112</v>
      </c>
      <c r="L45" s="3" t="s">
        <v>271</v>
      </c>
      <c r="M45" s="54" t="n">
        <v>45112.2859375</v>
      </c>
      <c r="N45" s="3" t="n">
        <v>6</v>
      </c>
      <c r="O45" s="3" t="n">
        <v>6</v>
      </c>
      <c r="P45" s="3" t="n">
        <v>8</v>
      </c>
      <c r="Q45" s="3" t="n">
        <v>10</v>
      </c>
    </row>
    <row r="46" customFormat="false" ht="14.25" hidden="false" customHeight="false" outlineLevel="0" collapsed="false">
      <c r="A46" s="3" t="n">
        <v>31</v>
      </c>
      <c r="B46" s="51" t="s">
        <v>250</v>
      </c>
      <c r="C46" s="51" t="s">
        <v>251</v>
      </c>
      <c r="D46" s="51" t="n">
        <v>213777</v>
      </c>
      <c r="E46" s="51" t="s">
        <v>103</v>
      </c>
      <c r="F46" s="47" t="n">
        <v>12</v>
      </c>
      <c r="G46" s="49" t="n">
        <v>202053</v>
      </c>
      <c r="H46" s="51" t="s">
        <v>103</v>
      </c>
      <c r="I46" s="3" t="s">
        <v>272</v>
      </c>
      <c r="J46" s="3" t="n">
        <v>1</v>
      </c>
      <c r="K46" s="53" t="n">
        <v>45112</v>
      </c>
      <c r="L46" s="3" t="s">
        <v>273</v>
      </c>
      <c r="M46" s="54" t="n">
        <v>45112.2866435185</v>
      </c>
      <c r="N46" s="3" t="n">
        <v>6</v>
      </c>
      <c r="O46" s="3" t="n">
        <v>6</v>
      </c>
      <c r="P46" s="3" t="n">
        <v>9</v>
      </c>
      <c r="Q46" s="3" t="n">
        <v>11</v>
      </c>
    </row>
    <row r="47" customFormat="false" ht="14.25" hidden="false" customHeight="false" outlineLevel="0" collapsed="false">
      <c r="A47" s="3" t="n">
        <v>32</v>
      </c>
      <c r="B47" s="51" t="s">
        <v>250</v>
      </c>
      <c r="C47" s="51" t="s">
        <v>251</v>
      </c>
      <c r="D47" s="51" t="n">
        <v>213777</v>
      </c>
      <c r="E47" s="51" t="s">
        <v>103</v>
      </c>
      <c r="F47" s="47" t="n">
        <v>12</v>
      </c>
      <c r="G47" s="49" t="n">
        <v>202053</v>
      </c>
      <c r="H47" s="51" t="s">
        <v>103</v>
      </c>
      <c r="I47" s="3" t="s">
        <v>274</v>
      </c>
      <c r="J47" s="3" t="n">
        <v>1</v>
      </c>
      <c r="K47" s="53" t="n">
        <v>45112</v>
      </c>
      <c r="L47" s="3" t="s">
        <v>275</v>
      </c>
      <c r="M47" s="54" t="n">
        <v>45112.2866666667</v>
      </c>
      <c r="N47" s="3" t="n">
        <v>6</v>
      </c>
      <c r="O47" s="3" t="n">
        <v>6</v>
      </c>
      <c r="P47" s="3" t="n">
        <v>10</v>
      </c>
      <c r="Q47" s="3" t="n">
        <v>12</v>
      </c>
    </row>
    <row r="48" customFormat="false" ht="14.25" hidden="false" customHeight="false" outlineLevel="0" collapsed="false">
      <c r="A48" s="3" t="n">
        <v>33</v>
      </c>
      <c r="B48" s="51" t="s">
        <v>250</v>
      </c>
      <c r="C48" s="51" t="s">
        <v>251</v>
      </c>
      <c r="D48" s="51" t="n">
        <v>213777</v>
      </c>
      <c r="E48" s="51" t="s">
        <v>103</v>
      </c>
      <c r="F48" s="47" t="n">
        <v>12</v>
      </c>
      <c r="G48" s="49" t="n">
        <v>202053</v>
      </c>
      <c r="H48" s="51" t="s">
        <v>103</v>
      </c>
      <c r="I48" s="3" t="s">
        <v>276</v>
      </c>
      <c r="J48" s="3" t="n">
        <v>2</v>
      </c>
      <c r="K48" s="53" t="n">
        <v>45112</v>
      </c>
      <c r="L48" s="3" t="s">
        <v>277</v>
      </c>
      <c r="M48" s="54" t="n">
        <v>45112.2876967593</v>
      </c>
      <c r="N48" s="3" t="n">
        <v>6</v>
      </c>
      <c r="O48" s="3" t="n">
        <v>6</v>
      </c>
      <c r="P48" s="3" t="n">
        <v>11</v>
      </c>
      <c r="Q48" s="3" t="n">
        <v>13</v>
      </c>
    </row>
    <row r="49" customFormat="false" ht="14.25" hidden="false" customHeight="false" outlineLevel="0" collapsed="false">
      <c r="A49" s="3" t="n">
        <v>34</v>
      </c>
      <c r="B49" s="51" t="s">
        <v>250</v>
      </c>
      <c r="C49" s="51" t="s">
        <v>251</v>
      </c>
      <c r="D49" s="51" t="n">
        <v>213777</v>
      </c>
      <c r="E49" s="51" t="s">
        <v>103</v>
      </c>
      <c r="F49" s="47" t="n">
        <v>12</v>
      </c>
      <c r="G49" s="49" t="n">
        <v>202053</v>
      </c>
      <c r="H49" s="51" t="s">
        <v>103</v>
      </c>
      <c r="I49" s="3" t="s">
        <v>278</v>
      </c>
      <c r="J49" s="3" t="n">
        <v>0</v>
      </c>
      <c r="K49" s="53" t="n">
        <v>45112</v>
      </c>
      <c r="L49" s="3" t="s">
        <v>279</v>
      </c>
      <c r="M49" s="54" t="n">
        <v>45112.2880902778</v>
      </c>
      <c r="N49" s="3" t="n">
        <v>6</v>
      </c>
      <c r="O49" s="3" t="n">
        <v>6</v>
      </c>
      <c r="P49" s="3" t="n">
        <v>12</v>
      </c>
      <c r="Q49" s="3" t="n">
        <v>14</v>
      </c>
    </row>
    <row r="50" customFormat="false" ht="14.25" hidden="false" customHeight="false" outlineLevel="0" collapsed="false">
      <c r="A50" s="3" t="n">
        <v>35</v>
      </c>
      <c r="B50" s="51" t="s">
        <v>250</v>
      </c>
      <c r="C50" s="51" t="s">
        <v>251</v>
      </c>
      <c r="D50" s="51" t="n">
        <v>213777</v>
      </c>
      <c r="E50" s="51" t="s">
        <v>103</v>
      </c>
      <c r="F50" s="47" t="n">
        <v>12</v>
      </c>
      <c r="G50" s="49" t="n">
        <v>202053</v>
      </c>
      <c r="H50" s="51" t="s">
        <v>103</v>
      </c>
      <c r="I50" s="3" t="s">
        <v>280</v>
      </c>
      <c r="J50" s="3" t="n">
        <v>1</v>
      </c>
      <c r="K50" s="53" t="n">
        <v>45112</v>
      </c>
      <c r="L50" s="3" t="s">
        <v>281</v>
      </c>
      <c r="M50" s="54" t="n">
        <v>45112.2926388889</v>
      </c>
      <c r="N50" s="3" t="n">
        <v>6</v>
      </c>
      <c r="O50" s="3" t="n">
        <v>6</v>
      </c>
      <c r="P50" s="3" t="n">
        <v>13</v>
      </c>
      <c r="Q50" s="3" t="n">
        <v>15</v>
      </c>
    </row>
    <row r="51" customFormat="false" ht="14.25" hidden="false" customHeight="false" outlineLevel="0" collapsed="false">
      <c r="A51" s="3" t="n">
        <v>37</v>
      </c>
      <c r="B51" s="51" t="s">
        <v>250</v>
      </c>
      <c r="C51" s="51" t="s">
        <v>251</v>
      </c>
      <c r="D51" s="51" t="n">
        <v>213777</v>
      </c>
      <c r="E51" s="51" t="s">
        <v>103</v>
      </c>
      <c r="F51" s="47" t="n">
        <v>12</v>
      </c>
      <c r="G51" s="49" t="n">
        <v>202053</v>
      </c>
      <c r="H51" s="51" t="s">
        <v>103</v>
      </c>
      <c r="I51" s="3" t="s">
        <v>284</v>
      </c>
      <c r="J51" s="3" t="n">
        <v>3</v>
      </c>
      <c r="K51" s="53" t="n">
        <v>45112</v>
      </c>
      <c r="L51" s="3" t="s">
        <v>285</v>
      </c>
      <c r="M51" s="54" t="n">
        <v>45112.3237847222</v>
      </c>
      <c r="N51" s="3" t="n">
        <v>6</v>
      </c>
      <c r="O51" s="3" t="n">
        <v>6</v>
      </c>
      <c r="P51" s="3" t="n">
        <v>14</v>
      </c>
      <c r="Q51" s="3" t="n">
        <v>17</v>
      </c>
    </row>
    <row r="52" customFormat="false" ht="14.25" hidden="false" customHeight="false" outlineLevel="0" collapsed="false">
      <c r="A52" s="3" t="n">
        <v>38</v>
      </c>
      <c r="B52" s="51" t="s">
        <v>250</v>
      </c>
      <c r="C52" s="51" t="s">
        <v>251</v>
      </c>
      <c r="D52" s="51" t="n">
        <v>213777</v>
      </c>
      <c r="E52" s="51" t="s">
        <v>103</v>
      </c>
      <c r="F52" s="47" t="n">
        <v>12</v>
      </c>
      <c r="G52" s="49" t="n">
        <v>202053</v>
      </c>
      <c r="H52" s="51" t="s">
        <v>103</v>
      </c>
      <c r="I52" s="3" t="s">
        <v>286</v>
      </c>
      <c r="J52" s="3" t="n">
        <v>1</v>
      </c>
      <c r="K52" s="53" t="n">
        <v>45112</v>
      </c>
      <c r="L52" s="3" t="s">
        <v>287</v>
      </c>
      <c r="M52" s="54" t="n">
        <v>45112.3239699074</v>
      </c>
      <c r="N52" s="3" t="n">
        <v>6</v>
      </c>
      <c r="O52" s="3" t="n">
        <v>6</v>
      </c>
      <c r="P52" s="3" t="n">
        <v>15</v>
      </c>
      <c r="Q52" s="3" t="n">
        <v>18</v>
      </c>
    </row>
    <row r="53" customFormat="false" ht="14.25" hidden="false" customHeight="false" outlineLevel="0" collapsed="false">
      <c r="A53" s="3" t="n">
        <v>39</v>
      </c>
      <c r="B53" s="51" t="s">
        <v>250</v>
      </c>
      <c r="C53" s="51" t="s">
        <v>251</v>
      </c>
      <c r="D53" s="51" t="n">
        <v>213777</v>
      </c>
      <c r="E53" s="51" t="s">
        <v>103</v>
      </c>
      <c r="F53" s="47" t="n">
        <v>12</v>
      </c>
      <c r="G53" s="49" t="n">
        <v>202053</v>
      </c>
      <c r="H53" s="51" t="s">
        <v>103</v>
      </c>
      <c r="I53" s="3" t="s">
        <v>288</v>
      </c>
      <c r="J53" s="3" t="n">
        <v>3</v>
      </c>
      <c r="K53" s="53" t="n">
        <v>45112</v>
      </c>
      <c r="L53" s="3" t="s">
        <v>289</v>
      </c>
      <c r="M53" s="54" t="n">
        <v>45112.3241550926</v>
      </c>
      <c r="N53" s="3" t="n">
        <v>6</v>
      </c>
      <c r="O53" s="3" t="n">
        <v>6</v>
      </c>
      <c r="P53" s="3" t="n">
        <v>16</v>
      </c>
      <c r="Q53" s="3" t="n">
        <v>19</v>
      </c>
    </row>
    <row r="54" customFormat="false" ht="14.25" hidden="false" customHeight="false" outlineLevel="0" collapsed="false">
      <c r="A54" s="3" t="n">
        <v>40</v>
      </c>
      <c r="B54" s="51" t="s">
        <v>250</v>
      </c>
      <c r="C54" s="51" t="s">
        <v>251</v>
      </c>
      <c r="D54" s="51" t="n">
        <v>213777</v>
      </c>
      <c r="E54" s="51" t="s">
        <v>103</v>
      </c>
      <c r="F54" s="47" t="n">
        <v>12</v>
      </c>
      <c r="G54" s="49" t="n">
        <v>202053</v>
      </c>
      <c r="H54" s="51" t="s">
        <v>103</v>
      </c>
      <c r="I54" s="3" t="s">
        <v>290</v>
      </c>
      <c r="J54" s="3" t="n">
        <v>0</v>
      </c>
      <c r="K54" s="53" t="n">
        <v>45112</v>
      </c>
      <c r="L54" s="3" t="s">
        <v>291</v>
      </c>
      <c r="M54" s="54" t="n">
        <v>45112.3243402778</v>
      </c>
      <c r="N54" s="3" t="n">
        <v>6</v>
      </c>
      <c r="O54" s="3" t="n">
        <v>6</v>
      </c>
      <c r="P54" s="3" t="n">
        <v>17</v>
      </c>
      <c r="Q54" s="3" t="n">
        <v>20</v>
      </c>
    </row>
    <row r="55" customFormat="false" ht="14.25" hidden="false" customHeight="false" outlineLevel="0" collapsed="false">
      <c r="A55" s="3" t="n">
        <v>41</v>
      </c>
      <c r="B55" s="51" t="s">
        <v>250</v>
      </c>
      <c r="C55" s="51" t="s">
        <v>251</v>
      </c>
      <c r="D55" s="51" t="n">
        <v>213777</v>
      </c>
      <c r="E55" s="51" t="s">
        <v>103</v>
      </c>
      <c r="F55" s="47" t="n">
        <v>12</v>
      </c>
      <c r="G55" s="49" t="n">
        <v>202053</v>
      </c>
      <c r="H55" s="51" t="s">
        <v>103</v>
      </c>
      <c r="I55" s="3" t="s">
        <v>292</v>
      </c>
      <c r="J55" s="3" t="n">
        <v>2</v>
      </c>
      <c r="K55" s="53" t="n">
        <v>45112</v>
      </c>
      <c r="L55" s="3" t="s">
        <v>293</v>
      </c>
      <c r="M55" s="54" t="n">
        <v>45112.3245138889</v>
      </c>
      <c r="N55" s="3" t="n">
        <v>6</v>
      </c>
      <c r="O55" s="3" t="n">
        <v>6</v>
      </c>
      <c r="P55" s="3" t="n">
        <v>18</v>
      </c>
      <c r="Q55" s="3" t="n">
        <v>21</v>
      </c>
    </row>
    <row r="56" customFormat="false" ht="14.25" hidden="false" customHeight="false" outlineLevel="0" collapsed="false">
      <c r="A56" s="3" t="n">
        <v>42</v>
      </c>
      <c r="B56" s="51" t="s">
        <v>250</v>
      </c>
      <c r="C56" s="51" t="s">
        <v>251</v>
      </c>
      <c r="D56" s="51" t="n">
        <v>213777</v>
      </c>
      <c r="E56" s="51" t="s">
        <v>103</v>
      </c>
      <c r="F56" s="47" t="n">
        <v>12</v>
      </c>
      <c r="G56" s="49" t="n">
        <v>202053</v>
      </c>
      <c r="H56" s="51" t="s">
        <v>103</v>
      </c>
      <c r="I56" s="3" t="s">
        <v>294</v>
      </c>
      <c r="J56" s="3" t="n">
        <v>2</v>
      </c>
      <c r="K56" s="53" t="n">
        <v>45112</v>
      </c>
      <c r="L56" s="3" t="s">
        <v>295</v>
      </c>
      <c r="M56" s="54" t="n">
        <v>45112.3250115741</v>
      </c>
      <c r="N56" s="3" t="n">
        <v>6</v>
      </c>
      <c r="O56" s="3" t="n">
        <v>6</v>
      </c>
      <c r="P56" s="3" t="n">
        <v>19</v>
      </c>
      <c r="Q56" s="3" t="n">
        <v>22</v>
      </c>
    </row>
    <row r="57" customFormat="false" ht="14.25" hidden="false" customHeight="false" outlineLevel="0" collapsed="false">
      <c r="A57" s="3" t="n">
        <v>43</v>
      </c>
      <c r="B57" s="51" t="s">
        <v>250</v>
      </c>
      <c r="C57" s="51" t="s">
        <v>251</v>
      </c>
      <c r="D57" s="51" t="n">
        <v>213777</v>
      </c>
      <c r="E57" s="51" t="s">
        <v>103</v>
      </c>
      <c r="F57" s="47" t="n">
        <v>12</v>
      </c>
      <c r="G57" s="49" t="n">
        <v>202053</v>
      </c>
      <c r="H57" s="51" t="s">
        <v>103</v>
      </c>
      <c r="I57" s="3" t="s">
        <v>296</v>
      </c>
      <c r="J57" s="3" t="n">
        <v>1</v>
      </c>
      <c r="K57" s="53" t="n">
        <v>45112</v>
      </c>
      <c r="L57" s="3" t="s">
        <v>297</v>
      </c>
      <c r="M57" s="54" t="n">
        <v>45112.3250347222</v>
      </c>
      <c r="N57" s="3" t="n">
        <v>6</v>
      </c>
      <c r="O57" s="3" t="n">
        <v>6</v>
      </c>
      <c r="P57" s="3" t="n">
        <v>20</v>
      </c>
      <c r="Q57" s="3" t="n">
        <v>23</v>
      </c>
    </row>
    <row r="58" customFormat="false" ht="14.25" hidden="false" customHeight="false" outlineLevel="0" collapsed="false">
      <c r="A58" s="3" t="n">
        <v>44</v>
      </c>
      <c r="B58" s="51" t="s">
        <v>250</v>
      </c>
      <c r="C58" s="51" t="s">
        <v>251</v>
      </c>
      <c r="D58" s="51" t="n">
        <v>213777</v>
      </c>
      <c r="E58" s="51" t="s">
        <v>103</v>
      </c>
      <c r="F58" s="47" t="n">
        <v>12</v>
      </c>
      <c r="G58" s="49" t="n">
        <v>202053</v>
      </c>
      <c r="H58" s="51" t="s">
        <v>103</v>
      </c>
      <c r="I58" s="3" t="s">
        <v>298</v>
      </c>
      <c r="J58" s="3" t="n">
        <v>1</v>
      </c>
      <c r="K58" s="53" t="n">
        <v>45112</v>
      </c>
      <c r="L58" s="3" t="s">
        <v>299</v>
      </c>
      <c r="M58" s="54" t="n">
        <v>45112.3253009259</v>
      </c>
      <c r="N58" s="3" t="n">
        <v>6</v>
      </c>
      <c r="O58" s="3" t="n">
        <v>6</v>
      </c>
      <c r="P58" s="3" t="n">
        <v>21</v>
      </c>
      <c r="Q58" s="3" t="n">
        <v>24</v>
      </c>
    </row>
    <row r="59" customFormat="false" ht="14.25" hidden="false" customHeight="false" outlineLevel="0" collapsed="false">
      <c r="A59" s="3" t="n">
        <v>45</v>
      </c>
      <c r="B59" s="51" t="s">
        <v>250</v>
      </c>
      <c r="C59" s="51" t="s">
        <v>251</v>
      </c>
      <c r="D59" s="51" t="n">
        <v>213777</v>
      </c>
      <c r="E59" s="51" t="s">
        <v>103</v>
      </c>
      <c r="F59" s="47" t="n">
        <v>12</v>
      </c>
      <c r="G59" s="49" t="n">
        <v>202053</v>
      </c>
      <c r="H59" s="51" t="s">
        <v>103</v>
      </c>
      <c r="I59" s="3" t="s">
        <v>300</v>
      </c>
      <c r="J59" s="3" t="n">
        <v>1</v>
      </c>
      <c r="K59" s="53" t="n">
        <v>45112</v>
      </c>
      <c r="L59" s="3" t="s">
        <v>301</v>
      </c>
      <c r="M59" s="54" t="n">
        <v>45112.3253240741</v>
      </c>
      <c r="N59" s="3" t="n">
        <v>6</v>
      </c>
      <c r="O59" s="3" t="n">
        <v>6</v>
      </c>
      <c r="P59" s="3" t="n">
        <v>22</v>
      </c>
      <c r="Q59" s="3" t="n">
        <v>25</v>
      </c>
    </row>
    <row r="60" customFormat="false" ht="14.25" hidden="false" customHeight="false" outlineLevel="0" collapsed="false">
      <c r="A60" s="3" t="n">
        <v>46</v>
      </c>
      <c r="B60" s="51" t="s">
        <v>250</v>
      </c>
      <c r="C60" s="51" t="s">
        <v>251</v>
      </c>
      <c r="D60" s="51" t="n">
        <v>213777</v>
      </c>
      <c r="E60" s="51" t="s">
        <v>103</v>
      </c>
      <c r="F60" s="47" t="n">
        <v>12</v>
      </c>
      <c r="G60" s="49" t="n">
        <v>202053</v>
      </c>
      <c r="H60" s="51" t="s">
        <v>103</v>
      </c>
      <c r="I60" s="3" t="s">
        <v>302</v>
      </c>
      <c r="J60" s="3" t="n">
        <v>1</v>
      </c>
      <c r="K60" s="53" t="n">
        <v>45112</v>
      </c>
      <c r="L60" s="3" t="s">
        <v>303</v>
      </c>
      <c r="M60" s="54" t="n">
        <v>45112.3260185185</v>
      </c>
      <c r="N60" s="3" t="n">
        <v>6</v>
      </c>
      <c r="O60" s="3" t="n">
        <v>6</v>
      </c>
      <c r="P60" s="3" t="n">
        <v>23</v>
      </c>
      <c r="Q60" s="3" t="n">
        <v>26</v>
      </c>
    </row>
    <row r="61" customFormat="false" ht="14.25" hidden="false" customHeight="false" outlineLevel="0" collapsed="false">
      <c r="A61" s="3" t="n">
        <v>47</v>
      </c>
      <c r="B61" s="51" t="s">
        <v>250</v>
      </c>
      <c r="C61" s="51" t="s">
        <v>251</v>
      </c>
      <c r="D61" s="51" t="n">
        <v>213777</v>
      </c>
      <c r="E61" s="51" t="s">
        <v>103</v>
      </c>
      <c r="F61" s="47" t="n">
        <v>12</v>
      </c>
      <c r="G61" s="49" t="n">
        <v>202053</v>
      </c>
      <c r="H61" s="51" t="s">
        <v>103</v>
      </c>
      <c r="I61" s="3" t="s">
        <v>304</v>
      </c>
      <c r="J61" s="3" t="n">
        <v>0</v>
      </c>
      <c r="K61" s="53" t="n">
        <v>45112</v>
      </c>
      <c r="L61" s="3" t="s">
        <v>305</v>
      </c>
      <c r="M61" s="54" t="n">
        <v>45112.3278819444</v>
      </c>
      <c r="N61" s="3" t="n">
        <v>6</v>
      </c>
      <c r="O61" s="3" t="n">
        <v>6</v>
      </c>
      <c r="P61" s="3" t="n">
        <v>24</v>
      </c>
      <c r="Q61" s="3" t="n">
        <v>27</v>
      </c>
    </row>
    <row r="62" customFormat="false" ht="14.25" hidden="false" customHeight="false" outlineLevel="0" collapsed="false">
      <c r="A62" s="3" t="n">
        <v>48</v>
      </c>
      <c r="B62" s="51" t="s">
        <v>250</v>
      </c>
      <c r="C62" s="51" t="s">
        <v>251</v>
      </c>
      <c r="D62" s="51" t="n">
        <v>213777</v>
      </c>
      <c r="E62" s="51" t="s">
        <v>103</v>
      </c>
      <c r="F62" s="47" t="n">
        <v>12</v>
      </c>
      <c r="G62" s="49" t="n">
        <v>202053</v>
      </c>
      <c r="H62" s="51" t="s">
        <v>103</v>
      </c>
      <c r="I62" s="3" t="s">
        <v>306</v>
      </c>
      <c r="J62" s="3" t="n">
        <v>2</v>
      </c>
      <c r="K62" s="53" t="n">
        <v>45112</v>
      </c>
      <c r="L62" s="3" t="s">
        <v>307</v>
      </c>
      <c r="M62" s="54" t="n">
        <v>45112.328287037</v>
      </c>
      <c r="N62" s="3" t="n">
        <v>6</v>
      </c>
      <c r="O62" s="3" t="n">
        <v>6</v>
      </c>
      <c r="P62" s="3" t="n">
        <v>25</v>
      </c>
      <c r="Q62" s="3" t="n">
        <v>28</v>
      </c>
    </row>
    <row r="63" customFormat="false" ht="14.25" hidden="false" customHeight="false" outlineLevel="0" collapsed="false">
      <c r="A63" s="3" t="n">
        <v>49</v>
      </c>
      <c r="B63" s="51" t="s">
        <v>250</v>
      </c>
      <c r="C63" s="51" t="s">
        <v>251</v>
      </c>
      <c r="D63" s="51" t="n">
        <v>213777</v>
      </c>
      <c r="E63" s="51" t="s">
        <v>103</v>
      </c>
      <c r="F63" s="47" t="n">
        <v>12</v>
      </c>
      <c r="G63" s="49" t="n">
        <v>202053</v>
      </c>
      <c r="H63" s="51" t="s">
        <v>103</v>
      </c>
      <c r="I63" s="3" t="s">
        <v>308</v>
      </c>
      <c r="J63" s="3" t="n">
        <v>1</v>
      </c>
      <c r="K63" s="53" t="n">
        <v>45112</v>
      </c>
      <c r="L63" s="3" t="s">
        <v>309</v>
      </c>
      <c r="M63" s="54" t="n">
        <v>45112.3287962963</v>
      </c>
      <c r="N63" s="3" t="n">
        <v>6</v>
      </c>
      <c r="O63" s="3" t="n">
        <v>6</v>
      </c>
      <c r="P63" s="3" t="n">
        <v>26</v>
      </c>
      <c r="Q63" s="3" t="n">
        <v>29</v>
      </c>
    </row>
    <row r="64" customFormat="false" ht="14.25" hidden="false" customHeight="false" outlineLevel="0" collapsed="false">
      <c r="A64" s="3" t="n">
        <v>50</v>
      </c>
      <c r="B64" s="51" t="s">
        <v>250</v>
      </c>
      <c r="C64" s="51" t="s">
        <v>251</v>
      </c>
      <c r="D64" s="51" t="n">
        <v>213777</v>
      </c>
      <c r="E64" s="51" t="s">
        <v>103</v>
      </c>
      <c r="F64" s="47" t="n">
        <v>12</v>
      </c>
      <c r="G64" s="49" t="n">
        <v>202053</v>
      </c>
      <c r="H64" s="51" t="s">
        <v>103</v>
      </c>
      <c r="I64" s="3" t="s">
        <v>310</v>
      </c>
      <c r="J64" s="3" t="n">
        <v>1</v>
      </c>
      <c r="K64" s="53" t="n">
        <v>45112</v>
      </c>
      <c r="L64" s="3" t="s">
        <v>311</v>
      </c>
      <c r="M64" s="54" t="n">
        <v>45112.3292361111</v>
      </c>
      <c r="N64" s="3" t="n">
        <v>6</v>
      </c>
      <c r="O64" s="3" t="n">
        <v>6</v>
      </c>
      <c r="P64" s="3" t="n">
        <v>27</v>
      </c>
      <c r="Q64" s="3" t="n">
        <v>30</v>
      </c>
    </row>
    <row r="65" customFormat="false" ht="14.25" hidden="false" customHeight="false" outlineLevel="0" collapsed="false">
      <c r="A65" s="3" t="n">
        <v>51</v>
      </c>
      <c r="B65" s="51" t="s">
        <v>250</v>
      </c>
      <c r="C65" s="51" t="s">
        <v>251</v>
      </c>
      <c r="D65" s="51" t="n">
        <v>213777</v>
      </c>
      <c r="E65" s="51" t="s">
        <v>103</v>
      </c>
      <c r="F65" s="47" t="n">
        <v>12</v>
      </c>
      <c r="G65" s="49" t="n">
        <v>202053</v>
      </c>
      <c r="H65" s="51" t="s">
        <v>103</v>
      </c>
      <c r="I65" s="3" t="s">
        <v>312</v>
      </c>
      <c r="J65" s="3" t="n">
        <v>0</v>
      </c>
      <c r="K65" s="53" t="n">
        <v>45112</v>
      </c>
      <c r="L65" s="3" t="s">
        <v>313</v>
      </c>
      <c r="M65" s="54" t="n">
        <v>45112.3295023148</v>
      </c>
      <c r="N65" s="3" t="n">
        <v>6</v>
      </c>
      <c r="O65" s="3" t="n">
        <v>6</v>
      </c>
      <c r="P65" s="3" t="n">
        <v>28</v>
      </c>
      <c r="Q65" s="3" t="n">
        <v>31</v>
      </c>
    </row>
    <row r="66" customFormat="false" ht="14.25" hidden="false" customHeight="false" outlineLevel="0" collapsed="false">
      <c r="A66" s="3" t="n">
        <v>52</v>
      </c>
      <c r="B66" s="51" t="s">
        <v>250</v>
      </c>
      <c r="C66" s="51" t="s">
        <v>251</v>
      </c>
      <c r="D66" s="51" t="n">
        <v>213777</v>
      </c>
      <c r="E66" s="51" t="s">
        <v>103</v>
      </c>
      <c r="F66" s="47" t="n">
        <v>12</v>
      </c>
      <c r="G66" s="49" t="n">
        <v>202053</v>
      </c>
      <c r="H66" s="51" t="s">
        <v>103</v>
      </c>
      <c r="I66" s="3" t="s">
        <v>314</v>
      </c>
      <c r="J66" s="3" t="n">
        <v>1</v>
      </c>
      <c r="K66" s="53" t="n">
        <v>45112</v>
      </c>
      <c r="L66" s="3" t="s">
        <v>315</v>
      </c>
      <c r="M66" s="54" t="n">
        <v>45112.3299652778</v>
      </c>
      <c r="N66" s="3" t="n">
        <v>6</v>
      </c>
      <c r="O66" s="3" t="n">
        <v>6</v>
      </c>
      <c r="P66" s="3" t="n">
        <v>29</v>
      </c>
      <c r="Q66" s="3" t="n">
        <v>32</v>
      </c>
    </row>
    <row r="67" customFormat="false" ht="14.25" hidden="false" customHeight="false" outlineLevel="0" collapsed="false">
      <c r="A67" s="3" t="n">
        <v>53</v>
      </c>
      <c r="B67" s="51" t="s">
        <v>250</v>
      </c>
      <c r="C67" s="51" t="s">
        <v>251</v>
      </c>
      <c r="D67" s="51" t="n">
        <v>213777</v>
      </c>
      <c r="E67" s="51" t="s">
        <v>103</v>
      </c>
      <c r="F67" s="47" t="n">
        <v>12</v>
      </c>
      <c r="G67" s="49" t="n">
        <v>202053</v>
      </c>
      <c r="H67" s="51" t="s">
        <v>103</v>
      </c>
      <c r="I67" s="3" t="s">
        <v>316</v>
      </c>
      <c r="J67" s="3" t="n">
        <v>2</v>
      </c>
      <c r="K67" s="53" t="n">
        <v>45112</v>
      </c>
      <c r="L67" s="3" t="s">
        <v>317</v>
      </c>
      <c r="M67" s="54" t="n">
        <v>45112.3313541667</v>
      </c>
      <c r="N67" s="3" t="n">
        <v>6</v>
      </c>
      <c r="O67" s="3" t="n">
        <v>6</v>
      </c>
      <c r="P67" s="3" t="n">
        <v>30</v>
      </c>
      <c r="Q67" s="3" t="n">
        <v>33</v>
      </c>
    </row>
    <row r="68" customFormat="false" ht="14.25" hidden="false" customHeight="false" outlineLevel="0" collapsed="false">
      <c r="A68" s="3" t="n">
        <v>54</v>
      </c>
      <c r="B68" s="51" t="s">
        <v>250</v>
      </c>
      <c r="C68" s="51" t="s">
        <v>251</v>
      </c>
      <c r="D68" s="51" t="n">
        <v>213777</v>
      </c>
      <c r="E68" s="51" t="s">
        <v>103</v>
      </c>
      <c r="F68" s="47" t="n">
        <v>12</v>
      </c>
      <c r="G68" s="49" t="n">
        <v>202053</v>
      </c>
      <c r="H68" s="51" t="s">
        <v>103</v>
      </c>
      <c r="I68" s="3" t="s">
        <v>318</v>
      </c>
      <c r="J68" s="3" t="n">
        <v>1</v>
      </c>
      <c r="K68" s="53" t="n">
        <v>45112</v>
      </c>
      <c r="L68" s="3" t="s">
        <v>319</v>
      </c>
      <c r="M68" s="54" t="n">
        <v>45112.3324305556</v>
      </c>
      <c r="N68" s="3" t="n">
        <v>6</v>
      </c>
      <c r="O68" s="3" t="n">
        <v>6</v>
      </c>
      <c r="P68" s="3" t="n">
        <v>31</v>
      </c>
      <c r="Q68" s="3" t="n">
        <v>34</v>
      </c>
    </row>
    <row r="69" customFormat="false" ht="14.25" hidden="false" customHeight="false" outlineLevel="0" collapsed="false">
      <c r="A69" s="3" t="n">
        <v>55</v>
      </c>
      <c r="B69" s="51" t="s">
        <v>250</v>
      </c>
      <c r="C69" s="51" t="s">
        <v>251</v>
      </c>
      <c r="D69" s="51" t="n">
        <v>213777</v>
      </c>
      <c r="E69" s="51" t="s">
        <v>103</v>
      </c>
      <c r="F69" s="47" t="n">
        <v>12</v>
      </c>
      <c r="G69" s="49" t="n">
        <v>202053</v>
      </c>
      <c r="H69" s="51" t="s">
        <v>103</v>
      </c>
      <c r="I69" s="3" t="s">
        <v>320</v>
      </c>
      <c r="J69" s="3" t="n">
        <v>1</v>
      </c>
      <c r="K69" s="53" t="n">
        <v>45112</v>
      </c>
      <c r="L69" s="3" t="s">
        <v>321</v>
      </c>
      <c r="M69" s="54" t="n">
        <v>45112.3329398148</v>
      </c>
      <c r="N69" s="3" t="n">
        <v>6</v>
      </c>
      <c r="O69" s="3" t="n">
        <v>6</v>
      </c>
      <c r="P69" s="3" t="n">
        <v>32</v>
      </c>
      <c r="Q69" s="3" t="n">
        <v>35</v>
      </c>
    </row>
    <row r="70" customFormat="false" ht="14.25" hidden="false" customHeight="false" outlineLevel="0" collapsed="false">
      <c r="A70" s="3" t="n">
        <v>56</v>
      </c>
      <c r="B70" s="51" t="s">
        <v>250</v>
      </c>
      <c r="C70" s="51" t="s">
        <v>251</v>
      </c>
      <c r="D70" s="51" t="n">
        <v>213777</v>
      </c>
      <c r="E70" s="51" t="s">
        <v>103</v>
      </c>
      <c r="F70" s="47" t="n">
        <v>12</v>
      </c>
      <c r="G70" s="49" t="n">
        <v>202053</v>
      </c>
      <c r="H70" s="51" t="s">
        <v>103</v>
      </c>
      <c r="I70" s="3" t="s">
        <v>322</v>
      </c>
      <c r="J70" s="3" t="n">
        <v>1</v>
      </c>
      <c r="K70" s="53" t="n">
        <v>45112</v>
      </c>
      <c r="L70" s="3" t="s">
        <v>323</v>
      </c>
      <c r="M70" s="54" t="n">
        <v>45112.3334027778</v>
      </c>
      <c r="N70" s="3" t="n">
        <v>6</v>
      </c>
      <c r="O70" s="3" t="n">
        <v>6</v>
      </c>
      <c r="P70" s="3" t="n">
        <v>33</v>
      </c>
      <c r="Q70" s="3" t="n">
        <v>36</v>
      </c>
    </row>
    <row r="71" customFormat="false" ht="14.25" hidden="false" customHeight="false" outlineLevel="0" collapsed="false">
      <c r="A71" s="3" t="n">
        <v>57</v>
      </c>
      <c r="B71" s="51" t="s">
        <v>250</v>
      </c>
      <c r="C71" s="51" t="s">
        <v>251</v>
      </c>
      <c r="D71" s="51" t="n">
        <v>213777</v>
      </c>
      <c r="E71" s="51" t="s">
        <v>103</v>
      </c>
      <c r="F71" s="47" t="n">
        <v>12</v>
      </c>
      <c r="G71" s="49" t="n">
        <v>202053</v>
      </c>
      <c r="H71" s="51" t="s">
        <v>103</v>
      </c>
      <c r="I71" s="3" t="s">
        <v>324</v>
      </c>
      <c r="J71" s="3" t="n">
        <v>1</v>
      </c>
      <c r="K71" s="53" t="n">
        <v>45112</v>
      </c>
      <c r="L71" s="3" t="s">
        <v>325</v>
      </c>
      <c r="M71" s="54" t="n">
        <v>45112.3346527778</v>
      </c>
      <c r="N71" s="3" t="n">
        <v>6</v>
      </c>
      <c r="O71" s="3" t="n">
        <v>6</v>
      </c>
      <c r="P71" s="3" t="n">
        <v>34</v>
      </c>
      <c r="Q71" s="3" t="n">
        <v>37</v>
      </c>
    </row>
    <row r="72" customFormat="false" ht="14.25" hidden="false" customHeight="false" outlineLevel="0" collapsed="false">
      <c r="A72" s="3" t="n">
        <v>58</v>
      </c>
      <c r="B72" s="51" t="s">
        <v>250</v>
      </c>
      <c r="C72" s="51" t="s">
        <v>251</v>
      </c>
      <c r="D72" s="51" t="n">
        <v>213777</v>
      </c>
      <c r="E72" s="51" t="s">
        <v>103</v>
      </c>
      <c r="F72" s="47" t="n">
        <v>12</v>
      </c>
      <c r="G72" s="49" t="n">
        <v>202053</v>
      </c>
      <c r="H72" s="51" t="s">
        <v>103</v>
      </c>
      <c r="I72" s="3" t="s">
        <v>326</v>
      </c>
      <c r="J72" s="3" t="n">
        <v>2</v>
      </c>
      <c r="K72" s="53" t="n">
        <v>45112</v>
      </c>
      <c r="L72" s="3" t="s">
        <v>327</v>
      </c>
      <c r="M72" s="54" t="n">
        <v>45112.3349768519</v>
      </c>
      <c r="N72" s="3" t="n">
        <v>6</v>
      </c>
      <c r="O72" s="3" t="n">
        <v>6</v>
      </c>
      <c r="P72" s="3" t="n">
        <v>35</v>
      </c>
      <c r="Q72" s="3" t="n">
        <v>38</v>
      </c>
    </row>
    <row r="73" customFormat="false" ht="14.25" hidden="false" customHeight="false" outlineLevel="0" collapsed="false">
      <c r="A73" s="3" t="n">
        <v>59</v>
      </c>
      <c r="B73" s="51" t="s">
        <v>250</v>
      </c>
      <c r="C73" s="51" t="s">
        <v>251</v>
      </c>
      <c r="D73" s="51" t="n">
        <v>213777</v>
      </c>
      <c r="E73" s="51" t="s">
        <v>103</v>
      </c>
      <c r="F73" s="47" t="n">
        <v>12</v>
      </c>
      <c r="G73" s="49" t="n">
        <v>202053</v>
      </c>
      <c r="H73" s="51" t="s">
        <v>103</v>
      </c>
      <c r="I73" s="3" t="s">
        <v>328</v>
      </c>
      <c r="J73" s="3" t="n">
        <v>3</v>
      </c>
      <c r="K73" s="53" t="n">
        <v>45112</v>
      </c>
      <c r="L73" s="3" t="s">
        <v>329</v>
      </c>
      <c r="M73" s="54" t="n">
        <v>45112.3365393519</v>
      </c>
      <c r="N73" s="3" t="n">
        <v>6</v>
      </c>
      <c r="O73" s="3" t="n">
        <v>6</v>
      </c>
      <c r="P73" s="3" t="n">
        <v>36</v>
      </c>
      <c r="Q73" s="3" t="n">
        <v>39</v>
      </c>
    </row>
    <row r="74" customFormat="false" ht="14.25" hidden="false" customHeight="false" outlineLevel="0" collapsed="false">
      <c r="A74" s="3" t="n">
        <v>60</v>
      </c>
      <c r="B74" s="51" t="s">
        <v>250</v>
      </c>
      <c r="C74" s="51" t="s">
        <v>251</v>
      </c>
      <c r="D74" s="51" t="n">
        <v>213777</v>
      </c>
      <c r="E74" s="51" t="s">
        <v>103</v>
      </c>
      <c r="F74" s="47" t="n">
        <v>12</v>
      </c>
      <c r="G74" s="49" t="n">
        <v>202053</v>
      </c>
      <c r="H74" s="51" t="s">
        <v>103</v>
      </c>
      <c r="I74" s="3" t="s">
        <v>330</v>
      </c>
      <c r="J74" s="3" t="n">
        <v>3</v>
      </c>
      <c r="K74" s="53" t="n">
        <v>45112</v>
      </c>
      <c r="L74" s="3" t="s">
        <v>331</v>
      </c>
      <c r="M74" s="54" t="n">
        <v>45112.3370023148</v>
      </c>
      <c r="N74" s="3" t="n">
        <v>6</v>
      </c>
      <c r="O74" s="3" t="n">
        <v>6</v>
      </c>
      <c r="P74" s="3" t="n">
        <v>37</v>
      </c>
      <c r="Q74" s="3" t="n">
        <v>40</v>
      </c>
    </row>
    <row r="75" customFormat="false" ht="14.25" hidden="false" customHeight="false" outlineLevel="0" collapsed="false">
      <c r="A75" s="3" t="n">
        <v>61</v>
      </c>
      <c r="B75" s="51" t="s">
        <v>250</v>
      </c>
      <c r="C75" s="51" t="s">
        <v>251</v>
      </c>
      <c r="D75" s="51" t="n">
        <v>213777</v>
      </c>
      <c r="E75" s="51" t="s">
        <v>103</v>
      </c>
      <c r="F75" s="47" t="n">
        <v>12</v>
      </c>
      <c r="G75" s="49" t="n">
        <v>202053</v>
      </c>
      <c r="H75" s="51" t="s">
        <v>103</v>
      </c>
      <c r="I75" s="3" t="s">
        <v>332</v>
      </c>
      <c r="J75" s="3" t="n">
        <v>2</v>
      </c>
      <c r="K75" s="53" t="n">
        <v>45112</v>
      </c>
      <c r="L75" s="3" t="s">
        <v>333</v>
      </c>
      <c r="M75" s="54" t="n">
        <v>45112.3959375</v>
      </c>
      <c r="N75" s="3" t="n">
        <v>6</v>
      </c>
      <c r="O75" s="3" t="n">
        <v>6</v>
      </c>
      <c r="P75" s="3" t="n">
        <v>38</v>
      </c>
      <c r="Q75" s="3" t="n">
        <v>41</v>
      </c>
    </row>
    <row r="76" customFormat="false" ht="14.25" hidden="false" customHeight="false" outlineLevel="0" collapsed="false">
      <c r="A76" s="3" t="n">
        <v>62</v>
      </c>
      <c r="B76" s="51" t="s">
        <v>250</v>
      </c>
      <c r="C76" s="51" t="s">
        <v>251</v>
      </c>
      <c r="D76" s="51" t="n">
        <v>213777</v>
      </c>
      <c r="E76" s="51" t="s">
        <v>103</v>
      </c>
      <c r="F76" s="47" t="n">
        <v>12</v>
      </c>
      <c r="G76" s="49" t="n">
        <v>202053</v>
      </c>
      <c r="H76" s="51" t="s">
        <v>103</v>
      </c>
      <c r="I76" s="3" t="s">
        <v>334</v>
      </c>
      <c r="J76" s="3" t="n">
        <v>3</v>
      </c>
      <c r="K76" s="53" t="n">
        <v>45112</v>
      </c>
      <c r="L76" s="3" t="s">
        <v>335</v>
      </c>
      <c r="M76" s="54" t="n">
        <v>45112.3987731482</v>
      </c>
      <c r="N76" s="3" t="n">
        <v>6</v>
      </c>
      <c r="O76" s="3" t="n">
        <v>6</v>
      </c>
      <c r="P76" s="3" t="n">
        <v>39</v>
      </c>
      <c r="Q76" s="3" t="n">
        <v>42</v>
      </c>
    </row>
    <row r="77" customFormat="false" ht="14.25" hidden="false" customHeight="false" outlineLevel="0" collapsed="false">
      <c r="A77" s="3" t="n">
        <v>63</v>
      </c>
      <c r="B77" s="51" t="s">
        <v>250</v>
      </c>
      <c r="C77" s="51" t="s">
        <v>251</v>
      </c>
      <c r="D77" s="51" t="n">
        <v>213777</v>
      </c>
      <c r="E77" s="51" t="s">
        <v>103</v>
      </c>
      <c r="F77" s="47" t="n">
        <v>12</v>
      </c>
      <c r="G77" s="49" t="n">
        <v>202053</v>
      </c>
      <c r="H77" s="51" t="s">
        <v>103</v>
      </c>
      <c r="I77" s="3" t="s">
        <v>336</v>
      </c>
      <c r="J77" s="3" t="n">
        <v>0</v>
      </c>
      <c r="K77" s="53" t="n">
        <v>45112</v>
      </c>
      <c r="L77" s="3" t="s">
        <v>337</v>
      </c>
      <c r="M77" s="54" t="n">
        <v>45112.4002777778</v>
      </c>
      <c r="N77" s="3" t="n">
        <v>6</v>
      </c>
      <c r="O77" s="3" t="n">
        <v>6</v>
      </c>
      <c r="P77" s="3" t="n">
        <v>40</v>
      </c>
      <c r="Q77" s="3" t="n">
        <v>43</v>
      </c>
    </row>
    <row r="78" customFormat="false" ht="14.25" hidden="false" customHeight="false" outlineLevel="0" collapsed="false">
      <c r="A78" s="3" t="n">
        <v>64</v>
      </c>
      <c r="B78" s="51" t="s">
        <v>250</v>
      </c>
      <c r="C78" s="51" t="s">
        <v>251</v>
      </c>
      <c r="D78" s="51" t="n">
        <v>213777</v>
      </c>
      <c r="E78" s="51" t="s">
        <v>103</v>
      </c>
      <c r="F78" s="47" t="n">
        <v>12</v>
      </c>
      <c r="G78" s="49" t="n">
        <v>202053</v>
      </c>
      <c r="H78" s="51" t="s">
        <v>103</v>
      </c>
      <c r="I78" s="3" t="s">
        <v>338</v>
      </c>
      <c r="J78" s="3" t="n">
        <v>1</v>
      </c>
      <c r="K78" s="53" t="n">
        <v>45112</v>
      </c>
      <c r="L78" s="3" t="s">
        <v>339</v>
      </c>
      <c r="M78" s="54" t="n">
        <v>45112.4002893519</v>
      </c>
      <c r="N78" s="3" t="n">
        <v>6</v>
      </c>
      <c r="O78" s="3" t="n">
        <v>6</v>
      </c>
      <c r="P78" s="3" t="n">
        <v>41</v>
      </c>
      <c r="Q78" s="3" t="n">
        <v>44</v>
      </c>
    </row>
    <row r="79" customFormat="false" ht="14.25" hidden="false" customHeight="false" outlineLevel="0" collapsed="false">
      <c r="A79" s="3" t="n">
        <v>65</v>
      </c>
      <c r="B79" s="51" t="s">
        <v>250</v>
      </c>
      <c r="C79" s="51" t="s">
        <v>251</v>
      </c>
      <c r="D79" s="51" t="n">
        <v>213777</v>
      </c>
      <c r="E79" s="51" t="s">
        <v>103</v>
      </c>
      <c r="F79" s="47" t="n">
        <v>12</v>
      </c>
      <c r="G79" s="49" t="n">
        <v>202053</v>
      </c>
      <c r="H79" s="51" t="s">
        <v>103</v>
      </c>
      <c r="I79" s="3" t="s">
        <v>340</v>
      </c>
      <c r="J79" s="3" t="n">
        <v>3</v>
      </c>
      <c r="K79" s="53" t="n">
        <v>45112</v>
      </c>
      <c r="L79" s="3" t="s">
        <v>341</v>
      </c>
      <c r="M79" s="54" t="n">
        <v>45112.4010069444</v>
      </c>
      <c r="N79" s="3" t="n">
        <v>6</v>
      </c>
      <c r="O79" s="3" t="n">
        <v>6</v>
      </c>
      <c r="P79" s="3" t="n">
        <v>42</v>
      </c>
      <c r="Q79" s="3" t="n">
        <v>45</v>
      </c>
    </row>
    <row r="80" customFormat="false" ht="14.25" hidden="false" customHeight="false" outlineLevel="0" collapsed="false">
      <c r="A80" s="3" t="n">
        <v>66</v>
      </c>
      <c r="B80" s="51" t="s">
        <v>250</v>
      </c>
      <c r="C80" s="51" t="s">
        <v>251</v>
      </c>
      <c r="D80" s="51" t="n">
        <v>213777</v>
      </c>
      <c r="E80" s="51" t="s">
        <v>103</v>
      </c>
      <c r="F80" s="47" t="n">
        <v>12</v>
      </c>
      <c r="G80" s="49" t="n">
        <v>202053</v>
      </c>
      <c r="H80" s="51" t="s">
        <v>103</v>
      </c>
      <c r="I80" s="3" t="s">
        <v>342</v>
      </c>
      <c r="J80" s="3" t="n">
        <v>0</v>
      </c>
      <c r="K80" s="53" t="n">
        <v>45112</v>
      </c>
      <c r="L80" s="3" t="s">
        <v>343</v>
      </c>
      <c r="M80" s="54" t="n">
        <v>45112.4036342593</v>
      </c>
      <c r="N80" s="3" t="n">
        <v>6</v>
      </c>
      <c r="O80" s="3" t="n">
        <v>6</v>
      </c>
      <c r="P80" s="3" t="n">
        <v>43</v>
      </c>
      <c r="Q80" s="3" t="n">
        <v>46</v>
      </c>
    </row>
    <row r="81" customFormat="false" ht="14.25" hidden="false" customHeight="false" outlineLevel="0" collapsed="false">
      <c r="A81" s="3" t="n">
        <v>27</v>
      </c>
      <c r="B81" s="51" t="s">
        <v>77</v>
      </c>
      <c r="C81" s="51" t="s">
        <v>78</v>
      </c>
      <c r="D81" s="51" t="n">
        <v>213665</v>
      </c>
      <c r="E81" s="51" t="s">
        <v>103</v>
      </c>
      <c r="F81" s="47" t="n">
        <v>12</v>
      </c>
      <c r="G81" s="49" t="n">
        <v>202053</v>
      </c>
      <c r="H81" s="51" t="s">
        <v>103</v>
      </c>
      <c r="I81" s="3" t="s">
        <v>104</v>
      </c>
      <c r="J81" s="3" t="n">
        <v>3</v>
      </c>
      <c r="K81" s="53" t="n">
        <v>45113</v>
      </c>
      <c r="L81" s="3" t="s">
        <v>105</v>
      </c>
      <c r="M81" s="54" t="n">
        <v>45113.6887384259</v>
      </c>
      <c r="N81" s="3" t="n">
        <v>6</v>
      </c>
      <c r="O81" s="3" t="n">
        <v>6</v>
      </c>
      <c r="P81" s="3" t="n">
        <v>44</v>
      </c>
      <c r="Q81" s="3" t="n">
        <v>12</v>
      </c>
    </row>
    <row r="82" customFormat="false" ht="14.25" hidden="false" customHeight="false" outlineLevel="0" collapsed="false">
      <c r="A82" s="3" t="n">
        <v>28</v>
      </c>
      <c r="B82" s="51" t="s">
        <v>77</v>
      </c>
      <c r="C82" s="51" t="s">
        <v>78</v>
      </c>
      <c r="D82" s="51" t="n">
        <v>213665</v>
      </c>
      <c r="E82" s="51" t="s">
        <v>103</v>
      </c>
      <c r="F82" s="47" t="n">
        <v>12</v>
      </c>
      <c r="G82" s="49" t="n">
        <v>202053</v>
      </c>
      <c r="H82" s="51" t="s">
        <v>103</v>
      </c>
      <c r="I82" s="3" t="s">
        <v>106</v>
      </c>
      <c r="J82" s="3" t="n">
        <v>1</v>
      </c>
      <c r="K82" s="53" t="n">
        <v>45113</v>
      </c>
      <c r="L82" s="3" t="s">
        <v>107</v>
      </c>
      <c r="M82" s="54" t="n">
        <v>45113.6903009259</v>
      </c>
      <c r="N82" s="3" t="n">
        <v>6</v>
      </c>
      <c r="O82" s="3" t="n">
        <v>6</v>
      </c>
      <c r="P82" s="3" t="n">
        <v>45</v>
      </c>
      <c r="Q82" s="3" t="n">
        <v>13</v>
      </c>
    </row>
    <row r="83" customFormat="false" ht="14.25" hidden="false" customHeight="false" outlineLevel="0" collapsed="false">
      <c r="A83" s="3" t="n">
        <v>31</v>
      </c>
      <c r="B83" s="51" t="s">
        <v>77</v>
      </c>
      <c r="C83" s="51" t="s">
        <v>78</v>
      </c>
      <c r="D83" s="51" t="n">
        <v>213665</v>
      </c>
      <c r="E83" s="51" t="s">
        <v>103</v>
      </c>
      <c r="F83" s="47" t="n">
        <v>12</v>
      </c>
      <c r="G83" s="49" t="n">
        <v>202053</v>
      </c>
      <c r="H83" s="51" t="s">
        <v>103</v>
      </c>
      <c r="I83" s="3" t="s">
        <v>113</v>
      </c>
      <c r="J83" s="3" t="n">
        <v>1</v>
      </c>
      <c r="K83" s="53" t="n">
        <v>45113</v>
      </c>
      <c r="L83" s="3" t="s">
        <v>114</v>
      </c>
      <c r="M83" s="54" t="n">
        <v>45113.7253819444</v>
      </c>
      <c r="N83" s="3" t="n">
        <v>6</v>
      </c>
      <c r="O83" s="3" t="n">
        <v>6</v>
      </c>
      <c r="P83" s="3" t="n">
        <v>46</v>
      </c>
      <c r="Q83" s="3" t="n">
        <v>16</v>
      </c>
    </row>
    <row r="84" customFormat="false" ht="14.25" hidden="false" customHeight="false" outlineLevel="0" collapsed="false">
      <c r="A84" s="3" t="n">
        <v>32</v>
      </c>
      <c r="B84" s="51" t="s">
        <v>77</v>
      </c>
      <c r="C84" s="51" t="s">
        <v>78</v>
      </c>
      <c r="D84" s="51" t="n">
        <v>213665</v>
      </c>
      <c r="E84" s="51" t="s">
        <v>103</v>
      </c>
      <c r="F84" s="47" t="n">
        <v>12</v>
      </c>
      <c r="G84" s="49" t="n">
        <v>202053</v>
      </c>
      <c r="H84" s="51" t="s">
        <v>103</v>
      </c>
      <c r="I84" s="3" t="s">
        <v>115</v>
      </c>
      <c r="J84" s="3" t="n">
        <v>1</v>
      </c>
      <c r="K84" s="53" t="n">
        <v>45113</v>
      </c>
      <c r="L84" s="3" t="s">
        <v>116</v>
      </c>
      <c r="M84" s="54" t="n">
        <v>45113.7263194444</v>
      </c>
      <c r="N84" s="3" t="n">
        <v>6</v>
      </c>
      <c r="O84" s="3" t="n">
        <v>6</v>
      </c>
      <c r="P84" s="3" t="n">
        <v>47</v>
      </c>
      <c r="Q84" s="3" t="n">
        <v>17</v>
      </c>
    </row>
    <row r="85" customFormat="false" ht="14.25" hidden="false" customHeight="false" outlineLevel="0" collapsed="false">
      <c r="A85" s="3" t="n">
        <v>33</v>
      </c>
      <c r="B85" s="51" t="s">
        <v>77</v>
      </c>
      <c r="C85" s="51" t="s">
        <v>78</v>
      </c>
      <c r="D85" s="51" t="n">
        <v>213665</v>
      </c>
      <c r="E85" s="51" t="s">
        <v>103</v>
      </c>
      <c r="F85" s="47" t="n">
        <v>12</v>
      </c>
      <c r="G85" s="49" t="n">
        <v>202053</v>
      </c>
      <c r="H85" s="51" t="s">
        <v>103</v>
      </c>
      <c r="I85" s="3" t="s">
        <v>117</v>
      </c>
      <c r="J85" s="3" t="n">
        <v>0</v>
      </c>
      <c r="K85" s="53" t="n">
        <v>45113</v>
      </c>
      <c r="L85" s="3" t="s">
        <v>118</v>
      </c>
      <c r="M85" s="54" t="n">
        <v>45113.7263425926</v>
      </c>
      <c r="N85" s="3" t="n">
        <v>6</v>
      </c>
      <c r="O85" s="3" t="n">
        <v>6</v>
      </c>
      <c r="P85" s="3" t="n">
        <v>48</v>
      </c>
      <c r="Q85" s="3" t="n">
        <v>18</v>
      </c>
    </row>
    <row r="86" customFormat="false" ht="14.25" hidden="false" customHeight="false" outlineLevel="0" collapsed="false">
      <c r="A86" s="3" t="n">
        <v>36</v>
      </c>
      <c r="B86" s="51" t="s">
        <v>250</v>
      </c>
      <c r="C86" s="51" t="s">
        <v>251</v>
      </c>
      <c r="D86" s="51" t="n">
        <v>213777</v>
      </c>
      <c r="E86" s="51" t="s">
        <v>143</v>
      </c>
      <c r="F86" s="47" t="n">
        <v>32</v>
      </c>
      <c r="G86" s="49" t="n">
        <v>223044</v>
      </c>
      <c r="H86" s="51" t="s">
        <v>143</v>
      </c>
      <c r="I86" s="3" t="s">
        <v>282</v>
      </c>
      <c r="J86" s="3" t="n">
        <v>1</v>
      </c>
      <c r="K86" s="53" t="n">
        <v>45112</v>
      </c>
      <c r="L86" s="3" t="s">
        <v>283</v>
      </c>
      <c r="M86" s="54" t="n">
        <v>45112.2953356481</v>
      </c>
      <c r="N86" s="3" t="n">
        <v>7</v>
      </c>
      <c r="O86" s="3" t="n">
        <v>7</v>
      </c>
      <c r="P86" s="3" t="n">
        <v>1</v>
      </c>
      <c r="Q86" s="3" t="n">
        <v>16</v>
      </c>
    </row>
    <row r="87" customFormat="false" ht="14.25" hidden="false" customHeight="false" outlineLevel="0" collapsed="false">
      <c r="A87" s="3" t="n">
        <v>44</v>
      </c>
      <c r="B87" s="51" t="s">
        <v>77</v>
      </c>
      <c r="C87" s="51" t="s">
        <v>78</v>
      </c>
      <c r="D87" s="51" t="n">
        <v>213665</v>
      </c>
      <c r="E87" s="51" t="s">
        <v>143</v>
      </c>
      <c r="F87" s="47" t="n">
        <v>32</v>
      </c>
      <c r="G87" s="49" t="n">
        <v>223044</v>
      </c>
      <c r="H87" s="51" t="s">
        <v>143</v>
      </c>
      <c r="I87" s="3" t="s">
        <v>144</v>
      </c>
      <c r="J87" s="3" t="n">
        <v>1</v>
      </c>
      <c r="K87" s="53" t="n">
        <v>45114</v>
      </c>
      <c r="L87" s="3" t="s">
        <v>145</v>
      </c>
      <c r="M87" s="54" t="n">
        <v>45114.0078125</v>
      </c>
      <c r="N87" s="3" t="n">
        <v>7</v>
      </c>
      <c r="O87" s="3" t="n">
        <v>7</v>
      </c>
      <c r="P87" s="3" t="n">
        <v>2</v>
      </c>
      <c r="Q87" s="3" t="n">
        <v>29</v>
      </c>
    </row>
    <row r="88" customFormat="false" ht="14.25" hidden="false" customHeight="false" outlineLevel="0" collapsed="false">
      <c r="A88" s="3" t="n">
        <v>45</v>
      </c>
      <c r="B88" s="51" t="s">
        <v>77</v>
      </c>
      <c r="C88" s="51" t="s">
        <v>78</v>
      </c>
      <c r="D88" s="51" t="n">
        <v>213665</v>
      </c>
      <c r="E88" s="51" t="s">
        <v>143</v>
      </c>
      <c r="F88" s="47" t="n">
        <v>32</v>
      </c>
      <c r="G88" s="49" t="n">
        <v>223044</v>
      </c>
      <c r="H88" s="51" t="s">
        <v>143</v>
      </c>
      <c r="I88" s="3" t="s">
        <v>146</v>
      </c>
      <c r="J88" s="3" t="n">
        <v>0</v>
      </c>
      <c r="K88" s="53" t="n">
        <v>45114</v>
      </c>
      <c r="L88" s="3" t="s">
        <v>147</v>
      </c>
      <c r="M88" s="54" t="n">
        <v>45114.0078356481</v>
      </c>
      <c r="N88" s="3" t="n">
        <v>7</v>
      </c>
      <c r="O88" s="3" t="n">
        <v>7</v>
      </c>
      <c r="P88" s="3" t="n">
        <v>3</v>
      </c>
      <c r="Q88" s="3" t="n">
        <v>30</v>
      </c>
    </row>
    <row r="89" customFormat="false" ht="14.25" hidden="false" customHeight="false" outlineLevel="0" collapsed="false">
      <c r="A89" s="3" t="n">
        <v>21</v>
      </c>
      <c r="B89" s="51" t="s">
        <v>487</v>
      </c>
      <c r="C89" s="51" t="s">
        <v>488</v>
      </c>
      <c r="D89" s="51" t="n">
        <v>213711</v>
      </c>
      <c r="E89" s="51" t="s">
        <v>499</v>
      </c>
      <c r="F89" s="47" t="n">
        <v>20</v>
      </c>
      <c r="G89" s="49" t="n">
        <v>213074</v>
      </c>
      <c r="H89" s="51" t="s">
        <v>499</v>
      </c>
      <c r="I89" s="3" t="s">
        <v>500</v>
      </c>
      <c r="J89" s="3" t="n">
        <v>0</v>
      </c>
      <c r="K89" s="53" t="n">
        <v>45112</v>
      </c>
      <c r="L89" s="3" t="s">
        <v>501</v>
      </c>
      <c r="M89" s="54" t="n">
        <v>45112.3030092593</v>
      </c>
      <c r="N89" s="3" t="n">
        <v>8</v>
      </c>
      <c r="O89" s="3" t="n">
        <v>8</v>
      </c>
      <c r="P89" s="3" t="n">
        <v>1</v>
      </c>
      <c r="Q89" s="3" t="n">
        <v>5</v>
      </c>
    </row>
    <row r="90" customFormat="false" ht="14.25" hidden="false" customHeight="false" outlineLevel="0" collapsed="false">
      <c r="A90" s="3" t="n">
        <v>22</v>
      </c>
      <c r="B90" s="51" t="s">
        <v>487</v>
      </c>
      <c r="C90" s="51" t="s">
        <v>488</v>
      </c>
      <c r="D90" s="51" t="n">
        <v>213711</v>
      </c>
      <c r="E90" s="51" t="s">
        <v>499</v>
      </c>
      <c r="F90" s="47" t="n">
        <v>20</v>
      </c>
      <c r="G90" s="49" t="n">
        <v>213074</v>
      </c>
      <c r="H90" s="51" t="s">
        <v>499</v>
      </c>
      <c r="I90" s="3" t="s">
        <v>502</v>
      </c>
      <c r="J90" s="3" t="n">
        <v>2</v>
      </c>
      <c r="K90" s="53" t="n">
        <v>45112</v>
      </c>
      <c r="L90" s="3" t="s">
        <v>503</v>
      </c>
      <c r="M90" s="54" t="n">
        <v>45112.3030671296</v>
      </c>
      <c r="N90" s="3" t="n">
        <v>8</v>
      </c>
      <c r="O90" s="3" t="n">
        <v>8</v>
      </c>
      <c r="P90" s="3" t="n">
        <v>2</v>
      </c>
      <c r="Q90" s="3" t="n">
        <v>6</v>
      </c>
    </row>
    <row r="91" customFormat="false" ht="14.25" hidden="false" customHeight="false" outlineLevel="0" collapsed="false">
      <c r="A91" s="3" t="n">
        <v>23</v>
      </c>
      <c r="B91" s="51" t="s">
        <v>487</v>
      </c>
      <c r="C91" s="51" t="s">
        <v>488</v>
      </c>
      <c r="D91" s="51" t="n">
        <v>213711</v>
      </c>
      <c r="E91" s="51" t="s">
        <v>499</v>
      </c>
      <c r="F91" s="47" t="n">
        <v>20</v>
      </c>
      <c r="G91" s="49" t="n">
        <v>213074</v>
      </c>
      <c r="H91" s="51" t="s">
        <v>499</v>
      </c>
      <c r="I91" s="3" t="s">
        <v>504</v>
      </c>
      <c r="J91" s="3" t="n">
        <v>1</v>
      </c>
      <c r="K91" s="53" t="n">
        <v>45112</v>
      </c>
      <c r="L91" s="3" t="s">
        <v>505</v>
      </c>
      <c r="M91" s="54" t="n">
        <v>45112.3032638889</v>
      </c>
      <c r="N91" s="3" t="n">
        <v>8</v>
      </c>
      <c r="O91" s="3" t="n">
        <v>8</v>
      </c>
      <c r="P91" s="3" t="n">
        <v>3</v>
      </c>
      <c r="Q91" s="3" t="n">
        <v>7</v>
      </c>
    </row>
    <row r="92" customFormat="false" ht="14.25" hidden="false" customHeight="false" outlineLevel="0" collapsed="false">
      <c r="A92" s="3" t="n">
        <v>24</v>
      </c>
      <c r="B92" s="51" t="s">
        <v>487</v>
      </c>
      <c r="C92" s="51" t="s">
        <v>488</v>
      </c>
      <c r="D92" s="51" t="n">
        <v>213711</v>
      </c>
      <c r="E92" s="51" t="s">
        <v>499</v>
      </c>
      <c r="F92" s="47" t="n">
        <v>20</v>
      </c>
      <c r="G92" s="49" t="n">
        <v>213074</v>
      </c>
      <c r="H92" s="51" t="s">
        <v>499</v>
      </c>
      <c r="I92" s="3" t="s">
        <v>506</v>
      </c>
      <c r="J92" s="3" t="n">
        <v>1</v>
      </c>
      <c r="K92" s="53" t="n">
        <v>45112</v>
      </c>
      <c r="L92" s="3" t="s">
        <v>507</v>
      </c>
      <c r="M92" s="54" t="n">
        <v>45112.3037268519</v>
      </c>
      <c r="N92" s="3" t="n">
        <v>8</v>
      </c>
      <c r="O92" s="3" t="n">
        <v>8</v>
      </c>
      <c r="P92" s="3" t="n">
        <v>4</v>
      </c>
      <c r="Q92" s="3" t="n">
        <v>8</v>
      </c>
    </row>
    <row r="93" customFormat="false" ht="14.25" hidden="false" customHeight="false" outlineLevel="0" collapsed="false">
      <c r="A93" s="3" t="n">
        <v>25</v>
      </c>
      <c r="B93" s="51" t="s">
        <v>487</v>
      </c>
      <c r="C93" s="51" t="s">
        <v>488</v>
      </c>
      <c r="D93" s="51" t="n">
        <v>213711</v>
      </c>
      <c r="E93" s="51" t="s">
        <v>499</v>
      </c>
      <c r="F93" s="47" t="n">
        <v>20</v>
      </c>
      <c r="G93" s="49" t="n">
        <v>213074</v>
      </c>
      <c r="H93" s="51" t="s">
        <v>499</v>
      </c>
      <c r="I93" s="3" t="s">
        <v>508</v>
      </c>
      <c r="J93" s="3" t="n">
        <v>1</v>
      </c>
      <c r="K93" s="53" t="n">
        <v>45112</v>
      </c>
      <c r="L93" s="3" t="s">
        <v>509</v>
      </c>
      <c r="M93" s="54" t="n">
        <v>45112.3038773148</v>
      </c>
      <c r="N93" s="3" t="n">
        <v>8</v>
      </c>
      <c r="O93" s="3" t="n">
        <v>8</v>
      </c>
      <c r="P93" s="3" t="n">
        <v>5</v>
      </c>
      <c r="Q93" s="3" t="n">
        <v>9</v>
      </c>
    </row>
    <row r="94" customFormat="false" ht="14.25" hidden="false" customHeight="false" outlineLevel="0" collapsed="false">
      <c r="A94" s="3" t="n">
        <v>26</v>
      </c>
      <c r="B94" s="51" t="s">
        <v>487</v>
      </c>
      <c r="C94" s="51" t="s">
        <v>488</v>
      </c>
      <c r="D94" s="51" t="n">
        <v>213711</v>
      </c>
      <c r="E94" s="51" t="s">
        <v>499</v>
      </c>
      <c r="F94" s="47" t="n">
        <v>20</v>
      </c>
      <c r="G94" s="49" t="n">
        <v>213074</v>
      </c>
      <c r="H94" s="51" t="s">
        <v>499</v>
      </c>
      <c r="I94" s="3" t="s">
        <v>510</v>
      </c>
      <c r="J94" s="3" t="n">
        <v>1</v>
      </c>
      <c r="K94" s="53" t="n">
        <v>45112</v>
      </c>
      <c r="L94" s="3" t="s">
        <v>511</v>
      </c>
      <c r="M94" s="54" t="n">
        <v>45112.3043287037</v>
      </c>
      <c r="N94" s="3" t="n">
        <v>8</v>
      </c>
      <c r="O94" s="3" t="n">
        <v>8</v>
      </c>
      <c r="P94" s="3" t="n">
        <v>6</v>
      </c>
      <c r="Q94" s="3" t="n">
        <v>10</v>
      </c>
    </row>
    <row r="95" customFormat="false" ht="14.25" hidden="false" customHeight="false" outlineLevel="0" collapsed="false">
      <c r="A95" s="3" t="n">
        <v>27</v>
      </c>
      <c r="B95" s="51" t="s">
        <v>487</v>
      </c>
      <c r="C95" s="51" t="s">
        <v>488</v>
      </c>
      <c r="D95" s="51" t="n">
        <v>213711</v>
      </c>
      <c r="E95" s="51" t="s">
        <v>499</v>
      </c>
      <c r="F95" s="47" t="n">
        <v>20</v>
      </c>
      <c r="G95" s="49" t="n">
        <v>213074</v>
      </c>
      <c r="H95" s="51" t="s">
        <v>499</v>
      </c>
      <c r="I95" s="3" t="s">
        <v>512</v>
      </c>
      <c r="J95" s="3" t="n">
        <v>0</v>
      </c>
      <c r="K95" s="53" t="n">
        <v>45112</v>
      </c>
      <c r="L95" s="3" t="s">
        <v>513</v>
      </c>
      <c r="M95" s="54" t="n">
        <v>45112.3044907407</v>
      </c>
      <c r="N95" s="3" t="n">
        <v>8</v>
      </c>
      <c r="O95" s="3" t="n">
        <v>8</v>
      </c>
      <c r="P95" s="3" t="n">
        <v>7</v>
      </c>
      <c r="Q95" s="3" t="n">
        <v>11</v>
      </c>
    </row>
    <row r="96" customFormat="false" ht="14.25" hidden="false" customHeight="false" outlineLevel="0" collapsed="false">
      <c r="A96" s="3" t="n">
        <v>28</v>
      </c>
      <c r="B96" s="51" t="s">
        <v>487</v>
      </c>
      <c r="C96" s="51" t="s">
        <v>488</v>
      </c>
      <c r="D96" s="51" t="n">
        <v>213711</v>
      </c>
      <c r="E96" s="51" t="s">
        <v>499</v>
      </c>
      <c r="F96" s="47" t="n">
        <v>20</v>
      </c>
      <c r="G96" s="49" t="n">
        <v>213074</v>
      </c>
      <c r="H96" s="51" t="s">
        <v>499</v>
      </c>
      <c r="I96" s="3" t="s">
        <v>514</v>
      </c>
      <c r="J96" s="3" t="n">
        <v>1</v>
      </c>
      <c r="K96" s="53" t="n">
        <v>45112</v>
      </c>
      <c r="L96" s="3" t="s">
        <v>515</v>
      </c>
      <c r="M96" s="54" t="n">
        <v>45112.3046064815</v>
      </c>
      <c r="N96" s="3" t="n">
        <v>8</v>
      </c>
      <c r="O96" s="3" t="n">
        <v>8</v>
      </c>
      <c r="P96" s="3" t="n">
        <v>8</v>
      </c>
      <c r="Q96" s="3" t="n">
        <v>12</v>
      </c>
    </row>
    <row r="97" customFormat="false" ht="14.25" hidden="false" customHeight="false" outlineLevel="0" collapsed="false">
      <c r="A97" s="3" t="n">
        <v>29</v>
      </c>
      <c r="B97" s="51" t="s">
        <v>487</v>
      </c>
      <c r="C97" s="51" t="s">
        <v>488</v>
      </c>
      <c r="D97" s="51" t="n">
        <v>213711</v>
      </c>
      <c r="E97" s="51" t="s">
        <v>499</v>
      </c>
      <c r="F97" s="47" t="n">
        <v>20</v>
      </c>
      <c r="G97" s="49" t="n">
        <v>213074</v>
      </c>
      <c r="H97" s="51" t="s">
        <v>499</v>
      </c>
      <c r="I97" s="3" t="s">
        <v>516</v>
      </c>
      <c r="J97" s="3" t="n">
        <v>1</v>
      </c>
      <c r="K97" s="53" t="n">
        <v>45112</v>
      </c>
      <c r="L97" s="3" t="s">
        <v>517</v>
      </c>
      <c r="M97" s="54" t="n">
        <v>45112.3046643519</v>
      </c>
      <c r="N97" s="3" t="n">
        <v>8</v>
      </c>
      <c r="O97" s="3" t="n">
        <v>8</v>
      </c>
      <c r="P97" s="3" t="n">
        <v>9</v>
      </c>
      <c r="Q97" s="3" t="n">
        <v>13</v>
      </c>
    </row>
    <row r="98" customFormat="false" ht="14.25" hidden="false" customHeight="false" outlineLevel="0" collapsed="false">
      <c r="A98" s="3" t="n">
        <v>30</v>
      </c>
      <c r="B98" s="51" t="s">
        <v>487</v>
      </c>
      <c r="C98" s="51" t="s">
        <v>488</v>
      </c>
      <c r="D98" s="51" t="n">
        <v>213711</v>
      </c>
      <c r="E98" s="51" t="s">
        <v>499</v>
      </c>
      <c r="F98" s="47" t="n">
        <v>20</v>
      </c>
      <c r="G98" s="49" t="n">
        <v>213074</v>
      </c>
      <c r="H98" s="51" t="s">
        <v>499</v>
      </c>
      <c r="I98" s="3" t="s">
        <v>518</v>
      </c>
      <c r="J98" s="3" t="n">
        <v>1</v>
      </c>
      <c r="K98" s="53" t="n">
        <v>45112</v>
      </c>
      <c r="L98" s="3" t="s">
        <v>519</v>
      </c>
      <c r="M98" s="54" t="n">
        <v>45112.3053240741</v>
      </c>
      <c r="N98" s="3" t="n">
        <v>8</v>
      </c>
      <c r="O98" s="3" t="n">
        <v>8</v>
      </c>
      <c r="P98" s="3" t="n">
        <v>10</v>
      </c>
      <c r="Q98" s="3" t="n">
        <v>14</v>
      </c>
    </row>
    <row r="99" customFormat="false" ht="14.25" hidden="false" customHeight="false" outlineLevel="0" collapsed="false">
      <c r="A99" s="3" t="n">
        <v>31</v>
      </c>
      <c r="B99" s="51" t="s">
        <v>487</v>
      </c>
      <c r="C99" s="51" t="s">
        <v>488</v>
      </c>
      <c r="D99" s="51" t="n">
        <v>213711</v>
      </c>
      <c r="E99" s="51" t="s">
        <v>499</v>
      </c>
      <c r="F99" s="47" t="n">
        <v>20</v>
      </c>
      <c r="G99" s="49" t="n">
        <v>213074</v>
      </c>
      <c r="H99" s="51" t="s">
        <v>499</v>
      </c>
      <c r="I99" s="3" t="s">
        <v>520</v>
      </c>
      <c r="J99" s="3" t="n">
        <v>1</v>
      </c>
      <c r="K99" s="53" t="n">
        <v>45112</v>
      </c>
      <c r="L99" s="3" t="s">
        <v>521</v>
      </c>
      <c r="M99" s="54" t="n">
        <v>45112.3054166667</v>
      </c>
      <c r="N99" s="3" t="n">
        <v>8</v>
      </c>
      <c r="O99" s="3" t="n">
        <v>8</v>
      </c>
      <c r="P99" s="3" t="n">
        <v>11</v>
      </c>
      <c r="Q99" s="3" t="n">
        <v>15</v>
      </c>
    </row>
    <row r="100" customFormat="false" ht="14.25" hidden="false" customHeight="false" outlineLevel="0" collapsed="false">
      <c r="A100" s="3" t="n">
        <v>32</v>
      </c>
      <c r="B100" s="51" t="s">
        <v>487</v>
      </c>
      <c r="C100" s="51" t="s">
        <v>488</v>
      </c>
      <c r="D100" s="51" t="n">
        <v>213711</v>
      </c>
      <c r="E100" s="51" t="s">
        <v>499</v>
      </c>
      <c r="F100" s="47" t="n">
        <v>20</v>
      </c>
      <c r="G100" s="49" t="n">
        <v>213074</v>
      </c>
      <c r="H100" s="51" t="s">
        <v>499</v>
      </c>
      <c r="I100" s="3" t="s">
        <v>522</v>
      </c>
      <c r="J100" s="3" t="n">
        <v>1</v>
      </c>
      <c r="K100" s="53" t="n">
        <v>45112</v>
      </c>
      <c r="L100" s="3" t="s">
        <v>523</v>
      </c>
      <c r="M100" s="54" t="n">
        <v>45112.3055671296</v>
      </c>
      <c r="N100" s="3" t="n">
        <v>8</v>
      </c>
      <c r="O100" s="3" t="n">
        <v>8</v>
      </c>
      <c r="P100" s="3" t="n">
        <v>12</v>
      </c>
      <c r="Q100" s="3" t="n">
        <v>16</v>
      </c>
    </row>
    <row r="101" customFormat="false" ht="14.25" hidden="false" customHeight="false" outlineLevel="0" collapsed="false">
      <c r="A101" s="3" t="n">
        <v>33</v>
      </c>
      <c r="B101" s="51" t="s">
        <v>487</v>
      </c>
      <c r="C101" s="51" t="s">
        <v>488</v>
      </c>
      <c r="D101" s="51" t="n">
        <v>213711</v>
      </c>
      <c r="E101" s="51" t="s">
        <v>499</v>
      </c>
      <c r="F101" s="47" t="n">
        <v>20</v>
      </c>
      <c r="G101" s="49" t="n">
        <v>213074</v>
      </c>
      <c r="H101" s="51" t="s">
        <v>499</v>
      </c>
      <c r="I101" s="3" t="s">
        <v>524</v>
      </c>
      <c r="J101" s="3" t="n">
        <v>1</v>
      </c>
      <c r="K101" s="53" t="n">
        <v>45112</v>
      </c>
      <c r="L101" s="3" t="s">
        <v>525</v>
      </c>
      <c r="M101" s="54" t="n">
        <v>45112.3080208333</v>
      </c>
      <c r="N101" s="3" t="n">
        <v>8</v>
      </c>
      <c r="O101" s="3" t="n">
        <v>8</v>
      </c>
      <c r="P101" s="3" t="n">
        <v>13</v>
      </c>
      <c r="Q101" s="3" t="n">
        <v>17</v>
      </c>
    </row>
    <row r="102" customFormat="false" ht="14.25" hidden="false" customHeight="false" outlineLevel="0" collapsed="false">
      <c r="A102" s="3" t="n">
        <v>34</v>
      </c>
      <c r="B102" s="51" t="s">
        <v>487</v>
      </c>
      <c r="C102" s="51" t="s">
        <v>488</v>
      </c>
      <c r="D102" s="51" t="n">
        <v>213711</v>
      </c>
      <c r="E102" s="51" t="s">
        <v>499</v>
      </c>
      <c r="F102" s="47" t="n">
        <v>20</v>
      </c>
      <c r="G102" s="49" t="n">
        <v>213074</v>
      </c>
      <c r="H102" s="51" t="s">
        <v>499</v>
      </c>
      <c r="I102" s="3" t="s">
        <v>526</v>
      </c>
      <c r="J102" s="3" t="n">
        <v>0</v>
      </c>
      <c r="K102" s="53" t="n">
        <v>45112</v>
      </c>
      <c r="L102" s="3" t="s">
        <v>527</v>
      </c>
      <c r="M102" s="54" t="n">
        <v>45112.3082407407</v>
      </c>
      <c r="N102" s="3" t="n">
        <v>8</v>
      </c>
      <c r="O102" s="3" t="n">
        <v>8</v>
      </c>
      <c r="P102" s="3" t="n">
        <v>14</v>
      </c>
      <c r="Q102" s="3" t="n">
        <v>18</v>
      </c>
    </row>
    <row r="103" customFormat="false" ht="14.25" hidden="false" customHeight="false" outlineLevel="0" collapsed="false">
      <c r="A103" s="3" t="n">
        <v>35</v>
      </c>
      <c r="B103" s="51" t="s">
        <v>487</v>
      </c>
      <c r="C103" s="51" t="s">
        <v>488</v>
      </c>
      <c r="D103" s="51" t="n">
        <v>213711</v>
      </c>
      <c r="E103" s="51" t="s">
        <v>499</v>
      </c>
      <c r="F103" s="47" t="n">
        <v>20</v>
      </c>
      <c r="G103" s="49" t="n">
        <v>213074</v>
      </c>
      <c r="H103" s="51" t="s">
        <v>499</v>
      </c>
      <c r="I103" s="3" t="s">
        <v>528</v>
      </c>
      <c r="J103" s="3" t="n">
        <v>0</v>
      </c>
      <c r="K103" s="53" t="n">
        <v>45112</v>
      </c>
      <c r="L103" s="3" t="s">
        <v>529</v>
      </c>
      <c r="M103" s="54" t="n">
        <v>45112.3151273148</v>
      </c>
      <c r="N103" s="3" t="n">
        <v>8</v>
      </c>
      <c r="O103" s="3" t="n">
        <v>8</v>
      </c>
      <c r="P103" s="3" t="n">
        <v>15</v>
      </c>
      <c r="Q103" s="3" t="n">
        <v>19</v>
      </c>
    </row>
    <row r="104" customFormat="false" ht="14.25" hidden="false" customHeight="false" outlineLevel="0" collapsed="false">
      <c r="A104" s="3" t="n">
        <v>36</v>
      </c>
      <c r="B104" s="51" t="s">
        <v>487</v>
      </c>
      <c r="C104" s="51" t="s">
        <v>488</v>
      </c>
      <c r="D104" s="51" t="n">
        <v>213711</v>
      </c>
      <c r="E104" s="51" t="s">
        <v>499</v>
      </c>
      <c r="F104" s="47" t="n">
        <v>20</v>
      </c>
      <c r="G104" s="49" t="n">
        <v>213074</v>
      </c>
      <c r="H104" s="51" t="s">
        <v>499</v>
      </c>
      <c r="I104" s="3" t="s">
        <v>530</v>
      </c>
      <c r="J104" s="3" t="n">
        <v>3</v>
      </c>
      <c r="K104" s="53" t="n">
        <v>45112</v>
      </c>
      <c r="L104" s="3" t="s">
        <v>531</v>
      </c>
      <c r="M104" s="54" t="n">
        <v>45112.3153819444</v>
      </c>
      <c r="N104" s="3" t="n">
        <v>8</v>
      </c>
      <c r="O104" s="3" t="n">
        <v>8</v>
      </c>
      <c r="P104" s="3" t="n">
        <v>16</v>
      </c>
      <c r="Q104" s="3" t="n">
        <v>20</v>
      </c>
    </row>
    <row r="105" customFormat="false" ht="14.25" hidden="false" customHeight="false" outlineLevel="0" collapsed="false">
      <c r="A105" s="3" t="n">
        <v>37</v>
      </c>
      <c r="B105" s="51" t="s">
        <v>487</v>
      </c>
      <c r="C105" s="51" t="s">
        <v>488</v>
      </c>
      <c r="D105" s="51" t="n">
        <v>213711</v>
      </c>
      <c r="E105" s="51" t="s">
        <v>499</v>
      </c>
      <c r="F105" s="47" t="n">
        <v>20</v>
      </c>
      <c r="G105" s="49" t="n">
        <v>213074</v>
      </c>
      <c r="H105" s="51" t="s">
        <v>499</v>
      </c>
      <c r="I105" s="3" t="s">
        <v>532</v>
      </c>
      <c r="J105" s="3" t="n">
        <v>1</v>
      </c>
      <c r="K105" s="53" t="n">
        <v>45112</v>
      </c>
      <c r="L105" s="3" t="s">
        <v>533</v>
      </c>
      <c r="M105" s="54" t="n">
        <v>45112.3155787037</v>
      </c>
      <c r="N105" s="3" t="n">
        <v>8</v>
      </c>
      <c r="O105" s="3" t="n">
        <v>8</v>
      </c>
      <c r="P105" s="3" t="n">
        <v>17</v>
      </c>
      <c r="Q105" s="3" t="n">
        <v>21</v>
      </c>
    </row>
    <row r="106" customFormat="false" ht="14.25" hidden="false" customHeight="false" outlineLevel="0" collapsed="false">
      <c r="A106" s="3" t="n">
        <v>38</v>
      </c>
      <c r="B106" s="51" t="s">
        <v>487</v>
      </c>
      <c r="C106" s="51" t="s">
        <v>488</v>
      </c>
      <c r="D106" s="51" t="n">
        <v>213711</v>
      </c>
      <c r="E106" s="51" t="s">
        <v>499</v>
      </c>
      <c r="F106" s="47" t="n">
        <v>20</v>
      </c>
      <c r="G106" s="49" t="n">
        <v>213074</v>
      </c>
      <c r="H106" s="51" t="s">
        <v>499</v>
      </c>
      <c r="I106" s="3" t="s">
        <v>534</v>
      </c>
      <c r="J106" s="3" t="n">
        <v>1</v>
      </c>
      <c r="K106" s="53" t="n">
        <v>45112</v>
      </c>
      <c r="L106" s="3" t="s">
        <v>535</v>
      </c>
      <c r="M106" s="54" t="n">
        <v>45112.3156597222</v>
      </c>
      <c r="N106" s="3" t="n">
        <v>8</v>
      </c>
      <c r="O106" s="3" t="n">
        <v>8</v>
      </c>
      <c r="P106" s="3" t="n">
        <v>18</v>
      </c>
      <c r="Q106" s="3" t="n">
        <v>22</v>
      </c>
    </row>
    <row r="107" customFormat="false" ht="14.25" hidden="false" customHeight="false" outlineLevel="0" collapsed="false">
      <c r="A107" s="3" t="n">
        <v>39</v>
      </c>
      <c r="B107" s="51" t="s">
        <v>487</v>
      </c>
      <c r="C107" s="51" t="s">
        <v>488</v>
      </c>
      <c r="D107" s="51" t="n">
        <v>213711</v>
      </c>
      <c r="E107" s="51" t="s">
        <v>499</v>
      </c>
      <c r="F107" s="47" t="n">
        <v>20</v>
      </c>
      <c r="G107" s="49" t="n">
        <v>213074</v>
      </c>
      <c r="H107" s="51" t="s">
        <v>499</v>
      </c>
      <c r="I107" s="3" t="s">
        <v>536</v>
      </c>
      <c r="J107" s="3" t="n">
        <v>2</v>
      </c>
      <c r="K107" s="53" t="n">
        <v>45112</v>
      </c>
      <c r="L107" s="3" t="s">
        <v>537</v>
      </c>
      <c r="M107" s="54" t="n">
        <v>45112.621087963</v>
      </c>
      <c r="N107" s="3" t="n">
        <v>8</v>
      </c>
      <c r="O107" s="3" t="n">
        <v>8</v>
      </c>
      <c r="P107" s="3" t="n">
        <v>19</v>
      </c>
      <c r="Q107" s="3" t="n">
        <v>23</v>
      </c>
    </row>
    <row r="108" customFormat="false" ht="14.25" hidden="false" customHeight="false" outlineLevel="0" collapsed="false">
      <c r="A108" s="3" t="n">
        <v>40</v>
      </c>
      <c r="B108" s="51" t="s">
        <v>487</v>
      </c>
      <c r="C108" s="51" t="s">
        <v>488</v>
      </c>
      <c r="D108" s="51" t="n">
        <v>213711</v>
      </c>
      <c r="E108" s="51" t="s">
        <v>499</v>
      </c>
      <c r="F108" s="47" t="n">
        <v>20</v>
      </c>
      <c r="G108" s="49" t="n">
        <v>213074</v>
      </c>
      <c r="H108" s="51" t="s">
        <v>499</v>
      </c>
      <c r="I108" s="3" t="s">
        <v>538</v>
      </c>
      <c r="J108" s="3" t="n">
        <v>1</v>
      </c>
      <c r="K108" s="53" t="n">
        <v>45112</v>
      </c>
      <c r="L108" s="3" t="s">
        <v>539</v>
      </c>
      <c r="M108" s="54" t="n">
        <v>45112.6214351852</v>
      </c>
      <c r="N108" s="3" t="n">
        <v>8</v>
      </c>
      <c r="O108" s="3" t="n">
        <v>8</v>
      </c>
      <c r="P108" s="3" t="n">
        <v>20</v>
      </c>
      <c r="Q108" s="3" t="n">
        <v>24</v>
      </c>
    </row>
    <row r="109" customFormat="false" ht="14.25" hidden="false" customHeight="false" outlineLevel="0" collapsed="false">
      <c r="A109" s="3" t="n">
        <v>41</v>
      </c>
      <c r="B109" s="51" t="s">
        <v>487</v>
      </c>
      <c r="C109" s="51" t="s">
        <v>488</v>
      </c>
      <c r="D109" s="51" t="n">
        <v>213711</v>
      </c>
      <c r="E109" s="51" t="s">
        <v>499</v>
      </c>
      <c r="F109" s="47" t="n">
        <v>20</v>
      </c>
      <c r="G109" s="49" t="n">
        <v>213074</v>
      </c>
      <c r="H109" s="51" t="s">
        <v>499</v>
      </c>
      <c r="I109" s="3" t="s">
        <v>540</v>
      </c>
      <c r="J109" s="3" t="n">
        <v>3</v>
      </c>
      <c r="K109" s="53" t="n">
        <v>45112</v>
      </c>
      <c r="L109" s="3" t="s">
        <v>541</v>
      </c>
      <c r="M109" s="54" t="n">
        <v>45112.6230092593</v>
      </c>
      <c r="N109" s="3" t="n">
        <v>8</v>
      </c>
      <c r="O109" s="3" t="n">
        <v>8</v>
      </c>
      <c r="P109" s="3" t="n">
        <v>21</v>
      </c>
      <c r="Q109" s="3" t="n">
        <v>25</v>
      </c>
    </row>
    <row r="110" customFormat="false" ht="14.25" hidden="false" customHeight="false" outlineLevel="0" collapsed="false">
      <c r="A110" s="3" t="n">
        <v>42</v>
      </c>
      <c r="B110" s="51" t="s">
        <v>487</v>
      </c>
      <c r="C110" s="51" t="s">
        <v>488</v>
      </c>
      <c r="D110" s="51" t="n">
        <v>213711</v>
      </c>
      <c r="E110" s="51" t="s">
        <v>499</v>
      </c>
      <c r="F110" s="47" t="n">
        <v>20</v>
      </c>
      <c r="G110" s="49" t="n">
        <v>213074</v>
      </c>
      <c r="H110" s="51" t="s">
        <v>499</v>
      </c>
      <c r="I110" s="3" t="s">
        <v>542</v>
      </c>
      <c r="J110" s="3" t="n">
        <v>0</v>
      </c>
      <c r="K110" s="53" t="n">
        <v>45112</v>
      </c>
      <c r="L110" s="3" t="s">
        <v>543</v>
      </c>
      <c r="M110" s="54" t="n">
        <v>45112.6236111111</v>
      </c>
      <c r="N110" s="3" t="n">
        <v>8</v>
      </c>
      <c r="O110" s="3" t="n">
        <v>8</v>
      </c>
      <c r="P110" s="3" t="n">
        <v>22</v>
      </c>
      <c r="Q110" s="3" t="n">
        <v>26</v>
      </c>
    </row>
    <row r="111" customFormat="false" ht="14.25" hidden="false" customHeight="false" outlineLevel="0" collapsed="false">
      <c r="A111" s="3" t="n">
        <v>43</v>
      </c>
      <c r="B111" s="51" t="s">
        <v>487</v>
      </c>
      <c r="C111" s="51" t="s">
        <v>488</v>
      </c>
      <c r="D111" s="51" t="n">
        <v>213711</v>
      </c>
      <c r="E111" s="51" t="s">
        <v>499</v>
      </c>
      <c r="F111" s="47" t="n">
        <v>20</v>
      </c>
      <c r="G111" s="49" t="n">
        <v>213074</v>
      </c>
      <c r="H111" s="51" t="s">
        <v>499</v>
      </c>
      <c r="I111" s="3" t="s">
        <v>544</v>
      </c>
      <c r="J111" s="3" t="n">
        <v>3</v>
      </c>
      <c r="K111" s="53" t="n">
        <v>45112</v>
      </c>
      <c r="L111" s="3" t="s">
        <v>545</v>
      </c>
      <c r="M111" s="54" t="n">
        <v>45112.6238310185</v>
      </c>
      <c r="N111" s="3" t="n">
        <v>8</v>
      </c>
      <c r="O111" s="3" t="n">
        <v>8</v>
      </c>
      <c r="P111" s="3" t="n">
        <v>23</v>
      </c>
      <c r="Q111" s="3" t="n">
        <v>27</v>
      </c>
    </row>
    <row r="112" customFormat="false" ht="14.25" hidden="false" customHeight="false" outlineLevel="0" collapsed="false">
      <c r="A112" s="3" t="n">
        <v>44</v>
      </c>
      <c r="B112" s="51" t="s">
        <v>487</v>
      </c>
      <c r="C112" s="51" t="s">
        <v>488</v>
      </c>
      <c r="D112" s="51" t="n">
        <v>213711</v>
      </c>
      <c r="E112" s="51" t="s">
        <v>499</v>
      </c>
      <c r="F112" s="47" t="n">
        <v>20</v>
      </c>
      <c r="G112" s="49" t="n">
        <v>213074</v>
      </c>
      <c r="H112" s="51" t="s">
        <v>499</v>
      </c>
      <c r="I112" s="3" t="s">
        <v>546</v>
      </c>
      <c r="J112" s="3" t="n">
        <v>1</v>
      </c>
      <c r="K112" s="53" t="n">
        <v>45112</v>
      </c>
      <c r="L112" s="3" t="s">
        <v>547</v>
      </c>
      <c r="M112" s="54" t="n">
        <v>45112.6243865741</v>
      </c>
      <c r="N112" s="3" t="n">
        <v>8</v>
      </c>
      <c r="O112" s="3" t="n">
        <v>8</v>
      </c>
      <c r="P112" s="3" t="n">
        <v>24</v>
      </c>
      <c r="Q112" s="3" t="n">
        <v>28</v>
      </c>
    </row>
    <row r="113" customFormat="false" ht="14.25" hidden="false" customHeight="false" outlineLevel="0" collapsed="false">
      <c r="A113" s="3" t="n">
        <v>45</v>
      </c>
      <c r="B113" s="51" t="s">
        <v>487</v>
      </c>
      <c r="C113" s="51" t="s">
        <v>488</v>
      </c>
      <c r="D113" s="51" t="n">
        <v>213711</v>
      </c>
      <c r="E113" s="51" t="s">
        <v>499</v>
      </c>
      <c r="F113" s="47" t="n">
        <v>20</v>
      </c>
      <c r="G113" s="49" t="n">
        <v>213074</v>
      </c>
      <c r="H113" s="51" t="s">
        <v>499</v>
      </c>
      <c r="I113" s="3" t="s">
        <v>548</v>
      </c>
      <c r="J113" s="3" t="n">
        <v>1</v>
      </c>
      <c r="K113" s="53" t="n">
        <v>45112</v>
      </c>
      <c r="L113" s="3" t="s">
        <v>549</v>
      </c>
      <c r="M113" s="54" t="n">
        <v>45112.6244907407</v>
      </c>
      <c r="N113" s="3" t="n">
        <v>8</v>
      </c>
      <c r="O113" s="3" t="n">
        <v>8</v>
      </c>
      <c r="P113" s="3" t="n">
        <v>25</v>
      </c>
      <c r="Q113" s="3" t="n">
        <v>29</v>
      </c>
    </row>
    <row r="114" customFormat="false" ht="14.25" hidden="false" customHeight="false" outlineLevel="0" collapsed="false">
      <c r="A114" s="3" t="n">
        <v>46</v>
      </c>
      <c r="B114" s="51" t="s">
        <v>487</v>
      </c>
      <c r="C114" s="51" t="s">
        <v>488</v>
      </c>
      <c r="D114" s="51" t="n">
        <v>213711</v>
      </c>
      <c r="E114" s="51" t="s">
        <v>499</v>
      </c>
      <c r="F114" s="47" t="n">
        <v>20</v>
      </c>
      <c r="G114" s="49" t="n">
        <v>213074</v>
      </c>
      <c r="H114" s="51" t="s">
        <v>499</v>
      </c>
      <c r="I114" s="3" t="s">
        <v>550</v>
      </c>
      <c r="J114" s="3" t="n">
        <v>1</v>
      </c>
      <c r="K114" s="53" t="n">
        <v>45112</v>
      </c>
      <c r="L114" s="3" t="s">
        <v>551</v>
      </c>
      <c r="M114" s="54" t="n">
        <v>45112.6317824074</v>
      </c>
      <c r="N114" s="3" t="n">
        <v>8</v>
      </c>
      <c r="O114" s="3" t="n">
        <v>8</v>
      </c>
      <c r="P114" s="3" t="n">
        <v>26</v>
      </c>
      <c r="Q114" s="3" t="n">
        <v>30</v>
      </c>
    </row>
    <row r="115" customFormat="false" ht="14.25" hidden="false" customHeight="false" outlineLevel="0" collapsed="false">
      <c r="A115" s="3" t="n">
        <v>47</v>
      </c>
      <c r="B115" s="51" t="s">
        <v>487</v>
      </c>
      <c r="C115" s="51" t="s">
        <v>488</v>
      </c>
      <c r="D115" s="51" t="n">
        <v>213711</v>
      </c>
      <c r="E115" s="51" t="s">
        <v>499</v>
      </c>
      <c r="F115" s="47" t="n">
        <v>20</v>
      </c>
      <c r="G115" s="49" t="n">
        <v>213074</v>
      </c>
      <c r="H115" s="51" t="s">
        <v>499</v>
      </c>
      <c r="I115" s="3" t="s">
        <v>552</v>
      </c>
      <c r="J115" s="3" t="n">
        <v>2</v>
      </c>
      <c r="K115" s="53" t="n">
        <v>45112</v>
      </c>
      <c r="L115" s="3" t="s">
        <v>553</v>
      </c>
      <c r="M115" s="54" t="n">
        <v>45112.6327546296</v>
      </c>
      <c r="N115" s="3" t="n">
        <v>8</v>
      </c>
      <c r="O115" s="3" t="n">
        <v>8</v>
      </c>
      <c r="P115" s="3" t="n">
        <v>27</v>
      </c>
      <c r="Q115" s="3" t="n">
        <v>31</v>
      </c>
    </row>
    <row r="116" customFormat="false" ht="14.25" hidden="false" customHeight="false" outlineLevel="0" collapsed="false">
      <c r="A116" s="3" t="n">
        <v>48</v>
      </c>
      <c r="B116" s="51" t="s">
        <v>487</v>
      </c>
      <c r="C116" s="51" t="s">
        <v>488</v>
      </c>
      <c r="D116" s="51" t="n">
        <v>213711</v>
      </c>
      <c r="E116" s="51" t="s">
        <v>499</v>
      </c>
      <c r="F116" s="47" t="n">
        <v>20</v>
      </c>
      <c r="G116" s="49" t="n">
        <v>213074</v>
      </c>
      <c r="H116" s="51" t="s">
        <v>499</v>
      </c>
      <c r="I116" s="3" t="s">
        <v>554</v>
      </c>
      <c r="J116" s="3" t="n">
        <v>1</v>
      </c>
      <c r="K116" s="53" t="n">
        <v>45112</v>
      </c>
      <c r="L116" s="3" t="s">
        <v>555</v>
      </c>
      <c r="M116" s="54" t="n">
        <v>45112.6328240741</v>
      </c>
      <c r="N116" s="3" t="n">
        <v>8</v>
      </c>
      <c r="O116" s="3" t="n">
        <v>8</v>
      </c>
      <c r="P116" s="3" t="n">
        <v>28</v>
      </c>
      <c r="Q116" s="3" t="n">
        <v>32</v>
      </c>
    </row>
    <row r="117" customFormat="false" ht="14.25" hidden="false" customHeight="false" outlineLevel="0" collapsed="false">
      <c r="A117" s="3" t="n">
        <v>49</v>
      </c>
      <c r="B117" s="51" t="s">
        <v>487</v>
      </c>
      <c r="C117" s="51" t="s">
        <v>488</v>
      </c>
      <c r="D117" s="51" t="n">
        <v>213711</v>
      </c>
      <c r="E117" s="51" t="s">
        <v>499</v>
      </c>
      <c r="F117" s="47" t="n">
        <v>20</v>
      </c>
      <c r="G117" s="49" t="n">
        <v>213074</v>
      </c>
      <c r="H117" s="51" t="s">
        <v>499</v>
      </c>
      <c r="I117" s="3" t="s">
        <v>556</v>
      </c>
      <c r="J117" s="3" t="n">
        <v>0</v>
      </c>
      <c r="K117" s="53" t="n">
        <v>45112</v>
      </c>
      <c r="L117" s="3" t="s">
        <v>557</v>
      </c>
      <c r="M117" s="54" t="n">
        <v>45112.6329166667</v>
      </c>
      <c r="N117" s="3" t="n">
        <v>8</v>
      </c>
      <c r="O117" s="3" t="n">
        <v>8</v>
      </c>
      <c r="P117" s="3" t="n">
        <v>29</v>
      </c>
      <c r="Q117" s="3" t="n">
        <v>33</v>
      </c>
    </row>
    <row r="118" customFormat="false" ht="14.25" hidden="false" customHeight="false" outlineLevel="0" collapsed="false">
      <c r="A118" s="3" t="n">
        <v>50</v>
      </c>
      <c r="B118" s="51" t="s">
        <v>487</v>
      </c>
      <c r="C118" s="51" t="s">
        <v>488</v>
      </c>
      <c r="D118" s="51" t="n">
        <v>213711</v>
      </c>
      <c r="E118" s="51" t="s">
        <v>499</v>
      </c>
      <c r="F118" s="47" t="n">
        <v>20</v>
      </c>
      <c r="G118" s="49" t="n">
        <v>213074</v>
      </c>
      <c r="H118" s="51" t="s">
        <v>499</v>
      </c>
      <c r="I118" s="3" t="s">
        <v>558</v>
      </c>
      <c r="J118" s="3" t="n">
        <v>1</v>
      </c>
      <c r="K118" s="53" t="n">
        <v>45112</v>
      </c>
      <c r="L118" s="3" t="s">
        <v>559</v>
      </c>
      <c r="M118" s="54" t="n">
        <v>45112.6335763889</v>
      </c>
      <c r="N118" s="3" t="n">
        <v>8</v>
      </c>
      <c r="O118" s="3" t="n">
        <v>8</v>
      </c>
      <c r="P118" s="3" t="n">
        <v>30</v>
      </c>
      <c r="Q118" s="3" t="n">
        <v>34</v>
      </c>
    </row>
    <row r="119" customFormat="false" ht="14.25" hidden="false" customHeight="false" outlineLevel="0" collapsed="false">
      <c r="A119" s="3" t="n">
        <v>51</v>
      </c>
      <c r="B119" s="51" t="s">
        <v>487</v>
      </c>
      <c r="C119" s="51" t="s">
        <v>488</v>
      </c>
      <c r="D119" s="51" t="n">
        <v>213711</v>
      </c>
      <c r="E119" s="51" t="s">
        <v>499</v>
      </c>
      <c r="F119" s="47" t="n">
        <v>20</v>
      </c>
      <c r="G119" s="49" t="n">
        <v>213074</v>
      </c>
      <c r="H119" s="51" t="s">
        <v>499</v>
      </c>
      <c r="I119" s="3" t="s">
        <v>560</v>
      </c>
      <c r="J119" s="3" t="n">
        <v>1</v>
      </c>
      <c r="K119" s="53" t="n">
        <v>45112</v>
      </c>
      <c r="L119" s="3" t="s">
        <v>561</v>
      </c>
      <c r="M119" s="54" t="n">
        <v>45112.6336342593</v>
      </c>
      <c r="N119" s="3" t="n">
        <v>8</v>
      </c>
      <c r="O119" s="3" t="n">
        <v>8</v>
      </c>
      <c r="P119" s="3" t="n">
        <v>31</v>
      </c>
      <c r="Q119" s="3" t="n">
        <v>35</v>
      </c>
    </row>
    <row r="120" customFormat="false" ht="14.25" hidden="false" customHeight="false" outlineLevel="0" collapsed="false">
      <c r="A120" s="3" t="n">
        <v>52</v>
      </c>
      <c r="B120" s="51" t="s">
        <v>487</v>
      </c>
      <c r="C120" s="51" t="s">
        <v>488</v>
      </c>
      <c r="D120" s="51" t="n">
        <v>213711</v>
      </c>
      <c r="E120" s="51" t="s">
        <v>499</v>
      </c>
      <c r="F120" s="47" t="n">
        <v>20</v>
      </c>
      <c r="G120" s="49" t="n">
        <v>213074</v>
      </c>
      <c r="H120" s="51" t="s">
        <v>499</v>
      </c>
      <c r="I120" s="3" t="s">
        <v>562</v>
      </c>
      <c r="J120" s="3" t="n">
        <v>2</v>
      </c>
      <c r="K120" s="53" t="n">
        <v>45112</v>
      </c>
      <c r="L120" s="3" t="s">
        <v>563</v>
      </c>
      <c r="M120" s="54" t="n">
        <v>45112.6337268519</v>
      </c>
      <c r="N120" s="3" t="n">
        <v>8</v>
      </c>
      <c r="O120" s="3" t="n">
        <v>8</v>
      </c>
      <c r="P120" s="3" t="n">
        <v>32</v>
      </c>
      <c r="Q120" s="3" t="n">
        <v>36</v>
      </c>
    </row>
    <row r="121" customFormat="false" ht="14.25" hidden="false" customHeight="false" outlineLevel="0" collapsed="false">
      <c r="A121" s="3" t="n">
        <v>53</v>
      </c>
      <c r="B121" s="51" t="s">
        <v>487</v>
      </c>
      <c r="C121" s="51" t="s">
        <v>488</v>
      </c>
      <c r="D121" s="51" t="n">
        <v>213711</v>
      </c>
      <c r="E121" s="51" t="s">
        <v>499</v>
      </c>
      <c r="F121" s="47" t="n">
        <v>20</v>
      </c>
      <c r="G121" s="49" t="n">
        <v>213074</v>
      </c>
      <c r="H121" s="51" t="s">
        <v>499</v>
      </c>
      <c r="I121" s="3" t="s">
        <v>564</v>
      </c>
      <c r="J121" s="3" t="n">
        <v>2</v>
      </c>
      <c r="K121" s="53" t="n">
        <v>45112</v>
      </c>
      <c r="L121" s="3" t="s">
        <v>565</v>
      </c>
      <c r="M121" s="54" t="n">
        <v>45112.6339930556</v>
      </c>
      <c r="N121" s="3" t="n">
        <v>8</v>
      </c>
      <c r="O121" s="3" t="n">
        <v>8</v>
      </c>
      <c r="P121" s="3" t="n">
        <v>33</v>
      </c>
      <c r="Q121" s="3" t="n">
        <v>37</v>
      </c>
    </row>
    <row r="122" customFormat="false" ht="14.25" hidden="false" customHeight="false" outlineLevel="0" collapsed="false">
      <c r="A122" s="3" t="n">
        <v>54</v>
      </c>
      <c r="B122" s="51" t="s">
        <v>487</v>
      </c>
      <c r="C122" s="51" t="s">
        <v>488</v>
      </c>
      <c r="D122" s="51" t="n">
        <v>213711</v>
      </c>
      <c r="E122" s="51" t="s">
        <v>499</v>
      </c>
      <c r="F122" s="47" t="n">
        <v>20</v>
      </c>
      <c r="G122" s="49" t="n">
        <v>213074</v>
      </c>
      <c r="H122" s="51" t="s">
        <v>499</v>
      </c>
      <c r="I122" s="3" t="s">
        <v>566</v>
      </c>
      <c r="J122" s="3" t="n">
        <v>2</v>
      </c>
      <c r="K122" s="53" t="n">
        <v>45112</v>
      </c>
      <c r="L122" s="3" t="s">
        <v>567</v>
      </c>
      <c r="M122" s="54" t="n">
        <v>45112.6345138889</v>
      </c>
      <c r="N122" s="3" t="n">
        <v>8</v>
      </c>
      <c r="O122" s="3" t="n">
        <v>8</v>
      </c>
      <c r="P122" s="3" t="n">
        <v>34</v>
      </c>
      <c r="Q122" s="3" t="n">
        <v>38</v>
      </c>
    </row>
    <row r="123" customFormat="false" ht="14.25" hidden="false" customHeight="false" outlineLevel="0" collapsed="false">
      <c r="A123" s="3" t="n">
        <v>55</v>
      </c>
      <c r="B123" s="51" t="s">
        <v>487</v>
      </c>
      <c r="C123" s="51" t="s">
        <v>488</v>
      </c>
      <c r="D123" s="51" t="n">
        <v>213711</v>
      </c>
      <c r="E123" s="51" t="s">
        <v>499</v>
      </c>
      <c r="F123" s="47" t="n">
        <v>20</v>
      </c>
      <c r="G123" s="49" t="n">
        <v>213074</v>
      </c>
      <c r="H123" s="51" t="s">
        <v>499</v>
      </c>
      <c r="I123" s="3" t="s">
        <v>568</v>
      </c>
      <c r="J123" s="3" t="n">
        <v>2</v>
      </c>
      <c r="K123" s="53" t="n">
        <v>45112</v>
      </c>
      <c r="L123" s="3" t="s">
        <v>569</v>
      </c>
      <c r="M123" s="54" t="n">
        <v>45112.6349652778</v>
      </c>
      <c r="N123" s="3" t="n">
        <v>8</v>
      </c>
      <c r="O123" s="3" t="n">
        <v>8</v>
      </c>
      <c r="P123" s="3" t="n">
        <v>35</v>
      </c>
      <c r="Q123" s="3" t="n">
        <v>39</v>
      </c>
    </row>
    <row r="124" customFormat="false" ht="14.25" hidden="false" customHeight="false" outlineLevel="0" collapsed="false">
      <c r="A124" s="3" t="n">
        <v>56</v>
      </c>
      <c r="B124" s="51" t="s">
        <v>487</v>
      </c>
      <c r="C124" s="51" t="s">
        <v>488</v>
      </c>
      <c r="D124" s="51" t="n">
        <v>213711</v>
      </c>
      <c r="E124" s="51" t="s">
        <v>499</v>
      </c>
      <c r="F124" s="47" t="n">
        <v>20</v>
      </c>
      <c r="G124" s="49" t="n">
        <v>213074</v>
      </c>
      <c r="H124" s="51" t="s">
        <v>499</v>
      </c>
      <c r="I124" s="3" t="s">
        <v>570</v>
      </c>
      <c r="J124" s="3" t="n">
        <v>1</v>
      </c>
      <c r="K124" s="53" t="n">
        <v>45112</v>
      </c>
      <c r="L124" s="3" t="s">
        <v>571</v>
      </c>
      <c r="M124" s="54" t="n">
        <v>45112.6353125</v>
      </c>
      <c r="N124" s="3" t="n">
        <v>8</v>
      </c>
      <c r="O124" s="3" t="n">
        <v>8</v>
      </c>
      <c r="P124" s="3" t="n">
        <v>36</v>
      </c>
      <c r="Q124" s="3" t="n">
        <v>40</v>
      </c>
    </row>
    <row r="125" customFormat="false" ht="14.25" hidden="false" customHeight="false" outlineLevel="0" collapsed="false">
      <c r="A125" s="3" t="n">
        <v>57</v>
      </c>
      <c r="B125" s="51" t="s">
        <v>487</v>
      </c>
      <c r="C125" s="51" t="s">
        <v>488</v>
      </c>
      <c r="D125" s="51" t="n">
        <v>213711</v>
      </c>
      <c r="E125" s="51" t="s">
        <v>499</v>
      </c>
      <c r="F125" s="47" t="n">
        <v>20</v>
      </c>
      <c r="G125" s="49" t="n">
        <v>213074</v>
      </c>
      <c r="H125" s="51" t="s">
        <v>499</v>
      </c>
      <c r="I125" s="3" t="s">
        <v>572</v>
      </c>
      <c r="J125" s="3" t="n">
        <v>1</v>
      </c>
      <c r="K125" s="53" t="n">
        <v>45112</v>
      </c>
      <c r="L125" s="3" t="s">
        <v>573</v>
      </c>
      <c r="M125" s="54" t="n">
        <v>45112.6356828704</v>
      </c>
      <c r="N125" s="3" t="n">
        <v>8</v>
      </c>
      <c r="O125" s="3" t="n">
        <v>8</v>
      </c>
      <c r="P125" s="3" t="n">
        <v>37</v>
      </c>
      <c r="Q125" s="3" t="n">
        <v>41</v>
      </c>
    </row>
    <row r="126" customFormat="false" ht="14.25" hidden="false" customHeight="false" outlineLevel="0" collapsed="false">
      <c r="A126" s="3" t="n">
        <v>205</v>
      </c>
      <c r="B126" s="51" t="s">
        <v>487</v>
      </c>
      <c r="C126" s="51" t="s">
        <v>488</v>
      </c>
      <c r="D126" s="51" t="n">
        <v>213711</v>
      </c>
      <c r="E126" s="51" t="s">
        <v>499</v>
      </c>
      <c r="F126" s="47" t="n">
        <v>20</v>
      </c>
      <c r="G126" s="49" t="n">
        <v>213074</v>
      </c>
      <c r="H126" s="51" t="s">
        <v>499</v>
      </c>
      <c r="I126" s="3" t="s">
        <v>873</v>
      </c>
      <c r="J126" s="3" t="n">
        <v>1</v>
      </c>
      <c r="K126" s="53" t="n">
        <v>45113</v>
      </c>
      <c r="L126" s="3" t="s">
        <v>874</v>
      </c>
      <c r="M126" s="54" t="n">
        <v>45113.8928125</v>
      </c>
      <c r="N126" s="3" t="n">
        <v>8</v>
      </c>
      <c r="O126" s="3" t="n">
        <v>8</v>
      </c>
      <c r="P126" s="3" t="n">
        <v>38</v>
      </c>
      <c r="Q126" s="3" t="n">
        <v>189</v>
      </c>
    </row>
    <row r="127" customFormat="false" ht="14.25" hidden="false" customHeight="false" outlineLevel="0" collapsed="false">
      <c r="A127" s="3" t="n">
        <v>206</v>
      </c>
      <c r="B127" s="51" t="s">
        <v>487</v>
      </c>
      <c r="C127" s="51" t="s">
        <v>488</v>
      </c>
      <c r="D127" s="51" t="n">
        <v>213711</v>
      </c>
      <c r="E127" s="51" t="s">
        <v>499</v>
      </c>
      <c r="F127" s="47" t="n">
        <v>20</v>
      </c>
      <c r="G127" s="49" t="n">
        <v>213074</v>
      </c>
      <c r="H127" s="51" t="s">
        <v>499</v>
      </c>
      <c r="I127" s="3" t="s">
        <v>875</v>
      </c>
      <c r="J127" s="3" t="n">
        <v>1</v>
      </c>
      <c r="K127" s="53" t="n">
        <v>45113</v>
      </c>
      <c r="L127" s="3" t="s">
        <v>876</v>
      </c>
      <c r="M127" s="54" t="n">
        <v>45113.8932986111</v>
      </c>
      <c r="N127" s="3" t="n">
        <v>8</v>
      </c>
      <c r="O127" s="3" t="n">
        <v>8</v>
      </c>
      <c r="P127" s="3" t="n">
        <v>39</v>
      </c>
      <c r="Q127" s="3" t="n">
        <v>190</v>
      </c>
    </row>
    <row r="128" customFormat="false" ht="14.25" hidden="false" customHeight="false" outlineLevel="0" collapsed="false">
      <c r="A128" s="3" t="n">
        <v>207</v>
      </c>
      <c r="B128" s="51" t="s">
        <v>487</v>
      </c>
      <c r="C128" s="51" t="s">
        <v>488</v>
      </c>
      <c r="D128" s="51" t="n">
        <v>213711</v>
      </c>
      <c r="E128" s="51" t="s">
        <v>499</v>
      </c>
      <c r="F128" s="47" t="n">
        <v>20</v>
      </c>
      <c r="G128" s="49" t="n">
        <v>213074</v>
      </c>
      <c r="H128" s="51" t="s">
        <v>499</v>
      </c>
      <c r="I128" s="3" t="s">
        <v>877</v>
      </c>
      <c r="J128" s="3" t="n">
        <v>2</v>
      </c>
      <c r="K128" s="53" t="n">
        <v>45113</v>
      </c>
      <c r="L128" s="3" t="s">
        <v>878</v>
      </c>
      <c r="M128" s="54" t="n">
        <v>45113.8934027778</v>
      </c>
      <c r="N128" s="3" t="n">
        <v>8</v>
      </c>
      <c r="O128" s="3" t="n">
        <v>8</v>
      </c>
      <c r="P128" s="3" t="n">
        <v>40</v>
      </c>
      <c r="Q128" s="3" t="n">
        <v>191</v>
      </c>
    </row>
    <row r="129" customFormat="false" ht="14.25" hidden="false" customHeight="false" outlineLevel="0" collapsed="false">
      <c r="A129" s="3" t="n">
        <v>208</v>
      </c>
      <c r="B129" s="51" t="s">
        <v>487</v>
      </c>
      <c r="C129" s="51" t="s">
        <v>488</v>
      </c>
      <c r="D129" s="51" t="n">
        <v>213711</v>
      </c>
      <c r="E129" s="51" t="s">
        <v>499</v>
      </c>
      <c r="F129" s="47" t="n">
        <v>20</v>
      </c>
      <c r="G129" s="49" t="n">
        <v>213074</v>
      </c>
      <c r="H129" s="51" t="s">
        <v>499</v>
      </c>
      <c r="I129" s="3" t="s">
        <v>879</v>
      </c>
      <c r="J129" s="3" t="n">
        <v>1</v>
      </c>
      <c r="K129" s="53" t="n">
        <v>45113</v>
      </c>
      <c r="L129" s="3" t="s">
        <v>880</v>
      </c>
      <c r="M129" s="54" t="n">
        <v>45113.8941550926</v>
      </c>
      <c r="N129" s="3" t="n">
        <v>8</v>
      </c>
      <c r="O129" s="3" t="n">
        <v>8</v>
      </c>
      <c r="P129" s="3" t="n">
        <v>41</v>
      </c>
      <c r="Q129" s="3" t="n">
        <v>192</v>
      </c>
    </row>
    <row r="130" customFormat="false" ht="14.25" hidden="false" customHeight="false" outlineLevel="0" collapsed="false">
      <c r="A130" s="3" t="n">
        <v>209</v>
      </c>
      <c r="B130" s="51" t="s">
        <v>487</v>
      </c>
      <c r="C130" s="51" t="s">
        <v>488</v>
      </c>
      <c r="D130" s="51" t="n">
        <v>213711</v>
      </c>
      <c r="E130" s="51" t="s">
        <v>499</v>
      </c>
      <c r="F130" s="47" t="n">
        <v>20</v>
      </c>
      <c r="G130" s="49" t="n">
        <v>213074</v>
      </c>
      <c r="H130" s="51" t="s">
        <v>499</v>
      </c>
      <c r="I130" s="3" t="s">
        <v>881</v>
      </c>
      <c r="J130" s="3" t="n">
        <v>1</v>
      </c>
      <c r="K130" s="53" t="n">
        <v>45113</v>
      </c>
      <c r="L130" s="3" t="s">
        <v>882</v>
      </c>
      <c r="M130" s="54" t="n">
        <v>45113.8944907407</v>
      </c>
      <c r="N130" s="3" t="n">
        <v>8</v>
      </c>
      <c r="O130" s="3" t="n">
        <v>8</v>
      </c>
      <c r="P130" s="3" t="n">
        <v>42</v>
      </c>
      <c r="Q130" s="3" t="n">
        <v>193</v>
      </c>
    </row>
    <row r="131" customFormat="false" ht="14.25" hidden="false" customHeight="false" outlineLevel="0" collapsed="false">
      <c r="A131" s="3" t="n">
        <v>67</v>
      </c>
      <c r="B131" s="51" t="s">
        <v>250</v>
      </c>
      <c r="C131" s="51" t="s">
        <v>251</v>
      </c>
      <c r="D131" s="51" t="n">
        <v>213777</v>
      </c>
      <c r="E131" s="51" t="s">
        <v>148</v>
      </c>
      <c r="F131" s="47" t="n">
        <v>17</v>
      </c>
      <c r="G131" s="49" t="n">
        <v>202290</v>
      </c>
      <c r="H131" s="51" t="s">
        <v>148</v>
      </c>
      <c r="I131" s="3" t="s">
        <v>344</v>
      </c>
      <c r="J131" s="3" t="n">
        <v>1</v>
      </c>
      <c r="K131" s="53" t="n">
        <v>45112</v>
      </c>
      <c r="L131" s="3" t="s">
        <v>345</v>
      </c>
      <c r="M131" s="54" t="n">
        <v>45112.4063078704</v>
      </c>
      <c r="N131" s="3" t="n">
        <v>9</v>
      </c>
      <c r="O131" s="3" t="n">
        <v>9</v>
      </c>
      <c r="P131" s="3" t="n">
        <v>1</v>
      </c>
      <c r="Q131" s="3" t="n">
        <v>47</v>
      </c>
    </row>
    <row r="132" customFormat="false" ht="14.25" hidden="false" customHeight="false" outlineLevel="0" collapsed="false">
      <c r="A132" s="3" t="n">
        <v>68</v>
      </c>
      <c r="B132" s="51" t="s">
        <v>250</v>
      </c>
      <c r="C132" s="51" t="s">
        <v>251</v>
      </c>
      <c r="D132" s="51" t="n">
        <v>213777</v>
      </c>
      <c r="E132" s="51" t="s">
        <v>148</v>
      </c>
      <c r="F132" s="47" t="n">
        <v>17</v>
      </c>
      <c r="G132" s="49" t="n">
        <v>202290</v>
      </c>
      <c r="H132" s="51" t="s">
        <v>148</v>
      </c>
      <c r="I132" s="3" t="s">
        <v>346</v>
      </c>
      <c r="J132" s="3" t="n">
        <v>2</v>
      </c>
      <c r="K132" s="53" t="n">
        <v>45112</v>
      </c>
      <c r="L132" s="3" t="s">
        <v>347</v>
      </c>
      <c r="M132" s="54" t="n">
        <v>45112.4063310185</v>
      </c>
      <c r="N132" s="3" t="n">
        <v>9</v>
      </c>
      <c r="O132" s="3" t="n">
        <v>9</v>
      </c>
      <c r="P132" s="3" t="n">
        <v>2</v>
      </c>
      <c r="Q132" s="3" t="n">
        <v>48</v>
      </c>
    </row>
    <row r="133" customFormat="false" ht="14.25" hidden="false" customHeight="false" outlineLevel="0" collapsed="false">
      <c r="A133" s="3" t="n">
        <v>69</v>
      </c>
      <c r="B133" s="51" t="s">
        <v>250</v>
      </c>
      <c r="C133" s="51" t="s">
        <v>251</v>
      </c>
      <c r="D133" s="51" t="n">
        <v>213777</v>
      </c>
      <c r="E133" s="51" t="s">
        <v>148</v>
      </c>
      <c r="F133" s="47" t="n">
        <v>17</v>
      </c>
      <c r="G133" s="49" t="n">
        <v>202290</v>
      </c>
      <c r="H133" s="51" t="s">
        <v>148</v>
      </c>
      <c r="I133" s="3" t="s">
        <v>348</v>
      </c>
      <c r="J133" s="3" t="n">
        <v>4</v>
      </c>
      <c r="K133" s="53" t="n">
        <v>45112</v>
      </c>
      <c r="L133" s="3" t="s">
        <v>349</v>
      </c>
      <c r="M133" s="54" t="n">
        <v>45112.4069675926</v>
      </c>
      <c r="N133" s="3" t="n">
        <v>9</v>
      </c>
      <c r="O133" s="3" t="n">
        <v>9</v>
      </c>
      <c r="P133" s="3" t="n">
        <v>3</v>
      </c>
      <c r="Q133" s="3" t="n">
        <v>49</v>
      </c>
    </row>
    <row r="134" customFormat="false" ht="14.25" hidden="false" customHeight="false" outlineLevel="0" collapsed="false">
      <c r="A134" s="3" t="n">
        <v>70</v>
      </c>
      <c r="B134" s="51" t="s">
        <v>250</v>
      </c>
      <c r="C134" s="51" t="s">
        <v>251</v>
      </c>
      <c r="D134" s="51" t="n">
        <v>213777</v>
      </c>
      <c r="E134" s="51" t="s">
        <v>148</v>
      </c>
      <c r="F134" s="47" t="n">
        <v>17</v>
      </c>
      <c r="G134" s="49" t="n">
        <v>202290</v>
      </c>
      <c r="H134" s="51" t="s">
        <v>148</v>
      </c>
      <c r="I134" s="3" t="s">
        <v>350</v>
      </c>
      <c r="J134" s="3" t="n">
        <v>2</v>
      </c>
      <c r="K134" s="53" t="n">
        <v>45112</v>
      </c>
      <c r="L134" s="3" t="s">
        <v>351</v>
      </c>
      <c r="M134" s="54" t="n">
        <v>45112.4072453704</v>
      </c>
      <c r="N134" s="3" t="n">
        <v>9</v>
      </c>
      <c r="O134" s="3" t="n">
        <v>9</v>
      </c>
      <c r="P134" s="3" t="n">
        <v>4</v>
      </c>
      <c r="Q134" s="3" t="n">
        <v>50</v>
      </c>
    </row>
    <row r="135" customFormat="false" ht="14.25" hidden="false" customHeight="false" outlineLevel="0" collapsed="false">
      <c r="A135" s="3" t="n">
        <v>71</v>
      </c>
      <c r="B135" s="51" t="s">
        <v>250</v>
      </c>
      <c r="C135" s="51" t="s">
        <v>251</v>
      </c>
      <c r="D135" s="51" t="n">
        <v>213777</v>
      </c>
      <c r="E135" s="51" t="s">
        <v>148</v>
      </c>
      <c r="F135" s="47" t="n">
        <v>17</v>
      </c>
      <c r="G135" s="49" t="n">
        <v>202290</v>
      </c>
      <c r="H135" s="51" t="s">
        <v>148</v>
      </c>
      <c r="I135" s="3" t="s">
        <v>352</v>
      </c>
      <c r="J135" s="3" t="n">
        <v>1</v>
      </c>
      <c r="K135" s="53" t="n">
        <v>45112</v>
      </c>
      <c r="L135" s="3" t="s">
        <v>353</v>
      </c>
      <c r="M135" s="54" t="n">
        <v>45112.4134259259</v>
      </c>
      <c r="N135" s="3" t="n">
        <v>9</v>
      </c>
      <c r="O135" s="3" t="n">
        <v>9</v>
      </c>
      <c r="P135" s="3" t="n">
        <v>5</v>
      </c>
      <c r="Q135" s="3" t="n">
        <v>51</v>
      </c>
    </row>
    <row r="136" customFormat="false" ht="14.25" hidden="false" customHeight="false" outlineLevel="0" collapsed="false">
      <c r="A136" s="3" t="n">
        <v>72</v>
      </c>
      <c r="B136" s="51" t="s">
        <v>250</v>
      </c>
      <c r="C136" s="51" t="s">
        <v>251</v>
      </c>
      <c r="D136" s="51" t="n">
        <v>213777</v>
      </c>
      <c r="E136" s="51" t="s">
        <v>148</v>
      </c>
      <c r="F136" s="47" t="n">
        <v>17</v>
      </c>
      <c r="G136" s="49" t="n">
        <v>202290</v>
      </c>
      <c r="H136" s="51" t="s">
        <v>148</v>
      </c>
      <c r="I136" s="3" t="s">
        <v>354</v>
      </c>
      <c r="J136" s="3" t="n">
        <v>3</v>
      </c>
      <c r="K136" s="53" t="n">
        <v>45112</v>
      </c>
      <c r="L136" s="3" t="s">
        <v>355</v>
      </c>
      <c r="M136" s="54" t="n">
        <v>45112.5990625</v>
      </c>
      <c r="N136" s="3" t="n">
        <v>9</v>
      </c>
      <c r="O136" s="3" t="n">
        <v>9</v>
      </c>
      <c r="P136" s="3" t="n">
        <v>6</v>
      </c>
      <c r="Q136" s="3" t="n">
        <v>52</v>
      </c>
    </row>
    <row r="137" customFormat="false" ht="14.25" hidden="false" customHeight="false" outlineLevel="0" collapsed="false">
      <c r="A137" s="3" t="n">
        <v>73</v>
      </c>
      <c r="B137" s="51" t="s">
        <v>250</v>
      </c>
      <c r="C137" s="51" t="s">
        <v>251</v>
      </c>
      <c r="D137" s="51" t="n">
        <v>213777</v>
      </c>
      <c r="E137" s="51" t="s">
        <v>148</v>
      </c>
      <c r="F137" s="47" t="n">
        <v>17</v>
      </c>
      <c r="G137" s="49" t="n">
        <v>202290</v>
      </c>
      <c r="H137" s="51" t="s">
        <v>148</v>
      </c>
      <c r="I137" s="3" t="s">
        <v>356</v>
      </c>
      <c r="J137" s="3" t="n">
        <v>1</v>
      </c>
      <c r="K137" s="53" t="n">
        <v>45112</v>
      </c>
      <c r="L137" s="3" t="s">
        <v>357</v>
      </c>
      <c r="M137" s="54" t="n">
        <v>45112.6002430556</v>
      </c>
      <c r="N137" s="3" t="n">
        <v>9</v>
      </c>
      <c r="O137" s="3" t="n">
        <v>9</v>
      </c>
      <c r="P137" s="3" t="n">
        <v>7</v>
      </c>
      <c r="Q137" s="3" t="n">
        <v>53</v>
      </c>
    </row>
    <row r="138" customFormat="false" ht="14.25" hidden="false" customHeight="false" outlineLevel="0" collapsed="false">
      <c r="A138" s="3" t="n">
        <v>74</v>
      </c>
      <c r="B138" s="51" t="s">
        <v>250</v>
      </c>
      <c r="C138" s="51" t="s">
        <v>251</v>
      </c>
      <c r="D138" s="51" t="n">
        <v>213777</v>
      </c>
      <c r="E138" s="51" t="s">
        <v>148</v>
      </c>
      <c r="F138" s="47" t="n">
        <v>17</v>
      </c>
      <c r="G138" s="49" t="n">
        <v>202290</v>
      </c>
      <c r="H138" s="51" t="s">
        <v>148</v>
      </c>
      <c r="I138" s="3" t="s">
        <v>358</v>
      </c>
      <c r="J138" s="3" t="n">
        <v>1</v>
      </c>
      <c r="K138" s="53" t="n">
        <v>45112</v>
      </c>
      <c r="L138" s="3" t="s">
        <v>359</v>
      </c>
      <c r="M138" s="54" t="n">
        <v>45112.6018634259</v>
      </c>
      <c r="N138" s="3" t="n">
        <v>9</v>
      </c>
      <c r="O138" s="3" t="n">
        <v>9</v>
      </c>
      <c r="P138" s="3" t="n">
        <v>8</v>
      </c>
      <c r="Q138" s="3" t="n">
        <v>54</v>
      </c>
    </row>
    <row r="139" customFormat="false" ht="14.25" hidden="false" customHeight="false" outlineLevel="0" collapsed="false">
      <c r="A139" s="3" t="n">
        <v>75</v>
      </c>
      <c r="B139" s="51" t="s">
        <v>250</v>
      </c>
      <c r="C139" s="51" t="s">
        <v>251</v>
      </c>
      <c r="D139" s="51" t="n">
        <v>213777</v>
      </c>
      <c r="E139" s="51" t="s">
        <v>148</v>
      </c>
      <c r="F139" s="47" t="n">
        <v>17</v>
      </c>
      <c r="G139" s="49" t="n">
        <v>202290</v>
      </c>
      <c r="H139" s="51" t="s">
        <v>148</v>
      </c>
      <c r="I139" s="3" t="s">
        <v>360</v>
      </c>
      <c r="J139" s="3" t="n">
        <v>1</v>
      </c>
      <c r="K139" s="53" t="n">
        <v>45112</v>
      </c>
      <c r="L139" s="3" t="s">
        <v>361</v>
      </c>
      <c r="M139" s="54" t="n">
        <v>45112.6030092593</v>
      </c>
      <c r="N139" s="3" t="n">
        <v>9</v>
      </c>
      <c r="O139" s="3" t="n">
        <v>9</v>
      </c>
      <c r="P139" s="3" t="n">
        <v>9</v>
      </c>
      <c r="Q139" s="3" t="n">
        <v>55</v>
      </c>
    </row>
    <row r="140" customFormat="false" ht="14.25" hidden="false" customHeight="false" outlineLevel="0" collapsed="false">
      <c r="A140" s="3" t="n">
        <v>76</v>
      </c>
      <c r="B140" s="51" t="s">
        <v>250</v>
      </c>
      <c r="C140" s="51" t="s">
        <v>251</v>
      </c>
      <c r="D140" s="51" t="n">
        <v>213777</v>
      </c>
      <c r="E140" s="51" t="s">
        <v>148</v>
      </c>
      <c r="F140" s="47" t="n">
        <v>17</v>
      </c>
      <c r="G140" s="49" t="n">
        <v>202290</v>
      </c>
      <c r="H140" s="51" t="s">
        <v>148</v>
      </c>
      <c r="I140" s="3" t="s">
        <v>362</v>
      </c>
      <c r="J140" s="3" t="n">
        <v>2</v>
      </c>
      <c r="K140" s="53" t="n">
        <v>45112</v>
      </c>
      <c r="L140" s="3" t="s">
        <v>363</v>
      </c>
      <c r="M140" s="54" t="n">
        <v>45112.6034490741</v>
      </c>
      <c r="N140" s="3" t="n">
        <v>9</v>
      </c>
      <c r="O140" s="3" t="n">
        <v>9</v>
      </c>
      <c r="P140" s="3" t="n">
        <v>10</v>
      </c>
      <c r="Q140" s="3" t="n">
        <v>56</v>
      </c>
    </row>
    <row r="141" customFormat="false" ht="14.25" hidden="false" customHeight="false" outlineLevel="0" collapsed="false">
      <c r="A141" s="3" t="n">
        <v>46</v>
      </c>
      <c r="B141" s="51" t="s">
        <v>77</v>
      </c>
      <c r="C141" s="51" t="s">
        <v>78</v>
      </c>
      <c r="D141" s="51" t="n">
        <v>213665</v>
      </c>
      <c r="E141" s="51" t="s">
        <v>148</v>
      </c>
      <c r="F141" s="47" t="n">
        <v>17</v>
      </c>
      <c r="G141" s="49" t="n">
        <v>202290</v>
      </c>
      <c r="H141" s="51" t="s">
        <v>148</v>
      </c>
      <c r="I141" s="3" t="s">
        <v>149</v>
      </c>
      <c r="J141" s="3" t="n">
        <v>1</v>
      </c>
      <c r="K141" s="53" t="n">
        <v>45114</v>
      </c>
      <c r="L141" s="3" t="s">
        <v>150</v>
      </c>
      <c r="M141" s="54" t="n">
        <v>45114.0087962963</v>
      </c>
      <c r="N141" s="3" t="n">
        <v>9</v>
      </c>
      <c r="O141" s="3" t="n">
        <v>9</v>
      </c>
      <c r="P141" s="3" t="n">
        <v>11</v>
      </c>
      <c r="Q141" s="3" t="n">
        <v>31</v>
      </c>
    </row>
    <row r="142" customFormat="false" ht="14.25" hidden="false" customHeight="false" outlineLevel="0" collapsed="false">
      <c r="A142" s="3" t="n">
        <v>100</v>
      </c>
      <c r="B142" s="51" t="s">
        <v>250</v>
      </c>
      <c r="C142" s="51" t="s">
        <v>251</v>
      </c>
      <c r="D142" s="51" t="n">
        <v>213777</v>
      </c>
      <c r="E142" s="51" t="s">
        <v>148</v>
      </c>
      <c r="F142" s="47" t="n">
        <v>17</v>
      </c>
      <c r="G142" s="49" t="n">
        <v>202290</v>
      </c>
      <c r="H142" s="51" t="s">
        <v>148</v>
      </c>
      <c r="I142" s="3" t="s">
        <v>411</v>
      </c>
      <c r="J142" s="3" t="n">
        <v>1</v>
      </c>
      <c r="K142" s="53" t="n">
        <v>45114</v>
      </c>
      <c r="L142" s="3" t="s">
        <v>412</v>
      </c>
      <c r="M142" s="54" t="n">
        <v>45114.0473842593</v>
      </c>
      <c r="N142" s="3" t="n">
        <v>9</v>
      </c>
      <c r="O142" s="3" t="n">
        <v>9</v>
      </c>
      <c r="P142" s="3" t="n">
        <v>12</v>
      </c>
      <c r="Q142" s="3" t="n">
        <v>80</v>
      </c>
    </row>
    <row r="143" customFormat="false" ht="14.25" hidden="false" customHeight="false" outlineLevel="0" collapsed="false">
      <c r="A143" s="3" t="n">
        <v>50</v>
      </c>
      <c r="B143" s="51" t="s">
        <v>77</v>
      </c>
      <c r="C143" s="51" t="s">
        <v>78</v>
      </c>
      <c r="D143" s="51" t="n">
        <v>213665</v>
      </c>
      <c r="E143" s="51" t="s">
        <v>148</v>
      </c>
      <c r="F143" s="47" t="n">
        <v>17</v>
      </c>
      <c r="G143" s="49" t="n">
        <v>202290</v>
      </c>
      <c r="H143" s="51" t="s">
        <v>148</v>
      </c>
      <c r="I143" s="3" t="s">
        <v>158</v>
      </c>
      <c r="J143" s="3" t="n">
        <v>2</v>
      </c>
      <c r="K143" s="53" t="n">
        <v>45114</v>
      </c>
      <c r="L143" s="3" t="s">
        <v>159</v>
      </c>
      <c r="M143" s="54" t="n">
        <v>45114.0560648148</v>
      </c>
      <c r="N143" s="3" t="n">
        <v>9</v>
      </c>
      <c r="O143" s="3" t="n">
        <v>9</v>
      </c>
      <c r="P143" s="3" t="n">
        <v>13</v>
      </c>
      <c r="Q143" s="3" t="n">
        <v>35</v>
      </c>
    </row>
    <row r="144" customFormat="false" ht="14.25" hidden="false" customHeight="false" outlineLevel="0" collapsed="false">
      <c r="A144" s="3" t="n">
        <v>104</v>
      </c>
      <c r="B144" s="51" t="s">
        <v>250</v>
      </c>
      <c r="C144" s="51" t="s">
        <v>251</v>
      </c>
      <c r="D144" s="51" t="n">
        <v>213777</v>
      </c>
      <c r="E144" s="51" t="s">
        <v>148</v>
      </c>
      <c r="F144" s="47" t="n">
        <v>17</v>
      </c>
      <c r="G144" s="49" t="n">
        <v>202290</v>
      </c>
      <c r="H144" s="51" t="s">
        <v>148</v>
      </c>
      <c r="I144" s="3" t="s">
        <v>419</v>
      </c>
      <c r="J144" s="3" t="n">
        <v>1</v>
      </c>
      <c r="K144" s="53" t="n">
        <v>45114</v>
      </c>
      <c r="L144" s="3" t="s">
        <v>420</v>
      </c>
      <c r="M144" s="54" t="n">
        <v>45114.0611689815</v>
      </c>
      <c r="N144" s="3" t="n">
        <v>9</v>
      </c>
      <c r="O144" s="3" t="n">
        <v>9</v>
      </c>
      <c r="P144" s="3" t="n">
        <v>14</v>
      </c>
      <c r="Q144" s="3" t="n">
        <v>84</v>
      </c>
    </row>
    <row r="145" customFormat="false" ht="14.25" hidden="false" customHeight="false" outlineLevel="0" collapsed="false">
      <c r="A145" s="3" t="n">
        <v>105</v>
      </c>
      <c r="B145" s="51" t="s">
        <v>250</v>
      </c>
      <c r="C145" s="51" t="s">
        <v>251</v>
      </c>
      <c r="D145" s="51" t="n">
        <v>213777</v>
      </c>
      <c r="E145" s="51" t="s">
        <v>148</v>
      </c>
      <c r="F145" s="47" t="n">
        <v>17</v>
      </c>
      <c r="G145" s="49" t="n">
        <v>202290</v>
      </c>
      <c r="H145" s="51" t="s">
        <v>148</v>
      </c>
      <c r="I145" s="3" t="s">
        <v>421</v>
      </c>
      <c r="J145" s="3" t="n">
        <v>1</v>
      </c>
      <c r="K145" s="53" t="n">
        <v>45114</v>
      </c>
      <c r="L145" s="3" t="s">
        <v>422</v>
      </c>
      <c r="M145" s="54" t="n">
        <v>45114.0646180556</v>
      </c>
      <c r="N145" s="3" t="n">
        <v>9</v>
      </c>
      <c r="O145" s="3" t="n">
        <v>9</v>
      </c>
      <c r="P145" s="3" t="n">
        <v>15</v>
      </c>
      <c r="Q145" s="3" t="n">
        <v>85</v>
      </c>
    </row>
    <row r="146" customFormat="false" ht="14.25" hidden="false" customHeight="false" outlineLevel="0" collapsed="false">
      <c r="A146" s="3" t="n">
        <v>106</v>
      </c>
      <c r="B146" s="51" t="s">
        <v>250</v>
      </c>
      <c r="C146" s="51" t="s">
        <v>251</v>
      </c>
      <c r="D146" s="51" t="n">
        <v>213777</v>
      </c>
      <c r="E146" s="51" t="s">
        <v>148</v>
      </c>
      <c r="F146" s="47" t="n">
        <v>17</v>
      </c>
      <c r="G146" s="49" t="n">
        <v>202290</v>
      </c>
      <c r="H146" s="51" t="s">
        <v>148</v>
      </c>
      <c r="I146" s="3" t="s">
        <v>423</v>
      </c>
      <c r="J146" s="3" t="n">
        <v>1</v>
      </c>
      <c r="K146" s="53" t="n">
        <v>45114</v>
      </c>
      <c r="L146" s="3" t="s">
        <v>424</v>
      </c>
      <c r="M146" s="54" t="n">
        <v>45114.1052314815</v>
      </c>
      <c r="N146" s="3" t="n">
        <v>9</v>
      </c>
      <c r="O146" s="3" t="n">
        <v>9</v>
      </c>
      <c r="P146" s="3" t="n">
        <v>16</v>
      </c>
      <c r="Q146" s="3" t="n">
        <v>86</v>
      </c>
    </row>
    <row r="147" customFormat="false" ht="14.25" hidden="false" customHeight="false" outlineLevel="0" collapsed="false">
      <c r="A147" s="3" t="n">
        <v>107</v>
      </c>
      <c r="B147" s="51" t="s">
        <v>250</v>
      </c>
      <c r="C147" s="51" t="s">
        <v>251</v>
      </c>
      <c r="D147" s="51" t="n">
        <v>213777</v>
      </c>
      <c r="E147" s="51" t="s">
        <v>148</v>
      </c>
      <c r="F147" s="47" t="n">
        <v>17</v>
      </c>
      <c r="G147" s="49" t="n">
        <v>202290</v>
      </c>
      <c r="H147" s="51" t="s">
        <v>148</v>
      </c>
      <c r="I147" s="3" t="s">
        <v>425</v>
      </c>
      <c r="J147" s="3" t="n">
        <v>1</v>
      </c>
      <c r="K147" s="53" t="n">
        <v>45114</v>
      </c>
      <c r="L147" s="3" t="s">
        <v>426</v>
      </c>
      <c r="M147" s="54" t="n">
        <v>45114.1322453704</v>
      </c>
      <c r="N147" s="3" t="n">
        <v>9</v>
      </c>
      <c r="O147" s="3" t="n">
        <v>9</v>
      </c>
      <c r="P147" s="3" t="n">
        <v>17</v>
      </c>
      <c r="Q147" s="3" t="n">
        <v>87</v>
      </c>
    </row>
    <row r="148" customFormat="false" ht="14.25" hidden="false" customHeight="false" outlineLevel="0" collapsed="false">
      <c r="A148" s="3" t="n">
        <v>111</v>
      </c>
      <c r="B148" s="51" t="s">
        <v>250</v>
      </c>
      <c r="C148" s="51" t="s">
        <v>251</v>
      </c>
      <c r="D148" s="51" t="n">
        <v>213777</v>
      </c>
      <c r="E148" s="51" t="s">
        <v>148</v>
      </c>
      <c r="F148" s="47" t="n">
        <v>17</v>
      </c>
      <c r="G148" s="49" t="n">
        <v>202290</v>
      </c>
      <c r="H148" s="51" t="s">
        <v>148</v>
      </c>
      <c r="I148" s="3" t="s">
        <v>431</v>
      </c>
      <c r="J148" s="3" t="n">
        <v>1</v>
      </c>
      <c r="K148" s="53" t="n">
        <v>45114</v>
      </c>
      <c r="L148" s="3" t="s">
        <v>432</v>
      </c>
      <c r="M148" s="54" t="n">
        <v>45114.4127662037</v>
      </c>
      <c r="N148" s="3" t="n">
        <v>9</v>
      </c>
      <c r="O148" s="3" t="n">
        <v>9</v>
      </c>
      <c r="P148" s="3" t="n">
        <v>18</v>
      </c>
      <c r="Q148" s="3" t="n">
        <v>91</v>
      </c>
    </row>
    <row r="149" customFormat="false" ht="14.25" hidden="false" customHeight="false" outlineLevel="0" collapsed="false">
      <c r="A149" s="3" t="n">
        <v>112</v>
      </c>
      <c r="B149" s="51" t="s">
        <v>250</v>
      </c>
      <c r="C149" s="51" t="s">
        <v>251</v>
      </c>
      <c r="D149" s="51" t="n">
        <v>213777</v>
      </c>
      <c r="E149" s="51" t="s">
        <v>148</v>
      </c>
      <c r="F149" s="47" t="n">
        <v>17</v>
      </c>
      <c r="G149" s="49" t="n">
        <v>202290</v>
      </c>
      <c r="H149" s="51" t="s">
        <v>148</v>
      </c>
      <c r="I149" s="3" t="s">
        <v>433</v>
      </c>
      <c r="J149" s="3" t="n">
        <v>0</v>
      </c>
      <c r="K149" s="53" t="n">
        <v>45114</v>
      </c>
      <c r="L149" s="3" t="s">
        <v>434</v>
      </c>
      <c r="M149" s="54" t="n">
        <v>45114.4480208333</v>
      </c>
      <c r="N149" s="3" t="n">
        <v>9</v>
      </c>
      <c r="O149" s="3" t="n">
        <v>9</v>
      </c>
      <c r="P149" s="3" t="n">
        <v>19</v>
      </c>
      <c r="Q149" s="3" t="n">
        <v>92</v>
      </c>
    </row>
    <row r="150" customFormat="false" ht="14.25" hidden="false" customHeight="false" outlineLevel="0" collapsed="false">
      <c r="A150" s="3" t="n">
        <v>17</v>
      </c>
      <c r="B150" s="51" t="s">
        <v>445</v>
      </c>
      <c r="C150" s="51" t="s">
        <v>446</v>
      </c>
      <c r="D150" s="51" t="n">
        <v>213668</v>
      </c>
      <c r="E150" s="51" t="s">
        <v>450</v>
      </c>
      <c r="F150" s="47" t="n">
        <v>29</v>
      </c>
      <c r="G150" s="49" t="n">
        <v>213348</v>
      </c>
      <c r="H150" s="51" t="s">
        <v>450</v>
      </c>
      <c r="I150" s="3" t="s">
        <v>451</v>
      </c>
      <c r="J150" s="3" t="n">
        <v>0</v>
      </c>
      <c r="K150" s="53" t="n">
        <v>45112</v>
      </c>
      <c r="L150" s="3" t="s">
        <v>452</v>
      </c>
      <c r="M150" s="54" t="n">
        <v>45112.4818981482</v>
      </c>
      <c r="N150" s="3" t="n">
        <v>10</v>
      </c>
      <c r="O150" s="3" t="n">
        <v>10</v>
      </c>
      <c r="P150" s="3" t="n">
        <v>1</v>
      </c>
      <c r="Q150" s="3" t="n">
        <v>2</v>
      </c>
    </row>
    <row r="151" customFormat="false" ht="14.25" hidden="false" customHeight="false" outlineLevel="0" collapsed="false">
      <c r="A151" s="3" t="n">
        <v>18</v>
      </c>
      <c r="B151" s="51" t="s">
        <v>445</v>
      </c>
      <c r="C151" s="51" t="s">
        <v>446</v>
      </c>
      <c r="D151" s="51" t="n">
        <v>213668</v>
      </c>
      <c r="E151" s="51" t="s">
        <v>450</v>
      </c>
      <c r="F151" s="47" t="n">
        <v>29</v>
      </c>
      <c r="G151" s="49" t="n">
        <v>213348</v>
      </c>
      <c r="H151" s="51" t="s">
        <v>450</v>
      </c>
      <c r="I151" s="3" t="s">
        <v>453</v>
      </c>
      <c r="J151" s="3" t="n">
        <v>1</v>
      </c>
      <c r="K151" s="53" t="n">
        <v>45112</v>
      </c>
      <c r="L151" s="3" t="s">
        <v>454</v>
      </c>
      <c r="M151" s="54" t="n">
        <v>45112.4972800926</v>
      </c>
      <c r="N151" s="3" t="n">
        <v>10</v>
      </c>
      <c r="O151" s="3" t="n">
        <v>10</v>
      </c>
      <c r="P151" s="3" t="n">
        <v>2</v>
      </c>
      <c r="Q151" s="3" t="n">
        <v>3</v>
      </c>
    </row>
    <row r="152" customFormat="false" ht="14.25" hidden="false" customHeight="false" outlineLevel="0" collapsed="false">
      <c r="A152" s="3" t="n">
        <v>19</v>
      </c>
      <c r="B152" s="51" t="s">
        <v>445</v>
      </c>
      <c r="C152" s="51" t="s">
        <v>446</v>
      </c>
      <c r="D152" s="51" t="n">
        <v>213668</v>
      </c>
      <c r="E152" s="51" t="s">
        <v>450</v>
      </c>
      <c r="F152" s="47" t="n">
        <v>29</v>
      </c>
      <c r="G152" s="49" t="n">
        <v>213348</v>
      </c>
      <c r="H152" s="51" t="s">
        <v>450</v>
      </c>
      <c r="I152" s="3" t="s">
        <v>455</v>
      </c>
      <c r="J152" s="3" t="n">
        <v>1</v>
      </c>
      <c r="K152" s="53" t="n">
        <v>45112</v>
      </c>
      <c r="L152" s="3" t="s">
        <v>456</v>
      </c>
      <c r="M152" s="54" t="n">
        <v>45112.4975694444</v>
      </c>
      <c r="N152" s="3" t="n">
        <v>10</v>
      </c>
      <c r="O152" s="3" t="n">
        <v>10</v>
      </c>
      <c r="P152" s="3" t="n">
        <v>3</v>
      </c>
      <c r="Q152" s="3" t="n">
        <v>4</v>
      </c>
    </row>
    <row r="153" customFormat="false" ht="14.25" hidden="false" customHeight="false" outlineLevel="0" collapsed="false">
      <c r="A153" s="3" t="n">
        <v>20</v>
      </c>
      <c r="B153" s="51" t="s">
        <v>445</v>
      </c>
      <c r="C153" s="51" t="s">
        <v>446</v>
      </c>
      <c r="D153" s="51" t="n">
        <v>213668</v>
      </c>
      <c r="E153" s="51" t="s">
        <v>450</v>
      </c>
      <c r="F153" s="47" t="n">
        <v>29</v>
      </c>
      <c r="G153" s="49" t="n">
        <v>213348</v>
      </c>
      <c r="H153" s="51" t="s">
        <v>450</v>
      </c>
      <c r="I153" s="3" t="s">
        <v>457</v>
      </c>
      <c r="J153" s="3" t="n">
        <v>2</v>
      </c>
      <c r="K153" s="53" t="n">
        <v>45112</v>
      </c>
      <c r="L153" s="3" t="s">
        <v>458</v>
      </c>
      <c r="M153" s="54" t="n">
        <v>45112.4977083333</v>
      </c>
      <c r="N153" s="3" t="n">
        <v>10</v>
      </c>
      <c r="O153" s="3" t="n">
        <v>10</v>
      </c>
      <c r="P153" s="3" t="n">
        <v>4</v>
      </c>
      <c r="Q153" s="3" t="n">
        <v>5</v>
      </c>
    </row>
    <row r="154" customFormat="false" ht="14.25" hidden="false" customHeight="false" outlineLevel="0" collapsed="false">
      <c r="A154" s="3" t="n">
        <v>21</v>
      </c>
      <c r="B154" s="51" t="s">
        <v>445</v>
      </c>
      <c r="C154" s="51" t="s">
        <v>446</v>
      </c>
      <c r="D154" s="51" t="n">
        <v>213668</v>
      </c>
      <c r="E154" s="51" t="s">
        <v>450</v>
      </c>
      <c r="F154" s="47" t="n">
        <v>29</v>
      </c>
      <c r="G154" s="49" t="n">
        <v>213348</v>
      </c>
      <c r="H154" s="51" t="s">
        <v>450</v>
      </c>
      <c r="I154" s="3" t="s">
        <v>459</v>
      </c>
      <c r="J154" s="3" t="n">
        <v>1</v>
      </c>
      <c r="K154" s="53" t="n">
        <v>45112</v>
      </c>
      <c r="L154" s="3" t="s">
        <v>460</v>
      </c>
      <c r="M154" s="54" t="n">
        <v>45112.4989583333</v>
      </c>
      <c r="N154" s="3" t="n">
        <v>10</v>
      </c>
      <c r="O154" s="3" t="n">
        <v>10</v>
      </c>
      <c r="P154" s="3" t="n">
        <v>5</v>
      </c>
      <c r="Q154" s="3" t="n">
        <v>6</v>
      </c>
    </row>
    <row r="155" customFormat="false" ht="14.25" hidden="false" customHeight="false" outlineLevel="0" collapsed="false">
      <c r="A155" s="3" t="n">
        <v>22</v>
      </c>
      <c r="B155" s="51" t="s">
        <v>445</v>
      </c>
      <c r="C155" s="51" t="s">
        <v>446</v>
      </c>
      <c r="D155" s="51" t="n">
        <v>213668</v>
      </c>
      <c r="E155" s="51" t="s">
        <v>450</v>
      </c>
      <c r="F155" s="47" t="n">
        <v>29</v>
      </c>
      <c r="G155" s="49" t="n">
        <v>213348</v>
      </c>
      <c r="H155" s="51" t="s">
        <v>450</v>
      </c>
      <c r="I155" s="3" t="s">
        <v>461</v>
      </c>
      <c r="J155" s="3" t="n">
        <v>2</v>
      </c>
      <c r="K155" s="53" t="n">
        <v>45112</v>
      </c>
      <c r="L155" s="3" t="s">
        <v>462</v>
      </c>
      <c r="M155" s="54" t="n">
        <v>45112.5032407407</v>
      </c>
      <c r="N155" s="3" t="n">
        <v>10</v>
      </c>
      <c r="O155" s="3" t="n">
        <v>10</v>
      </c>
      <c r="P155" s="3" t="n">
        <v>6</v>
      </c>
      <c r="Q155" s="3" t="n">
        <v>7</v>
      </c>
    </row>
    <row r="156" customFormat="false" ht="14.25" hidden="false" customHeight="false" outlineLevel="0" collapsed="false">
      <c r="A156" s="3" t="n">
        <v>23</v>
      </c>
      <c r="B156" s="51" t="s">
        <v>445</v>
      </c>
      <c r="C156" s="51" t="s">
        <v>446</v>
      </c>
      <c r="D156" s="51" t="n">
        <v>213668</v>
      </c>
      <c r="E156" s="51" t="s">
        <v>450</v>
      </c>
      <c r="F156" s="47" t="n">
        <v>29</v>
      </c>
      <c r="G156" s="49" t="n">
        <v>213348</v>
      </c>
      <c r="H156" s="51" t="s">
        <v>450</v>
      </c>
      <c r="I156" s="3" t="s">
        <v>463</v>
      </c>
      <c r="J156" s="3" t="n">
        <v>0</v>
      </c>
      <c r="K156" s="53" t="n">
        <v>45112</v>
      </c>
      <c r="L156" s="3" t="s">
        <v>464</v>
      </c>
      <c r="M156" s="54" t="n">
        <v>45112.5126967593</v>
      </c>
      <c r="N156" s="3" t="n">
        <v>10</v>
      </c>
      <c r="O156" s="3" t="n">
        <v>10</v>
      </c>
      <c r="P156" s="3" t="n">
        <v>7</v>
      </c>
      <c r="Q156" s="3" t="n">
        <v>8</v>
      </c>
    </row>
    <row r="157" customFormat="false" ht="14.25" hidden="false" customHeight="false" outlineLevel="0" collapsed="false">
      <c r="A157" s="3" t="n">
        <v>24</v>
      </c>
      <c r="B157" s="51" t="s">
        <v>445</v>
      </c>
      <c r="C157" s="51" t="s">
        <v>446</v>
      </c>
      <c r="D157" s="51" t="n">
        <v>213668</v>
      </c>
      <c r="E157" s="51" t="s">
        <v>450</v>
      </c>
      <c r="F157" s="47" t="n">
        <v>29</v>
      </c>
      <c r="G157" s="49" t="n">
        <v>213348</v>
      </c>
      <c r="H157" s="51" t="s">
        <v>450</v>
      </c>
      <c r="I157" s="3" t="s">
        <v>465</v>
      </c>
      <c r="J157" s="3" t="n">
        <v>1</v>
      </c>
      <c r="K157" s="53" t="n">
        <v>45112</v>
      </c>
      <c r="L157" s="3" t="s">
        <v>466</v>
      </c>
      <c r="M157" s="54" t="n">
        <v>45112.5434722222</v>
      </c>
      <c r="N157" s="3" t="n">
        <v>10</v>
      </c>
      <c r="O157" s="3" t="n">
        <v>10</v>
      </c>
      <c r="P157" s="3" t="n">
        <v>8</v>
      </c>
      <c r="Q157" s="3" t="n">
        <v>9</v>
      </c>
    </row>
    <row r="158" customFormat="false" ht="14.25" hidden="false" customHeight="false" outlineLevel="0" collapsed="false">
      <c r="A158" s="3" t="n">
        <v>25</v>
      </c>
      <c r="B158" s="51" t="s">
        <v>445</v>
      </c>
      <c r="C158" s="51" t="s">
        <v>446</v>
      </c>
      <c r="D158" s="51" t="n">
        <v>213668</v>
      </c>
      <c r="E158" s="51" t="s">
        <v>450</v>
      </c>
      <c r="F158" s="47" t="n">
        <v>29</v>
      </c>
      <c r="G158" s="49" t="n">
        <v>213348</v>
      </c>
      <c r="H158" s="51" t="s">
        <v>450</v>
      </c>
      <c r="I158" s="3" t="s">
        <v>467</v>
      </c>
      <c r="J158" s="3" t="n">
        <v>1</v>
      </c>
      <c r="K158" s="53" t="n">
        <v>45112</v>
      </c>
      <c r="L158" s="3" t="s">
        <v>468</v>
      </c>
      <c r="M158" s="54" t="n">
        <v>45112.5434953704</v>
      </c>
      <c r="N158" s="3" t="n">
        <v>10</v>
      </c>
      <c r="O158" s="3" t="n">
        <v>10</v>
      </c>
      <c r="P158" s="3" t="n">
        <v>9</v>
      </c>
      <c r="Q158" s="3" t="n">
        <v>10</v>
      </c>
    </row>
    <row r="159" customFormat="false" ht="14.25" hidden="false" customHeight="false" outlineLevel="0" collapsed="false">
      <c r="A159" s="3" t="n">
        <v>26</v>
      </c>
      <c r="B159" s="51" t="s">
        <v>445</v>
      </c>
      <c r="C159" s="51" t="s">
        <v>446</v>
      </c>
      <c r="D159" s="51" t="n">
        <v>213668</v>
      </c>
      <c r="E159" s="51" t="s">
        <v>450</v>
      </c>
      <c r="F159" s="47" t="n">
        <v>29</v>
      </c>
      <c r="G159" s="49" t="n">
        <v>213348</v>
      </c>
      <c r="H159" s="51" t="s">
        <v>450</v>
      </c>
      <c r="I159" s="3" t="s">
        <v>469</v>
      </c>
      <c r="J159" s="3" t="n">
        <v>1</v>
      </c>
      <c r="K159" s="53" t="n">
        <v>45112</v>
      </c>
      <c r="L159" s="3" t="s">
        <v>470</v>
      </c>
      <c r="M159" s="54" t="n">
        <v>45112.5845833333</v>
      </c>
      <c r="N159" s="3" t="n">
        <v>10</v>
      </c>
      <c r="O159" s="3" t="n">
        <v>10</v>
      </c>
      <c r="P159" s="3" t="n">
        <v>10</v>
      </c>
      <c r="Q159" s="3" t="n">
        <v>11</v>
      </c>
    </row>
    <row r="160" customFormat="false" ht="14.25" hidden="false" customHeight="false" outlineLevel="0" collapsed="false">
      <c r="A160" s="3" t="n">
        <v>27</v>
      </c>
      <c r="B160" s="51" t="s">
        <v>445</v>
      </c>
      <c r="C160" s="51" t="s">
        <v>446</v>
      </c>
      <c r="D160" s="51" t="n">
        <v>213668</v>
      </c>
      <c r="E160" s="51" t="s">
        <v>450</v>
      </c>
      <c r="F160" s="47" t="n">
        <v>29</v>
      </c>
      <c r="G160" s="49" t="n">
        <v>213348</v>
      </c>
      <c r="H160" s="51" t="s">
        <v>450</v>
      </c>
      <c r="I160" s="3" t="s">
        <v>471</v>
      </c>
      <c r="J160" s="3" t="n">
        <v>1</v>
      </c>
      <c r="K160" s="53" t="n">
        <v>45112</v>
      </c>
      <c r="L160" s="3" t="s">
        <v>472</v>
      </c>
      <c r="M160" s="54" t="n">
        <v>45112.6010300926</v>
      </c>
      <c r="N160" s="3" t="n">
        <v>10</v>
      </c>
      <c r="O160" s="3" t="n">
        <v>10</v>
      </c>
      <c r="P160" s="3" t="n">
        <v>11</v>
      </c>
      <c r="Q160" s="3" t="n">
        <v>12</v>
      </c>
    </row>
    <row r="161" customFormat="false" ht="14.25" hidden="false" customHeight="false" outlineLevel="0" collapsed="false">
      <c r="A161" s="3" t="n">
        <v>28</v>
      </c>
      <c r="B161" s="51" t="s">
        <v>445</v>
      </c>
      <c r="C161" s="51" t="s">
        <v>446</v>
      </c>
      <c r="D161" s="51" t="n">
        <v>213668</v>
      </c>
      <c r="E161" s="51" t="s">
        <v>450</v>
      </c>
      <c r="F161" s="47" t="n">
        <v>29</v>
      </c>
      <c r="G161" s="49" t="n">
        <v>213348</v>
      </c>
      <c r="H161" s="51" t="s">
        <v>450</v>
      </c>
      <c r="I161" s="3" t="s">
        <v>473</v>
      </c>
      <c r="J161" s="3" t="n">
        <v>1</v>
      </c>
      <c r="K161" s="53" t="n">
        <v>45112</v>
      </c>
      <c r="L161" s="3" t="s">
        <v>474</v>
      </c>
      <c r="M161" s="54" t="n">
        <v>45112.6065393519</v>
      </c>
      <c r="N161" s="3" t="n">
        <v>10</v>
      </c>
      <c r="O161" s="3" t="n">
        <v>10</v>
      </c>
      <c r="P161" s="3" t="n">
        <v>12</v>
      </c>
      <c r="Q161" s="3" t="n">
        <v>13</v>
      </c>
    </row>
    <row r="162" customFormat="false" ht="14.25" hidden="false" customHeight="false" outlineLevel="0" collapsed="false">
      <c r="A162" s="3" t="n">
        <v>29</v>
      </c>
      <c r="B162" s="51" t="s">
        <v>445</v>
      </c>
      <c r="C162" s="51" t="s">
        <v>446</v>
      </c>
      <c r="D162" s="51" t="n">
        <v>213668</v>
      </c>
      <c r="E162" s="51" t="s">
        <v>450</v>
      </c>
      <c r="F162" s="47" t="n">
        <v>29</v>
      </c>
      <c r="G162" s="49" t="n">
        <v>213348</v>
      </c>
      <c r="H162" s="51" t="s">
        <v>450</v>
      </c>
      <c r="I162" s="3" t="s">
        <v>475</v>
      </c>
      <c r="J162" s="3" t="n">
        <v>1</v>
      </c>
      <c r="K162" s="53" t="n">
        <v>45112</v>
      </c>
      <c r="L162" s="3" t="s">
        <v>476</v>
      </c>
      <c r="M162" s="54" t="n">
        <v>45112.6154166667</v>
      </c>
      <c r="N162" s="3" t="n">
        <v>10</v>
      </c>
      <c r="O162" s="3" t="n">
        <v>10</v>
      </c>
      <c r="P162" s="3" t="n">
        <v>13</v>
      </c>
      <c r="Q162" s="3" t="n">
        <v>14</v>
      </c>
    </row>
    <row r="163" customFormat="false" ht="14.25" hidden="false" customHeight="false" outlineLevel="0" collapsed="false">
      <c r="A163" s="3" t="n">
        <v>30</v>
      </c>
      <c r="B163" s="51" t="s">
        <v>445</v>
      </c>
      <c r="C163" s="51" t="s">
        <v>446</v>
      </c>
      <c r="D163" s="51" t="n">
        <v>213668</v>
      </c>
      <c r="E163" s="51" t="s">
        <v>450</v>
      </c>
      <c r="F163" s="47" t="n">
        <v>29</v>
      </c>
      <c r="G163" s="49" t="n">
        <v>213348</v>
      </c>
      <c r="H163" s="51" t="s">
        <v>450</v>
      </c>
      <c r="I163" s="3" t="s">
        <v>477</v>
      </c>
      <c r="J163" s="3" t="n">
        <v>1</v>
      </c>
      <c r="K163" s="53" t="n">
        <v>45112</v>
      </c>
      <c r="L163" s="3" t="s">
        <v>478</v>
      </c>
      <c r="M163" s="54" t="n">
        <v>45112.6156944444</v>
      </c>
      <c r="N163" s="3" t="n">
        <v>10</v>
      </c>
      <c r="O163" s="3" t="n">
        <v>10</v>
      </c>
      <c r="P163" s="3" t="n">
        <v>14</v>
      </c>
      <c r="Q163" s="3" t="n">
        <v>15</v>
      </c>
    </row>
    <row r="164" customFormat="false" ht="14.25" hidden="false" customHeight="false" outlineLevel="0" collapsed="false">
      <c r="A164" s="3" t="n">
        <v>58</v>
      </c>
      <c r="B164" s="51" t="s">
        <v>487</v>
      </c>
      <c r="C164" s="51" t="s">
        <v>488</v>
      </c>
      <c r="D164" s="51" t="n">
        <v>213711</v>
      </c>
      <c r="E164" s="51" t="s">
        <v>450</v>
      </c>
      <c r="F164" s="47" t="n">
        <v>29</v>
      </c>
      <c r="G164" s="49" t="n">
        <v>213348</v>
      </c>
      <c r="H164" s="51" t="s">
        <v>450</v>
      </c>
      <c r="I164" s="3" t="s">
        <v>574</v>
      </c>
      <c r="J164" s="3" t="n">
        <v>0</v>
      </c>
      <c r="K164" s="53" t="n">
        <v>45112</v>
      </c>
      <c r="L164" s="3" t="s">
        <v>575</v>
      </c>
      <c r="M164" s="54" t="n">
        <v>45112.6370717593</v>
      </c>
      <c r="N164" s="3" t="n">
        <v>10</v>
      </c>
      <c r="O164" s="3" t="n">
        <v>10</v>
      </c>
      <c r="P164" s="3" t="n">
        <v>15</v>
      </c>
      <c r="Q164" s="3" t="n">
        <v>42</v>
      </c>
    </row>
    <row r="165" customFormat="false" ht="14.25" hidden="false" customHeight="false" outlineLevel="0" collapsed="false">
      <c r="A165" s="3" t="n">
        <v>59</v>
      </c>
      <c r="B165" s="51" t="s">
        <v>487</v>
      </c>
      <c r="C165" s="51" t="s">
        <v>488</v>
      </c>
      <c r="D165" s="51" t="n">
        <v>213711</v>
      </c>
      <c r="E165" s="51" t="s">
        <v>450</v>
      </c>
      <c r="F165" s="47" t="n">
        <v>29</v>
      </c>
      <c r="G165" s="49" t="n">
        <v>213348</v>
      </c>
      <c r="H165" s="51" t="s">
        <v>450</v>
      </c>
      <c r="I165" s="3" t="s">
        <v>576</v>
      </c>
      <c r="J165" s="3" t="n">
        <v>1</v>
      </c>
      <c r="K165" s="53" t="n">
        <v>45112</v>
      </c>
      <c r="L165" s="3" t="s">
        <v>577</v>
      </c>
      <c r="M165" s="54" t="n">
        <v>45112.6377314815</v>
      </c>
      <c r="N165" s="3" t="n">
        <v>10</v>
      </c>
      <c r="O165" s="3" t="n">
        <v>10</v>
      </c>
      <c r="P165" s="3" t="n">
        <v>16</v>
      </c>
      <c r="Q165" s="3" t="n">
        <v>43</v>
      </c>
    </row>
    <row r="166" customFormat="false" ht="14.25" hidden="false" customHeight="false" outlineLevel="0" collapsed="false">
      <c r="A166" s="3" t="n">
        <v>60</v>
      </c>
      <c r="B166" s="51" t="s">
        <v>487</v>
      </c>
      <c r="C166" s="51" t="s">
        <v>488</v>
      </c>
      <c r="D166" s="51" t="n">
        <v>213711</v>
      </c>
      <c r="E166" s="51" t="s">
        <v>450</v>
      </c>
      <c r="F166" s="47" t="n">
        <v>29</v>
      </c>
      <c r="G166" s="49" t="n">
        <v>213348</v>
      </c>
      <c r="H166" s="51" t="s">
        <v>450</v>
      </c>
      <c r="I166" s="3" t="s">
        <v>578</v>
      </c>
      <c r="J166" s="3" t="n">
        <v>2</v>
      </c>
      <c r="K166" s="53" t="n">
        <v>45112</v>
      </c>
      <c r="L166" s="3" t="s">
        <v>579</v>
      </c>
      <c r="M166" s="54" t="n">
        <v>45112.6377777778</v>
      </c>
      <c r="N166" s="3" t="n">
        <v>10</v>
      </c>
      <c r="O166" s="3" t="n">
        <v>10</v>
      </c>
      <c r="P166" s="3" t="n">
        <v>17</v>
      </c>
      <c r="Q166" s="3" t="n">
        <v>44</v>
      </c>
    </row>
    <row r="167" customFormat="false" ht="14.25" hidden="false" customHeight="false" outlineLevel="0" collapsed="false">
      <c r="A167" s="3" t="n">
        <v>61</v>
      </c>
      <c r="B167" s="51" t="s">
        <v>487</v>
      </c>
      <c r="C167" s="51" t="s">
        <v>488</v>
      </c>
      <c r="D167" s="51" t="n">
        <v>213711</v>
      </c>
      <c r="E167" s="51" t="s">
        <v>450</v>
      </c>
      <c r="F167" s="47" t="n">
        <v>29</v>
      </c>
      <c r="G167" s="49" t="n">
        <v>213348</v>
      </c>
      <c r="H167" s="51" t="s">
        <v>450</v>
      </c>
      <c r="I167" s="3" t="s">
        <v>580</v>
      </c>
      <c r="J167" s="3" t="n">
        <v>2</v>
      </c>
      <c r="K167" s="53" t="n">
        <v>45112</v>
      </c>
      <c r="L167" s="3" t="s">
        <v>581</v>
      </c>
      <c r="M167" s="54" t="n">
        <v>45112.6381828704</v>
      </c>
      <c r="N167" s="3" t="n">
        <v>10</v>
      </c>
      <c r="O167" s="3" t="n">
        <v>10</v>
      </c>
      <c r="P167" s="3" t="n">
        <v>18</v>
      </c>
      <c r="Q167" s="3" t="n">
        <v>45</v>
      </c>
    </row>
    <row r="168" customFormat="false" ht="14.25" hidden="false" customHeight="false" outlineLevel="0" collapsed="false">
      <c r="A168" s="3" t="n">
        <v>62</v>
      </c>
      <c r="B168" s="51" t="s">
        <v>487</v>
      </c>
      <c r="C168" s="51" t="s">
        <v>488</v>
      </c>
      <c r="D168" s="51" t="n">
        <v>213711</v>
      </c>
      <c r="E168" s="51" t="s">
        <v>450</v>
      </c>
      <c r="F168" s="47" t="n">
        <v>29</v>
      </c>
      <c r="G168" s="49" t="n">
        <v>213348</v>
      </c>
      <c r="H168" s="51" t="s">
        <v>450</v>
      </c>
      <c r="I168" s="3" t="s">
        <v>582</v>
      </c>
      <c r="J168" s="3" t="n">
        <v>2</v>
      </c>
      <c r="K168" s="53" t="n">
        <v>45112</v>
      </c>
      <c r="L168" s="3" t="s">
        <v>583</v>
      </c>
      <c r="M168" s="54" t="n">
        <v>45112.6404976852</v>
      </c>
      <c r="N168" s="3" t="n">
        <v>10</v>
      </c>
      <c r="O168" s="3" t="n">
        <v>10</v>
      </c>
      <c r="P168" s="3" t="n">
        <v>19</v>
      </c>
      <c r="Q168" s="3" t="n">
        <v>46</v>
      </c>
    </row>
    <row r="169" customFormat="false" ht="14.25" hidden="false" customHeight="false" outlineLevel="0" collapsed="false">
      <c r="A169" s="3" t="n">
        <v>63</v>
      </c>
      <c r="B169" s="51" t="s">
        <v>487</v>
      </c>
      <c r="C169" s="51" t="s">
        <v>488</v>
      </c>
      <c r="D169" s="51" t="n">
        <v>213711</v>
      </c>
      <c r="E169" s="51" t="s">
        <v>450</v>
      </c>
      <c r="F169" s="47" t="n">
        <v>29</v>
      </c>
      <c r="G169" s="49" t="n">
        <v>213348</v>
      </c>
      <c r="H169" s="51" t="s">
        <v>450</v>
      </c>
      <c r="I169" s="3" t="s">
        <v>584</v>
      </c>
      <c r="J169" s="3" t="n">
        <v>1</v>
      </c>
      <c r="K169" s="53" t="n">
        <v>45112</v>
      </c>
      <c r="L169" s="3" t="s">
        <v>585</v>
      </c>
      <c r="M169" s="54" t="n">
        <v>45112.6406134259</v>
      </c>
      <c r="N169" s="3" t="n">
        <v>10</v>
      </c>
      <c r="O169" s="3" t="n">
        <v>10</v>
      </c>
      <c r="P169" s="3" t="n">
        <v>20</v>
      </c>
      <c r="Q169" s="3" t="n">
        <v>47</v>
      </c>
    </row>
    <row r="170" customFormat="false" ht="14.25" hidden="false" customHeight="false" outlineLevel="0" collapsed="false">
      <c r="A170" s="3" t="n">
        <v>64</v>
      </c>
      <c r="B170" s="51" t="s">
        <v>487</v>
      </c>
      <c r="C170" s="51" t="s">
        <v>488</v>
      </c>
      <c r="D170" s="51" t="n">
        <v>213711</v>
      </c>
      <c r="E170" s="51" t="s">
        <v>450</v>
      </c>
      <c r="F170" s="47" t="n">
        <v>29</v>
      </c>
      <c r="G170" s="49" t="n">
        <v>213348</v>
      </c>
      <c r="H170" s="51" t="s">
        <v>450</v>
      </c>
      <c r="I170" s="3" t="s">
        <v>586</v>
      </c>
      <c r="J170" s="3" t="n">
        <v>1</v>
      </c>
      <c r="K170" s="53" t="n">
        <v>45112</v>
      </c>
      <c r="L170" s="3" t="s">
        <v>587</v>
      </c>
      <c r="M170" s="54" t="n">
        <v>45112.6630324074</v>
      </c>
      <c r="N170" s="3" t="n">
        <v>10</v>
      </c>
      <c r="O170" s="3" t="n">
        <v>10</v>
      </c>
      <c r="P170" s="3" t="n">
        <v>21</v>
      </c>
      <c r="Q170" s="3" t="n">
        <v>48</v>
      </c>
    </row>
    <row r="171" customFormat="false" ht="14.25" hidden="false" customHeight="false" outlineLevel="0" collapsed="false">
      <c r="A171" s="3" t="n">
        <v>65</v>
      </c>
      <c r="B171" s="51" t="s">
        <v>487</v>
      </c>
      <c r="C171" s="51" t="s">
        <v>488</v>
      </c>
      <c r="D171" s="51" t="n">
        <v>213711</v>
      </c>
      <c r="E171" s="51" t="s">
        <v>450</v>
      </c>
      <c r="F171" s="47" t="n">
        <v>29</v>
      </c>
      <c r="G171" s="49" t="n">
        <v>213348</v>
      </c>
      <c r="H171" s="51" t="s">
        <v>450</v>
      </c>
      <c r="I171" s="3" t="s">
        <v>588</v>
      </c>
      <c r="J171" s="3" t="n">
        <v>3</v>
      </c>
      <c r="K171" s="53" t="n">
        <v>45112</v>
      </c>
      <c r="L171" s="3" t="s">
        <v>589</v>
      </c>
      <c r="M171" s="54" t="n">
        <v>45112.6631018519</v>
      </c>
      <c r="N171" s="3" t="n">
        <v>10</v>
      </c>
      <c r="O171" s="3" t="n">
        <v>10</v>
      </c>
      <c r="P171" s="3" t="n">
        <v>22</v>
      </c>
      <c r="Q171" s="3" t="n">
        <v>49</v>
      </c>
    </row>
    <row r="172" customFormat="false" ht="14.25" hidden="false" customHeight="false" outlineLevel="0" collapsed="false">
      <c r="A172" s="3" t="n">
        <v>66</v>
      </c>
      <c r="B172" s="51" t="s">
        <v>487</v>
      </c>
      <c r="C172" s="51" t="s">
        <v>488</v>
      </c>
      <c r="D172" s="51" t="n">
        <v>213711</v>
      </c>
      <c r="E172" s="51" t="s">
        <v>450</v>
      </c>
      <c r="F172" s="47" t="n">
        <v>29</v>
      </c>
      <c r="G172" s="49" t="n">
        <v>213348</v>
      </c>
      <c r="H172" s="51" t="s">
        <v>450</v>
      </c>
      <c r="I172" s="3" t="s">
        <v>590</v>
      </c>
      <c r="J172" s="3" t="n">
        <v>1</v>
      </c>
      <c r="K172" s="53" t="n">
        <v>45112</v>
      </c>
      <c r="L172" s="3" t="s">
        <v>591</v>
      </c>
      <c r="M172" s="54" t="n">
        <v>45112.6632638889</v>
      </c>
      <c r="N172" s="3" t="n">
        <v>10</v>
      </c>
      <c r="O172" s="3" t="n">
        <v>10</v>
      </c>
      <c r="P172" s="3" t="n">
        <v>23</v>
      </c>
      <c r="Q172" s="3" t="n">
        <v>50</v>
      </c>
    </row>
    <row r="173" customFormat="false" ht="14.25" hidden="false" customHeight="false" outlineLevel="0" collapsed="false">
      <c r="A173" s="3" t="n">
        <v>67</v>
      </c>
      <c r="B173" s="51" t="s">
        <v>487</v>
      </c>
      <c r="C173" s="51" t="s">
        <v>488</v>
      </c>
      <c r="D173" s="51" t="n">
        <v>213711</v>
      </c>
      <c r="E173" s="51" t="s">
        <v>450</v>
      </c>
      <c r="F173" s="47" t="n">
        <v>29</v>
      </c>
      <c r="G173" s="49" t="n">
        <v>213348</v>
      </c>
      <c r="H173" s="51" t="s">
        <v>450</v>
      </c>
      <c r="I173" s="3" t="s">
        <v>592</v>
      </c>
      <c r="J173" s="3" t="n">
        <v>2</v>
      </c>
      <c r="K173" s="53" t="n">
        <v>45112</v>
      </c>
      <c r="L173" s="3" t="s">
        <v>593</v>
      </c>
      <c r="M173" s="54" t="n">
        <v>45112.686087963</v>
      </c>
      <c r="N173" s="3" t="n">
        <v>10</v>
      </c>
      <c r="O173" s="3" t="n">
        <v>10</v>
      </c>
      <c r="P173" s="3" t="n">
        <v>24</v>
      </c>
      <c r="Q173" s="3" t="n">
        <v>51</v>
      </c>
    </row>
    <row r="174" customFormat="false" ht="14.25" hidden="false" customHeight="false" outlineLevel="0" collapsed="false">
      <c r="A174" s="3" t="n">
        <v>68</v>
      </c>
      <c r="B174" s="51" t="s">
        <v>487</v>
      </c>
      <c r="C174" s="51" t="s">
        <v>488</v>
      </c>
      <c r="D174" s="51" t="n">
        <v>213711</v>
      </c>
      <c r="E174" s="51" t="s">
        <v>450</v>
      </c>
      <c r="F174" s="47" t="n">
        <v>29</v>
      </c>
      <c r="G174" s="49" t="n">
        <v>213348</v>
      </c>
      <c r="H174" s="51" t="s">
        <v>450</v>
      </c>
      <c r="I174" s="3" t="s">
        <v>594</v>
      </c>
      <c r="J174" s="3" t="n">
        <v>2</v>
      </c>
      <c r="K174" s="53" t="n">
        <v>45112</v>
      </c>
      <c r="L174" s="3" t="s">
        <v>595</v>
      </c>
      <c r="M174" s="54" t="n">
        <v>45112.6864467593</v>
      </c>
      <c r="N174" s="3" t="n">
        <v>10</v>
      </c>
      <c r="O174" s="3" t="n">
        <v>10</v>
      </c>
      <c r="P174" s="3" t="n">
        <v>25</v>
      </c>
      <c r="Q174" s="3" t="n">
        <v>52</v>
      </c>
    </row>
    <row r="175" customFormat="false" ht="14.25" hidden="false" customHeight="false" outlineLevel="0" collapsed="false">
      <c r="A175" s="3" t="n">
        <v>69</v>
      </c>
      <c r="B175" s="51" t="s">
        <v>487</v>
      </c>
      <c r="C175" s="51" t="s">
        <v>488</v>
      </c>
      <c r="D175" s="51" t="n">
        <v>213711</v>
      </c>
      <c r="E175" s="51" t="s">
        <v>450</v>
      </c>
      <c r="F175" s="47" t="n">
        <v>29</v>
      </c>
      <c r="G175" s="49" t="n">
        <v>213348</v>
      </c>
      <c r="H175" s="51" t="s">
        <v>450</v>
      </c>
      <c r="I175" s="3" t="s">
        <v>596</v>
      </c>
      <c r="J175" s="3" t="n">
        <v>1</v>
      </c>
      <c r="K175" s="53" t="n">
        <v>45112</v>
      </c>
      <c r="L175" s="3" t="s">
        <v>597</v>
      </c>
      <c r="M175" s="54" t="n">
        <v>45112.6866319444</v>
      </c>
      <c r="N175" s="3" t="n">
        <v>10</v>
      </c>
      <c r="O175" s="3" t="n">
        <v>10</v>
      </c>
      <c r="P175" s="3" t="n">
        <v>26</v>
      </c>
      <c r="Q175" s="3" t="n">
        <v>53</v>
      </c>
    </row>
    <row r="176" customFormat="false" ht="14.25" hidden="false" customHeight="false" outlineLevel="0" collapsed="false">
      <c r="A176" s="3" t="n">
        <v>31</v>
      </c>
      <c r="B176" s="51" t="s">
        <v>445</v>
      </c>
      <c r="C176" s="51" t="s">
        <v>446</v>
      </c>
      <c r="D176" s="51" t="n">
        <v>213668</v>
      </c>
      <c r="E176" s="51" t="s">
        <v>450</v>
      </c>
      <c r="F176" s="47" t="n">
        <v>29</v>
      </c>
      <c r="G176" s="49" t="n">
        <v>213348</v>
      </c>
      <c r="H176" s="51" t="s">
        <v>450</v>
      </c>
      <c r="I176" s="3" t="s">
        <v>479</v>
      </c>
      <c r="J176" s="3" t="n">
        <v>0</v>
      </c>
      <c r="K176" s="53" t="n">
        <v>45112</v>
      </c>
      <c r="L176" s="3" t="s">
        <v>480</v>
      </c>
      <c r="M176" s="54" t="n">
        <v>45112.7483796296</v>
      </c>
      <c r="N176" s="3" t="n">
        <v>10</v>
      </c>
      <c r="O176" s="3" t="n">
        <v>10</v>
      </c>
      <c r="P176" s="3" t="n">
        <v>27</v>
      </c>
      <c r="Q176" s="3" t="n">
        <v>16</v>
      </c>
    </row>
    <row r="177" customFormat="false" ht="14.25" hidden="false" customHeight="false" outlineLevel="0" collapsed="false">
      <c r="A177" s="3" t="n">
        <v>32</v>
      </c>
      <c r="B177" s="51" t="s">
        <v>445</v>
      </c>
      <c r="C177" s="51" t="s">
        <v>446</v>
      </c>
      <c r="D177" s="51" t="n">
        <v>213668</v>
      </c>
      <c r="E177" s="51" t="s">
        <v>450</v>
      </c>
      <c r="F177" s="47" t="n">
        <v>29</v>
      </c>
      <c r="G177" s="49" t="n">
        <v>213348</v>
      </c>
      <c r="H177" s="51" t="s">
        <v>450</v>
      </c>
      <c r="I177" s="3" t="s">
        <v>481</v>
      </c>
      <c r="J177" s="3" t="n">
        <v>1</v>
      </c>
      <c r="K177" s="53" t="n">
        <v>45112</v>
      </c>
      <c r="L177" s="3" t="s">
        <v>482</v>
      </c>
      <c r="M177" s="54" t="n">
        <v>45112.7485185185</v>
      </c>
      <c r="N177" s="3" t="n">
        <v>10</v>
      </c>
      <c r="O177" s="3" t="n">
        <v>10</v>
      </c>
      <c r="P177" s="3" t="n">
        <v>28</v>
      </c>
      <c r="Q177" s="3" t="n">
        <v>17</v>
      </c>
    </row>
    <row r="178" customFormat="false" ht="14.25" hidden="false" customHeight="false" outlineLevel="0" collapsed="false">
      <c r="A178" s="3" t="n">
        <v>33</v>
      </c>
      <c r="B178" s="51" t="s">
        <v>445</v>
      </c>
      <c r="C178" s="51" t="s">
        <v>446</v>
      </c>
      <c r="D178" s="51" t="n">
        <v>213668</v>
      </c>
      <c r="E178" s="51" t="s">
        <v>450</v>
      </c>
      <c r="F178" s="47" t="n">
        <v>29</v>
      </c>
      <c r="G178" s="49" t="n">
        <v>213348</v>
      </c>
      <c r="H178" s="51" t="s">
        <v>450</v>
      </c>
      <c r="I178" s="3" t="s">
        <v>483</v>
      </c>
      <c r="J178" s="3" t="n">
        <v>2</v>
      </c>
      <c r="K178" s="53" t="n">
        <v>45112</v>
      </c>
      <c r="L178" s="3" t="s">
        <v>484</v>
      </c>
      <c r="M178" s="54" t="n">
        <v>45112.7495949074</v>
      </c>
      <c r="N178" s="3" t="n">
        <v>10</v>
      </c>
      <c r="O178" s="3" t="n">
        <v>10</v>
      </c>
      <c r="P178" s="3" t="n">
        <v>29</v>
      </c>
      <c r="Q178" s="3" t="n">
        <v>18</v>
      </c>
    </row>
    <row r="179" customFormat="false" ht="14.25" hidden="false" customHeight="false" outlineLevel="0" collapsed="false">
      <c r="A179" s="3" t="n">
        <v>34</v>
      </c>
      <c r="B179" s="51" t="s">
        <v>445</v>
      </c>
      <c r="C179" s="51" t="s">
        <v>446</v>
      </c>
      <c r="D179" s="51" t="n">
        <v>213668</v>
      </c>
      <c r="E179" s="51" t="s">
        <v>450</v>
      </c>
      <c r="F179" s="47" t="n">
        <v>29</v>
      </c>
      <c r="G179" s="49" t="n">
        <v>213348</v>
      </c>
      <c r="H179" s="51" t="s">
        <v>450</v>
      </c>
      <c r="I179" s="3" t="s">
        <v>485</v>
      </c>
      <c r="J179" s="3" t="n">
        <v>1</v>
      </c>
      <c r="K179" s="53" t="n">
        <v>45112</v>
      </c>
      <c r="L179" s="3" t="s">
        <v>486</v>
      </c>
      <c r="M179" s="54" t="n">
        <v>45112.7499768519</v>
      </c>
      <c r="N179" s="3" t="n">
        <v>10</v>
      </c>
      <c r="O179" s="3" t="n">
        <v>10</v>
      </c>
      <c r="P179" s="3" t="n">
        <v>30</v>
      </c>
      <c r="Q179" s="3" t="n">
        <v>19</v>
      </c>
    </row>
    <row r="180" customFormat="false" ht="14.25" hidden="false" customHeight="false" outlineLevel="0" collapsed="false">
      <c r="A180" s="3" t="n">
        <v>70</v>
      </c>
      <c r="B180" s="51" t="s">
        <v>487</v>
      </c>
      <c r="C180" s="51" t="s">
        <v>488</v>
      </c>
      <c r="D180" s="51" t="n">
        <v>213711</v>
      </c>
      <c r="E180" s="51" t="s">
        <v>598</v>
      </c>
      <c r="F180" s="47" t="n">
        <v>31</v>
      </c>
      <c r="G180" s="49" t="n">
        <v>213442</v>
      </c>
      <c r="H180" s="51" t="s">
        <v>598</v>
      </c>
      <c r="I180" s="3" t="s">
        <v>599</v>
      </c>
      <c r="J180" s="3" t="n">
        <v>1</v>
      </c>
      <c r="K180" s="53" t="n">
        <v>45112</v>
      </c>
      <c r="L180" s="3" t="s">
        <v>600</v>
      </c>
      <c r="M180" s="54" t="n">
        <v>45112.6903356482</v>
      </c>
      <c r="N180" s="3" t="n">
        <v>11</v>
      </c>
      <c r="O180" s="3" t="n">
        <v>11</v>
      </c>
      <c r="P180" s="3" t="n">
        <v>1</v>
      </c>
      <c r="Q180" s="3" t="n">
        <v>54</v>
      </c>
    </row>
    <row r="181" customFormat="false" ht="14.25" hidden="false" customHeight="false" outlineLevel="0" collapsed="false">
      <c r="A181" s="3" t="n">
        <v>71</v>
      </c>
      <c r="B181" s="51" t="s">
        <v>487</v>
      </c>
      <c r="C181" s="51" t="s">
        <v>488</v>
      </c>
      <c r="D181" s="51" t="n">
        <v>213711</v>
      </c>
      <c r="E181" s="51" t="s">
        <v>598</v>
      </c>
      <c r="F181" s="47" t="n">
        <v>31</v>
      </c>
      <c r="G181" s="49" t="n">
        <v>213442</v>
      </c>
      <c r="H181" s="51" t="s">
        <v>598</v>
      </c>
      <c r="I181" s="3" t="s">
        <v>601</v>
      </c>
      <c r="J181" s="3" t="n">
        <v>2</v>
      </c>
      <c r="K181" s="53" t="n">
        <v>45112</v>
      </c>
      <c r="L181" s="3" t="s">
        <v>602</v>
      </c>
      <c r="M181" s="54" t="n">
        <v>45112.6925115741</v>
      </c>
      <c r="N181" s="3" t="n">
        <v>11</v>
      </c>
      <c r="O181" s="3" t="n">
        <v>11</v>
      </c>
      <c r="P181" s="3" t="n">
        <v>2</v>
      </c>
      <c r="Q181" s="3" t="n">
        <v>55</v>
      </c>
    </row>
    <row r="182" customFormat="false" ht="14.25" hidden="false" customHeight="false" outlineLevel="0" collapsed="false">
      <c r="A182" s="3" t="n">
        <v>95</v>
      </c>
      <c r="B182" s="51" t="s">
        <v>487</v>
      </c>
      <c r="C182" s="51" t="s">
        <v>488</v>
      </c>
      <c r="D182" s="51" t="n">
        <v>213711</v>
      </c>
      <c r="E182" s="51" t="s">
        <v>598</v>
      </c>
      <c r="F182" s="47" t="n">
        <v>31</v>
      </c>
      <c r="G182" s="49" t="n">
        <v>213442</v>
      </c>
      <c r="H182" s="51" t="s">
        <v>598</v>
      </c>
      <c r="I182" s="3" t="s">
        <v>651</v>
      </c>
      <c r="J182" s="3" t="n">
        <v>1</v>
      </c>
      <c r="K182" s="53" t="n">
        <v>45112</v>
      </c>
      <c r="L182" s="3" t="s">
        <v>652</v>
      </c>
      <c r="M182" s="54" t="n">
        <v>45112.9325231482</v>
      </c>
      <c r="N182" s="3" t="n">
        <v>11</v>
      </c>
      <c r="O182" s="3" t="n">
        <v>11</v>
      </c>
      <c r="P182" s="3" t="n">
        <v>3</v>
      </c>
      <c r="Q182" s="3" t="n">
        <v>79</v>
      </c>
    </row>
    <row r="183" customFormat="false" ht="14.25" hidden="false" customHeight="false" outlineLevel="0" collapsed="false">
      <c r="A183" s="3" t="n">
        <v>96</v>
      </c>
      <c r="B183" s="51" t="s">
        <v>487</v>
      </c>
      <c r="C183" s="51" t="s">
        <v>488</v>
      </c>
      <c r="D183" s="51" t="n">
        <v>213711</v>
      </c>
      <c r="E183" s="51" t="s">
        <v>598</v>
      </c>
      <c r="F183" s="47" t="n">
        <v>31</v>
      </c>
      <c r="G183" s="49" t="n">
        <v>213442</v>
      </c>
      <c r="H183" s="51" t="s">
        <v>598</v>
      </c>
      <c r="I183" s="3" t="s">
        <v>653</v>
      </c>
      <c r="J183" s="3" t="n">
        <v>0</v>
      </c>
      <c r="K183" s="53" t="n">
        <v>45112</v>
      </c>
      <c r="L183" s="3" t="s">
        <v>654</v>
      </c>
      <c r="M183" s="54" t="n">
        <v>45112.9325462963</v>
      </c>
      <c r="N183" s="3" t="n">
        <v>11</v>
      </c>
      <c r="O183" s="3" t="n">
        <v>11</v>
      </c>
      <c r="P183" s="3" t="n">
        <v>4</v>
      </c>
      <c r="Q183" s="3" t="n">
        <v>80</v>
      </c>
    </row>
    <row r="184" customFormat="false" ht="14.25" hidden="false" customHeight="false" outlineLevel="0" collapsed="false">
      <c r="A184" s="3" t="n">
        <v>97</v>
      </c>
      <c r="B184" s="51" t="s">
        <v>487</v>
      </c>
      <c r="C184" s="51" t="s">
        <v>488</v>
      </c>
      <c r="D184" s="51" t="n">
        <v>213711</v>
      </c>
      <c r="E184" s="51" t="s">
        <v>598</v>
      </c>
      <c r="F184" s="47" t="n">
        <v>31</v>
      </c>
      <c r="G184" s="49" t="n">
        <v>213442</v>
      </c>
      <c r="H184" s="51" t="s">
        <v>598</v>
      </c>
      <c r="I184" s="3" t="s">
        <v>655</v>
      </c>
      <c r="J184" s="3" t="n">
        <v>0</v>
      </c>
      <c r="K184" s="53" t="n">
        <v>45113</v>
      </c>
      <c r="L184" s="3" t="s">
        <v>656</v>
      </c>
      <c r="M184" s="54" t="n">
        <v>45113.009537037</v>
      </c>
      <c r="N184" s="3" t="n">
        <v>11</v>
      </c>
      <c r="O184" s="3" t="n">
        <v>11</v>
      </c>
      <c r="P184" s="3" t="n">
        <v>5</v>
      </c>
      <c r="Q184" s="3" t="n">
        <v>81</v>
      </c>
    </row>
    <row r="185" customFormat="false" ht="14.25" hidden="false" customHeight="false" outlineLevel="0" collapsed="false">
      <c r="A185" s="3" t="n">
        <v>99</v>
      </c>
      <c r="B185" s="51" t="s">
        <v>487</v>
      </c>
      <c r="C185" s="51" t="s">
        <v>488</v>
      </c>
      <c r="D185" s="51" t="n">
        <v>213711</v>
      </c>
      <c r="E185" s="51" t="s">
        <v>598</v>
      </c>
      <c r="F185" s="47" t="n">
        <v>31</v>
      </c>
      <c r="G185" s="49" t="n">
        <v>213442</v>
      </c>
      <c r="H185" s="51" t="s">
        <v>598</v>
      </c>
      <c r="I185" s="3" t="s">
        <v>657</v>
      </c>
      <c r="J185" s="3" t="n">
        <v>1</v>
      </c>
      <c r="K185" s="53" t="n">
        <v>45113</v>
      </c>
      <c r="L185" s="3" t="s">
        <v>658</v>
      </c>
      <c r="M185" s="54" t="n">
        <v>45113.0195023148</v>
      </c>
      <c r="N185" s="3" t="n">
        <v>11</v>
      </c>
      <c r="O185" s="3" t="n">
        <v>11</v>
      </c>
      <c r="P185" s="3" t="n">
        <v>6</v>
      </c>
      <c r="Q185" s="3" t="n">
        <v>83</v>
      </c>
    </row>
    <row r="186" customFormat="false" ht="14.25" hidden="false" customHeight="false" outlineLevel="0" collapsed="false">
      <c r="A186" s="3" t="n">
        <v>100</v>
      </c>
      <c r="B186" s="51" t="s">
        <v>487</v>
      </c>
      <c r="C186" s="51" t="s">
        <v>488</v>
      </c>
      <c r="D186" s="51" t="n">
        <v>213711</v>
      </c>
      <c r="E186" s="51" t="s">
        <v>598</v>
      </c>
      <c r="F186" s="47" t="n">
        <v>31</v>
      </c>
      <c r="G186" s="49" t="n">
        <v>213442</v>
      </c>
      <c r="H186" s="51" t="s">
        <v>598</v>
      </c>
      <c r="I186" s="3" t="s">
        <v>659</v>
      </c>
      <c r="J186" s="3" t="n">
        <v>2</v>
      </c>
      <c r="K186" s="53" t="n">
        <v>45113</v>
      </c>
      <c r="L186" s="3" t="s">
        <v>660</v>
      </c>
      <c r="M186" s="54" t="n">
        <v>45113.0220601852</v>
      </c>
      <c r="N186" s="3" t="n">
        <v>11</v>
      </c>
      <c r="O186" s="3" t="n">
        <v>11</v>
      </c>
      <c r="P186" s="3" t="n">
        <v>7</v>
      </c>
      <c r="Q186" s="3" t="n">
        <v>84</v>
      </c>
    </row>
    <row r="187" customFormat="false" ht="14.25" hidden="false" customHeight="false" outlineLevel="0" collapsed="false">
      <c r="A187" s="3" t="n">
        <v>101</v>
      </c>
      <c r="B187" s="51" t="s">
        <v>487</v>
      </c>
      <c r="C187" s="51" t="s">
        <v>488</v>
      </c>
      <c r="D187" s="51" t="n">
        <v>213711</v>
      </c>
      <c r="E187" s="51" t="s">
        <v>598</v>
      </c>
      <c r="F187" s="47" t="n">
        <v>31</v>
      </c>
      <c r="G187" s="49" t="n">
        <v>213442</v>
      </c>
      <c r="H187" s="51" t="s">
        <v>598</v>
      </c>
      <c r="I187" s="3" t="s">
        <v>661</v>
      </c>
      <c r="J187" s="3" t="n">
        <v>2</v>
      </c>
      <c r="K187" s="53" t="n">
        <v>45113</v>
      </c>
      <c r="L187" s="3" t="s">
        <v>662</v>
      </c>
      <c r="M187" s="54" t="n">
        <v>45113.0231828704</v>
      </c>
      <c r="N187" s="3" t="n">
        <v>11</v>
      </c>
      <c r="O187" s="3" t="n">
        <v>11</v>
      </c>
      <c r="P187" s="3" t="n">
        <v>8</v>
      </c>
      <c r="Q187" s="3" t="n">
        <v>85</v>
      </c>
    </row>
    <row r="188" customFormat="false" ht="14.25" hidden="false" customHeight="false" outlineLevel="0" collapsed="false">
      <c r="A188" s="3" t="n">
        <v>102</v>
      </c>
      <c r="B188" s="51" t="s">
        <v>487</v>
      </c>
      <c r="C188" s="51" t="s">
        <v>488</v>
      </c>
      <c r="D188" s="51" t="n">
        <v>213711</v>
      </c>
      <c r="E188" s="51" t="s">
        <v>598</v>
      </c>
      <c r="F188" s="47" t="n">
        <v>31</v>
      </c>
      <c r="G188" s="49" t="n">
        <v>213442</v>
      </c>
      <c r="H188" s="51" t="s">
        <v>598</v>
      </c>
      <c r="I188" s="3" t="s">
        <v>663</v>
      </c>
      <c r="J188" s="3" t="n">
        <v>2</v>
      </c>
      <c r="K188" s="53" t="n">
        <v>45113</v>
      </c>
      <c r="L188" s="3" t="s">
        <v>664</v>
      </c>
      <c r="M188" s="54" t="n">
        <v>45113.0232060185</v>
      </c>
      <c r="N188" s="3" t="n">
        <v>11</v>
      </c>
      <c r="O188" s="3" t="n">
        <v>11</v>
      </c>
      <c r="P188" s="3" t="n">
        <v>9</v>
      </c>
      <c r="Q188" s="3" t="n">
        <v>86</v>
      </c>
    </row>
    <row r="189" customFormat="false" ht="14.25" hidden="false" customHeight="false" outlineLevel="0" collapsed="false">
      <c r="A189" s="3" t="n">
        <v>103</v>
      </c>
      <c r="B189" s="51" t="s">
        <v>487</v>
      </c>
      <c r="C189" s="51" t="s">
        <v>488</v>
      </c>
      <c r="D189" s="51" t="n">
        <v>213711</v>
      </c>
      <c r="E189" s="51" t="s">
        <v>598</v>
      </c>
      <c r="F189" s="47" t="n">
        <v>31</v>
      </c>
      <c r="G189" s="49" t="n">
        <v>213442</v>
      </c>
      <c r="H189" s="51" t="s">
        <v>598</v>
      </c>
      <c r="I189" s="3" t="s">
        <v>665</v>
      </c>
      <c r="J189" s="3" t="n">
        <v>1</v>
      </c>
      <c r="K189" s="53" t="n">
        <v>45113</v>
      </c>
      <c r="L189" s="3" t="s">
        <v>666</v>
      </c>
      <c r="M189" s="54" t="n">
        <v>45113.024537037</v>
      </c>
      <c r="N189" s="3" t="n">
        <v>11</v>
      </c>
      <c r="O189" s="3" t="n">
        <v>11</v>
      </c>
      <c r="P189" s="3" t="n">
        <v>10</v>
      </c>
      <c r="Q189" s="3" t="n">
        <v>87</v>
      </c>
    </row>
    <row r="190" customFormat="false" ht="14.25" hidden="false" customHeight="false" outlineLevel="0" collapsed="false">
      <c r="A190" s="3" t="n">
        <v>104</v>
      </c>
      <c r="B190" s="51" t="s">
        <v>487</v>
      </c>
      <c r="C190" s="51" t="s">
        <v>488</v>
      </c>
      <c r="D190" s="51" t="n">
        <v>213711</v>
      </c>
      <c r="E190" s="51" t="s">
        <v>598</v>
      </c>
      <c r="F190" s="47" t="n">
        <v>31</v>
      </c>
      <c r="G190" s="49" t="n">
        <v>213442</v>
      </c>
      <c r="H190" s="51" t="s">
        <v>598</v>
      </c>
      <c r="I190" s="3" t="s">
        <v>667</v>
      </c>
      <c r="J190" s="3" t="n">
        <v>0</v>
      </c>
      <c r="K190" s="53" t="n">
        <v>45113</v>
      </c>
      <c r="L190" s="3" t="s">
        <v>668</v>
      </c>
      <c r="M190" s="54" t="n">
        <v>45113.0371064815</v>
      </c>
      <c r="N190" s="3" t="n">
        <v>11</v>
      </c>
      <c r="O190" s="3" t="n">
        <v>11</v>
      </c>
      <c r="P190" s="3" t="n">
        <v>11</v>
      </c>
      <c r="Q190" s="3" t="n">
        <v>88</v>
      </c>
    </row>
    <row r="191" customFormat="false" ht="14.25" hidden="false" customHeight="false" outlineLevel="0" collapsed="false">
      <c r="A191" s="3" t="n">
        <v>105</v>
      </c>
      <c r="B191" s="51" t="s">
        <v>487</v>
      </c>
      <c r="C191" s="51" t="s">
        <v>488</v>
      </c>
      <c r="D191" s="51" t="n">
        <v>213711</v>
      </c>
      <c r="E191" s="51" t="s">
        <v>598</v>
      </c>
      <c r="F191" s="47" t="n">
        <v>31</v>
      </c>
      <c r="G191" s="49" t="n">
        <v>213442</v>
      </c>
      <c r="H191" s="51" t="s">
        <v>598</v>
      </c>
      <c r="I191" s="3" t="s">
        <v>669</v>
      </c>
      <c r="J191" s="3" t="n">
        <v>0</v>
      </c>
      <c r="K191" s="53" t="n">
        <v>45113</v>
      </c>
      <c r="L191" s="3" t="s">
        <v>670</v>
      </c>
      <c r="M191" s="54" t="n">
        <v>45113.0371412037</v>
      </c>
      <c r="N191" s="3" t="n">
        <v>11</v>
      </c>
      <c r="O191" s="3" t="n">
        <v>11</v>
      </c>
      <c r="P191" s="3" t="n">
        <v>12</v>
      </c>
      <c r="Q191" s="3" t="n">
        <v>89</v>
      </c>
    </row>
    <row r="192" customFormat="false" ht="14.25" hidden="false" customHeight="false" outlineLevel="0" collapsed="false">
      <c r="A192" s="3" t="n">
        <v>106</v>
      </c>
      <c r="B192" s="51" t="s">
        <v>487</v>
      </c>
      <c r="C192" s="51" t="s">
        <v>488</v>
      </c>
      <c r="D192" s="51" t="n">
        <v>213711</v>
      </c>
      <c r="E192" s="51" t="s">
        <v>598</v>
      </c>
      <c r="F192" s="47" t="n">
        <v>31</v>
      </c>
      <c r="G192" s="49" t="n">
        <v>213442</v>
      </c>
      <c r="H192" s="51" t="s">
        <v>598</v>
      </c>
      <c r="I192" s="3" t="s">
        <v>671</v>
      </c>
      <c r="J192" s="3" t="n">
        <v>0</v>
      </c>
      <c r="K192" s="53" t="n">
        <v>45113</v>
      </c>
      <c r="L192" s="3" t="s">
        <v>672</v>
      </c>
      <c r="M192" s="54" t="n">
        <v>45113.0397685185</v>
      </c>
      <c r="N192" s="3" t="n">
        <v>11</v>
      </c>
      <c r="O192" s="3" t="n">
        <v>11</v>
      </c>
      <c r="P192" s="3" t="n">
        <v>13</v>
      </c>
      <c r="Q192" s="3" t="n">
        <v>90</v>
      </c>
    </row>
    <row r="193" customFormat="false" ht="14.25" hidden="false" customHeight="false" outlineLevel="0" collapsed="false">
      <c r="A193" s="3" t="n">
        <v>112</v>
      </c>
      <c r="B193" s="51" t="s">
        <v>487</v>
      </c>
      <c r="C193" s="51" t="s">
        <v>488</v>
      </c>
      <c r="D193" s="51" t="n">
        <v>213711</v>
      </c>
      <c r="E193" s="51" t="s">
        <v>598</v>
      </c>
      <c r="F193" s="47" t="n">
        <v>31</v>
      </c>
      <c r="G193" s="49" t="n">
        <v>213442</v>
      </c>
      <c r="H193" s="51" t="s">
        <v>598</v>
      </c>
      <c r="I193" s="3" t="s">
        <v>683</v>
      </c>
      <c r="J193" s="3" t="n">
        <v>3</v>
      </c>
      <c r="K193" s="53" t="n">
        <v>45113</v>
      </c>
      <c r="L193" s="3" t="s">
        <v>684</v>
      </c>
      <c r="M193" s="54" t="n">
        <v>45113.122650463</v>
      </c>
      <c r="N193" s="3" t="n">
        <v>11</v>
      </c>
      <c r="O193" s="3" t="n">
        <v>11</v>
      </c>
      <c r="P193" s="3" t="n">
        <v>14</v>
      </c>
      <c r="Q193" s="3" t="n">
        <v>96</v>
      </c>
    </row>
    <row r="194" customFormat="false" ht="14.25" hidden="false" customHeight="false" outlineLevel="0" collapsed="false">
      <c r="A194" s="3" t="n">
        <v>113</v>
      </c>
      <c r="B194" s="51" t="s">
        <v>487</v>
      </c>
      <c r="C194" s="51" t="s">
        <v>488</v>
      </c>
      <c r="D194" s="51" t="n">
        <v>213711</v>
      </c>
      <c r="E194" s="51" t="s">
        <v>598</v>
      </c>
      <c r="F194" s="47" t="n">
        <v>31</v>
      </c>
      <c r="G194" s="49" t="n">
        <v>213442</v>
      </c>
      <c r="H194" s="51" t="s">
        <v>598</v>
      </c>
      <c r="I194" s="3" t="s">
        <v>685</v>
      </c>
      <c r="J194" s="3" t="n">
        <v>1</v>
      </c>
      <c r="K194" s="53" t="n">
        <v>45113</v>
      </c>
      <c r="L194" s="3" t="s">
        <v>686</v>
      </c>
      <c r="M194" s="54" t="n">
        <v>45113.1249305556</v>
      </c>
      <c r="N194" s="3" t="n">
        <v>11</v>
      </c>
      <c r="O194" s="3" t="n">
        <v>11</v>
      </c>
      <c r="P194" s="3" t="n">
        <v>15</v>
      </c>
      <c r="Q194" s="3" t="n">
        <v>97</v>
      </c>
    </row>
    <row r="195" customFormat="false" ht="14.25" hidden="false" customHeight="false" outlineLevel="0" collapsed="false">
      <c r="A195" s="3" t="n">
        <v>114</v>
      </c>
      <c r="B195" s="51" t="s">
        <v>487</v>
      </c>
      <c r="C195" s="51" t="s">
        <v>488</v>
      </c>
      <c r="D195" s="51" t="n">
        <v>213711</v>
      </c>
      <c r="E195" s="51" t="s">
        <v>598</v>
      </c>
      <c r="F195" s="47" t="n">
        <v>31</v>
      </c>
      <c r="G195" s="49" t="n">
        <v>213442</v>
      </c>
      <c r="H195" s="51" t="s">
        <v>598</v>
      </c>
      <c r="I195" s="3" t="s">
        <v>687</v>
      </c>
      <c r="J195" s="3" t="n">
        <v>3</v>
      </c>
      <c r="K195" s="53" t="n">
        <v>45113</v>
      </c>
      <c r="L195" s="3" t="s">
        <v>688</v>
      </c>
      <c r="M195" s="54" t="n">
        <v>45113.1900231482</v>
      </c>
      <c r="N195" s="3" t="n">
        <v>11</v>
      </c>
      <c r="O195" s="3" t="n">
        <v>11</v>
      </c>
      <c r="P195" s="3" t="n">
        <v>16</v>
      </c>
      <c r="Q195" s="3" t="n">
        <v>98</v>
      </c>
    </row>
    <row r="196" customFormat="false" ht="14.25" hidden="false" customHeight="false" outlineLevel="0" collapsed="false">
      <c r="A196" s="3" t="n">
        <v>115</v>
      </c>
      <c r="B196" s="51" t="s">
        <v>487</v>
      </c>
      <c r="C196" s="51" t="s">
        <v>488</v>
      </c>
      <c r="D196" s="51" t="n">
        <v>213711</v>
      </c>
      <c r="E196" s="51" t="s">
        <v>598</v>
      </c>
      <c r="F196" s="47" t="n">
        <v>31</v>
      </c>
      <c r="G196" s="49" t="n">
        <v>213442</v>
      </c>
      <c r="H196" s="51" t="s">
        <v>598</v>
      </c>
      <c r="I196" s="3" t="s">
        <v>689</v>
      </c>
      <c r="J196" s="3" t="n">
        <v>1</v>
      </c>
      <c r="K196" s="53" t="n">
        <v>45113</v>
      </c>
      <c r="L196" s="3" t="s">
        <v>690</v>
      </c>
      <c r="M196" s="54" t="n">
        <v>45113.1912268519</v>
      </c>
      <c r="N196" s="3" t="n">
        <v>11</v>
      </c>
      <c r="O196" s="3" t="n">
        <v>11</v>
      </c>
      <c r="P196" s="3" t="n">
        <v>17</v>
      </c>
      <c r="Q196" s="3" t="n">
        <v>99</v>
      </c>
    </row>
    <row r="197" customFormat="false" ht="14.25" hidden="false" customHeight="false" outlineLevel="0" collapsed="false">
      <c r="A197" s="3" t="n">
        <v>116</v>
      </c>
      <c r="B197" s="51" t="s">
        <v>487</v>
      </c>
      <c r="C197" s="51" t="s">
        <v>488</v>
      </c>
      <c r="D197" s="51" t="n">
        <v>213711</v>
      </c>
      <c r="E197" s="51" t="s">
        <v>598</v>
      </c>
      <c r="F197" s="47" t="n">
        <v>31</v>
      </c>
      <c r="G197" s="49" t="n">
        <v>213442</v>
      </c>
      <c r="H197" s="51" t="s">
        <v>598</v>
      </c>
      <c r="I197" s="3" t="s">
        <v>691</v>
      </c>
      <c r="J197" s="3" t="n">
        <v>1</v>
      </c>
      <c r="K197" s="53" t="n">
        <v>45113</v>
      </c>
      <c r="L197" s="3" t="s">
        <v>692</v>
      </c>
      <c r="M197" s="54" t="n">
        <v>45113.1915509259</v>
      </c>
      <c r="N197" s="3" t="n">
        <v>11</v>
      </c>
      <c r="O197" s="3" t="n">
        <v>11</v>
      </c>
      <c r="P197" s="3" t="n">
        <v>18</v>
      </c>
      <c r="Q197" s="3" t="n">
        <v>100</v>
      </c>
    </row>
    <row r="198" customFormat="false" ht="14.25" hidden="false" customHeight="false" outlineLevel="0" collapsed="false">
      <c r="A198" s="3" t="n">
        <v>117</v>
      </c>
      <c r="B198" s="51" t="s">
        <v>487</v>
      </c>
      <c r="C198" s="51" t="s">
        <v>488</v>
      </c>
      <c r="D198" s="51" t="n">
        <v>213711</v>
      </c>
      <c r="E198" s="51" t="s">
        <v>598</v>
      </c>
      <c r="F198" s="47" t="n">
        <v>31</v>
      </c>
      <c r="G198" s="49" t="n">
        <v>213442</v>
      </c>
      <c r="H198" s="51" t="s">
        <v>598</v>
      </c>
      <c r="I198" s="3" t="s">
        <v>693</v>
      </c>
      <c r="J198" s="3" t="n">
        <v>0</v>
      </c>
      <c r="K198" s="53" t="n">
        <v>45113</v>
      </c>
      <c r="L198" s="3" t="s">
        <v>694</v>
      </c>
      <c r="M198" s="54" t="n">
        <v>45113.1922222222</v>
      </c>
      <c r="N198" s="3" t="n">
        <v>11</v>
      </c>
      <c r="O198" s="3" t="n">
        <v>11</v>
      </c>
      <c r="P198" s="3" t="n">
        <v>19</v>
      </c>
      <c r="Q198" s="3" t="n">
        <v>101</v>
      </c>
    </row>
    <row r="199" customFormat="false" ht="14.25" hidden="false" customHeight="false" outlineLevel="0" collapsed="false">
      <c r="A199" s="3" t="n">
        <v>118</v>
      </c>
      <c r="B199" s="51" t="s">
        <v>487</v>
      </c>
      <c r="C199" s="51" t="s">
        <v>488</v>
      </c>
      <c r="D199" s="51" t="n">
        <v>213711</v>
      </c>
      <c r="E199" s="51" t="s">
        <v>598</v>
      </c>
      <c r="F199" s="47" t="n">
        <v>31</v>
      </c>
      <c r="G199" s="49" t="n">
        <v>213442</v>
      </c>
      <c r="H199" s="51" t="s">
        <v>598</v>
      </c>
      <c r="I199" s="3" t="s">
        <v>695</v>
      </c>
      <c r="J199" s="3" t="n">
        <v>2</v>
      </c>
      <c r="K199" s="53" t="n">
        <v>45113</v>
      </c>
      <c r="L199" s="3" t="s">
        <v>696</v>
      </c>
      <c r="M199" s="54" t="n">
        <v>45113.1928356482</v>
      </c>
      <c r="N199" s="3" t="n">
        <v>11</v>
      </c>
      <c r="O199" s="3" t="n">
        <v>11</v>
      </c>
      <c r="P199" s="3" t="n">
        <v>20</v>
      </c>
      <c r="Q199" s="3" t="n">
        <v>102</v>
      </c>
    </row>
    <row r="200" customFormat="false" ht="14.25" hidden="false" customHeight="false" outlineLevel="0" collapsed="false">
      <c r="A200" s="3" t="n">
        <v>119</v>
      </c>
      <c r="B200" s="51" t="s">
        <v>487</v>
      </c>
      <c r="C200" s="51" t="s">
        <v>488</v>
      </c>
      <c r="D200" s="51" t="n">
        <v>213711</v>
      </c>
      <c r="E200" s="51" t="s">
        <v>598</v>
      </c>
      <c r="F200" s="47" t="n">
        <v>31</v>
      </c>
      <c r="G200" s="49" t="n">
        <v>213442</v>
      </c>
      <c r="H200" s="51" t="s">
        <v>598</v>
      </c>
      <c r="I200" s="3" t="s">
        <v>697</v>
      </c>
      <c r="J200" s="3" t="n">
        <v>1</v>
      </c>
      <c r="K200" s="53" t="n">
        <v>45113</v>
      </c>
      <c r="L200" s="3" t="s">
        <v>698</v>
      </c>
      <c r="M200" s="54" t="n">
        <v>45113.1932407407</v>
      </c>
      <c r="N200" s="3" t="n">
        <v>11</v>
      </c>
      <c r="O200" s="3" t="n">
        <v>11</v>
      </c>
      <c r="P200" s="3" t="n">
        <v>21</v>
      </c>
      <c r="Q200" s="3" t="n">
        <v>103</v>
      </c>
    </row>
    <row r="201" customFormat="false" ht="14.25" hidden="false" customHeight="false" outlineLevel="0" collapsed="false">
      <c r="A201" s="3" t="n">
        <v>120</v>
      </c>
      <c r="B201" s="51" t="s">
        <v>487</v>
      </c>
      <c r="C201" s="51" t="s">
        <v>488</v>
      </c>
      <c r="D201" s="51" t="n">
        <v>213711</v>
      </c>
      <c r="E201" s="51" t="s">
        <v>598</v>
      </c>
      <c r="F201" s="47" t="n">
        <v>31</v>
      </c>
      <c r="G201" s="49" t="n">
        <v>213442</v>
      </c>
      <c r="H201" s="51" t="s">
        <v>598</v>
      </c>
      <c r="I201" s="3" t="s">
        <v>699</v>
      </c>
      <c r="J201" s="3" t="n">
        <v>4</v>
      </c>
      <c r="K201" s="53" t="n">
        <v>45113</v>
      </c>
      <c r="L201" s="3" t="s">
        <v>700</v>
      </c>
      <c r="M201" s="54" t="n">
        <v>45113.1945486111</v>
      </c>
      <c r="N201" s="3" t="n">
        <v>11</v>
      </c>
      <c r="O201" s="3" t="n">
        <v>11</v>
      </c>
      <c r="P201" s="3" t="n">
        <v>22</v>
      </c>
      <c r="Q201" s="3" t="n">
        <v>104</v>
      </c>
    </row>
    <row r="202" customFormat="false" ht="14.25" hidden="false" customHeight="false" outlineLevel="0" collapsed="false">
      <c r="A202" s="3" t="n">
        <v>121</v>
      </c>
      <c r="B202" s="51" t="s">
        <v>487</v>
      </c>
      <c r="C202" s="51" t="s">
        <v>488</v>
      </c>
      <c r="D202" s="51" t="n">
        <v>213711</v>
      </c>
      <c r="E202" s="51" t="s">
        <v>598</v>
      </c>
      <c r="F202" s="47" t="n">
        <v>31</v>
      </c>
      <c r="G202" s="49" t="n">
        <v>213442</v>
      </c>
      <c r="H202" s="51" t="s">
        <v>598</v>
      </c>
      <c r="I202" s="3" t="s">
        <v>701</v>
      </c>
      <c r="J202" s="3" t="n">
        <v>2</v>
      </c>
      <c r="K202" s="53" t="n">
        <v>45113</v>
      </c>
      <c r="L202" s="3" t="s">
        <v>702</v>
      </c>
      <c r="M202" s="54" t="n">
        <v>45113.1947337963</v>
      </c>
      <c r="N202" s="3" t="n">
        <v>11</v>
      </c>
      <c r="O202" s="3" t="n">
        <v>11</v>
      </c>
      <c r="P202" s="3" t="n">
        <v>23</v>
      </c>
      <c r="Q202" s="3" t="n">
        <v>105</v>
      </c>
    </row>
    <row r="203" customFormat="false" ht="14.25" hidden="false" customHeight="false" outlineLevel="0" collapsed="false">
      <c r="A203" s="3" t="n">
        <v>122</v>
      </c>
      <c r="B203" s="51" t="s">
        <v>487</v>
      </c>
      <c r="C203" s="51" t="s">
        <v>488</v>
      </c>
      <c r="D203" s="51" t="n">
        <v>213711</v>
      </c>
      <c r="E203" s="51" t="s">
        <v>598</v>
      </c>
      <c r="F203" s="47" t="n">
        <v>31</v>
      </c>
      <c r="G203" s="49" t="n">
        <v>213442</v>
      </c>
      <c r="H203" s="51" t="s">
        <v>598</v>
      </c>
      <c r="I203" s="3" t="s">
        <v>703</v>
      </c>
      <c r="J203" s="3" t="n">
        <v>3</v>
      </c>
      <c r="K203" s="53" t="n">
        <v>45113</v>
      </c>
      <c r="L203" s="3" t="s">
        <v>704</v>
      </c>
      <c r="M203" s="54" t="n">
        <v>45113.1949074074</v>
      </c>
      <c r="N203" s="3" t="n">
        <v>11</v>
      </c>
      <c r="O203" s="3" t="n">
        <v>11</v>
      </c>
      <c r="P203" s="3" t="n">
        <v>24</v>
      </c>
      <c r="Q203" s="3" t="n">
        <v>106</v>
      </c>
    </row>
    <row r="204" customFormat="false" ht="14.25" hidden="false" customHeight="false" outlineLevel="0" collapsed="false">
      <c r="A204" s="3" t="n">
        <v>123</v>
      </c>
      <c r="B204" s="51" t="s">
        <v>487</v>
      </c>
      <c r="C204" s="51" t="s">
        <v>488</v>
      </c>
      <c r="D204" s="51" t="n">
        <v>213711</v>
      </c>
      <c r="E204" s="51" t="s">
        <v>598</v>
      </c>
      <c r="F204" s="47" t="n">
        <v>31</v>
      </c>
      <c r="G204" s="49" t="n">
        <v>213442</v>
      </c>
      <c r="H204" s="51" t="s">
        <v>598</v>
      </c>
      <c r="I204" s="3" t="s">
        <v>705</v>
      </c>
      <c r="J204" s="3" t="n">
        <v>3</v>
      </c>
      <c r="K204" s="53" t="n">
        <v>45113</v>
      </c>
      <c r="L204" s="3" t="s">
        <v>706</v>
      </c>
      <c r="M204" s="54" t="n">
        <v>45113.1976041667</v>
      </c>
      <c r="N204" s="3" t="n">
        <v>11</v>
      </c>
      <c r="O204" s="3" t="n">
        <v>11</v>
      </c>
      <c r="P204" s="3" t="n">
        <v>25</v>
      </c>
      <c r="Q204" s="3" t="n">
        <v>107</v>
      </c>
    </row>
    <row r="205" customFormat="false" ht="14.25" hidden="false" customHeight="false" outlineLevel="0" collapsed="false">
      <c r="A205" s="3" t="n">
        <v>124</v>
      </c>
      <c r="B205" s="51" t="s">
        <v>487</v>
      </c>
      <c r="C205" s="51" t="s">
        <v>488</v>
      </c>
      <c r="D205" s="51" t="n">
        <v>213711</v>
      </c>
      <c r="E205" s="51" t="s">
        <v>598</v>
      </c>
      <c r="F205" s="47" t="n">
        <v>31</v>
      </c>
      <c r="G205" s="49" t="n">
        <v>213442</v>
      </c>
      <c r="H205" s="51" t="s">
        <v>598</v>
      </c>
      <c r="I205" s="3" t="s">
        <v>707</v>
      </c>
      <c r="J205" s="3" t="n">
        <v>4</v>
      </c>
      <c r="K205" s="53" t="n">
        <v>45113</v>
      </c>
      <c r="L205" s="3" t="s">
        <v>708</v>
      </c>
      <c r="M205" s="54" t="n">
        <v>45113.1979050926</v>
      </c>
      <c r="N205" s="3" t="n">
        <v>11</v>
      </c>
      <c r="O205" s="3" t="n">
        <v>11</v>
      </c>
      <c r="P205" s="3" t="n">
        <v>26</v>
      </c>
      <c r="Q205" s="3" t="n">
        <v>108</v>
      </c>
    </row>
    <row r="206" customFormat="false" ht="14.25" hidden="false" customHeight="false" outlineLevel="0" collapsed="false">
      <c r="A206" s="3" t="n">
        <v>125</v>
      </c>
      <c r="B206" s="51" t="s">
        <v>487</v>
      </c>
      <c r="C206" s="51" t="s">
        <v>488</v>
      </c>
      <c r="D206" s="51" t="n">
        <v>213711</v>
      </c>
      <c r="E206" s="51" t="s">
        <v>598</v>
      </c>
      <c r="F206" s="47" t="n">
        <v>31</v>
      </c>
      <c r="G206" s="49" t="n">
        <v>213442</v>
      </c>
      <c r="H206" s="51" t="s">
        <v>598</v>
      </c>
      <c r="I206" s="3" t="s">
        <v>709</v>
      </c>
      <c r="J206" s="3" t="n">
        <v>2</v>
      </c>
      <c r="K206" s="53" t="n">
        <v>45113</v>
      </c>
      <c r="L206" s="3" t="s">
        <v>710</v>
      </c>
      <c r="M206" s="54" t="n">
        <v>45113.1983564815</v>
      </c>
      <c r="N206" s="3" t="n">
        <v>11</v>
      </c>
      <c r="O206" s="3" t="n">
        <v>11</v>
      </c>
      <c r="P206" s="3" t="n">
        <v>27</v>
      </c>
      <c r="Q206" s="3" t="n">
        <v>109</v>
      </c>
    </row>
    <row r="207" customFormat="false" ht="14.25" hidden="false" customHeight="false" outlineLevel="0" collapsed="false">
      <c r="A207" s="3" t="n">
        <v>126</v>
      </c>
      <c r="B207" s="51" t="s">
        <v>487</v>
      </c>
      <c r="C207" s="51" t="s">
        <v>488</v>
      </c>
      <c r="D207" s="51" t="n">
        <v>213711</v>
      </c>
      <c r="E207" s="51" t="s">
        <v>598</v>
      </c>
      <c r="F207" s="47" t="n">
        <v>31</v>
      </c>
      <c r="G207" s="49" t="n">
        <v>213442</v>
      </c>
      <c r="H207" s="51" t="s">
        <v>598</v>
      </c>
      <c r="I207" s="3" t="s">
        <v>711</v>
      </c>
      <c r="J207" s="3" t="n">
        <v>1</v>
      </c>
      <c r="K207" s="53" t="n">
        <v>45113</v>
      </c>
      <c r="L207" s="3" t="s">
        <v>712</v>
      </c>
      <c r="M207" s="54" t="n">
        <v>45113.1988425926</v>
      </c>
      <c r="N207" s="3" t="n">
        <v>11</v>
      </c>
      <c r="O207" s="3" t="n">
        <v>11</v>
      </c>
      <c r="P207" s="3" t="n">
        <v>28</v>
      </c>
      <c r="Q207" s="3" t="n">
        <v>110</v>
      </c>
    </row>
    <row r="208" customFormat="false" ht="14.25" hidden="false" customHeight="false" outlineLevel="0" collapsed="false">
      <c r="A208" s="3" t="n">
        <v>127</v>
      </c>
      <c r="B208" s="51" t="s">
        <v>487</v>
      </c>
      <c r="C208" s="51" t="s">
        <v>488</v>
      </c>
      <c r="D208" s="51" t="n">
        <v>213711</v>
      </c>
      <c r="E208" s="51" t="s">
        <v>598</v>
      </c>
      <c r="F208" s="47" t="n">
        <v>31</v>
      </c>
      <c r="G208" s="49" t="n">
        <v>213442</v>
      </c>
      <c r="H208" s="51" t="s">
        <v>598</v>
      </c>
      <c r="I208" s="3" t="s">
        <v>713</v>
      </c>
      <c r="J208" s="3" t="n">
        <v>1</v>
      </c>
      <c r="K208" s="53" t="n">
        <v>45113</v>
      </c>
      <c r="L208" s="3" t="s">
        <v>714</v>
      </c>
      <c r="M208" s="54" t="n">
        <v>45113.1988657407</v>
      </c>
      <c r="N208" s="3" t="n">
        <v>11</v>
      </c>
      <c r="O208" s="3" t="n">
        <v>11</v>
      </c>
      <c r="P208" s="3" t="n">
        <v>29</v>
      </c>
      <c r="Q208" s="3" t="n">
        <v>111</v>
      </c>
    </row>
    <row r="209" customFormat="false" ht="14.25" hidden="false" customHeight="false" outlineLevel="0" collapsed="false">
      <c r="A209" s="3" t="n">
        <v>128</v>
      </c>
      <c r="B209" s="51" t="s">
        <v>487</v>
      </c>
      <c r="C209" s="51" t="s">
        <v>488</v>
      </c>
      <c r="D209" s="51" t="n">
        <v>213711</v>
      </c>
      <c r="E209" s="51" t="s">
        <v>598</v>
      </c>
      <c r="F209" s="47" t="n">
        <v>31</v>
      </c>
      <c r="G209" s="49" t="n">
        <v>213442</v>
      </c>
      <c r="H209" s="51" t="s">
        <v>598</v>
      </c>
      <c r="I209" s="3" t="s">
        <v>715</v>
      </c>
      <c r="J209" s="3" t="n">
        <v>1</v>
      </c>
      <c r="K209" s="53" t="n">
        <v>45113</v>
      </c>
      <c r="L209" s="3" t="s">
        <v>716</v>
      </c>
      <c r="M209" s="54" t="n">
        <v>45113.1990046296</v>
      </c>
      <c r="N209" s="3" t="n">
        <v>11</v>
      </c>
      <c r="O209" s="3" t="n">
        <v>11</v>
      </c>
      <c r="P209" s="3" t="n">
        <v>30</v>
      </c>
      <c r="Q209" s="3" t="n">
        <v>112</v>
      </c>
    </row>
    <row r="210" customFormat="false" ht="14.25" hidden="false" customHeight="false" outlineLevel="0" collapsed="false">
      <c r="A210" s="3" t="n">
        <v>129</v>
      </c>
      <c r="B210" s="51" t="s">
        <v>487</v>
      </c>
      <c r="C210" s="51" t="s">
        <v>488</v>
      </c>
      <c r="D210" s="51" t="n">
        <v>213711</v>
      </c>
      <c r="E210" s="51" t="s">
        <v>598</v>
      </c>
      <c r="F210" s="47" t="n">
        <v>31</v>
      </c>
      <c r="G210" s="49" t="n">
        <v>213442</v>
      </c>
      <c r="H210" s="51" t="s">
        <v>598</v>
      </c>
      <c r="I210" s="3" t="s">
        <v>717</v>
      </c>
      <c r="J210" s="3" t="n">
        <v>1</v>
      </c>
      <c r="K210" s="53" t="n">
        <v>45113</v>
      </c>
      <c r="L210" s="3" t="s">
        <v>718</v>
      </c>
      <c r="M210" s="54" t="n">
        <v>45113.1991782407</v>
      </c>
      <c r="N210" s="3" t="n">
        <v>11</v>
      </c>
      <c r="O210" s="3" t="n">
        <v>11</v>
      </c>
      <c r="P210" s="3" t="n">
        <v>31</v>
      </c>
      <c r="Q210" s="3" t="n">
        <v>113</v>
      </c>
    </row>
    <row r="211" customFormat="false" ht="14.25" hidden="false" customHeight="false" outlineLevel="0" collapsed="false">
      <c r="A211" s="3" t="n">
        <v>130</v>
      </c>
      <c r="B211" s="51" t="s">
        <v>487</v>
      </c>
      <c r="C211" s="51" t="s">
        <v>488</v>
      </c>
      <c r="D211" s="51" t="n">
        <v>213711</v>
      </c>
      <c r="E211" s="51" t="s">
        <v>598</v>
      </c>
      <c r="F211" s="47" t="n">
        <v>31</v>
      </c>
      <c r="G211" s="49" t="n">
        <v>213442</v>
      </c>
      <c r="H211" s="51" t="s">
        <v>598</v>
      </c>
      <c r="I211" s="3" t="s">
        <v>719</v>
      </c>
      <c r="J211" s="3" t="n">
        <v>1</v>
      </c>
      <c r="K211" s="53" t="n">
        <v>45113</v>
      </c>
      <c r="L211" s="3" t="s">
        <v>720</v>
      </c>
      <c r="M211" s="54" t="n">
        <v>45113.1992013889</v>
      </c>
      <c r="N211" s="3" t="n">
        <v>11</v>
      </c>
      <c r="O211" s="3" t="n">
        <v>11</v>
      </c>
      <c r="P211" s="3" t="n">
        <v>32</v>
      </c>
      <c r="Q211" s="3" t="n">
        <v>114</v>
      </c>
    </row>
    <row r="212" customFormat="false" ht="14.25" hidden="false" customHeight="false" outlineLevel="0" collapsed="false">
      <c r="A212" s="3" t="n">
        <v>131</v>
      </c>
      <c r="B212" s="51" t="s">
        <v>487</v>
      </c>
      <c r="C212" s="51" t="s">
        <v>488</v>
      </c>
      <c r="D212" s="51" t="n">
        <v>213711</v>
      </c>
      <c r="E212" s="51" t="s">
        <v>598</v>
      </c>
      <c r="F212" s="47" t="n">
        <v>31</v>
      </c>
      <c r="G212" s="49" t="n">
        <v>213442</v>
      </c>
      <c r="H212" s="51" t="s">
        <v>598</v>
      </c>
      <c r="I212" s="3" t="s">
        <v>721</v>
      </c>
      <c r="J212" s="3" t="n">
        <v>3</v>
      </c>
      <c r="K212" s="53" t="n">
        <v>45113</v>
      </c>
      <c r="L212" s="3" t="s">
        <v>722</v>
      </c>
      <c r="M212" s="54" t="n">
        <v>45113.1994907407</v>
      </c>
      <c r="N212" s="3" t="n">
        <v>11</v>
      </c>
      <c r="O212" s="3" t="n">
        <v>11</v>
      </c>
      <c r="P212" s="3" t="n">
        <v>33</v>
      </c>
      <c r="Q212" s="3" t="n">
        <v>115</v>
      </c>
    </row>
    <row r="213" customFormat="false" ht="14.25" hidden="false" customHeight="false" outlineLevel="0" collapsed="false">
      <c r="A213" s="3" t="n">
        <v>132</v>
      </c>
      <c r="B213" s="51" t="s">
        <v>487</v>
      </c>
      <c r="C213" s="51" t="s">
        <v>488</v>
      </c>
      <c r="D213" s="51" t="n">
        <v>213711</v>
      </c>
      <c r="E213" s="51" t="s">
        <v>598</v>
      </c>
      <c r="F213" s="47" t="n">
        <v>31</v>
      </c>
      <c r="G213" s="49" t="n">
        <v>213442</v>
      </c>
      <c r="H213" s="51" t="s">
        <v>598</v>
      </c>
      <c r="I213" s="3" t="s">
        <v>723</v>
      </c>
      <c r="J213" s="3" t="n">
        <v>1</v>
      </c>
      <c r="K213" s="53" t="n">
        <v>45113</v>
      </c>
      <c r="L213" s="3" t="s">
        <v>724</v>
      </c>
      <c r="M213" s="54" t="n">
        <v>45113.2006712963</v>
      </c>
      <c r="N213" s="3" t="n">
        <v>11</v>
      </c>
      <c r="O213" s="3" t="n">
        <v>11</v>
      </c>
      <c r="P213" s="3" t="n">
        <v>34</v>
      </c>
      <c r="Q213" s="3" t="n">
        <v>116</v>
      </c>
    </row>
    <row r="214" customFormat="false" ht="14.25" hidden="false" customHeight="false" outlineLevel="0" collapsed="false">
      <c r="A214" s="3" t="n">
        <v>133</v>
      </c>
      <c r="B214" s="51" t="s">
        <v>487</v>
      </c>
      <c r="C214" s="51" t="s">
        <v>488</v>
      </c>
      <c r="D214" s="51" t="n">
        <v>213711</v>
      </c>
      <c r="E214" s="51" t="s">
        <v>598</v>
      </c>
      <c r="F214" s="47" t="n">
        <v>31</v>
      </c>
      <c r="G214" s="49" t="n">
        <v>213442</v>
      </c>
      <c r="H214" s="51" t="s">
        <v>598</v>
      </c>
      <c r="I214" s="3" t="s">
        <v>725</v>
      </c>
      <c r="J214" s="3" t="n">
        <v>3</v>
      </c>
      <c r="K214" s="53" t="n">
        <v>45113</v>
      </c>
      <c r="L214" s="3" t="s">
        <v>726</v>
      </c>
      <c r="M214" s="54" t="n">
        <v>45113.2008449074</v>
      </c>
      <c r="N214" s="3" t="n">
        <v>11</v>
      </c>
      <c r="O214" s="3" t="n">
        <v>11</v>
      </c>
      <c r="P214" s="3" t="n">
        <v>35</v>
      </c>
      <c r="Q214" s="3" t="n">
        <v>117</v>
      </c>
    </row>
    <row r="215" customFormat="false" ht="14.25" hidden="false" customHeight="false" outlineLevel="0" collapsed="false">
      <c r="A215" s="3" t="n">
        <v>149</v>
      </c>
      <c r="B215" s="51" t="s">
        <v>487</v>
      </c>
      <c r="C215" s="51" t="s">
        <v>488</v>
      </c>
      <c r="D215" s="51" t="n">
        <v>213711</v>
      </c>
      <c r="E215" s="51" t="s">
        <v>598</v>
      </c>
      <c r="F215" s="47" t="n">
        <v>31</v>
      </c>
      <c r="G215" s="49" t="n">
        <v>213442</v>
      </c>
      <c r="H215" s="51" t="s">
        <v>598</v>
      </c>
      <c r="I215" s="3" t="s">
        <v>758</v>
      </c>
      <c r="J215" s="3" t="n">
        <v>0</v>
      </c>
      <c r="K215" s="53" t="n">
        <v>45113</v>
      </c>
      <c r="L215" s="3" t="s">
        <v>759</v>
      </c>
      <c r="M215" s="54" t="n">
        <v>45113.2858564815</v>
      </c>
      <c r="N215" s="3" t="n">
        <v>11</v>
      </c>
      <c r="O215" s="3" t="n">
        <v>11</v>
      </c>
      <c r="P215" s="3" t="n">
        <v>36</v>
      </c>
      <c r="Q215" s="3" t="n">
        <v>133</v>
      </c>
    </row>
    <row r="216" customFormat="false" ht="14.25" hidden="false" customHeight="false" outlineLevel="0" collapsed="false">
      <c r="A216" s="3" t="n">
        <v>160</v>
      </c>
      <c r="B216" s="51" t="s">
        <v>487</v>
      </c>
      <c r="C216" s="51" t="s">
        <v>488</v>
      </c>
      <c r="D216" s="51" t="n">
        <v>213711</v>
      </c>
      <c r="E216" s="51" t="s">
        <v>598</v>
      </c>
      <c r="F216" s="47" t="n">
        <v>31</v>
      </c>
      <c r="G216" s="49" t="n">
        <v>213442</v>
      </c>
      <c r="H216" s="51" t="s">
        <v>598</v>
      </c>
      <c r="I216" s="3" t="s">
        <v>780</v>
      </c>
      <c r="J216" s="3" t="n">
        <v>0</v>
      </c>
      <c r="K216" s="53" t="n">
        <v>45113</v>
      </c>
      <c r="L216" s="3" t="s">
        <v>781</v>
      </c>
      <c r="M216" s="54" t="n">
        <v>45113.4097685185</v>
      </c>
      <c r="N216" s="3" t="n">
        <v>11</v>
      </c>
      <c r="O216" s="3" t="n">
        <v>11</v>
      </c>
      <c r="P216" s="3" t="n">
        <v>37</v>
      </c>
      <c r="Q216" s="3" t="n">
        <v>144</v>
      </c>
    </row>
    <row r="217" customFormat="false" ht="14.25" hidden="false" customHeight="false" outlineLevel="0" collapsed="false">
      <c r="A217" s="3" t="n">
        <v>72</v>
      </c>
      <c r="B217" s="51" t="s">
        <v>487</v>
      </c>
      <c r="C217" s="51" t="s">
        <v>488</v>
      </c>
      <c r="D217" s="51" t="n">
        <v>213711</v>
      </c>
      <c r="E217" s="51" t="s">
        <v>603</v>
      </c>
      <c r="F217" s="47" t="n">
        <v>15</v>
      </c>
      <c r="G217" s="49" t="n">
        <v>202196</v>
      </c>
      <c r="H217" s="51" t="s">
        <v>603</v>
      </c>
      <c r="I217" s="3" t="s">
        <v>604</v>
      </c>
      <c r="J217" s="3" t="n">
        <v>2</v>
      </c>
      <c r="K217" s="53" t="n">
        <v>45112</v>
      </c>
      <c r="L217" s="3" t="s">
        <v>605</v>
      </c>
      <c r="M217" s="54" t="n">
        <v>45112.7028009259</v>
      </c>
      <c r="N217" s="3" t="n">
        <v>12</v>
      </c>
      <c r="O217" s="3" t="n">
        <v>12</v>
      </c>
      <c r="P217" s="3" t="n">
        <v>1</v>
      </c>
      <c r="Q217" s="3" t="n">
        <v>56</v>
      </c>
    </row>
    <row r="218" customFormat="false" ht="14.25" hidden="false" customHeight="false" outlineLevel="0" collapsed="false">
      <c r="A218" s="3" t="n">
        <v>73</v>
      </c>
      <c r="B218" s="51" t="s">
        <v>487</v>
      </c>
      <c r="C218" s="51" t="s">
        <v>488</v>
      </c>
      <c r="D218" s="51" t="n">
        <v>213711</v>
      </c>
      <c r="E218" s="51" t="s">
        <v>603</v>
      </c>
      <c r="F218" s="47" t="n">
        <v>15</v>
      </c>
      <c r="G218" s="49" t="n">
        <v>202196</v>
      </c>
      <c r="H218" s="51" t="s">
        <v>603</v>
      </c>
      <c r="I218" s="3" t="s">
        <v>606</v>
      </c>
      <c r="J218" s="3" t="n">
        <v>2</v>
      </c>
      <c r="K218" s="53" t="n">
        <v>45112</v>
      </c>
      <c r="L218" s="3" t="s">
        <v>607</v>
      </c>
      <c r="M218" s="54" t="n">
        <v>45112.7030439815</v>
      </c>
      <c r="N218" s="3" t="n">
        <v>12</v>
      </c>
      <c r="O218" s="3" t="n">
        <v>12</v>
      </c>
      <c r="P218" s="3" t="n">
        <v>2</v>
      </c>
      <c r="Q218" s="3" t="n">
        <v>57</v>
      </c>
    </row>
    <row r="219" customFormat="false" ht="14.25" hidden="false" customHeight="false" outlineLevel="0" collapsed="false">
      <c r="A219" s="3" t="n">
        <v>74</v>
      </c>
      <c r="B219" s="51" t="s">
        <v>487</v>
      </c>
      <c r="C219" s="51" t="s">
        <v>488</v>
      </c>
      <c r="D219" s="51" t="n">
        <v>213711</v>
      </c>
      <c r="E219" s="51" t="s">
        <v>603</v>
      </c>
      <c r="F219" s="47" t="n">
        <v>15</v>
      </c>
      <c r="G219" s="49" t="n">
        <v>202196</v>
      </c>
      <c r="H219" s="51" t="s">
        <v>603</v>
      </c>
      <c r="I219" s="3" t="s">
        <v>608</v>
      </c>
      <c r="J219" s="3" t="n">
        <v>0</v>
      </c>
      <c r="K219" s="53" t="n">
        <v>45112</v>
      </c>
      <c r="L219" s="3" t="s">
        <v>609</v>
      </c>
      <c r="M219" s="54" t="n">
        <v>45112.7036111111</v>
      </c>
      <c r="N219" s="3" t="n">
        <v>12</v>
      </c>
      <c r="O219" s="3" t="n">
        <v>12</v>
      </c>
      <c r="P219" s="3" t="n">
        <v>3</v>
      </c>
      <c r="Q219" s="3" t="n">
        <v>58</v>
      </c>
    </row>
    <row r="220" customFormat="false" ht="14.25" hidden="false" customHeight="false" outlineLevel="0" collapsed="false">
      <c r="A220" s="3" t="n">
        <v>75</v>
      </c>
      <c r="B220" s="51" t="s">
        <v>487</v>
      </c>
      <c r="C220" s="51" t="s">
        <v>488</v>
      </c>
      <c r="D220" s="51" t="n">
        <v>213711</v>
      </c>
      <c r="E220" s="51" t="s">
        <v>603</v>
      </c>
      <c r="F220" s="47" t="n">
        <v>15</v>
      </c>
      <c r="G220" s="49" t="n">
        <v>202196</v>
      </c>
      <c r="H220" s="51" t="s">
        <v>603</v>
      </c>
      <c r="I220" s="3" t="s">
        <v>610</v>
      </c>
      <c r="J220" s="3" t="n">
        <v>2</v>
      </c>
      <c r="K220" s="53" t="n">
        <v>45112</v>
      </c>
      <c r="L220" s="3" t="s">
        <v>611</v>
      </c>
      <c r="M220" s="54" t="n">
        <v>45112.703900463</v>
      </c>
      <c r="N220" s="3" t="n">
        <v>12</v>
      </c>
      <c r="O220" s="3" t="n">
        <v>12</v>
      </c>
      <c r="P220" s="3" t="n">
        <v>4</v>
      </c>
      <c r="Q220" s="3" t="n">
        <v>59</v>
      </c>
    </row>
    <row r="221" customFormat="false" ht="14.25" hidden="false" customHeight="false" outlineLevel="0" collapsed="false">
      <c r="A221" s="3" t="n">
        <v>76</v>
      </c>
      <c r="B221" s="51" t="s">
        <v>487</v>
      </c>
      <c r="C221" s="51" t="s">
        <v>488</v>
      </c>
      <c r="D221" s="51" t="n">
        <v>213711</v>
      </c>
      <c r="E221" s="51" t="s">
        <v>603</v>
      </c>
      <c r="F221" s="47" t="n">
        <v>15</v>
      </c>
      <c r="G221" s="49" t="n">
        <v>202196</v>
      </c>
      <c r="H221" s="51" t="s">
        <v>603</v>
      </c>
      <c r="I221" s="3" t="s">
        <v>612</v>
      </c>
      <c r="J221" s="3" t="n">
        <v>1</v>
      </c>
      <c r="K221" s="53" t="n">
        <v>45112</v>
      </c>
      <c r="L221" s="3" t="s">
        <v>613</v>
      </c>
      <c r="M221" s="54" t="n">
        <v>45112.7039930556</v>
      </c>
      <c r="N221" s="3" t="n">
        <v>12</v>
      </c>
      <c r="O221" s="3" t="n">
        <v>12</v>
      </c>
      <c r="P221" s="3" t="n">
        <v>5</v>
      </c>
      <c r="Q221" s="3" t="n">
        <v>60</v>
      </c>
    </row>
    <row r="222" customFormat="false" ht="14.25" hidden="false" customHeight="false" outlineLevel="0" collapsed="false">
      <c r="A222" s="3" t="n">
        <v>77</v>
      </c>
      <c r="B222" s="51" t="s">
        <v>487</v>
      </c>
      <c r="C222" s="51" t="s">
        <v>488</v>
      </c>
      <c r="D222" s="51" t="n">
        <v>213711</v>
      </c>
      <c r="E222" s="51" t="s">
        <v>603</v>
      </c>
      <c r="F222" s="47" t="n">
        <v>15</v>
      </c>
      <c r="G222" s="49" t="n">
        <v>202196</v>
      </c>
      <c r="H222" s="51" t="s">
        <v>603</v>
      </c>
      <c r="I222" s="3" t="s">
        <v>614</v>
      </c>
      <c r="J222" s="3" t="n">
        <v>1</v>
      </c>
      <c r="K222" s="53" t="n">
        <v>45112</v>
      </c>
      <c r="L222" s="3" t="s">
        <v>615</v>
      </c>
      <c r="M222" s="54" t="n">
        <v>45112.705787037</v>
      </c>
      <c r="N222" s="3" t="n">
        <v>12</v>
      </c>
      <c r="O222" s="3" t="n">
        <v>12</v>
      </c>
      <c r="P222" s="3" t="n">
        <v>6</v>
      </c>
      <c r="Q222" s="3" t="n">
        <v>61</v>
      </c>
    </row>
    <row r="223" customFormat="false" ht="14.25" hidden="false" customHeight="false" outlineLevel="0" collapsed="false">
      <c r="A223" s="3" t="n">
        <v>78</v>
      </c>
      <c r="B223" s="51" t="s">
        <v>487</v>
      </c>
      <c r="C223" s="51" t="s">
        <v>488</v>
      </c>
      <c r="D223" s="51" t="n">
        <v>213711</v>
      </c>
      <c r="E223" s="51" t="s">
        <v>603</v>
      </c>
      <c r="F223" s="47" t="n">
        <v>15</v>
      </c>
      <c r="G223" s="49" t="n">
        <v>202196</v>
      </c>
      <c r="H223" s="51" t="s">
        <v>603</v>
      </c>
      <c r="I223" s="3" t="s">
        <v>616</v>
      </c>
      <c r="J223" s="3" t="n">
        <v>2</v>
      </c>
      <c r="K223" s="53" t="n">
        <v>45112</v>
      </c>
      <c r="L223" s="3" t="s">
        <v>617</v>
      </c>
      <c r="M223" s="54" t="n">
        <v>45112.7128009259</v>
      </c>
      <c r="N223" s="3" t="n">
        <v>12</v>
      </c>
      <c r="O223" s="3" t="n">
        <v>12</v>
      </c>
      <c r="P223" s="3" t="n">
        <v>7</v>
      </c>
      <c r="Q223" s="3" t="n">
        <v>62</v>
      </c>
    </row>
    <row r="224" customFormat="false" ht="14.25" hidden="false" customHeight="false" outlineLevel="0" collapsed="false">
      <c r="A224" s="3" t="n">
        <v>79</v>
      </c>
      <c r="B224" s="51" t="s">
        <v>487</v>
      </c>
      <c r="C224" s="51" t="s">
        <v>488</v>
      </c>
      <c r="D224" s="51" t="n">
        <v>213711</v>
      </c>
      <c r="E224" s="51" t="s">
        <v>603</v>
      </c>
      <c r="F224" s="47" t="n">
        <v>15</v>
      </c>
      <c r="G224" s="49" t="n">
        <v>202196</v>
      </c>
      <c r="H224" s="51" t="s">
        <v>603</v>
      </c>
      <c r="I224" s="3" t="s">
        <v>618</v>
      </c>
      <c r="J224" s="3" t="n">
        <v>2</v>
      </c>
      <c r="K224" s="53" t="n">
        <v>45112</v>
      </c>
      <c r="L224" s="3" t="s">
        <v>619</v>
      </c>
      <c r="M224" s="54" t="n">
        <v>45112.7153819444</v>
      </c>
      <c r="N224" s="3" t="n">
        <v>12</v>
      </c>
      <c r="O224" s="3" t="n">
        <v>12</v>
      </c>
      <c r="P224" s="3" t="n">
        <v>8</v>
      </c>
      <c r="Q224" s="3" t="n">
        <v>63</v>
      </c>
    </row>
    <row r="225" customFormat="false" ht="14.25" hidden="false" customHeight="false" outlineLevel="0" collapsed="false">
      <c r="A225" s="3" t="n">
        <v>80</v>
      </c>
      <c r="B225" s="51" t="s">
        <v>487</v>
      </c>
      <c r="C225" s="51" t="s">
        <v>488</v>
      </c>
      <c r="D225" s="51" t="n">
        <v>213711</v>
      </c>
      <c r="E225" s="51" t="s">
        <v>603</v>
      </c>
      <c r="F225" s="47" t="n">
        <v>15</v>
      </c>
      <c r="G225" s="49" t="n">
        <v>202196</v>
      </c>
      <c r="H225" s="51" t="s">
        <v>603</v>
      </c>
      <c r="I225" s="3" t="s">
        <v>620</v>
      </c>
      <c r="J225" s="3" t="n">
        <v>2</v>
      </c>
      <c r="K225" s="53" t="n">
        <v>45112</v>
      </c>
      <c r="L225" s="3" t="s">
        <v>621</v>
      </c>
      <c r="M225" s="54" t="n">
        <v>45112.7195486111</v>
      </c>
      <c r="N225" s="3" t="n">
        <v>12</v>
      </c>
      <c r="O225" s="3" t="n">
        <v>12</v>
      </c>
      <c r="P225" s="3" t="n">
        <v>9</v>
      </c>
      <c r="Q225" s="3" t="n">
        <v>64</v>
      </c>
    </row>
    <row r="226" customFormat="false" ht="14.25" hidden="false" customHeight="false" outlineLevel="0" collapsed="false">
      <c r="A226" s="3" t="n">
        <v>81</v>
      </c>
      <c r="B226" s="51" t="s">
        <v>487</v>
      </c>
      <c r="C226" s="51" t="s">
        <v>488</v>
      </c>
      <c r="D226" s="51" t="n">
        <v>213711</v>
      </c>
      <c r="E226" s="51" t="s">
        <v>603</v>
      </c>
      <c r="F226" s="47" t="n">
        <v>15</v>
      </c>
      <c r="G226" s="49" t="n">
        <v>202196</v>
      </c>
      <c r="H226" s="51" t="s">
        <v>603</v>
      </c>
      <c r="I226" s="3" t="s">
        <v>622</v>
      </c>
      <c r="J226" s="3" t="n">
        <v>3</v>
      </c>
      <c r="K226" s="53" t="n">
        <v>45112</v>
      </c>
      <c r="L226" s="3" t="s">
        <v>623</v>
      </c>
      <c r="M226" s="54" t="n">
        <v>45112.7555671296</v>
      </c>
      <c r="N226" s="3" t="n">
        <v>12</v>
      </c>
      <c r="O226" s="3" t="n">
        <v>12</v>
      </c>
      <c r="P226" s="3" t="n">
        <v>10</v>
      </c>
      <c r="Q226" s="3" t="n">
        <v>65</v>
      </c>
    </row>
    <row r="227" customFormat="false" ht="14.25" hidden="false" customHeight="false" outlineLevel="0" collapsed="false">
      <c r="A227" s="3" t="n">
        <v>82</v>
      </c>
      <c r="B227" s="51" t="s">
        <v>487</v>
      </c>
      <c r="C227" s="51" t="s">
        <v>488</v>
      </c>
      <c r="D227" s="51" t="n">
        <v>213711</v>
      </c>
      <c r="E227" s="51" t="s">
        <v>603</v>
      </c>
      <c r="F227" s="47" t="n">
        <v>15</v>
      </c>
      <c r="G227" s="49" t="n">
        <v>202196</v>
      </c>
      <c r="H227" s="51" t="s">
        <v>603</v>
      </c>
      <c r="I227" s="3" t="s">
        <v>624</v>
      </c>
      <c r="J227" s="3" t="n">
        <v>2</v>
      </c>
      <c r="K227" s="53" t="n">
        <v>45112</v>
      </c>
      <c r="L227" s="3" t="s">
        <v>625</v>
      </c>
      <c r="M227" s="54" t="n">
        <v>45112.785787037</v>
      </c>
      <c r="N227" s="3" t="n">
        <v>12</v>
      </c>
      <c r="O227" s="3" t="n">
        <v>12</v>
      </c>
      <c r="P227" s="3" t="n">
        <v>11</v>
      </c>
      <c r="Q227" s="3" t="n">
        <v>66</v>
      </c>
    </row>
    <row r="228" customFormat="false" ht="14.25" hidden="false" customHeight="false" outlineLevel="0" collapsed="false">
      <c r="A228" s="3" t="n">
        <v>83</v>
      </c>
      <c r="B228" s="51" t="s">
        <v>487</v>
      </c>
      <c r="C228" s="51" t="s">
        <v>488</v>
      </c>
      <c r="D228" s="51" t="n">
        <v>213711</v>
      </c>
      <c r="E228" s="51" t="s">
        <v>603</v>
      </c>
      <c r="F228" s="47" t="n">
        <v>15</v>
      </c>
      <c r="G228" s="49" t="n">
        <v>202196</v>
      </c>
      <c r="H228" s="51" t="s">
        <v>603</v>
      </c>
      <c r="I228" s="3" t="s">
        <v>626</v>
      </c>
      <c r="J228" s="3" t="n">
        <v>1</v>
      </c>
      <c r="K228" s="53" t="n">
        <v>45112</v>
      </c>
      <c r="L228" s="3" t="s">
        <v>627</v>
      </c>
      <c r="M228" s="54" t="n">
        <v>45112.7860300926</v>
      </c>
      <c r="N228" s="3" t="n">
        <v>12</v>
      </c>
      <c r="O228" s="3" t="n">
        <v>12</v>
      </c>
      <c r="P228" s="3" t="n">
        <v>12</v>
      </c>
      <c r="Q228" s="3" t="n">
        <v>67</v>
      </c>
    </row>
    <row r="229" customFormat="false" ht="14.25" hidden="false" customHeight="false" outlineLevel="0" collapsed="false">
      <c r="A229" s="3" t="n">
        <v>84</v>
      </c>
      <c r="B229" s="51" t="s">
        <v>487</v>
      </c>
      <c r="C229" s="51" t="s">
        <v>488</v>
      </c>
      <c r="D229" s="51" t="n">
        <v>213711</v>
      </c>
      <c r="E229" s="51" t="s">
        <v>603</v>
      </c>
      <c r="F229" s="47" t="n">
        <v>15</v>
      </c>
      <c r="G229" s="49" t="n">
        <v>202196</v>
      </c>
      <c r="H229" s="51" t="s">
        <v>603</v>
      </c>
      <c r="I229" s="3" t="s">
        <v>628</v>
      </c>
      <c r="J229" s="3" t="n">
        <v>2</v>
      </c>
      <c r="K229" s="53" t="n">
        <v>45112</v>
      </c>
      <c r="L229" s="3" t="s">
        <v>629</v>
      </c>
      <c r="M229" s="54" t="n">
        <v>45112.7861805556</v>
      </c>
      <c r="N229" s="3" t="n">
        <v>12</v>
      </c>
      <c r="O229" s="3" t="n">
        <v>12</v>
      </c>
      <c r="P229" s="3" t="n">
        <v>13</v>
      </c>
      <c r="Q229" s="3" t="n">
        <v>68</v>
      </c>
    </row>
    <row r="230" customFormat="false" ht="14.25" hidden="false" customHeight="false" outlineLevel="0" collapsed="false">
      <c r="A230" s="3" t="n">
        <v>150</v>
      </c>
      <c r="B230" s="51" t="s">
        <v>487</v>
      </c>
      <c r="C230" s="51" t="s">
        <v>488</v>
      </c>
      <c r="D230" s="51" t="n">
        <v>213711</v>
      </c>
      <c r="E230" s="51" t="s">
        <v>603</v>
      </c>
      <c r="F230" s="47" t="n">
        <v>15</v>
      </c>
      <c r="G230" s="49" t="n">
        <v>202196</v>
      </c>
      <c r="H230" s="51" t="s">
        <v>603</v>
      </c>
      <c r="I230" s="3" t="s">
        <v>760</v>
      </c>
      <c r="J230" s="3" t="n">
        <v>2</v>
      </c>
      <c r="K230" s="53" t="n">
        <v>45113</v>
      </c>
      <c r="L230" s="3" t="s">
        <v>761</v>
      </c>
      <c r="M230" s="54" t="n">
        <v>45113.2896412037</v>
      </c>
      <c r="N230" s="3" t="n">
        <v>12</v>
      </c>
      <c r="O230" s="3" t="n">
        <v>12</v>
      </c>
      <c r="P230" s="3" t="n">
        <v>14</v>
      </c>
      <c r="Q230" s="3" t="n">
        <v>134</v>
      </c>
    </row>
    <row r="231" customFormat="false" ht="14.25" hidden="false" customHeight="false" outlineLevel="0" collapsed="false">
      <c r="A231" s="3" t="n">
        <v>151</v>
      </c>
      <c r="B231" s="51" t="s">
        <v>487</v>
      </c>
      <c r="C231" s="51" t="s">
        <v>488</v>
      </c>
      <c r="D231" s="51" t="n">
        <v>213711</v>
      </c>
      <c r="E231" s="51" t="s">
        <v>603</v>
      </c>
      <c r="F231" s="47" t="n">
        <v>15</v>
      </c>
      <c r="G231" s="49" t="n">
        <v>202196</v>
      </c>
      <c r="H231" s="51" t="s">
        <v>603</v>
      </c>
      <c r="I231" s="3" t="s">
        <v>762</v>
      </c>
      <c r="J231" s="3" t="n">
        <v>0</v>
      </c>
      <c r="K231" s="53" t="n">
        <v>45113</v>
      </c>
      <c r="L231" s="3" t="s">
        <v>763</v>
      </c>
      <c r="M231" s="54" t="n">
        <v>45113.2900578704</v>
      </c>
      <c r="N231" s="3" t="n">
        <v>12</v>
      </c>
      <c r="O231" s="3" t="n">
        <v>12</v>
      </c>
      <c r="P231" s="3" t="n">
        <v>15</v>
      </c>
      <c r="Q231" s="3" t="n">
        <v>135</v>
      </c>
    </row>
    <row r="232" customFormat="false" ht="14.25" hidden="false" customHeight="false" outlineLevel="0" collapsed="false">
      <c r="A232" s="3" t="n">
        <v>152</v>
      </c>
      <c r="B232" s="51" t="s">
        <v>487</v>
      </c>
      <c r="C232" s="51" t="s">
        <v>488</v>
      </c>
      <c r="D232" s="51" t="n">
        <v>213711</v>
      </c>
      <c r="E232" s="51" t="s">
        <v>603</v>
      </c>
      <c r="F232" s="47" t="n">
        <v>15</v>
      </c>
      <c r="G232" s="49" t="n">
        <v>202196</v>
      </c>
      <c r="H232" s="51" t="s">
        <v>603</v>
      </c>
      <c r="I232" s="3" t="s">
        <v>764</v>
      </c>
      <c r="J232" s="3" t="n">
        <v>2</v>
      </c>
      <c r="K232" s="53" t="n">
        <v>45113</v>
      </c>
      <c r="L232" s="3" t="s">
        <v>765</v>
      </c>
      <c r="M232" s="54" t="n">
        <v>45113.2900810185</v>
      </c>
      <c r="N232" s="3" t="n">
        <v>12</v>
      </c>
      <c r="O232" s="3" t="n">
        <v>12</v>
      </c>
      <c r="P232" s="3" t="n">
        <v>16</v>
      </c>
      <c r="Q232" s="3" t="n">
        <v>136</v>
      </c>
    </row>
    <row r="233" customFormat="false" ht="14.25" hidden="false" customHeight="false" outlineLevel="0" collapsed="false">
      <c r="A233" s="3" t="n">
        <v>153</v>
      </c>
      <c r="B233" s="51" t="s">
        <v>487</v>
      </c>
      <c r="C233" s="51" t="s">
        <v>488</v>
      </c>
      <c r="D233" s="51" t="n">
        <v>213711</v>
      </c>
      <c r="E233" s="51" t="s">
        <v>603</v>
      </c>
      <c r="F233" s="47" t="n">
        <v>15</v>
      </c>
      <c r="G233" s="49" t="n">
        <v>202196</v>
      </c>
      <c r="H233" s="51" t="s">
        <v>603</v>
      </c>
      <c r="I233" s="3" t="s">
        <v>766</v>
      </c>
      <c r="J233" s="3" t="n">
        <v>2</v>
      </c>
      <c r="K233" s="53" t="n">
        <v>45113</v>
      </c>
      <c r="L233" s="3" t="s">
        <v>767</v>
      </c>
      <c r="M233" s="54" t="n">
        <v>45113.2936226852</v>
      </c>
      <c r="N233" s="3" t="n">
        <v>12</v>
      </c>
      <c r="O233" s="3" t="n">
        <v>12</v>
      </c>
      <c r="P233" s="3" t="n">
        <v>17</v>
      </c>
      <c r="Q233" s="3" t="n">
        <v>137</v>
      </c>
    </row>
    <row r="234" customFormat="false" ht="14.25" hidden="false" customHeight="false" outlineLevel="0" collapsed="false">
      <c r="A234" s="3" t="n">
        <v>154</v>
      </c>
      <c r="B234" s="51" t="s">
        <v>487</v>
      </c>
      <c r="C234" s="51" t="s">
        <v>488</v>
      </c>
      <c r="D234" s="51" t="n">
        <v>213711</v>
      </c>
      <c r="E234" s="51" t="s">
        <v>603</v>
      </c>
      <c r="F234" s="47" t="n">
        <v>15</v>
      </c>
      <c r="G234" s="49" t="n">
        <v>202196</v>
      </c>
      <c r="H234" s="51" t="s">
        <v>603</v>
      </c>
      <c r="I234" s="3" t="s">
        <v>768</v>
      </c>
      <c r="J234" s="3" t="n">
        <v>2</v>
      </c>
      <c r="K234" s="53" t="n">
        <v>45113</v>
      </c>
      <c r="L234" s="3" t="s">
        <v>769</v>
      </c>
      <c r="M234" s="54" t="n">
        <v>45113.3972916667</v>
      </c>
      <c r="N234" s="3" t="n">
        <v>12</v>
      </c>
      <c r="O234" s="3" t="n">
        <v>12</v>
      </c>
      <c r="P234" s="3" t="n">
        <v>18</v>
      </c>
      <c r="Q234" s="3" t="n">
        <v>138</v>
      </c>
    </row>
    <row r="235" customFormat="false" ht="14.25" hidden="false" customHeight="false" outlineLevel="0" collapsed="false">
      <c r="A235" s="3" t="n">
        <v>155</v>
      </c>
      <c r="B235" s="51" t="s">
        <v>487</v>
      </c>
      <c r="C235" s="51" t="s">
        <v>488</v>
      </c>
      <c r="D235" s="51" t="n">
        <v>213711</v>
      </c>
      <c r="E235" s="51" t="s">
        <v>603</v>
      </c>
      <c r="F235" s="47" t="n">
        <v>15</v>
      </c>
      <c r="G235" s="49" t="n">
        <v>202196</v>
      </c>
      <c r="H235" s="51" t="s">
        <v>603</v>
      </c>
      <c r="I235" s="3" t="s">
        <v>770</v>
      </c>
      <c r="J235" s="3" t="n">
        <v>5</v>
      </c>
      <c r="K235" s="53" t="n">
        <v>45113</v>
      </c>
      <c r="L235" s="3" t="s">
        <v>771</v>
      </c>
      <c r="M235" s="54" t="n">
        <v>45113.397349537</v>
      </c>
      <c r="N235" s="3" t="n">
        <v>12</v>
      </c>
      <c r="O235" s="3" t="n">
        <v>12</v>
      </c>
      <c r="P235" s="3" t="n">
        <v>19</v>
      </c>
      <c r="Q235" s="3" t="n">
        <v>139</v>
      </c>
    </row>
    <row r="236" customFormat="false" ht="14.25" hidden="false" customHeight="false" outlineLevel="0" collapsed="false">
      <c r="A236" s="3" t="n">
        <v>156</v>
      </c>
      <c r="B236" s="51" t="s">
        <v>487</v>
      </c>
      <c r="C236" s="51" t="s">
        <v>488</v>
      </c>
      <c r="D236" s="51" t="n">
        <v>213711</v>
      </c>
      <c r="E236" s="51" t="s">
        <v>603</v>
      </c>
      <c r="F236" s="47" t="n">
        <v>15</v>
      </c>
      <c r="G236" s="49" t="n">
        <v>202196</v>
      </c>
      <c r="H236" s="51" t="s">
        <v>603</v>
      </c>
      <c r="I236" s="3" t="s">
        <v>772</v>
      </c>
      <c r="J236" s="3" t="n">
        <v>1</v>
      </c>
      <c r="K236" s="53" t="n">
        <v>45113</v>
      </c>
      <c r="L236" s="3" t="s">
        <v>773</v>
      </c>
      <c r="M236" s="54" t="n">
        <v>45113.3990625</v>
      </c>
      <c r="N236" s="3" t="n">
        <v>12</v>
      </c>
      <c r="O236" s="3" t="n">
        <v>12</v>
      </c>
      <c r="P236" s="3" t="n">
        <v>20</v>
      </c>
      <c r="Q236" s="3" t="n">
        <v>140</v>
      </c>
    </row>
    <row r="237" customFormat="false" ht="14.25" hidden="false" customHeight="false" outlineLevel="0" collapsed="false">
      <c r="A237" s="3" t="n">
        <v>157</v>
      </c>
      <c r="B237" s="51" t="s">
        <v>487</v>
      </c>
      <c r="C237" s="51" t="s">
        <v>488</v>
      </c>
      <c r="D237" s="51" t="n">
        <v>213711</v>
      </c>
      <c r="E237" s="51" t="s">
        <v>603</v>
      </c>
      <c r="F237" s="47" t="n">
        <v>15</v>
      </c>
      <c r="G237" s="49" t="n">
        <v>202196</v>
      </c>
      <c r="H237" s="51" t="s">
        <v>603</v>
      </c>
      <c r="I237" s="3" t="s">
        <v>774</v>
      </c>
      <c r="J237" s="3" t="n">
        <v>3</v>
      </c>
      <c r="K237" s="53" t="n">
        <v>45113</v>
      </c>
      <c r="L237" s="3" t="s">
        <v>775</v>
      </c>
      <c r="M237" s="54" t="n">
        <v>45113.400787037</v>
      </c>
      <c r="N237" s="3" t="n">
        <v>12</v>
      </c>
      <c r="O237" s="3" t="n">
        <v>12</v>
      </c>
      <c r="P237" s="3" t="n">
        <v>21</v>
      </c>
      <c r="Q237" s="3" t="n">
        <v>141</v>
      </c>
    </row>
    <row r="238" customFormat="false" ht="14.25" hidden="false" customHeight="false" outlineLevel="0" collapsed="false">
      <c r="A238" s="3" t="n">
        <v>161</v>
      </c>
      <c r="B238" s="51" t="s">
        <v>487</v>
      </c>
      <c r="C238" s="51" t="s">
        <v>488</v>
      </c>
      <c r="D238" s="51" t="n">
        <v>213711</v>
      </c>
      <c r="E238" s="51" t="s">
        <v>603</v>
      </c>
      <c r="F238" s="47" t="n">
        <v>15</v>
      </c>
      <c r="G238" s="49" t="n">
        <v>202196</v>
      </c>
      <c r="H238" s="51" t="s">
        <v>603</v>
      </c>
      <c r="I238" s="3" t="s">
        <v>782</v>
      </c>
      <c r="J238" s="3" t="n">
        <v>0</v>
      </c>
      <c r="K238" s="53" t="n">
        <v>45113</v>
      </c>
      <c r="L238" s="3" t="s">
        <v>783</v>
      </c>
      <c r="M238" s="54" t="n">
        <v>45113.4427083333</v>
      </c>
      <c r="N238" s="3" t="n">
        <v>12</v>
      </c>
      <c r="O238" s="3" t="n">
        <v>12</v>
      </c>
      <c r="P238" s="3" t="n">
        <v>22</v>
      </c>
      <c r="Q238" s="3" t="n">
        <v>145</v>
      </c>
    </row>
    <row r="239" customFormat="false" ht="14.25" hidden="false" customHeight="false" outlineLevel="0" collapsed="false">
      <c r="A239" s="3" t="n">
        <v>162</v>
      </c>
      <c r="B239" s="51" t="s">
        <v>487</v>
      </c>
      <c r="C239" s="51" t="s">
        <v>488</v>
      </c>
      <c r="D239" s="51" t="n">
        <v>213711</v>
      </c>
      <c r="E239" s="51" t="s">
        <v>603</v>
      </c>
      <c r="F239" s="47" t="n">
        <v>15</v>
      </c>
      <c r="G239" s="49" t="n">
        <v>202196</v>
      </c>
      <c r="H239" s="51" t="s">
        <v>603</v>
      </c>
      <c r="I239" s="3" t="s">
        <v>784</v>
      </c>
      <c r="J239" s="3" t="n">
        <v>3</v>
      </c>
      <c r="K239" s="53" t="n">
        <v>45113</v>
      </c>
      <c r="L239" s="3" t="s">
        <v>785</v>
      </c>
      <c r="M239" s="54" t="n">
        <v>45113.4436921296</v>
      </c>
      <c r="N239" s="3" t="n">
        <v>12</v>
      </c>
      <c r="O239" s="3" t="n">
        <v>12</v>
      </c>
      <c r="P239" s="3" t="n">
        <v>23</v>
      </c>
      <c r="Q239" s="3" t="n">
        <v>146</v>
      </c>
    </row>
    <row r="240" customFormat="false" ht="14.25" hidden="false" customHeight="false" outlineLevel="0" collapsed="false">
      <c r="A240" s="3" t="n">
        <v>165</v>
      </c>
      <c r="B240" s="51" t="s">
        <v>487</v>
      </c>
      <c r="C240" s="51" t="s">
        <v>488</v>
      </c>
      <c r="D240" s="51" t="n">
        <v>213711</v>
      </c>
      <c r="E240" s="51" t="s">
        <v>603</v>
      </c>
      <c r="F240" s="47" t="n">
        <v>15</v>
      </c>
      <c r="G240" s="49" t="n">
        <v>202196</v>
      </c>
      <c r="H240" s="51" t="s">
        <v>603</v>
      </c>
      <c r="I240" s="3" t="s">
        <v>790</v>
      </c>
      <c r="J240" s="3" t="n">
        <v>1</v>
      </c>
      <c r="K240" s="53" t="n">
        <v>45113</v>
      </c>
      <c r="L240" s="3" t="s">
        <v>791</v>
      </c>
      <c r="M240" s="54" t="n">
        <v>45113.4463310185</v>
      </c>
      <c r="N240" s="3" t="n">
        <v>12</v>
      </c>
      <c r="O240" s="3" t="n">
        <v>12</v>
      </c>
      <c r="P240" s="3" t="n">
        <v>24</v>
      </c>
      <c r="Q240" s="3" t="n">
        <v>149</v>
      </c>
    </row>
    <row r="241" customFormat="false" ht="14.25" hidden="false" customHeight="false" outlineLevel="0" collapsed="false">
      <c r="A241" s="3" t="n">
        <v>169</v>
      </c>
      <c r="B241" s="51" t="s">
        <v>487</v>
      </c>
      <c r="C241" s="51" t="s">
        <v>488</v>
      </c>
      <c r="D241" s="51" t="n">
        <v>213711</v>
      </c>
      <c r="E241" s="51" t="s">
        <v>603</v>
      </c>
      <c r="F241" s="47" t="n">
        <v>15</v>
      </c>
      <c r="G241" s="49" t="n">
        <v>202196</v>
      </c>
      <c r="H241" s="51" t="s">
        <v>603</v>
      </c>
      <c r="I241" s="3" t="s">
        <v>800</v>
      </c>
      <c r="J241" s="3" t="n">
        <v>3</v>
      </c>
      <c r="K241" s="53" t="n">
        <v>45113</v>
      </c>
      <c r="L241" s="3" t="s">
        <v>801</v>
      </c>
      <c r="M241" s="54" t="n">
        <v>45113.5703356481</v>
      </c>
      <c r="N241" s="3" t="n">
        <v>12</v>
      </c>
      <c r="O241" s="3" t="n">
        <v>12</v>
      </c>
      <c r="P241" s="3" t="n">
        <v>25</v>
      </c>
      <c r="Q241" s="3" t="n">
        <v>153</v>
      </c>
    </row>
    <row r="242" customFormat="false" ht="14.25" hidden="false" customHeight="false" outlineLevel="0" collapsed="false">
      <c r="A242" s="3" t="n">
        <v>170</v>
      </c>
      <c r="B242" s="51" t="s">
        <v>487</v>
      </c>
      <c r="C242" s="51" t="s">
        <v>488</v>
      </c>
      <c r="D242" s="51" t="n">
        <v>213711</v>
      </c>
      <c r="E242" s="51" t="s">
        <v>603</v>
      </c>
      <c r="F242" s="47" t="n">
        <v>15</v>
      </c>
      <c r="G242" s="49" t="n">
        <v>202196</v>
      </c>
      <c r="H242" s="51" t="s">
        <v>603</v>
      </c>
      <c r="I242" s="3" t="s">
        <v>802</v>
      </c>
      <c r="J242" s="3" t="n">
        <v>1</v>
      </c>
      <c r="K242" s="53" t="n">
        <v>45113</v>
      </c>
      <c r="L242" s="3" t="s">
        <v>803</v>
      </c>
      <c r="M242" s="54" t="n">
        <v>45113.572974537</v>
      </c>
      <c r="N242" s="3" t="n">
        <v>12</v>
      </c>
      <c r="O242" s="3" t="n">
        <v>12</v>
      </c>
      <c r="P242" s="3" t="n">
        <v>26</v>
      </c>
      <c r="Q242" s="3" t="n">
        <v>154</v>
      </c>
    </row>
    <row r="243" customFormat="false" ht="14.25" hidden="false" customHeight="false" outlineLevel="0" collapsed="false">
      <c r="A243" s="3" t="n">
        <v>171</v>
      </c>
      <c r="B243" s="51" t="s">
        <v>487</v>
      </c>
      <c r="C243" s="51" t="s">
        <v>488</v>
      </c>
      <c r="D243" s="51" t="n">
        <v>213711</v>
      </c>
      <c r="E243" s="51" t="s">
        <v>603</v>
      </c>
      <c r="F243" s="47" t="n">
        <v>15</v>
      </c>
      <c r="G243" s="49" t="n">
        <v>202196</v>
      </c>
      <c r="H243" s="51" t="s">
        <v>603</v>
      </c>
      <c r="I243" s="3" t="s">
        <v>804</v>
      </c>
      <c r="J243" s="3" t="n">
        <v>1</v>
      </c>
      <c r="K243" s="53" t="n">
        <v>45113</v>
      </c>
      <c r="L243" s="3" t="s">
        <v>805</v>
      </c>
      <c r="M243" s="54" t="n">
        <v>45113.5730092593</v>
      </c>
      <c r="N243" s="3" t="n">
        <v>12</v>
      </c>
      <c r="O243" s="3" t="n">
        <v>12</v>
      </c>
      <c r="P243" s="3" t="n">
        <v>27</v>
      </c>
      <c r="Q243" s="3" t="n">
        <v>155</v>
      </c>
    </row>
    <row r="244" customFormat="false" ht="14.25" hidden="false" customHeight="false" outlineLevel="0" collapsed="false">
      <c r="A244" s="3" t="n">
        <v>77</v>
      </c>
      <c r="B244" s="51" t="s">
        <v>250</v>
      </c>
      <c r="C244" s="51" t="s">
        <v>251</v>
      </c>
      <c r="D244" s="51" t="n">
        <v>213777</v>
      </c>
      <c r="E244" s="51" t="s">
        <v>364</v>
      </c>
      <c r="F244" s="47" t="n">
        <v>26</v>
      </c>
      <c r="G244" s="49" t="n">
        <v>213261</v>
      </c>
      <c r="H244" s="51" t="s">
        <v>364</v>
      </c>
      <c r="I244" s="3" t="s">
        <v>365</v>
      </c>
      <c r="J244" s="3" t="n">
        <v>2</v>
      </c>
      <c r="K244" s="53" t="n">
        <v>45112</v>
      </c>
      <c r="L244" s="3" t="s">
        <v>366</v>
      </c>
      <c r="M244" s="54" t="n">
        <v>45112.7710300926</v>
      </c>
      <c r="N244" s="3" t="n">
        <v>13</v>
      </c>
      <c r="O244" s="3" t="n">
        <v>13</v>
      </c>
      <c r="P244" s="3" t="n">
        <v>1</v>
      </c>
      <c r="Q244" s="3" t="n">
        <v>57</v>
      </c>
    </row>
    <row r="245" customFormat="false" ht="14.25" hidden="false" customHeight="false" outlineLevel="0" collapsed="false">
      <c r="A245" s="3" t="n">
        <v>78</v>
      </c>
      <c r="B245" s="51" t="s">
        <v>250</v>
      </c>
      <c r="C245" s="51" t="s">
        <v>251</v>
      </c>
      <c r="D245" s="51" t="n">
        <v>213777</v>
      </c>
      <c r="E245" s="51" t="s">
        <v>364</v>
      </c>
      <c r="F245" s="47" t="n">
        <v>26</v>
      </c>
      <c r="G245" s="49" t="n">
        <v>213261</v>
      </c>
      <c r="H245" s="51" t="s">
        <v>364</v>
      </c>
      <c r="I245" s="3" t="s">
        <v>367</v>
      </c>
      <c r="J245" s="3" t="n">
        <v>2</v>
      </c>
      <c r="K245" s="53" t="n">
        <v>45112</v>
      </c>
      <c r="L245" s="3" t="s">
        <v>368</v>
      </c>
      <c r="M245" s="54" t="n">
        <v>45112.7713310185</v>
      </c>
      <c r="N245" s="3" t="n">
        <v>13</v>
      </c>
      <c r="O245" s="3" t="n">
        <v>13</v>
      </c>
      <c r="P245" s="3" t="n">
        <v>2</v>
      </c>
      <c r="Q245" s="3" t="n">
        <v>58</v>
      </c>
    </row>
    <row r="246" customFormat="false" ht="14.25" hidden="false" customHeight="false" outlineLevel="0" collapsed="false">
      <c r="A246" s="3" t="n">
        <v>79</v>
      </c>
      <c r="B246" s="51" t="s">
        <v>250</v>
      </c>
      <c r="C246" s="51" t="s">
        <v>251</v>
      </c>
      <c r="D246" s="51" t="n">
        <v>213777</v>
      </c>
      <c r="E246" s="51" t="s">
        <v>364</v>
      </c>
      <c r="F246" s="47" t="n">
        <v>26</v>
      </c>
      <c r="G246" s="49" t="n">
        <v>213261</v>
      </c>
      <c r="H246" s="51" t="s">
        <v>364</v>
      </c>
      <c r="I246" s="3" t="s">
        <v>369</v>
      </c>
      <c r="J246" s="3" t="n">
        <v>1</v>
      </c>
      <c r="K246" s="53" t="n">
        <v>45112</v>
      </c>
      <c r="L246" s="3" t="s">
        <v>370</v>
      </c>
      <c r="M246" s="54" t="n">
        <v>45112.7726273148</v>
      </c>
      <c r="N246" s="3" t="n">
        <v>13</v>
      </c>
      <c r="O246" s="3" t="n">
        <v>13</v>
      </c>
      <c r="P246" s="3" t="n">
        <v>3</v>
      </c>
      <c r="Q246" s="3" t="n">
        <v>59</v>
      </c>
    </row>
    <row r="247" customFormat="false" ht="14.25" hidden="false" customHeight="false" outlineLevel="0" collapsed="false">
      <c r="A247" s="3" t="n">
        <v>80</v>
      </c>
      <c r="B247" s="51" t="s">
        <v>250</v>
      </c>
      <c r="C247" s="51" t="s">
        <v>251</v>
      </c>
      <c r="D247" s="51" t="n">
        <v>213777</v>
      </c>
      <c r="E247" s="51" t="s">
        <v>364</v>
      </c>
      <c r="F247" s="47" t="n">
        <v>26</v>
      </c>
      <c r="G247" s="49" t="n">
        <v>213261</v>
      </c>
      <c r="H247" s="51" t="s">
        <v>364</v>
      </c>
      <c r="I247" s="3" t="s">
        <v>371</v>
      </c>
      <c r="J247" s="3" t="n">
        <v>2</v>
      </c>
      <c r="K247" s="53" t="n">
        <v>45112</v>
      </c>
      <c r="L247" s="3" t="s">
        <v>372</v>
      </c>
      <c r="M247" s="54" t="n">
        <v>45112.7759953704</v>
      </c>
      <c r="N247" s="3" t="n">
        <v>13</v>
      </c>
      <c r="O247" s="3" t="n">
        <v>13</v>
      </c>
      <c r="P247" s="3" t="n">
        <v>4</v>
      </c>
      <c r="Q247" s="3" t="n">
        <v>60</v>
      </c>
    </row>
    <row r="248" customFormat="false" ht="14.25" hidden="false" customHeight="false" outlineLevel="0" collapsed="false">
      <c r="A248" s="3" t="n">
        <v>81</v>
      </c>
      <c r="B248" s="51" t="s">
        <v>250</v>
      </c>
      <c r="C248" s="51" t="s">
        <v>251</v>
      </c>
      <c r="D248" s="51" t="n">
        <v>213777</v>
      </c>
      <c r="E248" s="51" t="s">
        <v>364</v>
      </c>
      <c r="F248" s="47" t="n">
        <v>26</v>
      </c>
      <c r="G248" s="49" t="n">
        <v>213261</v>
      </c>
      <c r="H248" s="51" t="s">
        <v>364</v>
      </c>
      <c r="I248" s="3" t="s">
        <v>373</v>
      </c>
      <c r="J248" s="3" t="n">
        <v>0</v>
      </c>
      <c r="K248" s="53" t="n">
        <v>45112</v>
      </c>
      <c r="L248" s="3" t="s">
        <v>374</v>
      </c>
      <c r="M248" s="54" t="n">
        <v>45112.9861111111</v>
      </c>
      <c r="N248" s="3" t="n">
        <v>13</v>
      </c>
      <c r="O248" s="3" t="n">
        <v>13</v>
      </c>
      <c r="P248" s="3" t="n">
        <v>5</v>
      </c>
      <c r="Q248" s="3" t="n">
        <v>61</v>
      </c>
    </row>
    <row r="249" customFormat="false" ht="14.25" hidden="false" customHeight="false" outlineLevel="0" collapsed="false">
      <c r="A249" s="3" t="n">
        <v>82</v>
      </c>
      <c r="B249" s="51" t="s">
        <v>250</v>
      </c>
      <c r="C249" s="51" t="s">
        <v>251</v>
      </c>
      <c r="D249" s="51" t="n">
        <v>213777</v>
      </c>
      <c r="E249" s="51" t="s">
        <v>364</v>
      </c>
      <c r="F249" s="47" t="n">
        <v>26</v>
      </c>
      <c r="G249" s="49" t="n">
        <v>213261</v>
      </c>
      <c r="H249" s="51" t="s">
        <v>364</v>
      </c>
      <c r="I249" s="3" t="s">
        <v>375</v>
      </c>
      <c r="J249" s="3" t="n">
        <v>0</v>
      </c>
      <c r="K249" s="53" t="n">
        <v>45113</v>
      </c>
      <c r="L249" s="3" t="s">
        <v>376</v>
      </c>
      <c r="M249" s="54" t="n">
        <v>45113.0231597222</v>
      </c>
      <c r="N249" s="3" t="n">
        <v>13</v>
      </c>
      <c r="O249" s="3" t="n">
        <v>13</v>
      </c>
      <c r="P249" s="3" t="n">
        <v>6</v>
      </c>
      <c r="Q249" s="3" t="n">
        <v>62</v>
      </c>
    </row>
    <row r="250" customFormat="false" ht="14.25" hidden="false" customHeight="false" outlineLevel="0" collapsed="false">
      <c r="A250" s="3" t="n">
        <v>85</v>
      </c>
      <c r="B250" s="51" t="s">
        <v>487</v>
      </c>
      <c r="C250" s="51" t="s">
        <v>488</v>
      </c>
      <c r="D250" s="51" t="n">
        <v>213711</v>
      </c>
      <c r="E250" s="51" t="s">
        <v>238</v>
      </c>
      <c r="F250" s="47" t="n">
        <v>13</v>
      </c>
      <c r="G250" s="49" t="n">
        <v>202116</v>
      </c>
      <c r="H250" s="51" t="s">
        <v>238</v>
      </c>
      <c r="I250" s="3" t="s">
        <v>630</v>
      </c>
      <c r="J250" s="3" t="n">
        <v>1</v>
      </c>
      <c r="K250" s="53" t="n">
        <v>45112</v>
      </c>
      <c r="L250" s="3" t="s">
        <v>631</v>
      </c>
      <c r="M250" s="54" t="n">
        <v>45112.7887731481</v>
      </c>
      <c r="N250" s="3" t="n">
        <v>14</v>
      </c>
      <c r="O250" s="3" t="n">
        <v>14</v>
      </c>
      <c r="P250" s="3" t="n">
        <v>1</v>
      </c>
      <c r="Q250" s="3" t="n">
        <v>69</v>
      </c>
    </row>
    <row r="251" customFormat="false" ht="14.25" hidden="false" customHeight="false" outlineLevel="0" collapsed="false">
      <c r="A251" s="3" t="n">
        <v>86</v>
      </c>
      <c r="B251" s="51" t="s">
        <v>487</v>
      </c>
      <c r="C251" s="51" t="s">
        <v>488</v>
      </c>
      <c r="D251" s="51" t="n">
        <v>213711</v>
      </c>
      <c r="E251" s="51" t="s">
        <v>238</v>
      </c>
      <c r="F251" s="47" t="n">
        <v>13</v>
      </c>
      <c r="G251" s="49" t="n">
        <v>202116</v>
      </c>
      <c r="H251" s="51" t="s">
        <v>238</v>
      </c>
      <c r="I251" s="3" t="s">
        <v>632</v>
      </c>
      <c r="J251" s="3" t="n">
        <v>1</v>
      </c>
      <c r="K251" s="53" t="n">
        <v>45112</v>
      </c>
      <c r="L251" s="3" t="s">
        <v>633</v>
      </c>
      <c r="M251" s="54" t="n">
        <v>45112.7888078704</v>
      </c>
      <c r="N251" s="3" t="n">
        <v>14</v>
      </c>
      <c r="O251" s="3" t="n">
        <v>14</v>
      </c>
      <c r="P251" s="3" t="n">
        <v>2</v>
      </c>
      <c r="Q251" s="3" t="n">
        <v>70</v>
      </c>
    </row>
    <row r="252" customFormat="false" ht="14.25" hidden="false" customHeight="false" outlineLevel="0" collapsed="false">
      <c r="A252" s="3" t="n">
        <v>87</v>
      </c>
      <c r="B252" s="51" t="s">
        <v>487</v>
      </c>
      <c r="C252" s="51" t="s">
        <v>488</v>
      </c>
      <c r="D252" s="51" t="n">
        <v>213711</v>
      </c>
      <c r="E252" s="51" t="s">
        <v>238</v>
      </c>
      <c r="F252" s="47" t="n">
        <v>13</v>
      </c>
      <c r="G252" s="49" t="n">
        <v>202116</v>
      </c>
      <c r="H252" s="51" t="s">
        <v>238</v>
      </c>
      <c r="I252" s="3" t="s">
        <v>634</v>
      </c>
      <c r="J252" s="3" t="n">
        <v>1</v>
      </c>
      <c r="K252" s="53" t="n">
        <v>45112</v>
      </c>
      <c r="L252" s="3" t="s">
        <v>635</v>
      </c>
      <c r="M252" s="54" t="n">
        <v>45112.7889814815</v>
      </c>
      <c r="N252" s="3" t="n">
        <v>14</v>
      </c>
      <c r="O252" s="3" t="n">
        <v>14</v>
      </c>
      <c r="P252" s="3" t="n">
        <v>3</v>
      </c>
      <c r="Q252" s="3" t="n">
        <v>71</v>
      </c>
    </row>
    <row r="253" customFormat="false" ht="14.25" hidden="false" customHeight="false" outlineLevel="0" collapsed="false">
      <c r="A253" s="3" t="n">
        <v>88</v>
      </c>
      <c r="B253" s="51" t="s">
        <v>487</v>
      </c>
      <c r="C253" s="51" t="s">
        <v>488</v>
      </c>
      <c r="D253" s="51" t="n">
        <v>213711</v>
      </c>
      <c r="E253" s="51" t="s">
        <v>238</v>
      </c>
      <c r="F253" s="47" t="n">
        <v>13</v>
      </c>
      <c r="G253" s="49" t="n">
        <v>202116</v>
      </c>
      <c r="H253" s="51" t="s">
        <v>238</v>
      </c>
      <c r="I253" s="3" t="s">
        <v>636</v>
      </c>
      <c r="J253" s="3" t="n">
        <v>3</v>
      </c>
      <c r="K253" s="53" t="n">
        <v>45112</v>
      </c>
      <c r="L253" s="3" t="s">
        <v>637</v>
      </c>
      <c r="M253" s="54" t="n">
        <v>45112.789525463</v>
      </c>
      <c r="N253" s="3" t="n">
        <v>14</v>
      </c>
      <c r="O253" s="3" t="n">
        <v>14</v>
      </c>
      <c r="P253" s="3" t="n">
        <v>4</v>
      </c>
      <c r="Q253" s="3" t="n">
        <v>72</v>
      </c>
    </row>
    <row r="254" customFormat="false" ht="14.25" hidden="false" customHeight="false" outlineLevel="0" collapsed="false">
      <c r="A254" s="3" t="n">
        <v>89</v>
      </c>
      <c r="B254" s="51" t="s">
        <v>487</v>
      </c>
      <c r="C254" s="51" t="s">
        <v>488</v>
      </c>
      <c r="D254" s="51" t="n">
        <v>213711</v>
      </c>
      <c r="E254" s="51" t="s">
        <v>238</v>
      </c>
      <c r="F254" s="47" t="n">
        <v>13</v>
      </c>
      <c r="G254" s="49" t="n">
        <v>202116</v>
      </c>
      <c r="H254" s="51" t="s">
        <v>238</v>
      </c>
      <c r="I254" s="3" t="s">
        <v>638</v>
      </c>
      <c r="J254" s="3" t="n">
        <v>1</v>
      </c>
      <c r="K254" s="53" t="n">
        <v>45112</v>
      </c>
      <c r="L254" s="3" t="s">
        <v>639</v>
      </c>
      <c r="M254" s="54" t="n">
        <v>45112.7895717593</v>
      </c>
      <c r="N254" s="3" t="n">
        <v>14</v>
      </c>
      <c r="O254" s="3" t="n">
        <v>14</v>
      </c>
      <c r="P254" s="3" t="n">
        <v>5</v>
      </c>
      <c r="Q254" s="3" t="n">
        <v>73</v>
      </c>
    </row>
    <row r="255" customFormat="false" ht="14.25" hidden="false" customHeight="false" outlineLevel="0" collapsed="false">
      <c r="A255" s="3" t="n">
        <v>90</v>
      </c>
      <c r="B255" s="51" t="s">
        <v>487</v>
      </c>
      <c r="C255" s="51" t="s">
        <v>488</v>
      </c>
      <c r="D255" s="51" t="n">
        <v>213711</v>
      </c>
      <c r="E255" s="51" t="s">
        <v>238</v>
      </c>
      <c r="F255" s="47" t="n">
        <v>13</v>
      </c>
      <c r="G255" s="49" t="n">
        <v>202116</v>
      </c>
      <c r="H255" s="51" t="s">
        <v>238</v>
      </c>
      <c r="I255" s="3" t="s">
        <v>640</v>
      </c>
      <c r="J255" s="3" t="n">
        <v>2</v>
      </c>
      <c r="K255" s="53" t="n">
        <v>45112</v>
      </c>
      <c r="L255" s="3" t="s">
        <v>641</v>
      </c>
      <c r="M255" s="54" t="n">
        <v>45112.7903356482</v>
      </c>
      <c r="N255" s="3" t="n">
        <v>14</v>
      </c>
      <c r="O255" s="3" t="n">
        <v>14</v>
      </c>
      <c r="P255" s="3" t="n">
        <v>6</v>
      </c>
      <c r="Q255" s="3" t="n">
        <v>74</v>
      </c>
    </row>
    <row r="256" customFormat="false" ht="14.25" hidden="false" customHeight="false" outlineLevel="0" collapsed="false">
      <c r="A256" s="3" t="n">
        <v>91</v>
      </c>
      <c r="B256" s="51" t="s">
        <v>487</v>
      </c>
      <c r="C256" s="51" t="s">
        <v>488</v>
      </c>
      <c r="D256" s="51" t="n">
        <v>213711</v>
      </c>
      <c r="E256" s="51" t="s">
        <v>238</v>
      </c>
      <c r="F256" s="47" t="n">
        <v>13</v>
      </c>
      <c r="G256" s="49" t="n">
        <v>202116</v>
      </c>
      <c r="H256" s="51" t="s">
        <v>238</v>
      </c>
      <c r="I256" s="3" t="s">
        <v>642</v>
      </c>
      <c r="J256" s="3" t="n">
        <v>0</v>
      </c>
      <c r="K256" s="53" t="n">
        <v>45112</v>
      </c>
      <c r="L256" s="3" t="s">
        <v>643</v>
      </c>
      <c r="M256" s="54" t="n">
        <v>45112.7909722222</v>
      </c>
      <c r="N256" s="3" t="n">
        <v>14</v>
      </c>
      <c r="O256" s="3" t="n">
        <v>14</v>
      </c>
      <c r="P256" s="3" t="n">
        <v>7</v>
      </c>
      <c r="Q256" s="3" t="n">
        <v>75</v>
      </c>
    </row>
    <row r="257" customFormat="false" ht="14.25" hidden="false" customHeight="false" outlineLevel="0" collapsed="false">
      <c r="A257" s="3" t="n">
        <v>92</v>
      </c>
      <c r="B257" s="51" t="s">
        <v>487</v>
      </c>
      <c r="C257" s="51" t="s">
        <v>488</v>
      </c>
      <c r="D257" s="51" t="n">
        <v>213711</v>
      </c>
      <c r="E257" s="51" t="s">
        <v>238</v>
      </c>
      <c r="F257" s="47" t="n">
        <v>13</v>
      </c>
      <c r="G257" s="49" t="n">
        <v>202116</v>
      </c>
      <c r="H257" s="51" t="s">
        <v>238</v>
      </c>
      <c r="I257" s="3" t="s">
        <v>644</v>
      </c>
      <c r="J257" s="3" t="n">
        <v>1</v>
      </c>
      <c r="K257" s="53" t="n">
        <v>45112</v>
      </c>
      <c r="L257" s="3" t="s">
        <v>645</v>
      </c>
      <c r="M257" s="54" t="n">
        <v>45112.7911226852</v>
      </c>
      <c r="N257" s="3" t="n">
        <v>14</v>
      </c>
      <c r="O257" s="3" t="n">
        <v>14</v>
      </c>
      <c r="P257" s="3" t="n">
        <v>8</v>
      </c>
      <c r="Q257" s="3" t="n">
        <v>76</v>
      </c>
    </row>
    <row r="258" customFormat="false" ht="14.25" hidden="false" customHeight="false" outlineLevel="0" collapsed="false">
      <c r="A258" s="3" t="n">
        <v>89</v>
      </c>
      <c r="B258" s="51" t="s">
        <v>77</v>
      </c>
      <c r="C258" s="51" t="s">
        <v>78</v>
      </c>
      <c r="D258" s="51" t="n">
        <v>213665</v>
      </c>
      <c r="E258" s="51" t="s">
        <v>238</v>
      </c>
      <c r="F258" s="47" t="n">
        <v>13</v>
      </c>
      <c r="G258" s="49" t="n">
        <v>202116</v>
      </c>
      <c r="H258" s="51" t="s">
        <v>238</v>
      </c>
      <c r="I258" s="3" t="s">
        <v>239</v>
      </c>
      <c r="J258" s="3" t="n">
        <v>0</v>
      </c>
      <c r="K258" s="53" t="n">
        <v>45114</v>
      </c>
      <c r="L258" s="3" t="s">
        <v>240</v>
      </c>
      <c r="M258" s="54" t="n">
        <v>45114.669537037</v>
      </c>
      <c r="N258" s="3" t="n">
        <v>14</v>
      </c>
      <c r="O258" s="3" t="n">
        <v>14</v>
      </c>
      <c r="P258" s="3" t="n">
        <v>9</v>
      </c>
      <c r="Q258" s="3" t="n">
        <v>74</v>
      </c>
    </row>
    <row r="259" customFormat="false" ht="14.25" hidden="false" customHeight="false" outlineLevel="0" collapsed="false">
      <c r="A259" s="3" t="n">
        <v>93</v>
      </c>
      <c r="B259" s="51" t="s">
        <v>487</v>
      </c>
      <c r="C259" s="51" t="s">
        <v>488</v>
      </c>
      <c r="D259" s="51" t="n">
        <v>213711</v>
      </c>
      <c r="E259" s="51" t="s">
        <v>646</v>
      </c>
      <c r="F259" s="47" t="n">
        <v>19</v>
      </c>
      <c r="G259" s="49" t="n">
        <v>202451</v>
      </c>
      <c r="H259" s="51" t="s">
        <v>646</v>
      </c>
      <c r="I259" s="3" t="s">
        <v>647</v>
      </c>
      <c r="J259" s="3" t="n">
        <v>2</v>
      </c>
      <c r="K259" s="53" t="n">
        <v>45112</v>
      </c>
      <c r="L259" s="3" t="s">
        <v>648</v>
      </c>
      <c r="M259" s="54" t="n">
        <v>45112.7915162037</v>
      </c>
      <c r="N259" s="3" t="n">
        <v>15</v>
      </c>
      <c r="O259" s="3" t="n">
        <v>15</v>
      </c>
      <c r="P259" s="3" t="n">
        <v>1</v>
      </c>
      <c r="Q259" s="3" t="n">
        <v>77</v>
      </c>
    </row>
    <row r="260" customFormat="false" ht="14.25" hidden="false" customHeight="false" outlineLevel="0" collapsed="false">
      <c r="A260" s="3" t="n">
        <v>94</v>
      </c>
      <c r="B260" s="51" t="s">
        <v>487</v>
      </c>
      <c r="C260" s="51" t="s">
        <v>488</v>
      </c>
      <c r="D260" s="51" t="n">
        <v>213711</v>
      </c>
      <c r="E260" s="51" t="s">
        <v>646</v>
      </c>
      <c r="F260" s="47" t="n">
        <v>19</v>
      </c>
      <c r="G260" s="49" t="n">
        <v>202451</v>
      </c>
      <c r="H260" s="51" t="s">
        <v>646</v>
      </c>
      <c r="I260" s="3" t="s">
        <v>649</v>
      </c>
      <c r="J260" s="3" t="n">
        <v>1</v>
      </c>
      <c r="K260" s="53" t="n">
        <v>45112</v>
      </c>
      <c r="L260" s="3" t="s">
        <v>650</v>
      </c>
      <c r="M260" s="54" t="n">
        <v>45112.7915740741</v>
      </c>
      <c r="N260" s="3" t="n">
        <v>15</v>
      </c>
      <c r="O260" s="3" t="n">
        <v>15</v>
      </c>
      <c r="P260" s="3" t="n">
        <v>2</v>
      </c>
      <c r="Q260" s="3" t="n">
        <v>78</v>
      </c>
    </row>
    <row r="261" customFormat="false" ht="14.25" hidden="false" customHeight="false" outlineLevel="0" collapsed="false">
      <c r="A261" s="3" t="n">
        <v>107</v>
      </c>
      <c r="B261" s="51" t="s">
        <v>487</v>
      </c>
      <c r="C261" s="51" t="s">
        <v>488</v>
      </c>
      <c r="D261" s="51" t="n">
        <v>213711</v>
      </c>
      <c r="E261" s="51" t="s">
        <v>646</v>
      </c>
      <c r="F261" s="47" t="n">
        <v>19</v>
      </c>
      <c r="G261" s="49" t="n">
        <v>202451</v>
      </c>
      <c r="H261" s="51" t="s">
        <v>646</v>
      </c>
      <c r="I261" s="3" t="s">
        <v>673</v>
      </c>
      <c r="J261" s="3" t="n">
        <v>0</v>
      </c>
      <c r="K261" s="53" t="n">
        <v>45113</v>
      </c>
      <c r="L261" s="3" t="s">
        <v>674</v>
      </c>
      <c r="M261" s="54" t="n">
        <v>45113.0792476852</v>
      </c>
      <c r="N261" s="3" t="n">
        <v>15</v>
      </c>
      <c r="O261" s="3" t="n">
        <v>15</v>
      </c>
      <c r="P261" s="3" t="n">
        <v>3</v>
      </c>
      <c r="Q261" s="3" t="n">
        <v>91</v>
      </c>
    </row>
    <row r="262" customFormat="false" ht="14.25" hidden="false" customHeight="false" outlineLevel="0" collapsed="false">
      <c r="A262" s="3" t="n">
        <v>108</v>
      </c>
      <c r="B262" s="51" t="s">
        <v>487</v>
      </c>
      <c r="C262" s="51" t="s">
        <v>488</v>
      </c>
      <c r="D262" s="51" t="n">
        <v>213711</v>
      </c>
      <c r="E262" s="51" t="s">
        <v>646</v>
      </c>
      <c r="F262" s="47" t="n">
        <v>19</v>
      </c>
      <c r="G262" s="49" t="n">
        <v>202451</v>
      </c>
      <c r="H262" s="51" t="s">
        <v>646</v>
      </c>
      <c r="I262" s="3" t="s">
        <v>675</v>
      </c>
      <c r="J262" s="3" t="n">
        <v>2</v>
      </c>
      <c r="K262" s="53" t="n">
        <v>45113</v>
      </c>
      <c r="L262" s="3" t="s">
        <v>676</v>
      </c>
      <c r="M262" s="54" t="n">
        <v>45113.0792939815</v>
      </c>
      <c r="N262" s="3" t="n">
        <v>15</v>
      </c>
      <c r="O262" s="3" t="n">
        <v>15</v>
      </c>
      <c r="P262" s="3" t="n">
        <v>4</v>
      </c>
      <c r="Q262" s="3" t="n">
        <v>92</v>
      </c>
    </row>
    <row r="263" customFormat="false" ht="14.25" hidden="false" customHeight="false" outlineLevel="0" collapsed="false">
      <c r="A263" s="3" t="n">
        <v>109</v>
      </c>
      <c r="B263" s="51" t="s">
        <v>487</v>
      </c>
      <c r="C263" s="51" t="s">
        <v>488</v>
      </c>
      <c r="D263" s="51" t="n">
        <v>213711</v>
      </c>
      <c r="E263" s="51" t="s">
        <v>646</v>
      </c>
      <c r="F263" s="47" t="n">
        <v>19</v>
      </c>
      <c r="G263" s="49" t="n">
        <v>202451</v>
      </c>
      <c r="H263" s="51" t="s">
        <v>646</v>
      </c>
      <c r="I263" s="3" t="s">
        <v>677</v>
      </c>
      <c r="J263" s="3" t="n">
        <v>1</v>
      </c>
      <c r="K263" s="53" t="n">
        <v>45113</v>
      </c>
      <c r="L263" s="3" t="s">
        <v>678</v>
      </c>
      <c r="M263" s="54" t="n">
        <v>45113.0798611111</v>
      </c>
      <c r="N263" s="3" t="n">
        <v>15</v>
      </c>
      <c r="O263" s="3" t="n">
        <v>15</v>
      </c>
      <c r="P263" s="3" t="n">
        <v>5</v>
      </c>
      <c r="Q263" s="3" t="n">
        <v>93</v>
      </c>
    </row>
    <row r="264" customFormat="false" ht="14.25" hidden="false" customHeight="false" outlineLevel="0" collapsed="false">
      <c r="A264" s="3" t="n">
        <v>110</v>
      </c>
      <c r="B264" s="51" t="s">
        <v>487</v>
      </c>
      <c r="C264" s="51" t="s">
        <v>488</v>
      </c>
      <c r="D264" s="51" t="n">
        <v>213711</v>
      </c>
      <c r="E264" s="51" t="s">
        <v>646</v>
      </c>
      <c r="F264" s="47" t="n">
        <v>19</v>
      </c>
      <c r="G264" s="49" t="n">
        <v>202451</v>
      </c>
      <c r="H264" s="51" t="s">
        <v>646</v>
      </c>
      <c r="I264" s="3" t="s">
        <v>679</v>
      </c>
      <c r="J264" s="3" t="n">
        <v>0</v>
      </c>
      <c r="K264" s="53" t="n">
        <v>45113</v>
      </c>
      <c r="L264" s="3" t="s">
        <v>680</v>
      </c>
      <c r="M264" s="54" t="n">
        <v>45113.0845833333</v>
      </c>
      <c r="N264" s="3" t="n">
        <v>15</v>
      </c>
      <c r="O264" s="3" t="n">
        <v>15</v>
      </c>
      <c r="P264" s="3" t="n">
        <v>6</v>
      </c>
      <c r="Q264" s="3" t="n">
        <v>94</v>
      </c>
    </row>
    <row r="265" customFormat="false" ht="14.25" hidden="false" customHeight="false" outlineLevel="0" collapsed="false">
      <c r="A265" s="3" t="n">
        <v>111</v>
      </c>
      <c r="B265" s="51" t="s">
        <v>487</v>
      </c>
      <c r="C265" s="51" t="s">
        <v>488</v>
      </c>
      <c r="D265" s="51" t="n">
        <v>213711</v>
      </c>
      <c r="E265" s="51" t="s">
        <v>646</v>
      </c>
      <c r="F265" s="47" t="n">
        <v>19</v>
      </c>
      <c r="G265" s="49" t="n">
        <v>202451</v>
      </c>
      <c r="H265" s="51" t="s">
        <v>646</v>
      </c>
      <c r="I265" s="3" t="s">
        <v>681</v>
      </c>
      <c r="J265" s="3" t="n">
        <v>2</v>
      </c>
      <c r="K265" s="53" t="n">
        <v>45113</v>
      </c>
      <c r="L265" s="3" t="s">
        <v>682</v>
      </c>
      <c r="M265" s="54" t="n">
        <v>45113.0846180556</v>
      </c>
      <c r="N265" s="3" t="n">
        <v>15</v>
      </c>
      <c r="O265" s="3" t="n">
        <v>15</v>
      </c>
      <c r="P265" s="3" t="n">
        <v>7</v>
      </c>
      <c r="Q265" s="3" t="n">
        <v>95</v>
      </c>
    </row>
    <row r="266" customFormat="false" ht="14.25" hidden="false" customHeight="false" outlineLevel="0" collapsed="false">
      <c r="A266" s="3" t="n">
        <v>145</v>
      </c>
      <c r="B266" s="51" t="s">
        <v>487</v>
      </c>
      <c r="C266" s="51" t="s">
        <v>488</v>
      </c>
      <c r="D266" s="51" t="n">
        <v>213711</v>
      </c>
      <c r="E266" s="51" t="s">
        <v>646</v>
      </c>
      <c r="F266" s="47" t="n">
        <v>19</v>
      </c>
      <c r="G266" s="49" t="n">
        <v>202451</v>
      </c>
      <c r="H266" s="51" t="s">
        <v>646</v>
      </c>
      <c r="I266" s="3" t="s">
        <v>750</v>
      </c>
      <c r="J266" s="3" t="n">
        <v>2</v>
      </c>
      <c r="K266" s="53" t="n">
        <v>45113</v>
      </c>
      <c r="L266" s="3" t="s">
        <v>751</v>
      </c>
      <c r="M266" s="54" t="n">
        <v>45113.2043865741</v>
      </c>
      <c r="N266" s="3" t="n">
        <v>15</v>
      </c>
      <c r="O266" s="3" t="n">
        <v>15</v>
      </c>
      <c r="P266" s="3" t="n">
        <v>8</v>
      </c>
      <c r="Q266" s="3" t="n">
        <v>129</v>
      </c>
    </row>
    <row r="267" customFormat="false" ht="14.25" hidden="false" customHeight="false" outlineLevel="0" collapsed="false">
      <c r="A267" s="3" t="n">
        <v>146</v>
      </c>
      <c r="B267" s="51" t="s">
        <v>487</v>
      </c>
      <c r="C267" s="51" t="s">
        <v>488</v>
      </c>
      <c r="D267" s="51" t="n">
        <v>213711</v>
      </c>
      <c r="E267" s="51" t="s">
        <v>646</v>
      </c>
      <c r="F267" s="47" t="n">
        <v>19</v>
      </c>
      <c r="G267" s="49" t="n">
        <v>202451</v>
      </c>
      <c r="H267" s="51" t="s">
        <v>646</v>
      </c>
      <c r="I267" s="3" t="s">
        <v>752</v>
      </c>
      <c r="J267" s="3" t="n">
        <v>1</v>
      </c>
      <c r="K267" s="53" t="n">
        <v>45113</v>
      </c>
      <c r="L267" s="3" t="s">
        <v>753</v>
      </c>
      <c r="M267" s="54" t="n">
        <v>45113.2056134259</v>
      </c>
      <c r="N267" s="3" t="n">
        <v>15</v>
      </c>
      <c r="O267" s="3" t="n">
        <v>15</v>
      </c>
      <c r="P267" s="3" t="n">
        <v>9</v>
      </c>
      <c r="Q267" s="3" t="n">
        <v>130</v>
      </c>
    </row>
    <row r="268" customFormat="false" ht="14.25" hidden="false" customHeight="false" outlineLevel="0" collapsed="false">
      <c r="A268" s="3" t="n">
        <v>134</v>
      </c>
      <c r="B268" s="51" t="s">
        <v>487</v>
      </c>
      <c r="C268" s="51" t="s">
        <v>488</v>
      </c>
      <c r="D268" s="51" t="n">
        <v>213711</v>
      </c>
      <c r="E268" s="51" t="s">
        <v>727</v>
      </c>
      <c r="F268" s="47" t="n">
        <v>21</v>
      </c>
      <c r="G268" s="49" t="n">
        <v>213097</v>
      </c>
      <c r="H268" s="51" t="s">
        <v>727</v>
      </c>
      <c r="I268" s="3" t="s">
        <v>728</v>
      </c>
      <c r="J268" s="3" t="n">
        <v>0</v>
      </c>
      <c r="K268" s="53" t="n">
        <v>45113</v>
      </c>
      <c r="L268" s="3" t="s">
        <v>729</v>
      </c>
      <c r="M268" s="54" t="n">
        <v>45113.2017013889</v>
      </c>
      <c r="N268" s="3" t="n">
        <v>16</v>
      </c>
      <c r="O268" s="3" t="n">
        <v>16</v>
      </c>
      <c r="P268" s="3" t="n">
        <v>1</v>
      </c>
      <c r="Q268" s="3" t="n">
        <v>118</v>
      </c>
    </row>
    <row r="269" customFormat="false" ht="14.25" hidden="false" customHeight="false" outlineLevel="0" collapsed="false">
      <c r="A269" s="3" t="n">
        <v>135</v>
      </c>
      <c r="B269" s="51" t="s">
        <v>487</v>
      </c>
      <c r="C269" s="51" t="s">
        <v>488</v>
      </c>
      <c r="D269" s="51" t="n">
        <v>213711</v>
      </c>
      <c r="E269" s="51" t="s">
        <v>727</v>
      </c>
      <c r="F269" s="47" t="n">
        <v>21</v>
      </c>
      <c r="G269" s="49" t="n">
        <v>213097</v>
      </c>
      <c r="H269" s="51" t="s">
        <v>727</v>
      </c>
      <c r="I269" s="3" t="s">
        <v>730</v>
      </c>
      <c r="J269" s="3" t="n">
        <v>1</v>
      </c>
      <c r="K269" s="53" t="n">
        <v>45113</v>
      </c>
      <c r="L269" s="3" t="s">
        <v>731</v>
      </c>
      <c r="M269" s="54" t="n">
        <v>45113.201712963</v>
      </c>
      <c r="N269" s="3" t="n">
        <v>16</v>
      </c>
      <c r="O269" s="3" t="n">
        <v>16</v>
      </c>
      <c r="P269" s="3" t="n">
        <v>2</v>
      </c>
      <c r="Q269" s="3" t="n">
        <v>119</v>
      </c>
    </row>
    <row r="270" customFormat="false" ht="14.25" hidden="false" customHeight="false" outlineLevel="0" collapsed="false">
      <c r="A270" s="3" t="n">
        <v>136</v>
      </c>
      <c r="B270" s="51" t="s">
        <v>487</v>
      </c>
      <c r="C270" s="51" t="s">
        <v>488</v>
      </c>
      <c r="D270" s="51" t="n">
        <v>213711</v>
      </c>
      <c r="E270" s="51" t="s">
        <v>727</v>
      </c>
      <c r="F270" s="47" t="n">
        <v>21</v>
      </c>
      <c r="G270" s="49" t="n">
        <v>213097</v>
      </c>
      <c r="H270" s="51" t="s">
        <v>727</v>
      </c>
      <c r="I270" s="3" t="s">
        <v>732</v>
      </c>
      <c r="J270" s="3" t="n">
        <v>1</v>
      </c>
      <c r="K270" s="53" t="n">
        <v>45113</v>
      </c>
      <c r="L270" s="3" t="s">
        <v>733</v>
      </c>
      <c r="M270" s="54" t="n">
        <v>45113.2018981481</v>
      </c>
      <c r="N270" s="3" t="n">
        <v>16</v>
      </c>
      <c r="O270" s="3" t="n">
        <v>16</v>
      </c>
      <c r="P270" s="3" t="n">
        <v>3</v>
      </c>
      <c r="Q270" s="3" t="n">
        <v>120</v>
      </c>
    </row>
    <row r="271" customFormat="false" ht="14.25" hidden="false" customHeight="false" outlineLevel="0" collapsed="false">
      <c r="A271" s="3" t="n">
        <v>137</v>
      </c>
      <c r="B271" s="51" t="s">
        <v>487</v>
      </c>
      <c r="C271" s="51" t="s">
        <v>488</v>
      </c>
      <c r="D271" s="51" t="n">
        <v>213711</v>
      </c>
      <c r="E271" s="51" t="s">
        <v>727</v>
      </c>
      <c r="F271" s="47" t="n">
        <v>21</v>
      </c>
      <c r="G271" s="49" t="n">
        <v>213097</v>
      </c>
      <c r="H271" s="51" t="s">
        <v>727</v>
      </c>
      <c r="I271" s="3" t="s">
        <v>734</v>
      </c>
      <c r="J271" s="3" t="n">
        <v>1</v>
      </c>
      <c r="K271" s="53" t="n">
        <v>45113</v>
      </c>
      <c r="L271" s="3" t="s">
        <v>735</v>
      </c>
      <c r="M271" s="54" t="n">
        <v>45113.2022106481</v>
      </c>
      <c r="N271" s="3" t="n">
        <v>16</v>
      </c>
      <c r="O271" s="3" t="n">
        <v>16</v>
      </c>
      <c r="P271" s="3" t="n">
        <v>4</v>
      </c>
      <c r="Q271" s="3" t="n">
        <v>121</v>
      </c>
    </row>
    <row r="272" customFormat="false" ht="14.25" hidden="false" customHeight="false" outlineLevel="0" collapsed="false">
      <c r="A272" s="3" t="n">
        <v>138</v>
      </c>
      <c r="B272" s="51" t="s">
        <v>487</v>
      </c>
      <c r="C272" s="51" t="s">
        <v>488</v>
      </c>
      <c r="D272" s="51" t="n">
        <v>213711</v>
      </c>
      <c r="E272" s="51" t="s">
        <v>727</v>
      </c>
      <c r="F272" s="47" t="n">
        <v>21</v>
      </c>
      <c r="G272" s="49" t="n">
        <v>213097</v>
      </c>
      <c r="H272" s="51" t="s">
        <v>727</v>
      </c>
      <c r="I272" s="3" t="s">
        <v>736</v>
      </c>
      <c r="J272" s="3" t="n">
        <v>2</v>
      </c>
      <c r="K272" s="53" t="n">
        <v>45113</v>
      </c>
      <c r="L272" s="3" t="s">
        <v>737</v>
      </c>
      <c r="M272" s="54" t="n">
        <v>45113.2022222222</v>
      </c>
      <c r="N272" s="3" t="n">
        <v>16</v>
      </c>
      <c r="O272" s="3" t="n">
        <v>16</v>
      </c>
      <c r="P272" s="3" t="n">
        <v>5</v>
      </c>
      <c r="Q272" s="3" t="n">
        <v>122</v>
      </c>
    </row>
    <row r="273" customFormat="false" ht="14.25" hidden="false" customHeight="false" outlineLevel="0" collapsed="false">
      <c r="A273" s="3" t="n">
        <v>139</v>
      </c>
      <c r="B273" s="51" t="s">
        <v>487</v>
      </c>
      <c r="C273" s="51" t="s">
        <v>488</v>
      </c>
      <c r="D273" s="51" t="n">
        <v>213711</v>
      </c>
      <c r="E273" s="51" t="s">
        <v>727</v>
      </c>
      <c r="F273" s="47" t="n">
        <v>21</v>
      </c>
      <c r="G273" s="49" t="n">
        <v>213097</v>
      </c>
      <c r="H273" s="51" t="s">
        <v>727</v>
      </c>
      <c r="I273" s="3" t="s">
        <v>738</v>
      </c>
      <c r="J273" s="3" t="n">
        <v>1</v>
      </c>
      <c r="K273" s="53" t="n">
        <v>45113</v>
      </c>
      <c r="L273" s="3" t="s">
        <v>739</v>
      </c>
      <c r="M273" s="54" t="n">
        <v>45113.2024768519</v>
      </c>
      <c r="N273" s="3" t="n">
        <v>16</v>
      </c>
      <c r="O273" s="3" t="n">
        <v>16</v>
      </c>
      <c r="P273" s="3" t="n">
        <v>6</v>
      </c>
      <c r="Q273" s="3" t="n">
        <v>123</v>
      </c>
    </row>
    <row r="274" customFormat="false" ht="14.25" hidden="false" customHeight="false" outlineLevel="0" collapsed="false">
      <c r="A274" s="3" t="n">
        <v>140</v>
      </c>
      <c r="B274" s="51" t="s">
        <v>487</v>
      </c>
      <c r="C274" s="51" t="s">
        <v>488</v>
      </c>
      <c r="D274" s="51" t="n">
        <v>213711</v>
      </c>
      <c r="E274" s="51" t="s">
        <v>727</v>
      </c>
      <c r="F274" s="47" t="n">
        <v>21</v>
      </c>
      <c r="G274" s="49" t="n">
        <v>213097</v>
      </c>
      <c r="H274" s="51" t="s">
        <v>727</v>
      </c>
      <c r="I274" s="3" t="s">
        <v>740</v>
      </c>
      <c r="J274" s="3" t="n">
        <v>0</v>
      </c>
      <c r="K274" s="53" t="n">
        <v>45113</v>
      </c>
      <c r="L274" s="3" t="s">
        <v>741</v>
      </c>
      <c r="M274" s="54" t="n">
        <v>45113.2027199074</v>
      </c>
      <c r="N274" s="3" t="n">
        <v>16</v>
      </c>
      <c r="O274" s="3" t="n">
        <v>16</v>
      </c>
      <c r="P274" s="3" t="n">
        <v>7</v>
      </c>
      <c r="Q274" s="3" t="n">
        <v>124</v>
      </c>
    </row>
    <row r="275" customFormat="false" ht="14.25" hidden="false" customHeight="false" outlineLevel="0" collapsed="false">
      <c r="A275" s="3" t="n">
        <v>141</v>
      </c>
      <c r="B275" s="51" t="s">
        <v>487</v>
      </c>
      <c r="C275" s="51" t="s">
        <v>488</v>
      </c>
      <c r="D275" s="51" t="n">
        <v>213711</v>
      </c>
      <c r="E275" s="51" t="s">
        <v>727</v>
      </c>
      <c r="F275" s="47" t="n">
        <v>21</v>
      </c>
      <c r="G275" s="49" t="n">
        <v>213097</v>
      </c>
      <c r="H275" s="51" t="s">
        <v>727</v>
      </c>
      <c r="I275" s="3" t="s">
        <v>742</v>
      </c>
      <c r="J275" s="3" t="n">
        <v>0</v>
      </c>
      <c r="K275" s="53" t="n">
        <v>45113</v>
      </c>
      <c r="L275" s="3" t="s">
        <v>743</v>
      </c>
      <c r="M275" s="54" t="n">
        <v>45113.2027430556</v>
      </c>
      <c r="N275" s="3" t="n">
        <v>16</v>
      </c>
      <c r="O275" s="3" t="n">
        <v>16</v>
      </c>
      <c r="P275" s="3" t="n">
        <v>8</v>
      </c>
      <c r="Q275" s="3" t="n">
        <v>125</v>
      </c>
    </row>
    <row r="276" customFormat="false" ht="14.25" hidden="false" customHeight="false" outlineLevel="0" collapsed="false">
      <c r="A276" s="3" t="n">
        <v>142</v>
      </c>
      <c r="B276" s="51" t="s">
        <v>487</v>
      </c>
      <c r="C276" s="51" t="s">
        <v>488</v>
      </c>
      <c r="D276" s="51" t="n">
        <v>213711</v>
      </c>
      <c r="E276" s="51" t="s">
        <v>727</v>
      </c>
      <c r="F276" s="47" t="n">
        <v>21</v>
      </c>
      <c r="G276" s="49" t="n">
        <v>213097</v>
      </c>
      <c r="H276" s="51" t="s">
        <v>727</v>
      </c>
      <c r="I276" s="3" t="s">
        <v>744</v>
      </c>
      <c r="J276" s="3" t="n">
        <v>1</v>
      </c>
      <c r="K276" s="53" t="n">
        <v>45113</v>
      </c>
      <c r="L276" s="3" t="s">
        <v>745</v>
      </c>
      <c r="M276" s="54" t="n">
        <v>45113.203287037</v>
      </c>
      <c r="N276" s="3" t="n">
        <v>16</v>
      </c>
      <c r="O276" s="3" t="n">
        <v>16</v>
      </c>
      <c r="P276" s="3" t="n">
        <v>9</v>
      </c>
      <c r="Q276" s="3" t="n">
        <v>126</v>
      </c>
    </row>
    <row r="277" customFormat="false" ht="14.25" hidden="false" customHeight="false" outlineLevel="0" collapsed="false">
      <c r="A277" s="3" t="n">
        <v>143</v>
      </c>
      <c r="B277" s="51" t="s">
        <v>487</v>
      </c>
      <c r="C277" s="51" t="s">
        <v>488</v>
      </c>
      <c r="D277" s="51" t="n">
        <v>213711</v>
      </c>
      <c r="E277" s="51" t="s">
        <v>727</v>
      </c>
      <c r="F277" s="47" t="n">
        <v>21</v>
      </c>
      <c r="G277" s="49" t="n">
        <v>213097</v>
      </c>
      <c r="H277" s="51" t="s">
        <v>727</v>
      </c>
      <c r="I277" s="3" t="s">
        <v>746</v>
      </c>
      <c r="J277" s="3" t="n">
        <v>1</v>
      </c>
      <c r="K277" s="53" t="n">
        <v>45113</v>
      </c>
      <c r="L277" s="3" t="s">
        <v>747</v>
      </c>
      <c r="M277" s="54" t="n">
        <v>45113.2036689815</v>
      </c>
      <c r="N277" s="3" t="n">
        <v>16</v>
      </c>
      <c r="O277" s="3" t="n">
        <v>16</v>
      </c>
      <c r="P277" s="3" t="n">
        <v>10</v>
      </c>
      <c r="Q277" s="3" t="n">
        <v>127</v>
      </c>
    </row>
    <row r="278" customFormat="false" ht="14.25" hidden="false" customHeight="false" outlineLevel="0" collapsed="false">
      <c r="A278" s="3" t="n">
        <v>144</v>
      </c>
      <c r="B278" s="51" t="s">
        <v>487</v>
      </c>
      <c r="C278" s="51" t="s">
        <v>488</v>
      </c>
      <c r="D278" s="51" t="n">
        <v>213711</v>
      </c>
      <c r="E278" s="51" t="s">
        <v>727</v>
      </c>
      <c r="F278" s="47" t="n">
        <v>21</v>
      </c>
      <c r="G278" s="49" t="n">
        <v>213097</v>
      </c>
      <c r="H278" s="51" t="s">
        <v>727</v>
      </c>
      <c r="I278" s="3" t="s">
        <v>748</v>
      </c>
      <c r="J278" s="3" t="n">
        <v>2</v>
      </c>
      <c r="K278" s="53" t="n">
        <v>45113</v>
      </c>
      <c r="L278" s="3" t="s">
        <v>749</v>
      </c>
      <c r="M278" s="54" t="n">
        <v>45113.2041087963</v>
      </c>
      <c r="N278" s="3" t="n">
        <v>16</v>
      </c>
      <c r="O278" s="3" t="n">
        <v>16</v>
      </c>
      <c r="P278" s="3" t="n">
        <v>11</v>
      </c>
      <c r="Q278" s="3" t="n">
        <v>128</v>
      </c>
    </row>
    <row r="279" customFormat="false" ht="14.25" hidden="false" customHeight="false" outlineLevel="0" collapsed="false">
      <c r="A279" s="3" t="n">
        <v>147</v>
      </c>
      <c r="B279" s="51" t="s">
        <v>487</v>
      </c>
      <c r="C279" s="51" t="s">
        <v>488</v>
      </c>
      <c r="D279" s="51" t="n">
        <v>213711</v>
      </c>
      <c r="E279" s="51" t="s">
        <v>727</v>
      </c>
      <c r="F279" s="47" t="n">
        <v>21</v>
      </c>
      <c r="G279" s="49" t="n">
        <v>213097</v>
      </c>
      <c r="H279" s="51" t="s">
        <v>727</v>
      </c>
      <c r="I279" s="3" t="s">
        <v>754</v>
      </c>
      <c r="J279" s="3" t="n">
        <v>1</v>
      </c>
      <c r="K279" s="53" t="n">
        <v>45113</v>
      </c>
      <c r="L279" s="3" t="s">
        <v>755</v>
      </c>
      <c r="M279" s="54" t="n">
        <v>45113.2091898148</v>
      </c>
      <c r="N279" s="3" t="n">
        <v>16</v>
      </c>
      <c r="O279" s="3" t="n">
        <v>16</v>
      </c>
      <c r="P279" s="3" t="n">
        <v>12</v>
      </c>
      <c r="Q279" s="3" t="n">
        <v>131</v>
      </c>
    </row>
    <row r="280" customFormat="false" ht="14.25" hidden="false" customHeight="false" outlineLevel="0" collapsed="false">
      <c r="A280" s="3" t="n">
        <v>148</v>
      </c>
      <c r="B280" s="51" t="s">
        <v>487</v>
      </c>
      <c r="C280" s="51" t="s">
        <v>488</v>
      </c>
      <c r="D280" s="51" t="n">
        <v>213711</v>
      </c>
      <c r="E280" s="51" t="s">
        <v>727</v>
      </c>
      <c r="F280" s="47" t="n">
        <v>21</v>
      </c>
      <c r="G280" s="49" t="n">
        <v>213097</v>
      </c>
      <c r="H280" s="51" t="s">
        <v>727</v>
      </c>
      <c r="I280" s="3" t="s">
        <v>756</v>
      </c>
      <c r="J280" s="3" t="n">
        <v>2</v>
      </c>
      <c r="K280" s="53" t="n">
        <v>45113</v>
      </c>
      <c r="L280" s="3" t="s">
        <v>757</v>
      </c>
      <c r="M280" s="54" t="n">
        <v>45113.2092013889</v>
      </c>
      <c r="N280" s="3" t="n">
        <v>16</v>
      </c>
      <c r="O280" s="3" t="n">
        <v>16</v>
      </c>
      <c r="P280" s="3" t="n">
        <v>13</v>
      </c>
      <c r="Q280" s="3" t="n">
        <v>132</v>
      </c>
    </row>
    <row r="281" customFormat="false" ht="14.25" hidden="false" customHeight="false" outlineLevel="0" collapsed="false">
      <c r="A281" s="3" t="n">
        <v>15</v>
      </c>
      <c r="B281" s="51" t="s">
        <v>77</v>
      </c>
      <c r="C281" s="51" t="s">
        <v>78</v>
      </c>
      <c r="D281" s="51" t="n">
        <v>213665</v>
      </c>
      <c r="E281" s="51" t="s">
        <v>79</v>
      </c>
      <c r="F281" s="47" t="n">
        <v>4</v>
      </c>
      <c r="G281" s="49" t="n">
        <v>192010</v>
      </c>
      <c r="H281" s="51" t="s">
        <v>79</v>
      </c>
      <c r="I281" s="3" t="s">
        <v>80</v>
      </c>
      <c r="J281" s="3" t="n">
        <v>0</v>
      </c>
      <c r="K281" s="53" t="n">
        <v>45113</v>
      </c>
      <c r="L281" s="3" t="s">
        <v>81</v>
      </c>
      <c r="M281" s="54" t="n">
        <v>45113.4313078704</v>
      </c>
      <c r="N281" s="3" t="n">
        <v>17</v>
      </c>
      <c r="O281" s="3" t="n">
        <v>17</v>
      </c>
      <c r="P281" s="3" t="n">
        <v>1</v>
      </c>
      <c r="Q281" s="3" t="n">
        <v>1</v>
      </c>
    </row>
    <row r="282" customFormat="false" ht="14.25" hidden="false" customHeight="false" outlineLevel="0" collapsed="false">
      <c r="A282" s="3" t="n">
        <v>16</v>
      </c>
      <c r="B282" s="51" t="s">
        <v>77</v>
      </c>
      <c r="C282" s="51" t="s">
        <v>78</v>
      </c>
      <c r="D282" s="51" t="n">
        <v>213665</v>
      </c>
      <c r="E282" s="51" t="s">
        <v>79</v>
      </c>
      <c r="F282" s="47" t="n">
        <v>4</v>
      </c>
      <c r="G282" s="49" t="n">
        <v>192010</v>
      </c>
      <c r="H282" s="51" t="s">
        <v>79</v>
      </c>
      <c r="I282" s="3" t="s">
        <v>82</v>
      </c>
      <c r="J282" s="3" t="n">
        <v>1</v>
      </c>
      <c r="K282" s="53" t="n">
        <v>45113</v>
      </c>
      <c r="L282" s="3" t="s">
        <v>83</v>
      </c>
      <c r="M282" s="54" t="n">
        <v>45113.4313310185</v>
      </c>
      <c r="N282" s="3" t="n">
        <v>17</v>
      </c>
      <c r="O282" s="3" t="n">
        <v>17</v>
      </c>
      <c r="P282" s="3" t="n">
        <v>2</v>
      </c>
      <c r="Q282" s="3" t="n">
        <v>2</v>
      </c>
    </row>
    <row r="283" customFormat="false" ht="14.25" hidden="false" customHeight="false" outlineLevel="0" collapsed="false">
      <c r="A283" s="3" t="n">
        <v>17</v>
      </c>
      <c r="B283" s="51" t="s">
        <v>77</v>
      </c>
      <c r="C283" s="51" t="s">
        <v>78</v>
      </c>
      <c r="D283" s="51" t="n">
        <v>213665</v>
      </c>
      <c r="E283" s="51" t="s">
        <v>79</v>
      </c>
      <c r="F283" s="47" t="n">
        <v>4</v>
      </c>
      <c r="G283" s="49" t="n">
        <v>192010</v>
      </c>
      <c r="H283" s="51" t="s">
        <v>79</v>
      </c>
      <c r="I283" s="3" t="s">
        <v>84</v>
      </c>
      <c r="J283" s="3" t="n">
        <v>1</v>
      </c>
      <c r="K283" s="53" t="n">
        <v>45113</v>
      </c>
      <c r="L283" s="3" t="s">
        <v>85</v>
      </c>
      <c r="M283" s="54" t="n">
        <v>45113.4314699074</v>
      </c>
      <c r="N283" s="3" t="n">
        <v>17</v>
      </c>
      <c r="O283" s="3" t="n">
        <v>17</v>
      </c>
      <c r="P283" s="3" t="n">
        <v>3</v>
      </c>
      <c r="Q283" s="3" t="n">
        <v>3</v>
      </c>
    </row>
    <row r="284" customFormat="false" ht="14.25" hidden="false" customHeight="false" outlineLevel="0" collapsed="false">
      <c r="A284" s="3" t="n">
        <v>18</v>
      </c>
      <c r="B284" s="51" t="s">
        <v>77</v>
      </c>
      <c r="C284" s="51" t="s">
        <v>78</v>
      </c>
      <c r="D284" s="51" t="n">
        <v>213665</v>
      </c>
      <c r="E284" s="51" t="s">
        <v>79</v>
      </c>
      <c r="F284" s="47" t="n">
        <v>4</v>
      </c>
      <c r="G284" s="49" t="n">
        <v>192010</v>
      </c>
      <c r="H284" s="51" t="s">
        <v>79</v>
      </c>
      <c r="I284" s="3" t="s">
        <v>86</v>
      </c>
      <c r="J284" s="3" t="n">
        <v>1</v>
      </c>
      <c r="K284" s="53" t="n">
        <v>45113</v>
      </c>
      <c r="L284" s="3" t="s">
        <v>87</v>
      </c>
      <c r="M284" s="54" t="n">
        <v>45113.4314930556</v>
      </c>
      <c r="N284" s="3" t="n">
        <v>17</v>
      </c>
      <c r="O284" s="3" t="n">
        <v>17</v>
      </c>
      <c r="P284" s="3" t="n">
        <v>4</v>
      </c>
      <c r="Q284" s="3" t="n">
        <v>4</v>
      </c>
    </row>
    <row r="285" customFormat="false" ht="14.25" hidden="false" customHeight="false" outlineLevel="0" collapsed="false">
      <c r="A285" s="3" t="n">
        <v>113</v>
      </c>
      <c r="B285" s="51" t="s">
        <v>250</v>
      </c>
      <c r="C285" s="51" t="s">
        <v>251</v>
      </c>
      <c r="D285" s="51" t="n">
        <v>213777</v>
      </c>
      <c r="E285" s="51" t="s">
        <v>79</v>
      </c>
      <c r="F285" s="47" t="n">
        <v>4</v>
      </c>
      <c r="G285" s="49" t="n">
        <v>192010</v>
      </c>
      <c r="H285" s="51" t="s">
        <v>79</v>
      </c>
      <c r="I285" s="3" t="s">
        <v>435</v>
      </c>
      <c r="J285" s="3" t="n">
        <v>2</v>
      </c>
      <c r="K285" s="53" t="n">
        <v>45114</v>
      </c>
      <c r="L285" s="3" t="s">
        <v>436</v>
      </c>
      <c r="M285" s="54" t="n">
        <v>45114.6067708333</v>
      </c>
      <c r="N285" s="3" t="n">
        <v>17</v>
      </c>
      <c r="O285" s="3" t="n">
        <v>17</v>
      </c>
      <c r="P285" s="3" t="n">
        <v>5</v>
      </c>
      <c r="Q285" s="3" t="n">
        <v>93</v>
      </c>
    </row>
    <row r="286" customFormat="false" ht="14.25" hidden="false" customHeight="false" outlineLevel="0" collapsed="false">
      <c r="A286" s="3" t="n">
        <v>19</v>
      </c>
      <c r="B286" s="51" t="s">
        <v>77</v>
      </c>
      <c r="C286" s="51" t="s">
        <v>78</v>
      </c>
      <c r="D286" s="51" t="n">
        <v>213665</v>
      </c>
      <c r="E286" s="51" t="s">
        <v>88</v>
      </c>
      <c r="F286" s="47" t="n">
        <v>2</v>
      </c>
      <c r="G286" s="49" t="n">
        <v>182103</v>
      </c>
      <c r="H286" s="51" t="s">
        <v>88</v>
      </c>
      <c r="I286" s="3" t="s">
        <v>89</v>
      </c>
      <c r="J286" s="3" t="n">
        <v>0</v>
      </c>
      <c r="K286" s="53" t="n">
        <v>45113</v>
      </c>
      <c r="L286" s="3" t="s">
        <v>90</v>
      </c>
      <c r="M286" s="54" t="n">
        <v>45113.4324652778</v>
      </c>
      <c r="N286" s="3" t="n">
        <v>18</v>
      </c>
      <c r="O286" s="3" t="n">
        <v>18</v>
      </c>
      <c r="P286" s="3" t="n">
        <v>1</v>
      </c>
      <c r="Q286" s="3" t="n">
        <v>5</v>
      </c>
    </row>
    <row r="287" customFormat="false" ht="14.25" hidden="false" customHeight="false" outlineLevel="0" collapsed="false">
      <c r="A287" s="3" t="n">
        <v>20</v>
      </c>
      <c r="B287" s="51" t="s">
        <v>77</v>
      </c>
      <c r="C287" s="51" t="s">
        <v>78</v>
      </c>
      <c r="D287" s="51" t="n">
        <v>213665</v>
      </c>
      <c r="E287" s="51" t="s">
        <v>88</v>
      </c>
      <c r="F287" s="47" t="n">
        <v>2</v>
      </c>
      <c r="G287" s="49" t="n">
        <v>182103</v>
      </c>
      <c r="H287" s="51" t="s">
        <v>88</v>
      </c>
      <c r="I287" s="3" t="s">
        <v>91</v>
      </c>
      <c r="J287" s="3" t="n">
        <v>1</v>
      </c>
      <c r="K287" s="53" t="n">
        <v>45113</v>
      </c>
      <c r="L287" s="3" t="s">
        <v>92</v>
      </c>
      <c r="M287" s="54" t="n">
        <v>45113.4324768519</v>
      </c>
      <c r="N287" s="3" t="n">
        <v>18</v>
      </c>
      <c r="O287" s="3" t="n">
        <v>18</v>
      </c>
      <c r="P287" s="3" t="n">
        <v>2</v>
      </c>
      <c r="Q287" s="3" t="n">
        <v>6</v>
      </c>
    </row>
    <row r="288" customFormat="false" ht="14.25" hidden="false" customHeight="false" outlineLevel="0" collapsed="false">
      <c r="A288" s="3" t="n">
        <v>21</v>
      </c>
      <c r="B288" s="51" t="s">
        <v>77</v>
      </c>
      <c r="C288" s="51" t="s">
        <v>78</v>
      </c>
      <c r="D288" s="51" t="n">
        <v>213665</v>
      </c>
      <c r="E288" s="51" t="s">
        <v>88</v>
      </c>
      <c r="F288" s="47" t="n">
        <v>2</v>
      </c>
      <c r="G288" s="49" t="n">
        <v>182103</v>
      </c>
      <c r="H288" s="51" t="s">
        <v>88</v>
      </c>
      <c r="I288" s="3" t="s">
        <v>93</v>
      </c>
      <c r="J288" s="3" t="n">
        <v>1</v>
      </c>
      <c r="K288" s="53" t="n">
        <v>45113</v>
      </c>
      <c r="L288" s="3" t="s">
        <v>94</v>
      </c>
      <c r="M288" s="54" t="n">
        <v>45113.4325115741</v>
      </c>
      <c r="N288" s="3" t="n">
        <v>18</v>
      </c>
      <c r="O288" s="3" t="n">
        <v>18</v>
      </c>
      <c r="P288" s="3" t="n">
        <v>3</v>
      </c>
      <c r="Q288" s="3" t="n">
        <v>7</v>
      </c>
    </row>
    <row r="289" customFormat="false" ht="14.25" hidden="false" customHeight="false" outlineLevel="0" collapsed="false">
      <c r="A289" s="3" t="n">
        <v>22</v>
      </c>
      <c r="B289" s="51" t="s">
        <v>77</v>
      </c>
      <c r="C289" s="51" t="s">
        <v>78</v>
      </c>
      <c r="D289" s="51" t="n">
        <v>213665</v>
      </c>
      <c r="E289" s="51" t="s">
        <v>88</v>
      </c>
      <c r="F289" s="47" t="n">
        <v>2</v>
      </c>
      <c r="G289" s="49" t="n">
        <v>182103</v>
      </c>
      <c r="H289" s="51" t="s">
        <v>88</v>
      </c>
      <c r="I289" s="3" t="s">
        <v>95</v>
      </c>
      <c r="J289" s="3" t="n">
        <v>2</v>
      </c>
      <c r="K289" s="53" t="n">
        <v>45113</v>
      </c>
      <c r="L289" s="3" t="s">
        <v>96</v>
      </c>
      <c r="M289" s="54" t="n">
        <v>45113.4325347222</v>
      </c>
      <c r="N289" s="3" t="n">
        <v>18</v>
      </c>
      <c r="O289" s="3" t="n">
        <v>18</v>
      </c>
      <c r="P289" s="3" t="n">
        <v>4</v>
      </c>
      <c r="Q289" s="3" t="n">
        <v>8</v>
      </c>
    </row>
    <row r="290" customFormat="false" ht="14.25" hidden="false" customHeight="false" outlineLevel="0" collapsed="false">
      <c r="A290" s="3" t="n">
        <v>23</v>
      </c>
      <c r="B290" s="51" t="s">
        <v>77</v>
      </c>
      <c r="C290" s="51" t="s">
        <v>78</v>
      </c>
      <c r="D290" s="51" t="n">
        <v>213665</v>
      </c>
      <c r="E290" s="51" t="s">
        <v>88</v>
      </c>
      <c r="F290" s="47" t="n">
        <v>2</v>
      </c>
      <c r="G290" s="49" t="n">
        <v>182103</v>
      </c>
      <c r="H290" s="51" t="s">
        <v>88</v>
      </c>
      <c r="I290" s="3" t="s">
        <v>97</v>
      </c>
      <c r="J290" s="3" t="n">
        <v>1</v>
      </c>
      <c r="K290" s="53" t="n">
        <v>45113</v>
      </c>
      <c r="L290" s="3" t="s">
        <v>98</v>
      </c>
      <c r="M290" s="54" t="n">
        <v>45113.4326273148</v>
      </c>
      <c r="N290" s="3" t="n">
        <v>18</v>
      </c>
      <c r="O290" s="3" t="n">
        <v>18</v>
      </c>
      <c r="P290" s="3" t="n">
        <v>5</v>
      </c>
      <c r="Q290" s="3" t="n">
        <v>9</v>
      </c>
    </row>
    <row r="291" customFormat="false" ht="14.25" hidden="false" customHeight="false" outlineLevel="0" collapsed="false">
      <c r="A291" s="3" t="n">
        <v>24</v>
      </c>
      <c r="B291" s="51" t="s">
        <v>77</v>
      </c>
      <c r="C291" s="51" t="s">
        <v>78</v>
      </c>
      <c r="D291" s="51" t="n">
        <v>213665</v>
      </c>
      <c r="E291" s="51" t="s">
        <v>88</v>
      </c>
      <c r="F291" s="47" t="n">
        <v>2</v>
      </c>
      <c r="G291" s="49" t="n">
        <v>182103</v>
      </c>
      <c r="H291" s="51" t="s">
        <v>88</v>
      </c>
      <c r="I291" s="3" t="s">
        <v>99</v>
      </c>
      <c r="J291" s="3" t="n">
        <v>0</v>
      </c>
      <c r="K291" s="53" t="n">
        <v>45113</v>
      </c>
      <c r="L291" s="3" t="s">
        <v>100</v>
      </c>
      <c r="M291" s="54" t="n">
        <v>45113.4326736111</v>
      </c>
      <c r="N291" s="3" t="n">
        <v>18</v>
      </c>
      <c r="O291" s="3" t="n">
        <v>18</v>
      </c>
      <c r="P291" s="3" t="n">
        <v>6</v>
      </c>
      <c r="Q291" s="3" t="n">
        <v>10</v>
      </c>
    </row>
    <row r="292" customFormat="false" ht="14.25" hidden="false" customHeight="false" outlineLevel="0" collapsed="false">
      <c r="A292" s="3" t="n">
        <v>25</v>
      </c>
      <c r="B292" s="51" t="s">
        <v>77</v>
      </c>
      <c r="C292" s="51" t="s">
        <v>78</v>
      </c>
      <c r="D292" s="51" t="n">
        <v>213665</v>
      </c>
      <c r="E292" s="51" t="s">
        <v>88</v>
      </c>
      <c r="F292" s="47" t="n">
        <v>2</v>
      </c>
      <c r="G292" s="49" t="n">
        <v>182103</v>
      </c>
      <c r="H292" s="51" t="s">
        <v>88</v>
      </c>
      <c r="I292" s="3" t="s">
        <v>101</v>
      </c>
      <c r="J292" s="3" t="n">
        <v>1</v>
      </c>
      <c r="K292" s="53" t="n">
        <v>45113</v>
      </c>
      <c r="L292" s="3" t="s">
        <v>102</v>
      </c>
      <c r="M292" s="54" t="n">
        <v>45113.4327546296</v>
      </c>
      <c r="N292" s="3" t="n">
        <v>18</v>
      </c>
      <c r="O292" s="3" t="n">
        <v>18</v>
      </c>
      <c r="P292" s="3" t="n">
        <v>7</v>
      </c>
      <c r="Q292" s="3" t="n">
        <v>11</v>
      </c>
    </row>
    <row r="293" customFormat="false" ht="14.25" hidden="false" customHeight="false" outlineLevel="0" collapsed="false">
      <c r="A293" s="3" t="n">
        <v>34</v>
      </c>
      <c r="B293" s="51" t="s">
        <v>77</v>
      </c>
      <c r="C293" s="51" t="s">
        <v>78</v>
      </c>
      <c r="D293" s="51" t="n">
        <v>213665</v>
      </c>
      <c r="E293" s="51" t="s">
        <v>88</v>
      </c>
      <c r="F293" s="47" t="n">
        <v>2</v>
      </c>
      <c r="G293" s="49" t="n">
        <v>182103</v>
      </c>
      <c r="H293" s="51" t="s">
        <v>88</v>
      </c>
      <c r="I293" s="3" t="s">
        <v>119</v>
      </c>
      <c r="J293" s="3" t="n">
        <v>0</v>
      </c>
      <c r="K293" s="53" t="n">
        <v>45113</v>
      </c>
      <c r="L293" s="3" t="s">
        <v>120</v>
      </c>
      <c r="M293" s="54" t="n">
        <v>45113.7720023148</v>
      </c>
      <c r="N293" s="3" t="n">
        <v>18</v>
      </c>
      <c r="O293" s="3" t="n">
        <v>18</v>
      </c>
      <c r="P293" s="3" t="n">
        <v>8</v>
      </c>
      <c r="Q293" s="3" t="n">
        <v>19</v>
      </c>
    </row>
    <row r="294" customFormat="false" ht="14.25" hidden="false" customHeight="false" outlineLevel="0" collapsed="false">
      <c r="A294" s="3" t="n">
        <v>35</v>
      </c>
      <c r="B294" s="51" t="s">
        <v>77</v>
      </c>
      <c r="C294" s="51" t="s">
        <v>78</v>
      </c>
      <c r="D294" s="51" t="n">
        <v>213665</v>
      </c>
      <c r="E294" s="51" t="s">
        <v>88</v>
      </c>
      <c r="F294" s="47" t="n">
        <v>2</v>
      </c>
      <c r="G294" s="49" t="n">
        <v>182103</v>
      </c>
      <c r="H294" s="51" t="s">
        <v>88</v>
      </c>
      <c r="I294" s="3" t="s">
        <v>121</v>
      </c>
      <c r="J294" s="3" t="n">
        <v>0</v>
      </c>
      <c r="K294" s="53" t="n">
        <v>45113</v>
      </c>
      <c r="L294" s="3" t="s">
        <v>122</v>
      </c>
      <c r="M294" s="54" t="n">
        <v>45113.7721875</v>
      </c>
      <c r="N294" s="3" t="n">
        <v>18</v>
      </c>
      <c r="O294" s="3" t="n">
        <v>18</v>
      </c>
      <c r="P294" s="3" t="n">
        <v>9</v>
      </c>
      <c r="Q294" s="3" t="n">
        <v>20</v>
      </c>
    </row>
    <row r="295" customFormat="false" ht="14.25" hidden="false" customHeight="false" outlineLevel="0" collapsed="false">
      <c r="A295" s="3" t="n">
        <v>166</v>
      </c>
      <c r="B295" s="51" t="s">
        <v>487</v>
      </c>
      <c r="C295" s="51" t="s">
        <v>488</v>
      </c>
      <c r="D295" s="51" t="n">
        <v>213711</v>
      </c>
      <c r="E295" s="51" t="s">
        <v>792</v>
      </c>
      <c r="F295" s="47" t="n">
        <v>7</v>
      </c>
      <c r="G295" s="49" t="n">
        <v>192193</v>
      </c>
      <c r="H295" s="51" t="s">
        <v>792</v>
      </c>
      <c r="I295" s="3" t="s">
        <v>793</v>
      </c>
      <c r="J295" s="3" t="n">
        <v>1</v>
      </c>
      <c r="K295" s="53" t="n">
        <v>45113</v>
      </c>
      <c r="L295" s="3" t="s">
        <v>794</v>
      </c>
      <c r="M295" s="54" t="n">
        <v>45113.4503125</v>
      </c>
      <c r="N295" s="3" t="n">
        <v>19</v>
      </c>
      <c r="O295" s="3" t="n">
        <v>19</v>
      </c>
      <c r="P295" s="3" t="n">
        <v>1</v>
      </c>
      <c r="Q295" s="3" t="n">
        <v>150</v>
      </c>
    </row>
    <row r="296" customFormat="false" ht="14.25" hidden="false" customHeight="false" outlineLevel="0" collapsed="false">
      <c r="A296" s="3" t="n">
        <v>177</v>
      </c>
      <c r="B296" s="51" t="s">
        <v>487</v>
      </c>
      <c r="C296" s="51" t="s">
        <v>488</v>
      </c>
      <c r="D296" s="51" t="n">
        <v>213711</v>
      </c>
      <c r="E296" s="51" t="s">
        <v>792</v>
      </c>
      <c r="F296" s="47" t="n">
        <v>7</v>
      </c>
      <c r="G296" s="49" t="n">
        <v>192193</v>
      </c>
      <c r="H296" s="51" t="s">
        <v>792</v>
      </c>
      <c r="I296" s="3" t="s">
        <v>816</v>
      </c>
      <c r="J296" s="3" t="n">
        <v>1</v>
      </c>
      <c r="K296" s="53" t="n">
        <v>45113</v>
      </c>
      <c r="L296" s="3" t="s">
        <v>817</v>
      </c>
      <c r="M296" s="54" t="n">
        <v>45113.6590393519</v>
      </c>
      <c r="N296" s="3" t="n">
        <v>19</v>
      </c>
      <c r="O296" s="3" t="n">
        <v>19</v>
      </c>
      <c r="P296" s="3" t="n">
        <v>2</v>
      </c>
      <c r="Q296" s="3" t="n">
        <v>161</v>
      </c>
    </row>
    <row r="297" customFormat="false" ht="14.25" hidden="false" customHeight="false" outlineLevel="0" collapsed="false">
      <c r="A297" s="3" t="n">
        <v>178</v>
      </c>
      <c r="B297" s="51" t="s">
        <v>487</v>
      </c>
      <c r="C297" s="51" t="s">
        <v>488</v>
      </c>
      <c r="D297" s="51" t="n">
        <v>213711</v>
      </c>
      <c r="E297" s="51" t="s">
        <v>792</v>
      </c>
      <c r="F297" s="47" t="n">
        <v>7</v>
      </c>
      <c r="G297" s="49" t="n">
        <v>192193</v>
      </c>
      <c r="H297" s="51" t="s">
        <v>792</v>
      </c>
      <c r="I297" s="3" t="s">
        <v>818</v>
      </c>
      <c r="J297" s="3" t="n">
        <v>2</v>
      </c>
      <c r="K297" s="53" t="n">
        <v>45113</v>
      </c>
      <c r="L297" s="3" t="s">
        <v>819</v>
      </c>
      <c r="M297" s="54" t="n">
        <v>45113.659537037</v>
      </c>
      <c r="N297" s="3" t="n">
        <v>19</v>
      </c>
      <c r="O297" s="3" t="n">
        <v>19</v>
      </c>
      <c r="P297" s="3" t="n">
        <v>3</v>
      </c>
      <c r="Q297" s="3" t="n">
        <v>162</v>
      </c>
    </row>
    <row r="298" customFormat="false" ht="14.25" hidden="false" customHeight="false" outlineLevel="0" collapsed="false">
      <c r="A298" s="3" t="n">
        <v>180</v>
      </c>
      <c r="B298" s="51" t="s">
        <v>487</v>
      </c>
      <c r="C298" s="51" t="s">
        <v>488</v>
      </c>
      <c r="D298" s="51" t="n">
        <v>213711</v>
      </c>
      <c r="E298" s="51" t="s">
        <v>792</v>
      </c>
      <c r="F298" s="47" t="n">
        <v>7</v>
      </c>
      <c r="G298" s="49" t="n">
        <v>192193</v>
      </c>
      <c r="H298" s="51" t="s">
        <v>792</v>
      </c>
      <c r="I298" s="3" t="s">
        <v>822</v>
      </c>
      <c r="J298" s="3" t="n">
        <v>2</v>
      </c>
      <c r="K298" s="53" t="n">
        <v>45113</v>
      </c>
      <c r="L298" s="3" t="s">
        <v>823</v>
      </c>
      <c r="M298" s="54" t="n">
        <v>45113.6636921296</v>
      </c>
      <c r="N298" s="3" t="n">
        <v>19</v>
      </c>
      <c r="O298" s="3" t="n">
        <v>19</v>
      </c>
      <c r="P298" s="3" t="n">
        <v>4</v>
      </c>
      <c r="Q298" s="3" t="n">
        <v>164</v>
      </c>
    </row>
    <row r="299" customFormat="false" ht="14.25" hidden="false" customHeight="false" outlineLevel="0" collapsed="false">
      <c r="A299" s="3" t="n">
        <v>183</v>
      </c>
      <c r="B299" s="51" t="s">
        <v>487</v>
      </c>
      <c r="C299" s="51" t="s">
        <v>488</v>
      </c>
      <c r="D299" s="51" t="n">
        <v>213711</v>
      </c>
      <c r="E299" s="51" t="s">
        <v>792</v>
      </c>
      <c r="F299" s="47" t="n">
        <v>7</v>
      </c>
      <c r="G299" s="49" t="n">
        <v>192193</v>
      </c>
      <c r="H299" s="51" t="s">
        <v>792</v>
      </c>
      <c r="I299" s="3" t="s">
        <v>829</v>
      </c>
      <c r="J299" s="3" t="n">
        <v>3</v>
      </c>
      <c r="K299" s="53" t="n">
        <v>45113</v>
      </c>
      <c r="L299" s="3" t="s">
        <v>830</v>
      </c>
      <c r="M299" s="54" t="n">
        <v>45113.6831481482</v>
      </c>
      <c r="N299" s="3" t="n">
        <v>19</v>
      </c>
      <c r="O299" s="3" t="n">
        <v>19</v>
      </c>
      <c r="P299" s="3" t="n">
        <v>5</v>
      </c>
      <c r="Q299" s="3" t="n">
        <v>167</v>
      </c>
    </row>
    <row r="300" customFormat="false" ht="14.25" hidden="false" customHeight="false" outlineLevel="0" collapsed="false">
      <c r="A300" s="3" t="n">
        <v>184</v>
      </c>
      <c r="B300" s="51" t="s">
        <v>487</v>
      </c>
      <c r="C300" s="51" t="s">
        <v>488</v>
      </c>
      <c r="D300" s="51" t="n">
        <v>213711</v>
      </c>
      <c r="E300" s="51" t="s">
        <v>792</v>
      </c>
      <c r="F300" s="47" t="n">
        <v>7</v>
      </c>
      <c r="G300" s="49" t="n">
        <v>192193</v>
      </c>
      <c r="H300" s="51" t="s">
        <v>792</v>
      </c>
      <c r="I300" s="3" t="s">
        <v>831</v>
      </c>
      <c r="J300" s="3" t="n">
        <v>2</v>
      </c>
      <c r="K300" s="53" t="n">
        <v>45113</v>
      </c>
      <c r="L300" s="3" t="s">
        <v>832</v>
      </c>
      <c r="M300" s="54" t="n">
        <v>45113.6837847222</v>
      </c>
      <c r="N300" s="3" t="n">
        <v>19</v>
      </c>
      <c r="O300" s="3" t="n">
        <v>19</v>
      </c>
      <c r="P300" s="3" t="n">
        <v>6</v>
      </c>
      <c r="Q300" s="3" t="n">
        <v>168</v>
      </c>
    </row>
    <row r="301" customFormat="false" ht="14.25" hidden="false" customHeight="false" outlineLevel="0" collapsed="false">
      <c r="A301" s="3" t="n">
        <v>190</v>
      </c>
      <c r="B301" s="51" t="s">
        <v>487</v>
      </c>
      <c r="C301" s="51" t="s">
        <v>488</v>
      </c>
      <c r="D301" s="51" t="n">
        <v>213711</v>
      </c>
      <c r="E301" s="51" t="s">
        <v>792</v>
      </c>
      <c r="F301" s="47" t="n">
        <v>7</v>
      </c>
      <c r="G301" s="49" t="n">
        <v>192193</v>
      </c>
      <c r="H301" s="51" t="s">
        <v>792</v>
      </c>
      <c r="I301" s="3" t="s">
        <v>843</v>
      </c>
      <c r="J301" s="3" t="n">
        <v>1</v>
      </c>
      <c r="K301" s="53" t="n">
        <v>45113</v>
      </c>
      <c r="L301" s="3" t="s">
        <v>844</v>
      </c>
      <c r="M301" s="54" t="n">
        <v>45113.7086689815</v>
      </c>
      <c r="N301" s="3" t="n">
        <v>19</v>
      </c>
      <c r="O301" s="3" t="n">
        <v>19</v>
      </c>
      <c r="P301" s="3" t="n">
        <v>7</v>
      </c>
      <c r="Q301" s="3" t="n">
        <v>174</v>
      </c>
    </row>
    <row r="302" customFormat="false" ht="14.25" hidden="false" customHeight="false" outlineLevel="0" collapsed="false">
      <c r="A302" s="3" t="n">
        <v>167</v>
      </c>
      <c r="B302" s="51" t="s">
        <v>487</v>
      </c>
      <c r="C302" s="51" t="s">
        <v>488</v>
      </c>
      <c r="D302" s="51" t="n">
        <v>213711</v>
      </c>
      <c r="E302" s="51" t="s">
        <v>795</v>
      </c>
      <c r="F302" s="47" t="n">
        <v>23</v>
      </c>
      <c r="G302" s="49" t="n">
        <v>213129</v>
      </c>
      <c r="H302" s="51" t="s">
        <v>795</v>
      </c>
      <c r="I302" s="3" t="s">
        <v>796</v>
      </c>
      <c r="J302" s="3" t="n">
        <v>3</v>
      </c>
      <c r="K302" s="53" t="n">
        <v>45113</v>
      </c>
      <c r="L302" s="3" t="s">
        <v>797</v>
      </c>
      <c r="M302" s="54" t="n">
        <v>45113.5327199074</v>
      </c>
      <c r="N302" s="3" t="n">
        <v>20</v>
      </c>
      <c r="O302" s="3" t="n">
        <v>20</v>
      </c>
      <c r="P302" s="3" t="n">
        <v>1</v>
      </c>
      <c r="Q302" s="3" t="n">
        <v>151</v>
      </c>
    </row>
    <row r="303" customFormat="false" ht="14.25" hidden="false" customHeight="false" outlineLevel="0" collapsed="false">
      <c r="A303" s="3" t="n">
        <v>172</v>
      </c>
      <c r="B303" s="51" t="s">
        <v>487</v>
      </c>
      <c r="C303" s="51" t="s">
        <v>488</v>
      </c>
      <c r="D303" s="51" t="n">
        <v>213711</v>
      </c>
      <c r="E303" s="51" t="s">
        <v>795</v>
      </c>
      <c r="F303" s="47" t="n">
        <v>23</v>
      </c>
      <c r="G303" s="49" t="n">
        <v>213129</v>
      </c>
      <c r="H303" s="51" t="s">
        <v>795</v>
      </c>
      <c r="I303" s="3" t="s">
        <v>806</v>
      </c>
      <c r="J303" s="3" t="n">
        <v>1</v>
      </c>
      <c r="K303" s="53" t="n">
        <v>45113</v>
      </c>
      <c r="L303" s="3" t="s">
        <v>807</v>
      </c>
      <c r="M303" s="54" t="n">
        <v>45113.5775</v>
      </c>
      <c r="N303" s="3" t="n">
        <v>20</v>
      </c>
      <c r="O303" s="3" t="n">
        <v>20</v>
      </c>
      <c r="P303" s="3" t="n">
        <v>2</v>
      </c>
      <c r="Q303" s="3" t="n">
        <v>156</v>
      </c>
    </row>
    <row r="304" customFormat="false" ht="14.25" hidden="false" customHeight="false" outlineLevel="0" collapsed="false">
      <c r="A304" s="3" t="n">
        <v>173</v>
      </c>
      <c r="B304" s="51" t="s">
        <v>487</v>
      </c>
      <c r="C304" s="51" t="s">
        <v>488</v>
      </c>
      <c r="D304" s="51" t="n">
        <v>213711</v>
      </c>
      <c r="E304" s="51" t="s">
        <v>795</v>
      </c>
      <c r="F304" s="47" t="n">
        <v>23</v>
      </c>
      <c r="G304" s="49" t="n">
        <v>213129</v>
      </c>
      <c r="H304" s="51" t="s">
        <v>795</v>
      </c>
      <c r="I304" s="3" t="s">
        <v>808</v>
      </c>
      <c r="J304" s="3" t="n">
        <v>0</v>
      </c>
      <c r="K304" s="53" t="n">
        <v>45113</v>
      </c>
      <c r="L304" s="3" t="s">
        <v>809</v>
      </c>
      <c r="M304" s="54" t="n">
        <v>45113.577962963</v>
      </c>
      <c r="N304" s="3" t="n">
        <v>20</v>
      </c>
      <c r="O304" s="3" t="n">
        <v>20</v>
      </c>
      <c r="P304" s="3" t="n">
        <v>3</v>
      </c>
      <c r="Q304" s="3" t="n">
        <v>157</v>
      </c>
    </row>
    <row r="305" customFormat="false" ht="14.25" hidden="false" customHeight="false" outlineLevel="0" collapsed="false">
      <c r="A305" s="3" t="n">
        <v>174</v>
      </c>
      <c r="B305" s="51" t="s">
        <v>487</v>
      </c>
      <c r="C305" s="51" t="s">
        <v>488</v>
      </c>
      <c r="D305" s="51" t="n">
        <v>213711</v>
      </c>
      <c r="E305" s="51" t="s">
        <v>795</v>
      </c>
      <c r="F305" s="47" t="n">
        <v>23</v>
      </c>
      <c r="G305" s="49" t="n">
        <v>213129</v>
      </c>
      <c r="H305" s="51" t="s">
        <v>795</v>
      </c>
      <c r="I305" s="3" t="s">
        <v>810</v>
      </c>
      <c r="J305" s="3" t="n">
        <v>2</v>
      </c>
      <c r="K305" s="53" t="n">
        <v>45113</v>
      </c>
      <c r="L305" s="3" t="s">
        <v>811</v>
      </c>
      <c r="M305" s="54" t="n">
        <v>45113.577974537</v>
      </c>
      <c r="N305" s="3" t="n">
        <v>20</v>
      </c>
      <c r="O305" s="3" t="n">
        <v>20</v>
      </c>
      <c r="P305" s="3" t="n">
        <v>4</v>
      </c>
      <c r="Q305" s="3" t="n">
        <v>158</v>
      </c>
    </row>
    <row r="306" customFormat="false" ht="14.25" hidden="false" customHeight="false" outlineLevel="0" collapsed="false">
      <c r="A306" s="3" t="n">
        <v>175</v>
      </c>
      <c r="B306" s="51" t="s">
        <v>487</v>
      </c>
      <c r="C306" s="51" t="s">
        <v>488</v>
      </c>
      <c r="D306" s="51" t="n">
        <v>213711</v>
      </c>
      <c r="E306" s="51" t="s">
        <v>795</v>
      </c>
      <c r="F306" s="47" t="n">
        <v>23</v>
      </c>
      <c r="G306" s="49" t="n">
        <v>213129</v>
      </c>
      <c r="H306" s="51" t="s">
        <v>795</v>
      </c>
      <c r="I306" s="3" t="s">
        <v>812</v>
      </c>
      <c r="J306" s="3" t="n">
        <v>2</v>
      </c>
      <c r="K306" s="53" t="n">
        <v>45113</v>
      </c>
      <c r="L306" s="3" t="s">
        <v>813</v>
      </c>
      <c r="M306" s="54" t="n">
        <v>45113.5785648148</v>
      </c>
      <c r="N306" s="3" t="n">
        <v>20</v>
      </c>
      <c r="O306" s="3" t="n">
        <v>20</v>
      </c>
      <c r="P306" s="3" t="n">
        <v>5</v>
      </c>
      <c r="Q306" s="3" t="n">
        <v>159</v>
      </c>
    </row>
    <row r="307" customFormat="false" ht="14.25" hidden="false" customHeight="false" outlineLevel="0" collapsed="false">
      <c r="A307" s="3" t="n">
        <v>179</v>
      </c>
      <c r="B307" s="51" t="s">
        <v>487</v>
      </c>
      <c r="C307" s="51" t="s">
        <v>488</v>
      </c>
      <c r="D307" s="51" t="n">
        <v>213711</v>
      </c>
      <c r="E307" s="51" t="s">
        <v>795</v>
      </c>
      <c r="F307" s="47" t="n">
        <v>23</v>
      </c>
      <c r="G307" s="49" t="n">
        <v>213129</v>
      </c>
      <c r="H307" s="51" t="s">
        <v>795</v>
      </c>
      <c r="I307" s="3" t="s">
        <v>820</v>
      </c>
      <c r="J307" s="3" t="n">
        <v>1</v>
      </c>
      <c r="K307" s="53" t="n">
        <v>45113</v>
      </c>
      <c r="L307" s="3" t="s">
        <v>821</v>
      </c>
      <c r="M307" s="54" t="n">
        <v>45113.6630787037</v>
      </c>
      <c r="N307" s="3" t="n">
        <v>20</v>
      </c>
      <c r="O307" s="3" t="n">
        <v>20</v>
      </c>
      <c r="P307" s="3" t="n">
        <v>6</v>
      </c>
      <c r="Q307" s="3" t="n">
        <v>163</v>
      </c>
    </row>
    <row r="308" customFormat="false" ht="14.25" hidden="false" customHeight="false" outlineLevel="0" collapsed="false">
      <c r="A308" s="3" t="n">
        <v>186</v>
      </c>
      <c r="B308" s="51" t="s">
        <v>487</v>
      </c>
      <c r="C308" s="51" t="s">
        <v>488</v>
      </c>
      <c r="D308" s="51" t="n">
        <v>213711</v>
      </c>
      <c r="E308" s="51" t="s">
        <v>795</v>
      </c>
      <c r="F308" s="47" t="n">
        <v>23</v>
      </c>
      <c r="G308" s="49" t="n">
        <v>213129</v>
      </c>
      <c r="H308" s="51" t="s">
        <v>795</v>
      </c>
      <c r="I308" s="3" t="s">
        <v>835</v>
      </c>
      <c r="J308" s="3" t="n">
        <v>2</v>
      </c>
      <c r="K308" s="53" t="n">
        <v>45113</v>
      </c>
      <c r="L308" s="3" t="s">
        <v>836</v>
      </c>
      <c r="M308" s="54" t="n">
        <v>45113.6860648148</v>
      </c>
      <c r="N308" s="3" t="n">
        <v>20</v>
      </c>
      <c r="O308" s="3" t="n">
        <v>20</v>
      </c>
      <c r="P308" s="3" t="n">
        <v>7</v>
      </c>
      <c r="Q308" s="3" t="n">
        <v>170</v>
      </c>
    </row>
    <row r="309" customFormat="false" ht="14.25" hidden="false" customHeight="false" outlineLevel="0" collapsed="false">
      <c r="A309" s="3" t="n">
        <v>193</v>
      </c>
      <c r="B309" s="51" t="s">
        <v>487</v>
      </c>
      <c r="C309" s="51" t="s">
        <v>488</v>
      </c>
      <c r="D309" s="51" t="n">
        <v>213711</v>
      </c>
      <c r="E309" s="51" t="s">
        <v>795</v>
      </c>
      <c r="F309" s="47" t="n">
        <v>23</v>
      </c>
      <c r="G309" s="49" t="n">
        <v>213129</v>
      </c>
      <c r="H309" s="51" t="s">
        <v>795</v>
      </c>
      <c r="I309" s="3" t="s">
        <v>849</v>
      </c>
      <c r="J309" s="3" t="n">
        <v>1</v>
      </c>
      <c r="K309" s="53" t="n">
        <v>45113</v>
      </c>
      <c r="L309" s="3" t="s">
        <v>850</v>
      </c>
      <c r="M309" s="54" t="n">
        <v>45113.8467476852</v>
      </c>
      <c r="N309" s="3" t="n">
        <v>20</v>
      </c>
      <c r="O309" s="3" t="n">
        <v>20</v>
      </c>
      <c r="P309" s="3" t="n">
        <v>8</v>
      </c>
      <c r="Q309" s="3" t="n">
        <v>177</v>
      </c>
    </row>
    <row r="310" customFormat="false" ht="14.25" hidden="false" customHeight="false" outlineLevel="0" collapsed="false">
      <c r="A310" s="3" t="n">
        <v>194</v>
      </c>
      <c r="B310" s="51" t="s">
        <v>487</v>
      </c>
      <c r="C310" s="51" t="s">
        <v>488</v>
      </c>
      <c r="D310" s="51" t="n">
        <v>213711</v>
      </c>
      <c r="E310" s="51" t="s">
        <v>795</v>
      </c>
      <c r="F310" s="47" t="n">
        <v>23</v>
      </c>
      <c r="G310" s="49" t="n">
        <v>213129</v>
      </c>
      <c r="H310" s="51" t="s">
        <v>795</v>
      </c>
      <c r="I310" s="3" t="s">
        <v>851</v>
      </c>
      <c r="J310" s="3" t="n">
        <v>0</v>
      </c>
      <c r="K310" s="53" t="n">
        <v>45113</v>
      </c>
      <c r="L310" s="3" t="s">
        <v>852</v>
      </c>
      <c r="M310" s="54" t="n">
        <v>45113.847037037</v>
      </c>
      <c r="N310" s="3" t="n">
        <v>20</v>
      </c>
      <c r="O310" s="3" t="n">
        <v>20</v>
      </c>
      <c r="P310" s="3" t="n">
        <v>9</v>
      </c>
      <c r="Q310" s="3" t="n">
        <v>178</v>
      </c>
    </row>
    <row r="311" customFormat="false" ht="14.25" hidden="false" customHeight="false" outlineLevel="0" collapsed="false">
      <c r="A311" s="3" t="n">
        <v>195</v>
      </c>
      <c r="B311" s="51" t="s">
        <v>487</v>
      </c>
      <c r="C311" s="51" t="s">
        <v>488</v>
      </c>
      <c r="D311" s="51" t="n">
        <v>213711</v>
      </c>
      <c r="E311" s="51" t="s">
        <v>795</v>
      </c>
      <c r="F311" s="47" t="n">
        <v>23</v>
      </c>
      <c r="G311" s="49" t="n">
        <v>213129</v>
      </c>
      <c r="H311" s="51" t="s">
        <v>795</v>
      </c>
      <c r="I311" s="3" t="s">
        <v>853</v>
      </c>
      <c r="J311" s="3" t="n">
        <v>1</v>
      </c>
      <c r="K311" s="53" t="n">
        <v>45113</v>
      </c>
      <c r="L311" s="3" t="s">
        <v>854</v>
      </c>
      <c r="M311" s="54" t="n">
        <v>45113.84875</v>
      </c>
      <c r="N311" s="3" t="n">
        <v>20</v>
      </c>
      <c r="O311" s="3" t="n">
        <v>20</v>
      </c>
      <c r="P311" s="3" t="n">
        <v>10</v>
      </c>
      <c r="Q311" s="3" t="n">
        <v>179</v>
      </c>
    </row>
    <row r="312" customFormat="false" ht="14.25" hidden="false" customHeight="false" outlineLevel="0" collapsed="false">
      <c r="A312" s="3" t="n">
        <v>196</v>
      </c>
      <c r="B312" s="51" t="s">
        <v>487</v>
      </c>
      <c r="C312" s="51" t="s">
        <v>488</v>
      </c>
      <c r="D312" s="51" t="n">
        <v>213711</v>
      </c>
      <c r="E312" s="51" t="s">
        <v>795</v>
      </c>
      <c r="F312" s="47" t="n">
        <v>23</v>
      </c>
      <c r="G312" s="49" t="n">
        <v>213129</v>
      </c>
      <c r="H312" s="51" t="s">
        <v>795</v>
      </c>
      <c r="I312" s="3" t="s">
        <v>855</v>
      </c>
      <c r="J312" s="3" t="n">
        <v>2</v>
      </c>
      <c r="K312" s="53" t="n">
        <v>45113</v>
      </c>
      <c r="L312" s="3" t="s">
        <v>856</v>
      </c>
      <c r="M312" s="54" t="n">
        <v>45113.8499652778</v>
      </c>
      <c r="N312" s="3" t="n">
        <v>20</v>
      </c>
      <c r="O312" s="3" t="n">
        <v>20</v>
      </c>
      <c r="P312" s="3" t="n">
        <v>11</v>
      </c>
      <c r="Q312" s="3" t="n">
        <v>180</v>
      </c>
    </row>
    <row r="313" customFormat="false" ht="14.25" hidden="false" customHeight="false" outlineLevel="0" collapsed="false">
      <c r="A313" s="3" t="n">
        <v>197</v>
      </c>
      <c r="B313" s="51" t="s">
        <v>487</v>
      </c>
      <c r="C313" s="51" t="s">
        <v>488</v>
      </c>
      <c r="D313" s="51" t="n">
        <v>213711</v>
      </c>
      <c r="E313" s="51" t="s">
        <v>795</v>
      </c>
      <c r="F313" s="47" t="n">
        <v>23</v>
      </c>
      <c r="G313" s="49" t="n">
        <v>213129</v>
      </c>
      <c r="H313" s="51" t="s">
        <v>795</v>
      </c>
      <c r="I313" s="3" t="s">
        <v>857</v>
      </c>
      <c r="J313" s="3" t="n">
        <v>1</v>
      </c>
      <c r="K313" s="53" t="n">
        <v>45113</v>
      </c>
      <c r="L313" s="3" t="s">
        <v>858</v>
      </c>
      <c r="M313" s="54" t="n">
        <v>45113.8499884259</v>
      </c>
      <c r="N313" s="3" t="n">
        <v>20</v>
      </c>
      <c r="O313" s="3" t="n">
        <v>20</v>
      </c>
      <c r="P313" s="3" t="n">
        <v>12</v>
      </c>
      <c r="Q313" s="3" t="n">
        <v>181</v>
      </c>
    </row>
    <row r="314" customFormat="false" ht="14.25" hidden="false" customHeight="false" outlineLevel="0" collapsed="false">
      <c r="A314" s="3" t="n">
        <v>198</v>
      </c>
      <c r="B314" s="51" t="s">
        <v>487</v>
      </c>
      <c r="C314" s="51" t="s">
        <v>488</v>
      </c>
      <c r="D314" s="51" t="n">
        <v>213711</v>
      </c>
      <c r="E314" s="51" t="s">
        <v>795</v>
      </c>
      <c r="F314" s="47" t="n">
        <v>23</v>
      </c>
      <c r="G314" s="49" t="n">
        <v>213129</v>
      </c>
      <c r="H314" s="51" t="s">
        <v>795</v>
      </c>
      <c r="I314" s="3" t="s">
        <v>859</v>
      </c>
      <c r="J314" s="3" t="n">
        <v>2</v>
      </c>
      <c r="K314" s="53" t="n">
        <v>45113</v>
      </c>
      <c r="L314" s="3" t="s">
        <v>860</v>
      </c>
      <c r="M314" s="54" t="n">
        <v>45113.8502662037</v>
      </c>
      <c r="N314" s="3" t="n">
        <v>20</v>
      </c>
      <c r="O314" s="3" t="n">
        <v>20</v>
      </c>
      <c r="P314" s="3" t="n">
        <v>13</v>
      </c>
      <c r="Q314" s="3" t="n">
        <v>182</v>
      </c>
    </row>
    <row r="315" customFormat="false" ht="14.25" hidden="false" customHeight="false" outlineLevel="0" collapsed="false">
      <c r="A315" s="3" t="n">
        <v>199</v>
      </c>
      <c r="B315" s="51" t="s">
        <v>487</v>
      </c>
      <c r="C315" s="51" t="s">
        <v>488</v>
      </c>
      <c r="D315" s="51" t="n">
        <v>213711</v>
      </c>
      <c r="E315" s="51" t="s">
        <v>795</v>
      </c>
      <c r="F315" s="47" t="n">
        <v>23</v>
      </c>
      <c r="G315" s="49" t="n">
        <v>213129</v>
      </c>
      <c r="H315" s="51" t="s">
        <v>795</v>
      </c>
      <c r="I315" s="3" t="s">
        <v>861</v>
      </c>
      <c r="J315" s="3" t="n">
        <v>1</v>
      </c>
      <c r="K315" s="53" t="n">
        <v>45113</v>
      </c>
      <c r="L315" s="3" t="s">
        <v>862</v>
      </c>
      <c r="M315" s="54" t="n">
        <v>45113.8504282407</v>
      </c>
      <c r="N315" s="3" t="n">
        <v>20</v>
      </c>
      <c r="O315" s="3" t="n">
        <v>20</v>
      </c>
      <c r="P315" s="3" t="n">
        <v>14</v>
      </c>
      <c r="Q315" s="3" t="n">
        <v>183</v>
      </c>
    </row>
    <row r="316" customFormat="false" ht="14.25" hidden="false" customHeight="false" outlineLevel="0" collapsed="false">
      <c r="A316" s="3" t="n">
        <v>200</v>
      </c>
      <c r="B316" s="51" t="s">
        <v>487</v>
      </c>
      <c r="C316" s="51" t="s">
        <v>488</v>
      </c>
      <c r="D316" s="51" t="n">
        <v>213711</v>
      </c>
      <c r="E316" s="51" t="s">
        <v>795</v>
      </c>
      <c r="F316" s="47" t="n">
        <v>23</v>
      </c>
      <c r="G316" s="49" t="n">
        <v>213129</v>
      </c>
      <c r="H316" s="51" t="s">
        <v>795</v>
      </c>
      <c r="I316" s="3" t="s">
        <v>863</v>
      </c>
      <c r="J316" s="3" t="n">
        <v>1</v>
      </c>
      <c r="K316" s="53" t="n">
        <v>45113</v>
      </c>
      <c r="L316" s="3" t="s">
        <v>864</v>
      </c>
      <c r="M316" s="54" t="n">
        <v>45113.8505555556</v>
      </c>
      <c r="N316" s="3" t="n">
        <v>20</v>
      </c>
      <c r="O316" s="3" t="n">
        <v>20</v>
      </c>
      <c r="P316" s="3" t="n">
        <v>15</v>
      </c>
      <c r="Q316" s="3" t="n">
        <v>184</v>
      </c>
    </row>
    <row r="317" customFormat="false" ht="14.25" hidden="false" customHeight="false" outlineLevel="0" collapsed="false">
      <c r="A317" s="3" t="n">
        <v>201</v>
      </c>
      <c r="B317" s="51" t="s">
        <v>487</v>
      </c>
      <c r="C317" s="51" t="s">
        <v>488</v>
      </c>
      <c r="D317" s="51" t="n">
        <v>213711</v>
      </c>
      <c r="E317" s="51" t="s">
        <v>795</v>
      </c>
      <c r="F317" s="47" t="n">
        <v>23</v>
      </c>
      <c r="G317" s="49" t="n">
        <v>213129</v>
      </c>
      <c r="H317" s="51" t="s">
        <v>795</v>
      </c>
      <c r="I317" s="3" t="s">
        <v>865</v>
      </c>
      <c r="J317" s="3" t="n">
        <v>0</v>
      </c>
      <c r="K317" s="53" t="n">
        <v>45113</v>
      </c>
      <c r="L317" s="3" t="s">
        <v>866</v>
      </c>
      <c r="M317" s="54" t="n">
        <v>45113.8507986111</v>
      </c>
      <c r="N317" s="3" t="n">
        <v>20</v>
      </c>
      <c r="O317" s="3" t="n">
        <v>20</v>
      </c>
      <c r="P317" s="3" t="n">
        <v>16</v>
      </c>
      <c r="Q317" s="3" t="n">
        <v>185</v>
      </c>
    </row>
    <row r="318" customFormat="false" ht="14.25" hidden="false" customHeight="false" outlineLevel="0" collapsed="false">
      <c r="A318" s="3" t="n">
        <v>202</v>
      </c>
      <c r="B318" s="51" t="s">
        <v>487</v>
      </c>
      <c r="C318" s="51" t="s">
        <v>488</v>
      </c>
      <c r="D318" s="51" t="n">
        <v>213711</v>
      </c>
      <c r="E318" s="51" t="s">
        <v>795</v>
      </c>
      <c r="F318" s="47" t="n">
        <v>23</v>
      </c>
      <c r="G318" s="49" t="n">
        <v>213129</v>
      </c>
      <c r="H318" s="51" t="s">
        <v>795</v>
      </c>
      <c r="I318" s="3" t="s">
        <v>867</v>
      </c>
      <c r="J318" s="3" t="n">
        <v>2</v>
      </c>
      <c r="K318" s="53" t="n">
        <v>45113</v>
      </c>
      <c r="L318" s="3" t="s">
        <v>868</v>
      </c>
      <c r="M318" s="54" t="n">
        <v>45113.8511689815</v>
      </c>
      <c r="N318" s="3" t="n">
        <v>20</v>
      </c>
      <c r="O318" s="3" t="n">
        <v>20</v>
      </c>
      <c r="P318" s="3" t="n">
        <v>17</v>
      </c>
      <c r="Q318" s="3" t="n">
        <v>186</v>
      </c>
    </row>
    <row r="319" customFormat="false" ht="14.25" hidden="false" customHeight="false" outlineLevel="0" collapsed="false">
      <c r="A319" s="3" t="n">
        <v>203</v>
      </c>
      <c r="B319" s="51" t="s">
        <v>487</v>
      </c>
      <c r="C319" s="51" t="s">
        <v>488</v>
      </c>
      <c r="D319" s="51" t="n">
        <v>213711</v>
      </c>
      <c r="E319" s="51" t="s">
        <v>795</v>
      </c>
      <c r="F319" s="47" t="n">
        <v>23</v>
      </c>
      <c r="G319" s="49" t="n">
        <v>213129</v>
      </c>
      <c r="H319" s="51" t="s">
        <v>795</v>
      </c>
      <c r="I319" s="3" t="s">
        <v>869</v>
      </c>
      <c r="J319" s="3" t="n">
        <v>1</v>
      </c>
      <c r="K319" s="53" t="n">
        <v>45113</v>
      </c>
      <c r="L319" s="3" t="s">
        <v>870</v>
      </c>
      <c r="M319" s="54" t="n">
        <v>45113.851400463</v>
      </c>
      <c r="N319" s="3" t="n">
        <v>20</v>
      </c>
      <c r="O319" s="3" t="n">
        <v>20</v>
      </c>
      <c r="P319" s="3" t="n">
        <v>18</v>
      </c>
      <c r="Q319" s="3" t="n">
        <v>187</v>
      </c>
    </row>
    <row r="320" customFormat="false" ht="14.25" hidden="false" customHeight="false" outlineLevel="0" collapsed="false">
      <c r="A320" s="3" t="n">
        <v>204</v>
      </c>
      <c r="B320" s="51" t="s">
        <v>487</v>
      </c>
      <c r="C320" s="51" t="s">
        <v>488</v>
      </c>
      <c r="D320" s="51" t="n">
        <v>213711</v>
      </c>
      <c r="E320" s="51" t="s">
        <v>795</v>
      </c>
      <c r="F320" s="47" t="n">
        <v>23</v>
      </c>
      <c r="G320" s="49" t="n">
        <v>213129</v>
      </c>
      <c r="H320" s="51" t="s">
        <v>795</v>
      </c>
      <c r="I320" s="3" t="s">
        <v>871</v>
      </c>
      <c r="J320" s="3" t="n">
        <v>0</v>
      </c>
      <c r="K320" s="53" t="n">
        <v>45113</v>
      </c>
      <c r="L320" s="3" t="s">
        <v>872</v>
      </c>
      <c r="M320" s="54" t="n">
        <v>45113.8612268519</v>
      </c>
      <c r="N320" s="3" t="n">
        <v>20</v>
      </c>
      <c r="O320" s="3" t="n">
        <v>20</v>
      </c>
      <c r="P320" s="3" t="n">
        <v>19</v>
      </c>
      <c r="Q320" s="3" t="n">
        <v>188</v>
      </c>
    </row>
    <row r="321" customFormat="false" ht="14.25" hidden="false" customHeight="false" outlineLevel="0" collapsed="false">
      <c r="A321" s="3" t="n">
        <v>85</v>
      </c>
      <c r="B321" s="51" t="s">
        <v>250</v>
      </c>
      <c r="C321" s="51" t="s">
        <v>251</v>
      </c>
      <c r="D321" s="51" t="n">
        <v>213777</v>
      </c>
      <c r="E321" s="51" t="s">
        <v>379</v>
      </c>
      <c r="F321" s="47" t="n">
        <v>30</v>
      </c>
      <c r="G321" s="49" t="n">
        <v>213385</v>
      </c>
      <c r="H321" s="51" t="s">
        <v>379</v>
      </c>
      <c r="I321" s="3" t="s">
        <v>380</v>
      </c>
      <c r="J321" s="3" t="n">
        <v>1</v>
      </c>
      <c r="K321" s="53" t="n">
        <v>45113</v>
      </c>
      <c r="L321" s="3" t="s">
        <v>381</v>
      </c>
      <c r="M321" s="54" t="n">
        <v>45113.559525463</v>
      </c>
      <c r="N321" s="3" t="n">
        <v>21</v>
      </c>
      <c r="O321" s="3" t="n">
        <v>21</v>
      </c>
      <c r="P321" s="3" t="n">
        <v>1</v>
      </c>
      <c r="Q321" s="3" t="n">
        <v>65</v>
      </c>
    </row>
    <row r="322" customFormat="false" ht="14.25" hidden="false" customHeight="false" outlineLevel="0" collapsed="false">
      <c r="A322" s="3" t="n">
        <v>86</v>
      </c>
      <c r="B322" s="51" t="s">
        <v>250</v>
      </c>
      <c r="C322" s="51" t="s">
        <v>251</v>
      </c>
      <c r="D322" s="51" t="n">
        <v>213777</v>
      </c>
      <c r="E322" s="51" t="s">
        <v>138</v>
      </c>
      <c r="F322" s="47" t="n">
        <v>8</v>
      </c>
      <c r="G322" s="49" t="n">
        <v>192249</v>
      </c>
      <c r="H322" s="51" t="s">
        <v>138</v>
      </c>
      <c r="I322" s="3" t="s">
        <v>382</v>
      </c>
      <c r="J322" s="3" t="n">
        <v>1</v>
      </c>
      <c r="K322" s="53" t="n">
        <v>45113</v>
      </c>
      <c r="L322" s="3" t="s">
        <v>383</v>
      </c>
      <c r="M322" s="54" t="n">
        <v>45113.6119097222</v>
      </c>
      <c r="N322" s="3" t="n">
        <v>22</v>
      </c>
      <c r="O322" s="3" t="n">
        <v>22</v>
      </c>
      <c r="P322" s="3" t="n">
        <v>1</v>
      </c>
      <c r="Q322" s="3" t="n">
        <v>66</v>
      </c>
    </row>
    <row r="323" customFormat="false" ht="14.25" hidden="false" customHeight="false" outlineLevel="0" collapsed="false">
      <c r="A323" s="3" t="n">
        <v>87</v>
      </c>
      <c r="B323" s="51" t="s">
        <v>250</v>
      </c>
      <c r="C323" s="51" t="s">
        <v>251</v>
      </c>
      <c r="D323" s="51" t="n">
        <v>213777</v>
      </c>
      <c r="E323" s="51" t="s">
        <v>138</v>
      </c>
      <c r="F323" s="47" t="n">
        <v>8</v>
      </c>
      <c r="G323" s="49" t="n">
        <v>192249</v>
      </c>
      <c r="H323" s="51" t="s">
        <v>138</v>
      </c>
      <c r="I323" s="3" t="s">
        <v>384</v>
      </c>
      <c r="J323" s="3" t="n">
        <v>2</v>
      </c>
      <c r="K323" s="53" t="n">
        <v>45113</v>
      </c>
      <c r="L323" s="3" t="s">
        <v>385</v>
      </c>
      <c r="M323" s="54" t="n">
        <v>45113.6898263889</v>
      </c>
      <c r="N323" s="3" t="n">
        <v>22</v>
      </c>
      <c r="O323" s="3" t="n">
        <v>22</v>
      </c>
      <c r="P323" s="3" t="n">
        <v>2</v>
      </c>
      <c r="Q323" s="3" t="n">
        <v>67</v>
      </c>
    </row>
    <row r="324" customFormat="false" ht="14.25" hidden="false" customHeight="false" outlineLevel="0" collapsed="false">
      <c r="A324" s="3" t="n">
        <v>42</v>
      </c>
      <c r="B324" s="51" t="s">
        <v>77</v>
      </c>
      <c r="C324" s="51" t="s">
        <v>78</v>
      </c>
      <c r="D324" s="51" t="n">
        <v>213665</v>
      </c>
      <c r="E324" s="51" t="s">
        <v>138</v>
      </c>
      <c r="F324" s="47" t="n">
        <v>8</v>
      </c>
      <c r="G324" s="49" t="n">
        <v>192249</v>
      </c>
      <c r="H324" s="51" t="s">
        <v>138</v>
      </c>
      <c r="I324" s="3" t="s">
        <v>139</v>
      </c>
      <c r="J324" s="3" t="n">
        <v>4</v>
      </c>
      <c r="K324" s="53" t="n">
        <v>45114</v>
      </c>
      <c r="L324" s="3" t="s">
        <v>140</v>
      </c>
      <c r="M324" s="54" t="n">
        <v>45114.0069328704</v>
      </c>
      <c r="N324" s="3" t="n">
        <v>22</v>
      </c>
      <c r="O324" s="3" t="n">
        <v>22</v>
      </c>
      <c r="P324" s="3" t="n">
        <v>3</v>
      </c>
      <c r="Q324" s="3" t="n">
        <v>27</v>
      </c>
    </row>
    <row r="325" customFormat="false" ht="14.25" hidden="false" customHeight="false" outlineLevel="0" collapsed="false">
      <c r="A325" s="3" t="n">
        <v>43</v>
      </c>
      <c r="B325" s="51" t="s">
        <v>77</v>
      </c>
      <c r="C325" s="51" t="s">
        <v>78</v>
      </c>
      <c r="D325" s="51" t="n">
        <v>213665</v>
      </c>
      <c r="E325" s="51" t="s">
        <v>138</v>
      </c>
      <c r="F325" s="47" t="n">
        <v>8</v>
      </c>
      <c r="G325" s="49" t="n">
        <v>192249</v>
      </c>
      <c r="H325" s="51" t="s">
        <v>138</v>
      </c>
      <c r="I325" s="3" t="s">
        <v>141</v>
      </c>
      <c r="J325" s="3" t="n">
        <v>0</v>
      </c>
      <c r="K325" s="53" t="n">
        <v>45114</v>
      </c>
      <c r="L325" s="3" t="s">
        <v>142</v>
      </c>
      <c r="M325" s="54" t="n">
        <v>45114.0069907407</v>
      </c>
      <c r="N325" s="3" t="n">
        <v>22</v>
      </c>
      <c r="O325" s="3" t="n">
        <v>22</v>
      </c>
      <c r="P325" s="3" t="n">
        <v>4</v>
      </c>
      <c r="Q325" s="3" t="n">
        <v>28</v>
      </c>
    </row>
    <row r="326" customFormat="false" ht="14.25" hidden="false" customHeight="false" outlineLevel="0" collapsed="false">
      <c r="A326" s="3" t="n">
        <v>73</v>
      </c>
      <c r="B326" s="51" t="s">
        <v>77</v>
      </c>
      <c r="C326" s="51" t="s">
        <v>78</v>
      </c>
      <c r="D326" s="51" t="n">
        <v>213665</v>
      </c>
      <c r="E326" s="51" t="s">
        <v>138</v>
      </c>
      <c r="F326" s="47" t="n">
        <v>8</v>
      </c>
      <c r="G326" s="49" t="n">
        <v>192249</v>
      </c>
      <c r="H326" s="51" t="s">
        <v>138</v>
      </c>
      <c r="I326" s="3" t="s">
        <v>206</v>
      </c>
      <c r="J326" s="3" t="n">
        <v>2</v>
      </c>
      <c r="K326" s="53" t="n">
        <v>45114</v>
      </c>
      <c r="L326" s="3" t="s">
        <v>207</v>
      </c>
      <c r="M326" s="54" t="n">
        <v>45114.6450810185</v>
      </c>
      <c r="N326" s="3" t="n">
        <v>22</v>
      </c>
      <c r="O326" s="3" t="n">
        <v>22</v>
      </c>
      <c r="P326" s="3" t="n">
        <v>5</v>
      </c>
      <c r="Q326" s="3" t="n">
        <v>58</v>
      </c>
    </row>
    <row r="327" customFormat="false" ht="14.25" hidden="false" customHeight="false" outlineLevel="0" collapsed="false">
      <c r="A327" s="3" t="n">
        <v>74</v>
      </c>
      <c r="B327" s="51" t="s">
        <v>77</v>
      </c>
      <c r="C327" s="51" t="s">
        <v>78</v>
      </c>
      <c r="D327" s="51" t="n">
        <v>213665</v>
      </c>
      <c r="E327" s="51" t="s">
        <v>138</v>
      </c>
      <c r="F327" s="47" t="n">
        <v>8</v>
      </c>
      <c r="G327" s="49" t="n">
        <v>192249</v>
      </c>
      <c r="H327" s="51" t="s">
        <v>138</v>
      </c>
      <c r="I327" s="3" t="s">
        <v>208</v>
      </c>
      <c r="J327" s="3" t="n">
        <v>0</v>
      </c>
      <c r="K327" s="53" t="n">
        <v>45114</v>
      </c>
      <c r="L327" s="3" t="s">
        <v>209</v>
      </c>
      <c r="M327" s="54" t="n">
        <v>45114.645462963</v>
      </c>
      <c r="N327" s="3" t="n">
        <v>22</v>
      </c>
      <c r="O327" s="3" t="n">
        <v>22</v>
      </c>
      <c r="P327" s="3" t="n">
        <v>6</v>
      </c>
      <c r="Q327" s="3" t="n">
        <v>59</v>
      </c>
    </row>
    <row r="328" customFormat="false" ht="14.25" hidden="false" customHeight="false" outlineLevel="0" collapsed="false">
      <c r="A328" s="3" t="n">
        <v>75</v>
      </c>
      <c r="B328" s="51" t="s">
        <v>77</v>
      </c>
      <c r="C328" s="51" t="s">
        <v>78</v>
      </c>
      <c r="D328" s="51" t="n">
        <v>213665</v>
      </c>
      <c r="E328" s="51" t="s">
        <v>138</v>
      </c>
      <c r="F328" s="47" t="n">
        <v>8</v>
      </c>
      <c r="G328" s="49" t="n">
        <v>192249</v>
      </c>
      <c r="H328" s="51" t="s">
        <v>138</v>
      </c>
      <c r="I328" s="3" t="s">
        <v>210</v>
      </c>
      <c r="J328" s="3" t="n">
        <v>1</v>
      </c>
      <c r="K328" s="53" t="n">
        <v>45114</v>
      </c>
      <c r="L328" s="3" t="s">
        <v>211</v>
      </c>
      <c r="M328" s="54" t="n">
        <v>45114.6456944444</v>
      </c>
      <c r="N328" s="3" t="n">
        <v>22</v>
      </c>
      <c r="O328" s="3" t="n">
        <v>22</v>
      </c>
      <c r="P328" s="3" t="n">
        <v>7</v>
      </c>
      <c r="Q328" s="3" t="n">
        <v>60</v>
      </c>
    </row>
    <row r="329" customFormat="false" ht="14.25" hidden="false" customHeight="false" outlineLevel="0" collapsed="false">
      <c r="A329" s="3" t="n">
        <v>76</v>
      </c>
      <c r="B329" s="51" t="s">
        <v>77</v>
      </c>
      <c r="C329" s="51" t="s">
        <v>78</v>
      </c>
      <c r="D329" s="51" t="n">
        <v>213665</v>
      </c>
      <c r="E329" s="51" t="s">
        <v>138</v>
      </c>
      <c r="F329" s="47" t="n">
        <v>8</v>
      </c>
      <c r="G329" s="49" t="n">
        <v>192249</v>
      </c>
      <c r="H329" s="51" t="s">
        <v>138</v>
      </c>
      <c r="I329" s="3" t="s">
        <v>212</v>
      </c>
      <c r="J329" s="3" t="n">
        <v>1</v>
      </c>
      <c r="K329" s="53" t="n">
        <v>45114</v>
      </c>
      <c r="L329" s="3" t="s">
        <v>213</v>
      </c>
      <c r="M329" s="54" t="n">
        <v>45114.645775463</v>
      </c>
      <c r="N329" s="3" t="n">
        <v>22</v>
      </c>
      <c r="O329" s="3" t="n">
        <v>22</v>
      </c>
      <c r="P329" s="3" t="n">
        <v>8</v>
      </c>
      <c r="Q329" s="3" t="n">
        <v>61</v>
      </c>
    </row>
    <row r="330" customFormat="false" ht="14.25" hidden="false" customHeight="false" outlineLevel="0" collapsed="false">
      <c r="A330" s="3" t="n">
        <v>77</v>
      </c>
      <c r="B330" s="51" t="s">
        <v>77</v>
      </c>
      <c r="C330" s="51" t="s">
        <v>78</v>
      </c>
      <c r="D330" s="51" t="n">
        <v>213665</v>
      </c>
      <c r="E330" s="51" t="s">
        <v>138</v>
      </c>
      <c r="F330" s="47" t="n">
        <v>8</v>
      </c>
      <c r="G330" s="49" t="n">
        <v>192249</v>
      </c>
      <c r="H330" s="51" t="s">
        <v>138</v>
      </c>
      <c r="I330" s="3" t="s">
        <v>214</v>
      </c>
      <c r="J330" s="3" t="n">
        <v>0</v>
      </c>
      <c r="K330" s="53" t="n">
        <v>45114</v>
      </c>
      <c r="L330" s="3" t="s">
        <v>215</v>
      </c>
      <c r="M330" s="54" t="n">
        <v>45114.6463310185</v>
      </c>
      <c r="N330" s="3" t="n">
        <v>22</v>
      </c>
      <c r="O330" s="3" t="n">
        <v>22</v>
      </c>
      <c r="P330" s="3" t="n">
        <v>9</v>
      </c>
      <c r="Q330" s="3" t="n">
        <v>62</v>
      </c>
    </row>
    <row r="331" customFormat="false" ht="14.25" hidden="false" customHeight="false" outlineLevel="0" collapsed="false">
      <c r="A331" s="3" t="n">
        <v>78</v>
      </c>
      <c r="B331" s="51" t="s">
        <v>77</v>
      </c>
      <c r="C331" s="51" t="s">
        <v>78</v>
      </c>
      <c r="D331" s="51" t="n">
        <v>213665</v>
      </c>
      <c r="E331" s="51" t="s">
        <v>138</v>
      </c>
      <c r="F331" s="47" t="n">
        <v>8</v>
      </c>
      <c r="G331" s="49" t="n">
        <v>192249</v>
      </c>
      <c r="H331" s="51" t="s">
        <v>138</v>
      </c>
      <c r="I331" s="3" t="s">
        <v>216</v>
      </c>
      <c r="J331" s="3" t="n">
        <v>0</v>
      </c>
      <c r="K331" s="53" t="n">
        <v>45114</v>
      </c>
      <c r="L331" s="3" t="s">
        <v>217</v>
      </c>
      <c r="M331" s="54" t="n">
        <v>45114.6463425926</v>
      </c>
      <c r="N331" s="3" t="n">
        <v>22</v>
      </c>
      <c r="O331" s="3" t="n">
        <v>22</v>
      </c>
      <c r="P331" s="3" t="n">
        <v>10</v>
      </c>
      <c r="Q331" s="3" t="n">
        <v>63</v>
      </c>
    </row>
    <row r="332" customFormat="false" ht="14.25" hidden="false" customHeight="false" outlineLevel="0" collapsed="false">
      <c r="A332" s="3" t="n">
        <v>79</v>
      </c>
      <c r="B332" s="51" t="s">
        <v>77</v>
      </c>
      <c r="C332" s="51" t="s">
        <v>78</v>
      </c>
      <c r="D332" s="51" t="n">
        <v>213665</v>
      </c>
      <c r="E332" s="51" t="s">
        <v>138</v>
      </c>
      <c r="F332" s="47" t="n">
        <v>8</v>
      </c>
      <c r="G332" s="49" t="n">
        <v>192249</v>
      </c>
      <c r="H332" s="51" t="s">
        <v>138</v>
      </c>
      <c r="I332" s="3" t="s">
        <v>218</v>
      </c>
      <c r="J332" s="3" t="n">
        <v>2</v>
      </c>
      <c r="K332" s="53" t="n">
        <v>45114</v>
      </c>
      <c r="L332" s="3" t="s">
        <v>219</v>
      </c>
      <c r="M332" s="54" t="n">
        <v>45114.6467824074</v>
      </c>
      <c r="N332" s="3" t="n">
        <v>22</v>
      </c>
      <c r="O332" s="3" t="n">
        <v>22</v>
      </c>
      <c r="P332" s="3" t="n">
        <v>11</v>
      </c>
      <c r="Q332" s="3" t="n">
        <v>64</v>
      </c>
    </row>
    <row r="333" customFormat="false" ht="14.25" hidden="false" customHeight="false" outlineLevel="0" collapsed="false">
      <c r="A333" s="3" t="n">
        <v>80</v>
      </c>
      <c r="B333" s="51" t="s">
        <v>77</v>
      </c>
      <c r="C333" s="51" t="s">
        <v>78</v>
      </c>
      <c r="D333" s="51" t="n">
        <v>213665</v>
      </c>
      <c r="E333" s="51" t="s">
        <v>138</v>
      </c>
      <c r="F333" s="47" t="n">
        <v>8</v>
      </c>
      <c r="G333" s="49" t="n">
        <v>192249</v>
      </c>
      <c r="H333" s="51" t="s">
        <v>138</v>
      </c>
      <c r="I333" s="3" t="s">
        <v>220</v>
      </c>
      <c r="J333" s="3" t="n">
        <v>2</v>
      </c>
      <c r="K333" s="53" t="n">
        <v>45114</v>
      </c>
      <c r="L333" s="3" t="s">
        <v>221</v>
      </c>
      <c r="M333" s="54" t="n">
        <v>45114.6469907407</v>
      </c>
      <c r="N333" s="3" t="n">
        <v>22</v>
      </c>
      <c r="O333" s="3" t="n">
        <v>22</v>
      </c>
      <c r="P333" s="3" t="n">
        <v>12</v>
      </c>
      <c r="Q333" s="3" t="n">
        <v>65</v>
      </c>
    </row>
    <row r="334" customFormat="false" ht="14.25" hidden="false" customHeight="false" outlineLevel="0" collapsed="false">
      <c r="A334" s="3" t="n">
        <v>81</v>
      </c>
      <c r="B334" s="51" t="s">
        <v>77</v>
      </c>
      <c r="C334" s="51" t="s">
        <v>78</v>
      </c>
      <c r="D334" s="51" t="n">
        <v>213665</v>
      </c>
      <c r="E334" s="51" t="s">
        <v>138</v>
      </c>
      <c r="F334" s="47" t="n">
        <v>8</v>
      </c>
      <c r="G334" s="49" t="n">
        <v>192249</v>
      </c>
      <c r="H334" s="51" t="s">
        <v>138</v>
      </c>
      <c r="I334" s="3" t="s">
        <v>222</v>
      </c>
      <c r="J334" s="3" t="n">
        <v>0</v>
      </c>
      <c r="K334" s="53" t="n">
        <v>45114</v>
      </c>
      <c r="L334" s="3" t="s">
        <v>223</v>
      </c>
      <c r="M334" s="54" t="n">
        <v>45114.6472569444</v>
      </c>
      <c r="N334" s="3" t="n">
        <v>22</v>
      </c>
      <c r="O334" s="3" t="n">
        <v>22</v>
      </c>
      <c r="P334" s="3" t="n">
        <v>13</v>
      </c>
      <c r="Q334" s="3" t="n">
        <v>66</v>
      </c>
    </row>
    <row r="335" customFormat="false" ht="14.25" hidden="false" customHeight="false" outlineLevel="0" collapsed="false">
      <c r="A335" s="3" t="n">
        <v>82</v>
      </c>
      <c r="B335" s="51" t="s">
        <v>77</v>
      </c>
      <c r="C335" s="51" t="s">
        <v>78</v>
      </c>
      <c r="D335" s="51" t="n">
        <v>213665</v>
      </c>
      <c r="E335" s="51" t="s">
        <v>138</v>
      </c>
      <c r="F335" s="47" t="n">
        <v>8</v>
      </c>
      <c r="G335" s="49" t="n">
        <v>192249</v>
      </c>
      <c r="H335" s="51" t="s">
        <v>138</v>
      </c>
      <c r="I335" s="3" t="s">
        <v>224</v>
      </c>
      <c r="J335" s="3" t="n">
        <v>1</v>
      </c>
      <c r="K335" s="53" t="n">
        <v>45114</v>
      </c>
      <c r="L335" s="3" t="s">
        <v>225</v>
      </c>
      <c r="M335" s="54" t="n">
        <v>45114.6476736111</v>
      </c>
      <c r="N335" s="3" t="n">
        <v>22</v>
      </c>
      <c r="O335" s="3" t="n">
        <v>22</v>
      </c>
      <c r="P335" s="3" t="n">
        <v>14</v>
      </c>
      <c r="Q335" s="3" t="n">
        <v>67</v>
      </c>
    </row>
    <row r="336" customFormat="false" ht="14.25" hidden="false" customHeight="false" outlineLevel="0" collapsed="false">
      <c r="A336" s="3" t="n">
        <v>83</v>
      </c>
      <c r="B336" s="51" t="s">
        <v>77</v>
      </c>
      <c r="C336" s="51" t="s">
        <v>78</v>
      </c>
      <c r="D336" s="51" t="n">
        <v>213665</v>
      </c>
      <c r="E336" s="51" t="s">
        <v>138</v>
      </c>
      <c r="F336" s="47" t="n">
        <v>8</v>
      </c>
      <c r="G336" s="49" t="n">
        <v>192249</v>
      </c>
      <c r="H336" s="51" t="s">
        <v>138</v>
      </c>
      <c r="I336" s="3" t="s">
        <v>226</v>
      </c>
      <c r="J336" s="3" t="n">
        <v>2</v>
      </c>
      <c r="K336" s="53" t="n">
        <v>45114</v>
      </c>
      <c r="L336" s="3" t="s">
        <v>227</v>
      </c>
      <c r="M336" s="54" t="n">
        <v>45114.6476967593</v>
      </c>
      <c r="N336" s="3" t="n">
        <v>22</v>
      </c>
      <c r="O336" s="3" t="n">
        <v>22</v>
      </c>
      <c r="P336" s="3" t="n">
        <v>15</v>
      </c>
      <c r="Q336" s="3" t="n">
        <v>68</v>
      </c>
    </row>
    <row r="337" customFormat="false" ht="14.25" hidden="false" customHeight="false" outlineLevel="0" collapsed="false">
      <c r="A337" s="3" t="n">
        <v>84</v>
      </c>
      <c r="B337" s="51" t="s">
        <v>77</v>
      </c>
      <c r="C337" s="51" t="s">
        <v>78</v>
      </c>
      <c r="D337" s="51" t="n">
        <v>213665</v>
      </c>
      <c r="E337" s="51" t="s">
        <v>138</v>
      </c>
      <c r="F337" s="47" t="n">
        <v>8</v>
      </c>
      <c r="G337" s="49" t="n">
        <v>192249</v>
      </c>
      <c r="H337" s="51" t="s">
        <v>138</v>
      </c>
      <c r="I337" s="3" t="s">
        <v>228</v>
      </c>
      <c r="J337" s="3" t="n">
        <v>2</v>
      </c>
      <c r="K337" s="53" t="n">
        <v>45114</v>
      </c>
      <c r="L337" s="3" t="s">
        <v>229</v>
      </c>
      <c r="M337" s="54" t="n">
        <v>45114.6478819444</v>
      </c>
      <c r="N337" s="3" t="n">
        <v>22</v>
      </c>
      <c r="O337" s="3" t="n">
        <v>22</v>
      </c>
      <c r="P337" s="3" t="n">
        <v>16</v>
      </c>
      <c r="Q337" s="3" t="n">
        <v>69</v>
      </c>
    </row>
    <row r="338" customFormat="false" ht="14.25" hidden="false" customHeight="false" outlineLevel="0" collapsed="false">
      <c r="A338" s="3" t="n">
        <v>85</v>
      </c>
      <c r="B338" s="51" t="s">
        <v>77</v>
      </c>
      <c r="C338" s="51" t="s">
        <v>78</v>
      </c>
      <c r="D338" s="51" t="n">
        <v>213665</v>
      </c>
      <c r="E338" s="51" t="s">
        <v>138</v>
      </c>
      <c r="F338" s="47" t="n">
        <v>8</v>
      </c>
      <c r="G338" s="49" t="n">
        <v>192249</v>
      </c>
      <c r="H338" s="51" t="s">
        <v>138</v>
      </c>
      <c r="I338" s="3" t="s">
        <v>230</v>
      </c>
      <c r="J338" s="3" t="n">
        <v>2</v>
      </c>
      <c r="K338" s="53" t="n">
        <v>45114</v>
      </c>
      <c r="L338" s="3" t="s">
        <v>231</v>
      </c>
      <c r="M338" s="54" t="n">
        <v>45114.6483217593</v>
      </c>
      <c r="N338" s="3" t="n">
        <v>22</v>
      </c>
      <c r="O338" s="3" t="n">
        <v>22</v>
      </c>
      <c r="P338" s="3" t="n">
        <v>17</v>
      </c>
      <c r="Q338" s="3" t="n">
        <v>70</v>
      </c>
    </row>
    <row r="339" customFormat="false" ht="14.25" hidden="false" customHeight="false" outlineLevel="0" collapsed="false">
      <c r="A339" s="3" t="n">
        <v>86</v>
      </c>
      <c r="B339" s="51" t="s">
        <v>77</v>
      </c>
      <c r="C339" s="51" t="s">
        <v>78</v>
      </c>
      <c r="D339" s="51" t="n">
        <v>213665</v>
      </c>
      <c r="E339" s="51" t="s">
        <v>138</v>
      </c>
      <c r="F339" s="47" t="n">
        <v>8</v>
      </c>
      <c r="G339" s="49" t="n">
        <v>192249</v>
      </c>
      <c r="H339" s="51" t="s">
        <v>138</v>
      </c>
      <c r="I339" s="3" t="s">
        <v>232</v>
      </c>
      <c r="J339" s="3" t="n">
        <v>2</v>
      </c>
      <c r="K339" s="53" t="n">
        <v>45114</v>
      </c>
      <c r="L339" s="3" t="s">
        <v>233</v>
      </c>
      <c r="M339" s="54" t="n">
        <v>45114.6484837963</v>
      </c>
      <c r="N339" s="3" t="n">
        <v>22</v>
      </c>
      <c r="O339" s="3" t="n">
        <v>22</v>
      </c>
      <c r="P339" s="3" t="n">
        <v>18</v>
      </c>
      <c r="Q339" s="3" t="n">
        <v>71</v>
      </c>
    </row>
    <row r="340" customFormat="false" ht="14.25" hidden="false" customHeight="false" outlineLevel="0" collapsed="false">
      <c r="A340" s="3" t="n">
        <v>87</v>
      </c>
      <c r="B340" s="51" t="s">
        <v>77</v>
      </c>
      <c r="C340" s="51" t="s">
        <v>78</v>
      </c>
      <c r="D340" s="51" t="n">
        <v>213665</v>
      </c>
      <c r="E340" s="51" t="s">
        <v>138</v>
      </c>
      <c r="F340" s="47" t="n">
        <v>8</v>
      </c>
      <c r="G340" s="49" t="n">
        <v>192249</v>
      </c>
      <c r="H340" s="51" t="s">
        <v>138</v>
      </c>
      <c r="I340" s="3" t="s">
        <v>234</v>
      </c>
      <c r="J340" s="3" t="n">
        <v>1</v>
      </c>
      <c r="K340" s="53" t="n">
        <v>45114</v>
      </c>
      <c r="L340" s="3" t="s">
        <v>235</v>
      </c>
      <c r="M340" s="54" t="n">
        <v>45114.6491898148</v>
      </c>
      <c r="N340" s="3" t="n">
        <v>22</v>
      </c>
      <c r="O340" s="3" t="n">
        <v>22</v>
      </c>
      <c r="P340" s="3" t="n">
        <v>19</v>
      </c>
      <c r="Q340" s="3" t="n">
        <v>72</v>
      </c>
    </row>
    <row r="341" customFormat="false" ht="14.25" hidden="false" customHeight="false" outlineLevel="0" collapsed="false">
      <c r="A341" s="3" t="n">
        <v>88</v>
      </c>
      <c r="B341" s="51" t="s">
        <v>77</v>
      </c>
      <c r="C341" s="51" t="s">
        <v>78</v>
      </c>
      <c r="D341" s="51" t="n">
        <v>213665</v>
      </c>
      <c r="E341" s="51" t="s">
        <v>138</v>
      </c>
      <c r="F341" s="47" t="n">
        <v>8</v>
      </c>
      <c r="G341" s="49" t="n">
        <v>192249</v>
      </c>
      <c r="H341" s="51" t="s">
        <v>138</v>
      </c>
      <c r="I341" s="3" t="s">
        <v>236</v>
      </c>
      <c r="J341" s="3" t="n">
        <v>3</v>
      </c>
      <c r="K341" s="53" t="n">
        <v>45114</v>
      </c>
      <c r="L341" s="3" t="s">
        <v>237</v>
      </c>
      <c r="M341" s="54" t="n">
        <v>45114.6492708333</v>
      </c>
      <c r="N341" s="3" t="n">
        <v>22</v>
      </c>
      <c r="O341" s="3" t="n">
        <v>22</v>
      </c>
      <c r="P341" s="3" t="n">
        <v>20</v>
      </c>
      <c r="Q341" s="3" t="n">
        <v>73</v>
      </c>
    </row>
    <row r="342" customFormat="false" ht="14.25" hidden="false" customHeight="false" outlineLevel="0" collapsed="false">
      <c r="A342" s="3" t="n">
        <v>181</v>
      </c>
      <c r="B342" s="51" t="s">
        <v>487</v>
      </c>
      <c r="C342" s="51" t="s">
        <v>488</v>
      </c>
      <c r="D342" s="51" t="n">
        <v>213711</v>
      </c>
      <c r="E342" s="51" t="s">
        <v>824</v>
      </c>
      <c r="F342" s="47" t="n">
        <v>16</v>
      </c>
      <c r="G342" s="49" t="n">
        <v>202242</v>
      </c>
      <c r="H342" s="51" t="s">
        <v>824</v>
      </c>
      <c r="I342" s="3" t="s">
        <v>825</v>
      </c>
      <c r="J342" s="3" t="n">
        <v>1</v>
      </c>
      <c r="K342" s="53" t="n">
        <v>45113</v>
      </c>
      <c r="L342" s="3" t="s">
        <v>826</v>
      </c>
      <c r="M342" s="54" t="n">
        <v>45113.6820601852</v>
      </c>
      <c r="N342" s="3" t="n">
        <v>23</v>
      </c>
      <c r="O342" s="3" t="n">
        <v>23</v>
      </c>
      <c r="P342" s="3" t="n">
        <v>1</v>
      </c>
      <c r="Q342" s="3" t="n">
        <v>165</v>
      </c>
    </row>
    <row r="343" customFormat="false" ht="14.25" hidden="false" customHeight="false" outlineLevel="0" collapsed="false">
      <c r="A343" s="3" t="n">
        <v>182</v>
      </c>
      <c r="B343" s="51" t="s">
        <v>487</v>
      </c>
      <c r="C343" s="51" t="s">
        <v>488</v>
      </c>
      <c r="D343" s="51" t="n">
        <v>213711</v>
      </c>
      <c r="E343" s="51" t="s">
        <v>824</v>
      </c>
      <c r="F343" s="47" t="n">
        <v>16</v>
      </c>
      <c r="G343" s="49" t="n">
        <v>202242</v>
      </c>
      <c r="H343" s="51" t="s">
        <v>824</v>
      </c>
      <c r="I343" s="3" t="s">
        <v>827</v>
      </c>
      <c r="J343" s="3" t="n">
        <v>1</v>
      </c>
      <c r="K343" s="53" t="n">
        <v>45113</v>
      </c>
      <c r="L343" s="3" t="s">
        <v>828</v>
      </c>
      <c r="M343" s="54" t="n">
        <v>45113.6823148148</v>
      </c>
      <c r="N343" s="3" t="n">
        <v>23</v>
      </c>
      <c r="O343" s="3" t="n">
        <v>23</v>
      </c>
      <c r="P343" s="3" t="n">
        <v>2</v>
      </c>
      <c r="Q343" s="3" t="n">
        <v>166</v>
      </c>
    </row>
    <row r="344" customFormat="false" ht="14.25" hidden="false" customHeight="false" outlineLevel="0" collapsed="false">
      <c r="A344" s="3" t="n">
        <v>187</v>
      </c>
      <c r="B344" s="51" t="s">
        <v>487</v>
      </c>
      <c r="C344" s="51" t="s">
        <v>488</v>
      </c>
      <c r="D344" s="51" t="n">
        <v>213711</v>
      </c>
      <c r="E344" s="51" t="s">
        <v>824</v>
      </c>
      <c r="F344" s="47" t="n">
        <v>16</v>
      </c>
      <c r="G344" s="49" t="n">
        <v>202242</v>
      </c>
      <c r="H344" s="51" t="s">
        <v>824</v>
      </c>
      <c r="I344" s="3" t="s">
        <v>837</v>
      </c>
      <c r="J344" s="3" t="n">
        <v>3</v>
      </c>
      <c r="K344" s="53" t="n">
        <v>45113</v>
      </c>
      <c r="L344" s="3" t="s">
        <v>838</v>
      </c>
      <c r="M344" s="54" t="n">
        <v>45113.6889351852</v>
      </c>
      <c r="N344" s="3" t="n">
        <v>23</v>
      </c>
      <c r="O344" s="3" t="n">
        <v>23</v>
      </c>
      <c r="P344" s="3" t="n">
        <v>3</v>
      </c>
      <c r="Q344" s="3" t="n">
        <v>171</v>
      </c>
    </row>
    <row r="345" customFormat="false" ht="14.25" hidden="false" customHeight="false" outlineLevel="0" collapsed="false">
      <c r="A345" s="3" t="n">
        <v>188</v>
      </c>
      <c r="B345" s="51" t="s">
        <v>487</v>
      </c>
      <c r="C345" s="51" t="s">
        <v>488</v>
      </c>
      <c r="D345" s="51" t="n">
        <v>213711</v>
      </c>
      <c r="E345" s="51" t="s">
        <v>824</v>
      </c>
      <c r="F345" s="47" t="n">
        <v>16</v>
      </c>
      <c r="G345" s="49" t="n">
        <v>202242</v>
      </c>
      <c r="H345" s="51" t="s">
        <v>824</v>
      </c>
      <c r="I345" s="3" t="s">
        <v>839</v>
      </c>
      <c r="J345" s="3" t="n">
        <v>1</v>
      </c>
      <c r="K345" s="53" t="n">
        <v>45113</v>
      </c>
      <c r="L345" s="3" t="s">
        <v>840</v>
      </c>
      <c r="M345" s="54" t="n">
        <v>45113.6891435185</v>
      </c>
      <c r="N345" s="3" t="n">
        <v>23</v>
      </c>
      <c r="O345" s="3" t="n">
        <v>23</v>
      </c>
      <c r="P345" s="3" t="n">
        <v>4</v>
      </c>
      <c r="Q345" s="3" t="n">
        <v>172</v>
      </c>
    </row>
    <row r="346" customFormat="false" ht="14.25" hidden="false" customHeight="false" outlineLevel="0" collapsed="false">
      <c r="A346" s="3" t="n">
        <v>189</v>
      </c>
      <c r="B346" s="51" t="s">
        <v>487</v>
      </c>
      <c r="C346" s="51" t="s">
        <v>488</v>
      </c>
      <c r="D346" s="51" t="n">
        <v>213711</v>
      </c>
      <c r="E346" s="51" t="s">
        <v>824</v>
      </c>
      <c r="F346" s="47" t="n">
        <v>16</v>
      </c>
      <c r="G346" s="49" t="n">
        <v>202242</v>
      </c>
      <c r="H346" s="51" t="s">
        <v>824</v>
      </c>
      <c r="I346" s="3" t="s">
        <v>841</v>
      </c>
      <c r="J346" s="3" t="n">
        <v>1</v>
      </c>
      <c r="K346" s="53" t="n">
        <v>45113</v>
      </c>
      <c r="L346" s="3" t="s">
        <v>842</v>
      </c>
      <c r="M346" s="54" t="n">
        <v>45113.6893634259</v>
      </c>
      <c r="N346" s="3" t="n">
        <v>23</v>
      </c>
      <c r="O346" s="3" t="n">
        <v>23</v>
      </c>
      <c r="P346" s="3" t="n">
        <v>5</v>
      </c>
      <c r="Q346" s="3" t="n">
        <v>173</v>
      </c>
    </row>
    <row r="347" customFormat="false" ht="14.25" hidden="false" customHeight="false" outlineLevel="0" collapsed="false">
      <c r="A347" s="3" t="n">
        <v>191</v>
      </c>
      <c r="B347" s="51" t="s">
        <v>487</v>
      </c>
      <c r="C347" s="51" t="s">
        <v>488</v>
      </c>
      <c r="D347" s="51" t="n">
        <v>213711</v>
      </c>
      <c r="E347" s="51" t="s">
        <v>824</v>
      </c>
      <c r="F347" s="47" t="n">
        <v>16</v>
      </c>
      <c r="G347" s="49" t="n">
        <v>202242</v>
      </c>
      <c r="H347" s="51" t="s">
        <v>824</v>
      </c>
      <c r="I347" s="3" t="s">
        <v>845</v>
      </c>
      <c r="J347" s="3" t="n">
        <v>1</v>
      </c>
      <c r="K347" s="53" t="n">
        <v>45113</v>
      </c>
      <c r="L347" s="3" t="s">
        <v>846</v>
      </c>
      <c r="M347" s="54" t="n">
        <v>45113.7096990741</v>
      </c>
      <c r="N347" s="3" t="n">
        <v>23</v>
      </c>
      <c r="O347" s="3" t="n">
        <v>23</v>
      </c>
      <c r="P347" s="3" t="n">
        <v>6</v>
      </c>
      <c r="Q347" s="3" t="n">
        <v>175</v>
      </c>
    </row>
    <row r="348" customFormat="false" ht="14.25" hidden="false" customHeight="false" outlineLevel="0" collapsed="false">
      <c r="A348" s="3" t="n">
        <v>192</v>
      </c>
      <c r="B348" s="51" t="s">
        <v>487</v>
      </c>
      <c r="C348" s="51" t="s">
        <v>488</v>
      </c>
      <c r="D348" s="51" t="n">
        <v>213711</v>
      </c>
      <c r="E348" s="51" t="s">
        <v>824</v>
      </c>
      <c r="F348" s="47" t="n">
        <v>16</v>
      </c>
      <c r="G348" s="49" t="n">
        <v>202242</v>
      </c>
      <c r="H348" s="51" t="s">
        <v>824</v>
      </c>
      <c r="I348" s="3" t="s">
        <v>847</v>
      </c>
      <c r="J348" s="3" t="n">
        <v>2</v>
      </c>
      <c r="K348" s="53" t="n">
        <v>45113</v>
      </c>
      <c r="L348" s="3" t="s">
        <v>848</v>
      </c>
      <c r="M348" s="54" t="n">
        <v>45113.8375462963</v>
      </c>
      <c r="N348" s="3" t="n">
        <v>23</v>
      </c>
      <c r="O348" s="3" t="n">
        <v>23</v>
      </c>
      <c r="P348" s="3" t="n">
        <v>7</v>
      </c>
      <c r="Q348" s="3" t="n">
        <v>176</v>
      </c>
    </row>
    <row r="349" customFormat="false" ht="14.25" hidden="false" customHeight="false" outlineLevel="0" collapsed="false">
      <c r="A349" s="3" t="n">
        <v>210</v>
      </c>
      <c r="B349" s="51" t="s">
        <v>487</v>
      </c>
      <c r="C349" s="51" t="s">
        <v>488</v>
      </c>
      <c r="D349" s="51" t="n">
        <v>213711</v>
      </c>
      <c r="E349" s="51" t="s">
        <v>824</v>
      </c>
      <c r="F349" s="47" t="n">
        <v>16</v>
      </c>
      <c r="G349" s="49" t="n">
        <v>202242</v>
      </c>
      <c r="H349" s="51" t="s">
        <v>824</v>
      </c>
      <c r="I349" s="3" t="s">
        <v>883</v>
      </c>
      <c r="J349" s="3" t="n">
        <v>3</v>
      </c>
      <c r="K349" s="53" t="n">
        <v>45113</v>
      </c>
      <c r="L349" s="3" t="s">
        <v>884</v>
      </c>
      <c r="M349" s="54" t="n">
        <v>45113.9081828704</v>
      </c>
      <c r="N349" s="3" t="n">
        <v>23</v>
      </c>
      <c r="O349" s="3" t="n">
        <v>23</v>
      </c>
      <c r="P349" s="3" t="n">
        <v>8</v>
      </c>
      <c r="Q349" s="3" t="n">
        <v>194</v>
      </c>
    </row>
    <row r="350" customFormat="false" ht="14.25" hidden="false" customHeight="false" outlineLevel="0" collapsed="false">
      <c r="A350" s="3" t="n">
        <v>211</v>
      </c>
      <c r="B350" s="51" t="s">
        <v>487</v>
      </c>
      <c r="C350" s="51" t="s">
        <v>488</v>
      </c>
      <c r="D350" s="51" t="n">
        <v>213711</v>
      </c>
      <c r="E350" s="51" t="s">
        <v>824</v>
      </c>
      <c r="F350" s="47" t="n">
        <v>16</v>
      </c>
      <c r="G350" s="49" t="n">
        <v>202242</v>
      </c>
      <c r="H350" s="51" t="s">
        <v>824</v>
      </c>
      <c r="I350" s="3" t="s">
        <v>885</v>
      </c>
      <c r="J350" s="3" t="n">
        <v>0</v>
      </c>
      <c r="K350" s="53" t="n">
        <v>45113</v>
      </c>
      <c r="L350" s="3" t="s">
        <v>886</v>
      </c>
      <c r="M350" s="54" t="n">
        <v>45113.9083680556</v>
      </c>
      <c r="N350" s="3" t="n">
        <v>23</v>
      </c>
      <c r="O350" s="3" t="n">
        <v>23</v>
      </c>
      <c r="P350" s="3" t="n">
        <v>9</v>
      </c>
      <c r="Q350" s="3" t="n">
        <v>195</v>
      </c>
    </row>
    <row r="351" customFormat="false" ht="14.25" hidden="false" customHeight="false" outlineLevel="0" collapsed="false">
      <c r="A351" s="3" t="n">
        <v>212</v>
      </c>
      <c r="B351" s="51" t="s">
        <v>487</v>
      </c>
      <c r="C351" s="51" t="s">
        <v>488</v>
      </c>
      <c r="D351" s="51" t="n">
        <v>213711</v>
      </c>
      <c r="E351" s="51" t="s">
        <v>824</v>
      </c>
      <c r="F351" s="47" t="n">
        <v>16</v>
      </c>
      <c r="G351" s="49" t="n">
        <v>202242</v>
      </c>
      <c r="H351" s="51" t="s">
        <v>824</v>
      </c>
      <c r="I351" s="3" t="s">
        <v>887</v>
      </c>
      <c r="J351" s="3" t="n">
        <v>4</v>
      </c>
      <c r="K351" s="53" t="n">
        <v>45114</v>
      </c>
      <c r="L351" s="3" t="s">
        <v>888</v>
      </c>
      <c r="M351" s="54" t="n">
        <v>45114.2777083333</v>
      </c>
      <c r="N351" s="3" t="n">
        <v>23</v>
      </c>
      <c r="O351" s="3" t="n">
        <v>23</v>
      </c>
      <c r="P351" s="3" t="n">
        <v>10</v>
      </c>
      <c r="Q351" s="3" t="n">
        <v>196</v>
      </c>
    </row>
    <row r="352" customFormat="false" ht="14.25" hidden="false" customHeight="false" outlineLevel="0" collapsed="false">
      <c r="A352" s="3" t="n">
        <v>213</v>
      </c>
      <c r="B352" s="51" t="s">
        <v>487</v>
      </c>
      <c r="C352" s="51" t="s">
        <v>488</v>
      </c>
      <c r="D352" s="51" t="n">
        <v>213711</v>
      </c>
      <c r="E352" s="51" t="s">
        <v>824</v>
      </c>
      <c r="F352" s="47" t="n">
        <v>16</v>
      </c>
      <c r="G352" s="49" t="n">
        <v>202242</v>
      </c>
      <c r="H352" s="51" t="s">
        <v>824</v>
      </c>
      <c r="I352" s="3" t="s">
        <v>889</v>
      </c>
      <c r="J352" s="3" t="n">
        <v>2</v>
      </c>
      <c r="K352" s="53" t="n">
        <v>45114</v>
      </c>
      <c r="L352" s="3" t="s">
        <v>890</v>
      </c>
      <c r="M352" s="54" t="n">
        <v>45114.2797685185</v>
      </c>
      <c r="N352" s="3" t="n">
        <v>23</v>
      </c>
      <c r="O352" s="3" t="n">
        <v>23</v>
      </c>
      <c r="P352" s="3" t="n">
        <v>11</v>
      </c>
      <c r="Q352" s="3" t="n">
        <v>197</v>
      </c>
    </row>
    <row r="353" customFormat="false" ht="14.25" hidden="false" customHeight="false" outlineLevel="0" collapsed="false">
      <c r="A353" s="3" t="n">
        <v>214</v>
      </c>
      <c r="B353" s="51" t="s">
        <v>487</v>
      </c>
      <c r="C353" s="51" t="s">
        <v>488</v>
      </c>
      <c r="D353" s="51" t="n">
        <v>213711</v>
      </c>
      <c r="E353" s="51" t="s">
        <v>824</v>
      </c>
      <c r="F353" s="47" t="n">
        <v>16</v>
      </c>
      <c r="G353" s="49" t="n">
        <v>202242</v>
      </c>
      <c r="H353" s="51" t="s">
        <v>824</v>
      </c>
      <c r="I353" s="3" t="s">
        <v>891</v>
      </c>
      <c r="J353" s="3" t="n">
        <v>2</v>
      </c>
      <c r="K353" s="53" t="n">
        <v>45114</v>
      </c>
      <c r="L353" s="3" t="s">
        <v>892</v>
      </c>
      <c r="M353" s="54" t="n">
        <v>45114.2799189815</v>
      </c>
      <c r="N353" s="3" t="n">
        <v>23</v>
      </c>
      <c r="O353" s="3" t="n">
        <v>23</v>
      </c>
      <c r="P353" s="3" t="n">
        <v>12</v>
      </c>
      <c r="Q353" s="3" t="n">
        <v>198</v>
      </c>
    </row>
    <row r="354" customFormat="false" ht="14.25" hidden="false" customHeight="false" outlineLevel="0" collapsed="false">
      <c r="A354" s="3" t="n">
        <v>215</v>
      </c>
      <c r="B354" s="51" t="s">
        <v>487</v>
      </c>
      <c r="C354" s="51" t="s">
        <v>488</v>
      </c>
      <c r="D354" s="51" t="n">
        <v>213711</v>
      </c>
      <c r="E354" s="51" t="s">
        <v>824</v>
      </c>
      <c r="F354" s="47" t="n">
        <v>16</v>
      </c>
      <c r="G354" s="49" t="n">
        <v>202242</v>
      </c>
      <c r="H354" s="51" t="s">
        <v>824</v>
      </c>
      <c r="I354" s="3" t="s">
        <v>893</v>
      </c>
      <c r="J354" s="3" t="n">
        <v>1</v>
      </c>
      <c r="K354" s="53" t="n">
        <v>45114</v>
      </c>
      <c r="L354" s="3" t="s">
        <v>894</v>
      </c>
      <c r="M354" s="54" t="n">
        <v>45114.2801851852</v>
      </c>
      <c r="N354" s="3" t="n">
        <v>23</v>
      </c>
      <c r="O354" s="3" t="n">
        <v>23</v>
      </c>
      <c r="P354" s="3" t="n">
        <v>13</v>
      </c>
      <c r="Q354" s="3" t="n">
        <v>199</v>
      </c>
    </row>
    <row r="355" customFormat="false" ht="14.25" hidden="false" customHeight="false" outlineLevel="0" collapsed="false">
      <c r="A355" s="3" t="n">
        <v>216</v>
      </c>
      <c r="B355" s="51" t="s">
        <v>487</v>
      </c>
      <c r="C355" s="51" t="s">
        <v>488</v>
      </c>
      <c r="D355" s="51" t="n">
        <v>213711</v>
      </c>
      <c r="E355" s="51" t="s">
        <v>824</v>
      </c>
      <c r="F355" s="47" t="n">
        <v>16</v>
      </c>
      <c r="G355" s="49" t="n">
        <v>202242</v>
      </c>
      <c r="H355" s="51" t="s">
        <v>824</v>
      </c>
      <c r="I355" s="3" t="s">
        <v>895</v>
      </c>
      <c r="J355" s="3" t="n">
        <v>3</v>
      </c>
      <c r="K355" s="53" t="n">
        <v>45114</v>
      </c>
      <c r="L355" s="3" t="s">
        <v>896</v>
      </c>
      <c r="M355" s="54" t="n">
        <v>45114.2809375</v>
      </c>
      <c r="N355" s="3" t="n">
        <v>23</v>
      </c>
      <c r="O355" s="3" t="n">
        <v>23</v>
      </c>
      <c r="P355" s="3" t="n">
        <v>14</v>
      </c>
      <c r="Q355" s="3" t="n">
        <v>200</v>
      </c>
    </row>
    <row r="356" customFormat="false" ht="14.25" hidden="false" customHeight="false" outlineLevel="0" collapsed="false">
      <c r="A356" s="3" t="n">
        <v>88</v>
      </c>
      <c r="B356" s="51" t="s">
        <v>250</v>
      </c>
      <c r="C356" s="51" t="s">
        <v>251</v>
      </c>
      <c r="D356" s="51" t="n">
        <v>213777</v>
      </c>
      <c r="E356" s="51" t="s">
        <v>244</v>
      </c>
      <c r="F356" s="47" t="n">
        <v>25</v>
      </c>
      <c r="G356" s="49" t="n">
        <v>213254</v>
      </c>
      <c r="H356" s="51" t="s">
        <v>244</v>
      </c>
      <c r="I356" s="3" t="s">
        <v>386</v>
      </c>
      <c r="J356" s="3" t="n">
        <v>1</v>
      </c>
      <c r="K356" s="53" t="n">
        <v>45113</v>
      </c>
      <c r="L356" s="3" t="s">
        <v>387</v>
      </c>
      <c r="M356" s="54" t="n">
        <v>45113.6962615741</v>
      </c>
      <c r="N356" s="3" t="n">
        <v>24</v>
      </c>
      <c r="O356" s="3" t="n">
        <v>24</v>
      </c>
      <c r="P356" s="3" t="n">
        <v>1</v>
      </c>
      <c r="Q356" s="3" t="n">
        <v>68</v>
      </c>
    </row>
    <row r="357" customFormat="false" ht="14.25" hidden="false" customHeight="false" outlineLevel="0" collapsed="false">
      <c r="A357" s="3" t="n">
        <v>89</v>
      </c>
      <c r="B357" s="51" t="s">
        <v>250</v>
      </c>
      <c r="C357" s="51" t="s">
        <v>251</v>
      </c>
      <c r="D357" s="51" t="n">
        <v>213777</v>
      </c>
      <c r="E357" s="51" t="s">
        <v>244</v>
      </c>
      <c r="F357" s="47" t="n">
        <v>25</v>
      </c>
      <c r="G357" s="49" t="n">
        <v>213254</v>
      </c>
      <c r="H357" s="51" t="s">
        <v>244</v>
      </c>
      <c r="I357" s="3" t="s">
        <v>388</v>
      </c>
      <c r="J357" s="3" t="n">
        <v>1</v>
      </c>
      <c r="K357" s="53" t="n">
        <v>45113</v>
      </c>
      <c r="L357" s="3" t="s">
        <v>389</v>
      </c>
      <c r="M357" s="54" t="n">
        <v>45113.7091435185</v>
      </c>
      <c r="N357" s="3" t="n">
        <v>24</v>
      </c>
      <c r="O357" s="3" t="n">
        <v>24</v>
      </c>
      <c r="P357" s="3" t="n">
        <v>2</v>
      </c>
      <c r="Q357" s="3" t="n">
        <v>69</v>
      </c>
    </row>
    <row r="358" customFormat="false" ht="14.25" hidden="false" customHeight="false" outlineLevel="0" collapsed="false">
      <c r="A358" s="3" t="n">
        <v>90</v>
      </c>
      <c r="B358" s="51" t="s">
        <v>250</v>
      </c>
      <c r="C358" s="51" t="s">
        <v>251</v>
      </c>
      <c r="D358" s="51" t="n">
        <v>213777</v>
      </c>
      <c r="E358" s="51" t="s">
        <v>244</v>
      </c>
      <c r="F358" s="47" t="n">
        <v>25</v>
      </c>
      <c r="G358" s="49" t="n">
        <v>213254</v>
      </c>
      <c r="H358" s="51" t="s">
        <v>244</v>
      </c>
      <c r="I358" s="3" t="s">
        <v>390</v>
      </c>
      <c r="J358" s="3" t="n">
        <v>1</v>
      </c>
      <c r="K358" s="53" t="n">
        <v>45113</v>
      </c>
      <c r="L358" s="3" t="s">
        <v>391</v>
      </c>
      <c r="M358" s="54" t="n">
        <v>45113.7362962963</v>
      </c>
      <c r="N358" s="3" t="n">
        <v>24</v>
      </c>
      <c r="O358" s="3" t="n">
        <v>24</v>
      </c>
      <c r="P358" s="3" t="n">
        <v>3</v>
      </c>
      <c r="Q358" s="3" t="n">
        <v>70</v>
      </c>
    </row>
    <row r="359" customFormat="false" ht="14.25" hidden="false" customHeight="false" outlineLevel="0" collapsed="false">
      <c r="A359" s="3" t="n">
        <v>91</v>
      </c>
      <c r="B359" s="51" t="s">
        <v>250</v>
      </c>
      <c r="C359" s="51" t="s">
        <v>251</v>
      </c>
      <c r="D359" s="51" t="n">
        <v>213777</v>
      </c>
      <c r="E359" s="51" t="s">
        <v>244</v>
      </c>
      <c r="F359" s="47" t="n">
        <v>25</v>
      </c>
      <c r="G359" s="49" t="n">
        <v>213254</v>
      </c>
      <c r="H359" s="51" t="s">
        <v>244</v>
      </c>
      <c r="I359" s="3" t="s">
        <v>392</v>
      </c>
      <c r="J359" s="3" t="n">
        <v>0</v>
      </c>
      <c r="K359" s="53" t="n">
        <v>45113</v>
      </c>
      <c r="L359" s="3" t="s">
        <v>393</v>
      </c>
      <c r="M359" s="54" t="n">
        <v>45113.7368634259</v>
      </c>
      <c r="N359" s="3" t="n">
        <v>24</v>
      </c>
      <c r="O359" s="3" t="n">
        <v>24</v>
      </c>
      <c r="P359" s="3" t="n">
        <v>4</v>
      </c>
      <c r="Q359" s="3" t="n">
        <v>71</v>
      </c>
    </row>
    <row r="360" customFormat="false" ht="14.25" hidden="false" customHeight="false" outlineLevel="0" collapsed="false">
      <c r="A360" s="3" t="n">
        <v>92</v>
      </c>
      <c r="B360" s="51" t="s">
        <v>250</v>
      </c>
      <c r="C360" s="51" t="s">
        <v>251</v>
      </c>
      <c r="D360" s="51" t="n">
        <v>213777</v>
      </c>
      <c r="E360" s="51" t="s">
        <v>244</v>
      </c>
      <c r="F360" s="47" t="n">
        <v>25</v>
      </c>
      <c r="G360" s="49" t="n">
        <v>213254</v>
      </c>
      <c r="H360" s="51" t="s">
        <v>244</v>
      </c>
      <c r="I360" s="3" t="s">
        <v>394</v>
      </c>
      <c r="J360" s="3" t="n">
        <v>1</v>
      </c>
      <c r="K360" s="53" t="n">
        <v>45113</v>
      </c>
      <c r="L360" s="3" t="s">
        <v>395</v>
      </c>
      <c r="M360" s="54" t="n">
        <v>45113.738125</v>
      </c>
      <c r="N360" s="3" t="n">
        <v>24</v>
      </c>
      <c r="O360" s="3" t="n">
        <v>24</v>
      </c>
      <c r="P360" s="3" t="n">
        <v>5</v>
      </c>
      <c r="Q360" s="3" t="n">
        <v>72</v>
      </c>
    </row>
    <row r="361" customFormat="false" ht="14.25" hidden="false" customHeight="false" outlineLevel="0" collapsed="false">
      <c r="A361" s="3" t="n">
        <v>93</v>
      </c>
      <c r="B361" s="51" t="s">
        <v>250</v>
      </c>
      <c r="C361" s="51" t="s">
        <v>251</v>
      </c>
      <c r="D361" s="51" t="n">
        <v>213777</v>
      </c>
      <c r="E361" s="51" t="s">
        <v>244</v>
      </c>
      <c r="F361" s="47" t="n">
        <v>25</v>
      </c>
      <c r="G361" s="49" t="n">
        <v>213254</v>
      </c>
      <c r="H361" s="51" t="s">
        <v>244</v>
      </c>
      <c r="I361" s="3" t="s">
        <v>396</v>
      </c>
      <c r="J361" s="3" t="n">
        <v>1</v>
      </c>
      <c r="K361" s="53" t="n">
        <v>45113</v>
      </c>
      <c r="L361" s="3" t="s">
        <v>397</v>
      </c>
      <c r="M361" s="54" t="n">
        <v>45113.8049768519</v>
      </c>
      <c r="N361" s="3" t="n">
        <v>24</v>
      </c>
      <c r="O361" s="3" t="n">
        <v>24</v>
      </c>
      <c r="P361" s="3" t="n">
        <v>6</v>
      </c>
      <c r="Q361" s="3" t="n">
        <v>73</v>
      </c>
    </row>
    <row r="362" customFormat="false" ht="14.25" hidden="false" customHeight="false" outlineLevel="0" collapsed="false">
      <c r="A362" s="3" t="n">
        <v>94</v>
      </c>
      <c r="B362" s="51" t="s">
        <v>250</v>
      </c>
      <c r="C362" s="51" t="s">
        <v>251</v>
      </c>
      <c r="D362" s="51" t="n">
        <v>213777</v>
      </c>
      <c r="E362" s="51" t="s">
        <v>244</v>
      </c>
      <c r="F362" s="47" t="n">
        <v>25</v>
      </c>
      <c r="G362" s="49" t="n">
        <v>213254</v>
      </c>
      <c r="H362" s="51" t="s">
        <v>244</v>
      </c>
      <c r="I362" s="3" t="s">
        <v>398</v>
      </c>
      <c r="J362" s="3" t="n">
        <v>1</v>
      </c>
      <c r="K362" s="53" t="n">
        <v>45113</v>
      </c>
      <c r="L362" s="3" t="s">
        <v>399</v>
      </c>
      <c r="M362" s="54" t="n">
        <v>45113.8070833333</v>
      </c>
      <c r="N362" s="3" t="n">
        <v>24</v>
      </c>
      <c r="O362" s="3" t="n">
        <v>24</v>
      </c>
      <c r="P362" s="3" t="n">
        <v>7</v>
      </c>
      <c r="Q362" s="3" t="n">
        <v>74</v>
      </c>
    </row>
    <row r="363" customFormat="false" ht="14.25" hidden="false" customHeight="false" outlineLevel="0" collapsed="false">
      <c r="A363" s="3" t="n">
        <v>95</v>
      </c>
      <c r="B363" s="51" t="s">
        <v>250</v>
      </c>
      <c r="C363" s="51" t="s">
        <v>251</v>
      </c>
      <c r="D363" s="51" t="n">
        <v>213777</v>
      </c>
      <c r="E363" s="51" t="s">
        <v>244</v>
      </c>
      <c r="F363" s="47" t="n">
        <v>25</v>
      </c>
      <c r="G363" s="49" t="n">
        <v>213254</v>
      </c>
      <c r="H363" s="51" t="s">
        <v>244</v>
      </c>
      <c r="I363" s="3" t="s">
        <v>400</v>
      </c>
      <c r="J363" s="3" t="n">
        <v>2</v>
      </c>
      <c r="K363" s="53" t="n">
        <v>45113</v>
      </c>
      <c r="L363" s="3" t="s">
        <v>401</v>
      </c>
      <c r="M363" s="54" t="n">
        <v>45113.8985532407</v>
      </c>
      <c r="N363" s="3" t="n">
        <v>24</v>
      </c>
      <c r="O363" s="3" t="n">
        <v>24</v>
      </c>
      <c r="P363" s="3" t="n">
        <v>8</v>
      </c>
      <c r="Q363" s="3" t="n">
        <v>75</v>
      </c>
    </row>
    <row r="364" customFormat="false" ht="14.25" hidden="false" customHeight="false" outlineLevel="0" collapsed="false">
      <c r="A364" s="3" t="n">
        <v>96</v>
      </c>
      <c r="B364" s="51" t="s">
        <v>250</v>
      </c>
      <c r="C364" s="51" t="s">
        <v>251</v>
      </c>
      <c r="D364" s="51" t="n">
        <v>213777</v>
      </c>
      <c r="E364" s="51" t="s">
        <v>244</v>
      </c>
      <c r="F364" s="47" t="n">
        <v>25</v>
      </c>
      <c r="G364" s="49" t="n">
        <v>213254</v>
      </c>
      <c r="H364" s="51" t="s">
        <v>244</v>
      </c>
      <c r="I364" s="3" t="s">
        <v>402</v>
      </c>
      <c r="J364" s="3" t="n">
        <v>0</v>
      </c>
      <c r="K364" s="53" t="n">
        <v>45113</v>
      </c>
      <c r="L364" s="3" t="s">
        <v>403</v>
      </c>
      <c r="M364" s="54" t="n">
        <v>45113.8991087963</v>
      </c>
      <c r="N364" s="3" t="n">
        <v>24</v>
      </c>
      <c r="O364" s="3" t="n">
        <v>24</v>
      </c>
      <c r="P364" s="3" t="n">
        <v>9</v>
      </c>
      <c r="Q364" s="3" t="n">
        <v>76</v>
      </c>
    </row>
    <row r="365" customFormat="false" ht="14.25" hidden="false" customHeight="false" outlineLevel="0" collapsed="false">
      <c r="A365" s="3" t="n">
        <v>91</v>
      </c>
      <c r="B365" s="51" t="s">
        <v>77</v>
      </c>
      <c r="C365" s="51" t="s">
        <v>78</v>
      </c>
      <c r="D365" s="51" t="n">
        <v>213665</v>
      </c>
      <c r="E365" s="51" t="s">
        <v>244</v>
      </c>
      <c r="F365" s="47" t="n">
        <v>25</v>
      </c>
      <c r="G365" s="49" t="n">
        <v>213254</v>
      </c>
      <c r="H365" s="51" t="s">
        <v>244</v>
      </c>
      <c r="I365" s="3" t="s">
        <v>245</v>
      </c>
      <c r="J365" s="3" t="n">
        <v>2</v>
      </c>
      <c r="K365" s="53" t="n">
        <v>45114</v>
      </c>
      <c r="L365" s="3" t="s">
        <v>246</v>
      </c>
      <c r="M365" s="54" t="n">
        <v>45114.7636111111</v>
      </c>
      <c r="N365" s="3" t="n">
        <v>24</v>
      </c>
      <c r="O365" s="3" t="n">
        <v>24</v>
      </c>
      <c r="P365" s="3" t="n">
        <v>10</v>
      </c>
      <c r="Q365" s="3" t="n">
        <v>76</v>
      </c>
    </row>
    <row r="366" customFormat="false" ht="14.25" hidden="false" customHeight="false" outlineLevel="0" collapsed="false">
      <c r="A366" s="3" t="n">
        <v>29</v>
      </c>
      <c r="B366" s="51" t="s">
        <v>77</v>
      </c>
      <c r="C366" s="51" t="s">
        <v>78</v>
      </c>
      <c r="D366" s="51" t="n">
        <v>213665</v>
      </c>
      <c r="E366" s="51" t="s">
        <v>108</v>
      </c>
      <c r="F366" s="47" t="n">
        <v>39</v>
      </c>
      <c r="G366" s="49" t="n">
        <v>223258</v>
      </c>
      <c r="H366" s="51" t="s">
        <v>108</v>
      </c>
      <c r="I366" s="3" t="s">
        <v>109</v>
      </c>
      <c r="J366" s="3" t="n">
        <v>0</v>
      </c>
      <c r="K366" s="53" t="n">
        <v>45113</v>
      </c>
      <c r="L366" s="3" t="s">
        <v>110</v>
      </c>
      <c r="M366" s="54" t="n">
        <v>45113.716712963</v>
      </c>
      <c r="N366" s="3" t="n">
        <v>25</v>
      </c>
      <c r="O366" s="3" t="n">
        <v>25</v>
      </c>
      <c r="P366" s="3" t="n">
        <v>1</v>
      </c>
      <c r="Q366" s="3" t="n">
        <v>14</v>
      </c>
    </row>
    <row r="367" customFormat="false" ht="14.25" hidden="false" customHeight="false" outlineLevel="0" collapsed="false">
      <c r="A367" s="3" t="n">
        <v>30</v>
      </c>
      <c r="B367" s="51" t="s">
        <v>77</v>
      </c>
      <c r="C367" s="51" t="s">
        <v>78</v>
      </c>
      <c r="D367" s="51" t="n">
        <v>213665</v>
      </c>
      <c r="E367" s="51" t="s">
        <v>108</v>
      </c>
      <c r="F367" s="47" t="n">
        <v>39</v>
      </c>
      <c r="G367" s="49" t="n">
        <v>223258</v>
      </c>
      <c r="H367" s="51" t="s">
        <v>108</v>
      </c>
      <c r="I367" s="3" t="s">
        <v>111</v>
      </c>
      <c r="J367" s="3" t="n">
        <v>1</v>
      </c>
      <c r="K367" s="53" t="n">
        <v>45113</v>
      </c>
      <c r="L367" s="3" t="s">
        <v>112</v>
      </c>
      <c r="M367" s="54" t="n">
        <v>45113.716724537</v>
      </c>
      <c r="N367" s="3" t="n">
        <v>25</v>
      </c>
      <c r="O367" s="3" t="n">
        <v>25</v>
      </c>
      <c r="P367" s="3" t="n">
        <v>2</v>
      </c>
      <c r="Q367" s="3" t="n">
        <v>15</v>
      </c>
    </row>
    <row r="368" customFormat="false" ht="14.25" hidden="false" customHeight="false" outlineLevel="0" collapsed="false">
      <c r="A368" s="3" t="n">
        <v>38</v>
      </c>
      <c r="B368" s="51" t="s">
        <v>77</v>
      </c>
      <c r="C368" s="51" t="s">
        <v>78</v>
      </c>
      <c r="D368" s="51" t="n">
        <v>213665</v>
      </c>
      <c r="E368" s="51" t="s">
        <v>108</v>
      </c>
      <c r="F368" s="47" t="n">
        <v>39</v>
      </c>
      <c r="G368" s="49" t="n">
        <v>223258</v>
      </c>
      <c r="H368" s="51" t="s">
        <v>108</v>
      </c>
      <c r="I368" s="3" t="s">
        <v>129</v>
      </c>
      <c r="J368" s="3" t="n">
        <v>4</v>
      </c>
      <c r="K368" s="53" t="n">
        <v>45113</v>
      </c>
      <c r="L368" s="3" t="s">
        <v>130</v>
      </c>
      <c r="M368" s="54" t="n">
        <v>45113.9671990741</v>
      </c>
      <c r="N368" s="3" t="n">
        <v>25</v>
      </c>
      <c r="O368" s="3" t="n">
        <v>25</v>
      </c>
      <c r="P368" s="3" t="n">
        <v>3</v>
      </c>
      <c r="Q368" s="3" t="n">
        <v>23</v>
      </c>
    </row>
    <row r="369" customFormat="false" ht="14.25" hidden="false" customHeight="false" outlineLevel="0" collapsed="false">
      <c r="A369" s="3" t="n">
        <v>39</v>
      </c>
      <c r="B369" s="51" t="s">
        <v>77</v>
      </c>
      <c r="C369" s="51" t="s">
        <v>78</v>
      </c>
      <c r="D369" s="51" t="n">
        <v>213665</v>
      </c>
      <c r="E369" s="51" t="s">
        <v>108</v>
      </c>
      <c r="F369" s="47" t="n">
        <v>39</v>
      </c>
      <c r="G369" s="49" t="n">
        <v>223258</v>
      </c>
      <c r="H369" s="51" t="s">
        <v>108</v>
      </c>
      <c r="I369" s="3" t="s">
        <v>131</v>
      </c>
      <c r="J369" s="3" t="n">
        <v>0</v>
      </c>
      <c r="K369" s="53" t="n">
        <v>45113</v>
      </c>
      <c r="L369" s="3" t="s">
        <v>132</v>
      </c>
      <c r="M369" s="54" t="n">
        <v>45113.968599537</v>
      </c>
      <c r="N369" s="3" t="n">
        <v>25</v>
      </c>
      <c r="O369" s="3" t="n">
        <v>25</v>
      </c>
      <c r="P369" s="3" t="n">
        <v>4</v>
      </c>
      <c r="Q369" s="3" t="n">
        <v>24</v>
      </c>
    </row>
    <row r="370" customFormat="false" ht="14.25" hidden="false" customHeight="false" outlineLevel="0" collapsed="false">
      <c r="A370" s="3" t="n">
        <v>40</v>
      </c>
      <c r="B370" s="51" t="s">
        <v>77</v>
      </c>
      <c r="C370" s="51" t="s">
        <v>78</v>
      </c>
      <c r="D370" s="51" t="n">
        <v>213665</v>
      </c>
      <c r="E370" s="51" t="s">
        <v>108</v>
      </c>
      <c r="F370" s="47" t="n">
        <v>39</v>
      </c>
      <c r="G370" s="49" t="n">
        <v>223258</v>
      </c>
      <c r="H370" s="51" t="s">
        <v>108</v>
      </c>
      <c r="I370" s="3" t="s">
        <v>133</v>
      </c>
      <c r="J370" s="3" t="n">
        <v>0</v>
      </c>
      <c r="K370" s="53" t="n">
        <v>45113</v>
      </c>
      <c r="L370" s="3" t="s">
        <v>134</v>
      </c>
      <c r="M370" s="54" t="n">
        <v>45113.9915277778</v>
      </c>
      <c r="N370" s="3" t="n">
        <v>25</v>
      </c>
      <c r="O370" s="3" t="n">
        <v>25</v>
      </c>
      <c r="P370" s="3" t="n">
        <v>5</v>
      </c>
      <c r="Q370" s="3" t="n">
        <v>25</v>
      </c>
    </row>
    <row r="371" customFormat="false" ht="14.25" hidden="false" customHeight="false" outlineLevel="0" collapsed="false">
      <c r="A371" s="3" t="n">
        <v>97</v>
      </c>
      <c r="B371" s="51" t="s">
        <v>250</v>
      </c>
      <c r="C371" s="51" t="s">
        <v>251</v>
      </c>
      <c r="D371" s="51" t="n">
        <v>213777</v>
      </c>
      <c r="E371" s="51" t="s">
        <v>123</v>
      </c>
      <c r="F371" s="47" t="n">
        <v>37</v>
      </c>
      <c r="G371" s="49" t="n">
        <v>223220</v>
      </c>
      <c r="H371" s="51" t="s">
        <v>123</v>
      </c>
      <c r="I371" s="3" t="s">
        <v>404</v>
      </c>
      <c r="J371" s="3" t="n">
        <v>1</v>
      </c>
      <c r="K371" s="53" t="n">
        <v>45113</v>
      </c>
      <c r="L371" s="3" t="s">
        <v>405</v>
      </c>
      <c r="M371" s="54" t="n">
        <v>45113.9234259259</v>
      </c>
      <c r="N371" s="3" t="n">
        <v>26</v>
      </c>
      <c r="O371" s="3" t="n">
        <v>26</v>
      </c>
      <c r="P371" s="3" t="n">
        <v>1</v>
      </c>
      <c r="Q371" s="3" t="n">
        <v>77</v>
      </c>
    </row>
    <row r="372" customFormat="false" ht="14.25" hidden="false" customHeight="false" outlineLevel="0" collapsed="false">
      <c r="A372" s="3" t="n">
        <v>36</v>
      </c>
      <c r="B372" s="51" t="s">
        <v>77</v>
      </c>
      <c r="C372" s="51" t="s">
        <v>78</v>
      </c>
      <c r="D372" s="51" t="n">
        <v>213665</v>
      </c>
      <c r="E372" s="51" t="s">
        <v>123</v>
      </c>
      <c r="F372" s="47" t="n">
        <v>37</v>
      </c>
      <c r="G372" s="49" t="n">
        <v>223220</v>
      </c>
      <c r="H372" s="51" t="s">
        <v>123</v>
      </c>
      <c r="I372" s="3" t="s">
        <v>124</v>
      </c>
      <c r="J372" s="3" t="n">
        <v>1</v>
      </c>
      <c r="K372" s="53" t="n">
        <v>45113</v>
      </c>
      <c r="L372" s="3" t="s">
        <v>125</v>
      </c>
      <c r="M372" s="54" t="n">
        <v>45113.937025463</v>
      </c>
      <c r="N372" s="3" t="n">
        <v>26</v>
      </c>
      <c r="O372" s="3" t="n">
        <v>26</v>
      </c>
      <c r="P372" s="3" t="n">
        <v>2</v>
      </c>
      <c r="Q372" s="3" t="n">
        <v>21</v>
      </c>
    </row>
    <row r="373" customFormat="false" ht="14.25" hidden="false" customHeight="false" outlineLevel="0" collapsed="false">
      <c r="A373" s="3" t="n">
        <v>98</v>
      </c>
      <c r="B373" s="51" t="s">
        <v>250</v>
      </c>
      <c r="C373" s="51" t="s">
        <v>251</v>
      </c>
      <c r="D373" s="51" t="n">
        <v>213777</v>
      </c>
      <c r="E373" s="51" t="s">
        <v>406</v>
      </c>
      <c r="F373" s="47" t="n">
        <v>28</v>
      </c>
      <c r="G373" s="49" t="n">
        <v>213327</v>
      </c>
      <c r="H373" s="51" t="s">
        <v>406</v>
      </c>
      <c r="I373" s="3" t="s">
        <v>407</v>
      </c>
      <c r="J373" s="3" t="n">
        <v>1</v>
      </c>
      <c r="K373" s="53" t="n">
        <v>45113</v>
      </c>
      <c r="L373" s="3" t="s">
        <v>408</v>
      </c>
      <c r="M373" s="54" t="n">
        <v>45113.9315509259</v>
      </c>
      <c r="N373" s="3" t="n">
        <v>27</v>
      </c>
      <c r="O373" s="3" t="n">
        <v>27</v>
      </c>
      <c r="P373" s="3" t="n">
        <v>1</v>
      </c>
      <c r="Q373" s="3" t="n">
        <v>78</v>
      </c>
    </row>
    <row r="374" customFormat="false" ht="14.25" hidden="false" customHeight="false" outlineLevel="0" collapsed="false">
      <c r="A374" s="3" t="n">
        <v>37</v>
      </c>
      <c r="B374" s="51" t="s">
        <v>77</v>
      </c>
      <c r="C374" s="51" t="s">
        <v>78</v>
      </c>
      <c r="D374" s="51" t="n">
        <v>213665</v>
      </c>
      <c r="E374" s="51" t="s">
        <v>126</v>
      </c>
      <c r="F374" s="47" t="n">
        <v>5</v>
      </c>
      <c r="G374" s="49" t="n">
        <v>192072</v>
      </c>
      <c r="H374" s="51" t="s">
        <v>126</v>
      </c>
      <c r="I374" s="3" t="s">
        <v>127</v>
      </c>
      <c r="J374" s="3" t="n">
        <v>1</v>
      </c>
      <c r="K374" s="53" t="n">
        <v>45113</v>
      </c>
      <c r="L374" s="3" t="s">
        <v>128</v>
      </c>
      <c r="M374" s="54" t="n">
        <v>45113.9463773148</v>
      </c>
      <c r="N374" s="3" t="n">
        <v>28</v>
      </c>
      <c r="O374" s="3" t="n">
        <v>28</v>
      </c>
      <c r="P374" s="3" t="n">
        <v>1</v>
      </c>
      <c r="Q374" s="3" t="n">
        <v>22</v>
      </c>
    </row>
    <row r="375" customFormat="false" ht="14.25" hidden="false" customHeight="false" outlineLevel="0" collapsed="false">
      <c r="A375" s="3" t="n">
        <v>99</v>
      </c>
      <c r="B375" s="51" t="s">
        <v>250</v>
      </c>
      <c r="C375" s="51" t="s">
        <v>251</v>
      </c>
      <c r="D375" s="51" t="n">
        <v>213777</v>
      </c>
      <c r="E375" s="51" t="s">
        <v>126</v>
      </c>
      <c r="F375" s="47" t="n">
        <v>5</v>
      </c>
      <c r="G375" s="49" t="n">
        <v>192072</v>
      </c>
      <c r="H375" s="51" t="s">
        <v>126</v>
      </c>
      <c r="I375" s="3" t="s">
        <v>409</v>
      </c>
      <c r="J375" s="3" t="n">
        <v>0</v>
      </c>
      <c r="K375" s="53" t="n">
        <v>45114</v>
      </c>
      <c r="L375" s="3" t="s">
        <v>410</v>
      </c>
      <c r="M375" s="54" t="n">
        <v>45114.0087615741</v>
      </c>
      <c r="N375" s="3" t="n">
        <v>28</v>
      </c>
      <c r="O375" s="3" t="n">
        <v>28</v>
      </c>
      <c r="P375" s="3" t="n">
        <v>2</v>
      </c>
      <c r="Q375" s="3" t="n">
        <v>79</v>
      </c>
    </row>
    <row r="376" customFormat="false" ht="14.25" hidden="false" customHeight="false" outlineLevel="0" collapsed="false">
      <c r="A376" s="3" t="n">
        <v>71</v>
      </c>
      <c r="B376" s="51" t="s">
        <v>77</v>
      </c>
      <c r="C376" s="51" t="s">
        <v>78</v>
      </c>
      <c r="D376" s="51" t="n">
        <v>213665</v>
      </c>
      <c r="E376" s="51" t="s">
        <v>126</v>
      </c>
      <c r="F376" s="47" t="n">
        <v>5</v>
      </c>
      <c r="G376" s="49" t="n">
        <v>192072</v>
      </c>
      <c r="H376" s="51" t="s">
        <v>126</v>
      </c>
      <c r="I376" s="3" t="s">
        <v>202</v>
      </c>
      <c r="J376" s="3" t="n">
        <v>1</v>
      </c>
      <c r="K376" s="53" t="n">
        <v>45114</v>
      </c>
      <c r="L376" s="3" t="s">
        <v>203</v>
      </c>
      <c r="M376" s="54" t="n">
        <v>45114.185162037</v>
      </c>
      <c r="N376" s="3" t="n">
        <v>28</v>
      </c>
      <c r="O376" s="3" t="n">
        <v>28</v>
      </c>
      <c r="P376" s="3" t="n">
        <v>3</v>
      </c>
      <c r="Q376" s="3" t="n">
        <v>56</v>
      </c>
    </row>
    <row r="377" customFormat="false" ht="14.25" hidden="false" customHeight="false" outlineLevel="0" collapsed="false">
      <c r="A377" s="3" t="n">
        <v>72</v>
      </c>
      <c r="B377" s="51" t="s">
        <v>77</v>
      </c>
      <c r="C377" s="51" t="s">
        <v>78</v>
      </c>
      <c r="D377" s="51" t="n">
        <v>213665</v>
      </c>
      <c r="E377" s="51" t="s">
        <v>126</v>
      </c>
      <c r="F377" s="47" t="n">
        <v>5</v>
      </c>
      <c r="G377" s="49" t="n">
        <v>192072</v>
      </c>
      <c r="H377" s="51" t="s">
        <v>126</v>
      </c>
      <c r="I377" s="3" t="s">
        <v>204</v>
      </c>
      <c r="J377" s="3" t="n">
        <v>2</v>
      </c>
      <c r="K377" s="53" t="n">
        <v>45114</v>
      </c>
      <c r="L377" s="3" t="s">
        <v>205</v>
      </c>
      <c r="M377" s="54" t="n">
        <v>45114.5159953704</v>
      </c>
      <c r="N377" s="3" t="n">
        <v>28</v>
      </c>
      <c r="O377" s="3" t="n">
        <v>28</v>
      </c>
      <c r="P377" s="3" t="n">
        <v>4</v>
      </c>
      <c r="Q377" s="3" t="n">
        <v>57</v>
      </c>
    </row>
    <row r="378" customFormat="false" ht="14.25" hidden="false" customHeight="false" outlineLevel="0" collapsed="false">
      <c r="A378" s="3" t="n">
        <v>41</v>
      </c>
      <c r="B378" s="51" t="s">
        <v>77</v>
      </c>
      <c r="C378" s="51" t="s">
        <v>78</v>
      </c>
      <c r="D378" s="51" t="n">
        <v>213665</v>
      </c>
      <c r="E378" s="51" t="s">
        <v>135</v>
      </c>
      <c r="F378" s="47" t="n">
        <v>38</v>
      </c>
      <c r="G378" s="49" t="n">
        <v>223223</v>
      </c>
      <c r="H378" s="51" t="s">
        <v>135</v>
      </c>
      <c r="I378" s="3" t="s">
        <v>136</v>
      </c>
      <c r="J378" s="3" t="n">
        <v>1</v>
      </c>
      <c r="K378" s="53" t="n">
        <v>45113</v>
      </c>
      <c r="L378" s="3" t="s">
        <v>137</v>
      </c>
      <c r="M378" s="54" t="n">
        <v>45113.9958333333</v>
      </c>
      <c r="N378" s="3" t="n">
        <v>29</v>
      </c>
      <c r="O378" s="3" t="n">
        <v>29</v>
      </c>
      <c r="P378" s="3" t="n">
        <v>1</v>
      </c>
      <c r="Q378" s="3" t="n">
        <v>26</v>
      </c>
    </row>
    <row r="379" customFormat="false" ht="14.25" hidden="false" customHeight="false" outlineLevel="0" collapsed="false">
      <c r="A379" s="3" t="n">
        <v>101</v>
      </c>
      <c r="B379" s="51" t="s">
        <v>250</v>
      </c>
      <c r="C379" s="51" t="s">
        <v>251</v>
      </c>
      <c r="D379" s="51" t="n">
        <v>213777</v>
      </c>
      <c r="E379" s="51" t="s">
        <v>135</v>
      </c>
      <c r="F379" s="47" t="n">
        <v>38</v>
      </c>
      <c r="G379" s="49" t="n">
        <v>223223</v>
      </c>
      <c r="H379" s="51" t="s">
        <v>135</v>
      </c>
      <c r="I379" s="3" t="s">
        <v>413</v>
      </c>
      <c r="J379" s="3" t="n">
        <v>0</v>
      </c>
      <c r="K379" s="53" t="n">
        <v>45114</v>
      </c>
      <c r="L379" s="3" t="s">
        <v>414</v>
      </c>
      <c r="M379" s="54" t="n">
        <v>45114.0531597222</v>
      </c>
      <c r="N379" s="3" t="n">
        <v>29</v>
      </c>
      <c r="O379" s="3" t="n">
        <v>29</v>
      </c>
      <c r="P379" s="3" t="n">
        <v>2</v>
      </c>
      <c r="Q379" s="3" t="n">
        <v>81</v>
      </c>
    </row>
    <row r="380" customFormat="false" ht="14.25" hidden="false" customHeight="false" outlineLevel="0" collapsed="false">
      <c r="A380" s="3" t="n">
        <v>102</v>
      </c>
      <c r="B380" s="51" t="s">
        <v>250</v>
      </c>
      <c r="C380" s="51" t="s">
        <v>251</v>
      </c>
      <c r="D380" s="51" t="n">
        <v>213777</v>
      </c>
      <c r="E380" s="51" t="s">
        <v>135</v>
      </c>
      <c r="F380" s="47" t="n">
        <v>38</v>
      </c>
      <c r="G380" s="49" t="n">
        <v>223223</v>
      </c>
      <c r="H380" s="51" t="s">
        <v>135</v>
      </c>
      <c r="I380" s="3" t="s">
        <v>415</v>
      </c>
      <c r="J380" s="3" t="n">
        <v>1</v>
      </c>
      <c r="K380" s="53" t="n">
        <v>45114</v>
      </c>
      <c r="L380" s="3" t="s">
        <v>416</v>
      </c>
      <c r="M380" s="54" t="n">
        <v>45114.0572800926</v>
      </c>
      <c r="N380" s="3" t="n">
        <v>29</v>
      </c>
      <c r="O380" s="3" t="n">
        <v>29</v>
      </c>
      <c r="P380" s="3" t="n">
        <v>3</v>
      </c>
      <c r="Q380" s="3" t="n">
        <v>82</v>
      </c>
    </row>
    <row r="381" customFormat="false" ht="14.25" hidden="false" customHeight="false" outlineLevel="0" collapsed="false">
      <c r="A381" s="3" t="n">
        <v>103</v>
      </c>
      <c r="B381" s="51" t="s">
        <v>250</v>
      </c>
      <c r="C381" s="51" t="s">
        <v>251</v>
      </c>
      <c r="D381" s="51" t="n">
        <v>213777</v>
      </c>
      <c r="E381" s="51" t="s">
        <v>135</v>
      </c>
      <c r="F381" s="47" t="n">
        <v>38</v>
      </c>
      <c r="G381" s="49" t="n">
        <v>223223</v>
      </c>
      <c r="H381" s="51" t="s">
        <v>135</v>
      </c>
      <c r="I381" s="3" t="s">
        <v>417</v>
      </c>
      <c r="J381" s="3" t="n">
        <v>1</v>
      </c>
      <c r="K381" s="53" t="n">
        <v>45114</v>
      </c>
      <c r="L381" s="3" t="s">
        <v>418</v>
      </c>
      <c r="M381" s="54" t="n">
        <v>45114.0588194444</v>
      </c>
      <c r="N381" s="3" t="n">
        <v>29</v>
      </c>
      <c r="O381" s="3" t="n">
        <v>29</v>
      </c>
      <c r="P381" s="3" t="n">
        <v>4</v>
      </c>
      <c r="Q381" s="3" t="n">
        <v>83</v>
      </c>
    </row>
    <row r="382" customFormat="false" ht="14.25" hidden="false" customHeight="false" outlineLevel="0" collapsed="false">
      <c r="A382" s="3" t="n">
        <v>109</v>
      </c>
      <c r="B382" s="51" t="s">
        <v>250</v>
      </c>
      <c r="C382" s="51" t="s">
        <v>251</v>
      </c>
      <c r="D382" s="51" t="n">
        <v>213777</v>
      </c>
      <c r="E382" s="51" t="s">
        <v>135</v>
      </c>
      <c r="F382" s="47" t="n">
        <v>38</v>
      </c>
      <c r="G382" s="49" t="n">
        <v>223223</v>
      </c>
      <c r="H382" s="51" t="s">
        <v>135</v>
      </c>
      <c r="I382" s="3" t="s">
        <v>427</v>
      </c>
      <c r="J382" s="3" t="n">
        <v>1</v>
      </c>
      <c r="K382" s="53" t="n">
        <v>45114</v>
      </c>
      <c r="L382" s="3" t="s">
        <v>428</v>
      </c>
      <c r="M382" s="54" t="n">
        <v>45114.2385416667</v>
      </c>
      <c r="N382" s="3" t="n">
        <v>29</v>
      </c>
      <c r="O382" s="3" t="n">
        <v>29</v>
      </c>
      <c r="P382" s="3" t="n">
        <v>5</v>
      </c>
      <c r="Q382" s="3" t="n">
        <v>89</v>
      </c>
    </row>
    <row r="383" customFormat="false" ht="14.25" hidden="false" customHeight="false" outlineLevel="0" collapsed="false">
      <c r="A383" s="3" t="n">
        <v>110</v>
      </c>
      <c r="B383" s="51" t="s">
        <v>250</v>
      </c>
      <c r="C383" s="51" t="s">
        <v>251</v>
      </c>
      <c r="D383" s="51" t="n">
        <v>213777</v>
      </c>
      <c r="E383" s="51" t="s">
        <v>135</v>
      </c>
      <c r="F383" s="47" t="n">
        <v>38</v>
      </c>
      <c r="G383" s="49" t="n">
        <v>223223</v>
      </c>
      <c r="H383" s="51" t="s">
        <v>135</v>
      </c>
      <c r="I383" s="3" t="s">
        <v>429</v>
      </c>
      <c r="J383" s="3" t="n">
        <v>3</v>
      </c>
      <c r="K383" s="53" t="n">
        <v>45114</v>
      </c>
      <c r="L383" s="3" t="s">
        <v>430</v>
      </c>
      <c r="M383" s="54" t="n">
        <v>45114.2391666667</v>
      </c>
      <c r="N383" s="3" t="n">
        <v>29</v>
      </c>
      <c r="O383" s="3" t="n">
        <v>29</v>
      </c>
      <c r="P383" s="3" t="n">
        <v>6</v>
      </c>
      <c r="Q383" s="3" t="n">
        <v>90</v>
      </c>
    </row>
    <row r="384" customFormat="false" ht="14.25" hidden="false" customHeight="false" outlineLevel="0" collapsed="false">
      <c r="A384" s="3" t="n">
        <v>47</v>
      </c>
      <c r="B384" s="51" t="s">
        <v>77</v>
      </c>
      <c r="C384" s="51" t="s">
        <v>78</v>
      </c>
      <c r="D384" s="51" t="n">
        <v>213665</v>
      </c>
      <c r="E384" s="51" t="s">
        <v>151</v>
      </c>
      <c r="F384" s="47" t="n">
        <v>22</v>
      </c>
      <c r="G384" s="49" t="n">
        <v>213117</v>
      </c>
      <c r="H384" s="51" t="s">
        <v>151</v>
      </c>
      <c r="I384" s="3" t="s">
        <v>152</v>
      </c>
      <c r="J384" s="3" t="n">
        <v>1</v>
      </c>
      <c r="K384" s="53" t="n">
        <v>45114</v>
      </c>
      <c r="L384" s="3" t="s">
        <v>153</v>
      </c>
      <c r="M384" s="54" t="n">
        <v>45114.0115046296</v>
      </c>
      <c r="N384" s="3" t="n">
        <v>30</v>
      </c>
      <c r="O384" s="3" t="n">
        <v>30</v>
      </c>
      <c r="P384" s="3" t="n">
        <v>1</v>
      </c>
      <c r="Q384" s="3" t="n">
        <v>32</v>
      </c>
    </row>
    <row r="385" customFormat="false" ht="14.25" hidden="false" customHeight="false" outlineLevel="0" collapsed="false">
      <c r="A385" s="3" t="n">
        <v>48</v>
      </c>
      <c r="B385" s="51" t="s">
        <v>77</v>
      </c>
      <c r="C385" s="51" t="s">
        <v>78</v>
      </c>
      <c r="D385" s="51" t="n">
        <v>213665</v>
      </c>
      <c r="E385" s="51" t="s">
        <v>151</v>
      </c>
      <c r="F385" s="47" t="n">
        <v>22</v>
      </c>
      <c r="G385" s="49" t="n">
        <v>213117</v>
      </c>
      <c r="H385" s="51" t="s">
        <v>151</v>
      </c>
      <c r="I385" s="3" t="s">
        <v>154</v>
      </c>
      <c r="J385" s="3" t="n">
        <v>1</v>
      </c>
      <c r="K385" s="53" t="n">
        <v>45114</v>
      </c>
      <c r="L385" s="3" t="s">
        <v>155</v>
      </c>
      <c r="M385" s="54" t="n">
        <v>45114.0123032407</v>
      </c>
      <c r="N385" s="3" t="n">
        <v>30</v>
      </c>
      <c r="O385" s="3" t="n">
        <v>30</v>
      </c>
      <c r="P385" s="3" t="n">
        <v>2</v>
      </c>
      <c r="Q385" s="3" t="n">
        <v>33</v>
      </c>
    </row>
    <row r="386" customFormat="false" ht="14.25" hidden="false" customHeight="false" outlineLevel="0" collapsed="false">
      <c r="A386" s="3" t="n">
        <v>49</v>
      </c>
      <c r="B386" s="51" t="s">
        <v>77</v>
      </c>
      <c r="C386" s="51" t="s">
        <v>78</v>
      </c>
      <c r="D386" s="51" t="n">
        <v>213665</v>
      </c>
      <c r="E386" s="51" t="s">
        <v>151</v>
      </c>
      <c r="F386" s="47" t="n">
        <v>22</v>
      </c>
      <c r="G386" s="49" t="n">
        <v>213117</v>
      </c>
      <c r="H386" s="51" t="s">
        <v>151</v>
      </c>
      <c r="I386" s="3" t="s">
        <v>156</v>
      </c>
      <c r="J386" s="3" t="n">
        <v>1</v>
      </c>
      <c r="K386" s="53" t="n">
        <v>45114</v>
      </c>
      <c r="L386" s="3" t="s">
        <v>157</v>
      </c>
      <c r="M386" s="54" t="n">
        <v>45114.012337963</v>
      </c>
      <c r="N386" s="3" t="n">
        <v>30</v>
      </c>
      <c r="O386" s="3" t="n">
        <v>30</v>
      </c>
      <c r="P386" s="3" t="n">
        <v>3</v>
      </c>
      <c r="Q386" s="3" t="n">
        <v>34</v>
      </c>
    </row>
    <row r="387" customFormat="false" ht="14.25" hidden="false" customHeight="false" outlineLevel="0" collapsed="false">
      <c r="A387" s="3" t="n">
        <v>54</v>
      </c>
      <c r="B387" s="51" t="s">
        <v>77</v>
      </c>
      <c r="C387" s="51" t="s">
        <v>78</v>
      </c>
      <c r="D387" s="51" t="n">
        <v>213665</v>
      </c>
      <c r="E387" s="51" t="s">
        <v>167</v>
      </c>
      <c r="F387" s="47" t="n">
        <v>34</v>
      </c>
      <c r="G387" s="49" t="n">
        <v>223148</v>
      </c>
      <c r="H387" s="51" t="s">
        <v>167</v>
      </c>
      <c r="I387" s="3" t="s">
        <v>168</v>
      </c>
      <c r="J387" s="3" t="n">
        <v>2</v>
      </c>
      <c r="K387" s="53" t="n">
        <v>45114</v>
      </c>
      <c r="L387" s="3" t="s">
        <v>169</v>
      </c>
      <c r="M387" s="54" t="n">
        <v>45114.1300462963</v>
      </c>
      <c r="N387" s="3" t="n">
        <v>31</v>
      </c>
      <c r="O387" s="3" t="n">
        <v>31</v>
      </c>
      <c r="P387" s="3" t="n">
        <v>1</v>
      </c>
      <c r="Q387" s="3" t="n">
        <v>39</v>
      </c>
    </row>
    <row r="388" customFormat="false" ht="14.25" hidden="false" customHeight="false" outlineLevel="0" collapsed="false">
      <c r="A388" s="3" t="n">
        <v>55</v>
      </c>
      <c r="B388" s="51" t="s">
        <v>77</v>
      </c>
      <c r="C388" s="51" t="s">
        <v>78</v>
      </c>
      <c r="D388" s="51" t="n">
        <v>213665</v>
      </c>
      <c r="E388" s="51" t="s">
        <v>167</v>
      </c>
      <c r="F388" s="47" t="n">
        <v>34</v>
      </c>
      <c r="G388" s="49" t="n">
        <v>223148</v>
      </c>
      <c r="H388" s="51" t="s">
        <v>167</v>
      </c>
      <c r="I388" s="3" t="s">
        <v>170</v>
      </c>
      <c r="J388" s="3" t="n">
        <v>1</v>
      </c>
      <c r="K388" s="53" t="n">
        <v>45114</v>
      </c>
      <c r="L388" s="3" t="s">
        <v>171</v>
      </c>
      <c r="M388" s="54" t="n">
        <v>45114.1312384259</v>
      </c>
      <c r="N388" s="3" t="n">
        <v>31</v>
      </c>
      <c r="O388" s="3" t="n">
        <v>31</v>
      </c>
      <c r="P388" s="3" t="n">
        <v>2</v>
      </c>
      <c r="Q388" s="3" t="n">
        <v>40</v>
      </c>
    </row>
    <row r="389" customFormat="false" ht="14.25" hidden="false" customHeight="false" outlineLevel="0" collapsed="false">
      <c r="A389" s="3" t="n">
        <v>56</v>
      </c>
      <c r="B389" s="51" t="s">
        <v>77</v>
      </c>
      <c r="C389" s="51" t="s">
        <v>78</v>
      </c>
      <c r="D389" s="51" t="n">
        <v>213665</v>
      </c>
      <c r="E389" s="51" t="s">
        <v>167</v>
      </c>
      <c r="F389" s="47" t="n">
        <v>34</v>
      </c>
      <c r="G389" s="49" t="n">
        <v>223148</v>
      </c>
      <c r="H389" s="51" t="s">
        <v>167</v>
      </c>
      <c r="I389" s="3" t="s">
        <v>172</v>
      </c>
      <c r="J389" s="3" t="n">
        <v>1</v>
      </c>
      <c r="K389" s="53" t="n">
        <v>45114</v>
      </c>
      <c r="L389" s="3" t="s">
        <v>173</v>
      </c>
      <c r="M389" s="54" t="n">
        <v>45114.1312847222</v>
      </c>
      <c r="N389" s="3" t="n">
        <v>31</v>
      </c>
      <c r="O389" s="3" t="n">
        <v>31</v>
      </c>
      <c r="P389" s="3" t="n">
        <v>3</v>
      </c>
      <c r="Q389" s="3" t="n">
        <v>41</v>
      </c>
    </row>
    <row r="390" customFormat="false" ht="14.25" hidden="false" customHeight="false" outlineLevel="0" collapsed="false">
      <c r="A390" s="3" t="n">
        <v>61</v>
      </c>
      <c r="B390" s="51" t="s">
        <v>77</v>
      </c>
      <c r="C390" s="51" t="s">
        <v>78</v>
      </c>
      <c r="D390" s="51" t="n">
        <v>213665</v>
      </c>
      <c r="E390" s="51" t="s">
        <v>167</v>
      </c>
      <c r="F390" s="47" t="n">
        <v>34</v>
      </c>
      <c r="G390" s="49" t="n">
        <v>223148</v>
      </c>
      <c r="H390" s="51" t="s">
        <v>167</v>
      </c>
      <c r="I390" s="3" t="s">
        <v>182</v>
      </c>
      <c r="J390" s="3" t="n">
        <v>1</v>
      </c>
      <c r="K390" s="53" t="n">
        <v>45114</v>
      </c>
      <c r="L390" s="3" t="s">
        <v>183</v>
      </c>
      <c r="M390" s="54" t="n">
        <v>45114.1524189815</v>
      </c>
      <c r="N390" s="3" t="n">
        <v>31</v>
      </c>
      <c r="O390" s="3" t="n">
        <v>31</v>
      </c>
      <c r="P390" s="3" t="n">
        <v>4</v>
      </c>
      <c r="Q390" s="3" t="n">
        <v>46</v>
      </c>
    </row>
    <row r="391" customFormat="false" ht="14.25" hidden="false" customHeight="false" outlineLevel="0" collapsed="false">
      <c r="A391" s="3" t="n">
        <v>90</v>
      </c>
      <c r="B391" s="51" t="s">
        <v>77</v>
      </c>
      <c r="C391" s="51" t="s">
        <v>78</v>
      </c>
      <c r="D391" s="51" t="n">
        <v>213665</v>
      </c>
      <c r="E391" s="51" t="s">
        <v>241</v>
      </c>
      <c r="F391" s="47" t="n">
        <v>46</v>
      </c>
      <c r="G391" s="49" t="n">
        <v>223419</v>
      </c>
      <c r="H391" s="51" t="s">
        <v>241</v>
      </c>
      <c r="I391" s="3" t="s">
        <v>242</v>
      </c>
      <c r="J391" s="3" t="n">
        <v>2</v>
      </c>
      <c r="K391" s="53" t="n">
        <v>45114</v>
      </c>
      <c r="L391" s="3" t="s">
        <v>243</v>
      </c>
      <c r="M391" s="54" t="n">
        <v>45114.7437384259</v>
      </c>
      <c r="N391" s="3" t="n">
        <v>32</v>
      </c>
      <c r="O391" s="3" t="n">
        <v>32</v>
      </c>
      <c r="P391" s="3" t="n">
        <v>1</v>
      </c>
      <c r="Q391" s="3" t="n">
        <v>75</v>
      </c>
    </row>
    <row r="392" customFormat="false" ht="14.25" hidden="false" customHeight="false" outlineLevel="0" collapsed="false">
      <c r="B392" s="51"/>
      <c r="C392" s="51"/>
      <c r="D392" s="51"/>
      <c r="E392" s="51"/>
      <c r="F392" s="55"/>
      <c r="G392" s="56"/>
      <c r="H392" s="51"/>
      <c r="K392" s="53"/>
      <c r="M392" s="54"/>
    </row>
    <row r="394" customFormat="false" ht="14.25" hidden="false" customHeight="false" outlineLevel="0" collapsed="false">
      <c r="A394" s="58" t="n">
        <v>98</v>
      </c>
      <c r="B394" s="59" t="s">
        <v>487</v>
      </c>
      <c r="C394" s="59" t="s">
        <v>488</v>
      </c>
      <c r="D394" s="59" t="n">
        <v>213711</v>
      </c>
      <c r="E394" s="60" t="s">
        <v>899</v>
      </c>
      <c r="F394" s="59"/>
      <c r="G394" s="58" t="n">
        <v>16</v>
      </c>
      <c r="H394" s="59" t="s">
        <v>899</v>
      </c>
      <c r="I394" s="58" t="s">
        <v>900</v>
      </c>
      <c r="J394" s="58" t="n">
        <v>3</v>
      </c>
      <c r="K394" s="61" t="n">
        <v>45113</v>
      </c>
      <c r="L394" s="58" t="s">
        <v>901</v>
      </c>
      <c r="M394" s="62" t="n">
        <v>45113.0100810185</v>
      </c>
      <c r="N394" s="58" t="n">
        <v>16</v>
      </c>
      <c r="O394" s="58" t="n">
        <v>16</v>
      </c>
      <c r="P394" s="58" t="n">
        <v>1</v>
      </c>
      <c r="Q394" s="58" t="n">
        <v>82</v>
      </c>
      <c r="R394" s="58"/>
    </row>
    <row r="395" customFormat="false" ht="14.25" hidden="false" customHeight="false" outlineLevel="0" collapsed="false">
      <c r="A395" s="58" t="n">
        <v>83</v>
      </c>
      <c r="B395" s="59" t="s">
        <v>250</v>
      </c>
      <c r="C395" s="59" t="s">
        <v>251</v>
      </c>
      <c r="D395" s="59" t="n">
        <v>213777</v>
      </c>
      <c r="E395" s="60" t="s">
        <v>902</v>
      </c>
      <c r="F395" s="59"/>
      <c r="G395" s="58" t="n">
        <v>22</v>
      </c>
      <c r="H395" s="59" t="s">
        <v>902</v>
      </c>
      <c r="I395" s="58" t="s">
        <v>903</v>
      </c>
      <c r="J395" s="58" t="n">
        <v>2</v>
      </c>
      <c r="K395" s="61" t="n">
        <v>45113</v>
      </c>
      <c r="L395" s="58" t="s">
        <v>904</v>
      </c>
      <c r="M395" s="62" t="n">
        <v>45113.5589467593</v>
      </c>
      <c r="N395" s="58" t="n">
        <v>22</v>
      </c>
      <c r="O395" s="58" t="n">
        <v>22</v>
      </c>
      <c r="P395" s="58" t="n">
        <v>1</v>
      </c>
      <c r="Q395" s="58" t="n">
        <v>63</v>
      </c>
      <c r="R395" s="58"/>
    </row>
    <row r="396" customFormat="false" ht="14.25" hidden="false" customHeight="false" outlineLevel="0" collapsed="false">
      <c r="A396" s="58" t="n">
        <v>108</v>
      </c>
      <c r="B396" s="59" t="s">
        <v>250</v>
      </c>
      <c r="C396" s="59" t="s">
        <v>251</v>
      </c>
      <c r="D396" s="59" t="n">
        <v>213777</v>
      </c>
      <c r="E396" s="60" t="s">
        <v>905</v>
      </c>
      <c r="F396" s="59"/>
      <c r="G396" s="58" t="n">
        <v>34</v>
      </c>
      <c r="H396" s="59" t="s">
        <v>905</v>
      </c>
      <c r="I396" s="58" t="s">
        <v>906</v>
      </c>
      <c r="J396" s="58" t="n">
        <v>1</v>
      </c>
      <c r="K396" s="61" t="n">
        <v>45114</v>
      </c>
      <c r="L396" s="58" t="s">
        <v>907</v>
      </c>
      <c r="M396" s="62" t="n">
        <v>45114.1716550926</v>
      </c>
      <c r="N396" s="58" t="n">
        <v>34</v>
      </c>
      <c r="O396" s="58" t="n">
        <v>34</v>
      </c>
      <c r="P396" s="58" t="n">
        <v>1</v>
      </c>
      <c r="Q396" s="58" t="n">
        <v>88</v>
      </c>
      <c r="R396" s="58"/>
    </row>
  </sheetData>
  <autoFilter ref="A1:O93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10.66"/>
    <col collapsed="false" customWidth="true" hidden="false" outlineLevel="0" max="2" min="2" style="4" width="46.46"/>
    <col collapsed="false" customWidth="true" hidden="false" outlineLevel="0" max="3" min="3" style="0" width="28.38"/>
  </cols>
  <sheetData>
    <row r="1" customFormat="false" ht="13.8" hidden="false" customHeight="false" outlineLevel="0" collapsed="false">
      <c r="A1" s="63" t="n">
        <v>182007</v>
      </c>
      <c r="B1" s="64" t="n">
        <v>45113.625</v>
      </c>
      <c r="C1" s="65" t="n">
        <v>1</v>
      </c>
    </row>
    <row r="2" customFormat="false" ht="13.8" hidden="false" customHeight="false" outlineLevel="0" collapsed="false">
      <c r="A2" s="63" t="n">
        <v>182103</v>
      </c>
      <c r="B2" s="64" t="n">
        <v>45113.625</v>
      </c>
      <c r="C2" s="65" t="n">
        <v>1</v>
      </c>
    </row>
    <row r="3" customFormat="false" ht="13.8" hidden="false" customHeight="false" outlineLevel="0" collapsed="false">
      <c r="A3" s="63" t="n">
        <v>182231</v>
      </c>
      <c r="B3" s="64" t="n">
        <v>45113.625</v>
      </c>
      <c r="C3" s="65" t="n">
        <v>-1</v>
      </c>
    </row>
    <row r="4" customFormat="false" ht="13.8" hidden="false" customHeight="false" outlineLevel="0" collapsed="false">
      <c r="A4" s="63" t="n">
        <v>192010</v>
      </c>
      <c r="B4" s="64" t="n">
        <v>45113.625</v>
      </c>
      <c r="C4" s="65" t="n">
        <v>-1</v>
      </c>
    </row>
    <row r="5" customFormat="false" ht="13.8" hidden="false" customHeight="false" outlineLevel="0" collapsed="false">
      <c r="A5" s="63" t="n">
        <v>192072</v>
      </c>
      <c r="B5" s="64" t="n">
        <v>45113.625</v>
      </c>
      <c r="C5" s="65" t="n">
        <v>1</v>
      </c>
    </row>
    <row r="6" customFormat="false" ht="13.8" hidden="false" customHeight="false" outlineLevel="0" collapsed="false">
      <c r="A6" s="63" t="n">
        <v>192139</v>
      </c>
      <c r="B6" s="64" t="n">
        <v>45113.625</v>
      </c>
      <c r="C6" s="65" t="n">
        <v>-1</v>
      </c>
    </row>
    <row r="7" customFormat="false" ht="13.8" hidden="false" customHeight="false" outlineLevel="0" collapsed="false">
      <c r="A7" s="63" t="n">
        <v>192193</v>
      </c>
      <c r="B7" s="64" t="n">
        <v>45113.625</v>
      </c>
      <c r="C7" s="65" t="n">
        <v>1</v>
      </c>
    </row>
    <row r="8" customFormat="false" ht="13.8" hidden="false" customHeight="false" outlineLevel="0" collapsed="false">
      <c r="A8" s="63" t="n">
        <v>192249</v>
      </c>
      <c r="B8" s="64" t="n">
        <v>45113.625</v>
      </c>
      <c r="C8" s="65" t="n">
        <v>1</v>
      </c>
    </row>
    <row r="9" customFormat="false" ht="13.8" hidden="false" customHeight="false" outlineLevel="0" collapsed="false">
      <c r="A9" s="63" t="n">
        <v>192333</v>
      </c>
      <c r="B9" s="64" t="n">
        <v>45113.625</v>
      </c>
      <c r="C9" s="65" t="n">
        <v>1</v>
      </c>
    </row>
    <row r="10" customFormat="false" ht="13.8" hidden="false" customHeight="false" outlineLevel="0" collapsed="false">
      <c r="A10" s="63" t="n">
        <v>192472</v>
      </c>
      <c r="B10" s="64" t="n">
        <v>45113.625</v>
      </c>
      <c r="C10" s="65" t="n">
        <v>-1</v>
      </c>
    </row>
    <row r="11" customFormat="false" ht="13.8" hidden="false" customHeight="false" outlineLevel="0" collapsed="false">
      <c r="A11" s="63" t="n">
        <v>202045</v>
      </c>
      <c r="B11" s="64" t="n">
        <v>45113.625</v>
      </c>
      <c r="C11" s="65" t="n">
        <v>1</v>
      </c>
    </row>
    <row r="12" customFormat="false" ht="13.8" hidden="false" customHeight="false" outlineLevel="0" collapsed="false">
      <c r="A12" s="63" t="n">
        <v>202053</v>
      </c>
      <c r="B12" s="64" t="n">
        <v>45113.625</v>
      </c>
      <c r="C12" s="65" t="n">
        <v>-1</v>
      </c>
    </row>
    <row r="13" customFormat="false" ht="13.8" hidden="false" customHeight="false" outlineLevel="0" collapsed="false">
      <c r="A13" s="63" t="n">
        <v>202116</v>
      </c>
      <c r="B13" s="64" t="n">
        <v>45113.625</v>
      </c>
      <c r="C13" s="65" t="n">
        <v>1</v>
      </c>
    </row>
    <row r="14" customFormat="false" ht="13.8" hidden="false" customHeight="false" outlineLevel="0" collapsed="false">
      <c r="A14" s="63" t="n">
        <v>202176</v>
      </c>
      <c r="B14" s="64" t="n">
        <v>45113.625</v>
      </c>
      <c r="C14" s="65" t="n">
        <v>1</v>
      </c>
    </row>
    <row r="15" customFormat="false" ht="13.8" hidden="false" customHeight="false" outlineLevel="0" collapsed="false">
      <c r="A15" s="63" t="n">
        <v>202196</v>
      </c>
      <c r="B15" s="64" t="n">
        <v>45113.625</v>
      </c>
      <c r="C15" s="65" t="n">
        <v>1</v>
      </c>
    </row>
    <row r="16" customFormat="false" ht="13.8" hidden="false" customHeight="false" outlineLevel="0" collapsed="false">
      <c r="A16" s="63" t="n">
        <v>202242</v>
      </c>
      <c r="B16" s="64" t="n">
        <v>45113.625</v>
      </c>
      <c r="C16" s="65" t="n">
        <v>-1</v>
      </c>
    </row>
    <row r="17" customFormat="false" ht="13.8" hidden="false" customHeight="false" outlineLevel="0" collapsed="false">
      <c r="A17" s="63" t="n">
        <v>202290</v>
      </c>
      <c r="B17" s="64" t="n">
        <v>45113.625</v>
      </c>
      <c r="C17" s="65" t="n">
        <v>1</v>
      </c>
    </row>
    <row r="18" customFormat="false" ht="13.8" hidden="false" customHeight="false" outlineLevel="0" collapsed="false">
      <c r="A18" s="66" t="n">
        <v>202377</v>
      </c>
      <c r="B18" s="64" t="n">
        <v>45113.625</v>
      </c>
      <c r="C18" s="65" t="n">
        <v>1</v>
      </c>
    </row>
    <row r="19" customFormat="false" ht="13.8" hidden="false" customHeight="false" outlineLevel="0" collapsed="false">
      <c r="A19" s="63" t="n">
        <v>202451</v>
      </c>
      <c r="B19" s="64" t="n">
        <v>45113.625</v>
      </c>
      <c r="C19" s="65" t="n">
        <v>1</v>
      </c>
    </row>
    <row r="20" customFormat="false" ht="13.8" hidden="false" customHeight="false" outlineLevel="0" collapsed="false">
      <c r="A20" s="63" t="n">
        <v>213074</v>
      </c>
      <c r="B20" s="64" t="n">
        <v>45113.625</v>
      </c>
      <c r="C20" s="65" t="n">
        <v>1</v>
      </c>
    </row>
    <row r="21" customFormat="false" ht="13.8" hidden="false" customHeight="false" outlineLevel="0" collapsed="false">
      <c r="A21" s="63" t="n">
        <v>213097</v>
      </c>
      <c r="B21" s="64" t="n">
        <v>45113.625</v>
      </c>
      <c r="C21" s="65" t="n">
        <v>1</v>
      </c>
    </row>
    <row r="22" customFormat="false" ht="13.8" hidden="false" customHeight="false" outlineLevel="0" collapsed="false">
      <c r="A22" s="63" t="n">
        <v>213117</v>
      </c>
      <c r="B22" s="64" t="n">
        <v>45113.625</v>
      </c>
      <c r="C22" s="65" t="n">
        <v>1</v>
      </c>
    </row>
    <row r="23" customFormat="false" ht="13.8" hidden="false" customHeight="false" outlineLevel="0" collapsed="false">
      <c r="A23" s="63" t="n">
        <v>213129</v>
      </c>
      <c r="B23" s="64" t="n">
        <v>45113.625</v>
      </c>
      <c r="C23" s="65" t="n">
        <v>1</v>
      </c>
    </row>
    <row r="24" customFormat="false" ht="13.8" hidden="false" customHeight="false" outlineLevel="0" collapsed="false">
      <c r="A24" s="63" t="n">
        <v>213192</v>
      </c>
      <c r="B24" s="64" t="n">
        <v>45113.625</v>
      </c>
      <c r="C24" s="65" t="n">
        <v>-1</v>
      </c>
    </row>
    <row r="25" customFormat="false" ht="13.8" hidden="false" customHeight="false" outlineLevel="0" collapsed="false">
      <c r="A25" s="63" t="n">
        <v>213254</v>
      </c>
      <c r="B25" s="64" t="n">
        <v>45113.625</v>
      </c>
      <c r="C25" s="65" t="n">
        <v>1</v>
      </c>
    </row>
    <row r="26" customFormat="false" ht="13.8" hidden="false" customHeight="false" outlineLevel="0" collapsed="false">
      <c r="A26" s="63" t="n">
        <v>213261</v>
      </c>
      <c r="B26" s="64" t="n">
        <v>45113.625</v>
      </c>
      <c r="C26" s="65" t="n">
        <v>1</v>
      </c>
    </row>
    <row r="27" customFormat="false" ht="13.8" hidden="false" customHeight="false" outlineLevel="0" collapsed="false">
      <c r="A27" s="63" t="n">
        <v>213282</v>
      </c>
      <c r="B27" s="64" t="n">
        <v>45113.625</v>
      </c>
      <c r="C27" s="65" t="n">
        <v>-1</v>
      </c>
    </row>
    <row r="28" customFormat="false" ht="13.8" hidden="false" customHeight="false" outlineLevel="0" collapsed="false">
      <c r="A28" s="63" t="n">
        <v>213327</v>
      </c>
      <c r="B28" s="64" t="n">
        <v>45113.625</v>
      </c>
      <c r="C28" s="65" t="n">
        <v>1</v>
      </c>
    </row>
    <row r="29" customFormat="false" ht="13.8" hidden="false" customHeight="false" outlineLevel="0" collapsed="false">
      <c r="A29" s="63" t="n">
        <v>213348</v>
      </c>
      <c r="B29" s="64" t="n">
        <v>45113.625</v>
      </c>
      <c r="C29" s="65" t="n">
        <v>1</v>
      </c>
    </row>
    <row r="30" customFormat="false" ht="13.8" hidden="false" customHeight="false" outlineLevel="0" collapsed="false">
      <c r="A30" s="63" t="n">
        <v>213385</v>
      </c>
      <c r="B30" s="64" t="n">
        <v>45113.625</v>
      </c>
      <c r="C30" s="65" t="n">
        <v>1</v>
      </c>
    </row>
    <row r="31" customFormat="false" ht="13.8" hidden="false" customHeight="false" outlineLevel="0" collapsed="false">
      <c r="A31" s="63" t="n">
        <v>213442</v>
      </c>
      <c r="B31" s="64" t="n">
        <v>45113.625</v>
      </c>
      <c r="C31" s="65" t="n">
        <v>-1</v>
      </c>
    </row>
    <row r="32" customFormat="false" ht="13.8" hidden="false" customHeight="false" outlineLevel="0" collapsed="false">
      <c r="A32" s="63" t="n">
        <v>223044</v>
      </c>
      <c r="B32" s="64" t="n">
        <v>45113.625</v>
      </c>
      <c r="C32" s="65" t="n">
        <v>1</v>
      </c>
    </row>
    <row r="33" customFormat="false" ht="13.8" hidden="false" customHeight="false" outlineLevel="0" collapsed="false">
      <c r="A33" s="63" t="n">
        <v>223135</v>
      </c>
      <c r="B33" s="64" t="n">
        <v>45113.625</v>
      </c>
      <c r="C33" s="65" t="n">
        <v>-1</v>
      </c>
    </row>
    <row r="34" customFormat="false" ht="13.8" hidden="false" customHeight="false" outlineLevel="0" collapsed="false">
      <c r="A34" s="63" t="n">
        <v>223148</v>
      </c>
      <c r="B34" s="64" t="n">
        <v>45113.625</v>
      </c>
      <c r="C34" s="65" t="n">
        <v>-1</v>
      </c>
    </row>
    <row r="35" customFormat="false" ht="13.8" hidden="false" customHeight="false" outlineLevel="0" collapsed="false">
      <c r="A35" s="63" t="n">
        <v>223161</v>
      </c>
      <c r="B35" s="64" t="n">
        <v>45113.625</v>
      </c>
      <c r="C35" s="65" t="n">
        <v>-1</v>
      </c>
    </row>
    <row r="36" customFormat="false" ht="13.8" hidden="false" customHeight="false" outlineLevel="0" collapsed="false">
      <c r="A36" s="63" t="n">
        <v>223215</v>
      </c>
      <c r="B36" s="64" t="n">
        <v>45113.625</v>
      </c>
      <c r="C36" s="65" t="n">
        <v>1</v>
      </c>
    </row>
    <row r="37" customFormat="false" ht="13.8" hidden="false" customHeight="false" outlineLevel="0" collapsed="false">
      <c r="A37" s="63" t="n">
        <v>223220</v>
      </c>
      <c r="B37" s="64" t="n">
        <v>45113.625</v>
      </c>
      <c r="C37" s="65" t="n">
        <v>1</v>
      </c>
    </row>
    <row r="38" customFormat="false" ht="13.8" hidden="false" customHeight="false" outlineLevel="0" collapsed="false">
      <c r="A38" s="63" t="n">
        <v>223223</v>
      </c>
      <c r="B38" s="64" t="n">
        <v>45113.625</v>
      </c>
      <c r="C38" s="65" t="n">
        <v>1</v>
      </c>
    </row>
    <row r="39" customFormat="false" ht="13.8" hidden="false" customHeight="false" outlineLevel="0" collapsed="false">
      <c r="A39" s="63" t="n">
        <v>223258</v>
      </c>
      <c r="B39" s="64" t="n">
        <v>45113.625</v>
      </c>
      <c r="C39" s="65" t="n">
        <v>1</v>
      </c>
    </row>
    <row r="40" customFormat="false" ht="13.8" hidden="false" customHeight="false" outlineLevel="0" collapsed="false">
      <c r="A40" s="63" t="n">
        <v>223270</v>
      </c>
      <c r="B40" s="64" t="n">
        <v>45113.625</v>
      </c>
      <c r="C40" s="65" t="n">
        <v>-1</v>
      </c>
    </row>
    <row r="41" customFormat="false" ht="13.8" hidden="false" customHeight="false" outlineLevel="0" collapsed="false">
      <c r="A41" s="63" t="n">
        <v>223280</v>
      </c>
      <c r="B41" s="64" t="n">
        <v>45113.625</v>
      </c>
      <c r="C41" s="65" t="n">
        <v>-1</v>
      </c>
    </row>
    <row r="42" customFormat="false" ht="13.8" hidden="false" customHeight="false" outlineLevel="0" collapsed="false">
      <c r="A42" s="63" t="n">
        <v>223292</v>
      </c>
      <c r="B42" s="64" t="n">
        <v>45113.625</v>
      </c>
      <c r="C42" s="65" t="n">
        <v>1</v>
      </c>
    </row>
    <row r="43" customFormat="false" ht="13.8" hidden="false" customHeight="false" outlineLevel="0" collapsed="false">
      <c r="A43" s="63" t="n">
        <v>223373</v>
      </c>
      <c r="B43" s="64" t="n">
        <v>45113.625</v>
      </c>
      <c r="C43" s="65" t="n">
        <v>-1</v>
      </c>
    </row>
    <row r="44" customFormat="false" ht="13.8" hidden="false" customHeight="false" outlineLevel="0" collapsed="false">
      <c r="A44" s="63" t="n">
        <v>223401</v>
      </c>
      <c r="B44" s="64" t="n">
        <v>45113.625</v>
      </c>
      <c r="C44" s="65" t="n">
        <v>1</v>
      </c>
    </row>
    <row r="45" customFormat="false" ht="13.8" hidden="false" customHeight="false" outlineLevel="0" collapsed="false">
      <c r="A45" s="63" t="n">
        <v>223404</v>
      </c>
      <c r="B45" s="64" t="n">
        <v>45113.625</v>
      </c>
      <c r="C45" s="65" t="n">
        <v>1</v>
      </c>
    </row>
    <row r="46" customFormat="false" ht="13.8" hidden="false" customHeight="false" outlineLevel="0" collapsed="false">
      <c r="A46" s="63" t="n">
        <v>223419</v>
      </c>
      <c r="B46" s="64" t="n">
        <v>45113.625</v>
      </c>
      <c r="C46" s="65" t="n">
        <v>-1</v>
      </c>
    </row>
    <row r="47" customFormat="false" ht="13.8" hidden="false" customHeight="false" outlineLevel="0" collapsed="false">
      <c r="A47" s="63" t="n">
        <v>223437</v>
      </c>
      <c r="B47" s="64" t="n">
        <v>45113.625</v>
      </c>
      <c r="C47" s="65" t="n">
        <v>-1</v>
      </c>
    </row>
    <row r="48" customFormat="false" ht="13.8" hidden="false" customHeight="false" outlineLevel="0" collapsed="false">
      <c r="A48" s="63" t="n">
        <v>223440</v>
      </c>
      <c r="B48" s="64" t="n">
        <v>45113.625</v>
      </c>
      <c r="C48" s="65" t="n">
        <v>-1</v>
      </c>
    </row>
    <row r="49" customFormat="false" ht="13.8" hidden="false" customHeight="false" outlineLevel="0" collapsed="false">
      <c r="A49" s="67"/>
      <c r="B49" s="68"/>
      <c r="C49" s="69"/>
    </row>
    <row r="56" customFormat="false" ht="17.35" hidden="false" customHeight="false" outlineLevel="0" collapsed="false">
      <c r="C56" s="70"/>
    </row>
    <row r="57" customFormat="false" ht="13.8" hidden="false" customHeight="false" outlineLevel="0" collapsed="false">
      <c r="C57" s="4"/>
    </row>
    <row r="58" customFormat="false" ht="13.8" hidden="false" customHeight="false" outlineLevel="0" collapsed="false">
      <c r="C58" s="4"/>
    </row>
    <row r="59" customFormat="false" ht="13.8" hidden="false" customHeight="false" outlineLevel="0" collapsed="false">
      <c r="C59" s="4"/>
    </row>
    <row r="60" customFormat="false" ht="13.8" hidden="false" customHeight="false" outlineLevel="0" collapsed="false">
      <c r="C60" s="4"/>
    </row>
    <row r="61" customFormat="false" ht="13.8" hidden="false" customHeight="false" outlineLevel="0" collapsed="false">
      <c r="C61" s="4"/>
    </row>
    <row r="62" customFormat="false" ht="13.8" hidden="false" customHeight="false" outlineLevel="0" collapsed="false">
      <c r="C62" s="4"/>
    </row>
    <row r="63" customFormat="false" ht="13.8" hidden="false" customHeight="false" outlineLevel="0" collapsed="false">
      <c r="C63" s="71"/>
      <c r="D63" s="71"/>
      <c r="E63" s="71"/>
      <c r="F63" s="71"/>
      <c r="G63" s="71"/>
      <c r="H63" s="71"/>
      <c r="I63" s="71"/>
      <c r="J63" s="71"/>
    </row>
    <row r="64" customFormat="false" ht="13.8" hidden="false" customHeight="false" outlineLevel="0" collapsed="false">
      <c r="C64" s="71"/>
      <c r="D64" s="71"/>
      <c r="E64" s="71"/>
      <c r="F64" s="71"/>
      <c r="G64" s="71"/>
      <c r="H64" s="71"/>
      <c r="I64" s="71"/>
      <c r="J64" s="71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C63:J6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0" topLeftCell="G1" activePane="topRight" state="frozen"/>
      <selection pane="topLeft" activeCell="A1" activeCellId="0" sqref="A1"/>
      <selection pane="topRight" activeCell="C1" activeCellId="0" sqref="C1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8.88"/>
    <col collapsed="false" customWidth="true" hidden="false" outlineLevel="0" max="2" min="2" style="0" width="13.34"/>
    <col collapsed="false" customWidth="true" hidden="false" outlineLevel="0" max="5" min="4" style="0" width="6.67"/>
    <col collapsed="false" customWidth="true" hidden="false" outlineLevel="0" max="6" min="6" style="0" width="10.33"/>
    <col collapsed="false" customWidth="true" hidden="false" outlineLevel="0" max="8" min="8" style="3" width="11.56"/>
    <col collapsed="false" customWidth="true" hidden="false" outlineLevel="0" max="10" min="10" style="0" width="8.11"/>
    <col collapsed="false" customWidth="true" hidden="false" outlineLevel="0" max="12" min="12" style="0" width="7.67"/>
    <col collapsed="false" customWidth="true" hidden="false" outlineLevel="0" max="13" min="13" style="0" width="6.33"/>
    <col collapsed="false" customWidth="false" hidden="false" outlineLevel="0" max="14" min="14" style="3" width="10.66"/>
    <col collapsed="false" customWidth="true" hidden="false" outlineLevel="0" max="16" min="15" style="0" width="6.33"/>
    <col collapsed="false" customWidth="false" hidden="false" outlineLevel="0" max="17" min="17" style="3" width="10.66"/>
    <col collapsed="false" customWidth="true" hidden="false" outlineLevel="0" max="19" min="18" style="0" width="6.33"/>
    <col collapsed="false" customWidth="true" hidden="false" outlineLevel="0" max="20" min="20" style="0" width="6.67"/>
    <col collapsed="false" customWidth="true" hidden="false" outlineLevel="0" max="21" min="21" style="3" width="9.67"/>
    <col collapsed="false" customWidth="true" hidden="false" outlineLevel="0" max="22" min="22" style="0" width="11.56"/>
    <col collapsed="false" customWidth="true" hidden="false" outlineLevel="0" max="23" min="23" style="0" width="6.33"/>
    <col collapsed="false" customWidth="true" hidden="false" outlineLevel="0" max="24" min="24" style="0" width="9.11"/>
    <col collapsed="false" customWidth="true" hidden="false" outlineLevel="0" max="25" min="25" style="0" width="9.33"/>
    <col collapsed="false" customWidth="true" hidden="false" outlineLevel="0" max="26" min="26" style="0" width="8.34"/>
    <col collapsed="false" customWidth="true" hidden="false" outlineLevel="0" max="27" min="27" style="0" width="9.33"/>
    <col collapsed="false" customWidth="true" hidden="false" outlineLevel="0" max="28" min="28" style="3" width="6.67"/>
    <col collapsed="false" customWidth="true" hidden="false" outlineLevel="0" max="29" min="29" style="0" width="5.66"/>
    <col collapsed="false" customWidth="true" hidden="false" outlineLevel="0" max="30" min="30" style="3" width="6.67"/>
    <col collapsed="false" customWidth="true" hidden="false" outlineLevel="0" max="31" min="31" style="3" width="8.88"/>
    <col collapsed="false" customWidth="true" hidden="false" outlineLevel="0" max="32" min="32" style="0" width="6.88"/>
    <col collapsed="false" customWidth="true" hidden="false" outlineLevel="0" max="34" min="33" style="0" width="16.67"/>
    <col collapsed="false" customWidth="true" hidden="false" outlineLevel="0" max="36" min="35" style="3" width="16.67"/>
    <col collapsed="false" customWidth="true" hidden="false" outlineLevel="0" max="37" min="37" style="0" width="13.88"/>
    <col collapsed="false" customWidth="true" hidden="false" outlineLevel="0" max="38" min="38" style="0" width="12.33"/>
    <col collapsed="false" customWidth="true" hidden="false" outlineLevel="0" max="39" min="39" style="0" width="7.56"/>
    <col collapsed="false" customWidth="true" hidden="false" outlineLevel="0" max="41" min="41" style="0" width="9"/>
    <col collapsed="false" customWidth="true" hidden="false" outlineLevel="0" max="42" min="42" style="0" width="11.67"/>
    <col collapsed="false" customWidth="true" hidden="false" outlineLevel="0" max="43" min="43" style="4" width="16.11"/>
    <col collapsed="false" customWidth="true" hidden="false" outlineLevel="0" max="44" min="44" style="4" width="13.34"/>
    <col collapsed="false" customWidth="true" hidden="false" outlineLevel="0" max="45" min="45" style="4" width="11.67"/>
    <col collapsed="false" customWidth="true" hidden="false" outlineLevel="0" max="46" min="46" style="0" width="11.67"/>
    <col collapsed="false" customWidth="true" hidden="false" outlineLevel="0" max="47" min="47" style="0" width="9"/>
    <col collapsed="false" customWidth="true" hidden="false" outlineLevel="0" max="48" min="48" style="3" width="7.11"/>
    <col collapsed="false" customWidth="true" hidden="false" outlineLevel="0" max="56" min="56" style="0" width="13.34"/>
  </cols>
  <sheetData>
    <row r="1" s="69" customFormat="true" ht="15" hidden="false" customHeight="false" outlineLevel="0" collapsed="false">
      <c r="A1" s="1" t="s">
        <v>0</v>
      </c>
      <c r="B1" s="1"/>
      <c r="C1" s="1"/>
      <c r="D1" s="0"/>
      <c r="E1" s="0"/>
      <c r="F1" s="0"/>
      <c r="G1" s="0"/>
      <c r="H1" s="3"/>
      <c r="I1" s="0"/>
      <c r="J1" s="0"/>
      <c r="K1" s="0"/>
      <c r="L1" s="0"/>
      <c r="M1" s="0"/>
      <c r="N1" s="3"/>
      <c r="O1" s="0"/>
      <c r="P1" s="0"/>
      <c r="Q1" s="3"/>
      <c r="R1" s="0"/>
      <c r="S1" s="0"/>
      <c r="T1" s="0"/>
      <c r="U1" s="3"/>
      <c r="V1" s="0"/>
      <c r="W1" s="0"/>
      <c r="X1" s="0"/>
      <c r="Y1" s="0"/>
      <c r="Z1" s="0"/>
      <c r="AA1" s="0"/>
      <c r="AB1" s="3"/>
      <c r="AC1" s="0"/>
      <c r="AD1" s="3"/>
      <c r="AE1" s="3"/>
      <c r="AF1" s="0"/>
      <c r="AG1" s="0"/>
      <c r="AH1" s="0"/>
      <c r="AI1" s="3"/>
      <c r="AJ1" s="3"/>
      <c r="AK1" s="72" t="n">
        <v>45111.3402777778</v>
      </c>
      <c r="AL1" s="0"/>
      <c r="AM1" s="0"/>
      <c r="AN1" s="0"/>
      <c r="AO1" s="0"/>
      <c r="AP1" s="0"/>
      <c r="AQ1" s="4"/>
      <c r="AR1" s="4"/>
      <c r="AS1" s="4"/>
      <c r="AT1" s="0"/>
      <c r="AU1" s="0"/>
      <c r="AV1" s="3"/>
      <c r="AW1" s="0"/>
      <c r="AX1" s="0"/>
      <c r="AY1" s="0"/>
      <c r="AZ1" s="0"/>
      <c r="BA1" s="0"/>
      <c r="BB1" s="0"/>
      <c r="BC1" s="0"/>
      <c r="BD1" s="0"/>
    </row>
    <row r="2" s="69" customFormat="true" ht="14.25" hidden="false" customHeight="false" outlineLevel="0" collapsed="false">
      <c r="A2" s="0" t="s">
        <v>908</v>
      </c>
      <c r="B2" s="0"/>
      <c r="C2" s="0"/>
      <c r="D2" s="0"/>
      <c r="E2" s="0"/>
      <c r="F2" s="0"/>
      <c r="G2" s="0"/>
      <c r="H2" s="3"/>
      <c r="I2" s="0"/>
      <c r="J2" s="0"/>
      <c r="K2" s="0"/>
      <c r="L2" s="0"/>
      <c r="M2" s="0"/>
      <c r="N2" s="3"/>
      <c r="O2" s="0"/>
      <c r="P2" s="0"/>
      <c r="Q2" s="3"/>
      <c r="R2" s="0"/>
      <c r="S2" s="0"/>
      <c r="T2" s="0"/>
      <c r="U2" s="3"/>
      <c r="V2" s="0"/>
      <c r="W2" s="0"/>
      <c r="X2" s="0"/>
      <c r="Y2" s="0"/>
      <c r="Z2" s="73"/>
      <c r="AA2" s="73"/>
      <c r="AB2" s="73"/>
      <c r="AC2" s="73"/>
      <c r="AD2" s="73"/>
      <c r="AE2" s="73"/>
      <c r="AF2" s="0"/>
      <c r="AG2" s="74" t="n">
        <f aca="false">SUBTOTAL(3,AG5:AG52)</f>
        <v>32</v>
      </c>
      <c r="AH2" s="0"/>
      <c r="AI2" s="3"/>
      <c r="AJ2" s="3"/>
      <c r="AK2" s="72" t="n">
        <v>45111.3055555556</v>
      </c>
      <c r="AL2" s="74" t="n">
        <f aca="false">SUBTOTAL(3,AL5:AL52)</f>
        <v>32</v>
      </c>
      <c r="AM2" s="0"/>
      <c r="AN2" s="0"/>
      <c r="AO2" s="0"/>
      <c r="AP2" s="0"/>
      <c r="AQ2" s="4"/>
      <c r="AR2" s="4"/>
      <c r="AS2" s="4"/>
      <c r="AT2" s="2" t="n">
        <v>45177</v>
      </c>
      <c r="AU2" s="4"/>
      <c r="AV2" s="4"/>
      <c r="AW2" s="4"/>
      <c r="AX2" s="0"/>
      <c r="AY2" s="0"/>
      <c r="AZ2" s="0"/>
      <c r="BA2" s="0"/>
      <c r="BB2" s="0"/>
      <c r="BC2" s="0"/>
      <c r="BD2" s="0"/>
    </row>
    <row r="3" s="69" customFormat="true" ht="15" hidden="false" customHeight="true" outlineLevel="0" collapsed="false">
      <c r="A3" s="0"/>
      <c r="B3" s="0"/>
      <c r="C3" s="0"/>
      <c r="D3" s="0"/>
      <c r="E3" s="0"/>
      <c r="F3" s="0"/>
      <c r="G3" s="75"/>
      <c r="H3" s="75"/>
      <c r="I3" s="76"/>
      <c r="J3" s="76"/>
      <c r="K3" s="76" t="n">
        <v>45111</v>
      </c>
      <c r="L3" s="76"/>
      <c r="M3" s="76"/>
      <c r="N3" s="76"/>
      <c r="O3" s="76"/>
      <c r="P3" s="76"/>
      <c r="Q3" s="76"/>
      <c r="R3" s="77"/>
      <c r="S3" s="77"/>
      <c r="T3" s="76"/>
      <c r="U3" s="76"/>
      <c r="V3" s="76"/>
      <c r="W3" s="46" t="s">
        <v>909</v>
      </c>
      <c r="X3" s="46"/>
      <c r="Y3" s="46"/>
      <c r="Z3" s="46"/>
      <c r="AA3" s="46"/>
      <c r="AB3" s="46"/>
      <c r="AC3" s="46"/>
      <c r="AD3" s="78"/>
      <c r="AE3" s="78"/>
      <c r="AF3" s="79" t="s">
        <v>910</v>
      </c>
      <c r="AG3" s="79"/>
      <c r="AH3" s="79"/>
      <c r="AI3" s="79"/>
      <c r="AJ3" s="79"/>
      <c r="AK3" s="79"/>
      <c r="AL3" s="79"/>
      <c r="AM3" s="79"/>
      <c r="AN3" s="79"/>
      <c r="AO3" s="79"/>
      <c r="AP3" s="80" t="s">
        <v>6</v>
      </c>
      <c r="AQ3" s="80"/>
      <c r="AR3" s="80"/>
      <c r="AS3" s="80"/>
      <c r="AT3" s="81" t="s">
        <v>911</v>
      </c>
      <c r="AU3" s="81"/>
      <c r="AV3" s="81"/>
      <c r="AW3" s="81"/>
      <c r="AX3" s="0"/>
      <c r="AY3" s="0"/>
      <c r="AZ3" s="0"/>
      <c r="BA3" s="0"/>
      <c r="BB3" s="0"/>
      <c r="BC3" s="0"/>
      <c r="BD3" s="0"/>
    </row>
    <row r="4" s="69" customFormat="true" ht="55.2" hidden="false" customHeight="false" outlineLevel="0" collapsed="false">
      <c r="A4" s="46" t="s">
        <v>61</v>
      </c>
      <c r="B4" s="46" t="s">
        <v>62</v>
      </c>
      <c r="C4" s="46" t="s">
        <v>912</v>
      </c>
      <c r="D4" s="46" t="s">
        <v>913</v>
      </c>
      <c r="E4" s="46"/>
      <c r="F4" s="46" t="s">
        <v>914</v>
      </c>
      <c r="G4" s="46" t="s">
        <v>915</v>
      </c>
      <c r="H4" s="46" t="s">
        <v>916</v>
      </c>
      <c r="I4" s="46" t="s">
        <v>917</v>
      </c>
      <c r="J4" s="82" t="s">
        <v>918</v>
      </c>
      <c r="K4" s="46" t="s">
        <v>919</v>
      </c>
      <c r="L4" s="46" t="s">
        <v>920</v>
      </c>
      <c r="M4" s="46" t="s">
        <v>13</v>
      </c>
      <c r="N4" s="82" t="s">
        <v>921</v>
      </c>
      <c r="O4" s="82" t="s">
        <v>922</v>
      </c>
      <c r="P4" s="82" t="s">
        <v>14</v>
      </c>
      <c r="Q4" s="82" t="s">
        <v>923</v>
      </c>
      <c r="R4" s="46" t="s">
        <v>924</v>
      </c>
      <c r="S4" s="46" t="s">
        <v>15</v>
      </c>
      <c r="T4" s="46" t="s">
        <v>925</v>
      </c>
      <c r="U4" s="46" t="s">
        <v>926</v>
      </c>
      <c r="V4" s="46" t="s">
        <v>927</v>
      </c>
      <c r="W4" s="46" t="s">
        <v>928</v>
      </c>
      <c r="X4" s="46" t="s">
        <v>929</v>
      </c>
      <c r="Y4" s="46" t="s">
        <v>930</v>
      </c>
      <c r="Z4" s="46" t="s">
        <v>931</v>
      </c>
      <c r="AA4" s="46" t="s">
        <v>932</v>
      </c>
      <c r="AB4" s="46" t="s">
        <v>933</v>
      </c>
      <c r="AC4" s="46" t="s">
        <v>934</v>
      </c>
      <c r="AD4" s="46"/>
      <c r="AE4" s="46" t="s">
        <v>935</v>
      </c>
      <c r="AF4" s="46" t="s">
        <v>936</v>
      </c>
      <c r="AG4" s="46" t="s">
        <v>937</v>
      </c>
      <c r="AH4" s="46" t="s">
        <v>938</v>
      </c>
      <c r="AI4" s="46" t="s">
        <v>939</v>
      </c>
      <c r="AJ4" s="46" t="s">
        <v>940</v>
      </c>
      <c r="AK4" s="46" t="s">
        <v>941</v>
      </c>
      <c r="AL4" s="46" t="s">
        <v>942</v>
      </c>
      <c r="AM4" s="46" t="s">
        <v>943</v>
      </c>
      <c r="AN4" s="46" t="s">
        <v>944</v>
      </c>
      <c r="AO4" s="46" t="s">
        <v>945</v>
      </c>
      <c r="AP4" s="83" t="s">
        <v>946</v>
      </c>
      <c r="AQ4" s="83" t="s">
        <v>947</v>
      </c>
      <c r="AR4" s="84" t="s">
        <v>948</v>
      </c>
      <c r="AS4" s="81" t="s">
        <v>949</v>
      </c>
      <c r="AT4" s="85" t="s">
        <v>950</v>
      </c>
      <c r="AU4" s="86" t="s">
        <v>951</v>
      </c>
      <c r="AV4" s="87" t="s">
        <v>952</v>
      </c>
      <c r="AW4" s="85" t="s">
        <v>953</v>
      </c>
      <c r="AX4" s="46" t="s">
        <v>952</v>
      </c>
      <c r="AY4" s="46" t="s">
        <v>954</v>
      </c>
      <c r="AZ4" s="46" t="s">
        <v>955</v>
      </c>
      <c r="BA4" s="46" t="s">
        <v>956</v>
      </c>
      <c r="BB4" s="46" t="s">
        <v>957</v>
      </c>
      <c r="BC4" s="46" t="s">
        <v>958</v>
      </c>
      <c r="BD4" s="83" t="s">
        <v>959</v>
      </c>
    </row>
    <row r="5" s="69" customFormat="true" ht="14.25" hidden="false" customHeight="false" outlineLevel="0" collapsed="false">
      <c r="A5" s="47" t="n">
        <v>1</v>
      </c>
      <c r="B5" s="48" t="n">
        <v>16286882007</v>
      </c>
      <c r="C5" s="63" t="n">
        <v>182007</v>
      </c>
      <c r="D5" s="88" t="n">
        <v>1</v>
      </c>
      <c r="E5" s="88" t="s">
        <v>960</v>
      </c>
      <c r="F5" s="50" t="n">
        <v>25871</v>
      </c>
      <c r="G5" s="89" t="n">
        <v>43064</v>
      </c>
      <c r="H5" s="90" t="n">
        <f aca="false">($K$3-G5)/365</f>
        <v>5.60821917808219</v>
      </c>
      <c r="I5" s="89" t="n">
        <v>44897</v>
      </c>
      <c r="J5" s="91" t="n">
        <v>2</v>
      </c>
      <c r="K5" s="92" t="n">
        <f aca="false">$K$3-I5</f>
        <v>214</v>
      </c>
      <c r="L5" s="93" t="n">
        <v>80.5</v>
      </c>
      <c r="M5" s="94" t="n">
        <v>2.8</v>
      </c>
      <c r="N5" s="95" t="n">
        <v>45145</v>
      </c>
      <c r="O5" s="96" t="n">
        <v>70.51</v>
      </c>
      <c r="P5" s="96" t="n">
        <v>2.5</v>
      </c>
      <c r="Q5" s="95" t="s">
        <v>961</v>
      </c>
      <c r="R5" s="97" t="n">
        <v>72.2</v>
      </c>
      <c r="S5" s="94" t="n">
        <v>2.7</v>
      </c>
      <c r="T5" s="94" t="s">
        <v>962</v>
      </c>
      <c r="U5" s="94" t="s">
        <v>963</v>
      </c>
      <c r="V5" s="98" t="n">
        <v>16330840049</v>
      </c>
      <c r="W5" s="65" t="n">
        <v>5</v>
      </c>
      <c r="X5" s="99" t="n">
        <v>359.3</v>
      </c>
      <c r="Y5" s="100" t="n">
        <v>179</v>
      </c>
      <c r="Z5" s="99" t="n">
        <v>373</v>
      </c>
      <c r="AA5" s="100" t="n">
        <v>166</v>
      </c>
      <c r="AB5" s="101" t="n">
        <v>1.38</v>
      </c>
      <c r="AC5" s="100" t="n">
        <f aca="false">AB5*1000</f>
        <v>1380</v>
      </c>
      <c r="AD5" s="102" t="n">
        <f aca="false">EXP(1.741+(0.011*Z5)-(0.002*AC5)+(0.275*H5)-1.952)</f>
        <v>14.5016186462567</v>
      </c>
      <c r="AE5" s="102" t="n">
        <f aca="false">(AD5/(1+AD5))</f>
        <v>0.935490607605582</v>
      </c>
      <c r="AF5" s="103"/>
      <c r="AG5" s="4"/>
      <c r="AH5" s="4"/>
      <c r="AI5" s="4"/>
      <c r="AJ5" s="4"/>
      <c r="AK5" s="104"/>
      <c r="AL5" s="104"/>
      <c r="AM5" s="105"/>
      <c r="AN5" s="106"/>
      <c r="AO5" s="103"/>
      <c r="AP5" s="107" t="n">
        <v>45113</v>
      </c>
      <c r="AQ5" s="64" t="n">
        <v>45113.625</v>
      </c>
      <c r="AR5" s="108" t="n">
        <v>16103604078</v>
      </c>
      <c r="AS5" s="109"/>
      <c r="AT5" s="110" t="n">
        <f aca="false">AT$2-AP5</f>
        <v>64</v>
      </c>
      <c r="AU5" s="65" t="s">
        <v>6</v>
      </c>
      <c r="AV5" s="65" t="n">
        <v>1</v>
      </c>
      <c r="AW5" s="65" t="s">
        <v>6</v>
      </c>
      <c r="AX5" s="111" t="n">
        <v>1</v>
      </c>
      <c r="AY5" s="107" t="n">
        <v>45264</v>
      </c>
      <c r="AZ5" s="107" t="n">
        <f aca="false">AP5+145</f>
        <v>45258</v>
      </c>
      <c r="BA5" s="111" t="s">
        <v>964</v>
      </c>
      <c r="BB5" s="111" t="n">
        <f aca="false">AY5-AP5</f>
        <v>151</v>
      </c>
      <c r="BC5" s="112" t="s">
        <v>965</v>
      </c>
      <c r="BD5" s="111"/>
    </row>
    <row r="6" s="69" customFormat="true" ht="14.25" hidden="false" customHeight="false" outlineLevel="0" collapsed="false">
      <c r="A6" s="47" t="n">
        <v>2</v>
      </c>
      <c r="B6" s="48" t="n">
        <v>16286882103</v>
      </c>
      <c r="C6" s="63" t="n">
        <v>182103</v>
      </c>
      <c r="D6" s="88" t="n">
        <v>1</v>
      </c>
      <c r="E6" s="88" t="s">
        <v>966</v>
      </c>
      <c r="F6" s="50" t="n">
        <v>25367</v>
      </c>
      <c r="G6" s="89" t="n">
        <v>43067</v>
      </c>
      <c r="H6" s="90" t="n">
        <f aca="false">($K$3-G6)/365</f>
        <v>5.6</v>
      </c>
      <c r="I6" s="89" t="n">
        <v>44896</v>
      </c>
      <c r="J6" s="113" t="n">
        <v>3</v>
      </c>
      <c r="K6" s="92" t="n">
        <f aca="false">$K$3-I6</f>
        <v>215</v>
      </c>
      <c r="L6" s="93" t="n">
        <v>92.1</v>
      </c>
      <c r="M6" s="94" t="n">
        <v>3.4</v>
      </c>
      <c r="N6" s="95" t="n">
        <v>45147</v>
      </c>
      <c r="O6" s="96" t="n">
        <v>83.86</v>
      </c>
      <c r="P6" s="96" t="n">
        <v>3.2</v>
      </c>
      <c r="Q6" s="95" t="s">
        <v>961</v>
      </c>
      <c r="R6" s="97" t="n">
        <v>84.3</v>
      </c>
      <c r="S6" s="94" t="n">
        <v>3.1</v>
      </c>
      <c r="T6" s="94" t="s">
        <v>962</v>
      </c>
      <c r="U6" s="94" t="s">
        <v>925</v>
      </c>
      <c r="V6" s="98" t="n">
        <v>16065630217</v>
      </c>
      <c r="W6" s="65" t="n">
        <v>5</v>
      </c>
      <c r="X6" s="99" t="n">
        <v>257.6</v>
      </c>
      <c r="Y6" s="100" t="n">
        <v>204</v>
      </c>
      <c r="Z6" s="99" t="n">
        <v>246.9</v>
      </c>
      <c r="AA6" s="100" t="n">
        <v>167</v>
      </c>
      <c r="AB6" s="101" t="n">
        <v>1.58</v>
      </c>
      <c r="AC6" s="100" t="n">
        <f aca="false">AB6*1000</f>
        <v>1580</v>
      </c>
      <c r="AD6" s="102" t="n">
        <f aca="false">EXP(2.859+0.011*Z6-0.002*AC6+0.275*H6-1.952)</f>
        <v>7.41051546265551</v>
      </c>
      <c r="AE6" s="102" t="n">
        <f aca="false">(AD6/(1+AD6))</f>
        <v>0.881101223291222</v>
      </c>
      <c r="AF6" s="4" t="n">
        <v>18</v>
      </c>
      <c r="AG6" s="114" t="n">
        <v>45113.4324652778</v>
      </c>
      <c r="AH6" s="114" t="n">
        <v>45113.7721875</v>
      </c>
      <c r="AI6" s="114" t="n">
        <v>45113.4324652778</v>
      </c>
      <c r="AJ6" s="114" t="n">
        <v>45113.7721875</v>
      </c>
      <c r="AK6" s="104" t="n">
        <f aca="false">(AG6-$AK$2)*24</f>
        <v>51.0458333333333</v>
      </c>
      <c r="AL6" s="104" t="n">
        <f aca="false">AK6+35</f>
        <v>86.0458333333333</v>
      </c>
      <c r="AM6" s="115" t="n">
        <f aca="false">(AJ6-AI6)*24</f>
        <v>8.15333333333333</v>
      </c>
      <c r="AN6" s="116" t="n">
        <v>8.15333333326271</v>
      </c>
      <c r="AO6" s="4" t="n">
        <v>9</v>
      </c>
      <c r="AP6" s="107" t="n">
        <v>45113</v>
      </c>
      <c r="AQ6" s="64" t="n">
        <v>45113.625</v>
      </c>
      <c r="AR6" s="108" t="n">
        <v>16241422709</v>
      </c>
      <c r="AS6" s="109" t="n">
        <f aca="false">(AQ6-AG6)*24</f>
        <v>4.62083333333333</v>
      </c>
      <c r="AT6" s="110" t="n">
        <f aca="false">AT$2-AP6</f>
        <v>64</v>
      </c>
      <c r="AU6" s="65" t="s">
        <v>6</v>
      </c>
      <c r="AV6" s="65" t="n">
        <v>2</v>
      </c>
      <c r="AW6" s="65" t="s">
        <v>6</v>
      </c>
      <c r="AX6" s="65" t="n">
        <v>2</v>
      </c>
      <c r="AY6" s="107" t="n">
        <v>45259</v>
      </c>
      <c r="AZ6" s="107" t="n">
        <f aca="false">AP6+145</f>
        <v>45258</v>
      </c>
      <c r="BA6" s="111" t="s">
        <v>964</v>
      </c>
      <c r="BB6" s="111" t="n">
        <f aca="false">AY6-AP6</f>
        <v>146</v>
      </c>
      <c r="BC6" s="117"/>
      <c r="BD6" s="65"/>
    </row>
    <row r="7" s="69" customFormat="true" ht="14.25" hidden="false" customHeight="false" outlineLevel="0" collapsed="false">
      <c r="A7" s="47" t="n">
        <v>3</v>
      </c>
      <c r="B7" s="48" t="n">
        <v>16286882231</v>
      </c>
      <c r="C7" s="63" t="n">
        <v>182231</v>
      </c>
      <c r="D7" s="88" t="n">
        <v>1</v>
      </c>
      <c r="E7" s="88" t="s">
        <v>967</v>
      </c>
      <c r="F7" s="50" t="n">
        <v>25195</v>
      </c>
      <c r="G7" s="89" t="n">
        <v>43068</v>
      </c>
      <c r="H7" s="90" t="n">
        <f aca="false">($K$3-G7)/365</f>
        <v>5.5972602739726</v>
      </c>
      <c r="I7" s="89" t="n">
        <v>44890</v>
      </c>
      <c r="J7" s="91" t="n">
        <v>3</v>
      </c>
      <c r="K7" s="92" t="n">
        <f aca="false">$K$3-I7</f>
        <v>221</v>
      </c>
      <c r="L7" s="93" t="n">
        <v>69.6</v>
      </c>
      <c r="M7" s="94" t="n">
        <v>2.8</v>
      </c>
      <c r="N7" s="95" t="n">
        <v>45146</v>
      </c>
      <c r="O7" s="96" t="n">
        <v>60.48</v>
      </c>
      <c r="P7" s="96" t="n">
        <v>2.5</v>
      </c>
      <c r="Q7" s="95" t="s">
        <v>961</v>
      </c>
      <c r="R7" s="97" t="n">
        <v>64</v>
      </c>
      <c r="S7" s="94" t="n">
        <v>2.7</v>
      </c>
      <c r="T7" s="94" t="s">
        <v>962</v>
      </c>
      <c r="U7" s="94" t="s">
        <v>968</v>
      </c>
      <c r="V7" s="98" t="n">
        <v>16123620180</v>
      </c>
      <c r="W7" s="65" t="n">
        <v>5</v>
      </c>
      <c r="X7" s="99" t="n">
        <v>388.1</v>
      </c>
      <c r="Y7" s="100" t="n">
        <v>206</v>
      </c>
      <c r="Z7" s="99" t="n">
        <v>375.7</v>
      </c>
      <c r="AA7" s="100" t="n">
        <v>173</v>
      </c>
      <c r="AB7" s="101" t="n">
        <v>1.37</v>
      </c>
      <c r="AC7" s="100" t="n">
        <f aca="false">AB7*1000</f>
        <v>1370</v>
      </c>
      <c r="AD7" s="102" t="n">
        <f aca="false">EXP(1.741+0.011*Z7-0.002*AC7+0.275*H7-1.952)</f>
        <v>15.1946983666494</v>
      </c>
      <c r="AE7" s="102" t="n">
        <f aca="false">(AD7/(1+AD7))</f>
        <v>0.938251397009076</v>
      </c>
      <c r="AF7" s="4"/>
      <c r="AG7" s="114"/>
      <c r="AH7" s="114"/>
      <c r="AI7" s="114"/>
      <c r="AJ7" s="114"/>
      <c r="AK7" s="104"/>
      <c r="AL7" s="104"/>
      <c r="AM7" s="115"/>
      <c r="AN7" s="116"/>
      <c r="AO7" s="4"/>
      <c r="AP7" s="107" t="n">
        <v>45113</v>
      </c>
      <c r="AQ7" s="64" t="n">
        <v>45113.625</v>
      </c>
      <c r="AR7" s="108" t="n">
        <v>16367304303</v>
      </c>
      <c r="AS7" s="109"/>
      <c r="AT7" s="110" t="n">
        <f aca="false">AT$2-AP7</f>
        <v>64</v>
      </c>
      <c r="AU7" s="65" t="s">
        <v>969</v>
      </c>
      <c r="AV7" s="65" t="n">
        <v>2</v>
      </c>
      <c r="AW7" s="65"/>
      <c r="AX7" s="65" t="n">
        <v>4</v>
      </c>
      <c r="AY7" s="107" t="n">
        <v>45276</v>
      </c>
      <c r="AZ7" s="107" t="n">
        <f aca="false">AP7+145</f>
        <v>45258</v>
      </c>
      <c r="BA7" s="65" t="s">
        <v>970</v>
      </c>
      <c r="BB7" s="118" t="n">
        <f aca="false">AY7-AP7</f>
        <v>163</v>
      </c>
      <c r="BC7" s="112" t="s">
        <v>965</v>
      </c>
      <c r="BD7" s="65"/>
    </row>
    <row r="8" s="69" customFormat="true" ht="14.25" hidden="false" customHeight="false" outlineLevel="0" collapsed="false">
      <c r="A8" s="47" t="n">
        <v>4</v>
      </c>
      <c r="B8" s="48" t="n">
        <v>16286892010</v>
      </c>
      <c r="C8" s="63" t="n">
        <v>192010</v>
      </c>
      <c r="D8" s="88" t="n">
        <v>1</v>
      </c>
      <c r="E8" s="88" t="s">
        <v>971</v>
      </c>
      <c r="F8" s="50" t="n">
        <v>25283</v>
      </c>
      <c r="G8" s="89" t="n">
        <v>43429</v>
      </c>
      <c r="H8" s="90" t="n">
        <f aca="false">($K$3-G8)/365</f>
        <v>4.60821917808219</v>
      </c>
      <c r="I8" s="89" t="n">
        <v>44893</v>
      </c>
      <c r="J8" s="91" t="n">
        <v>1</v>
      </c>
      <c r="K8" s="92" t="n">
        <f aca="false">$K$3-I8</f>
        <v>218</v>
      </c>
      <c r="L8" s="93" t="n">
        <v>79</v>
      </c>
      <c r="M8" s="94" t="n">
        <v>3.3</v>
      </c>
      <c r="N8" s="95" t="n">
        <v>45147</v>
      </c>
      <c r="O8" s="96" t="n">
        <v>72.17</v>
      </c>
      <c r="P8" s="96" t="n">
        <v>2.9</v>
      </c>
      <c r="Q8" s="95" t="s">
        <v>961</v>
      </c>
      <c r="R8" s="97" t="n">
        <v>73.5</v>
      </c>
      <c r="S8" s="94" t="n">
        <v>3</v>
      </c>
      <c r="T8" s="94" t="s">
        <v>972</v>
      </c>
      <c r="U8" s="94" t="s">
        <v>925</v>
      </c>
      <c r="V8" s="98" t="n">
        <v>16179370379</v>
      </c>
      <c r="W8" s="65" t="n">
        <v>4</v>
      </c>
      <c r="X8" s="99" t="n">
        <v>410.1</v>
      </c>
      <c r="Y8" s="100" t="n">
        <v>204</v>
      </c>
      <c r="Z8" s="99" t="n">
        <v>342</v>
      </c>
      <c r="AA8" s="100" t="n">
        <v>170</v>
      </c>
      <c r="AB8" s="101" t="n">
        <v>1.68</v>
      </c>
      <c r="AC8" s="100" t="n">
        <f aca="false">AB8*1000</f>
        <v>1680</v>
      </c>
      <c r="AD8" s="102" t="n">
        <f aca="false">EXP(2.859+0.011*Z8-0.002*AC8+0.275*H8-1.952)</f>
        <v>13.1478766482861</v>
      </c>
      <c r="AE8" s="102" t="n">
        <f aca="false">(AD8/(1+AD8))</f>
        <v>0.929318015355955</v>
      </c>
      <c r="AF8" s="4" t="n">
        <v>17</v>
      </c>
      <c r="AG8" s="114" t="n">
        <v>45113.4313078704</v>
      </c>
      <c r="AH8" s="114" t="n">
        <v>45114.6067708333</v>
      </c>
      <c r="AI8" s="114" t="n">
        <v>45113.4313078704</v>
      </c>
      <c r="AJ8" s="114" t="n">
        <v>45114.6067708333</v>
      </c>
      <c r="AK8" s="104" t="n">
        <f aca="false">(AG8-$AK$2)*24</f>
        <v>51.0180555555556</v>
      </c>
      <c r="AL8" s="104" t="n">
        <f aca="false">AK8+35</f>
        <v>86.0180555555556</v>
      </c>
      <c r="AM8" s="115" t="n">
        <f aca="false">(AJ8-AI8)*24</f>
        <v>28.2111111111111</v>
      </c>
      <c r="AN8" s="116" t="n">
        <v>28.211111111159</v>
      </c>
      <c r="AO8" s="4" t="n">
        <v>5</v>
      </c>
      <c r="AP8" s="107" t="n">
        <v>45113</v>
      </c>
      <c r="AQ8" s="64" t="n">
        <v>45113.625</v>
      </c>
      <c r="AR8" s="108" t="n">
        <v>16103604305</v>
      </c>
      <c r="AS8" s="109" t="n">
        <f aca="false">(AQ8-AG8)*24</f>
        <v>4.64861111111111</v>
      </c>
      <c r="AT8" s="110" t="n">
        <f aca="false">AT$2-AP8</f>
        <v>64</v>
      </c>
      <c r="AU8" s="65" t="s">
        <v>973</v>
      </c>
      <c r="AV8" s="65"/>
      <c r="AW8" s="65"/>
      <c r="AX8" s="65"/>
      <c r="AY8" s="107"/>
      <c r="AZ8" s="107" t="n">
        <f aca="false">AP8+145</f>
        <v>45258</v>
      </c>
      <c r="BA8" s="65"/>
      <c r="BB8" s="65"/>
      <c r="BC8" s="117"/>
      <c r="BD8" s="65"/>
    </row>
    <row r="9" s="69" customFormat="true" ht="14.25" hidden="false" customHeight="false" outlineLevel="0" collapsed="false">
      <c r="A9" s="47" t="n">
        <v>5</v>
      </c>
      <c r="B9" s="48" t="n">
        <v>16286892072</v>
      </c>
      <c r="C9" s="63" t="n">
        <v>192072</v>
      </c>
      <c r="D9" s="88" t="n">
        <v>1</v>
      </c>
      <c r="E9" s="88" t="s">
        <v>974</v>
      </c>
      <c r="F9" s="50" t="n">
        <v>25800</v>
      </c>
      <c r="G9" s="89" t="n">
        <v>43431</v>
      </c>
      <c r="H9" s="90" t="n">
        <f aca="false">($K$3-G9)/365</f>
        <v>4.6027397260274</v>
      </c>
      <c r="I9" s="89" t="n">
        <v>44895</v>
      </c>
      <c r="J9" s="91" t="n">
        <v>2</v>
      </c>
      <c r="K9" s="92" t="n">
        <f aca="false">$K$3-I9</f>
        <v>216</v>
      </c>
      <c r="L9" s="93" t="n">
        <v>71</v>
      </c>
      <c r="M9" s="94" t="n">
        <v>3.5</v>
      </c>
      <c r="N9" s="95" t="n">
        <v>45147</v>
      </c>
      <c r="O9" s="96" t="n">
        <v>70.18</v>
      </c>
      <c r="P9" s="96" t="n">
        <v>3.3</v>
      </c>
      <c r="Q9" s="95" t="s">
        <v>961</v>
      </c>
      <c r="R9" s="97" t="n">
        <v>70.5</v>
      </c>
      <c r="S9" s="94" t="n">
        <v>3.2</v>
      </c>
      <c r="T9" s="94" t="s">
        <v>962</v>
      </c>
      <c r="U9" s="94" t="s">
        <v>963</v>
      </c>
      <c r="V9" s="98" t="n">
        <v>16330840049</v>
      </c>
      <c r="W9" s="65" t="n">
        <v>4</v>
      </c>
      <c r="X9" s="99" t="n">
        <v>348.4</v>
      </c>
      <c r="Y9" s="100" t="n">
        <v>197</v>
      </c>
      <c r="Z9" s="99" t="n">
        <v>333.6</v>
      </c>
      <c r="AA9" s="100" t="n">
        <v>168</v>
      </c>
      <c r="AB9" s="101" t="n">
        <v>1.31</v>
      </c>
      <c r="AC9" s="100" t="n">
        <f aca="false">AB9*1000</f>
        <v>1310</v>
      </c>
      <c r="AD9" s="102" t="n">
        <f aca="false">EXP(2.859+0.011*Z9-0.002*AC9+0.275*H9-1.952)</f>
        <v>25.0870913413772</v>
      </c>
      <c r="AE9" s="102" t="n">
        <f aca="false">(AD9/(1+AD9))</f>
        <v>0.961666864775611</v>
      </c>
      <c r="AF9" s="4" t="n">
        <v>28</v>
      </c>
      <c r="AG9" s="114" t="n">
        <v>45113.9463773148</v>
      </c>
      <c r="AH9" s="114" t="n">
        <v>45114.5159953704</v>
      </c>
      <c r="AI9" s="114" t="n">
        <v>45113.9463773148</v>
      </c>
      <c r="AJ9" s="114" t="n">
        <v>45114.5159953704</v>
      </c>
      <c r="AK9" s="104" t="n">
        <f aca="false">(AG9-$AK$2)*24</f>
        <v>63.3797222222222</v>
      </c>
      <c r="AL9" s="104" t="n">
        <f aca="false">AK9+35</f>
        <v>98.3797222222222</v>
      </c>
      <c r="AM9" s="115" t="n">
        <f aca="false">(AJ9-AI9)*24</f>
        <v>13.6708333333333</v>
      </c>
      <c r="AN9" s="116" t="n">
        <v>13.670833333279</v>
      </c>
      <c r="AO9" s="4" t="n">
        <v>4</v>
      </c>
      <c r="AP9" s="107" t="n">
        <v>45113</v>
      </c>
      <c r="AQ9" s="64" t="n">
        <v>45113.625</v>
      </c>
      <c r="AR9" s="108" t="n">
        <v>55131900500</v>
      </c>
      <c r="AS9" s="109" t="n">
        <f aca="false">(AQ9-AG9)*24</f>
        <v>-7.71305555562944</v>
      </c>
      <c r="AT9" s="110" t="n">
        <f aca="false">AT$2-AP9</f>
        <v>64</v>
      </c>
      <c r="AU9" s="65" t="s">
        <v>6</v>
      </c>
      <c r="AV9" s="65" t="n">
        <v>2</v>
      </c>
      <c r="AW9" s="65" t="s">
        <v>6</v>
      </c>
      <c r="AX9" s="65" t="n">
        <v>2</v>
      </c>
      <c r="AY9" s="107" t="n">
        <v>45264</v>
      </c>
      <c r="AZ9" s="107" t="n">
        <f aca="false">AP9+145</f>
        <v>45258</v>
      </c>
      <c r="BA9" s="111" t="s">
        <v>964</v>
      </c>
      <c r="BB9" s="111" t="n">
        <f aca="false">AY9-AP9</f>
        <v>151</v>
      </c>
      <c r="BC9" s="117" t="s">
        <v>975</v>
      </c>
      <c r="BD9" s="65"/>
    </row>
    <row r="10" s="69" customFormat="true" ht="14.25" hidden="false" customHeight="false" outlineLevel="0" collapsed="false">
      <c r="A10" s="47" t="n">
        <v>6</v>
      </c>
      <c r="B10" s="48" t="n">
        <v>16286892139</v>
      </c>
      <c r="C10" s="63" t="n">
        <v>192139</v>
      </c>
      <c r="D10" s="88" t="n">
        <v>1</v>
      </c>
      <c r="E10" s="88" t="s">
        <v>976</v>
      </c>
      <c r="F10" s="50" t="n">
        <v>25958</v>
      </c>
      <c r="G10" s="89" t="n">
        <v>43432</v>
      </c>
      <c r="H10" s="90" t="n">
        <f aca="false">($K$3-G10)/365</f>
        <v>4.6</v>
      </c>
      <c r="I10" s="89" t="n">
        <v>44896</v>
      </c>
      <c r="J10" s="91" t="n">
        <v>2</v>
      </c>
      <c r="K10" s="92" t="n">
        <f aca="false">$K$3-I10</f>
        <v>215</v>
      </c>
      <c r="L10" s="93" t="n">
        <v>60.7</v>
      </c>
      <c r="M10" s="94" t="n">
        <v>2.7</v>
      </c>
      <c r="N10" s="95" t="n">
        <v>45146</v>
      </c>
      <c r="O10" s="96" t="n">
        <v>56.97</v>
      </c>
      <c r="P10" s="96" t="n">
        <v>2.6</v>
      </c>
      <c r="Q10" s="95" t="s">
        <v>961</v>
      </c>
      <c r="R10" s="97" t="n">
        <v>61.8</v>
      </c>
      <c r="S10" s="94" t="n">
        <v>2.9</v>
      </c>
      <c r="T10" s="94" t="s">
        <v>962</v>
      </c>
      <c r="U10" s="94" t="s">
        <v>968</v>
      </c>
      <c r="V10" s="98" t="n">
        <v>16189830040</v>
      </c>
      <c r="W10" s="65" t="n">
        <v>4</v>
      </c>
      <c r="X10" s="99" t="n">
        <v>296.6</v>
      </c>
      <c r="Y10" s="100" t="n">
        <v>199</v>
      </c>
      <c r="Z10" s="99" t="n">
        <v>327.7</v>
      </c>
      <c r="AA10" s="100" t="n">
        <v>167</v>
      </c>
      <c r="AB10" s="101" t="n">
        <v>1.48</v>
      </c>
      <c r="AC10" s="100" t="n">
        <f aca="false">AB10*1000</f>
        <v>1480</v>
      </c>
      <c r="AD10" s="102" t="n">
        <f aca="false">EXP(1.741+0.011*Z10-0.002*AC10+0.275*H10-1.952)</f>
        <v>5.46683588359977</v>
      </c>
      <c r="AE10" s="102" t="n">
        <f aca="false">(AD10/(1+AD10))</f>
        <v>0.845364871167359</v>
      </c>
      <c r="AF10" s="4"/>
      <c r="AG10" s="114"/>
      <c r="AH10" s="114"/>
      <c r="AI10" s="114"/>
      <c r="AJ10" s="114"/>
      <c r="AK10" s="104"/>
      <c r="AL10" s="104"/>
      <c r="AM10" s="115"/>
      <c r="AN10" s="116"/>
      <c r="AO10" s="4"/>
      <c r="AP10" s="107" t="n">
        <v>45113</v>
      </c>
      <c r="AQ10" s="64" t="n">
        <v>45113.625</v>
      </c>
      <c r="AR10" s="108" t="n">
        <v>16348503344</v>
      </c>
      <c r="AS10" s="109"/>
      <c r="AT10" s="110" t="n">
        <f aca="false">AT$2-AP10</f>
        <v>64</v>
      </c>
      <c r="AU10" s="65" t="s">
        <v>969</v>
      </c>
      <c r="AV10" s="65" t="n">
        <v>2</v>
      </c>
      <c r="AW10" s="65"/>
      <c r="AX10" s="65" t="n">
        <v>2</v>
      </c>
      <c r="AY10" s="107" t="n">
        <v>45278</v>
      </c>
      <c r="AZ10" s="107" t="n">
        <f aca="false">AP10+145</f>
        <v>45258</v>
      </c>
      <c r="BA10" s="65" t="s">
        <v>970</v>
      </c>
      <c r="BB10" s="118" t="n">
        <f aca="false">AY10-AP10</f>
        <v>165</v>
      </c>
      <c r="BC10" s="112" t="s">
        <v>965</v>
      </c>
      <c r="BD10" s="65"/>
    </row>
    <row r="11" s="69" customFormat="true" ht="14.25" hidden="false" customHeight="false" outlineLevel="0" collapsed="false">
      <c r="A11" s="47" t="n">
        <v>7</v>
      </c>
      <c r="B11" s="48" t="n">
        <v>16286892193</v>
      </c>
      <c r="C11" s="63" t="n">
        <v>192193</v>
      </c>
      <c r="D11" s="88" t="n">
        <v>1</v>
      </c>
      <c r="E11" s="88" t="s">
        <v>977</v>
      </c>
      <c r="F11" s="50" t="n">
        <v>25232</v>
      </c>
      <c r="G11" s="89" t="n">
        <v>43432</v>
      </c>
      <c r="H11" s="90" t="n">
        <f aca="false">($K$3-G11)/365</f>
        <v>4.6</v>
      </c>
      <c r="I11" s="89" t="n">
        <v>44896</v>
      </c>
      <c r="J11" s="91" t="n">
        <v>2</v>
      </c>
      <c r="K11" s="92" t="n">
        <f aca="false">$K$3-I11</f>
        <v>215</v>
      </c>
      <c r="L11" s="93" t="n">
        <v>68.4</v>
      </c>
      <c r="M11" s="94" t="n">
        <v>2.7</v>
      </c>
      <c r="N11" s="95" t="n">
        <v>45147</v>
      </c>
      <c r="O11" s="96" t="n">
        <v>59.8</v>
      </c>
      <c r="P11" s="96" t="n">
        <v>2.7</v>
      </c>
      <c r="Q11" s="95" t="s">
        <v>961</v>
      </c>
      <c r="R11" s="97" t="n">
        <v>61.3</v>
      </c>
      <c r="S11" s="94" t="n">
        <v>2.7</v>
      </c>
      <c r="T11" s="94" t="s">
        <v>962</v>
      </c>
      <c r="U11" s="94" t="s">
        <v>925</v>
      </c>
      <c r="V11" s="98" t="n">
        <v>16067271245</v>
      </c>
      <c r="W11" s="65" t="n">
        <v>4</v>
      </c>
      <c r="X11" s="99" t="n">
        <v>435.7</v>
      </c>
      <c r="Y11" s="100" t="n">
        <v>202</v>
      </c>
      <c r="Z11" s="99" t="n">
        <v>412.4</v>
      </c>
      <c r="AA11" s="100" t="n">
        <v>167</v>
      </c>
      <c r="AB11" s="101" t="n">
        <v>1.52</v>
      </c>
      <c r="AC11" s="100" t="n">
        <f aca="false">AB11*1000</f>
        <v>1520</v>
      </c>
      <c r="AD11" s="102" t="n">
        <f aca="false">EXP(1.741+0.011*Z11-0.002*AC11+0.275*H11-1.952)</f>
        <v>12.812227648881</v>
      </c>
      <c r="AE11" s="102" t="n">
        <f aca="false">(AD11/(1+AD11))</f>
        <v>0.927600382398779</v>
      </c>
      <c r="AF11" s="4" t="n">
        <v>19</v>
      </c>
      <c r="AG11" s="114" t="n">
        <v>45113.4503125</v>
      </c>
      <c r="AH11" s="114" t="n">
        <v>45113.7086689815</v>
      </c>
      <c r="AI11" s="114" t="n">
        <v>45113.4503125</v>
      </c>
      <c r="AJ11" s="114" t="n">
        <v>45113.7086689815</v>
      </c>
      <c r="AK11" s="104" t="n">
        <f aca="false">(AG11-$AK$2)*24</f>
        <v>51.4741666666667</v>
      </c>
      <c r="AL11" s="104" t="n">
        <f aca="false">AK11+35</f>
        <v>86.4741666666667</v>
      </c>
      <c r="AM11" s="115" t="n">
        <f aca="false">(AJ11-AI11)*24</f>
        <v>6.20055555555556</v>
      </c>
      <c r="AN11" s="116" t="n">
        <v>6.20055555563886</v>
      </c>
      <c r="AO11" s="4" t="n">
        <v>7</v>
      </c>
      <c r="AP11" s="107" t="n">
        <v>45113</v>
      </c>
      <c r="AQ11" s="64" t="n">
        <v>45113.625</v>
      </c>
      <c r="AR11" s="108" t="n">
        <v>16164221019</v>
      </c>
      <c r="AS11" s="109" t="n">
        <f aca="false">(AQ11-AG11)*24</f>
        <v>4.1925</v>
      </c>
      <c r="AT11" s="110" t="n">
        <f aca="false">AT$2-AP11</f>
        <v>64</v>
      </c>
      <c r="AU11" s="65" t="s">
        <v>6</v>
      </c>
      <c r="AV11" s="65" t="n">
        <v>2</v>
      </c>
      <c r="AW11" s="65" t="s">
        <v>6</v>
      </c>
      <c r="AX11" s="65" t="n">
        <v>2</v>
      </c>
      <c r="AY11" s="107" t="n">
        <v>45260</v>
      </c>
      <c r="AZ11" s="107" t="n">
        <f aca="false">AP11+145</f>
        <v>45258</v>
      </c>
      <c r="BA11" s="111" t="s">
        <v>964</v>
      </c>
      <c r="BB11" s="111" t="n">
        <f aca="false">AY11-AP11</f>
        <v>147</v>
      </c>
      <c r="BC11" s="117"/>
      <c r="BD11" s="65"/>
    </row>
    <row r="12" s="69" customFormat="true" ht="14.25" hidden="false" customHeight="false" outlineLevel="0" collapsed="false">
      <c r="A12" s="47" t="n">
        <v>8</v>
      </c>
      <c r="B12" s="48" t="n">
        <v>16286892249</v>
      </c>
      <c r="C12" s="63" t="n">
        <v>192249</v>
      </c>
      <c r="D12" s="88" t="n">
        <v>1</v>
      </c>
      <c r="E12" s="88" t="s">
        <v>978</v>
      </c>
      <c r="F12" s="50" t="n">
        <v>26012</v>
      </c>
      <c r="G12" s="89" t="n">
        <v>43433</v>
      </c>
      <c r="H12" s="90" t="n">
        <f aca="false">($K$3-G12)/365</f>
        <v>4.5972602739726</v>
      </c>
      <c r="I12" s="89" t="n">
        <v>44895</v>
      </c>
      <c r="J12" s="91" t="n">
        <v>2</v>
      </c>
      <c r="K12" s="92" t="n">
        <f aca="false">$K$3-I12</f>
        <v>216</v>
      </c>
      <c r="L12" s="93" t="n">
        <v>65.7</v>
      </c>
      <c r="M12" s="94" t="n">
        <v>3.2</v>
      </c>
      <c r="N12" s="95" t="n">
        <v>45145</v>
      </c>
      <c r="O12" s="96" t="n">
        <v>60.55</v>
      </c>
      <c r="P12" s="96" t="n">
        <v>2.8</v>
      </c>
      <c r="Q12" s="95" t="s">
        <v>961</v>
      </c>
      <c r="R12" s="97" t="n">
        <v>63.4</v>
      </c>
      <c r="S12" s="94" t="n">
        <v>3.3</v>
      </c>
      <c r="T12" s="94" t="s">
        <v>962</v>
      </c>
      <c r="U12" s="94" t="s">
        <v>925</v>
      </c>
      <c r="V12" s="98" t="n">
        <v>16039870314</v>
      </c>
      <c r="W12" s="65" t="n">
        <v>4</v>
      </c>
      <c r="X12" s="99" t="n">
        <v>349</v>
      </c>
      <c r="Y12" s="100" t="n">
        <v>201</v>
      </c>
      <c r="Z12" s="99" t="n">
        <v>301</v>
      </c>
      <c r="AA12" s="100" t="n">
        <v>168</v>
      </c>
      <c r="AB12" s="101" t="n">
        <v>1.08</v>
      </c>
      <c r="AC12" s="100" t="n">
        <f aca="false">AB12*1000</f>
        <v>1080</v>
      </c>
      <c r="AD12" s="102" t="n">
        <f aca="false">EXP(2.859+0.011*Z12-0.002*AC12+0.275*H12-1.952)</f>
        <v>27.7225614746352</v>
      </c>
      <c r="AE12" s="102" t="n">
        <f aca="false">(AD12/(1+AD12))</f>
        <v>0.965184163644907</v>
      </c>
      <c r="AF12" s="4" t="n">
        <v>22</v>
      </c>
      <c r="AG12" s="114" t="n">
        <v>45113.6119097222</v>
      </c>
      <c r="AH12" s="114" t="n">
        <v>45114.6492708333</v>
      </c>
      <c r="AI12" s="114" t="n">
        <v>45113.6119097222</v>
      </c>
      <c r="AJ12" s="114" t="n">
        <v>45114.6492708333</v>
      </c>
      <c r="AK12" s="104" t="n">
        <f aca="false">(AG12-$AK$2)*24</f>
        <v>55.3525</v>
      </c>
      <c r="AL12" s="104" t="n">
        <f aca="false">AK12+35</f>
        <v>90.3525</v>
      </c>
      <c r="AM12" s="115" t="n">
        <f aca="false">(AJ12-AI12)*24</f>
        <v>24.8966666666667</v>
      </c>
      <c r="AN12" s="116" t="n">
        <v>24.896666666551</v>
      </c>
      <c r="AO12" s="4" t="n">
        <v>20</v>
      </c>
      <c r="AP12" s="107" t="n">
        <v>45113</v>
      </c>
      <c r="AQ12" s="64" t="n">
        <v>45113.625</v>
      </c>
      <c r="AR12" s="108" t="n">
        <v>16282721383</v>
      </c>
      <c r="AS12" s="109" t="n">
        <f aca="false">(AQ12-AG12)*24</f>
        <v>0.314166666666667</v>
      </c>
      <c r="AT12" s="110" t="n">
        <f aca="false">AT$2-AP12</f>
        <v>64</v>
      </c>
      <c r="AU12" s="65" t="s">
        <v>6</v>
      </c>
      <c r="AV12" s="65" t="n">
        <v>1</v>
      </c>
      <c r="AW12" s="65" t="s">
        <v>6</v>
      </c>
      <c r="AX12" s="65" t="n">
        <v>1</v>
      </c>
      <c r="AY12" s="107" t="n">
        <v>45261</v>
      </c>
      <c r="AZ12" s="107" t="n">
        <f aca="false">AP12+145</f>
        <v>45258</v>
      </c>
      <c r="BA12" s="111" t="s">
        <v>964</v>
      </c>
      <c r="BB12" s="111" t="n">
        <f aca="false">AY12-AP12</f>
        <v>148</v>
      </c>
      <c r="BC12" s="117"/>
      <c r="BD12" s="65"/>
    </row>
    <row r="13" s="69" customFormat="true" ht="14.25" hidden="false" customHeight="false" outlineLevel="0" collapsed="false">
      <c r="A13" s="47" t="n">
        <v>9</v>
      </c>
      <c r="B13" s="48" t="n">
        <v>16286892333</v>
      </c>
      <c r="C13" s="63" t="n">
        <v>192333</v>
      </c>
      <c r="D13" s="88" t="n">
        <v>1</v>
      </c>
      <c r="E13" s="88" t="s">
        <v>979</v>
      </c>
      <c r="F13" s="50" t="n">
        <v>25697</v>
      </c>
      <c r="G13" s="89" t="n">
        <v>43433</v>
      </c>
      <c r="H13" s="90" t="n">
        <f aca="false">($K$3-G13)/365</f>
        <v>4.5972602739726</v>
      </c>
      <c r="I13" s="89" t="n">
        <v>44896</v>
      </c>
      <c r="J13" s="91" t="n">
        <v>2</v>
      </c>
      <c r="K13" s="92" t="n">
        <f aca="false">$K$3-I13</f>
        <v>215</v>
      </c>
      <c r="L13" s="93" t="n">
        <v>68.5</v>
      </c>
      <c r="M13" s="94" t="n">
        <v>2.7</v>
      </c>
      <c r="N13" s="95" t="n">
        <v>45147</v>
      </c>
      <c r="O13" s="96" t="n">
        <v>64.9</v>
      </c>
      <c r="P13" s="96" t="n">
        <v>2.8</v>
      </c>
      <c r="Q13" s="95" t="s">
        <v>961</v>
      </c>
      <c r="R13" s="97" t="n">
        <v>69.6</v>
      </c>
      <c r="S13" s="94" t="n">
        <v>2.9</v>
      </c>
      <c r="T13" s="94" t="s">
        <v>972</v>
      </c>
      <c r="U13" s="94" t="s">
        <v>925</v>
      </c>
      <c r="V13" s="98" t="n">
        <v>28034770136</v>
      </c>
      <c r="W13" s="65" t="n">
        <v>4</v>
      </c>
      <c r="X13" s="99" t="n">
        <v>435.1</v>
      </c>
      <c r="Y13" s="100" t="n">
        <v>200</v>
      </c>
      <c r="Z13" s="99" t="n">
        <v>426.8</v>
      </c>
      <c r="AA13" s="100" t="n">
        <v>167</v>
      </c>
      <c r="AB13" s="101" t="n">
        <v>2.05</v>
      </c>
      <c r="AC13" s="100" t="n">
        <f aca="false">AB13*1000</f>
        <v>2050</v>
      </c>
      <c r="AD13" s="102" t="n">
        <f aca="false">EXP(1.741+0.011*Z13-0.002*AC13+0.275*H13-1.952)</f>
        <v>5.19681831250207</v>
      </c>
      <c r="AE13" s="102" t="n">
        <f aca="false">(AD13/(1+AD13))</f>
        <v>0.838626864695629</v>
      </c>
      <c r="AF13" s="4"/>
      <c r="AG13" s="114"/>
      <c r="AH13" s="114"/>
      <c r="AI13" s="114"/>
      <c r="AJ13" s="114"/>
      <c r="AK13" s="104"/>
      <c r="AL13" s="104"/>
      <c r="AM13" s="115"/>
      <c r="AN13" s="116"/>
      <c r="AO13" s="4"/>
      <c r="AP13" s="107" t="n">
        <v>45113</v>
      </c>
      <c r="AQ13" s="64" t="n">
        <v>45113.625</v>
      </c>
      <c r="AR13" s="108" t="n">
        <v>55113411043</v>
      </c>
      <c r="AS13" s="109"/>
      <c r="AT13" s="110" t="n">
        <f aca="false">AT$2-AP13</f>
        <v>64</v>
      </c>
      <c r="AU13" s="65" t="s">
        <v>6</v>
      </c>
      <c r="AV13" s="65" t="n">
        <v>2</v>
      </c>
      <c r="AW13" s="65" t="s">
        <v>6</v>
      </c>
      <c r="AX13" s="65" t="n">
        <v>2</v>
      </c>
      <c r="AY13" s="107" t="n">
        <v>45262</v>
      </c>
      <c r="AZ13" s="107" t="n">
        <f aca="false">AP13+145</f>
        <v>45258</v>
      </c>
      <c r="BA13" s="111" t="s">
        <v>964</v>
      </c>
      <c r="BB13" s="111" t="n">
        <f aca="false">AY13-AP13</f>
        <v>149</v>
      </c>
      <c r="BC13" s="112" t="s">
        <v>965</v>
      </c>
      <c r="BD13" s="65"/>
    </row>
    <row r="14" s="69" customFormat="true" ht="14.25" hidden="false" customHeight="false" outlineLevel="0" collapsed="false">
      <c r="A14" s="47" t="n">
        <v>10</v>
      </c>
      <c r="B14" s="48" t="n">
        <v>16286892472</v>
      </c>
      <c r="C14" s="63" t="n">
        <v>192472</v>
      </c>
      <c r="D14" s="88" t="n">
        <v>1</v>
      </c>
      <c r="E14" s="88" t="s">
        <v>980</v>
      </c>
      <c r="F14" s="50" t="n">
        <v>25046</v>
      </c>
      <c r="G14" s="89" t="n">
        <v>43436</v>
      </c>
      <c r="H14" s="90" t="n">
        <f aca="false">($K$3-G14)/365</f>
        <v>4.58904109589041</v>
      </c>
      <c r="I14" s="89" t="n">
        <v>44898</v>
      </c>
      <c r="J14" s="91" t="n">
        <v>2</v>
      </c>
      <c r="K14" s="92" t="n">
        <f aca="false">$K$3-I14</f>
        <v>213</v>
      </c>
      <c r="L14" s="93" t="n">
        <v>82</v>
      </c>
      <c r="M14" s="94" t="n">
        <v>3.3</v>
      </c>
      <c r="N14" s="95" t="n">
        <v>45146</v>
      </c>
      <c r="O14" s="96" t="n">
        <v>71.64</v>
      </c>
      <c r="P14" s="96" t="n">
        <v>2.8</v>
      </c>
      <c r="Q14" s="95" t="s">
        <v>961</v>
      </c>
      <c r="R14" s="97" t="n">
        <v>76.5</v>
      </c>
      <c r="S14" s="94" t="n">
        <v>3</v>
      </c>
      <c r="T14" s="94" t="s">
        <v>962</v>
      </c>
      <c r="U14" s="94" t="s">
        <v>968</v>
      </c>
      <c r="V14" s="98" t="n">
        <v>16294750264</v>
      </c>
      <c r="W14" s="65" t="n">
        <v>4</v>
      </c>
      <c r="X14" s="99" t="n">
        <v>387.5</v>
      </c>
      <c r="Y14" s="100" t="n">
        <v>199</v>
      </c>
      <c r="Z14" s="99" t="n">
        <v>299.3</v>
      </c>
      <c r="AA14" s="100" t="n">
        <v>165</v>
      </c>
      <c r="AB14" s="101" t="n">
        <v>1.42</v>
      </c>
      <c r="AC14" s="100" t="n">
        <f aca="false">AB14*1000</f>
        <v>1420</v>
      </c>
      <c r="AD14" s="102" t="n">
        <f aca="false">EXP(2.859+0.011*Z14-0.002*AC14+0.275*H14-1.952)</f>
        <v>13.7534032333817</v>
      </c>
      <c r="AE14" s="102" t="n">
        <f aca="false">(AD14/(1+AD14))</f>
        <v>0.932219028777214</v>
      </c>
      <c r="AF14" s="4"/>
      <c r="AG14" s="114"/>
      <c r="AH14" s="114"/>
      <c r="AI14" s="114"/>
      <c r="AJ14" s="114"/>
      <c r="AK14" s="104"/>
      <c r="AL14" s="104"/>
      <c r="AM14" s="115"/>
      <c r="AN14" s="116"/>
      <c r="AO14" s="4"/>
      <c r="AP14" s="107" t="n">
        <v>45113</v>
      </c>
      <c r="AQ14" s="64" t="n">
        <v>45113.625</v>
      </c>
      <c r="AR14" s="108" t="n">
        <v>16025403352</v>
      </c>
      <c r="AS14" s="109"/>
      <c r="AT14" s="110" t="n">
        <f aca="false">AT$2-AP14</f>
        <v>64</v>
      </c>
      <c r="AU14" s="65" t="s">
        <v>969</v>
      </c>
      <c r="AV14" s="65" t="n">
        <v>2</v>
      </c>
      <c r="AW14" s="65"/>
      <c r="AX14" s="65" t="n">
        <v>1</v>
      </c>
      <c r="AY14" s="107" t="n">
        <v>45278</v>
      </c>
      <c r="AZ14" s="107" t="n">
        <f aca="false">AP14+145</f>
        <v>45258</v>
      </c>
      <c r="BA14" s="65" t="s">
        <v>970</v>
      </c>
      <c r="BB14" s="118" t="n">
        <f aca="false">AY14-AP14</f>
        <v>165</v>
      </c>
      <c r="BC14" s="112" t="s">
        <v>965</v>
      </c>
      <c r="BD14" s="65"/>
    </row>
    <row r="15" s="69" customFormat="true" ht="14.25" hidden="false" customHeight="false" outlineLevel="0" collapsed="false">
      <c r="A15" s="47" t="n">
        <v>11</v>
      </c>
      <c r="B15" s="48" t="n">
        <v>16286802045</v>
      </c>
      <c r="C15" s="63" t="n">
        <v>202045</v>
      </c>
      <c r="D15" s="88" t="n">
        <v>1</v>
      </c>
      <c r="E15" s="88" t="s">
        <v>981</v>
      </c>
      <c r="F15" s="50" t="n">
        <v>25701</v>
      </c>
      <c r="G15" s="89" t="n">
        <v>43794</v>
      </c>
      <c r="H15" s="90" t="n">
        <f aca="false">($K$3-G15)/365</f>
        <v>3.60821917808219</v>
      </c>
      <c r="I15" s="89" t="n">
        <v>44896</v>
      </c>
      <c r="J15" s="91" t="n">
        <v>2</v>
      </c>
      <c r="K15" s="92" t="n">
        <f aca="false">$K$3-I15</f>
        <v>215</v>
      </c>
      <c r="L15" s="93" t="n">
        <v>77.4</v>
      </c>
      <c r="M15" s="94" t="n">
        <v>2.8</v>
      </c>
      <c r="N15" s="95" t="n">
        <v>45147</v>
      </c>
      <c r="O15" s="96" t="n">
        <v>73.8</v>
      </c>
      <c r="P15" s="96" t="n">
        <v>2.9</v>
      </c>
      <c r="Q15" s="95" t="s">
        <v>961</v>
      </c>
      <c r="R15" s="97" t="n">
        <v>75.1</v>
      </c>
      <c r="S15" s="94" t="n">
        <v>2.8</v>
      </c>
      <c r="T15" s="94" t="s">
        <v>962</v>
      </c>
      <c r="U15" s="94" t="s">
        <v>925</v>
      </c>
      <c r="V15" s="98" t="n">
        <v>55115670198</v>
      </c>
      <c r="W15" s="65" t="n">
        <v>3</v>
      </c>
      <c r="X15" s="99" t="n">
        <v>405.1</v>
      </c>
      <c r="Y15" s="100" t="n">
        <v>198</v>
      </c>
      <c r="Z15" s="99" t="n">
        <v>386.9</v>
      </c>
      <c r="AA15" s="100" t="n">
        <v>167</v>
      </c>
      <c r="AB15" s="101" t="n">
        <v>1.6</v>
      </c>
      <c r="AC15" s="100" t="n">
        <f aca="false">AB15*1000</f>
        <v>1600</v>
      </c>
      <c r="AD15" s="102" t="n">
        <f aca="false">EXP(1.741+0.011*Z15-0.002*AC15+0.275*H15-1.952)</f>
        <v>6.27868318121043</v>
      </c>
      <c r="AE15" s="102" t="n">
        <f aca="false">(AD15/(1+AD15))</f>
        <v>0.862612511754674</v>
      </c>
      <c r="AF15" s="4" t="n">
        <v>4</v>
      </c>
      <c r="AG15" s="114" t="n">
        <v>45111.870462963</v>
      </c>
      <c r="AH15" s="114" t="n">
        <v>45113.6849189815</v>
      </c>
      <c r="AI15" s="114" t="n">
        <v>45111.870462963</v>
      </c>
      <c r="AJ15" s="114" t="n">
        <v>45113.6849189815</v>
      </c>
      <c r="AK15" s="104" t="n">
        <f aca="false">(AG15-$AK$2)*24</f>
        <v>13.5577777777778</v>
      </c>
      <c r="AL15" s="104" t="n">
        <f aca="false">AK15+35</f>
        <v>48.5577777777778</v>
      </c>
      <c r="AM15" s="115" t="n">
        <f aca="false">(AJ15-AI15)*24</f>
        <v>43.5469444444445</v>
      </c>
      <c r="AN15" s="116" t="n">
        <v>43.546944444417</v>
      </c>
      <c r="AO15" s="4" t="n">
        <v>8</v>
      </c>
      <c r="AP15" s="107" t="n">
        <v>45113</v>
      </c>
      <c r="AQ15" s="64" t="n">
        <v>45113.625</v>
      </c>
      <c r="AR15" s="108" t="n">
        <v>16103604305</v>
      </c>
      <c r="AS15" s="109" t="n">
        <f aca="false">(AQ15-AG15)*24</f>
        <v>42.1088888888889</v>
      </c>
      <c r="AT15" s="110" t="n">
        <f aca="false">AT$2-AP15</f>
        <v>64</v>
      </c>
      <c r="AU15" s="65" t="s">
        <v>6</v>
      </c>
      <c r="AV15" s="65" t="n">
        <v>1</v>
      </c>
      <c r="AW15" s="65" t="s">
        <v>6</v>
      </c>
      <c r="AX15" s="65" t="n">
        <v>1</v>
      </c>
      <c r="AY15" s="107" t="n">
        <v>45264</v>
      </c>
      <c r="AZ15" s="107" t="n">
        <f aca="false">AP15+145</f>
        <v>45258</v>
      </c>
      <c r="BA15" s="111" t="s">
        <v>964</v>
      </c>
      <c r="BB15" s="111" t="n">
        <f aca="false">AY15-AP15</f>
        <v>151</v>
      </c>
      <c r="BC15" s="117"/>
      <c r="BD15" s="65"/>
    </row>
    <row r="16" s="69" customFormat="true" ht="14.25" hidden="false" customHeight="false" outlineLevel="0" collapsed="false">
      <c r="A16" s="47" t="n">
        <v>12</v>
      </c>
      <c r="B16" s="48" t="n">
        <v>16286802053</v>
      </c>
      <c r="C16" s="63" t="n">
        <v>202053</v>
      </c>
      <c r="D16" s="88" t="n">
        <v>1</v>
      </c>
      <c r="E16" s="88" t="s">
        <v>982</v>
      </c>
      <c r="F16" s="50" t="n">
        <v>25923</v>
      </c>
      <c r="G16" s="89" t="n">
        <v>43794</v>
      </c>
      <c r="H16" s="90" t="n">
        <f aca="false">($K$3-G16)/365</f>
        <v>3.60821917808219</v>
      </c>
      <c r="I16" s="89" t="n">
        <v>44895</v>
      </c>
      <c r="J16" s="91" t="n">
        <v>2</v>
      </c>
      <c r="K16" s="92" t="n">
        <f aca="false">$K$3-I16</f>
        <v>216</v>
      </c>
      <c r="L16" s="93" t="n">
        <v>73.3</v>
      </c>
      <c r="M16" s="94" t="n">
        <v>2.8</v>
      </c>
      <c r="N16" s="95" t="n">
        <v>45147</v>
      </c>
      <c r="O16" s="96" t="n">
        <v>61.46</v>
      </c>
      <c r="P16" s="96" t="n">
        <v>2.7</v>
      </c>
      <c r="Q16" s="95" t="s">
        <v>983</v>
      </c>
      <c r="R16" s="97" t="n">
        <v>72.1</v>
      </c>
      <c r="S16" s="94" t="n">
        <v>2.7</v>
      </c>
      <c r="T16" s="94" t="s">
        <v>962</v>
      </c>
      <c r="U16" s="94" t="s">
        <v>968</v>
      </c>
      <c r="V16" s="98" t="n">
        <v>16355130187</v>
      </c>
      <c r="W16" s="65" t="n">
        <v>3</v>
      </c>
      <c r="X16" s="99" t="n">
        <v>360.4</v>
      </c>
      <c r="Y16" s="100" t="n">
        <v>166</v>
      </c>
      <c r="Z16" s="99" t="n">
        <v>361.6</v>
      </c>
      <c r="AA16" s="100" t="n">
        <v>168</v>
      </c>
      <c r="AB16" s="101" t="n">
        <v>2</v>
      </c>
      <c r="AC16" s="100" t="n">
        <f aca="false">AB16*1000</f>
        <v>2000</v>
      </c>
      <c r="AD16" s="102" t="n">
        <f aca="false">EXP(1.741+0.011*Z16-0.002*AC16+0.275*H16-1.952)</f>
        <v>2.13584055969122</v>
      </c>
      <c r="AE16" s="102" t="n">
        <f aca="false">(AD16/(1+AD16))</f>
        <v>0.681106235803497</v>
      </c>
      <c r="AF16" s="4" t="n">
        <v>6</v>
      </c>
      <c r="AG16" s="114" t="n">
        <v>45112.2832407407</v>
      </c>
      <c r="AH16" s="114" t="n">
        <v>45113.7263425926</v>
      </c>
      <c r="AI16" s="114" t="n">
        <v>45112.2832407407</v>
      </c>
      <c r="AJ16" s="114" t="n">
        <v>45113.7263425926</v>
      </c>
      <c r="AK16" s="104" t="n">
        <f aca="false">(AG16-$AK$2)*24</f>
        <v>23.4644444444444</v>
      </c>
      <c r="AL16" s="104" t="n">
        <f aca="false">AK16+35</f>
        <v>58.4644444444444</v>
      </c>
      <c r="AM16" s="115" t="n">
        <f aca="false">(AJ16-AI16)*24</f>
        <v>34.6344444444445</v>
      </c>
      <c r="AN16" s="116" t="n">
        <v>34.6344444444403</v>
      </c>
      <c r="AO16" s="4" t="n">
        <v>48</v>
      </c>
      <c r="AP16" s="107" t="n">
        <v>45113</v>
      </c>
      <c r="AQ16" s="64" t="n">
        <v>45113.625</v>
      </c>
      <c r="AR16" s="108" t="n">
        <v>16025403352</v>
      </c>
      <c r="AS16" s="109" t="n">
        <f aca="false">(AQ16-AG16)*24</f>
        <v>32.2022222222222</v>
      </c>
      <c r="AT16" s="110" t="n">
        <f aca="false">AT$2-AP16</f>
        <v>64</v>
      </c>
      <c r="AU16" s="65" t="s">
        <v>973</v>
      </c>
      <c r="AV16" s="65"/>
      <c r="AW16" s="65"/>
      <c r="AX16" s="65" t="n">
        <v>1</v>
      </c>
      <c r="AY16" s="107" t="n">
        <v>45296</v>
      </c>
      <c r="AZ16" s="107" t="n">
        <f aca="false">AP16+145</f>
        <v>45258</v>
      </c>
      <c r="BA16" s="65" t="s">
        <v>984</v>
      </c>
      <c r="BB16" s="118" t="n">
        <f aca="false">AY16-AP16</f>
        <v>183</v>
      </c>
      <c r="BC16" s="117" t="s">
        <v>985</v>
      </c>
      <c r="BD16" s="65"/>
    </row>
    <row r="17" s="69" customFormat="true" ht="14.25" hidden="false" customHeight="false" outlineLevel="0" collapsed="false">
      <c r="A17" s="47" t="n">
        <v>13</v>
      </c>
      <c r="B17" s="48" t="n">
        <v>16286802116</v>
      </c>
      <c r="C17" s="63" t="n">
        <v>202116</v>
      </c>
      <c r="D17" s="88" t="n">
        <v>1</v>
      </c>
      <c r="E17" s="88" t="s">
        <v>986</v>
      </c>
      <c r="F17" s="50" t="n">
        <v>25031</v>
      </c>
      <c r="G17" s="89" t="n">
        <v>43795</v>
      </c>
      <c r="H17" s="90" t="n">
        <f aca="false">($K$3-G17)/365</f>
        <v>3.60547945205479</v>
      </c>
      <c r="I17" s="89" t="n">
        <v>44895</v>
      </c>
      <c r="J17" s="91" t="n">
        <v>2</v>
      </c>
      <c r="K17" s="92" t="n">
        <f aca="false">$K$3-I17</f>
        <v>216</v>
      </c>
      <c r="L17" s="93" t="n">
        <v>79</v>
      </c>
      <c r="M17" s="94" t="n">
        <v>3.2</v>
      </c>
      <c r="N17" s="95" t="n">
        <v>45147</v>
      </c>
      <c r="O17" s="96" t="n">
        <v>81.76</v>
      </c>
      <c r="P17" s="96" t="n">
        <v>3.2</v>
      </c>
      <c r="Q17" s="95" t="s">
        <v>987</v>
      </c>
      <c r="R17" s="97" t="n">
        <v>82.7</v>
      </c>
      <c r="S17" s="94" t="n">
        <v>3.2</v>
      </c>
      <c r="T17" s="94" t="s">
        <v>972</v>
      </c>
      <c r="U17" s="94" t="s">
        <v>925</v>
      </c>
      <c r="V17" s="98" t="n">
        <v>16001280542</v>
      </c>
      <c r="W17" s="65" t="n">
        <v>3</v>
      </c>
      <c r="X17" s="99" t="n">
        <v>480.3</v>
      </c>
      <c r="Y17" s="100" t="n">
        <v>198</v>
      </c>
      <c r="Z17" s="99" t="n">
        <v>366.3</v>
      </c>
      <c r="AA17" s="100" t="n">
        <v>168</v>
      </c>
      <c r="AB17" s="101" t="n">
        <v>1.91</v>
      </c>
      <c r="AC17" s="100" t="n">
        <f aca="false">AB17*1000</f>
        <v>1910</v>
      </c>
      <c r="AD17" s="102" t="n">
        <f aca="false">EXP(2.859+0.011*Z17-0.002*AC17+0.275*H17-1.952)</f>
        <v>8.23017147075898</v>
      </c>
      <c r="AE17" s="102" t="n">
        <f aca="false">(AD17/(1+AD17))</f>
        <v>0.891659650834442</v>
      </c>
      <c r="AF17" s="4" t="n">
        <v>14</v>
      </c>
      <c r="AG17" s="114" t="n">
        <v>45112.7887731481</v>
      </c>
      <c r="AH17" s="114" t="n">
        <v>45114.669537037</v>
      </c>
      <c r="AI17" s="114" t="n">
        <v>45112.7887731481</v>
      </c>
      <c r="AJ17" s="114" t="n">
        <v>45112.7911226852</v>
      </c>
      <c r="AK17" s="104" t="n">
        <f aca="false">(AG17-$AK$2)*24</f>
        <v>35.5972222222222</v>
      </c>
      <c r="AL17" s="104" t="n">
        <f aca="false">AK17+35</f>
        <v>70.5972222222222</v>
      </c>
      <c r="AM17" s="115" t="n">
        <f aca="false">(AJ17-AI17)*24</f>
        <v>0.0563888888888889</v>
      </c>
      <c r="AN17" s="116" t="n">
        <v>1</v>
      </c>
      <c r="AO17" s="4" t="n">
        <v>9</v>
      </c>
      <c r="AP17" s="107" t="n">
        <v>45113</v>
      </c>
      <c r="AQ17" s="64" t="n">
        <v>45113.625</v>
      </c>
      <c r="AR17" s="108" t="n">
        <v>16031711395</v>
      </c>
      <c r="AS17" s="109" t="n">
        <f aca="false">(AQ17-AG17)*24</f>
        <v>20.0694444444444</v>
      </c>
      <c r="AT17" s="110" t="n">
        <f aca="false">AT$2-AP17</f>
        <v>64</v>
      </c>
      <c r="AU17" s="65" t="s">
        <v>6</v>
      </c>
      <c r="AV17" s="65" t="n">
        <v>2</v>
      </c>
      <c r="AW17" s="65" t="s">
        <v>6</v>
      </c>
      <c r="AX17" s="65" t="n">
        <v>2</v>
      </c>
      <c r="AY17" s="107" t="n">
        <v>45263</v>
      </c>
      <c r="AZ17" s="107" t="n">
        <f aca="false">AP17+145</f>
        <v>45258</v>
      </c>
      <c r="BA17" s="111" t="s">
        <v>964</v>
      </c>
      <c r="BB17" s="111" t="n">
        <f aca="false">AY17-AP17</f>
        <v>150</v>
      </c>
      <c r="BC17" s="117"/>
      <c r="BD17" s="65"/>
    </row>
    <row r="18" s="69" customFormat="true" ht="14.25" hidden="false" customHeight="false" outlineLevel="0" collapsed="false">
      <c r="A18" s="47" t="n">
        <v>14</v>
      </c>
      <c r="B18" s="48" t="n">
        <v>16286802176</v>
      </c>
      <c r="C18" s="63" t="n">
        <v>202176</v>
      </c>
      <c r="D18" s="88" t="n">
        <v>1</v>
      </c>
      <c r="E18" s="88" t="s">
        <v>988</v>
      </c>
      <c r="F18" s="50" t="n">
        <v>25336</v>
      </c>
      <c r="G18" s="89" t="n">
        <v>43796</v>
      </c>
      <c r="H18" s="90" t="n">
        <f aca="false">($K$3-G18)/365</f>
        <v>3.6027397260274</v>
      </c>
      <c r="I18" s="89" t="n">
        <v>44899</v>
      </c>
      <c r="J18" s="91" t="n">
        <v>2</v>
      </c>
      <c r="K18" s="92" t="n">
        <f aca="false">$K$3-I18</f>
        <v>212</v>
      </c>
      <c r="L18" s="93" t="n">
        <v>67.1</v>
      </c>
      <c r="M18" s="94" t="n">
        <v>2.8</v>
      </c>
      <c r="N18" s="95" t="n">
        <v>45145</v>
      </c>
      <c r="O18" s="96" t="n">
        <v>64.05</v>
      </c>
      <c r="P18" s="96" t="n">
        <v>2.7</v>
      </c>
      <c r="Q18" s="95" t="s">
        <v>961</v>
      </c>
      <c r="R18" s="97" t="n">
        <v>66.2</v>
      </c>
      <c r="S18" s="94" t="n">
        <v>2.9</v>
      </c>
      <c r="T18" s="94" t="s">
        <v>962</v>
      </c>
      <c r="U18" s="94" t="s">
        <v>963</v>
      </c>
      <c r="V18" s="98" t="n">
        <v>16258530325</v>
      </c>
      <c r="W18" s="65" t="n">
        <v>3</v>
      </c>
      <c r="X18" s="99" t="n">
        <v>366</v>
      </c>
      <c r="Y18" s="100" t="n">
        <v>179</v>
      </c>
      <c r="Z18" s="99" t="n">
        <v>371.1</v>
      </c>
      <c r="AA18" s="100" t="n">
        <v>164</v>
      </c>
      <c r="AB18" s="101" t="n">
        <v>1.32</v>
      </c>
      <c r="AC18" s="100" t="n">
        <f aca="false">AB18*1000</f>
        <v>1320</v>
      </c>
      <c r="AD18" s="102" t="n">
        <f aca="false">EXP(1.741+0.011*Z18-0.002*AC18+0.275*H18-1.952)</f>
        <v>9.22441178414702</v>
      </c>
      <c r="AE18" s="102" t="n">
        <f aca="false">(AD18/(1+AD18))</f>
        <v>0.902194862539623</v>
      </c>
      <c r="AF18" s="4"/>
      <c r="AG18" s="114"/>
      <c r="AH18" s="114"/>
      <c r="AI18" s="114"/>
      <c r="AJ18" s="114"/>
      <c r="AK18" s="104"/>
      <c r="AL18" s="104"/>
      <c r="AM18" s="115"/>
      <c r="AN18" s="116"/>
      <c r="AO18" s="4"/>
      <c r="AP18" s="107" t="n">
        <v>45113</v>
      </c>
      <c r="AQ18" s="64" t="n">
        <v>45113.625</v>
      </c>
      <c r="AR18" s="108" t="n">
        <v>55131900500</v>
      </c>
      <c r="AS18" s="109"/>
      <c r="AT18" s="110" t="n">
        <f aca="false">AT$2-AP18</f>
        <v>64</v>
      </c>
      <c r="AU18" s="65" t="s">
        <v>6</v>
      </c>
      <c r="AV18" s="65" t="n">
        <v>1</v>
      </c>
      <c r="AW18" s="65" t="s">
        <v>6</v>
      </c>
      <c r="AX18" s="65" t="n">
        <v>1</v>
      </c>
      <c r="AY18" s="107" t="n">
        <v>45262</v>
      </c>
      <c r="AZ18" s="107" t="n">
        <f aca="false">AP18+145</f>
        <v>45258</v>
      </c>
      <c r="BA18" s="111" t="s">
        <v>964</v>
      </c>
      <c r="BB18" s="111" t="n">
        <f aca="false">AY18-AP18</f>
        <v>149</v>
      </c>
      <c r="BC18" s="112" t="s">
        <v>965</v>
      </c>
      <c r="BD18" s="65"/>
    </row>
    <row r="19" s="69" customFormat="true" ht="14.25" hidden="false" customHeight="false" outlineLevel="0" collapsed="false">
      <c r="A19" s="47" t="n">
        <v>15</v>
      </c>
      <c r="B19" s="48" t="n">
        <v>16286802196</v>
      </c>
      <c r="C19" s="63" t="n">
        <v>202196</v>
      </c>
      <c r="D19" s="88" t="n">
        <v>1</v>
      </c>
      <c r="E19" s="88" t="s">
        <v>989</v>
      </c>
      <c r="F19" s="50" t="n">
        <v>25519</v>
      </c>
      <c r="G19" s="89" t="n">
        <v>43796</v>
      </c>
      <c r="H19" s="90" t="n">
        <f aca="false">($K$3-G19)/365</f>
        <v>3.6027397260274</v>
      </c>
      <c r="I19" s="89" t="n">
        <v>44896</v>
      </c>
      <c r="J19" s="91" t="n">
        <v>2</v>
      </c>
      <c r="K19" s="92" t="n">
        <f aca="false">$K$3-I19</f>
        <v>215</v>
      </c>
      <c r="L19" s="93" t="n">
        <v>74.3</v>
      </c>
      <c r="M19" s="94" t="n">
        <v>2.8</v>
      </c>
      <c r="N19" s="95" t="n">
        <v>45146</v>
      </c>
      <c r="O19" s="96" t="n">
        <v>69.41</v>
      </c>
      <c r="P19" s="96" t="n">
        <v>2.8</v>
      </c>
      <c r="Q19" s="95" t="s">
        <v>961</v>
      </c>
      <c r="R19" s="97" t="n">
        <v>76.7</v>
      </c>
      <c r="S19" s="94" t="n">
        <v>2.9</v>
      </c>
      <c r="T19" s="94" t="s">
        <v>962</v>
      </c>
      <c r="U19" s="94" t="s">
        <v>963</v>
      </c>
      <c r="V19" s="98" t="n">
        <v>55113660120</v>
      </c>
      <c r="W19" s="65" t="n">
        <v>3</v>
      </c>
      <c r="X19" s="99" t="n">
        <v>431.9</v>
      </c>
      <c r="Y19" s="100" t="n">
        <v>165</v>
      </c>
      <c r="Z19" s="99" t="n">
        <v>444.1</v>
      </c>
      <c r="AA19" s="100" t="n">
        <v>167</v>
      </c>
      <c r="AB19" s="101" t="n">
        <v>1.94</v>
      </c>
      <c r="AC19" s="100" t="n">
        <f aca="false">AB19*1000</f>
        <v>1940</v>
      </c>
      <c r="AD19" s="102" t="n">
        <f aca="false">EXP(1.741+0.011*Z19-0.002*AC19+0.275*H19-1.952)</f>
        <v>5.95870648412648</v>
      </c>
      <c r="AE19" s="102" t="n">
        <f aca="false">(AD19/(1+AD19))</f>
        <v>0.856295131533267</v>
      </c>
      <c r="AF19" s="4" t="n">
        <v>12</v>
      </c>
      <c r="AG19" s="114" t="n">
        <v>45112.7028009259</v>
      </c>
      <c r="AH19" s="114" t="n">
        <v>45113.5730092593</v>
      </c>
      <c r="AI19" s="114" t="n">
        <v>45112.7028009259</v>
      </c>
      <c r="AJ19" s="114" t="n">
        <v>45113.5730092593</v>
      </c>
      <c r="AK19" s="104" t="n">
        <f aca="false">(AG19-$AK$2)*24</f>
        <v>33.5338888888889</v>
      </c>
      <c r="AL19" s="104" t="n">
        <f aca="false">AK19+35</f>
        <v>68.5338888888889</v>
      </c>
      <c r="AM19" s="115" t="n">
        <f aca="false">(AJ19-AI19)*24</f>
        <v>20.885</v>
      </c>
      <c r="AN19" s="116" t="n">
        <v>20.8850000000093</v>
      </c>
      <c r="AO19" s="4" t="n">
        <v>27</v>
      </c>
      <c r="AP19" s="107" t="n">
        <v>45113</v>
      </c>
      <c r="AQ19" s="64" t="n">
        <v>45113.625</v>
      </c>
      <c r="AR19" s="108" t="n">
        <v>16103604078</v>
      </c>
      <c r="AS19" s="109" t="n">
        <f aca="false">(AQ19-AG19)*24</f>
        <v>22.1327777777778</v>
      </c>
      <c r="AT19" s="110" t="n">
        <f aca="false">AT$2-AP19</f>
        <v>64</v>
      </c>
      <c r="AU19" s="65" t="s">
        <v>6</v>
      </c>
      <c r="AV19" s="65" t="n">
        <v>2</v>
      </c>
      <c r="AW19" s="65" t="s">
        <v>6</v>
      </c>
      <c r="AX19" s="65" t="n">
        <v>2</v>
      </c>
      <c r="AY19" s="107" t="n">
        <v>45261</v>
      </c>
      <c r="AZ19" s="107" t="n">
        <f aca="false">AP19+145</f>
        <v>45258</v>
      </c>
      <c r="BA19" s="111" t="s">
        <v>964</v>
      </c>
      <c r="BB19" s="111" t="n">
        <f aca="false">AY19-AP19</f>
        <v>148</v>
      </c>
      <c r="BC19" s="117"/>
      <c r="BD19" s="65"/>
    </row>
    <row r="20" s="69" customFormat="true" ht="14.25" hidden="false" customHeight="false" outlineLevel="0" collapsed="false">
      <c r="A20" s="47" t="n">
        <v>16</v>
      </c>
      <c r="B20" s="48" t="n">
        <v>16286802242</v>
      </c>
      <c r="C20" s="63" t="n">
        <v>202242</v>
      </c>
      <c r="D20" s="88" t="n">
        <v>1</v>
      </c>
      <c r="E20" s="88" t="s">
        <v>990</v>
      </c>
      <c r="F20" s="50" t="n">
        <v>25973</v>
      </c>
      <c r="G20" s="89" t="n">
        <v>43796</v>
      </c>
      <c r="H20" s="90" t="n">
        <f aca="false">($K$3-G20)/365</f>
        <v>3.6027397260274</v>
      </c>
      <c r="I20" s="89" t="n">
        <v>44894</v>
      </c>
      <c r="J20" s="91" t="n">
        <v>1</v>
      </c>
      <c r="K20" s="92" t="n">
        <f aca="false">$K$3-I20</f>
        <v>217</v>
      </c>
      <c r="L20" s="93" t="n">
        <v>76.6</v>
      </c>
      <c r="M20" s="94" t="n">
        <v>3.4</v>
      </c>
      <c r="N20" s="95" t="n">
        <v>45147</v>
      </c>
      <c r="O20" s="96" t="n">
        <v>74.12</v>
      </c>
      <c r="P20" s="96" t="n">
        <v>3.3</v>
      </c>
      <c r="Q20" s="95" t="s">
        <v>961</v>
      </c>
      <c r="R20" s="97" t="n">
        <v>75.2</v>
      </c>
      <c r="S20" s="94" t="n">
        <v>3.5</v>
      </c>
      <c r="T20" s="94" t="s">
        <v>962</v>
      </c>
      <c r="U20" s="94" t="s">
        <v>968</v>
      </c>
      <c r="V20" s="98" t="n">
        <v>16191861148</v>
      </c>
      <c r="W20" s="65" t="n">
        <v>3</v>
      </c>
      <c r="X20" s="99" t="n">
        <v>354.8</v>
      </c>
      <c r="Y20" s="100" t="n">
        <v>181</v>
      </c>
      <c r="Z20" s="99" t="n">
        <v>355.5</v>
      </c>
      <c r="AA20" s="100" t="n">
        <v>169</v>
      </c>
      <c r="AB20" s="101" t="n">
        <v>1.78</v>
      </c>
      <c r="AC20" s="100" t="n">
        <f aca="false">AB20*1000</f>
        <v>1780</v>
      </c>
      <c r="AD20" s="102" t="n">
        <f aca="false">EXP(2.859+0.011*Z20-0.002*AC20+0.275*H20-1.952)</f>
        <v>9.47117925375923</v>
      </c>
      <c r="AE20" s="102" t="n">
        <f aca="false">(AD20/(1+AD20))</f>
        <v>0.904499772588556</v>
      </c>
      <c r="AF20" s="4" t="n">
        <v>23</v>
      </c>
      <c r="AG20" s="114" t="n">
        <v>45113.6820601852</v>
      </c>
      <c r="AH20" s="114" t="n">
        <v>45114.2809375</v>
      </c>
      <c r="AI20" s="114" t="n">
        <v>45113.6820601852</v>
      </c>
      <c r="AJ20" s="114" t="n">
        <v>45114.2809375</v>
      </c>
      <c r="AK20" s="104" t="n">
        <f aca="false">(AG20-$AK$2)*24</f>
        <v>57.0361111111111</v>
      </c>
      <c r="AL20" s="104" t="n">
        <f aca="false">AK20+35</f>
        <v>92.0361111111111</v>
      </c>
      <c r="AM20" s="115" t="n">
        <f aca="false">(AJ20-AI20)*24</f>
        <v>14.3730555555556</v>
      </c>
      <c r="AN20" s="116" t="n">
        <v>14.3730555555085</v>
      </c>
      <c r="AO20" s="4" t="n">
        <v>14</v>
      </c>
      <c r="AP20" s="107" t="n">
        <v>45113</v>
      </c>
      <c r="AQ20" s="64" t="n">
        <v>45113.625</v>
      </c>
      <c r="AR20" s="108" t="n">
        <v>16348503344</v>
      </c>
      <c r="AS20" s="109" t="n">
        <f aca="false">(AQ20-AG20)*24</f>
        <v>-1.369444444525</v>
      </c>
      <c r="AT20" s="110" t="n">
        <f aca="false">AT$2-AP20</f>
        <v>64</v>
      </c>
      <c r="AU20" s="65" t="s">
        <v>969</v>
      </c>
      <c r="AV20" s="65" t="n">
        <v>1</v>
      </c>
      <c r="AW20" s="65"/>
      <c r="AX20" s="65" t="n">
        <v>1</v>
      </c>
      <c r="AY20" s="107" t="n">
        <v>45279</v>
      </c>
      <c r="AZ20" s="107" t="n">
        <f aca="false">AP20+145</f>
        <v>45258</v>
      </c>
      <c r="BA20" s="65" t="s">
        <v>970</v>
      </c>
      <c r="BB20" s="118" t="n">
        <f aca="false">AY20-AP20</f>
        <v>166</v>
      </c>
      <c r="BC20" s="117" t="s">
        <v>985</v>
      </c>
      <c r="BD20" s="65"/>
    </row>
    <row r="21" s="69" customFormat="true" ht="14.25" hidden="false" customHeight="false" outlineLevel="0" collapsed="false">
      <c r="A21" s="47" t="n">
        <v>17</v>
      </c>
      <c r="B21" s="48" t="n">
        <v>16286802290</v>
      </c>
      <c r="C21" s="63" t="n">
        <v>202290</v>
      </c>
      <c r="D21" s="88" t="n">
        <v>1</v>
      </c>
      <c r="E21" s="88" t="s">
        <v>991</v>
      </c>
      <c r="F21" s="50" t="n">
        <v>25094</v>
      </c>
      <c r="G21" s="89" t="n">
        <v>43797</v>
      </c>
      <c r="H21" s="90" t="n">
        <f aca="false">($K$3-G21)/365</f>
        <v>3.6</v>
      </c>
      <c r="I21" s="89" t="n">
        <v>44895</v>
      </c>
      <c r="J21" s="91" t="n">
        <v>2</v>
      </c>
      <c r="K21" s="92" t="n">
        <f aca="false">$K$3-I21</f>
        <v>216</v>
      </c>
      <c r="L21" s="93" t="n">
        <v>67.5</v>
      </c>
      <c r="M21" s="94" t="n">
        <v>2.8</v>
      </c>
      <c r="N21" s="95" t="n">
        <v>45147</v>
      </c>
      <c r="O21" s="96" t="n">
        <v>66.58</v>
      </c>
      <c r="P21" s="96" t="n">
        <v>2.7</v>
      </c>
      <c r="Q21" s="95" t="s">
        <v>961</v>
      </c>
      <c r="R21" s="97" t="n">
        <v>67.7</v>
      </c>
      <c r="S21" s="94" t="n">
        <v>2.7</v>
      </c>
      <c r="T21" s="94" t="s">
        <v>962</v>
      </c>
      <c r="U21" s="94" t="s">
        <v>925</v>
      </c>
      <c r="V21" s="98" t="n">
        <v>16272980218</v>
      </c>
      <c r="W21" s="65" t="n">
        <v>3</v>
      </c>
      <c r="X21" s="99" t="n">
        <v>407.8</v>
      </c>
      <c r="Y21" s="100" t="n">
        <v>200</v>
      </c>
      <c r="Z21" s="99" t="n">
        <v>349.5</v>
      </c>
      <c r="AA21" s="100" t="n">
        <v>168</v>
      </c>
      <c r="AB21" s="101" t="n">
        <v>1.52</v>
      </c>
      <c r="AC21" s="100" t="n">
        <f aca="false">AB21*1000</f>
        <v>1520</v>
      </c>
      <c r="AD21" s="102" t="n">
        <f aca="false">EXP(1.741+0.011*Z21-0.002*AC21+0.275*H21-1.952)</f>
        <v>4.87197792790419</v>
      </c>
      <c r="AE21" s="102" t="n">
        <f aca="false">(AD21/(1+AD21))</f>
        <v>0.829699632342297</v>
      </c>
      <c r="AF21" s="4" t="n">
        <v>9</v>
      </c>
      <c r="AG21" s="114" t="n">
        <v>45112.4063078704</v>
      </c>
      <c r="AH21" s="114" t="n">
        <v>45114.4480208333</v>
      </c>
      <c r="AI21" s="114" t="n">
        <v>45112.4063078704</v>
      </c>
      <c r="AJ21" s="114" t="n">
        <v>45114.4480208333</v>
      </c>
      <c r="AK21" s="104" t="n">
        <f aca="false">(AG21-$AK$2)*24</f>
        <v>26.4180555555556</v>
      </c>
      <c r="AL21" s="104" t="n">
        <f aca="false">AK21+35</f>
        <v>61.4180555555556</v>
      </c>
      <c r="AM21" s="115" t="n">
        <f aca="false">(AJ21-AI21)*24</f>
        <v>49.0011111111111</v>
      </c>
      <c r="AN21" s="116" t="n">
        <v>49.001111111138</v>
      </c>
      <c r="AO21" s="4" t="n">
        <v>19</v>
      </c>
      <c r="AP21" s="107" t="n">
        <v>45113</v>
      </c>
      <c r="AQ21" s="64" t="n">
        <v>45113.625</v>
      </c>
      <c r="AR21" s="108" t="n">
        <v>16289111785</v>
      </c>
      <c r="AS21" s="109" t="n">
        <f aca="false">(AQ21-AG21)*24</f>
        <v>29.2486111111111</v>
      </c>
      <c r="AT21" s="110" t="n">
        <f aca="false">AT$2-AP21</f>
        <v>64</v>
      </c>
      <c r="AU21" s="65" t="s">
        <v>6</v>
      </c>
      <c r="AV21" s="65" t="n">
        <v>2</v>
      </c>
      <c r="AW21" s="65" t="s">
        <v>6</v>
      </c>
      <c r="AX21" s="65" t="n">
        <v>2</v>
      </c>
      <c r="AY21" s="107" t="n">
        <v>45261</v>
      </c>
      <c r="AZ21" s="107" t="n">
        <f aca="false">AP21+145</f>
        <v>45258</v>
      </c>
      <c r="BA21" s="111" t="s">
        <v>964</v>
      </c>
      <c r="BB21" s="111" t="n">
        <f aca="false">AY21-AP21</f>
        <v>148</v>
      </c>
      <c r="BC21" s="117"/>
      <c r="BD21" s="65"/>
    </row>
    <row r="22" s="69" customFormat="true" ht="14.25" hidden="false" customHeight="false" outlineLevel="0" collapsed="false">
      <c r="A22" s="47" t="n">
        <v>18</v>
      </c>
      <c r="B22" s="48" t="n">
        <v>16286802377</v>
      </c>
      <c r="C22" s="66" t="n">
        <v>202377</v>
      </c>
      <c r="D22" s="119" t="n">
        <v>1</v>
      </c>
      <c r="E22" s="119" t="s">
        <v>992</v>
      </c>
      <c r="F22" s="50" t="n">
        <v>25768</v>
      </c>
      <c r="G22" s="89" t="n">
        <v>43798</v>
      </c>
      <c r="H22" s="90" t="n">
        <f aca="false">($K$3-G22)/365</f>
        <v>3.5972602739726</v>
      </c>
      <c r="I22" s="89" t="n">
        <v>44893</v>
      </c>
      <c r="J22" s="91" t="n">
        <v>2</v>
      </c>
      <c r="K22" s="92" t="n">
        <f aca="false">$K$3-I22</f>
        <v>218</v>
      </c>
      <c r="L22" s="93" t="n">
        <v>73.9</v>
      </c>
      <c r="M22" s="94" t="n">
        <v>3.2</v>
      </c>
      <c r="N22" s="95" t="n">
        <v>45146</v>
      </c>
      <c r="O22" s="96" t="n">
        <v>64.1</v>
      </c>
      <c r="P22" s="96" t="n">
        <v>2.9</v>
      </c>
      <c r="Q22" s="95" t="s">
        <v>961</v>
      </c>
      <c r="R22" s="97" t="n">
        <v>67.4</v>
      </c>
      <c r="S22" s="94" t="n">
        <v>2.9</v>
      </c>
      <c r="T22" s="94" t="s">
        <v>962</v>
      </c>
      <c r="U22" s="94" t="s">
        <v>968</v>
      </c>
      <c r="V22" s="98" t="n">
        <v>16229361071</v>
      </c>
      <c r="W22" s="65" t="n">
        <v>3</v>
      </c>
      <c r="X22" s="99" t="n">
        <v>367</v>
      </c>
      <c r="Y22" s="100" t="n">
        <v>198</v>
      </c>
      <c r="Z22" s="99" t="n">
        <v>321.4</v>
      </c>
      <c r="AA22" s="100" t="n">
        <v>170</v>
      </c>
      <c r="AB22" s="101" t="n">
        <v>1.65</v>
      </c>
      <c r="AC22" s="100" t="n">
        <f aca="false">AB22*1000</f>
        <v>1650</v>
      </c>
      <c r="AD22" s="102" t="n">
        <f aca="false">EXP(2.859+0.011*Z22-0.002*AC22+0.275*H22-1.952)</f>
        <v>8.42873393714254</v>
      </c>
      <c r="AE22" s="102" t="n">
        <f aca="false">(AD22/(1+AD22))</f>
        <v>0.893941221942778</v>
      </c>
      <c r="AF22" s="4"/>
      <c r="AG22" s="114"/>
      <c r="AH22" s="114"/>
      <c r="AI22" s="114"/>
      <c r="AJ22" s="114"/>
      <c r="AK22" s="104"/>
      <c r="AL22" s="104"/>
      <c r="AM22" s="115"/>
      <c r="AN22" s="116"/>
      <c r="AO22" s="4"/>
      <c r="AP22" s="107" t="n">
        <v>45113</v>
      </c>
      <c r="AQ22" s="64" t="n">
        <v>45113.625</v>
      </c>
      <c r="AR22" s="108" t="n">
        <v>16367304303</v>
      </c>
      <c r="AS22" s="109"/>
      <c r="AT22" s="110" t="n">
        <f aca="false">AT$2-AP22</f>
        <v>64</v>
      </c>
      <c r="AU22" s="65" t="s">
        <v>6</v>
      </c>
      <c r="AV22" s="65" t="n">
        <v>2</v>
      </c>
      <c r="AW22" s="65" t="s">
        <v>6</v>
      </c>
      <c r="AX22" s="65" t="n">
        <v>2</v>
      </c>
      <c r="AY22" s="107" t="n">
        <v>45262</v>
      </c>
      <c r="AZ22" s="107" t="n">
        <f aca="false">AP22+145</f>
        <v>45258</v>
      </c>
      <c r="BA22" s="111" t="s">
        <v>964</v>
      </c>
      <c r="BB22" s="111" t="n">
        <f aca="false">AY22-AP22</f>
        <v>149</v>
      </c>
      <c r="BC22" s="112" t="s">
        <v>965</v>
      </c>
      <c r="BD22" s="65"/>
    </row>
    <row r="23" s="69" customFormat="true" ht="14.25" hidden="false" customHeight="false" outlineLevel="0" collapsed="false">
      <c r="A23" s="47" t="n">
        <v>19</v>
      </c>
      <c r="B23" s="48" t="n">
        <v>16286802451</v>
      </c>
      <c r="C23" s="63" t="n">
        <v>202451</v>
      </c>
      <c r="D23" s="88" t="n">
        <v>1</v>
      </c>
      <c r="E23" s="88" t="s">
        <v>993</v>
      </c>
      <c r="F23" s="50" t="n">
        <v>25861</v>
      </c>
      <c r="G23" s="89" t="n">
        <v>43798</v>
      </c>
      <c r="H23" s="90" t="n">
        <f aca="false">($K$3-G23)/365</f>
        <v>3.5972602739726</v>
      </c>
      <c r="I23" s="89" t="n">
        <v>44896</v>
      </c>
      <c r="J23" s="91" t="n">
        <v>3</v>
      </c>
      <c r="K23" s="92" t="n">
        <f aca="false">$K$3-I23</f>
        <v>215</v>
      </c>
      <c r="L23" s="93" t="n">
        <v>77.8</v>
      </c>
      <c r="M23" s="94" t="n">
        <v>2.8</v>
      </c>
      <c r="N23" s="95" t="n">
        <v>45146</v>
      </c>
      <c r="O23" s="96" t="n">
        <v>72.53</v>
      </c>
      <c r="P23" s="96" t="n">
        <v>2.8</v>
      </c>
      <c r="Q23" s="95" t="s">
        <v>961</v>
      </c>
      <c r="R23" s="97" t="n">
        <v>77.5</v>
      </c>
      <c r="S23" s="94" t="n">
        <v>3</v>
      </c>
      <c r="T23" s="94" t="s">
        <v>972</v>
      </c>
      <c r="U23" s="94" t="s">
        <v>925</v>
      </c>
      <c r="V23" s="98" t="n">
        <v>16217880742</v>
      </c>
      <c r="W23" s="65" t="n">
        <v>3</v>
      </c>
      <c r="X23" s="99" t="n">
        <v>422.8</v>
      </c>
      <c r="Y23" s="100" t="n">
        <v>182</v>
      </c>
      <c r="Z23" s="99" t="n">
        <v>409.4</v>
      </c>
      <c r="AA23" s="100" t="n">
        <v>167</v>
      </c>
      <c r="AB23" s="101" t="n">
        <v>1.64</v>
      </c>
      <c r="AC23" s="100" t="n">
        <f aca="false">AB23*1000</f>
        <v>1640</v>
      </c>
      <c r="AD23" s="102" t="n">
        <f aca="false">EXP(1.741+0.011*Z23-0.002*AC23+0.275*H23-1.952)</f>
        <v>7.40123275864994</v>
      </c>
      <c r="AE23" s="102" t="n">
        <f aca="false">(AD23/(1+AD23))</f>
        <v>0.880969849458058</v>
      </c>
      <c r="AF23" s="4" t="n">
        <v>15</v>
      </c>
      <c r="AG23" s="114" t="n">
        <v>45112.7915162037</v>
      </c>
      <c r="AH23" s="114" t="n">
        <v>45113.2056134259</v>
      </c>
      <c r="AI23" s="114" t="n">
        <v>45112.7915162037</v>
      </c>
      <c r="AJ23" s="114" t="n">
        <v>45113.2056134259</v>
      </c>
      <c r="AK23" s="104" t="n">
        <f aca="false">(AG23-$AK$2)*24</f>
        <v>35.6630555555556</v>
      </c>
      <c r="AL23" s="104" t="n">
        <f aca="false">AK23+35</f>
        <v>70.6630555555556</v>
      </c>
      <c r="AM23" s="115" t="n">
        <f aca="false">(AJ23-AI23)*24</f>
        <v>9.93833333333333</v>
      </c>
      <c r="AN23" s="116" t="n">
        <v>9.93833333335351</v>
      </c>
      <c r="AO23" s="4" t="n">
        <v>9</v>
      </c>
      <c r="AP23" s="107" t="n">
        <v>45113</v>
      </c>
      <c r="AQ23" s="64" t="n">
        <v>45113.625</v>
      </c>
      <c r="AR23" s="108" t="n">
        <v>16156822442</v>
      </c>
      <c r="AS23" s="109" t="n">
        <f aca="false">(AQ23-AG23)*24</f>
        <v>20.0036111111111</v>
      </c>
      <c r="AT23" s="110" t="n">
        <f aca="false">AT$2-AP23</f>
        <v>64</v>
      </c>
      <c r="AU23" s="65" t="s">
        <v>6</v>
      </c>
      <c r="AV23" s="65" t="n">
        <v>2</v>
      </c>
      <c r="AW23" s="65" t="s">
        <v>6</v>
      </c>
      <c r="AX23" s="65" t="n">
        <v>2</v>
      </c>
      <c r="AY23" s="107" t="n">
        <v>45263</v>
      </c>
      <c r="AZ23" s="107" t="n">
        <f aca="false">AP23+145</f>
        <v>45258</v>
      </c>
      <c r="BA23" s="111" t="s">
        <v>964</v>
      </c>
      <c r="BB23" s="111" t="n">
        <f aca="false">AY23-AP23</f>
        <v>150</v>
      </c>
      <c r="BC23" s="117"/>
      <c r="BD23" s="65"/>
    </row>
    <row r="24" s="69" customFormat="true" ht="14.25" hidden="false" customHeight="false" outlineLevel="0" collapsed="false">
      <c r="A24" s="47" t="n">
        <v>20</v>
      </c>
      <c r="B24" s="48" t="n">
        <v>16286813074</v>
      </c>
      <c r="C24" s="63" t="n">
        <v>213074</v>
      </c>
      <c r="D24" s="88" t="n">
        <v>1</v>
      </c>
      <c r="E24" s="88" t="s">
        <v>994</v>
      </c>
      <c r="F24" s="50" t="n">
        <v>25276</v>
      </c>
      <c r="G24" s="89" t="n">
        <v>44166</v>
      </c>
      <c r="H24" s="90" t="n">
        <f aca="false">($K$3-G24)/365</f>
        <v>2.58904109589041</v>
      </c>
      <c r="I24" s="89" t="n">
        <v>44894</v>
      </c>
      <c r="J24" s="91" t="n">
        <v>2</v>
      </c>
      <c r="K24" s="92" t="n">
        <f aca="false">$K$3-I24</f>
        <v>217</v>
      </c>
      <c r="L24" s="93" t="n">
        <v>61.1</v>
      </c>
      <c r="M24" s="94" t="n">
        <v>2.8</v>
      </c>
      <c r="N24" s="95" t="n">
        <v>45146</v>
      </c>
      <c r="O24" s="96" t="n">
        <v>58.79</v>
      </c>
      <c r="P24" s="96" t="n">
        <v>2.6</v>
      </c>
      <c r="Q24" s="95" t="s">
        <v>961</v>
      </c>
      <c r="R24" s="97" t="n">
        <v>64.2</v>
      </c>
      <c r="S24" s="94" t="n">
        <v>2.9</v>
      </c>
      <c r="T24" s="94" t="s">
        <v>962</v>
      </c>
      <c r="U24" s="94" t="s">
        <v>968</v>
      </c>
      <c r="V24" s="98" t="n">
        <v>16227870358</v>
      </c>
      <c r="W24" s="65" t="n">
        <v>2</v>
      </c>
      <c r="X24" s="99" t="n">
        <v>212.8</v>
      </c>
      <c r="Y24" s="100" t="n">
        <v>131</v>
      </c>
      <c r="Z24" s="99" t="n">
        <v>355.6</v>
      </c>
      <c r="AA24" s="100" t="n">
        <v>169</v>
      </c>
      <c r="AB24" s="101" t="n">
        <v>1.68</v>
      </c>
      <c r="AC24" s="100" t="n">
        <f aca="false">AB24*1000</f>
        <v>1680</v>
      </c>
      <c r="AD24" s="102" t="n">
        <f aca="false">EXP(1.741+0.011*Z24-0.002*AC24+0.275*H24-1.952)</f>
        <v>2.86505143065867</v>
      </c>
      <c r="AE24" s="102" t="n">
        <f aca="false">(AD24/(1+AD24))</f>
        <v>0.741271230683318</v>
      </c>
      <c r="AF24" s="4" t="n">
        <v>8</v>
      </c>
      <c r="AG24" s="114" t="n">
        <v>45112.3030092593</v>
      </c>
      <c r="AH24" s="114" t="n">
        <v>45113.8944907407</v>
      </c>
      <c r="AI24" s="114" t="n">
        <v>45112.3030092593</v>
      </c>
      <c r="AJ24" s="114" t="n">
        <v>45113.8944907407</v>
      </c>
      <c r="AK24" s="104" t="n">
        <f aca="false">(AG24-$AK$2)*24</f>
        <v>23.9388888888889</v>
      </c>
      <c r="AL24" s="104" t="n">
        <f aca="false">AK24+35</f>
        <v>58.9388888888889</v>
      </c>
      <c r="AM24" s="115" t="n">
        <f aca="false">(AJ24-AI24)*24</f>
        <v>38.1955555555556</v>
      </c>
      <c r="AN24" s="116" t="n">
        <v>38.195555555576</v>
      </c>
      <c r="AO24" s="4" t="n">
        <v>42</v>
      </c>
      <c r="AP24" s="107" t="n">
        <v>45113</v>
      </c>
      <c r="AQ24" s="64" t="n">
        <v>45113.625</v>
      </c>
      <c r="AR24" s="108" t="n">
        <v>16348503344</v>
      </c>
      <c r="AS24" s="109" t="n">
        <f aca="false">(AQ24-AG24)*24</f>
        <v>31.7277777777778</v>
      </c>
      <c r="AT24" s="110" t="n">
        <f aca="false">AT$2-AP24</f>
        <v>64</v>
      </c>
      <c r="AU24" s="65" t="s">
        <v>6</v>
      </c>
      <c r="AV24" s="65" t="n">
        <v>1</v>
      </c>
      <c r="AW24" s="65" t="s">
        <v>6</v>
      </c>
      <c r="AX24" s="65" t="n">
        <v>1</v>
      </c>
      <c r="AY24" s="107" t="n">
        <v>45260</v>
      </c>
      <c r="AZ24" s="107" t="n">
        <f aca="false">AP24+145</f>
        <v>45258</v>
      </c>
      <c r="BA24" s="111" t="s">
        <v>964</v>
      </c>
      <c r="BB24" s="111" t="n">
        <f aca="false">AY24-AP24</f>
        <v>147</v>
      </c>
      <c r="BC24" s="117"/>
      <c r="BD24" s="65"/>
    </row>
    <row r="25" s="69" customFormat="true" ht="14.25" hidden="false" customHeight="false" outlineLevel="0" collapsed="false">
      <c r="A25" s="47" t="n">
        <v>21</v>
      </c>
      <c r="B25" s="48" t="n">
        <v>16286813097</v>
      </c>
      <c r="C25" s="63" t="n">
        <v>213097</v>
      </c>
      <c r="D25" s="88" t="n">
        <v>1</v>
      </c>
      <c r="E25" s="88" t="s">
        <v>995</v>
      </c>
      <c r="F25" s="50" t="n">
        <v>25388</v>
      </c>
      <c r="G25" s="89" t="n">
        <v>44166</v>
      </c>
      <c r="H25" s="90" t="n">
        <f aca="false">($K$3-G25)/365</f>
        <v>2.58904109589041</v>
      </c>
      <c r="I25" s="89" t="n">
        <v>44895</v>
      </c>
      <c r="J25" s="91" t="n">
        <v>2</v>
      </c>
      <c r="K25" s="92" t="n">
        <f aca="false">$K$3-I25</f>
        <v>216</v>
      </c>
      <c r="L25" s="93" t="n">
        <v>80.2</v>
      </c>
      <c r="M25" s="94" t="n">
        <v>3.6</v>
      </c>
      <c r="N25" s="95" t="n">
        <v>45145</v>
      </c>
      <c r="O25" s="96" t="n">
        <v>76.76</v>
      </c>
      <c r="P25" s="96" t="n">
        <v>3.1</v>
      </c>
      <c r="Q25" s="95" t="s">
        <v>961</v>
      </c>
      <c r="R25" s="97" t="n">
        <v>81.2</v>
      </c>
      <c r="S25" s="94" t="n">
        <v>3.5</v>
      </c>
      <c r="T25" s="94" t="s">
        <v>962</v>
      </c>
      <c r="U25" s="94" t="s">
        <v>963</v>
      </c>
      <c r="V25" s="98" t="n">
        <v>16221370125</v>
      </c>
      <c r="W25" s="65" t="n">
        <v>2</v>
      </c>
      <c r="X25" s="99" t="n">
        <v>237.7</v>
      </c>
      <c r="Y25" s="100" t="n">
        <v>153</v>
      </c>
      <c r="Z25" s="99" t="n">
        <v>303.9</v>
      </c>
      <c r="AA25" s="100" t="n">
        <v>168</v>
      </c>
      <c r="AB25" s="101" t="n">
        <v>1.06</v>
      </c>
      <c r="AC25" s="100" t="n">
        <f aca="false">AB25*1000</f>
        <v>1060</v>
      </c>
      <c r="AD25" s="102" t="n">
        <f aca="false">EXP(2.859+0.011*Z25-0.002*AC25+0.275*H25-1.952)</f>
        <v>17.1480814983638</v>
      </c>
      <c r="AE25" s="102" t="n">
        <f aca="false">(AD25/(1+AD25))</f>
        <v>0.944897756818529</v>
      </c>
      <c r="AF25" s="4" t="n">
        <v>16</v>
      </c>
      <c r="AG25" s="114" t="n">
        <v>45113.2017013889</v>
      </c>
      <c r="AH25" s="114" t="n">
        <v>45113.2092013889</v>
      </c>
      <c r="AI25" s="114" t="n">
        <v>45113.2017013889</v>
      </c>
      <c r="AJ25" s="114" t="n">
        <v>45113.2092013889</v>
      </c>
      <c r="AK25" s="104" t="n">
        <f aca="false">(AG25-$AK$2)*24</f>
        <v>45.5075</v>
      </c>
      <c r="AL25" s="104" t="n">
        <f aca="false">AK25+35</f>
        <v>80.5075</v>
      </c>
      <c r="AM25" s="115" t="n">
        <f aca="false">(AJ25-AI25)*24</f>
        <v>0.18</v>
      </c>
      <c r="AN25" s="116" t="n">
        <v>1</v>
      </c>
      <c r="AO25" s="4" t="n">
        <v>13</v>
      </c>
      <c r="AP25" s="107" t="n">
        <v>45113</v>
      </c>
      <c r="AQ25" s="64" t="n">
        <v>45113.625</v>
      </c>
      <c r="AR25" s="108" t="n">
        <v>55131900500</v>
      </c>
      <c r="AS25" s="109" t="n">
        <f aca="false">(AQ25-AG25)*24</f>
        <v>10.1591666666667</v>
      </c>
      <c r="AT25" s="110" t="n">
        <f aca="false">AT$2-AP25</f>
        <v>64</v>
      </c>
      <c r="AU25" s="65" t="s">
        <v>6</v>
      </c>
      <c r="AV25" s="65" t="n">
        <v>3</v>
      </c>
      <c r="AW25" s="65" t="s">
        <v>6</v>
      </c>
      <c r="AX25" s="65" t="n">
        <v>3</v>
      </c>
      <c r="AY25" s="107" t="n">
        <v>45260</v>
      </c>
      <c r="AZ25" s="107" t="n">
        <f aca="false">AP25+145</f>
        <v>45258</v>
      </c>
      <c r="BA25" s="111" t="s">
        <v>964</v>
      </c>
      <c r="BB25" s="111" t="n">
        <f aca="false">AY25-AP25</f>
        <v>147</v>
      </c>
      <c r="BC25" s="117"/>
      <c r="BD25" s="65"/>
    </row>
    <row r="26" s="69" customFormat="true" ht="14.25" hidden="false" customHeight="false" outlineLevel="0" collapsed="false">
      <c r="A26" s="47" t="n">
        <v>22</v>
      </c>
      <c r="B26" s="48" t="n">
        <v>16286813117</v>
      </c>
      <c r="C26" s="63" t="n">
        <v>213117</v>
      </c>
      <c r="D26" s="88" t="n">
        <v>1</v>
      </c>
      <c r="E26" s="88" t="s">
        <v>996</v>
      </c>
      <c r="F26" s="50" t="n">
        <v>25656</v>
      </c>
      <c r="G26" s="89" t="n">
        <v>44166</v>
      </c>
      <c r="H26" s="90" t="n">
        <f aca="false">($K$3-G26)/365</f>
        <v>2.58904109589041</v>
      </c>
      <c r="I26" s="89" t="n">
        <v>44898</v>
      </c>
      <c r="J26" s="91" t="n">
        <v>1</v>
      </c>
      <c r="K26" s="92" t="n">
        <f aca="false">$K$3-I26</f>
        <v>213</v>
      </c>
      <c r="L26" s="93" t="n">
        <v>72.7</v>
      </c>
      <c r="M26" s="94" t="n">
        <v>2.7</v>
      </c>
      <c r="N26" s="95" t="n">
        <v>45147</v>
      </c>
      <c r="O26" s="96" t="n">
        <v>71.82</v>
      </c>
      <c r="P26" s="96" t="n">
        <v>2.6</v>
      </c>
      <c r="Q26" s="95" t="s">
        <v>961</v>
      </c>
      <c r="R26" s="97" t="n">
        <v>73.9</v>
      </c>
      <c r="S26" s="94" t="n">
        <v>2.7</v>
      </c>
      <c r="T26" s="94" t="s">
        <v>972</v>
      </c>
      <c r="U26" s="94" t="s">
        <v>925</v>
      </c>
      <c r="V26" s="98" t="n">
        <v>55150090067</v>
      </c>
      <c r="W26" s="65" t="n">
        <v>2</v>
      </c>
      <c r="X26" s="99" t="n">
        <v>222.4</v>
      </c>
      <c r="Y26" s="100" t="n">
        <v>117</v>
      </c>
      <c r="Z26" s="99" t="n">
        <v>360.5</v>
      </c>
      <c r="AA26" s="100" t="n">
        <v>165</v>
      </c>
      <c r="AB26" s="101" t="n">
        <v>1.85</v>
      </c>
      <c r="AC26" s="100" t="n">
        <f aca="false">AB26*1000</f>
        <v>1850</v>
      </c>
      <c r="AD26" s="102" t="n">
        <f aca="false">EXP(1.741+0.011*Z26-0.002*AC26+0.275*H26-1.952)</f>
        <v>2.15219080277741</v>
      </c>
      <c r="AE26" s="102" t="n">
        <f aca="false">(AD26/(1+AD26))</f>
        <v>0.682760320498717</v>
      </c>
      <c r="AF26" s="4" t="n">
        <v>30</v>
      </c>
      <c r="AG26" s="114" t="n">
        <v>45114.0115046296</v>
      </c>
      <c r="AH26" s="114" t="n">
        <v>45114.012337963</v>
      </c>
      <c r="AI26" s="114" t="n">
        <v>45114.0115046296</v>
      </c>
      <c r="AJ26" s="114" t="n">
        <v>45114.012337963</v>
      </c>
      <c r="AK26" s="104" t="n">
        <f aca="false">(AG26-$AK$2)*24</f>
        <v>64.9427777777778</v>
      </c>
      <c r="AL26" s="104" t="n">
        <f aca="false">AK26+35</f>
        <v>99.9427777777778</v>
      </c>
      <c r="AM26" s="115" t="n">
        <f aca="false">(AJ26-AI26)*24</f>
        <v>0.02</v>
      </c>
      <c r="AN26" s="116" t="n">
        <v>1</v>
      </c>
      <c r="AO26" s="4" t="n">
        <v>3</v>
      </c>
      <c r="AP26" s="107" t="n">
        <v>45113</v>
      </c>
      <c r="AQ26" s="64" t="n">
        <v>45113.625</v>
      </c>
      <c r="AR26" s="108" t="n">
        <v>16164221019</v>
      </c>
      <c r="AS26" s="109" t="n">
        <f aca="false">(AQ26-AG26)*24</f>
        <v>-9.27611111111111</v>
      </c>
      <c r="AT26" s="110" t="n">
        <f aca="false">AT$2-AP26</f>
        <v>64</v>
      </c>
      <c r="AU26" s="65" t="s">
        <v>6</v>
      </c>
      <c r="AV26" s="65" t="n">
        <v>1</v>
      </c>
      <c r="AW26" s="65" t="s">
        <v>6</v>
      </c>
      <c r="AX26" s="65" t="n">
        <v>1</v>
      </c>
      <c r="AY26" s="107" t="n">
        <v>45258</v>
      </c>
      <c r="AZ26" s="107" t="n">
        <f aca="false">AP26+145</f>
        <v>45258</v>
      </c>
      <c r="BA26" s="111" t="s">
        <v>964</v>
      </c>
      <c r="BB26" s="111" t="n">
        <f aca="false">AY26-AP26</f>
        <v>145</v>
      </c>
      <c r="BC26" s="117" t="s">
        <v>975</v>
      </c>
      <c r="BD26" s="65"/>
    </row>
    <row r="27" s="69" customFormat="true" ht="14.25" hidden="false" customHeight="false" outlineLevel="0" collapsed="false">
      <c r="A27" s="47" t="n">
        <v>23</v>
      </c>
      <c r="B27" s="48" t="n">
        <v>16286813129</v>
      </c>
      <c r="C27" s="63" t="n">
        <v>213129</v>
      </c>
      <c r="D27" s="88" t="n">
        <v>1</v>
      </c>
      <c r="E27" s="88" t="s">
        <v>997</v>
      </c>
      <c r="F27" s="50" t="n">
        <v>25591</v>
      </c>
      <c r="G27" s="89" t="n">
        <v>44166</v>
      </c>
      <c r="H27" s="90" t="n">
        <f aca="false">($K$3-G27)/365</f>
        <v>2.58904109589041</v>
      </c>
      <c r="I27" s="89" t="n">
        <v>44893</v>
      </c>
      <c r="J27" s="91" t="n">
        <v>1</v>
      </c>
      <c r="K27" s="92" t="n">
        <f aca="false">$K$3-I27</f>
        <v>218</v>
      </c>
      <c r="L27" s="93" t="n">
        <v>70.9</v>
      </c>
      <c r="M27" s="94" t="n">
        <v>3.3</v>
      </c>
      <c r="N27" s="95" t="n">
        <v>45145</v>
      </c>
      <c r="O27" s="96" t="n">
        <v>64.84</v>
      </c>
      <c r="P27" s="96" t="n">
        <v>2.8</v>
      </c>
      <c r="Q27" s="95" t="s">
        <v>961</v>
      </c>
      <c r="R27" s="97" t="n">
        <v>68.8</v>
      </c>
      <c r="S27" s="94" t="n">
        <v>2.8</v>
      </c>
      <c r="T27" s="94" t="s">
        <v>962</v>
      </c>
      <c r="U27" s="94" t="s">
        <v>925</v>
      </c>
      <c r="V27" s="98" t="n">
        <v>55113690155</v>
      </c>
      <c r="W27" s="65" t="n">
        <v>2</v>
      </c>
      <c r="X27" s="99" t="n">
        <v>204.2</v>
      </c>
      <c r="Y27" s="100" t="n">
        <v>153</v>
      </c>
      <c r="Z27" s="99" t="n">
        <v>286.2</v>
      </c>
      <c r="AA27" s="100" t="n">
        <v>170</v>
      </c>
      <c r="AB27" s="101" t="n">
        <v>1.06</v>
      </c>
      <c r="AC27" s="100" t="n">
        <f aca="false">AB27*1000</f>
        <v>1060</v>
      </c>
      <c r="AD27" s="102" t="n">
        <f aca="false">EXP(2.859+0.011*Z27-0.002*AC27+0.275*H27-1.952)</f>
        <v>14.1142694217708</v>
      </c>
      <c r="AE27" s="102" t="n">
        <f aca="false">(AD27/(1+AD27))</f>
        <v>0.933837357791202</v>
      </c>
      <c r="AF27" s="4" t="n">
        <v>20</v>
      </c>
      <c r="AG27" s="114" t="n">
        <v>45113.5327199074</v>
      </c>
      <c r="AH27" s="114" t="n">
        <v>45113.8612268519</v>
      </c>
      <c r="AI27" s="114" t="n">
        <v>45113.5327199074</v>
      </c>
      <c r="AJ27" s="114" t="n">
        <v>45113.8612268519</v>
      </c>
      <c r="AK27" s="104" t="n">
        <f aca="false">(AG27-$AK$2)*24</f>
        <v>53.4519444444444</v>
      </c>
      <c r="AL27" s="104" t="n">
        <f aca="false">AK27+35</f>
        <v>88.4519444444445</v>
      </c>
      <c r="AM27" s="115" t="n">
        <f aca="false">(AJ27-AI27)*24</f>
        <v>7.88416666666667</v>
      </c>
      <c r="AN27" s="116" t="n">
        <v>7.88416666671401</v>
      </c>
      <c r="AO27" s="4" t="n">
        <v>19</v>
      </c>
      <c r="AP27" s="107" t="n">
        <v>45113</v>
      </c>
      <c r="AQ27" s="64" t="n">
        <v>45113.625</v>
      </c>
      <c r="AR27" s="108" t="n">
        <v>16039811057</v>
      </c>
      <c r="AS27" s="109" t="n">
        <f aca="false">(AQ27-AG27)*24</f>
        <v>2.21472222222222</v>
      </c>
      <c r="AT27" s="110" t="n">
        <f aca="false">AT$2-AP27</f>
        <v>64</v>
      </c>
      <c r="AU27" s="65" t="s">
        <v>6</v>
      </c>
      <c r="AV27" s="65" t="n">
        <v>2</v>
      </c>
      <c r="AW27" s="65" t="s">
        <v>6</v>
      </c>
      <c r="AX27" s="65" t="n">
        <v>2</v>
      </c>
      <c r="AY27" s="107" t="n">
        <v>45257</v>
      </c>
      <c r="AZ27" s="107" t="n">
        <f aca="false">AP27+145</f>
        <v>45258</v>
      </c>
      <c r="BA27" s="111" t="s">
        <v>964</v>
      </c>
      <c r="BB27" s="111" t="n">
        <f aca="false">AY27-AP27</f>
        <v>144</v>
      </c>
      <c r="BC27" s="117"/>
      <c r="BD27" s="65"/>
    </row>
    <row r="28" s="69" customFormat="true" ht="14.25" hidden="false" customHeight="false" outlineLevel="0" collapsed="false">
      <c r="A28" s="47" t="n">
        <v>24</v>
      </c>
      <c r="B28" s="48" t="n">
        <v>16286813192</v>
      </c>
      <c r="C28" s="63" t="n">
        <v>213192</v>
      </c>
      <c r="D28" s="88" t="n">
        <v>1</v>
      </c>
      <c r="E28" s="88" t="s">
        <v>998</v>
      </c>
      <c r="F28" s="50" t="n">
        <v>25927</v>
      </c>
      <c r="G28" s="89" t="n">
        <v>44167</v>
      </c>
      <c r="H28" s="90" t="n">
        <f aca="false">($K$3-G28)/365</f>
        <v>2.58630136986301</v>
      </c>
      <c r="I28" s="89" t="n">
        <v>44899</v>
      </c>
      <c r="J28" s="91" t="n">
        <v>1</v>
      </c>
      <c r="K28" s="92" t="n">
        <f aca="false">$K$3-I28</f>
        <v>212</v>
      </c>
      <c r="L28" s="93" t="n">
        <v>68.2</v>
      </c>
      <c r="M28" s="94" t="n">
        <v>2.7</v>
      </c>
      <c r="N28" s="95" t="n">
        <v>45146</v>
      </c>
      <c r="O28" s="96" t="n">
        <v>59.57</v>
      </c>
      <c r="P28" s="96" t="n">
        <v>2.6</v>
      </c>
      <c r="Q28" s="95" t="s">
        <v>961</v>
      </c>
      <c r="R28" s="97" t="n">
        <v>64.8</v>
      </c>
      <c r="S28" s="94" t="n">
        <v>2.8</v>
      </c>
      <c r="T28" s="94" t="s">
        <v>972</v>
      </c>
      <c r="U28" s="94" t="s">
        <v>925</v>
      </c>
      <c r="V28" s="98" t="n">
        <v>28034790323</v>
      </c>
      <c r="W28" s="65" t="n">
        <v>2</v>
      </c>
      <c r="X28" s="99" t="n">
        <v>268.2</v>
      </c>
      <c r="Y28" s="100" t="n">
        <v>148</v>
      </c>
      <c r="Z28" s="99" t="n">
        <v>307.9</v>
      </c>
      <c r="AA28" s="100" t="n">
        <v>164</v>
      </c>
      <c r="AB28" s="101" t="n">
        <v>1.54</v>
      </c>
      <c r="AC28" s="100" t="n">
        <f aca="false">AB28*1000</f>
        <v>1540</v>
      </c>
      <c r="AD28" s="102" t="n">
        <f aca="false">EXP(1.741+0.011*Z28-0.002*AC28+0.275*H28-1.952)</f>
        <v>2.24147218786239</v>
      </c>
      <c r="AE28" s="102" t="n">
        <f aca="false">(AD28/(1+AD28))</f>
        <v>0.6914982014208</v>
      </c>
      <c r="AF28" s="4"/>
      <c r="AG28" s="114"/>
      <c r="AH28" s="114"/>
      <c r="AI28" s="114"/>
      <c r="AJ28" s="114"/>
      <c r="AK28" s="104"/>
      <c r="AL28" s="104"/>
      <c r="AM28" s="115"/>
      <c r="AN28" s="116"/>
      <c r="AO28" s="4"/>
      <c r="AP28" s="107" t="n">
        <v>45113</v>
      </c>
      <c r="AQ28" s="64" t="n">
        <v>45113.625</v>
      </c>
      <c r="AR28" s="108" t="n">
        <v>55113411043</v>
      </c>
      <c r="AS28" s="109"/>
      <c r="AT28" s="110" t="n">
        <f aca="false">AT$2-AP28</f>
        <v>64</v>
      </c>
      <c r="AU28" s="65" t="s">
        <v>969</v>
      </c>
      <c r="AV28" s="65" t="n">
        <v>1</v>
      </c>
      <c r="AW28" s="65"/>
      <c r="AX28" s="65" t="n">
        <v>1</v>
      </c>
      <c r="AY28" s="107" t="n">
        <v>45281</v>
      </c>
      <c r="AZ28" s="107" t="n">
        <f aca="false">AP28+145</f>
        <v>45258</v>
      </c>
      <c r="BA28" s="65" t="s">
        <v>970</v>
      </c>
      <c r="BB28" s="118" t="n">
        <f aca="false">AY28-AP28</f>
        <v>168</v>
      </c>
      <c r="BC28" s="112" t="s">
        <v>965</v>
      </c>
      <c r="BD28" s="65"/>
    </row>
    <row r="29" s="69" customFormat="true" ht="14.25" hidden="false" customHeight="false" outlineLevel="0" collapsed="false">
      <c r="A29" s="47" t="n">
        <v>25</v>
      </c>
      <c r="B29" s="48" t="n">
        <v>16286813254</v>
      </c>
      <c r="C29" s="63" t="n">
        <v>213254</v>
      </c>
      <c r="D29" s="88" t="n">
        <v>1</v>
      </c>
      <c r="E29" s="88" t="s">
        <v>999</v>
      </c>
      <c r="F29" s="50" t="n">
        <v>25417</v>
      </c>
      <c r="G29" s="89" t="n">
        <v>44168</v>
      </c>
      <c r="H29" s="90" t="n">
        <f aca="false">($K$3-G29)/365</f>
        <v>2.58356164383562</v>
      </c>
      <c r="I29" s="89" t="n">
        <v>44895</v>
      </c>
      <c r="J29" s="91" t="n">
        <v>2</v>
      </c>
      <c r="K29" s="92" t="n">
        <f aca="false">$K$3-I29</f>
        <v>216</v>
      </c>
      <c r="L29" s="93" t="n">
        <v>63.6</v>
      </c>
      <c r="M29" s="94" t="n">
        <v>2.8</v>
      </c>
      <c r="N29" s="95" t="n">
        <v>45146</v>
      </c>
      <c r="O29" s="96" t="n">
        <v>59.99</v>
      </c>
      <c r="P29" s="96" t="n">
        <v>2.9</v>
      </c>
      <c r="Q29" s="95" t="s">
        <v>961</v>
      </c>
      <c r="R29" s="97" t="n">
        <v>63</v>
      </c>
      <c r="S29" s="94" t="n">
        <v>3</v>
      </c>
      <c r="T29" s="94" t="s">
        <v>962</v>
      </c>
      <c r="U29" s="94" t="s">
        <v>963</v>
      </c>
      <c r="V29" s="98" t="n">
        <v>16257671127</v>
      </c>
      <c r="W29" s="65" t="n">
        <v>2</v>
      </c>
      <c r="X29" s="99" t="n">
        <v>231.7</v>
      </c>
      <c r="Y29" s="100" t="n">
        <v>152</v>
      </c>
      <c r="Z29" s="99" t="n">
        <v>292.9</v>
      </c>
      <c r="AA29" s="100" t="n">
        <v>168</v>
      </c>
      <c r="AB29" s="101" t="n">
        <v>1.42</v>
      </c>
      <c r="AC29" s="100" t="n">
        <f aca="false">AB29*1000</f>
        <v>1420</v>
      </c>
      <c r="AD29" s="102" t="n">
        <f aca="false">EXP(1.741+0.011*Z29-0.002*AC29+0.275*H29-1.952)</f>
        <v>2.41422772186227</v>
      </c>
      <c r="AE29" s="102" t="n">
        <f aca="false">(AD29/(1+AD29))</f>
        <v>0.707107995873645</v>
      </c>
      <c r="AF29" s="4" t="n">
        <v>24</v>
      </c>
      <c r="AG29" s="114" t="n">
        <v>45113.6962615741</v>
      </c>
      <c r="AH29" s="114" t="n">
        <v>45114.7636111111</v>
      </c>
      <c r="AI29" s="114" t="n">
        <v>45113.6962615741</v>
      </c>
      <c r="AJ29" s="114" t="n">
        <v>45114.7636111111</v>
      </c>
      <c r="AK29" s="104" t="n">
        <f aca="false">(AG29-$AK$2)*24</f>
        <v>57.3769444444445</v>
      </c>
      <c r="AL29" s="104" t="n">
        <f aca="false">AK29+35</f>
        <v>92.3769444444445</v>
      </c>
      <c r="AM29" s="115" t="n">
        <f aca="false">(AJ29-AI29)*24</f>
        <v>25.6163888888889</v>
      </c>
      <c r="AN29" s="116" t="n">
        <v>25.616388888855</v>
      </c>
      <c r="AO29" s="4" t="n">
        <v>10</v>
      </c>
      <c r="AP29" s="107" t="n">
        <v>45113</v>
      </c>
      <c r="AQ29" s="64" t="n">
        <v>45113.625</v>
      </c>
      <c r="AR29" s="108" t="n">
        <v>16103604078</v>
      </c>
      <c r="AS29" s="109" t="n">
        <f aca="false">(AQ29-AG29)*24</f>
        <v>-1.71027777795</v>
      </c>
      <c r="AT29" s="110" t="n">
        <f aca="false">AT$2-AP29</f>
        <v>64</v>
      </c>
      <c r="AU29" s="65" t="s">
        <v>6</v>
      </c>
      <c r="AV29" s="65" t="n">
        <v>2</v>
      </c>
      <c r="AW29" s="65" t="s">
        <v>6</v>
      </c>
      <c r="AX29" s="65" t="n">
        <v>2</v>
      </c>
      <c r="AY29" s="107" t="n">
        <v>45260</v>
      </c>
      <c r="AZ29" s="107" t="n">
        <f aca="false">AP29+145</f>
        <v>45258</v>
      </c>
      <c r="BA29" s="111" t="s">
        <v>964</v>
      </c>
      <c r="BB29" s="111" t="n">
        <f aca="false">AY29-AP29</f>
        <v>147</v>
      </c>
      <c r="BC29" s="117" t="s">
        <v>975</v>
      </c>
      <c r="BD29" s="65"/>
    </row>
    <row r="30" s="69" customFormat="true" ht="14.25" hidden="false" customHeight="false" outlineLevel="0" collapsed="false">
      <c r="A30" s="47" t="n">
        <v>26</v>
      </c>
      <c r="B30" s="48" t="n">
        <v>16286813261</v>
      </c>
      <c r="C30" s="63" t="n">
        <v>213261</v>
      </c>
      <c r="D30" s="88" t="n">
        <v>1</v>
      </c>
      <c r="E30" s="88" t="s">
        <v>1000</v>
      </c>
      <c r="F30" s="50" t="n">
        <v>25845</v>
      </c>
      <c r="G30" s="89" t="n">
        <v>44168</v>
      </c>
      <c r="H30" s="90" t="n">
        <f aca="false">($K$3-G30)/365</f>
        <v>2.58356164383562</v>
      </c>
      <c r="I30" s="89" t="n">
        <v>44896</v>
      </c>
      <c r="J30" s="91" t="n">
        <v>1</v>
      </c>
      <c r="K30" s="92" t="n">
        <f aca="false">$K$3-I30</f>
        <v>215</v>
      </c>
      <c r="L30" s="93" t="n">
        <v>70.8</v>
      </c>
      <c r="M30" s="94" t="n">
        <v>3.4</v>
      </c>
      <c r="N30" s="95" t="n">
        <v>45145</v>
      </c>
      <c r="O30" s="96" t="n">
        <v>69.03</v>
      </c>
      <c r="P30" s="96" t="n">
        <v>3</v>
      </c>
      <c r="Q30" s="95" t="s">
        <v>961</v>
      </c>
      <c r="R30" s="97" t="n">
        <v>71.7</v>
      </c>
      <c r="S30" s="94" t="n">
        <v>3.1</v>
      </c>
      <c r="T30" s="94" t="s">
        <v>962</v>
      </c>
      <c r="U30" s="94" t="s">
        <v>968</v>
      </c>
      <c r="V30" s="98" t="n">
        <v>16306470205</v>
      </c>
      <c r="W30" s="65" t="n">
        <v>2</v>
      </c>
      <c r="X30" s="99" t="n">
        <v>228.1</v>
      </c>
      <c r="Y30" s="100" t="n">
        <v>153</v>
      </c>
      <c r="Z30" s="99" t="n">
        <v>268.8</v>
      </c>
      <c r="AA30" s="100" t="n">
        <v>167</v>
      </c>
      <c r="AB30" s="101" t="n">
        <v>1.21</v>
      </c>
      <c r="AC30" s="100" t="n">
        <f aca="false">AB30*1000</f>
        <v>1210</v>
      </c>
      <c r="AD30" s="102" t="n">
        <f aca="false">EXP(2.859+0.011*Z30-0.002*AC30+0.275*H30-1.952)</f>
        <v>8.62167560964529</v>
      </c>
      <c r="AE30" s="102" t="n">
        <f aca="false">(AD30/(1+AD30))</f>
        <v>0.896067998904729</v>
      </c>
      <c r="AF30" s="4" t="n">
        <v>13</v>
      </c>
      <c r="AG30" s="114" t="n">
        <v>45112.7710300926</v>
      </c>
      <c r="AH30" s="114" t="n">
        <v>45113.0231597222</v>
      </c>
      <c r="AI30" s="114" t="n">
        <v>45112.7710300926</v>
      </c>
      <c r="AJ30" s="114" t="n">
        <v>45113.0231597222</v>
      </c>
      <c r="AK30" s="104" t="n">
        <f aca="false">(AG30-$AK$2)*24</f>
        <v>35.1713888888889</v>
      </c>
      <c r="AL30" s="104" t="n">
        <f aca="false">AK30+35</f>
        <v>70.1713888888889</v>
      </c>
      <c r="AM30" s="115" t="n">
        <f aca="false">(AJ30-AI30)*24</f>
        <v>6.05111111111111</v>
      </c>
      <c r="AN30" s="116" t="n">
        <v>6.05111111118458</v>
      </c>
      <c r="AO30" s="4" t="n">
        <v>6</v>
      </c>
      <c r="AP30" s="107" t="n">
        <v>45113</v>
      </c>
      <c r="AQ30" s="64" t="n">
        <v>45113.625</v>
      </c>
      <c r="AR30" s="108" t="n">
        <v>16348503344</v>
      </c>
      <c r="AS30" s="109" t="n">
        <f aca="false">(AQ30-AG30)*24</f>
        <v>20.4952777777778</v>
      </c>
      <c r="AT30" s="110" t="n">
        <f aca="false">AT$2-AP30</f>
        <v>64</v>
      </c>
      <c r="AU30" s="65" t="s">
        <v>6</v>
      </c>
      <c r="AV30" s="65" t="n">
        <v>2</v>
      </c>
      <c r="AW30" s="65" t="s">
        <v>6</v>
      </c>
      <c r="AX30" s="65" t="n">
        <v>2</v>
      </c>
      <c r="AY30" s="107" t="n">
        <v>45259</v>
      </c>
      <c r="AZ30" s="107" t="n">
        <f aca="false">AP30+145</f>
        <v>45258</v>
      </c>
      <c r="BA30" s="111" t="s">
        <v>964</v>
      </c>
      <c r="BB30" s="111" t="n">
        <f aca="false">AY30-AP30</f>
        <v>146</v>
      </c>
      <c r="BC30" s="117"/>
      <c r="BD30" s="65"/>
    </row>
    <row r="31" s="69" customFormat="true" ht="14.25" hidden="false" customHeight="false" outlineLevel="0" collapsed="false">
      <c r="A31" s="47" t="n">
        <v>27</v>
      </c>
      <c r="B31" s="48" t="n">
        <v>16286813282</v>
      </c>
      <c r="C31" s="63" t="n">
        <v>213282</v>
      </c>
      <c r="D31" s="88" t="n">
        <v>1</v>
      </c>
      <c r="E31" s="88" t="s">
        <v>1001</v>
      </c>
      <c r="F31" s="50" t="n">
        <v>25499</v>
      </c>
      <c r="G31" s="89" t="n">
        <v>44168</v>
      </c>
      <c r="H31" s="90" t="n">
        <f aca="false">($K$3-G31)/365</f>
        <v>2.58356164383562</v>
      </c>
      <c r="I31" s="89" t="n">
        <v>44896</v>
      </c>
      <c r="J31" s="91" t="n">
        <v>1</v>
      </c>
      <c r="K31" s="92" t="n">
        <f aca="false">$K$3-I31</f>
        <v>215</v>
      </c>
      <c r="L31" s="93" t="n">
        <v>65.4</v>
      </c>
      <c r="M31" s="94" t="n">
        <v>2.9</v>
      </c>
      <c r="N31" s="95" t="n">
        <v>45146</v>
      </c>
      <c r="O31" s="96" t="n">
        <v>58.24</v>
      </c>
      <c r="P31" s="96" t="n">
        <v>2.7</v>
      </c>
      <c r="Q31" s="95" t="s">
        <v>961</v>
      </c>
      <c r="R31" s="97" t="n">
        <v>62.1</v>
      </c>
      <c r="S31" s="94" t="n">
        <v>2.8</v>
      </c>
      <c r="T31" s="94" t="s">
        <v>962</v>
      </c>
      <c r="U31" s="94" t="s">
        <v>968</v>
      </c>
      <c r="V31" s="98" t="n">
        <v>16024771188</v>
      </c>
      <c r="W31" s="65" t="n">
        <v>2</v>
      </c>
      <c r="X31" s="99" t="n">
        <v>247.6</v>
      </c>
      <c r="Y31" s="100" t="n">
        <v>133</v>
      </c>
      <c r="Z31" s="99" t="n">
        <v>390.6</v>
      </c>
      <c r="AA31" s="100" t="n">
        <v>167</v>
      </c>
      <c r="AB31" s="101" t="n">
        <v>1.71</v>
      </c>
      <c r="AC31" s="100" t="n">
        <f aca="false">AB31*1000</f>
        <v>1710</v>
      </c>
      <c r="AD31" s="102" t="n">
        <f aca="false">EXP(1.741+0.011*Z31-0.002*AC31+0.275*H31-1.952)</f>
        <v>3.95934834370614</v>
      </c>
      <c r="AE31" s="102" t="n">
        <f aca="false">(AD31/(1+AD31))</f>
        <v>0.798360604923207</v>
      </c>
      <c r="AF31" s="4"/>
      <c r="AG31" s="114"/>
      <c r="AH31" s="114"/>
      <c r="AI31" s="114"/>
      <c r="AJ31" s="114"/>
      <c r="AK31" s="104"/>
      <c r="AL31" s="104"/>
      <c r="AM31" s="115"/>
      <c r="AN31" s="116"/>
      <c r="AO31" s="4"/>
      <c r="AP31" s="107" t="n">
        <v>45113</v>
      </c>
      <c r="AQ31" s="64" t="n">
        <v>45113.625</v>
      </c>
      <c r="AR31" s="108" t="n">
        <v>16025403352</v>
      </c>
      <c r="AS31" s="109"/>
      <c r="AT31" s="110" t="n">
        <f aca="false">AT$2-AP31</f>
        <v>64</v>
      </c>
      <c r="AU31" s="65" t="s">
        <v>969</v>
      </c>
      <c r="AV31" s="65" t="n">
        <v>1</v>
      </c>
      <c r="AW31" s="65"/>
      <c r="AX31" s="65" t="n">
        <v>1</v>
      </c>
      <c r="AY31" s="107" t="n">
        <v>45276</v>
      </c>
      <c r="AZ31" s="107" t="n">
        <f aca="false">AP31+145</f>
        <v>45258</v>
      </c>
      <c r="BA31" s="65" t="s">
        <v>970</v>
      </c>
      <c r="BB31" s="118" t="n">
        <f aca="false">AY31-AP31</f>
        <v>163</v>
      </c>
      <c r="BC31" s="112" t="s">
        <v>965</v>
      </c>
      <c r="BD31" s="65"/>
    </row>
    <row r="32" s="69" customFormat="true" ht="14.25" hidden="false" customHeight="false" outlineLevel="0" collapsed="false">
      <c r="A32" s="47" t="n">
        <v>28</v>
      </c>
      <c r="B32" s="48" t="n">
        <v>16286813327</v>
      </c>
      <c r="C32" s="63" t="n">
        <v>213327</v>
      </c>
      <c r="D32" s="88" t="n">
        <v>1</v>
      </c>
      <c r="E32" s="120" t="s">
        <v>1002</v>
      </c>
      <c r="F32" s="50" t="n">
        <v>25439</v>
      </c>
      <c r="G32" s="89" t="n">
        <v>44168</v>
      </c>
      <c r="H32" s="90" t="n">
        <f aca="false">($K$3-G32)/365</f>
        <v>2.58356164383562</v>
      </c>
      <c r="I32" s="89" t="n">
        <v>44898</v>
      </c>
      <c r="J32" s="91" t="n">
        <v>1</v>
      </c>
      <c r="K32" s="92" t="n">
        <f aca="false">$K$3-I32</f>
        <v>213</v>
      </c>
      <c r="L32" s="93" t="n">
        <v>68.8</v>
      </c>
      <c r="M32" s="94" t="n">
        <v>2.8</v>
      </c>
      <c r="N32" s="95" t="n">
        <v>45145</v>
      </c>
      <c r="O32" s="96" t="n">
        <v>66.81</v>
      </c>
      <c r="P32" s="96" t="n">
        <v>3</v>
      </c>
      <c r="Q32" s="95" t="s">
        <v>961</v>
      </c>
      <c r="R32" s="97" t="n">
        <v>68.9</v>
      </c>
      <c r="S32" s="94" t="n">
        <v>3.2</v>
      </c>
      <c r="T32" s="94" t="s">
        <v>962</v>
      </c>
      <c r="U32" s="94" t="s">
        <v>963</v>
      </c>
      <c r="V32" s="98" t="n">
        <v>35621071235</v>
      </c>
      <c r="W32" s="65" t="n">
        <v>2</v>
      </c>
      <c r="X32" s="99" t="n">
        <v>254.5</v>
      </c>
      <c r="Y32" s="100" t="n">
        <v>147</v>
      </c>
      <c r="Z32" s="99" t="n">
        <v>311.3</v>
      </c>
      <c r="AA32" s="100" t="n">
        <v>165</v>
      </c>
      <c r="AB32" s="101" t="n">
        <v>1.21</v>
      </c>
      <c r="AC32" s="100" t="n">
        <f aca="false">AB32*1000</f>
        <v>1210</v>
      </c>
      <c r="AD32" s="102" t="n">
        <f aca="false">EXP(1.741+0.011*Z32-0.002*AC32+0.275*H32-1.952)</f>
        <v>4.49865944846839</v>
      </c>
      <c r="AE32" s="102" t="n">
        <f aca="false">(AD32/(1+AD32))</f>
        <v>0.818137491624701</v>
      </c>
      <c r="AF32" s="4" t="n">
        <v>27</v>
      </c>
      <c r="AG32" s="114" t="n">
        <v>45113.9315509259</v>
      </c>
      <c r="AH32" s="114" t="n">
        <v>45113.9315509259</v>
      </c>
      <c r="AI32" s="114" t="n">
        <v>45113.9315509259</v>
      </c>
      <c r="AJ32" s="114" t="n">
        <v>45113.9315509259</v>
      </c>
      <c r="AK32" s="104" t="n">
        <f aca="false">(AG32-$AK$2)*24</f>
        <v>63.0238888888889</v>
      </c>
      <c r="AL32" s="104" t="n">
        <f aca="false">AK32+35</f>
        <v>98.0238888888889</v>
      </c>
      <c r="AM32" s="115" t="n">
        <f aca="false">(AJ32-AI32)*24</f>
        <v>0</v>
      </c>
      <c r="AN32" s="116" t="n">
        <v>1</v>
      </c>
      <c r="AO32" s="4" t="n">
        <v>1</v>
      </c>
      <c r="AP32" s="107" t="n">
        <v>45113</v>
      </c>
      <c r="AQ32" s="64" t="n">
        <v>45113.625</v>
      </c>
      <c r="AR32" s="108" t="n">
        <v>16363303380</v>
      </c>
      <c r="AS32" s="109" t="n">
        <f aca="false">(AQ32-AG32)*24</f>
        <v>-7.35722222222222</v>
      </c>
      <c r="AT32" s="110" t="n">
        <f aca="false">AT$2-AP32</f>
        <v>64</v>
      </c>
      <c r="AU32" s="65" t="s">
        <v>6</v>
      </c>
      <c r="AV32" s="65" t="n">
        <v>1</v>
      </c>
      <c r="AW32" s="65" t="s">
        <v>6</v>
      </c>
      <c r="AX32" s="65" t="n">
        <v>1</v>
      </c>
      <c r="AY32" s="107" t="n">
        <v>45264</v>
      </c>
      <c r="AZ32" s="107" t="n">
        <f aca="false">AP32+145</f>
        <v>45258</v>
      </c>
      <c r="BA32" s="111" t="s">
        <v>964</v>
      </c>
      <c r="BB32" s="111" t="n">
        <f aca="false">AY32-AP32</f>
        <v>151</v>
      </c>
      <c r="BC32" s="117" t="s">
        <v>975</v>
      </c>
      <c r="BD32" s="65"/>
    </row>
    <row r="33" s="69" customFormat="true" ht="14.25" hidden="false" customHeight="false" outlineLevel="0" collapsed="false">
      <c r="A33" s="47" t="n">
        <v>29</v>
      </c>
      <c r="B33" s="48" t="n">
        <v>16286813348</v>
      </c>
      <c r="C33" s="63" t="n">
        <v>213348</v>
      </c>
      <c r="D33" s="88" t="n">
        <v>1</v>
      </c>
      <c r="E33" s="88" t="s">
        <v>1003</v>
      </c>
      <c r="F33" s="50" t="n">
        <v>25681</v>
      </c>
      <c r="G33" s="89" t="n">
        <v>44169</v>
      </c>
      <c r="H33" s="90" t="n">
        <f aca="false">($K$3-G33)/365</f>
        <v>2.58082191780822</v>
      </c>
      <c r="I33" s="89" t="n">
        <v>44898</v>
      </c>
      <c r="J33" s="91" t="n">
        <v>1</v>
      </c>
      <c r="K33" s="92" t="n">
        <f aca="false">$K$3-I33</f>
        <v>213</v>
      </c>
      <c r="L33" s="93" t="n">
        <v>68.1</v>
      </c>
      <c r="M33" s="94" t="n">
        <v>3.2</v>
      </c>
      <c r="N33" s="95" t="n">
        <v>45147</v>
      </c>
      <c r="O33" s="96" t="n">
        <v>65.22</v>
      </c>
      <c r="P33" s="96" t="n">
        <v>2.7</v>
      </c>
      <c r="Q33" s="95" t="s">
        <v>961</v>
      </c>
      <c r="R33" s="97" t="n">
        <v>63.9</v>
      </c>
      <c r="S33" s="94" t="n">
        <v>2.8</v>
      </c>
      <c r="T33" s="94" t="s">
        <v>962</v>
      </c>
      <c r="U33" s="94" t="s">
        <v>925</v>
      </c>
      <c r="V33" s="98" t="n">
        <v>55096490034</v>
      </c>
      <c r="W33" s="65" t="n">
        <v>2</v>
      </c>
      <c r="X33" s="99" t="n">
        <v>295.4</v>
      </c>
      <c r="Y33" s="100" t="n">
        <v>150</v>
      </c>
      <c r="Z33" s="99" t="n">
        <v>237.2</v>
      </c>
      <c r="AA33" s="100" t="n">
        <v>165</v>
      </c>
      <c r="AB33" s="101" t="n">
        <v>1.58</v>
      </c>
      <c r="AC33" s="100" t="n">
        <f aca="false">AB33*1000</f>
        <v>1580</v>
      </c>
      <c r="AD33" s="102" t="n">
        <f aca="false">EXP(2.859+0.011*Z33-0.002*AC33+0.275*H33-1.952)</f>
        <v>2.90352648459142</v>
      </c>
      <c r="AE33" s="102" t="n">
        <f aca="false">(AD33/(1+AD33))</f>
        <v>0.74382138716175</v>
      </c>
      <c r="AF33" s="4" t="n">
        <v>10</v>
      </c>
      <c r="AG33" s="114" t="n">
        <v>45112.4818981482</v>
      </c>
      <c r="AH33" s="114" t="n">
        <v>45112.7499768519</v>
      </c>
      <c r="AI33" s="114" t="n">
        <v>45112.4818981482</v>
      </c>
      <c r="AJ33" s="114" t="n">
        <v>45112.7499768519</v>
      </c>
      <c r="AK33" s="104" t="n">
        <f aca="false">(AG33-$AK$2)*24</f>
        <v>28.2322222222222</v>
      </c>
      <c r="AL33" s="104" t="n">
        <f aca="false">AK33+35</f>
        <v>63.2322222222222</v>
      </c>
      <c r="AM33" s="115" t="n">
        <f aca="false">(AJ33-AI33)*24</f>
        <v>6.43388888888889</v>
      </c>
      <c r="AN33" s="116" t="n">
        <v>6.43388888885966</v>
      </c>
      <c r="AO33" s="4" t="n">
        <v>30</v>
      </c>
      <c r="AP33" s="107" t="n">
        <v>45113</v>
      </c>
      <c r="AQ33" s="64" t="n">
        <v>45113.625</v>
      </c>
      <c r="AR33" s="108" t="n">
        <v>16282721383</v>
      </c>
      <c r="AS33" s="109" t="n">
        <f aca="false">(AQ33-AG33)*24</f>
        <v>27.4344444444444</v>
      </c>
      <c r="AT33" s="110" t="n">
        <f aca="false">AT$2-AP33</f>
        <v>64</v>
      </c>
      <c r="AU33" s="65" t="s">
        <v>6</v>
      </c>
      <c r="AV33" s="65" t="n">
        <v>2</v>
      </c>
      <c r="AW33" s="65" t="s">
        <v>6</v>
      </c>
      <c r="AX33" s="65" t="n">
        <v>2</v>
      </c>
      <c r="AY33" s="107" t="n">
        <v>45260</v>
      </c>
      <c r="AZ33" s="107" t="n">
        <f aca="false">AP33+145</f>
        <v>45258</v>
      </c>
      <c r="BA33" s="111" t="s">
        <v>964</v>
      </c>
      <c r="BB33" s="111" t="n">
        <f aca="false">AY33-AP33</f>
        <v>147</v>
      </c>
      <c r="BC33" s="117"/>
      <c r="BD33" s="65"/>
    </row>
    <row r="34" s="69" customFormat="true" ht="14.25" hidden="false" customHeight="false" outlineLevel="0" collapsed="false">
      <c r="A34" s="47" t="n">
        <v>30</v>
      </c>
      <c r="B34" s="48" t="n">
        <v>16286813385</v>
      </c>
      <c r="C34" s="63" t="n">
        <v>213385</v>
      </c>
      <c r="D34" s="88" t="n">
        <v>1</v>
      </c>
      <c r="E34" s="88" t="s">
        <v>1004</v>
      </c>
      <c r="F34" s="50" t="n">
        <v>25486</v>
      </c>
      <c r="G34" s="89" t="n">
        <v>44170</v>
      </c>
      <c r="H34" s="90" t="n">
        <f aca="false">($K$3-G34)/365</f>
        <v>2.57808219178082</v>
      </c>
      <c r="I34" s="89" t="n">
        <v>44897</v>
      </c>
      <c r="J34" s="91" t="n">
        <v>1</v>
      </c>
      <c r="K34" s="92" t="n">
        <f aca="false">$K$3-I34</f>
        <v>214</v>
      </c>
      <c r="L34" s="93" t="n">
        <v>66.5</v>
      </c>
      <c r="M34" s="94" t="n">
        <v>2.9</v>
      </c>
      <c r="N34" s="95" t="n">
        <v>45147</v>
      </c>
      <c r="O34" s="96" t="n">
        <v>61.46</v>
      </c>
      <c r="P34" s="96" t="n">
        <v>2.9</v>
      </c>
      <c r="Q34" s="95" t="s">
        <v>961</v>
      </c>
      <c r="R34" s="97" t="n">
        <v>62.7</v>
      </c>
      <c r="S34" s="94" t="n">
        <v>2.8</v>
      </c>
      <c r="T34" s="94" t="s">
        <v>962</v>
      </c>
      <c r="U34" s="94" t="s">
        <v>968</v>
      </c>
      <c r="V34" s="98" t="n">
        <v>55074970399</v>
      </c>
      <c r="W34" s="65" t="n">
        <v>2</v>
      </c>
      <c r="X34" s="99" t="n">
        <v>315</v>
      </c>
      <c r="Y34" s="100" t="n">
        <v>149</v>
      </c>
      <c r="Z34" s="99" t="n">
        <v>402.7</v>
      </c>
      <c r="AA34" s="100" t="n">
        <v>166</v>
      </c>
      <c r="AB34" s="101" t="n">
        <v>1.87</v>
      </c>
      <c r="AC34" s="100" t="n">
        <f aca="false">AB34*1000</f>
        <v>1870</v>
      </c>
      <c r="AD34" s="102" t="n">
        <f aca="false">EXP(1.741+0.011*Z34-0.002*AC34+0.275*H34-1.952)</f>
        <v>3.27943975937867</v>
      </c>
      <c r="AE34" s="102" t="n">
        <f aca="false">(AD34/(1+AD34))</f>
        <v>0.766324552692105</v>
      </c>
      <c r="AF34" s="4" t="n">
        <v>21</v>
      </c>
      <c r="AG34" s="114" t="n">
        <v>45113.559525463</v>
      </c>
      <c r="AH34" s="114" t="n">
        <v>45113.559525463</v>
      </c>
      <c r="AI34" s="114" t="n">
        <v>45113.559525463</v>
      </c>
      <c r="AJ34" s="114" t="n">
        <v>45113.559525463</v>
      </c>
      <c r="AK34" s="104" t="n">
        <f aca="false">(AG34-$AK$2)*24</f>
        <v>54.0952777777778</v>
      </c>
      <c r="AL34" s="104" t="n">
        <f aca="false">AK34+35</f>
        <v>89.0952777777778</v>
      </c>
      <c r="AM34" s="115" t="n">
        <f aca="false">(AJ34-AI34)*24</f>
        <v>0</v>
      </c>
      <c r="AN34" s="116" t="n">
        <v>1</v>
      </c>
      <c r="AO34" s="4" t="n">
        <v>1</v>
      </c>
      <c r="AP34" s="107" t="n">
        <v>45113</v>
      </c>
      <c r="AQ34" s="64" t="n">
        <v>45113.625</v>
      </c>
      <c r="AR34" s="108" t="n">
        <v>16367304303</v>
      </c>
      <c r="AS34" s="109" t="n">
        <f aca="false">(AQ34-AG34)*24</f>
        <v>1.57138888888889</v>
      </c>
      <c r="AT34" s="110" t="n">
        <f aca="false">AT$2-AP34</f>
        <v>64</v>
      </c>
      <c r="AU34" s="65" t="s">
        <v>6</v>
      </c>
      <c r="AV34" s="65" t="n">
        <v>1</v>
      </c>
      <c r="AW34" s="65" t="s">
        <v>6</v>
      </c>
      <c r="AX34" s="65" t="n">
        <v>1</v>
      </c>
      <c r="AY34" s="107" t="n">
        <v>45261</v>
      </c>
      <c r="AZ34" s="107" t="n">
        <f aca="false">AP34+145</f>
        <v>45258</v>
      </c>
      <c r="BA34" s="111" t="s">
        <v>964</v>
      </c>
      <c r="BB34" s="111" t="n">
        <f aca="false">AY34-AP34</f>
        <v>148</v>
      </c>
      <c r="BC34" s="117"/>
      <c r="BD34" s="65"/>
    </row>
    <row r="35" s="69" customFormat="true" ht="14.25" hidden="false" customHeight="false" outlineLevel="0" collapsed="false">
      <c r="A35" s="47" t="n">
        <v>31</v>
      </c>
      <c r="B35" s="48" t="n">
        <v>16286813442</v>
      </c>
      <c r="C35" s="63" t="n">
        <v>213442</v>
      </c>
      <c r="D35" s="88" t="n">
        <v>1</v>
      </c>
      <c r="E35" s="88" t="s">
        <v>1005</v>
      </c>
      <c r="F35" s="50" t="n">
        <v>25759</v>
      </c>
      <c r="G35" s="89" t="n">
        <v>44171</v>
      </c>
      <c r="H35" s="90" t="n">
        <f aca="false">($K$3-G35)/365</f>
        <v>2.57534246575342</v>
      </c>
      <c r="I35" s="89" t="n">
        <v>44897</v>
      </c>
      <c r="J35" s="91" t="n">
        <v>1</v>
      </c>
      <c r="K35" s="92" t="n">
        <f aca="false">$K$3-I35</f>
        <v>214</v>
      </c>
      <c r="L35" s="93" t="n">
        <v>65.2</v>
      </c>
      <c r="M35" s="94" t="n">
        <v>2.7</v>
      </c>
      <c r="N35" s="95" t="n">
        <v>45146</v>
      </c>
      <c r="O35" s="96" t="n">
        <v>59.72</v>
      </c>
      <c r="P35" s="96" t="n">
        <v>2.5</v>
      </c>
      <c r="Q35" s="95" t="s">
        <v>961</v>
      </c>
      <c r="R35" s="97" t="n">
        <v>66.1</v>
      </c>
      <c r="S35" s="94" t="n">
        <v>2.7</v>
      </c>
      <c r="T35" s="94" t="s">
        <v>972</v>
      </c>
      <c r="U35" s="94" t="s">
        <v>925</v>
      </c>
      <c r="V35" s="98" t="n">
        <v>55096490034</v>
      </c>
      <c r="W35" s="65" t="n">
        <v>2</v>
      </c>
      <c r="X35" s="99" t="n">
        <v>261.5</v>
      </c>
      <c r="Y35" s="100" t="n">
        <v>152</v>
      </c>
      <c r="Z35" s="99" t="n">
        <v>358.4</v>
      </c>
      <c r="AA35" s="100" t="n">
        <v>166</v>
      </c>
      <c r="AB35" s="101" t="n">
        <v>1.97</v>
      </c>
      <c r="AC35" s="100" t="n">
        <f aca="false">AB35*1000</f>
        <v>1970</v>
      </c>
      <c r="AD35" s="102" t="n">
        <f aca="false">EXP(1.741+0.011*Z35-0.002*AC35+0.275*H35-1.952)</f>
        <v>1.64809352104189</v>
      </c>
      <c r="AE35" s="102" t="n">
        <f aca="false">(AD35/(1+AD35))</f>
        <v>0.622369832464772</v>
      </c>
      <c r="AF35" s="4" t="n">
        <v>11</v>
      </c>
      <c r="AG35" s="114" t="n">
        <v>45112.6903356482</v>
      </c>
      <c r="AH35" s="114" t="n">
        <v>45113.4097685185</v>
      </c>
      <c r="AI35" s="114" t="n">
        <v>45112.6903356482</v>
      </c>
      <c r="AJ35" s="114" t="n">
        <v>45113.4097685185</v>
      </c>
      <c r="AK35" s="104" t="n">
        <f aca="false">(AG35-$AK$2)*24</f>
        <v>33.2347222222222</v>
      </c>
      <c r="AL35" s="104" t="n">
        <f aca="false">AK35+35</f>
        <v>68.2347222222222</v>
      </c>
      <c r="AM35" s="115" t="n">
        <f aca="false">(AJ35-AI35)*24</f>
        <v>17.2663888888889</v>
      </c>
      <c r="AN35" s="116" t="n">
        <v>17.2663888888783</v>
      </c>
      <c r="AO35" s="4" t="n">
        <v>37</v>
      </c>
      <c r="AP35" s="107" t="n">
        <v>45113</v>
      </c>
      <c r="AQ35" s="64" t="n">
        <v>45113.625</v>
      </c>
      <c r="AR35" s="108" t="n">
        <v>16241422709</v>
      </c>
      <c r="AS35" s="109" t="n">
        <f aca="false">(AQ35-AG35)*24</f>
        <v>22.4319444444444</v>
      </c>
      <c r="AT35" s="110" t="n">
        <f aca="false">AT$2-AP35</f>
        <v>64</v>
      </c>
      <c r="AU35" s="65" t="s">
        <v>969</v>
      </c>
      <c r="AV35" s="65" t="n">
        <v>1</v>
      </c>
      <c r="AW35" s="65"/>
      <c r="AX35" s="65" t="n">
        <v>1</v>
      </c>
      <c r="AY35" s="107" t="n">
        <v>45278</v>
      </c>
      <c r="AZ35" s="107" t="n">
        <f aca="false">AP35+145</f>
        <v>45258</v>
      </c>
      <c r="BA35" s="65" t="s">
        <v>970</v>
      </c>
      <c r="BB35" s="118" t="n">
        <f aca="false">AY35-AP35</f>
        <v>165</v>
      </c>
      <c r="BC35" s="117" t="s">
        <v>985</v>
      </c>
      <c r="BD35" s="65"/>
    </row>
    <row r="36" s="69" customFormat="true" ht="14.25" hidden="false" customHeight="false" outlineLevel="0" collapsed="false">
      <c r="A36" s="47" t="n">
        <v>32</v>
      </c>
      <c r="B36" s="48" t="n">
        <v>16286823044</v>
      </c>
      <c r="C36" s="63" t="n">
        <v>223044</v>
      </c>
      <c r="D36" s="88" t="n">
        <v>1</v>
      </c>
      <c r="E36" s="88" t="s">
        <v>1006</v>
      </c>
      <c r="F36" s="50" t="n">
        <v>25916</v>
      </c>
      <c r="G36" s="89" t="n">
        <v>44528</v>
      </c>
      <c r="H36" s="90" t="n">
        <f aca="false">($K$3-G36)/365</f>
        <v>1.5972602739726</v>
      </c>
      <c r="I36" s="89" t="n">
        <v>44942</v>
      </c>
      <c r="J36" s="91" t="n">
        <v>1</v>
      </c>
      <c r="K36" s="92" t="n">
        <f aca="false">$K$3-I36</f>
        <v>169</v>
      </c>
      <c r="L36" s="93" t="n">
        <v>59.4</v>
      </c>
      <c r="M36" s="94" t="n">
        <v>3.1</v>
      </c>
      <c r="N36" s="95" t="n">
        <v>45147</v>
      </c>
      <c r="O36" s="96" t="n">
        <v>47.94</v>
      </c>
      <c r="P36" s="96" t="n">
        <v>2.7</v>
      </c>
      <c r="Q36" s="95" t="s">
        <v>961</v>
      </c>
      <c r="R36" s="97" t="n">
        <v>53.3</v>
      </c>
      <c r="S36" s="94" t="n">
        <v>2.9</v>
      </c>
      <c r="T36" s="94" t="s">
        <v>962</v>
      </c>
      <c r="U36" s="94" t="s">
        <v>925</v>
      </c>
      <c r="V36" s="98" t="n">
        <v>16066170112</v>
      </c>
      <c r="W36" s="65" t="n">
        <v>1</v>
      </c>
      <c r="X36" s="99"/>
      <c r="Y36" s="100"/>
      <c r="Z36" s="99" t="n">
        <v>197.3</v>
      </c>
      <c r="AA36" s="100" t="n">
        <v>121</v>
      </c>
      <c r="AB36" s="101" t="n">
        <v>1.55</v>
      </c>
      <c r="AC36" s="100" t="n">
        <f aca="false">AB36*1000</f>
        <v>1550</v>
      </c>
      <c r="AD36" s="102" t="n">
        <f aca="false">EXP(2.859+0.011*Z36-0.002*AC36+0.275*H36-1.952)</f>
        <v>1.51671464118111</v>
      </c>
      <c r="AE36" s="102" t="n">
        <f aca="false">(AD36/(1+AD36))</f>
        <v>0.602656581069241</v>
      </c>
      <c r="AF36" s="4" t="n">
        <v>7</v>
      </c>
      <c r="AG36" s="114" t="n">
        <v>45112.2953356481</v>
      </c>
      <c r="AH36" s="114" t="n">
        <v>45114.0078356481</v>
      </c>
      <c r="AI36" s="114" t="n">
        <v>45114.0078125</v>
      </c>
      <c r="AJ36" s="114" t="n">
        <v>45114.0078356481</v>
      </c>
      <c r="AK36" s="104" t="n">
        <f aca="false">(AG36-$AK$2)*24</f>
        <v>23.7547222222222</v>
      </c>
      <c r="AL36" s="104" t="n">
        <f aca="false">AK36+35</f>
        <v>58.7547222222222</v>
      </c>
      <c r="AM36" s="115" t="n">
        <f aca="false">(AJ36-AI36)*24</f>
        <v>0.000555555555555556</v>
      </c>
      <c r="AN36" s="116" t="n">
        <v>1</v>
      </c>
      <c r="AO36" s="4" t="n">
        <v>3</v>
      </c>
      <c r="AP36" s="107" t="n">
        <v>45113</v>
      </c>
      <c r="AQ36" s="64" t="n">
        <v>45113.625</v>
      </c>
      <c r="AR36" s="108" t="n">
        <v>55113411043</v>
      </c>
      <c r="AS36" s="109" t="n">
        <f aca="false">(AQ36-AG36)*24</f>
        <v>31.9119444444444</v>
      </c>
      <c r="AT36" s="110" t="n">
        <f aca="false">AT$2-AP36</f>
        <v>64</v>
      </c>
      <c r="AU36" s="65" t="s">
        <v>6</v>
      </c>
      <c r="AV36" s="65" t="n">
        <v>1</v>
      </c>
      <c r="AW36" s="65" t="s">
        <v>6</v>
      </c>
      <c r="AX36" s="65" t="n">
        <v>1</v>
      </c>
      <c r="AY36" s="107" t="n">
        <v>45261</v>
      </c>
      <c r="AZ36" s="107" t="n">
        <f aca="false">AP36+145</f>
        <v>45258</v>
      </c>
      <c r="BA36" s="111" t="s">
        <v>964</v>
      </c>
      <c r="BB36" s="111" t="n">
        <f aca="false">AY36-AP36</f>
        <v>148</v>
      </c>
      <c r="BC36" s="117"/>
      <c r="BD36" s="65"/>
    </row>
    <row r="37" s="69" customFormat="true" ht="14.25" hidden="false" customHeight="false" outlineLevel="0" collapsed="false">
      <c r="A37" s="47" t="n">
        <v>33</v>
      </c>
      <c r="B37" s="48" t="n">
        <v>16286823135</v>
      </c>
      <c r="C37" s="63" t="n">
        <v>223135</v>
      </c>
      <c r="D37" s="88" t="n">
        <v>1</v>
      </c>
      <c r="E37" s="88" t="s">
        <v>1007</v>
      </c>
      <c r="F37" s="50" t="n">
        <v>25948</v>
      </c>
      <c r="G37" s="89" t="n">
        <v>44530</v>
      </c>
      <c r="H37" s="90" t="n">
        <f aca="false">($K$3-G37)/365</f>
        <v>1.59178082191781</v>
      </c>
      <c r="I37" s="89" t="n">
        <v>44946</v>
      </c>
      <c r="J37" s="91" t="n">
        <v>1</v>
      </c>
      <c r="K37" s="92" t="n">
        <f aca="false">$K$3-I37</f>
        <v>165</v>
      </c>
      <c r="L37" s="93" t="n">
        <v>59.6</v>
      </c>
      <c r="M37" s="94" t="n">
        <v>3.2</v>
      </c>
      <c r="N37" s="95" t="n">
        <v>45146</v>
      </c>
      <c r="O37" s="96" t="n">
        <v>49.13</v>
      </c>
      <c r="P37" s="96" t="n">
        <v>2.9</v>
      </c>
      <c r="Q37" s="95" t="s">
        <v>961</v>
      </c>
      <c r="R37" s="97" t="n">
        <v>54.4</v>
      </c>
      <c r="S37" s="94" t="n">
        <v>2.8</v>
      </c>
      <c r="T37" s="94" t="s">
        <v>972</v>
      </c>
      <c r="U37" s="94" t="s">
        <v>925</v>
      </c>
      <c r="V37" s="98" t="n">
        <v>16377371156</v>
      </c>
      <c r="W37" s="65" t="n">
        <v>1</v>
      </c>
      <c r="X37" s="99"/>
      <c r="Y37" s="100"/>
      <c r="Z37" s="99" t="n">
        <v>157</v>
      </c>
      <c r="AA37" s="100" t="n">
        <v>117</v>
      </c>
      <c r="AB37" s="101" t="n">
        <v>1.57</v>
      </c>
      <c r="AC37" s="100" t="n">
        <f aca="false">AB37*1000</f>
        <v>1570</v>
      </c>
      <c r="AD37" s="102" t="n">
        <f aca="false">EXP(2.859+0.011*Z37-0.002*AC37+0.275*H37-1.952)</f>
        <v>0.934017341534154</v>
      </c>
      <c r="AE37" s="102" t="n">
        <f aca="false">(AD37/(1+AD37))</f>
        <v>0.48294155459498</v>
      </c>
      <c r="AF37" s="4"/>
      <c r="AG37" s="114"/>
      <c r="AH37" s="114"/>
      <c r="AI37" s="114"/>
      <c r="AJ37" s="114"/>
      <c r="AK37" s="104"/>
      <c r="AL37" s="104"/>
      <c r="AM37" s="115"/>
      <c r="AN37" s="116"/>
      <c r="AO37" s="4"/>
      <c r="AP37" s="107" t="n">
        <v>45113</v>
      </c>
      <c r="AQ37" s="64" t="n">
        <v>45113.625</v>
      </c>
      <c r="AR37" s="108" t="n">
        <v>16103604305</v>
      </c>
      <c r="AS37" s="109"/>
      <c r="AT37" s="110" t="n">
        <f aca="false">AT$2-AP37</f>
        <v>64</v>
      </c>
      <c r="AU37" s="65" t="s">
        <v>969</v>
      </c>
      <c r="AV37" s="65" t="n">
        <v>1</v>
      </c>
      <c r="AW37" s="65"/>
      <c r="AX37" s="65" t="n">
        <v>1</v>
      </c>
      <c r="AY37" s="107" t="n">
        <v>45282</v>
      </c>
      <c r="AZ37" s="107" t="n">
        <f aca="false">AP37+145</f>
        <v>45258</v>
      </c>
      <c r="BA37" s="65" t="s">
        <v>970</v>
      </c>
      <c r="BB37" s="118" t="n">
        <f aca="false">AY37-AP37</f>
        <v>169</v>
      </c>
      <c r="BC37" s="112" t="s">
        <v>965</v>
      </c>
      <c r="BD37" s="65"/>
    </row>
    <row r="38" s="69" customFormat="true" ht="14.25" hidden="false" customHeight="false" outlineLevel="0" collapsed="false">
      <c r="A38" s="47" t="n">
        <v>34</v>
      </c>
      <c r="B38" s="48" t="n">
        <v>16286823148</v>
      </c>
      <c r="C38" s="63" t="n">
        <v>223148</v>
      </c>
      <c r="D38" s="88" t="n">
        <v>1</v>
      </c>
      <c r="E38" s="88" t="s">
        <v>1008</v>
      </c>
      <c r="F38" s="50" t="n">
        <v>25368</v>
      </c>
      <c r="G38" s="89" t="n">
        <v>44531</v>
      </c>
      <c r="H38" s="90" t="n">
        <f aca="false">($K$3-G38)/365</f>
        <v>1.58904109589041</v>
      </c>
      <c r="I38" s="89" t="n">
        <v>44945</v>
      </c>
      <c r="J38" s="91" t="n">
        <v>1</v>
      </c>
      <c r="K38" s="92" t="n">
        <f aca="false">$K$3-I38</f>
        <v>166</v>
      </c>
      <c r="L38" s="93" t="n">
        <v>58.2</v>
      </c>
      <c r="M38" s="94" t="n">
        <v>2.7</v>
      </c>
      <c r="N38" s="95" t="n">
        <v>45146</v>
      </c>
      <c r="O38" s="96" t="n">
        <v>48.16</v>
      </c>
      <c r="P38" s="96" t="n">
        <v>2.5</v>
      </c>
      <c r="Q38" s="95" t="s">
        <v>961</v>
      </c>
      <c r="R38" s="97" t="n">
        <v>51.3</v>
      </c>
      <c r="S38" s="94" t="n">
        <v>2.7</v>
      </c>
      <c r="T38" s="94" t="s">
        <v>962</v>
      </c>
      <c r="U38" s="94" t="s">
        <v>925</v>
      </c>
      <c r="V38" s="98" t="n">
        <v>16025403135</v>
      </c>
      <c r="W38" s="65" t="n">
        <v>1</v>
      </c>
      <c r="X38" s="99"/>
      <c r="Y38" s="100"/>
      <c r="Z38" s="99" t="n">
        <v>209.4</v>
      </c>
      <c r="AA38" s="100" t="n">
        <v>118</v>
      </c>
      <c r="AB38" s="101" t="n">
        <v>1.81</v>
      </c>
      <c r="AC38" s="100" t="n">
        <f aca="false">AB38*1000</f>
        <v>1810</v>
      </c>
      <c r="AD38" s="102" t="n">
        <f aca="false">EXP(1.741+0.011*Z38-0.002*AC38+0.275*H38-1.952)</f>
        <v>0.336010221406104</v>
      </c>
      <c r="AE38" s="102" t="n">
        <f aca="false">(AD38/(1+AD38))</f>
        <v>0.251502732555792</v>
      </c>
      <c r="AF38" s="4" t="n">
        <v>31</v>
      </c>
      <c r="AG38" s="114" t="n">
        <v>45114.1300462963</v>
      </c>
      <c r="AH38" s="114" t="n">
        <v>45114.1524189815</v>
      </c>
      <c r="AI38" s="114" t="n">
        <v>45114.1300462963</v>
      </c>
      <c r="AJ38" s="114" t="n">
        <v>45114.1524189815</v>
      </c>
      <c r="AK38" s="104" t="n">
        <f aca="false">(AG38-$AK$2)*24</f>
        <v>67.7877777777778</v>
      </c>
      <c r="AL38" s="104" t="n">
        <f aca="false">AK38+35</f>
        <v>102.787777777778</v>
      </c>
      <c r="AM38" s="115" t="n">
        <f aca="false">(AJ38-AI38)*24</f>
        <v>0.536944444444444</v>
      </c>
      <c r="AN38" s="116" t="n">
        <v>1</v>
      </c>
      <c r="AO38" s="4" t="n">
        <v>4</v>
      </c>
      <c r="AP38" s="107" t="n">
        <v>45113</v>
      </c>
      <c r="AQ38" s="64" t="n">
        <v>45113.625</v>
      </c>
      <c r="AR38" s="108" t="n">
        <v>16164221019</v>
      </c>
      <c r="AS38" s="109" t="n">
        <f aca="false">(AQ38-AG38)*24</f>
        <v>-12.1211111111561</v>
      </c>
      <c r="AT38" s="110" t="n">
        <f aca="false">AT$2-AP38</f>
        <v>64</v>
      </c>
      <c r="AU38" s="65" t="s">
        <v>973</v>
      </c>
      <c r="AV38" s="65"/>
      <c r="AW38" s="65"/>
      <c r="AX38" s="65"/>
      <c r="AY38" s="107"/>
      <c r="AZ38" s="107" t="n">
        <f aca="false">AP38+145</f>
        <v>45258</v>
      </c>
      <c r="BA38" s="65"/>
      <c r="BB38" s="65"/>
      <c r="BC38" s="117"/>
      <c r="BD38" s="65"/>
    </row>
    <row r="39" s="69" customFormat="true" ht="14.25" hidden="false" customHeight="false" outlineLevel="0" collapsed="false">
      <c r="A39" s="47" t="n">
        <v>35</v>
      </c>
      <c r="B39" s="48" t="n">
        <v>16286823161</v>
      </c>
      <c r="C39" s="63" t="n">
        <v>223161</v>
      </c>
      <c r="D39" s="88" t="n">
        <v>1</v>
      </c>
      <c r="E39" s="88" t="s">
        <v>1009</v>
      </c>
      <c r="F39" s="50" t="n">
        <v>25392</v>
      </c>
      <c r="G39" s="89" t="n">
        <v>44531</v>
      </c>
      <c r="H39" s="90" t="n">
        <f aca="false">($K$3-G39)/365</f>
        <v>1.58904109589041</v>
      </c>
      <c r="I39" s="89" t="n">
        <v>44942</v>
      </c>
      <c r="J39" s="91" t="n">
        <v>1</v>
      </c>
      <c r="K39" s="92" t="n">
        <f aca="false">$K$3-I39</f>
        <v>169</v>
      </c>
      <c r="L39" s="93" t="n">
        <v>59.5</v>
      </c>
      <c r="M39" s="94" t="n">
        <v>2.8</v>
      </c>
      <c r="N39" s="95" t="n">
        <v>45146</v>
      </c>
      <c r="O39" s="96" t="n">
        <v>46.67</v>
      </c>
      <c r="P39" s="96" t="n">
        <v>2.5</v>
      </c>
      <c r="Q39" s="95" t="s">
        <v>983</v>
      </c>
      <c r="R39" s="97" t="n">
        <v>50.6</v>
      </c>
      <c r="S39" s="94" t="n">
        <v>2.6</v>
      </c>
      <c r="T39" s="94" t="s">
        <v>962</v>
      </c>
      <c r="U39" s="94" t="s">
        <v>968</v>
      </c>
      <c r="V39" s="98" t="n">
        <v>16083960354</v>
      </c>
      <c r="W39" s="65" t="n">
        <v>1</v>
      </c>
      <c r="X39" s="99"/>
      <c r="Y39" s="100"/>
      <c r="Z39" s="99" t="n">
        <v>229.7</v>
      </c>
      <c r="AA39" s="100" t="n">
        <v>121</v>
      </c>
      <c r="AB39" s="101" t="n">
        <v>1.94</v>
      </c>
      <c r="AC39" s="100" t="n">
        <f aca="false">AB39*1000</f>
        <v>1940</v>
      </c>
      <c r="AD39" s="102" t="n">
        <f aca="false">EXP(1.741+0.011*Z39-0.002*AC39+0.275*H39-1.952)</f>
        <v>0.323902187684579</v>
      </c>
      <c r="AE39" s="102" t="n">
        <f aca="false">(AD39/(1+AD39))</f>
        <v>0.244657188950691</v>
      </c>
      <c r="AF39" s="4" t="n">
        <v>1</v>
      </c>
      <c r="AG39" s="114" t="n">
        <v>45111.3475231482</v>
      </c>
      <c r="AH39" s="114" t="n">
        <v>45114.1635185185</v>
      </c>
      <c r="AI39" s="114" t="n">
        <v>45114.0626736111</v>
      </c>
      <c r="AJ39" s="114" t="n">
        <v>45114.1635185185</v>
      </c>
      <c r="AK39" s="104" t="n">
        <f aca="false">(AG39-$AK$2)*24</f>
        <v>1.00722222222222</v>
      </c>
      <c r="AL39" s="104" t="n">
        <f aca="false">AK39+35</f>
        <v>36.0072222222222</v>
      </c>
      <c r="AM39" s="115" t="n">
        <f aca="false">(AJ39-AI39)*24</f>
        <v>2.42027777777778</v>
      </c>
      <c r="AN39" s="116" t="n">
        <v>2.42027777776821</v>
      </c>
      <c r="AO39" s="4" t="n">
        <v>18</v>
      </c>
      <c r="AP39" s="107" t="n">
        <v>45113</v>
      </c>
      <c r="AQ39" s="64" t="n">
        <v>45113.625</v>
      </c>
      <c r="AR39" s="108" t="n">
        <v>16367304303</v>
      </c>
      <c r="AS39" s="109" t="n">
        <f aca="false">(AQ39-AG39)*24</f>
        <v>54.6594444444444</v>
      </c>
      <c r="AT39" s="110" t="n">
        <f aca="false">AT$2-AP39</f>
        <v>64</v>
      </c>
      <c r="AU39" s="65" t="s">
        <v>969</v>
      </c>
      <c r="AV39" s="65" t="n">
        <v>1</v>
      </c>
      <c r="AW39" s="65"/>
      <c r="AX39" s="65" t="n">
        <v>1</v>
      </c>
      <c r="AY39" s="107" t="n">
        <v>45278</v>
      </c>
      <c r="AZ39" s="107" t="n">
        <f aca="false">AP39+145</f>
        <v>45258</v>
      </c>
      <c r="BA39" s="65" t="s">
        <v>970</v>
      </c>
      <c r="BB39" s="118" t="n">
        <f aca="false">AY39-AP39</f>
        <v>165</v>
      </c>
      <c r="BC39" s="117" t="s">
        <v>985</v>
      </c>
      <c r="BD39" s="65"/>
    </row>
    <row r="40" s="69" customFormat="true" ht="14.25" hidden="false" customHeight="false" outlineLevel="0" collapsed="false">
      <c r="A40" s="47" t="n">
        <v>36</v>
      </c>
      <c r="B40" s="48" t="n">
        <v>16286823215</v>
      </c>
      <c r="C40" s="63" t="n">
        <v>223215</v>
      </c>
      <c r="D40" s="88" t="n">
        <v>1</v>
      </c>
      <c r="E40" s="88" t="s">
        <v>1010</v>
      </c>
      <c r="F40" s="50" t="n">
        <v>25093</v>
      </c>
      <c r="G40" s="89" t="n">
        <v>44531</v>
      </c>
      <c r="H40" s="90" t="n">
        <f aca="false">($K$3-G40)/365</f>
        <v>1.58904109589041</v>
      </c>
      <c r="I40" s="89" t="n">
        <v>44945</v>
      </c>
      <c r="J40" s="91" t="n">
        <v>1</v>
      </c>
      <c r="K40" s="92" t="n">
        <f aca="false">$K$3-I40</f>
        <v>166</v>
      </c>
      <c r="L40" s="93" t="n">
        <v>50.7</v>
      </c>
      <c r="M40" s="94" t="n">
        <v>2.7</v>
      </c>
      <c r="N40" s="95" t="n">
        <v>45146</v>
      </c>
      <c r="O40" s="96" t="n">
        <v>41.46</v>
      </c>
      <c r="P40" s="96" t="n">
        <v>2.4</v>
      </c>
      <c r="Q40" s="95" t="s">
        <v>983</v>
      </c>
      <c r="R40" s="97" t="n">
        <v>47.8</v>
      </c>
      <c r="S40" s="94" t="n">
        <v>2.7</v>
      </c>
      <c r="T40" s="94" t="s">
        <v>962</v>
      </c>
      <c r="U40" s="94" t="s">
        <v>968</v>
      </c>
      <c r="V40" s="98" t="n">
        <v>16083960354</v>
      </c>
      <c r="W40" s="65" t="n">
        <v>1</v>
      </c>
      <c r="X40" s="99"/>
      <c r="Y40" s="100"/>
      <c r="Z40" s="99" t="n">
        <v>174.5</v>
      </c>
      <c r="AA40" s="100" t="n">
        <v>118</v>
      </c>
      <c r="AB40" s="101" t="n">
        <v>1.84</v>
      </c>
      <c r="AC40" s="100" t="n">
        <f aca="false">AB40*1000</f>
        <v>1840</v>
      </c>
      <c r="AD40" s="102" t="n">
        <f aca="false">EXP(1.741+0.011*Z40-0.002*AC40+0.275*H40-1.952)</f>
        <v>0.215560493048086</v>
      </c>
      <c r="AE40" s="102" t="n">
        <f aca="false">(AD40/(1+AD40))</f>
        <v>0.177334237399865</v>
      </c>
      <c r="AF40" s="4"/>
      <c r="AG40" s="114"/>
      <c r="AH40" s="114"/>
      <c r="AI40" s="114"/>
      <c r="AJ40" s="114"/>
      <c r="AK40" s="104"/>
      <c r="AL40" s="104"/>
      <c r="AM40" s="115"/>
      <c r="AN40" s="116"/>
      <c r="AO40" s="4"/>
      <c r="AP40" s="107" t="n">
        <v>45113</v>
      </c>
      <c r="AQ40" s="64" t="n">
        <v>45113.625</v>
      </c>
      <c r="AR40" s="108" t="n">
        <v>16025403352</v>
      </c>
      <c r="AS40" s="109"/>
      <c r="AT40" s="110" t="n">
        <f aca="false">AT$2-AP40</f>
        <v>64</v>
      </c>
      <c r="AU40" s="65" t="s">
        <v>6</v>
      </c>
      <c r="AV40" s="65" t="n">
        <v>1</v>
      </c>
      <c r="AW40" s="65" t="s">
        <v>6</v>
      </c>
      <c r="AX40" s="65" t="n">
        <v>2</v>
      </c>
      <c r="AY40" s="107" t="n">
        <v>45263</v>
      </c>
      <c r="AZ40" s="107" t="n">
        <f aca="false">AP40+145</f>
        <v>45258</v>
      </c>
      <c r="BA40" s="111" t="s">
        <v>964</v>
      </c>
      <c r="BB40" s="111" t="n">
        <f aca="false">AY40-AP40</f>
        <v>150</v>
      </c>
      <c r="BC40" s="112" t="s">
        <v>965</v>
      </c>
      <c r="BD40" s="65"/>
    </row>
    <row r="41" s="69" customFormat="true" ht="14.25" hidden="false" customHeight="false" outlineLevel="0" collapsed="false">
      <c r="A41" s="47" t="n">
        <v>37</v>
      </c>
      <c r="B41" s="48" t="n">
        <v>16286823220</v>
      </c>
      <c r="C41" s="63" t="n">
        <v>223220</v>
      </c>
      <c r="D41" s="88" t="n">
        <v>1</v>
      </c>
      <c r="E41" s="88" t="s">
        <v>1011</v>
      </c>
      <c r="F41" s="50" t="n">
        <v>25167</v>
      </c>
      <c r="G41" s="89" t="n">
        <v>44531</v>
      </c>
      <c r="H41" s="90" t="n">
        <f aca="false">($K$3-G41)/365</f>
        <v>1.58904109589041</v>
      </c>
      <c r="I41" s="89" t="n">
        <v>44944</v>
      </c>
      <c r="J41" s="91" t="n">
        <v>2</v>
      </c>
      <c r="K41" s="92" t="n">
        <f aca="false">$K$3-I41</f>
        <v>167</v>
      </c>
      <c r="L41" s="93" t="n">
        <v>63.8</v>
      </c>
      <c r="M41" s="94" t="n">
        <v>2.6</v>
      </c>
      <c r="N41" s="95" t="n">
        <v>45146</v>
      </c>
      <c r="O41" s="96" t="n">
        <v>56.35</v>
      </c>
      <c r="P41" s="96" t="n">
        <v>2.6</v>
      </c>
      <c r="Q41" s="95" t="s">
        <v>961</v>
      </c>
      <c r="R41" s="97" t="n">
        <v>61.3</v>
      </c>
      <c r="S41" s="94" t="n">
        <v>2.7</v>
      </c>
      <c r="T41" s="94" t="s">
        <v>972</v>
      </c>
      <c r="U41" s="94" t="s">
        <v>925</v>
      </c>
      <c r="V41" s="98" t="n">
        <v>16164990189</v>
      </c>
      <c r="W41" s="65" t="n">
        <v>1</v>
      </c>
      <c r="X41" s="99"/>
      <c r="Y41" s="100"/>
      <c r="Z41" s="99" t="n">
        <v>212.5</v>
      </c>
      <c r="AA41" s="100" t="n">
        <v>119</v>
      </c>
      <c r="AB41" s="101" t="n">
        <v>1.87</v>
      </c>
      <c r="AC41" s="100" t="n">
        <f aca="false">AB41*1000</f>
        <v>1870</v>
      </c>
      <c r="AD41" s="102" t="n">
        <f aca="false">EXP(1.741+0.011*Z41-0.002*AC41+0.275*H41-1.952)</f>
        <v>0.308351874438983</v>
      </c>
      <c r="AE41" s="102" t="n">
        <f aca="false">(AD41/(1+AD41))</f>
        <v>0.235679621410107</v>
      </c>
      <c r="AF41" s="4" t="n">
        <v>26</v>
      </c>
      <c r="AG41" s="114" t="n">
        <v>45113.9234259259</v>
      </c>
      <c r="AH41" s="114" t="n">
        <v>45113.937025463</v>
      </c>
      <c r="AI41" s="114" t="n">
        <v>45113.9234259259</v>
      </c>
      <c r="AJ41" s="114" t="n">
        <v>45113.937025463</v>
      </c>
      <c r="AK41" s="104" t="n">
        <f aca="false">(AG41-$AK$2)*24</f>
        <v>62.8288888888889</v>
      </c>
      <c r="AL41" s="104" t="n">
        <f aca="false">AK41+35</f>
        <v>97.8288888888889</v>
      </c>
      <c r="AM41" s="115" t="n">
        <f aca="false">(AJ41-AI41)*24</f>
        <v>0.326388888888889</v>
      </c>
      <c r="AN41" s="116" t="n">
        <v>1</v>
      </c>
      <c r="AO41" s="4" t="n">
        <v>2</v>
      </c>
      <c r="AP41" s="107" t="n">
        <v>45113</v>
      </c>
      <c r="AQ41" s="64" t="n">
        <v>45113.625</v>
      </c>
      <c r="AR41" s="108" t="n">
        <v>16031711395</v>
      </c>
      <c r="AS41" s="109" t="n">
        <f aca="false">(AQ41-AG41)*24</f>
        <v>-7.16222222222222</v>
      </c>
      <c r="AT41" s="110" t="n">
        <f aca="false">AT$2-AP41</f>
        <v>64</v>
      </c>
      <c r="AU41" s="65" t="s">
        <v>6</v>
      </c>
      <c r="AV41" s="65" t="n">
        <v>2</v>
      </c>
      <c r="AW41" s="65" t="s">
        <v>6</v>
      </c>
      <c r="AX41" s="65" t="n">
        <v>2</v>
      </c>
      <c r="AY41" s="107" t="n">
        <v>45261</v>
      </c>
      <c r="AZ41" s="107" t="n">
        <f aca="false">AP41+145</f>
        <v>45258</v>
      </c>
      <c r="BA41" s="111" t="s">
        <v>964</v>
      </c>
      <c r="BB41" s="111" t="n">
        <f aca="false">AY41-AP41</f>
        <v>148</v>
      </c>
      <c r="BC41" s="117" t="s">
        <v>975</v>
      </c>
      <c r="BD41" s="65"/>
    </row>
    <row r="42" s="69" customFormat="true" ht="14.25" hidden="false" customHeight="false" outlineLevel="0" collapsed="false">
      <c r="A42" s="47" t="n">
        <v>38</v>
      </c>
      <c r="B42" s="48" t="n">
        <v>16286823223</v>
      </c>
      <c r="C42" s="63" t="n">
        <v>223223</v>
      </c>
      <c r="D42" s="88" t="n">
        <v>1</v>
      </c>
      <c r="E42" s="88" t="s">
        <v>1012</v>
      </c>
      <c r="F42" s="50" t="n">
        <v>25801</v>
      </c>
      <c r="G42" s="89" t="n">
        <v>44531</v>
      </c>
      <c r="H42" s="90" t="n">
        <f aca="false">($K$3-G42)/365</f>
        <v>1.58904109589041</v>
      </c>
      <c r="I42" s="89" t="n">
        <v>44944</v>
      </c>
      <c r="J42" s="91" t="n">
        <v>2</v>
      </c>
      <c r="K42" s="92" t="n">
        <f aca="false">$K$3-I42</f>
        <v>167</v>
      </c>
      <c r="L42" s="93" t="n">
        <v>52.1</v>
      </c>
      <c r="M42" s="94" t="n">
        <v>2.6</v>
      </c>
      <c r="N42" s="95" t="n">
        <v>45146</v>
      </c>
      <c r="O42" s="96" t="n">
        <v>42.87</v>
      </c>
      <c r="P42" s="96" t="n">
        <v>2.4</v>
      </c>
      <c r="Q42" s="95" t="s">
        <v>983</v>
      </c>
      <c r="R42" s="97" t="n">
        <v>52.1</v>
      </c>
      <c r="S42" s="94" t="n">
        <v>2.6</v>
      </c>
      <c r="T42" s="94" t="s">
        <v>962</v>
      </c>
      <c r="U42" s="94" t="s">
        <v>968</v>
      </c>
      <c r="V42" s="98" t="n">
        <v>16235680179</v>
      </c>
      <c r="W42" s="65" t="n">
        <v>1</v>
      </c>
      <c r="X42" s="99"/>
      <c r="Y42" s="100"/>
      <c r="Z42" s="99" t="n">
        <v>198.8</v>
      </c>
      <c r="AA42" s="100" t="n">
        <v>119</v>
      </c>
      <c r="AB42" s="101" t="n">
        <v>1.72</v>
      </c>
      <c r="AC42" s="100" t="n">
        <f aca="false">AB42*1000</f>
        <v>1720</v>
      </c>
      <c r="AD42" s="102" t="n">
        <f aca="false">EXP(1.741+0.011*Z42-0.002*AC42+0.275*H42-1.952)</f>
        <v>0.358003076647786</v>
      </c>
      <c r="AE42" s="102" t="n">
        <f aca="false">(AD42/(1+AD42))</f>
        <v>0.263624643275118</v>
      </c>
      <c r="AF42" s="4" t="n">
        <v>29</v>
      </c>
      <c r="AG42" s="114" t="n">
        <v>45113.9958333333</v>
      </c>
      <c r="AH42" s="114" t="n">
        <v>45114.2391666667</v>
      </c>
      <c r="AI42" s="114" t="n">
        <v>45113.9958333333</v>
      </c>
      <c r="AJ42" s="114" t="n">
        <v>45114.2391666667</v>
      </c>
      <c r="AK42" s="104" t="n">
        <f aca="false">(AG42-$AK$2)*24</f>
        <v>64.5666666666667</v>
      </c>
      <c r="AL42" s="104" t="n">
        <f aca="false">AK42+35</f>
        <v>99.5666666666667</v>
      </c>
      <c r="AM42" s="115" t="n">
        <f aca="false">(AJ42-AI42)*24</f>
        <v>5.84</v>
      </c>
      <c r="AN42" s="116" t="n">
        <v>5.8399999999674</v>
      </c>
      <c r="AO42" s="4" t="n">
        <v>6</v>
      </c>
      <c r="AP42" s="107" t="n">
        <v>45113</v>
      </c>
      <c r="AQ42" s="64" t="n">
        <v>45113.625</v>
      </c>
      <c r="AR42" s="108" t="n">
        <v>16025403352</v>
      </c>
      <c r="AS42" s="109" t="n">
        <f aca="false">(AQ42-AG42)*24</f>
        <v>-8.90000000004667</v>
      </c>
      <c r="AT42" s="110" t="n">
        <f aca="false">AT$2-AP42</f>
        <v>64</v>
      </c>
      <c r="AU42" s="65" t="s">
        <v>6</v>
      </c>
      <c r="AV42" s="65" t="n">
        <v>2</v>
      </c>
      <c r="AW42" s="65" t="s">
        <v>6</v>
      </c>
      <c r="AX42" s="65" t="n">
        <v>1</v>
      </c>
      <c r="AY42" s="107" t="n">
        <v>45262</v>
      </c>
      <c r="AZ42" s="107" t="n">
        <f aca="false">AP42+145</f>
        <v>45258</v>
      </c>
      <c r="BA42" s="111" t="s">
        <v>964</v>
      </c>
      <c r="BB42" s="111" t="n">
        <f aca="false">AY42-AP42</f>
        <v>149</v>
      </c>
      <c r="BC42" s="117" t="s">
        <v>975</v>
      </c>
      <c r="BD42" s="65"/>
    </row>
    <row r="43" s="69" customFormat="true" ht="14.25" hidden="false" customHeight="false" outlineLevel="0" collapsed="false">
      <c r="A43" s="47" t="n">
        <v>39</v>
      </c>
      <c r="B43" s="48" t="n">
        <v>16286823258</v>
      </c>
      <c r="C43" s="63" t="n">
        <v>223258</v>
      </c>
      <c r="D43" s="88" t="n">
        <v>1</v>
      </c>
      <c r="E43" s="88" t="s">
        <v>1013</v>
      </c>
      <c r="F43" s="50" t="n">
        <v>25757</v>
      </c>
      <c r="G43" s="89" t="n">
        <v>44532</v>
      </c>
      <c r="H43" s="90" t="n">
        <f aca="false">($K$3-G43)/365</f>
        <v>1.58630136986301</v>
      </c>
      <c r="I43" s="89" t="n">
        <v>44945</v>
      </c>
      <c r="J43" s="113" t="n">
        <v>3</v>
      </c>
      <c r="K43" s="92" t="n">
        <f aca="false">$K$3-I43</f>
        <v>166</v>
      </c>
      <c r="L43" s="93" t="n">
        <v>62.8</v>
      </c>
      <c r="M43" s="94" t="n">
        <v>2.7</v>
      </c>
      <c r="N43" s="95" t="n">
        <v>45146</v>
      </c>
      <c r="O43" s="96" t="n">
        <v>48.55</v>
      </c>
      <c r="P43" s="96" t="n">
        <v>2.4</v>
      </c>
      <c r="Q43" s="95" t="s">
        <v>983</v>
      </c>
      <c r="R43" s="97" t="n">
        <v>56.3</v>
      </c>
      <c r="S43" s="94" t="n">
        <v>2.6</v>
      </c>
      <c r="T43" s="94" t="s">
        <v>972</v>
      </c>
      <c r="U43" s="94" t="s">
        <v>925</v>
      </c>
      <c r="V43" s="98" t="n">
        <v>55075190162</v>
      </c>
      <c r="W43" s="65" t="n">
        <v>1</v>
      </c>
      <c r="X43" s="99"/>
      <c r="Y43" s="100"/>
      <c r="Z43" s="99" t="n">
        <v>176.8</v>
      </c>
      <c r="AA43" s="100" t="n">
        <v>118</v>
      </c>
      <c r="AB43" s="101" t="n">
        <v>1.77</v>
      </c>
      <c r="AC43" s="100" t="n">
        <f aca="false">AB43*1000</f>
        <v>1770</v>
      </c>
      <c r="AD43" s="102" t="n">
        <f aca="false">EXP(1.741+0.011*Z43-0.002*AC43+0.275*H43-1.952)</f>
        <v>0.254115313891541</v>
      </c>
      <c r="AE43" s="102" t="n">
        <f aca="false">(AD43/(1+AD43))</f>
        <v>0.202625158210545</v>
      </c>
      <c r="AF43" s="4" t="n">
        <v>25</v>
      </c>
      <c r="AG43" s="114" t="n">
        <v>45113.716712963</v>
      </c>
      <c r="AH43" s="114" t="n">
        <v>45113.9915277778</v>
      </c>
      <c r="AI43" s="114" t="n">
        <v>45113.716712963</v>
      </c>
      <c r="AJ43" s="114" t="n">
        <v>45113.9915277778</v>
      </c>
      <c r="AK43" s="104" t="n">
        <f aca="false">(AG43-$AK$2)*24</f>
        <v>57.8677777777778</v>
      </c>
      <c r="AL43" s="104" t="n">
        <f aca="false">AK43+35</f>
        <v>92.8677777777778</v>
      </c>
      <c r="AM43" s="115" t="n">
        <f aca="false">(AJ43-AI43)*24</f>
        <v>6.59555555555555</v>
      </c>
      <c r="AN43" s="116" t="n">
        <v>6.59555555559928</v>
      </c>
      <c r="AO43" s="4" t="n">
        <v>5</v>
      </c>
      <c r="AP43" s="107" t="n">
        <v>45113</v>
      </c>
      <c r="AQ43" s="64" t="n">
        <v>45113.625</v>
      </c>
      <c r="AR43" s="108" t="n">
        <v>16039811057</v>
      </c>
      <c r="AS43" s="109" t="n">
        <f aca="false">(AQ43-AG43)*24</f>
        <v>-2.20111111111111</v>
      </c>
      <c r="AT43" s="110" t="n">
        <f aca="false">AT$2-AP43</f>
        <v>64</v>
      </c>
      <c r="AU43" s="65" t="s">
        <v>6</v>
      </c>
      <c r="AV43" s="65" t="n">
        <v>1</v>
      </c>
      <c r="AW43" s="65" t="s">
        <v>6</v>
      </c>
      <c r="AX43" s="65" t="n">
        <v>1</v>
      </c>
      <c r="AY43" s="107" t="n">
        <v>45264</v>
      </c>
      <c r="AZ43" s="107" t="n">
        <f aca="false">AP43+145</f>
        <v>45258</v>
      </c>
      <c r="BA43" s="111" t="s">
        <v>964</v>
      </c>
      <c r="BB43" s="111" t="n">
        <f aca="false">AY43-AP43</f>
        <v>151</v>
      </c>
      <c r="BC43" s="117" t="s">
        <v>975</v>
      </c>
      <c r="BD43" s="65"/>
    </row>
    <row r="44" s="69" customFormat="true" ht="14.25" hidden="false" customHeight="false" outlineLevel="0" collapsed="false">
      <c r="A44" s="47" t="n">
        <v>40</v>
      </c>
      <c r="B44" s="48" t="n">
        <v>16286823270</v>
      </c>
      <c r="C44" s="63" t="n">
        <v>223270</v>
      </c>
      <c r="D44" s="88" t="n">
        <v>1</v>
      </c>
      <c r="E44" s="88" t="s">
        <v>1014</v>
      </c>
      <c r="F44" s="50" t="n">
        <v>25294</v>
      </c>
      <c r="G44" s="89" t="n">
        <v>44532</v>
      </c>
      <c r="H44" s="90" t="n">
        <f aca="false">($K$3-G44)/365</f>
        <v>1.58630136986301</v>
      </c>
      <c r="I44" s="89" t="n">
        <v>44942</v>
      </c>
      <c r="J44" s="91" t="n">
        <v>2</v>
      </c>
      <c r="K44" s="92" t="n">
        <f aca="false">$K$3-I44</f>
        <v>169</v>
      </c>
      <c r="L44" s="93" t="n">
        <v>49.2</v>
      </c>
      <c r="M44" s="94" t="n">
        <v>2.6</v>
      </c>
      <c r="N44" s="95" t="n">
        <v>45147</v>
      </c>
      <c r="O44" s="96" t="n">
        <v>41.88</v>
      </c>
      <c r="P44" s="96" t="n">
        <v>2.4</v>
      </c>
      <c r="Q44" s="95" t="s">
        <v>983</v>
      </c>
      <c r="R44" s="97" t="n">
        <v>46.7</v>
      </c>
      <c r="S44" s="94" t="n">
        <v>2.6</v>
      </c>
      <c r="T44" s="94" t="s">
        <v>962</v>
      </c>
      <c r="U44" s="94" t="s">
        <v>963</v>
      </c>
      <c r="V44" s="98" t="n">
        <v>55113480075</v>
      </c>
      <c r="W44" s="65" t="n">
        <v>1</v>
      </c>
      <c r="X44" s="99"/>
      <c r="Y44" s="100"/>
      <c r="Z44" s="99" t="n">
        <v>197.4</v>
      </c>
      <c r="AA44" s="100" t="n">
        <v>121</v>
      </c>
      <c r="AB44" s="101" t="n">
        <v>1.37</v>
      </c>
      <c r="AC44" s="100" t="n">
        <f aca="false">AB44*1000</f>
        <v>1370</v>
      </c>
      <c r="AD44" s="102" t="n">
        <f aca="false">EXP(1.741+0.011*Z44-0.002*AC44+0.275*H44-1.952)</f>
        <v>0.709377734663416</v>
      </c>
      <c r="AE44" s="102" t="n">
        <f aca="false">(AD44/(1+AD44))</f>
        <v>0.414991795130113</v>
      </c>
      <c r="AF44" s="4"/>
      <c r="AG44" s="114"/>
      <c r="AH44" s="114"/>
      <c r="AI44" s="114"/>
      <c r="AJ44" s="114"/>
      <c r="AK44" s="104"/>
      <c r="AL44" s="104"/>
      <c r="AM44" s="115"/>
      <c r="AN44" s="116"/>
      <c r="AO44" s="4"/>
      <c r="AP44" s="107" t="n">
        <v>45113</v>
      </c>
      <c r="AQ44" s="64" t="n">
        <v>45113.625</v>
      </c>
      <c r="AR44" s="108" t="n">
        <v>16103604078</v>
      </c>
      <c r="AS44" s="109"/>
      <c r="AT44" s="110" t="n">
        <f aca="false">AT$2-AP44</f>
        <v>64</v>
      </c>
      <c r="AU44" s="65" t="s">
        <v>973</v>
      </c>
      <c r="AV44" s="65"/>
      <c r="AW44" s="65"/>
      <c r="AX44" s="65"/>
      <c r="AY44" s="107"/>
      <c r="AZ44" s="107" t="n">
        <f aca="false">AP44+145</f>
        <v>45258</v>
      </c>
      <c r="BA44" s="65"/>
      <c r="BB44" s="65"/>
      <c r="BC44" s="112" t="s">
        <v>1015</v>
      </c>
      <c r="BD44" s="65"/>
    </row>
    <row r="45" s="69" customFormat="true" ht="14.25" hidden="false" customHeight="false" outlineLevel="0" collapsed="false">
      <c r="A45" s="47" t="n">
        <v>41</v>
      </c>
      <c r="B45" s="48" t="n">
        <v>16286823280</v>
      </c>
      <c r="C45" s="63" t="n">
        <v>223280</v>
      </c>
      <c r="D45" s="88" t="n">
        <v>1</v>
      </c>
      <c r="E45" s="88" t="s">
        <v>1016</v>
      </c>
      <c r="F45" s="50" t="n">
        <v>25215</v>
      </c>
      <c r="G45" s="89" t="n">
        <v>44532</v>
      </c>
      <c r="H45" s="90" t="n">
        <f aca="false">($K$3-G45)/365</f>
        <v>1.58630136986301</v>
      </c>
      <c r="I45" s="89" t="n">
        <v>44943</v>
      </c>
      <c r="J45" s="91" t="n">
        <v>1</v>
      </c>
      <c r="K45" s="92" t="n">
        <f aca="false">$K$3-I45</f>
        <v>168</v>
      </c>
      <c r="L45" s="93" t="n">
        <v>62.1</v>
      </c>
      <c r="M45" s="94" t="n">
        <v>2.7</v>
      </c>
      <c r="N45" s="95" t="n">
        <v>45145</v>
      </c>
      <c r="O45" s="96" t="n">
        <v>45.48</v>
      </c>
      <c r="P45" s="96" t="n">
        <v>2.2</v>
      </c>
      <c r="Q45" s="95" t="s">
        <v>983</v>
      </c>
      <c r="R45" s="97" t="n">
        <v>50.6</v>
      </c>
      <c r="S45" s="94" t="n">
        <v>2.5</v>
      </c>
      <c r="T45" s="94" t="s">
        <v>962</v>
      </c>
      <c r="U45" s="94" t="s">
        <v>963</v>
      </c>
      <c r="V45" s="98" t="n">
        <v>16120180108</v>
      </c>
      <c r="W45" s="65" t="n">
        <v>1</v>
      </c>
      <c r="X45" s="99"/>
      <c r="Y45" s="100"/>
      <c r="Z45" s="99" t="n">
        <v>250.6</v>
      </c>
      <c r="AA45" s="100" t="n">
        <v>120</v>
      </c>
      <c r="AB45" s="101" t="n">
        <v>2.06</v>
      </c>
      <c r="AC45" s="100" t="n">
        <f aca="false">AB45*1000</f>
        <v>2060</v>
      </c>
      <c r="AD45" s="102" t="n">
        <f aca="false">EXP(1.741+0.011*Z45-0.002*AC45+0.275*H45-1.952)</f>
        <v>0.320405748187846</v>
      </c>
      <c r="AE45" s="102" t="n">
        <f aca="false">(AD45/(1+AD45))</f>
        <v>0.242657038283557</v>
      </c>
      <c r="AF45" s="4"/>
      <c r="AG45" s="114"/>
      <c r="AH45" s="114"/>
      <c r="AI45" s="114"/>
      <c r="AJ45" s="114"/>
      <c r="AK45" s="104"/>
      <c r="AL45" s="104"/>
      <c r="AM45" s="115"/>
      <c r="AN45" s="116"/>
      <c r="AO45" s="4"/>
      <c r="AP45" s="107" t="n">
        <v>45113</v>
      </c>
      <c r="AQ45" s="64" t="n">
        <v>45113.625</v>
      </c>
      <c r="AR45" s="108" t="n">
        <v>16363303380</v>
      </c>
      <c r="AS45" s="109"/>
      <c r="AT45" s="110" t="n">
        <f aca="false">AT$2-AP45</f>
        <v>64</v>
      </c>
      <c r="AU45" s="65" t="s">
        <v>973</v>
      </c>
      <c r="AV45" s="65"/>
      <c r="AW45" s="65"/>
      <c r="AX45" s="65"/>
      <c r="AY45" s="107"/>
      <c r="AZ45" s="107" t="n">
        <f aca="false">AP45+145</f>
        <v>45258</v>
      </c>
      <c r="BA45" s="65"/>
      <c r="BB45" s="65"/>
      <c r="BC45" s="112" t="s">
        <v>1015</v>
      </c>
      <c r="BD45" s="65"/>
    </row>
    <row r="46" s="69" customFormat="true" ht="14.25" hidden="false" customHeight="false" outlineLevel="0" collapsed="false">
      <c r="A46" s="47" t="n">
        <v>42</v>
      </c>
      <c r="B46" s="48" t="n">
        <v>16286823292</v>
      </c>
      <c r="C46" s="63" t="n">
        <v>223292</v>
      </c>
      <c r="D46" s="88" t="n">
        <v>1</v>
      </c>
      <c r="E46" s="88" t="s">
        <v>1017</v>
      </c>
      <c r="F46" s="50" t="n">
        <v>25230</v>
      </c>
      <c r="G46" s="89" t="n">
        <v>44532</v>
      </c>
      <c r="H46" s="90" t="n">
        <f aca="false">($K$3-G46)/365</f>
        <v>1.58630136986301</v>
      </c>
      <c r="I46" s="89" t="n">
        <v>44943</v>
      </c>
      <c r="J46" s="91" t="n">
        <v>2</v>
      </c>
      <c r="K46" s="92" t="n">
        <f aca="false">$K$3-I46</f>
        <v>168</v>
      </c>
      <c r="L46" s="93" t="n">
        <v>64.7</v>
      </c>
      <c r="M46" s="94" t="n">
        <v>2.7</v>
      </c>
      <c r="N46" s="95" t="n">
        <v>45145</v>
      </c>
      <c r="O46" s="96" t="n">
        <v>52.1</v>
      </c>
      <c r="P46" s="96" t="n">
        <v>2.3</v>
      </c>
      <c r="Q46" s="95" t="s">
        <v>983</v>
      </c>
      <c r="R46" s="97" t="n">
        <v>59.5</v>
      </c>
      <c r="S46" s="94" t="n">
        <v>2.7</v>
      </c>
      <c r="T46" s="94" t="s">
        <v>962</v>
      </c>
      <c r="U46" s="94" t="s">
        <v>963</v>
      </c>
      <c r="V46" s="98" t="n">
        <v>55153280347</v>
      </c>
      <c r="W46" s="65" t="n">
        <v>1</v>
      </c>
      <c r="X46" s="99"/>
      <c r="Y46" s="100"/>
      <c r="Z46" s="99" t="n">
        <v>212.4</v>
      </c>
      <c r="AA46" s="100" t="n">
        <v>120</v>
      </c>
      <c r="AB46" s="101" t="n">
        <v>1.61</v>
      </c>
      <c r="AC46" s="100" t="n">
        <f aca="false">AB46*1000</f>
        <v>1610</v>
      </c>
      <c r="AD46" s="102" t="n">
        <f aca="false">EXP(1.741+0.011*Z46-0.002*AC46+0.275*H46-1.952)</f>
        <v>0.517695978411548</v>
      </c>
      <c r="AE46" s="102" t="n">
        <f aca="false">(AD46/(1+AD46))</f>
        <v>0.341106509983231</v>
      </c>
      <c r="AF46" s="4" t="n">
        <v>2</v>
      </c>
      <c r="AG46" s="114" t="n">
        <v>45111.3571990741</v>
      </c>
      <c r="AH46" s="114" t="n">
        <v>45113.4453819444</v>
      </c>
      <c r="AI46" s="114" t="n">
        <v>45113.4453587963</v>
      </c>
      <c r="AJ46" s="114" t="n">
        <v>45113.4453819444</v>
      </c>
      <c r="AK46" s="104" t="n">
        <f aca="false">(AG46-$AK$2)*24</f>
        <v>1.23944444444444</v>
      </c>
      <c r="AL46" s="104" t="n">
        <f aca="false">AK46+35</f>
        <v>36.2394444444444</v>
      </c>
      <c r="AM46" s="115" t="n">
        <f aca="false">(AJ46-AI46)*24</f>
        <v>0.000555555555555556</v>
      </c>
      <c r="AN46" s="116" t="n">
        <v>1</v>
      </c>
      <c r="AO46" s="4" t="n">
        <v>3</v>
      </c>
      <c r="AP46" s="107" t="n">
        <v>45113</v>
      </c>
      <c r="AQ46" s="64" t="n">
        <v>45113.625</v>
      </c>
      <c r="AR46" s="108" t="n">
        <v>55131900500</v>
      </c>
      <c r="AS46" s="109" t="n">
        <f aca="false">(AQ46-AG46)*24</f>
        <v>54.4272222222222</v>
      </c>
      <c r="AT46" s="110" t="n">
        <f aca="false">AT$2-AP46</f>
        <v>64</v>
      </c>
      <c r="AU46" s="65" t="s">
        <v>6</v>
      </c>
      <c r="AV46" s="65" t="n">
        <v>1</v>
      </c>
      <c r="AW46" s="65" t="s">
        <v>6</v>
      </c>
      <c r="AX46" s="65" t="n">
        <v>1</v>
      </c>
      <c r="AY46" s="107" t="n">
        <v>45262</v>
      </c>
      <c r="AZ46" s="107" t="n">
        <f aca="false">AP46+145</f>
        <v>45258</v>
      </c>
      <c r="BA46" s="111" t="s">
        <v>964</v>
      </c>
      <c r="BB46" s="111" t="n">
        <f aca="false">AY46-AP46</f>
        <v>149</v>
      </c>
      <c r="BC46" s="117"/>
      <c r="BD46" s="65"/>
    </row>
    <row r="47" s="69" customFormat="true" ht="14.25" hidden="false" customHeight="false" outlineLevel="0" collapsed="false">
      <c r="A47" s="47" t="n">
        <v>43</v>
      </c>
      <c r="B47" s="48" t="n">
        <v>16286823373</v>
      </c>
      <c r="C47" s="63" t="n">
        <v>223373</v>
      </c>
      <c r="D47" s="88" t="n">
        <v>1</v>
      </c>
      <c r="E47" s="88" t="s">
        <v>1018</v>
      </c>
      <c r="F47" s="50" t="n">
        <v>25741</v>
      </c>
      <c r="G47" s="89" t="n">
        <v>44533</v>
      </c>
      <c r="H47" s="90" t="n">
        <f aca="false">($K$3-G47)/365</f>
        <v>1.58356164383562</v>
      </c>
      <c r="I47" s="89" t="n">
        <v>44942</v>
      </c>
      <c r="J47" s="91" t="n">
        <v>1</v>
      </c>
      <c r="K47" s="92" t="n">
        <f aca="false">$K$3-I47</f>
        <v>169</v>
      </c>
      <c r="L47" s="93" t="n">
        <v>69.7</v>
      </c>
      <c r="M47" s="94" t="n">
        <v>2.8</v>
      </c>
      <c r="N47" s="95" t="n">
        <v>45147</v>
      </c>
      <c r="O47" s="96" t="n">
        <v>61.97</v>
      </c>
      <c r="P47" s="96" t="n">
        <v>2.6</v>
      </c>
      <c r="Q47" s="95" t="s">
        <v>961</v>
      </c>
      <c r="R47" s="97" t="n">
        <v>61</v>
      </c>
      <c r="S47" s="94" t="n">
        <v>2.7</v>
      </c>
      <c r="T47" s="94" t="s">
        <v>962</v>
      </c>
      <c r="U47" s="94" t="s">
        <v>925</v>
      </c>
      <c r="V47" s="98" t="n">
        <v>16272980218</v>
      </c>
      <c r="W47" s="65" t="n">
        <v>1</v>
      </c>
      <c r="X47" s="99"/>
      <c r="Y47" s="100"/>
      <c r="Z47" s="99" t="n">
        <v>227.7</v>
      </c>
      <c r="AA47" s="100" t="n">
        <v>121</v>
      </c>
      <c r="AB47" s="101" t="n">
        <v>2.27</v>
      </c>
      <c r="AC47" s="100" t="n">
        <f aca="false">AB47*1000</f>
        <v>2270</v>
      </c>
      <c r="AD47" s="102" t="n">
        <f aca="false">EXP(1.741+0.011*Z47-0.002*AC47+0.275*H47-1.952)</f>
        <v>0.163519905816038</v>
      </c>
      <c r="AE47" s="102" t="n">
        <f aca="false">(AD47/(1+AD47))</f>
        <v>0.140538984334224</v>
      </c>
      <c r="AF47" s="4" t="n">
        <v>5</v>
      </c>
      <c r="AG47" s="114" t="n">
        <v>45111.8818634259</v>
      </c>
      <c r="AH47" s="114" t="n">
        <v>45111.8818634259</v>
      </c>
      <c r="AI47" s="114" t="n">
        <v>45111.8818634259</v>
      </c>
      <c r="AJ47" s="114" t="n">
        <v>45111.8818634259</v>
      </c>
      <c r="AK47" s="104" t="n">
        <f aca="false">(AG47-$AK$2)*24</f>
        <v>13.8313888888889</v>
      </c>
      <c r="AL47" s="104" t="n">
        <f aca="false">AK47+35</f>
        <v>48.8313888888889</v>
      </c>
      <c r="AM47" s="115" t="n">
        <f aca="false">(AJ47-AI47)*24</f>
        <v>0</v>
      </c>
      <c r="AN47" s="116" t="n">
        <v>1</v>
      </c>
      <c r="AO47" s="4" t="n">
        <v>1</v>
      </c>
      <c r="AP47" s="107" t="n">
        <v>45113</v>
      </c>
      <c r="AQ47" s="64" t="n">
        <v>45113.625</v>
      </c>
      <c r="AR47" s="108" t="n">
        <v>16156822442</v>
      </c>
      <c r="AS47" s="109" t="n">
        <f aca="false">(AQ47-AG47)*24</f>
        <v>41.8352777777778</v>
      </c>
      <c r="AT47" s="110" t="n">
        <f aca="false">AT$2-AP47</f>
        <v>64</v>
      </c>
      <c r="AU47" s="65" t="s">
        <v>969</v>
      </c>
      <c r="AV47" s="65" t="n">
        <v>2</v>
      </c>
      <c r="AW47" s="65" t="s">
        <v>969</v>
      </c>
      <c r="AX47" s="65" t="n">
        <v>2</v>
      </c>
      <c r="AY47" s="107" t="n">
        <v>45274</v>
      </c>
      <c r="AZ47" s="107" t="n">
        <f aca="false">AP47+145</f>
        <v>45258</v>
      </c>
      <c r="BA47" s="65" t="s">
        <v>970</v>
      </c>
      <c r="BB47" s="118" t="n">
        <f aca="false">AY47-AP47</f>
        <v>161</v>
      </c>
      <c r="BC47" s="117" t="s">
        <v>985</v>
      </c>
      <c r="BD47" s="65"/>
    </row>
    <row r="48" s="69" customFormat="true" ht="14.25" hidden="false" customHeight="false" outlineLevel="0" collapsed="false">
      <c r="A48" s="47" t="n">
        <v>44</v>
      </c>
      <c r="B48" s="48" t="n">
        <v>16286823401</v>
      </c>
      <c r="C48" s="63" t="n">
        <v>223401</v>
      </c>
      <c r="D48" s="88" t="n">
        <v>1</v>
      </c>
      <c r="E48" s="88" t="s">
        <v>1019</v>
      </c>
      <c r="F48" s="50" t="n">
        <v>25742</v>
      </c>
      <c r="G48" s="89" t="n">
        <v>44533</v>
      </c>
      <c r="H48" s="90" t="n">
        <f aca="false">($K$3-G48)/365</f>
        <v>1.58356164383562</v>
      </c>
      <c r="I48" s="89" t="n">
        <v>44943</v>
      </c>
      <c r="J48" s="91" t="n">
        <v>1</v>
      </c>
      <c r="K48" s="92" t="n">
        <f aca="false">$K$3-I48</f>
        <v>168</v>
      </c>
      <c r="L48" s="93" t="n">
        <v>56.6</v>
      </c>
      <c r="M48" s="94" t="n">
        <v>2.7</v>
      </c>
      <c r="N48" s="95" t="n">
        <v>45145</v>
      </c>
      <c r="O48" s="96" t="n">
        <v>42.59</v>
      </c>
      <c r="P48" s="96" t="n">
        <v>2.2</v>
      </c>
      <c r="Q48" s="95" t="s">
        <v>983</v>
      </c>
      <c r="R48" s="97" t="n">
        <v>49.2</v>
      </c>
      <c r="S48" s="94" t="n">
        <v>2.5</v>
      </c>
      <c r="T48" s="94" t="s">
        <v>962</v>
      </c>
      <c r="U48" s="94" t="s">
        <v>963</v>
      </c>
      <c r="V48" s="98" t="n">
        <v>55153280347</v>
      </c>
      <c r="W48" s="65" t="n">
        <v>1</v>
      </c>
      <c r="X48" s="99"/>
      <c r="Y48" s="100"/>
      <c r="Z48" s="99" t="n">
        <v>188.6</v>
      </c>
      <c r="AA48" s="100" t="n">
        <v>120</v>
      </c>
      <c r="AB48" s="101" t="n">
        <v>1.41</v>
      </c>
      <c r="AC48" s="100" t="n">
        <f aca="false">AB48*1000</f>
        <v>1410</v>
      </c>
      <c r="AD48" s="102" t="n">
        <f aca="false">EXP(1.741+0.011*Z48-0.002*AC48+0.275*H48-1.952)</f>
        <v>0.593973515124989</v>
      </c>
      <c r="AE48" s="102" t="n">
        <f aca="false">(AD48/(1+AD48))</f>
        <v>0.3726370039959</v>
      </c>
      <c r="AF48" s="4"/>
      <c r="AG48" s="114"/>
      <c r="AH48" s="114"/>
      <c r="AI48" s="114"/>
      <c r="AJ48" s="114"/>
      <c r="AK48" s="104"/>
      <c r="AL48" s="104"/>
      <c r="AM48" s="115"/>
      <c r="AN48" s="116"/>
      <c r="AO48" s="4"/>
      <c r="AP48" s="107" t="n">
        <v>45113</v>
      </c>
      <c r="AQ48" s="64" t="n">
        <v>45113.625</v>
      </c>
      <c r="AR48" s="108" t="n">
        <v>16363303380</v>
      </c>
      <c r="AS48" s="109"/>
      <c r="AT48" s="110" t="n">
        <f aca="false">AT$2-AP48</f>
        <v>64</v>
      </c>
      <c r="AU48" s="65" t="s">
        <v>6</v>
      </c>
      <c r="AV48" s="65" t="n">
        <v>1</v>
      </c>
      <c r="AW48" s="65"/>
      <c r="AX48" s="65"/>
      <c r="AY48" s="107"/>
      <c r="AZ48" s="107" t="n">
        <f aca="false">AP48+145</f>
        <v>45258</v>
      </c>
      <c r="BA48" s="65"/>
      <c r="BB48" s="65"/>
      <c r="BC48" s="112" t="s">
        <v>1015</v>
      </c>
      <c r="BD48" s="65"/>
    </row>
    <row r="49" s="69" customFormat="true" ht="14.25" hidden="false" customHeight="false" outlineLevel="0" collapsed="false">
      <c r="A49" s="47" t="n">
        <v>45</v>
      </c>
      <c r="B49" s="48" t="n">
        <v>16286823404</v>
      </c>
      <c r="C49" s="63" t="n">
        <v>223404</v>
      </c>
      <c r="D49" s="88" t="n">
        <v>1</v>
      </c>
      <c r="E49" s="88" t="s">
        <v>1020</v>
      </c>
      <c r="F49" s="50" t="n">
        <v>25060</v>
      </c>
      <c r="G49" s="89" t="n">
        <v>44533</v>
      </c>
      <c r="H49" s="90" t="n">
        <f aca="false">($K$3-G49)/365</f>
        <v>1.58356164383562</v>
      </c>
      <c r="I49" s="89" t="n">
        <v>44944</v>
      </c>
      <c r="J49" s="91" t="n">
        <v>1</v>
      </c>
      <c r="K49" s="92" t="n">
        <f aca="false">$K$3-I49</f>
        <v>167</v>
      </c>
      <c r="L49" s="93" t="n">
        <v>60.2</v>
      </c>
      <c r="M49" s="94" t="n">
        <v>2.8</v>
      </c>
      <c r="N49" s="95" t="n">
        <v>45146</v>
      </c>
      <c r="O49" s="96" t="n">
        <v>52.29</v>
      </c>
      <c r="P49" s="96" t="n">
        <v>2.5</v>
      </c>
      <c r="Q49" s="95" t="s">
        <v>961</v>
      </c>
      <c r="R49" s="97" t="n">
        <v>56.4</v>
      </c>
      <c r="S49" s="94" t="n">
        <v>2.7</v>
      </c>
      <c r="T49" s="94" t="s">
        <v>972</v>
      </c>
      <c r="U49" s="94" t="s">
        <v>925</v>
      </c>
      <c r="V49" s="98" t="n">
        <v>55131900487</v>
      </c>
      <c r="W49" s="65" t="n">
        <v>1</v>
      </c>
      <c r="X49" s="99"/>
      <c r="Y49" s="100"/>
      <c r="Z49" s="99" t="n">
        <v>217.7</v>
      </c>
      <c r="AA49" s="100" t="n">
        <v>119</v>
      </c>
      <c r="AB49" s="101" t="n">
        <v>1.98</v>
      </c>
      <c r="AC49" s="100" t="n">
        <f aca="false">AB49*1000</f>
        <v>1980</v>
      </c>
      <c r="AD49" s="102" t="n">
        <f aca="false">EXP(1.741+0.011*Z49-0.002*AC49+0.275*H49-1.952)</f>
        <v>0.26163089978111</v>
      </c>
      <c r="AE49" s="102" t="n">
        <f aca="false">(AD49/(1+AD49))</f>
        <v>0.207375152135623</v>
      </c>
      <c r="AF49" s="4"/>
      <c r="AG49" s="114"/>
      <c r="AH49" s="114"/>
      <c r="AI49" s="114"/>
      <c r="AJ49" s="114"/>
      <c r="AK49" s="104"/>
      <c r="AL49" s="104"/>
      <c r="AM49" s="115"/>
      <c r="AN49" s="116"/>
      <c r="AO49" s="4"/>
      <c r="AP49" s="107" t="n">
        <v>45113</v>
      </c>
      <c r="AQ49" s="64" t="n">
        <v>45113.625</v>
      </c>
      <c r="AR49" s="108" t="n">
        <v>16289111785</v>
      </c>
      <c r="AS49" s="109"/>
      <c r="AT49" s="110" t="n">
        <f aca="false">AT$2-AP49</f>
        <v>64</v>
      </c>
      <c r="AU49" s="65" t="s">
        <v>6</v>
      </c>
      <c r="AV49" s="65" t="n">
        <v>1</v>
      </c>
      <c r="AW49" s="65" t="s">
        <v>6</v>
      </c>
      <c r="AX49" s="65" t="n">
        <v>1</v>
      </c>
      <c r="AY49" s="107" t="n">
        <v>45263</v>
      </c>
      <c r="AZ49" s="107" t="n">
        <f aca="false">AP49+145</f>
        <v>45258</v>
      </c>
      <c r="BA49" s="111" t="s">
        <v>964</v>
      </c>
      <c r="BB49" s="111" t="n">
        <f aca="false">AY49-AP49</f>
        <v>150</v>
      </c>
      <c r="BC49" s="112" t="s">
        <v>965</v>
      </c>
      <c r="BD49" s="65"/>
    </row>
    <row r="50" customFormat="false" ht="14.25" hidden="false" customHeight="false" outlineLevel="0" collapsed="false">
      <c r="A50" s="47" t="n">
        <v>46</v>
      </c>
      <c r="B50" s="48" t="n">
        <v>16286823419</v>
      </c>
      <c r="C50" s="63" t="n">
        <v>223419</v>
      </c>
      <c r="D50" s="88" t="n">
        <v>1</v>
      </c>
      <c r="E50" s="88" t="s">
        <v>1021</v>
      </c>
      <c r="F50" s="50" t="n">
        <v>25312</v>
      </c>
      <c r="G50" s="89" t="n">
        <v>44533</v>
      </c>
      <c r="H50" s="90" t="n">
        <f aca="false">($K$3-G50)/365</f>
        <v>1.58356164383562</v>
      </c>
      <c r="I50" s="89" t="n">
        <v>44943</v>
      </c>
      <c r="J50" s="113" t="n">
        <v>1</v>
      </c>
      <c r="K50" s="92" t="n">
        <f aca="false">$K$3-I50</f>
        <v>168</v>
      </c>
      <c r="L50" s="93" t="n">
        <v>57.2</v>
      </c>
      <c r="M50" s="94" t="n">
        <v>3.2</v>
      </c>
      <c r="N50" s="95" t="n">
        <v>45146</v>
      </c>
      <c r="O50" s="96" t="n">
        <v>47.08</v>
      </c>
      <c r="P50" s="96" t="n">
        <v>2.7</v>
      </c>
      <c r="Q50" s="95" t="s">
        <v>961</v>
      </c>
      <c r="R50" s="97" t="n">
        <v>48.1</v>
      </c>
      <c r="S50" s="94" t="n">
        <v>2.8</v>
      </c>
      <c r="T50" s="94" t="s">
        <v>962</v>
      </c>
      <c r="U50" s="94" t="s">
        <v>968</v>
      </c>
      <c r="V50" s="98" t="n">
        <v>16001280313</v>
      </c>
      <c r="W50" s="65" t="n">
        <v>1</v>
      </c>
      <c r="X50" s="99"/>
      <c r="Y50" s="100"/>
      <c r="Z50" s="99" t="n">
        <v>187.6</v>
      </c>
      <c r="AA50" s="100" t="n">
        <v>120</v>
      </c>
      <c r="AB50" s="101" t="n">
        <v>1.52</v>
      </c>
      <c r="AC50" s="100" t="n">
        <f aca="false">AB50*1000</f>
        <v>1520</v>
      </c>
      <c r="AD50" s="102" t="n">
        <f aca="false">EXP(2.859+0.011*Z50-0.002*AC50+0.275*H50-1.952)</f>
        <v>1.44206981351285</v>
      </c>
      <c r="AE50" s="102" t="n">
        <f aca="false">(AD50/(1+AD50))</f>
        <v>0.590511297233748</v>
      </c>
      <c r="AF50" s="4" t="n">
        <v>32</v>
      </c>
      <c r="AG50" s="114" t="n">
        <v>45114.7437384259</v>
      </c>
      <c r="AH50" s="114" t="n">
        <v>45114.7437384259</v>
      </c>
      <c r="AI50" s="114" t="n">
        <v>45114.7437384259</v>
      </c>
      <c r="AJ50" s="114" t="n">
        <v>45114.7437384259</v>
      </c>
      <c r="AK50" s="104" t="n">
        <f aca="false">(AG50-$AK$2)*24</f>
        <v>82.5163888888889</v>
      </c>
      <c r="AL50" s="104" t="n">
        <f aca="false">AK50+35</f>
        <v>117.516388888889</v>
      </c>
      <c r="AM50" s="115" t="n">
        <f aca="false">(AJ50-AI50)*24</f>
        <v>0</v>
      </c>
      <c r="AN50" s="116" t="n">
        <v>1</v>
      </c>
      <c r="AO50" s="4" t="n">
        <v>1</v>
      </c>
      <c r="AP50" s="107" t="n">
        <v>45113</v>
      </c>
      <c r="AQ50" s="64" t="n">
        <v>45113.625</v>
      </c>
      <c r="AR50" s="108" t="n">
        <v>16367304303</v>
      </c>
      <c r="AS50" s="109" t="n">
        <f aca="false">(AQ50-AG50)*24</f>
        <v>-26.8497222222222</v>
      </c>
      <c r="AT50" s="110" t="n">
        <f aca="false">AT$2-AP50</f>
        <v>64</v>
      </c>
      <c r="AU50" s="65" t="s">
        <v>969</v>
      </c>
      <c r="AV50" s="65" t="n">
        <v>1</v>
      </c>
      <c r="AW50" s="65"/>
      <c r="AX50" s="65"/>
      <c r="AY50" s="107"/>
      <c r="AZ50" s="107" t="n">
        <f aca="false">AP50+145</f>
        <v>45258</v>
      </c>
      <c r="BA50" s="65"/>
      <c r="BB50" s="65"/>
      <c r="BC50" s="117" t="s">
        <v>1022</v>
      </c>
      <c r="BD50" s="65"/>
    </row>
    <row r="51" customFormat="false" ht="14.25" hidden="false" customHeight="false" outlineLevel="0" collapsed="false">
      <c r="A51" s="47" t="n">
        <v>47</v>
      </c>
      <c r="B51" s="48" t="n">
        <v>16286823437</v>
      </c>
      <c r="C51" s="63" t="n">
        <v>223437</v>
      </c>
      <c r="D51" s="88" t="n">
        <v>1</v>
      </c>
      <c r="E51" s="88" t="s">
        <v>1023</v>
      </c>
      <c r="F51" s="50" t="n">
        <v>25376</v>
      </c>
      <c r="G51" s="89" t="n">
        <v>44534</v>
      </c>
      <c r="H51" s="90" t="n">
        <f aca="false">($K$3-G51)/365</f>
        <v>1.58082191780822</v>
      </c>
      <c r="I51" s="89" t="n">
        <v>44944</v>
      </c>
      <c r="J51" s="91" t="n">
        <v>1</v>
      </c>
      <c r="K51" s="92" t="n">
        <f aca="false">$K$3-I51</f>
        <v>167</v>
      </c>
      <c r="L51" s="93" t="n">
        <v>67</v>
      </c>
      <c r="M51" s="94" t="n">
        <v>3.1</v>
      </c>
      <c r="N51" s="95" t="n">
        <v>45147</v>
      </c>
      <c r="O51" s="96" t="n">
        <v>56.37</v>
      </c>
      <c r="P51" s="96" t="n">
        <v>2.6</v>
      </c>
      <c r="Q51" s="95" t="s">
        <v>983</v>
      </c>
      <c r="R51" s="97" t="n">
        <v>62.4</v>
      </c>
      <c r="S51" s="94" t="n">
        <v>3</v>
      </c>
      <c r="T51" s="94" t="s">
        <v>972</v>
      </c>
      <c r="U51" s="94" t="s">
        <v>925</v>
      </c>
      <c r="V51" s="98" t="n">
        <v>16229391173</v>
      </c>
      <c r="W51" s="65" t="n">
        <v>1</v>
      </c>
      <c r="X51" s="99"/>
      <c r="Y51" s="100"/>
      <c r="Z51" s="99" t="n">
        <v>223.5</v>
      </c>
      <c r="AA51" s="100" t="n">
        <v>119</v>
      </c>
      <c r="AB51" s="101" t="n">
        <v>2.2</v>
      </c>
      <c r="AC51" s="100" t="n">
        <f aca="false">AB51*1000</f>
        <v>2200</v>
      </c>
      <c r="AD51" s="102" t="n">
        <f aca="false">EXP(2.859+0.011*Z51-0.002*AC51+0.275*H51-1.952)</f>
        <v>0.548935696579725</v>
      </c>
      <c r="AE51" s="102" t="n">
        <f aca="false">(AD51/(1+AD51))</f>
        <v>0.354395406982908</v>
      </c>
      <c r="AF51" s="4" t="n">
        <v>3</v>
      </c>
      <c r="AG51" s="114" t="n">
        <v>45111.3579861111</v>
      </c>
      <c r="AH51" s="114" t="n">
        <v>45115.140462963</v>
      </c>
      <c r="AI51" s="114" t="n">
        <v>45115.0239699074</v>
      </c>
      <c r="AJ51" s="114" t="n">
        <v>45115.140462963</v>
      </c>
      <c r="AK51" s="104" t="n">
        <f aca="false">(AG51-$AK$2)*24</f>
        <v>1.25833333333333</v>
      </c>
      <c r="AL51" s="104" t="n">
        <f aca="false">AK51+35</f>
        <v>36.2583333333333</v>
      </c>
      <c r="AM51" s="115" t="n">
        <f aca="false">(AJ51-AI51)*24</f>
        <v>2.79583333333333</v>
      </c>
      <c r="AN51" s="116" t="n">
        <v>2.79583333327901</v>
      </c>
      <c r="AO51" s="4" t="n">
        <v>6</v>
      </c>
      <c r="AP51" s="107" t="n">
        <v>45113</v>
      </c>
      <c r="AQ51" s="64" t="n">
        <v>45113.625</v>
      </c>
      <c r="AR51" s="108" t="n">
        <v>16282721383</v>
      </c>
      <c r="AS51" s="109" t="n">
        <f aca="false">(AQ51-AG51)*24</f>
        <v>54.4083333333333</v>
      </c>
      <c r="AT51" s="110" t="n">
        <f aca="false">AT$2-AP51</f>
        <v>64</v>
      </c>
      <c r="AU51" s="65" t="s">
        <v>973</v>
      </c>
      <c r="AV51" s="65"/>
      <c r="AW51" s="65"/>
      <c r="AX51" s="65" t="n">
        <v>1</v>
      </c>
      <c r="AY51" s="107" t="n">
        <v>45299</v>
      </c>
      <c r="AZ51" s="107" t="n">
        <f aca="false">AP51+145</f>
        <v>45258</v>
      </c>
      <c r="BA51" s="65" t="s">
        <v>984</v>
      </c>
      <c r="BB51" s="118" t="n">
        <f aca="false">AY51-AP51</f>
        <v>186</v>
      </c>
      <c r="BC51" s="117" t="s">
        <v>985</v>
      </c>
      <c r="BD51" s="65"/>
    </row>
    <row r="52" customFormat="false" ht="14.25" hidden="false" customHeight="false" outlineLevel="0" collapsed="false">
      <c r="A52" s="47" t="n">
        <v>48</v>
      </c>
      <c r="B52" s="48" t="n">
        <v>16286823440</v>
      </c>
      <c r="C52" s="63" t="n">
        <v>223440</v>
      </c>
      <c r="D52" s="88" t="n">
        <v>1</v>
      </c>
      <c r="E52" s="88" t="s">
        <v>1024</v>
      </c>
      <c r="F52" s="50" t="n">
        <v>25462</v>
      </c>
      <c r="G52" s="89" t="n">
        <v>44534</v>
      </c>
      <c r="H52" s="90" t="n">
        <f aca="false">($K$3-G52)/365</f>
        <v>1.58082191780822</v>
      </c>
      <c r="I52" s="89" t="n">
        <v>44943</v>
      </c>
      <c r="J52" s="91" t="n">
        <v>2</v>
      </c>
      <c r="K52" s="92" t="n">
        <f aca="false">$K$3-I52</f>
        <v>168</v>
      </c>
      <c r="L52" s="93" t="n">
        <v>61.2</v>
      </c>
      <c r="M52" s="94" t="n">
        <v>2.7</v>
      </c>
      <c r="N52" s="95" t="n">
        <v>45146</v>
      </c>
      <c r="O52" s="96" t="n">
        <v>50.21</v>
      </c>
      <c r="P52" s="96" t="n">
        <v>2.3</v>
      </c>
      <c r="Q52" s="95" t="s">
        <v>983</v>
      </c>
      <c r="R52" s="97" t="n">
        <v>58</v>
      </c>
      <c r="S52" s="94" t="n">
        <v>2.7</v>
      </c>
      <c r="T52" s="94" t="s">
        <v>962</v>
      </c>
      <c r="U52" s="94" t="s">
        <v>968</v>
      </c>
      <c r="V52" s="98" t="n">
        <v>28034382314</v>
      </c>
      <c r="W52" s="65" t="n">
        <v>1</v>
      </c>
      <c r="X52" s="99"/>
      <c r="Y52" s="100"/>
      <c r="Z52" s="99" t="n">
        <v>274.9</v>
      </c>
      <c r="AA52" s="100" t="n">
        <v>120</v>
      </c>
      <c r="AB52" s="101" t="n">
        <v>2.05</v>
      </c>
      <c r="AC52" s="100" t="n">
        <f aca="false">AB52*1000</f>
        <v>2050</v>
      </c>
      <c r="AD52" s="102" t="n">
        <f aca="false">EXP(1.741+0.011*Z52-0.002*AC52+0.275*H52-1.952)</f>
        <v>0.426401464058751</v>
      </c>
      <c r="AE52" s="102" t="n">
        <f aca="false">(AD52/(1+AD52))</f>
        <v>0.298935099831886</v>
      </c>
      <c r="AF52" s="4"/>
      <c r="AG52" s="114"/>
      <c r="AH52" s="114"/>
      <c r="AI52" s="114"/>
      <c r="AJ52" s="114"/>
      <c r="AK52" s="104"/>
      <c r="AL52" s="104"/>
      <c r="AM52" s="115"/>
      <c r="AN52" s="116"/>
      <c r="AO52" s="4"/>
      <c r="AP52" s="107" t="n">
        <v>45113</v>
      </c>
      <c r="AQ52" s="64" t="n">
        <v>45113.625</v>
      </c>
      <c r="AR52" s="108" t="n">
        <v>16348503344</v>
      </c>
      <c r="AS52" s="109"/>
      <c r="AT52" s="110" t="n">
        <f aca="false">AT$2-AP52</f>
        <v>64</v>
      </c>
      <c r="AU52" s="65" t="s">
        <v>973</v>
      </c>
      <c r="AV52" s="65"/>
      <c r="AW52" s="65"/>
      <c r="AX52" s="65"/>
      <c r="AY52" s="107"/>
      <c r="AZ52" s="107" t="n">
        <f aca="false">AP52+145</f>
        <v>45258</v>
      </c>
      <c r="BA52" s="65"/>
      <c r="BB52" s="65"/>
      <c r="BC52" s="112" t="s">
        <v>1015</v>
      </c>
      <c r="BD52" s="65"/>
    </row>
    <row r="53" customFormat="false" ht="8.25" hidden="false" customHeight="true" outlineLevel="0" collapsed="false">
      <c r="A53" s="55"/>
      <c r="B53" s="48"/>
      <c r="C53" s="67"/>
      <c r="D53" s="121"/>
      <c r="E53" s="121"/>
      <c r="F53" s="122"/>
      <c r="G53" s="123"/>
      <c r="H53" s="123"/>
      <c r="I53" s="123"/>
      <c r="J53" s="124"/>
      <c r="K53" s="125"/>
      <c r="L53" s="125"/>
      <c r="M53" s="126"/>
      <c r="N53" s="126"/>
      <c r="O53" s="126"/>
      <c r="P53" s="126"/>
      <c r="Q53" s="126"/>
      <c r="R53" s="126"/>
      <c r="S53" s="126"/>
      <c r="T53" s="126"/>
      <c r="U53" s="126"/>
      <c r="V53" s="127"/>
      <c r="W53" s="128"/>
      <c r="X53" s="129"/>
      <c r="Y53" s="130"/>
      <c r="Z53" s="129"/>
      <c r="AA53" s="130"/>
      <c r="AB53" s="102"/>
      <c r="AC53" s="102"/>
      <c r="AD53" s="102"/>
      <c r="AE53" s="102"/>
      <c r="AF53" s="4"/>
      <c r="AG53" s="114"/>
      <c r="AH53" s="114"/>
      <c r="AI53" s="114"/>
      <c r="AJ53" s="114"/>
      <c r="AK53" s="131"/>
      <c r="AL53" s="131"/>
      <c r="AM53" s="115"/>
      <c r="AN53" s="116"/>
      <c r="AO53" s="4"/>
      <c r="AP53" s="132"/>
      <c r="AQ53" s="68"/>
      <c r="AR53" s="133"/>
      <c r="AS53" s="131"/>
      <c r="AT53" s="102"/>
      <c r="AU53" s="69"/>
      <c r="AV53" s="69"/>
      <c r="AW53" s="128"/>
      <c r="AX53" s="128"/>
      <c r="AY53" s="128"/>
      <c r="AZ53" s="128"/>
      <c r="BA53" s="128"/>
      <c r="BB53" s="128"/>
      <c r="BC53" s="128"/>
      <c r="BD53" s="128"/>
    </row>
    <row r="54" customFormat="false" ht="14.25" hidden="false" customHeight="false" outlineLevel="0" collapsed="false">
      <c r="AG54" s="114"/>
      <c r="AH54" s="114"/>
      <c r="AI54" s="114"/>
      <c r="AJ54" s="114"/>
      <c r="AK54" s="131"/>
      <c r="AL54" s="131"/>
      <c r="AM54" s="115"/>
      <c r="AN54" s="116"/>
      <c r="AO54" s="4"/>
    </row>
    <row r="55" customFormat="false" ht="14.25" hidden="false" customHeight="false" outlineLevel="0" collapsed="false">
      <c r="F55" s="107"/>
      <c r="G55" s="134" t="n">
        <f aca="false">SUBTOTAL(1,G5:G52)</f>
        <v>44050.8958333333</v>
      </c>
      <c r="H55" s="134"/>
      <c r="I55" s="134" t="n">
        <f aca="false">SUBTOTAL(1,I5:I52)</f>
        <v>44912.6458333333</v>
      </c>
      <c r="J55" s="135" t="n">
        <f aca="false">SUBTOTAL(1,J5:J52)</f>
        <v>1.625</v>
      </c>
      <c r="K55" s="135" t="n">
        <f aca="false">SUBTOTAL(1,K5:K52)</f>
        <v>198.354166666667</v>
      </c>
      <c r="L55" s="135" t="n">
        <f aca="false">SUBTOTAL(1,L5:L52)</f>
        <v>67.4979166666667</v>
      </c>
      <c r="M55" s="135" t="n">
        <f aca="false">SUBTOTAL(1,M5:M52)</f>
        <v>2.92708333333333</v>
      </c>
      <c r="N55" s="135"/>
      <c r="O55" s="135" t="n">
        <f aca="false">SUBTOTAL(1,O5:O52)</f>
        <v>60.4629166666667</v>
      </c>
      <c r="P55" s="135" t="n">
        <f aca="false">SUBTOTAL(1,P5:P52)</f>
        <v>2.70208333333333</v>
      </c>
      <c r="Q55" s="135"/>
      <c r="R55" s="135" t="n">
        <f aca="false">SUBTOTAL(1,R5:R52)</f>
        <v>64.3333333333333</v>
      </c>
      <c r="S55" s="135" t="n">
        <f aca="false">SUBTOTAL(1,S5:S52)</f>
        <v>2.85416666666667</v>
      </c>
      <c r="T55" s="135"/>
      <c r="U55" s="135"/>
      <c r="V55" s="135"/>
      <c r="W55" s="135" t="n">
        <f aca="false">SUBTOTAL(1,W5:W52)</f>
        <v>2.3125</v>
      </c>
      <c r="X55" s="135" t="n">
        <f aca="false">SUBTOTAL(1,X5:X52)</f>
        <v>330.406451612903</v>
      </c>
      <c r="Y55" s="135" t="n">
        <f aca="false">SUBTOTAL(1,Y5:Y52)</f>
        <v>174.064516129032</v>
      </c>
      <c r="Z55" s="135" t="n">
        <f aca="false">SUBTOTAL(1,Z5:Z52)</f>
        <v>296.179166666667</v>
      </c>
      <c r="AA55" s="135" t="n">
        <f aca="false">SUBTOTAL(1,AA5:AA52)</f>
        <v>150.354166666667</v>
      </c>
      <c r="AB55" s="135" t="n">
        <f aca="false">SUBTOTAL(1,AB5:AB52)</f>
        <v>1.644375</v>
      </c>
      <c r="AC55" s="135" t="n">
        <f aca="false">SUBTOTAL(1,AC5:AC52)</f>
        <v>1644.375</v>
      </c>
      <c r="AD55" s="135"/>
      <c r="AE55" s="135" t="n">
        <f aca="false">SUBTOTAL(1,AE5:AE52)</f>
        <v>0.658925562994865</v>
      </c>
      <c r="AP55" s="4"/>
      <c r="AT55" s="4"/>
      <c r="AV55" s="135" t="n">
        <f aca="false">SUBTOTAL(1,AV5:AV52)</f>
        <v>1.51219512195122</v>
      </c>
      <c r="AX55" s="135" t="n">
        <f aca="false">SUBTOTAL(1,AX5:AX52)</f>
        <v>1.53658536585366</v>
      </c>
    </row>
    <row r="56" customFormat="false" ht="14.25" hidden="false" customHeight="true" outlineLevel="0" collapsed="false">
      <c r="F56" s="135"/>
      <c r="G56" s="135" t="n">
        <f aca="false">SUBTOTAL(7,G5:G52)</f>
        <v>467.394782315187</v>
      </c>
      <c r="H56" s="135"/>
      <c r="I56" s="135" t="n">
        <f aca="false">SUBTOTAL(7,I5:I52)</f>
        <v>23.1750871221786</v>
      </c>
      <c r="J56" s="135" t="n">
        <f aca="false">SUBTOTAL(7,J5:J52)</f>
        <v>0.63998005288064</v>
      </c>
      <c r="K56" s="135" t="n">
        <f aca="false">SUBTOTAL(7,K5:K52)</f>
        <v>23.1750871221786</v>
      </c>
      <c r="L56" s="135" t="n">
        <f aca="false">SUBTOTAL(7,L5:L52)</f>
        <v>8.67070120562133</v>
      </c>
      <c r="M56" s="135" t="n">
        <f aca="false">SUBTOTAL(7,M5:M52)</f>
        <v>0.276559087860107</v>
      </c>
      <c r="N56" s="135"/>
      <c r="O56" s="135" t="n">
        <f aca="false">SUBTOTAL(7,O5:O52)</f>
        <v>10.8089318775415</v>
      </c>
      <c r="P56" s="135" t="n">
        <f aca="false">SUBTOTAL(7,P5:P52)</f>
        <v>0.266968468401359</v>
      </c>
      <c r="Q56" s="135"/>
      <c r="R56" s="135" t="n">
        <f aca="false">SUBTOTAL(7,R5:R52)</f>
        <v>9.73059079209071</v>
      </c>
      <c r="S56" s="135" t="n">
        <f aca="false">SUBTOTAL(7,S5:S52)</f>
        <v>0.230594360003119</v>
      </c>
      <c r="T56" s="135"/>
      <c r="U56" s="135"/>
      <c r="V56" s="135"/>
      <c r="W56" s="135" t="n">
        <f aca="false">SUBTOTAL(7,W5:W52)</f>
        <v>1.27423318618138</v>
      </c>
      <c r="X56" s="135" t="n">
        <f aca="false">SUBTOTAL(7,X5:X52)</f>
        <v>80.1743721957912</v>
      </c>
      <c r="Y56" s="135" t="n">
        <f aca="false">SUBTOTAL(7,Y5:Y52)</f>
        <v>26.570579574498</v>
      </c>
      <c r="Z56" s="135" t="n">
        <f aca="false">SUBTOTAL(7,Z5:Z52)</f>
        <v>79.4251178404642</v>
      </c>
      <c r="AA56" s="135" t="n">
        <f aca="false">SUBTOTAL(7,AA5:AA52)</f>
        <v>23.1750871221786</v>
      </c>
      <c r="AB56" s="135" t="n">
        <f aca="false">SUBTOTAL(7,AB5:AB52)</f>
        <v>0.296475080578883</v>
      </c>
      <c r="AC56" s="135" t="n">
        <f aca="false">SUBTOTAL(7,AC5:AC52)</f>
        <v>296.475080578883</v>
      </c>
      <c r="AD56" s="135"/>
      <c r="AE56" s="135" t="n">
        <f aca="false">SUBTOTAL(7,AE5:AE52)</f>
        <v>0.277393486793858</v>
      </c>
      <c r="AG56" s="70" t="s">
        <v>1025</v>
      </c>
      <c r="AH56" s="70"/>
      <c r="AI56" s="70"/>
      <c r="AJ56" s="70"/>
      <c r="AK56" s="70"/>
      <c r="AL56" s="4"/>
      <c r="AM56" s="70"/>
      <c r="AN56" s="4"/>
      <c r="AO56" s="4"/>
      <c r="AP56" s="4"/>
      <c r="AT56" s="4"/>
      <c r="AV56" s="135" t="n">
        <f aca="false">SUBTOTAL(7,AV5:AV52)</f>
        <v>0.553260843522845</v>
      </c>
      <c r="AW56" s="4"/>
      <c r="AX56" s="135" t="n">
        <f aca="false">SUBTOTAL(7,AX5:AX52)</f>
        <v>0.674446475845554</v>
      </c>
      <c r="AY56" s="4"/>
    </row>
    <row r="57" customFormat="false" ht="14.25" hidden="false" customHeight="false" outlineLevel="0" collapsed="false">
      <c r="F57" s="135"/>
      <c r="G57" s="135" t="n">
        <f aca="false">SUBTOTAL(3,G5:G52)</f>
        <v>48</v>
      </c>
      <c r="H57" s="135"/>
      <c r="I57" s="135" t="n">
        <f aca="false">SUBTOTAL(3,I5:I52)</f>
        <v>48</v>
      </c>
      <c r="J57" s="135" t="n">
        <f aca="false">SUBTOTAL(3,J5:J52)</f>
        <v>48</v>
      </c>
      <c r="K57" s="135" t="n">
        <f aca="false">SUBTOTAL(3,K5:K52)</f>
        <v>48</v>
      </c>
      <c r="L57" s="135" t="n">
        <f aca="false">SUBTOTAL(3,L5:L52)</f>
        <v>48</v>
      </c>
      <c r="M57" s="135" t="n">
        <f aca="false">SUBTOTAL(3,M5:M52)</f>
        <v>48</v>
      </c>
      <c r="N57" s="135"/>
      <c r="O57" s="135" t="n">
        <f aca="false">SUBTOTAL(3,O5:O52)</f>
        <v>48</v>
      </c>
      <c r="P57" s="135" t="n">
        <f aca="false">SUBTOTAL(3,P5:P52)</f>
        <v>48</v>
      </c>
      <c r="Q57" s="135"/>
      <c r="R57" s="135" t="n">
        <f aca="false">SUBTOTAL(3,R5:R52)</f>
        <v>48</v>
      </c>
      <c r="S57" s="135" t="n">
        <f aca="false">SUBTOTAL(3,S5:S52)</f>
        <v>48</v>
      </c>
      <c r="T57" s="135"/>
      <c r="U57" s="135"/>
      <c r="V57" s="135"/>
      <c r="W57" s="135" t="n">
        <f aca="false">SUBTOTAL(3,W5:W52)</f>
        <v>48</v>
      </c>
      <c r="X57" s="135" t="n">
        <f aca="false">SUBTOTAL(3,X5:X52)</f>
        <v>31</v>
      </c>
      <c r="Y57" s="135" t="n">
        <f aca="false">SUBTOTAL(3,Y5:Y52)</f>
        <v>31</v>
      </c>
      <c r="Z57" s="135" t="n">
        <f aca="false">SUBTOTAL(3,Z5:Z52)</f>
        <v>48</v>
      </c>
      <c r="AA57" s="135" t="n">
        <f aca="false">SUBTOTAL(3,AA5:AA52)</f>
        <v>48</v>
      </c>
      <c r="AB57" s="135" t="n">
        <f aca="false">SUBTOTAL(3,AB5:AB52)</f>
        <v>48</v>
      </c>
      <c r="AC57" s="135" t="n">
        <f aca="false">SUBTOTAL(3,AC5:AC52)</f>
        <v>48</v>
      </c>
      <c r="AD57" s="135"/>
      <c r="AE57" s="135" t="n">
        <f aca="false">SUBTOTAL(3,AE5:AE52)</f>
        <v>48</v>
      </c>
      <c r="AG57" s="12" t="s">
        <v>1026</v>
      </c>
      <c r="AH57" s="103"/>
      <c r="AI57" s="103"/>
      <c r="AJ57" s="103"/>
      <c r="AK57" s="103"/>
      <c r="AL57" s="103"/>
      <c r="AM57" s="12"/>
      <c r="AN57" s="103"/>
      <c r="AO57" s="4"/>
      <c r="AP57" s="4"/>
      <c r="AT57" s="4"/>
      <c r="AV57" s="135" t="n">
        <f aca="false">SUBTOTAL(3,AV5:AV52)</f>
        <v>41</v>
      </c>
      <c r="AW57" s="4"/>
      <c r="AX57" s="135" t="n">
        <f aca="false">SUBTOTAL(3,AX5:AX52)</f>
        <v>41</v>
      </c>
      <c r="AY57" s="4"/>
    </row>
    <row r="58" customFormat="false" ht="14.25" hidden="false" customHeight="false" outlineLevel="0" collapsed="false">
      <c r="K58" s="135"/>
      <c r="L58" s="135"/>
      <c r="M58" s="135"/>
      <c r="N58" s="135"/>
      <c r="O58" s="135"/>
      <c r="P58" s="136"/>
      <c r="Q58" s="135"/>
      <c r="R58" s="136"/>
      <c r="S58" s="136"/>
      <c r="T58" s="136"/>
      <c r="U58" s="136"/>
      <c r="V58" s="136"/>
      <c r="AG58" s="4" t="s">
        <v>1027</v>
      </c>
      <c r="AH58" s="4"/>
      <c r="AI58" s="4"/>
      <c r="AJ58" s="4"/>
      <c r="AK58" s="4"/>
      <c r="AL58" s="4"/>
      <c r="AM58" s="4"/>
      <c r="AN58" s="4"/>
      <c r="AO58" s="4"/>
      <c r="AP58" s="4"/>
      <c r="AT58" s="4"/>
      <c r="AV58" s="4"/>
      <c r="AW58" s="4"/>
      <c r="AX58" s="4"/>
      <c r="AY58" s="4"/>
    </row>
    <row r="59" customFormat="false" ht="14.25" hidden="false" customHeight="false" outlineLevel="0" collapsed="false">
      <c r="AG59" s="4" t="s">
        <v>1028</v>
      </c>
      <c r="AH59" s="4" t="s">
        <v>1029</v>
      </c>
      <c r="AI59" s="4"/>
      <c r="AJ59" s="4"/>
      <c r="AK59" s="4"/>
      <c r="AL59" s="4"/>
      <c r="AM59" s="4"/>
      <c r="AN59" s="4"/>
      <c r="AO59" s="4"/>
      <c r="AP59" s="4"/>
      <c r="AT59" s="4"/>
      <c r="AU59" s="3" t="s">
        <v>11</v>
      </c>
      <c r="AV59" s="4"/>
      <c r="AW59" s="4"/>
      <c r="AX59" s="4"/>
      <c r="AY59" s="4"/>
    </row>
    <row r="60" customFormat="false" ht="28.35" hidden="false" customHeight="false" outlineLevel="0" collapsed="false">
      <c r="G60" s="46" t="s">
        <v>915</v>
      </c>
      <c r="H60" s="46" t="s">
        <v>916</v>
      </c>
      <c r="I60" s="46" t="s">
        <v>917</v>
      </c>
      <c r="J60" s="82" t="s">
        <v>918</v>
      </c>
      <c r="K60" s="46" t="s">
        <v>919</v>
      </c>
      <c r="L60" s="46" t="s">
        <v>920</v>
      </c>
      <c r="M60" s="46" t="s">
        <v>13</v>
      </c>
      <c r="N60" s="82" t="s">
        <v>921</v>
      </c>
      <c r="O60" s="82" t="s">
        <v>922</v>
      </c>
      <c r="P60" s="82" t="s">
        <v>14</v>
      </c>
      <c r="Q60" s="82" t="s">
        <v>923</v>
      </c>
      <c r="R60" s="46" t="s">
        <v>924</v>
      </c>
      <c r="S60" s="46" t="s">
        <v>15</v>
      </c>
      <c r="T60" s="46" t="s">
        <v>925</v>
      </c>
      <c r="U60" s="46" t="s">
        <v>926</v>
      </c>
      <c r="V60" s="46" t="s">
        <v>927</v>
      </c>
      <c r="W60" s="46" t="s">
        <v>928</v>
      </c>
      <c r="X60" s="46" t="s">
        <v>929</v>
      </c>
      <c r="Y60" s="46" t="s">
        <v>930</v>
      </c>
      <c r="Z60" s="46" t="s">
        <v>931</v>
      </c>
      <c r="AA60" s="46" t="s">
        <v>932</v>
      </c>
      <c r="AB60" s="46" t="s">
        <v>933</v>
      </c>
      <c r="AC60" s="46" t="s">
        <v>934</v>
      </c>
      <c r="AD60" s="46"/>
      <c r="AE60" s="46" t="s">
        <v>935</v>
      </c>
      <c r="AG60" s="4" t="s">
        <v>1030</v>
      </c>
      <c r="AH60" s="4"/>
      <c r="AI60" s="4"/>
      <c r="AJ60" s="4"/>
      <c r="AK60" s="4"/>
      <c r="AL60" s="4"/>
      <c r="AM60" s="4"/>
      <c r="AN60" s="4"/>
      <c r="AO60" s="4"/>
      <c r="AP60" s="4"/>
      <c r="AT60" s="4"/>
      <c r="AU60" s="70" t="s">
        <v>1031</v>
      </c>
      <c r="AV60" s="4"/>
      <c r="AW60" s="4"/>
      <c r="AX60" s="4"/>
      <c r="AY60" s="4"/>
    </row>
    <row r="61" customFormat="false" ht="18" hidden="false" customHeight="true" outlineLevel="0" collapsed="false">
      <c r="F61" s="4" t="s">
        <v>1032</v>
      </c>
      <c r="G61" s="137" t="n">
        <v>44050.8958333333</v>
      </c>
      <c r="H61" s="137"/>
      <c r="I61" s="137" t="n">
        <v>44912.6458333333</v>
      </c>
      <c r="J61" s="138" t="n">
        <v>1.625</v>
      </c>
      <c r="K61" s="138" t="n">
        <v>198.354166666667</v>
      </c>
      <c r="L61" s="138" t="n">
        <v>67.4979166666666</v>
      </c>
      <c r="M61" s="138" t="n">
        <v>2.92708333333333</v>
      </c>
      <c r="N61" s="138"/>
      <c r="O61" s="138" t="n">
        <v>60.4629166666667</v>
      </c>
      <c r="P61" s="138" t="n">
        <v>2.70208333333333</v>
      </c>
      <c r="Q61" s="138"/>
      <c r="R61" s="138" t="n">
        <v>64.3333333333334</v>
      </c>
      <c r="S61" s="138" t="n">
        <v>2.85416666666667</v>
      </c>
      <c r="T61" s="138"/>
      <c r="U61" s="138"/>
      <c r="V61" s="138"/>
      <c r="W61" s="138" t="n">
        <v>2.3125</v>
      </c>
      <c r="X61" s="138" t="n">
        <v>330.406451612903</v>
      </c>
      <c r="Y61" s="138" t="n">
        <v>174.064516129032</v>
      </c>
      <c r="Z61" s="138" t="n">
        <v>296.179166666667</v>
      </c>
      <c r="AA61" s="138" t="n">
        <v>150.354166666667</v>
      </c>
      <c r="AB61" s="138" t="n">
        <v>1.644375</v>
      </c>
      <c r="AC61" s="138"/>
      <c r="AD61" s="138"/>
      <c r="AE61" s="138" t="n">
        <v>0.658925562994865</v>
      </c>
      <c r="AG61" s="4"/>
      <c r="AH61" s="4"/>
      <c r="AI61" s="4"/>
      <c r="AJ61" s="4"/>
      <c r="AK61" s="4"/>
      <c r="AL61" s="4"/>
      <c r="AM61" s="4"/>
      <c r="AN61" s="4"/>
      <c r="AO61" s="4"/>
      <c r="AP61" s="4"/>
      <c r="AT61" s="4"/>
      <c r="AU61" s="4" t="s">
        <v>1033</v>
      </c>
      <c r="AV61" s="4"/>
      <c r="AW61" s="4"/>
      <c r="AX61" s="4"/>
      <c r="AY61" s="4"/>
    </row>
    <row r="62" customFormat="false" ht="18" hidden="false" customHeight="true" outlineLevel="0" collapsed="false">
      <c r="F62" s="4"/>
      <c r="G62" s="139" t="n">
        <v>467.394782315187</v>
      </c>
      <c r="H62" s="139"/>
      <c r="I62" s="139" t="n">
        <v>23.1750871221786</v>
      </c>
      <c r="J62" s="138" t="n">
        <v>0.63998005288064</v>
      </c>
      <c r="K62" s="138" t="n">
        <v>23.1750871221786</v>
      </c>
      <c r="L62" s="138" t="n">
        <v>8.67070120562162</v>
      </c>
      <c r="M62" s="138" t="n">
        <v>0.276559087860107</v>
      </c>
      <c r="N62" s="138"/>
      <c r="O62" s="138" t="n">
        <v>10.8089318775416</v>
      </c>
      <c r="P62" s="138" t="n">
        <v>0.266968468401359</v>
      </c>
      <c r="Q62" s="138"/>
      <c r="R62" s="138" t="n">
        <v>9.73059079209054</v>
      </c>
      <c r="S62" s="138" t="n">
        <v>0.230594360003119</v>
      </c>
      <c r="T62" s="138"/>
      <c r="U62" s="138"/>
      <c r="V62" s="138"/>
      <c r="W62" s="138" t="n">
        <v>1.27423318618138</v>
      </c>
      <c r="X62" s="138" t="n">
        <v>80.174372195791</v>
      </c>
      <c r="Y62" s="138" t="n">
        <v>26.570579574498</v>
      </c>
      <c r="Z62" s="138" t="n">
        <v>79.4251178404641</v>
      </c>
      <c r="AA62" s="138" t="n">
        <v>23.1750871221786</v>
      </c>
      <c r="AB62" s="138" t="n">
        <v>0.296475080578884</v>
      </c>
      <c r="AC62" s="138"/>
      <c r="AD62" s="138"/>
      <c r="AE62" s="138" t="n">
        <v>0.277393486793859</v>
      </c>
      <c r="AG62" s="70" t="s">
        <v>1034</v>
      </c>
      <c r="AH62" s="4"/>
      <c r="AI62" s="4"/>
      <c r="AJ62" s="4"/>
      <c r="AK62" s="4"/>
      <c r="AL62" s="4"/>
      <c r="AM62" s="4"/>
      <c r="AN62" s="4"/>
      <c r="AO62" s="4"/>
      <c r="AP62" s="4"/>
      <c r="AT62" s="4"/>
      <c r="AU62" s="4" t="s">
        <v>1035</v>
      </c>
      <c r="AV62" s="4"/>
      <c r="AW62" s="4"/>
      <c r="AX62" s="4"/>
    </row>
    <row r="63" customFormat="false" ht="14.25" hidden="false" customHeight="false" outlineLevel="0" collapsed="false">
      <c r="F63" s="4"/>
      <c r="G63" s="140" t="n">
        <v>48</v>
      </c>
      <c r="H63" s="140"/>
      <c r="I63" s="140" t="n">
        <v>48</v>
      </c>
      <c r="J63" s="140" t="n">
        <v>48</v>
      </c>
      <c r="K63" s="138" t="n">
        <v>48</v>
      </c>
      <c r="L63" s="138" t="n">
        <v>48</v>
      </c>
      <c r="M63" s="138" t="n">
        <v>48</v>
      </c>
      <c r="N63" s="138"/>
      <c r="O63" s="138" t="n">
        <v>48</v>
      </c>
      <c r="P63" s="138" t="n">
        <v>48</v>
      </c>
      <c r="Q63" s="138"/>
      <c r="R63" s="138" t="n">
        <v>48</v>
      </c>
      <c r="S63" s="138" t="n">
        <v>48</v>
      </c>
      <c r="T63" s="138"/>
      <c r="U63" s="138"/>
      <c r="V63" s="138"/>
      <c r="W63" s="138" t="n">
        <v>48</v>
      </c>
      <c r="X63" s="138" t="n">
        <v>31</v>
      </c>
      <c r="Y63" s="138" t="n">
        <v>31</v>
      </c>
      <c r="Z63" s="138" t="n">
        <v>48</v>
      </c>
      <c r="AA63" s="138" t="n">
        <v>48</v>
      </c>
      <c r="AB63" s="138" t="n">
        <v>48</v>
      </c>
      <c r="AC63" s="138"/>
      <c r="AD63" s="138"/>
      <c r="AE63" s="138" t="n">
        <v>48</v>
      </c>
      <c r="AG63" s="12" t="s">
        <v>1036</v>
      </c>
      <c r="AH63" s="4"/>
      <c r="AI63" s="4"/>
      <c r="AJ63" s="4"/>
      <c r="AK63" s="4"/>
      <c r="AL63" s="4"/>
      <c r="AM63" s="4"/>
      <c r="AN63" s="4"/>
      <c r="AO63" s="4"/>
      <c r="AP63" s="4"/>
      <c r="AT63" s="4"/>
      <c r="AU63" s="4" t="s">
        <v>1037</v>
      </c>
      <c r="AV63" s="4"/>
      <c r="AW63" s="4"/>
      <c r="AX63" s="4"/>
    </row>
    <row r="64" customFormat="false" ht="14.25" hidden="false" customHeight="false" outlineLevel="0" collapsed="false">
      <c r="F64" s="4"/>
      <c r="G64" s="138" t="n">
        <f aca="false">G62/(SQRT(G63))</f>
        <v>67.4626258468749</v>
      </c>
      <c r="H64" s="138"/>
      <c r="I64" s="138" t="n">
        <f aca="false">I62/(SQRT(I63))</f>
        <v>3.34503569712071</v>
      </c>
      <c r="J64" s="138" t="n">
        <f aca="false">J62/(SQRT(J63))</f>
        <v>0.0923731639516571</v>
      </c>
      <c r="K64" s="138" t="n">
        <f aca="false">K62/(SQRT(K63))</f>
        <v>3.34503569712071</v>
      </c>
      <c r="L64" s="138" t="n">
        <f aca="false">L62/(SQRT(L63))</f>
        <v>1.25150791878211</v>
      </c>
      <c r="M64" s="138" t="n">
        <f aca="false">M62/(SQRT(M63))</f>
        <v>0.0399178659557175</v>
      </c>
      <c r="N64" s="138"/>
      <c r="O64" s="138" t="n">
        <f aca="false">O62/(SQRT(O63))</f>
        <v>1.56013493228775</v>
      </c>
      <c r="P64" s="138" t="n">
        <f aca="false">P62/(SQRT(P63))</f>
        <v>0.0385335792741667</v>
      </c>
      <c r="Q64" s="138"/>
      <c r="R64" s="138" t="n">
        <f aca="false">R62/(SQRT(R63))</f>
        <v>1.40448980329689</v>
      </c>
      <c r="S64" s="138" t="n">
        <f aca="false">S62/(SQRT(S63))</f>
        <v>0.0332834289553526</v>
      </c>
      <c r="T64" s="138"/>
      <c r="U64" s="138"/>
      <c r="V64" s="138"/>
      <c r="W64" s="138" t="n">
        <f aca="false">W62/(SQRT(W63))</f>
        <v>0.183919718263044</v>
      </c>
      <c r="X64" s="138" t="n">
        <f aca="false">X62/(SQRT(X63))</f>
        <v>14.3997423330321</v>
      </c>
      <c r="Y64" s="138" t="n">
        <f aca="false">Y62/(SQRT(Y63))</f>
        <v>4.77221696950417</v>
      </c>
      <c r="Z64" s="138" t="n">
        <f aca="false">Z62/(SQRT(Z63))</f>
        <v>11.4640282914024</v>
      </c>
      <c r="AA64" s="138" t="n">
        <f aca="false">AA62/(SQRT(AA63))</f>
        <v>3.34503569712071</v>
      </c>
      <c r="AB64" s="138" t="n">
        <f aca="false">AB62/(SQRT(AB63))</f>
        <v>0.0427924918950587</v>
      </c>
      <c r="AC64" s="138"/>
      <c r="AD64" s="138"/>
      <c r="AE64" s="138" t="n">
        <f aca="false">AE62/(SQRT(AE63))</f>
        <v>0.0400383010679708</v>
      </c>
      <c r="AG64" s="4" t="s">
        <v>1038</v>
      </c>
      <c r="AH64" s="4"/>
      <c r="AI64" s="4"/>
      <c r="AJ64" s="4"/>
      <c r="AK64" s="4"/>
      <c r="AL64" s="4"/>
      <c r="AM64" s="4"/>
      <c r="AN64" s="4"/>
      <c r="AO64" s="4"/>
      <c r="AP64" s="4"/>
      <c r="AT64" s="4"/>
      <c r="AU64" s="4" t="s">
        <v>1039</v>
      </c>
    </row>
    <row r="65" customFormat="false" ht="14.25" hidden="false" customHeight="false" outlineLevel="0" collapsed="false">
      <c r="F65" s="4"/>
      <c r="G65" s="140"/>
      <c r="H65" s="140"/>
      <c r="I65" s="140"/>
      <c r="J65" s="140"/>
      <c r="K65" s="140"/>
      <c r="L65" s="140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40"/>
      <c r="X65" s="140"/>
      <c r="Y65" s="140"/>
      <c r="Z65" s="138"/>
      <c r="AA65" s="138"/>
      <c r="AB65" s="138"/>
      <c r="AC65" s="138"/>
      <c r="AD65" s="138"/>
      <c r="AE65" s="138"/>
      <c r="AG65" s="4" t="s">
        <v>1028</v>
      </c>
      <c r="AH65" s="4" t="s">
        <v>1040</v>
      </c>
      <c r="AI65" s="4"/>
      <c r="AJ65" s="4"/>
      <c r="AK65" s="4"/>
      <c r="AL65" s="4"/>
      <c r="AM65" s="4"/>
      <c r="AN65" s="4"/>
      <c r="AO65" s="4"/>
      <c r="AU65" s="4" t="s">
        <v>1041</v>
      </c>
    </row>
    <row r="66" customFormat="false" ht="14.25" hidden="false" customHeight="false" outlineLevel="0" collapsed="false">
      <c r="F66" s="4" t="s">
        <v>1042</v>
      </c>
      <c r="G66" s="137" t="n">
        <v>43943.5151515152</v>
      </c>
      <c r="H66" s="137"/>
      <c r="I66" s="137" t="n">
        <v>44907.2727272727</v>
      </c>
      <c r="J66" s="138" t="n">
        <v>1.6969696969697</v>
      </c>
      <c r="K66" s="138" t="n">
        <v>203.727272727273</v>
      </c>
      <c r="L66" s="138" t="n">
        <v>68.4878787878788</v>
      </c>
      <c r="M66" s="138" t="n">
        <v>2.93636363636364</v>
      </c>
      <c r="N66" s="138"/>
      <c r="O66" s="138" t="n">
        <v>61.5012121212121</v>
      </c>
      <c r="P66" s="138" t="n">
        <v>2.68787878787879</v>
      </c>
      <c r="Q66" s="138"/>
      <c r="R66" s="138" t="n">
        <v>65.6060606060606</v>
      </c>
      <c r="S66" s="138" t="n">
        <v>2.84848484848485</v>
      </c>
      <c r="T66" s="138"/>
      <c r="U66" s="138"/>
      <c r="V66" s="138"/>
      <c r="W66" s="138" t="n">
        <v>2.60606060606061</v>
      </c>
      <c r="X66" s="138" t="n">
        <v>337.028</v>
      </c>
      <c r="Y66" s="138" t="n">
        <v>176.16</v>
      </c>
      <c r="Z66" s="138" t="n">
        <v>312.50303030303</v>
      </c>
      <c r="AA66" s="138" t="n">
        <v>155.727272727273</v>
      </c>
      <c r="AB66" s="138" t="n">
        <v>1.60939393939394</v>
      </c>
      <c r="AC66" s="138"/>
      <c r="AD66" s="138"/>
      <c r="AE66" s="138" t="n">
        <v>0.813684171244827</v>
      </c>
      <c r="AG66" s="4" t="s">
        <v>1043</v>
      </c>
      <c r="AH66" s="4"/>
      <c r="AI66" s="4"/>
      <c r="AJ66" s="4"/>
      <c r="AK66" s="4"/>
      <c r="AL66" s="4"/>
      <c r="AM66" s="4"/>
      <c r="AN66" s="4"/>
      <c r="AU66" s="4" t="s">
        <v>1044</v>
      </c>
    </row>
    <row r="67" customFormat="false" ht="12.75" hidden="false" customHeight="true" outlineLevel="0" collapsed="false">
      <c r="F67" s="4"/>
      <c r="G67" s="139" t="n">
        <v>476.043860978962</v>
      </c>
      <c r="H67" s="139"/>
      <c r="I67" s="139" t="n">
        <v>20.9646618254277</v>
      </c>
      <c r="J67" s="138" t="n">
        <v>0.636634141641045</v>
      </c>
      <c r="K67" s="138" t="n">
        <v>20.9646618254277</v>
      </c>
      <c r="L67" s="138" t="n">
        <v>9.12427249071681</v>
      </c>
      <c r="M67" s="138" t="n">
        <v>0.277058411957413</v>
      </c>
      <c r="N67" s="138"/>
      <c r="O67" s="138" t="n">
        <v>10.6980835776717</v>
      </c>
      <c r="P67" s="138" t="n">
        <v>0.259515866275041</v>
      </c>
      <c r="Q67" s="138"/>
      <c r="R67" s="138" t="n">
        <v>9.7284357489377</v>
      </c>
      <c r="S67" s="138" t="n">
        <v>0.216681234941463</v>
      </c>
      <c r="T67" s="138"/>
      <c r="U67" s="138"/>
      <c r="V67" s="138"/>
      <c r="W67" s="138" t="n">
        <v>1.2975793313752</v>
      </c>
      <c r="X67" s="138" t="n">
        <v>81.156661874837</v>
      </c>
      <c r="Y67" s="138" t="n">
        <v>25.3700610957088</v>
      </c>
      <c r="Z67" s="138" t="n">
        <v>78.2520506314708</v>
      </c>
      <c r="AA67" s="138" t="n">
        <v>20.9646618254277</v>
      </c>
      <c r="AB67" s="138" t="n">
        <v>0.293980647683013</v>
      </c>
      <c r="AC67" s="138"/>
      <c r="AD67" s="138"/>
      <c r="AE67" s="138" t="n">
        <v>0.157090960511475</v>
      </c>
      <c r="AG67" s="4"/>
      <c r="AH67" s="4"/>
      <c r="AI67" s="4"/>
      <c r="AJ67" s="4"/>
      <c r="AK67" s="4"/>
      <c r="AL67" s="4"/>
      <c r="AM67" s="4"/>
      <c r="AN67" s="4"/>
      <c r="AU67" s="71" t="s">
        <v>1045</v>
      </c>
      <c r="AV67" s="71"/>
      <c r="AW67" s="71"/>
      <c r="AX67" s="71"/>
      <c r="AY67" s="71"/>
      <c r="AZ67" s="71"/>
      <c r="BA67" s="71"/>
      <c r="BB67" s="71"/>
    </row>
    <row r="68" customFormat="false" ht="17.25" hidden="false" customHeight="true" outlineLevel="0" collapsed="false">
      <c r="F68" s="4"/>
      <c r="G68" s="140" t="n">
        <v>33</v>
      </c>
      <c r="H68" s="140"/>
      <c r="I68" s="140" t="n">
        <v>33</v>
      </c>
      <c r="J68" s="140" t="n">
        <v>33</v>
      </c>
      <c r="K68" s="138" t="n">
        <v>33</v>
      </c>
      <c r="L68" s="138" t="n">
        <v>33</v>
      </c>
      <c r="M68" s="138" t="n">
        <v>33</v>
      </c>
      <c r="N68" s="138"/>
      <c r="O68" s="138" t="n">
        <v>33</v>
      </c>
      <c r="P68" s="138" t="n">
        <v>33</v>
      </c>
      <c r="Q68" s="138"/>
      <c r="R68" s="138" t="n">
        <v>33</v>
      </c>
      <c r="S68" s="138" t="n">
        <v>33</v>
      </c>
      <c r="T68" s="138"/>
      <c r="U68" s="138"/>
      <c r="V68" s="138"/>
      <c r="W68" s="138" t="n">
        <v>33</v>
      </c>
      <c r="X68" s="138" t="n">
        <v>25</v>
      </c>
      <c r="Y68" s="138" t="n">
        <v>25</v>
      </c>
      <c r="Z68" s="138" t="n">
        <v>33</v>
      </c>
      <c r="AA68" s="138" t="n">
        <v>33</v>
      </c>
      <c r="AB68" s="138" t="n">
        <v>33</v>
      </c>
      <c r="AC68" s="138"/>
      <c r="AD68" s="138"/>
      <c r="AE68" s="138" t="n">
        <v>17</v>
      </c>
      <c r="AG68" s="4"/>
      <c r="AH68" s="4"/>
      <c r="AI68" s="4"/>
      <c r="AJ68" s="4"/>
      <c r="AK68" s="4"/>
      <c r="AL68" s="4"/>
      <c r="AM68" s="4"/>
      <c r="AN68" s="4"/>
      <c r="AU68" s="71"/>
      <c r="AV68" s="71"/>
      <c r="AW68" s="71"/>
      <c r="AX68" s="71"/>
      <c r="AY68" s="71"/>
      <c r="AZ68" s="71"/>
      <c r="BA68" s="71"/>
      <c r="BB68" s="71"/>
    </row>
    <row r="69" customFormat="false" ht="17.25" hidden="false" customHeight="true" outlineLevel="0" collapsed="false">
      <c r="F69" s="4"/>
      <c r="G69" s="138" t="n">
        <f aca="false">G67/(SQRT(G68))</f>
        <v>82.8685994513179</v>
      </c>
      <c r="H69" s="138"/>
      <c r="I69" s="138" t="n">
        <f aca="false">I67/(SQRT(I68))</f>
        <v>3.64947918847436</v>
      </c>
      <c r="J69" s="138" t="n">
        <f aca="false">J67/(SQRT(J68))</f>
        <v>0.110823779078241</v>
      </c>
      <c r="K69" s="138" t="n">
        <f aca="false">K67/(SQRT(K68))</f>
        <v>3.64947918847435</v>
      </c>
      <c r="L69" s="138" t="n">
        <f aca="false">L67/(SQRT(L68))</f>
        <v>1.58833196748504</v>
      </c>
      <c r="M69" s="138" t="n">
        <f aca="false">M67/(SQRT(M68))</f>
        <v>0.0482296789163546</v>
      </c>
      <c r="N69" s="138"/>
      <c r="O69" s="138" t="n">
        <f aca="false">O67/(SQRT(O68))</f>
        <v>1.86229731241924</v>
      </c>
      <c r="P69" s="138" t="n">
        <f aca="false">P67/(SQRT(P68))</f>
        <v>0.0451759136844714</v>
      </c>
      <c r="Q69" s="138"/>
      <c r="R69" s="138" t="n">
        <f aca="false">R67/(SQRT(R68))</f>
        <v>1.69350329129069</v>
      </c>
      <c r="S69" s="138" t="n">
        <f aca="false">S67/(SQRT(S68))</f>
        <v>0.0377193614681958</v>
      </c>
      <c r="T69" s="138"/>
      <c r="U69" s="138"/>
      <c r="V69" s="138"/>
      <c r="W69" s="138" t="n">
        <f aca="false">W67/(SQRT(W68))</f>
        <v>0.225879568422357</v>
      </c>
      <c r="X69" s="138" t="n">
        <f aca="false">X67/(SQRT(X68))</f>
        <v>16.2313323749674</v>
      </c>
      <c r="Y69" s="138" t="n">
        <f aca="false">Y67/(SQRT(Y68))</f>
        <v>5.07401221914177</v>
      </c>
      <c r="Z69" s="138" t="n">
        <f aca="false">Z67/(SQRT(Z68))</f>
        <v>13.621933547653</v>
      </c>
      <c r="AA69" s="138" t="n">
        <f aca="false">AA67/(SQRT(AA68))</f>
        <v>3.64947918847435</v>
      </c>
      <c r="AB69" s="138" t="n">
        <f aca="false">AB67/(SQRT(AB68))</f>
        <v>0.0511754620449967</v>
      </c>
      <c r="AC69" s="138"/>
      <c r="AD69" s="138"/>
      <c r="AE69" s="138" t="n">
        <f aca="false">AE67/(SQRT(AE68))</f>
        <v>0.0381001542952085</v>
      </c>
      <c r="AG69" s="141" t="s">
        <v>1046</v>
      </c>
      <c r="AH69" s="141"/>
      <c r="AI69" s="141"/>
      <c r="AJ69" s="141"/>
      <c r="AK69" s="141"/>
      <c r="AL69" s="141"/>
      <c r="AM69" s="141"/>
      <c r="AN69" s="141"/>
    </row>
    <row r="70" customFormat="false" ht="14.25" hidden="false" customHeight="false" outlineLevel="0" collapsed="false">
      <c r="F70" s="4"/>
      <c r="G70" s="140"/>
      <c r="H70" s="140"/>
      <c r="I70" s="140"/>
      <c r="J70" s="140"/>
      <c r="K70" s="140"/>
      <c r="L70" s="140"/>
      <c r="M70" s="140"/>
      <c r="N70" s="140"/>
      <c r="O70" s="140"/>
      <c r="P70" s="138"/>
      <c r="Q70" s="140"/>
      <c r="R70" s="138"/>
      <c r="S70" s="138"/>
      <c r="T70" s="138"/>
      <c r="U70" s="138"/>
      <c r="V70" s="138"/>
      <c r="W70" s="140"/>
      <c r="X70" s="140"/>
      <c r="Y70" s="140"/>
      <c r="Z70" s="138"/>
      <c r="AA70" s="138"/>
      <c r="AB70" s="138"/>
      <c r="AC70" s="138"/>
      <c r="AD70" s="138"/>
      <c r="AE70" s="138"/>
      <c r="AG70" s="141"/>
      <c r="AH70" s="141"/>
      <c r="AI70" s="141"/>
      <c r="AJ70" s="141"/>
      <c r="AK70" s="141"/>
      <c r="AL70" s="141"/>
      <c r="AM70" s="141"/>
      <c r="AN70" s="141"/>
      <c r="AP70" s="4"/>
      <c r="BA70" s="3" t="s">
        <v>1047</v>
      </c>
    </row>
    <row r="71" customFormat="false" ht="17.35" hidden="false" customHeight="false" outlineLevel="0" collapsed="false">
      <c r="F71" s="4" t="s">
        <v>1048</v>
      </c>
      <c r="G71" s="137" t="n">
        <v>44141.7419354839</v>
      </c>
      <c r="H71" s="137"/>
      <c r="I71" s="137" t="n">
        <v>44920.5483870968</v>
      </c>
      <c r="J71" s="142" t="n">
        <v>1.54838709677419</v>
      </c>
      <c r="K71" s="142" t="n">
        <v>190.451612903226</v>
      </c>
      <c r="L71" s="142" t="n">
        <v>65.0096774193548</v>
      </c>
      <c r="M71" s="142" t="n">
        <v>2.86774193548387</v>
      </c>
      <c r="N71" s="142"/>
      <c r="O71" s="142" t="n">
        <v>56.9735483870968</v>
      </c>
      <c r="P71" s="142" t="n">
        <v>2.64516129032258</v>
      </c>
      <c r="Q71" s="142"/>
      <c r="R71" s="142" t="n">
        <v>60.9903225806452</v>
      </c>
      <c r="S71" s="142" t="n">
        <v>2.80967741935484</v>
      </c>
      <c r="T71" s="142"/>
      <c r="U71" s="142"/>
      <c r="V71" s="142"/>
      <c r="W71" s="142" t="n">
        <v>2.06451612903226</v>
      </c>
      <c r="X71" s="142" t="n">
        <v>328.82</v>
      </c>
      <c r="Y71" s="142" t="n">
        <v>175.533333333333</v>
      </c>
      <c r="Z71" s="142" t="n">
        <v>276.070967741936</v>
      </c>
      <c r="AA71" s="142" t="n">
        <v>142.451612903226</v>
      </c>
      <c r="AB71" s="142" t="n">
        <v>1.67806451612903</v>
      </c>
      <c r="AC71" s="142"/>
      <c r="AD71" s="142"/>
      <c r="AE71" s="142" t="n">
        <v>0.574057939115854</v>
      </c>
      <c r="AG71" s="70" t="s">
        <v>1049</v>
      </c>
      <c r="AH71" s="4"/>
      <c r="AI71" s="4"/>
      <c r="AJ71" s="4"/>
      <c r="AK71" s="4"/>
      <c r="AL71" s="4"/>
      <c r="AM71" s="4"/>
      <c r="AN71" s="4"/>
      <c r="AO71" s="4"/>
      <c r="BA71" s="3" t="s">
        <v>1050</v>
      </c>
    </row>
    <row r="72" customFormat="false" ht="14.25" hidden="false" customHeight="false" outlineLevel="0" collapsed="false">
      <c r="F72" s="4" t="s">
        <v>1051</v>
      </c>
      <c r="G72" s="139" t="n">
        <v>491.246507552772</v>
      </c>
      <c r="H72" s="139"/>
      <c r="I72" s="139" t="n">
        <v>24.2347391288861</v>
      </c>
      <c r="J72" s="142" t="n">
        <v>0.623896875956241</v>
      </c>
      <c r="K72" s="142" t="n">
        <v>24.2347391288861</v>
      </c>
      <c r="L72" s="142" t="n">
        <v>8.25103447408098</v>
      </c>
      <c r="M72" s="142" t="n">
        <v>0.24817614278867</v>
      </c>
      <c r="N72" s="142"/>
      <c r="O72" s="142" t="n">
        <v>10.41805085685</v>
      </c>
      <c r="P72" s="142" t="n">
        <v>0.269368037793919</v>
      </c>
      <c r="Q72" s="142"/>
      <c r="R72" s="142" t="n">
        <v>9.10605493938738</v>
      </c>
      <c r="S72" s="142" t="n">
        <v>0.216571525844123</v>
      </c>
      <c r="T72" s="142"/>
      <c r="U72" s="142"/>
      <c r="V72" s="142"/>
      <c r="W72" s="142" t="n">
        <v>1.34003691170474</v>
      </c>
      <c r="X72" s="142" t="n">
        <v>68.9148252762577</v>
      </c>
      <c r="Y72" s="142" t="n">
        <v>28.6776833759201</v>
      </c>
      <c r="Z72" s="142" t="n">
        <v>79.3735186467475</v>
      </c>
      <c r="AA72" s="142" t="n">
        <v>24.234739128886</v>
      </c>
      <c r="AB72" s="142" t="n">
        <v>0.284105841249803</v>
      </c>
      <c r="AC72" s="142"/>
      <c r="AD72" s="142"/>
      <c r="AE72" s="142" t="n">
        <v>0.293895842723757</v>
      </c>
      <c r="AG72" s="4"/>
      <c r="AH72" s="4"/>
      <c r="AI72" s="4"/>
      <c r="AJ72" s="4"/>
      <c r="AK72" s="4"/>
      <c r="AL72" s="4"/>
      <c r="AM72" s="4"/>
      <c r="BA72" s="3" t="s">
        <v>1052</v>
      </c>
    </row>
    <row r="73" customFormat="false" ht="14.25" hidden="false" customHeight="false" outlineLevel="0" collapsed="false">
      <c r="F73" s="4"/>
      <c r="G73" s="142" t="n">
        <v>31</v>
      </c>
      <c r="H73" s="142"/>
      <c r="I73" s="142" t="n">
        <v>31</v>
      </c>
      <c r="J73" s="142" t="n">
        <v>31</v>
      </c>
      <c r="K73" s="142" t="n">
        <v>31</v>
      </c>
      <c r="L73" s="142" t="n">
        <v>31</v>
      </c>
      <c r="M73" s="142" t="n">
        <v>31</v>
      </c>
      <c r="N73" s="142"/>
      <c r="O73" s="142" t="n">
        <v>31</v>
      </c>
      <c r="P73" s="142" t="n">
        <v>31</v>
      </c>
      <c r="Q73" s="142"/>
      <c r="R73" s="142" t="n">
        <v>31</v>
      </c>
      <c r="S73" s="142" t="n">
        <v>31</v>
      </c>
      <c r="T73" s="142"/>
      <c r="U73" s="142"/>
      <c r="V73" s="142"/>
      <c r="W73" s="142" t="n">
        <v>31</v>
      </c>
      <c r="X73" s="142" t="n">
        <v>15</v>
      </c>
      <c r="Y73" s="142" t="n">
        <v>15</v>
      </c>
      <c r="Z73" s="142" t="n">
        <v>31</v>
      </c>
      <c r="AA73" s="142" t="n">
        <v>31</v>
      </c>
      <c r="AB73" s="142" t="n">
        <v>31</v>
      </c>
      <c r="AC73" s="142"/>
      <c r="AD73" s="142"/>
      <c r="AE73" s="142" t="n">
        <v>31</v>
      </c>
      <c r="AG73" s="4"/>
      <c r="AH73" s="4"/>
      <c r="AI73" s="4"/>
      <c r="AJ73" s="4"/>
      <c r="AK73" s="4"/>
      <c r="AL73" s="4"/>
      <c r="AM73" s="4"/>
      <c r="BA73" s="3" t="s">
        <v>1053</v>
      </c>
    </row>
    <row r="74" customFormat="false" ht="14.25" hidden="false" customHeight="false" outlineLevel="0" collapsed="false">
      <c r="F74" s="4"/>
      <c r="G74" s="138" t="n">
        <f aca="false">G72/(SQRT(G73))</f>
        <v>88.230477358614</v>
      </c>
      <c r="H74" s="138"/>
      <c r="I74" s="138" t="n">
        <f aca="false">I72/(SQRT(I73))</f>
        <v>4.35268764078368</v>
      </c>
      <c r="J74" s="138" t="n">
        <f aca="false">J72/(SQRT(J73))</f>
        <v>0.112055186839682</v>
      </c>
      <c r="K74" s="138" t="n">
        <f aca="false">K72/(SQRT(K73))</f>
        <v>4.35268764078369</v>
      </c>
      <c r="L74" s="138" t="n">
        <f aca="false">L72/(SQRT(L73))</f>
        <v>1.48192953875065</v>
      </c>
      <c r="M74" s="138" t="n">
        <f aca="false">M72/(SQRT(M73))</f>
        <v>0.0445737510813991</v>
      </c>
      <c r="N74" s="138"/>
      <c r="O74" s="138" t="n">
        <f aca="false">O72/(SQRT(O73))</f>
        <v>1.87113717067484</v>
      </c>
      <c r="P74" s="138" t="n">
        <f aca="false">P72/(SQRT(P73))</f>
        <v>0.0483799277843366</v>
      </c>
      <c r="Q74" s="138"/>
      <c r="R74" s="138" t="n">
        <f aca="false">R72/(SQRT(R73))</f>
        <v>1.63549574766108</v>
      </c>
      <c r="S74" s="138" t="n">
        <f aca="false">S72/(SQRT(S73))</f>
        <v>0.0388973943096332</v>
      </c>
      <c r="T74" s="138"/>
      <c r="U74" s="138"/>
      <c r="V74" s="138"/>
      <c r="W74" s="138" t="n">
        <f aca="false">W72/(SQRT(W73))</f>
        <v>0.240677734253757</v>
      </c>
      <c r="X74" s="138" t="n">
        <f aca="false">X72/(SQRT(X73))</f>
        <v>17.7937313734493</v>
      </c>
      <c r="Y74" s="138" t="n">
        <f aca="false">Y72/(SQRT(Y73))</f>
        <v>7.40454600818319</v>
      </c>
      <c r="Z74" s="138" t="n">
        <f aca="false">Z72/(SQRT(Z73))</f>
        <v>14.2559047894769</v>
      </c>
      <c r="AA74" s="138" t="n">
        <f aca="false">AA72/(SQRT(AA73))</f>
        <v>4.35268764078368</v>
      </c>
      <c r="AB74" s="138" t="n">
        <f aca="false">AB72/(SQRT(AB73))</f>
        <v>0.0510269154252418</v>
      </c>
      <c r="AC74" s="138"/>
      <c r="AD74" s="138"/>
      <c r="AE74" s="138" t="n">
        <f aca="false">AE72/(SQRT(AE73))</f>
        <v>0.0527852515968139</v>
      </c>
      <c r="BA74" s="3" t="s">
        <v>1054</v>
      </c>
    </row>
    <row r="75" customFormat="false" ht="14.25" hidden="false" customHeight="false" outlineLevel="0" collapsed="false">
      <c r="F75" s="4"/>
      <c r="G75" s="4"/>
      <c r="H75" s="4"/>
      <c r="I75" s="4"/>
      <c r="J75" s="4"/>
      <c r="K75" s="143"/>
      <c r="L75" s="143"/>
      <c r="M75" s="143"/>
      <c r="N75" s="143"/>
      <c r="O75" s="143"/>
      <c r="P75" s="139"/>
      <c r="Q75" s="143"/>
      <c r="R75" s="139"/>
      <c r="S75" s="139"/>
      <c r="T75" s="139"/>
      <c r="U75" s="139"/>
      <c r="V75" s="139"/>
      <c r="W75" s="4"/>
      <c r="X75" s="143"/>
      <c r="Y75" s="4"/>
      <c r="Z75" s="4"/>
      <c r="AA75" s="4"/>
      <c r="AB75" s="4"/>
      <c r="AC75" s="4"/>
      <c r="AD75" s="4"/>
      <c r="AE75" s="4"/>
    </row>
    <row r="76" customFormat="false" ht="14.25" hidden="false" customHeight="false" outlineLevel="0" collapsed="false">
      <c r="F76" s="4" t="s">
        <v>1055</v>
      </c>
      <c r="G76" s="137" t="n">
        <v>44006.4</v>
      </c>
      <c r="H76" s="137"/>
      <c r="I76" s="137" t="n">
        <v>44908.6333333333</v>
      </c>
      <c r="J76" s="139" t="n">
        <v>1.76666666666667</v>
      </c>
      <c r="K76" s="139" t="n">
        <v>202.366666666667</v>
      </c>
      <c r="L76" s="139" t="n">
        <v>68.54</v>
      </c>
      <c r="M76" s="139" t="n">
        <v>2.93666666666667</v>
      </c>
      <c r="N76" s="139"/>
      <c r="O76" s="139" t="n">
        <v>62.6966666666667</v>
      </c>
      <c r="P76" s="139" t="n">
        <v>2.74666666666667</v>
      </c>
      <c r="Q76" s="139"/>
      <c r="R76" s="139" t="n">
        <v>66.2933333333334</v>
      </c>
      <c r="S76" s="139" t="n">
        <v>2.88333333333333</v>
      </c>
      <c r="T76" s="139"/>
      <c r="U76" s="139"/>
      <c r="V76" s="139"/>
      <c r="W76" s="139" t="n">
        <v>2.43333333333333</v>
      </c>
      <c r="X76" s="139" t="n">
        <v>330.354545454545</v>
      </c>
      <c r="Y76" s="139" t="n">
        <v>173.090909090909</v>
      </c>
      <c r="Z76" s="139" t="n">
        <v>304.67</v>
      </c>
      <c r="AA76" s="139" t="n">
        <v>154.366666666667</v>
      </c>
      <c r="AB76" s="139" t="n">
        <v>1.573</v>
      </c>
      <c r="AC76" s="139"/>
      <c r="AD76" s="139"/>
      <c r="AE76" s="139" t="n">
        <v>0.70881026554484</v>
      </c>
    </row>
    <row r="77" customFormat="false" ht="14.25" hidden="false" customHeight="false" outlineLevel="0" collapsed="false">
      <c r="F77" s="4"/>
      <c r="G77" s="139" t="n">
        <v>448.617769875733</v>
      </c>
      <c r="H77" s="139"/>
      <c r="I77" s="139" t="n">
        <v>21.5846103114893</v>
      </c>
      <c r="J77" s="139" t="n">
        <v>0.626062315579292</v>
      </c>
      <c r="K77" s="139" t="n">
        <v>21.5846103114892</v>
      </c>
      <c r="L77" s="139" t="n">
        <v>8.81505765036803</v>
      </c>
      <c r="M77" s="139" t="n">
        <v>0.289450529789466</v>
      </c>
      <c r="N77" s="139"/>
      <c r="O77" s="139" t="n">
        <v>11.0334536229857</v>
      </c>
      <c r="P77" s="139" t="n">
        <v>0.271310146146986</v>
      </c>
      <c r="Q77" s="139"/>
      <c r="R77" s="139" t="n">
        <v>9.5311443512139</v>
      </c>
      <c r="S77" s="139" t="n">
        <v>0.233538497650939</v>
      </c>
      <c r="T77" s="139"/>
      <c r="U77" s="139"/>
      <c r="V77" s="139"/>
      <c r="W77" s="139" t="n">
        <v>1.22286642723176</v>
      </c>
      <c r="X77" s="139" t="n">
        <v>87.7730771569112</v>
      </c>
      <c r="Y77" s="139" t="n">
        <v>26.756234860236</v>
      </c>
      <c r="Z77" s="139" t="n">
        <v>82.7981765166528</v>
      </c>
      <c r="AA77" s="139" t="n">
        <v>21.5846103114893</v>
      </c>
      <c r="AB77" s="139" t="n">
        <v>0.282222094005467</v>
      </c>
      <c r="AC77" s="139"/>
      <c r="AD77" s="139"/>
      <c r="AE77" s="139" t="n">
        <v>0.269196585545753</v>
      </c>
    </row>
    <row r="78" customFormat="false" ht="14.25" hidden="false" customHeight="false" outlineLevel="0" collapsed="false">
      <c r="F78" s="4"/>
      <c r="G78" s="143" t="n">
        <v>30</v>
      </c>
      <c r="H78" s="143"/>
      <c r="I78" s="143" t="n">
        <v>30</v>
      </c>
      <c r="J78" s="143" t="n">
        <v>30</v>
      </c>
      <c r="K78" s="139" t="n">
        <v>30</v>
      </c>
      <c r="L78" s="139" t="n">
        <v>30</v>
      </c>
      <c r="M78" s="139" t="n">
        <v>30</v>
      </c>
      <c r="N78" s="139"/>
      <c r="O78" s="139" t="n">
        <v>30</v>
      </c>
      <c r="P78" s="139" t="n">
        <v>30</v>
      </c>
      <c r="Q78" s="139"/>
      <c r="R78" s="139" t="n">
        <v>30</v>
      </c>
      <c r="S78" s="139" t="n">
        <v>30</v>
      </c>
      <c r="T78" s="139"/>
      <c r="U78" s="139"/>
      <c r="V78" s="139"/>
      <c r="W78" s="139" t="n">
        <v>30</v>
      </c>
      <c r="X78" s="139" t="n">
        <v>22</v>
      </c>
      <c r="Y78" s="139" t="n">
        <v>22</v>
      </c>
      <c r="Z78" s="139" t="n">
        <v>30</v>
      </c>
      <c r="AA78" s="139" t="n">
        <v>30</v>
      </c>
      <c r="AB78" s="139" t="n">
        <v>30</v>
      </c>
      <c r="AC78" s="139"/>
      <c r="AD78" s="139"/>
      <c r="AE78" s="139" t="n">
        <v>30</v>
      </c>
    </row>
    <row r="79" customFormat="false" ht="14.25" hidden="false" customHeight="false" outlineLevel="0" collapsed="false">
      <c r="F79" s="4"/>
      <c r="G79" s="139" t="n">
        <f aca="false">G77/(SQRT(G78))</f>
        <v>81.9060240862001</v>
      </c>
      <c r="H79" s="139"/>
      <c r="I79" s="139" t="n">
        <f aca="false">I77/(SQRT(I78))</f>
        <v>3.9407926541871</v>
      </c>
      <c r="J79" s="139" t="n">
        <f aca="false">J77/(SQRT(J78))</f>
        <v>0.114302817548899</v>
      </c>
      <c r="K79" s="139" t="n">
        <f aca="false">K77/(SQRT(K78))</f>
        <v>3.94079265418709</v>
      </c>
      <c r="L79" s="139" t="n">
        <f aca="false">L77/(SQRT(L78))</f>
        <v>1.60940197360502</v>
      </c>
      <c r="M79" s="139" t="n">
        <f aca="false">M77/(SQRT(M78))</f>
        <v>0.0528461948158371</v>
      </c>
      <c r="N79" s="139"/>
      <c r="O79" s="139" t="n">
        <f aca="false">O77/(SQRT(O78))</f>
        <v>2.01442381216545</v>
      </c>
      <c r="P79" s="139" t="n">
        <f aca="false">P77/(SQRT(P78))</f>
        <v>0.0495342290415758</v>
      </c>
      <c r="Q79" s="139"/>
      <c r="R79" s="139" t="n">
        <f aca="false">R77/(SQRT(R78))</f>
        <v>1.74014091999927</v>
      </c>
      <c r="S79" s="139" t="n">
        <f aca="false">S77/(SQRT(S78))</f>
        <v>0.0426381010697621</v>
      </c>
      <c r="T79" s="139"/>
      <c r="U79" s="139"/>
      <c r="V79" s="139"/>
      <c r="W79" s="139" t="n">
        <f aca="false">W77/(SQRT(W78))</f>
        <v>0.223263842336862</v>
      </c>
      <c r="X79" s="139" t="n">
        <f aca="false">X77/(SQRT(X78))</f>
        <v>18.7132829265897</v>
      </c>
      <c r="Y79" s="139" t="n">
        <f aca="false">Y77/(SQRT(Y78))</f>
        <v>5.70444843918126</v>
      </c>
      <c r="Z79" s="139" t="n">
        <f aca="false">Z77/(SQRT(Z78))</f>
        <v>15.1168096661551</v>
      </c>
      <c r="AA79" s="139" t="n">
        <f aca="false">AA77/(SQRT(AA78))</f>
        <v>3.9407926541871</v>
      </c>
      <c r="AB79" s="139" t="n">
        <f aca="false">AB77/(SQRT(AB78))</f>
        <v>0.0515264690377126</v>
      </c>
      <c r="AC79" s="139"/>
      <c r="AD79" s="139"/>
      <c r="AE79" s="138" t="n">
        <f aca="false">AE77/(SQRT(AE78))</f>
        <v>0.0491483474355927</v>
      </c>
    </row>
    <row r="80" customFormat="false" ht="14.25" hidden="false" customHeight="false" outlineLevel="0" collapsed="false">
      <c r="F80" s="4"/>
      <c r="G80" s="143"/>
      <c r="H80" s="143"/>
      <c r="I80" s="143"/>
      <c r="J80" s="143"/>
      <c r="K80" s="143"/>
      <c r="L80" s="143"/>
      <c r="M80" s="143"/>
      <c r="N80" s="143"/>
      <c r="O80" s="143"/>
      <c r="P80" s="139"/>
      <c r="Q80" s="143"/>
      <c r="R80" s="139"/>
      <c r="S80" s="139"/>
      <c r="T80" s="139"/>
      <c r="U80" s="139"/>
      <c r="V80" s="139"/>
      <c r="W80" s="143"/>
      <c r="X80" s="143"/>
      <c r="Y80" s="143"/>
      <c r="Z80" s="143"/>
      <c r="AA80" s="143"/>
      <c r="AB80" s="143"/>
      <c r="AC80" s="143"/>
      <c r="AD80" s="143"/>
      <c r="AE80" s="143"/>
    </row>
    <row r="81" customFormat="false" ht="14.25" hidden="false" customHeight="false" outlineLevel="0" collapsed="false">
      <c r="F81" s="4" t="s">
        <v>1056</v>
      </c>
      <c r="G81" s="137" t="n">
        <v>44125.0555555556</v>
      </c>
      <c r="H81" s="137"/>
      <c r="I81" s="137" t="n">
        <v>44919.3333333333</v>
      </c>
      <c r="J81" s="139" t="n">
        <v>1.38888888888889</v>
      </c>
      <c r="K81" s="139" t="n">
        <v>191.666666666667</v>
      </c>
      <c r="L81" s="139" t="n">
        <v>65.7611111111111</v>
      </c>
      <c r="M81" s="139" t="n">
        <v>2.91111111111111</v>
      </c>
      <c r="N81" s="139"/>
      <c r="O81" s="139" t="n">
        <v>56.74</v>
      </c>
      <c r="P81" s="139" t="n">
        <v>2.62777777777778</v>
      </c>
      <c r="Q81" s="139"/>
      <c r="R81" s="139" t="n">
        <v>61.0666666666667</v>
      </c>
      <c r="S81" s="139" t="n">
        <v>2.80555555555556</v>
      </c>
      <c r="T81" s="139"/>
      <c r="U81" s="139"/>
      <c r="V81" s="139"/>
      <c r="W81" s="139" t="n">
        <v>2.11111111111111</v>
      </c>
      <c r="X81" s="139" t="n">
        <v>330.533333333333</v>
      </c>
      <c r="Y81" s="139" t="n">
        <v>176.444444444444</v>
      </c>
      <c r="Z81" s="139" t="n">
        <v>282.027777777778</v>
      </c>
      <c r="AA81" s="139" t="n">
        <v>143.666666666667</v>
      </c>
      <c r="AB81" s="139" t="n">
        <v>1.76333333333333</v>
      </c>
      <c r="AC81" s="139"/>
      <c r="AD81" s="139"/>
      <c r="AE81" s="139" t="n">
        <v>0.575784392078241</v>
      </c>
    </row>
    <row r="82" customFormat="false" ht="14.25" hidden="false" customHeight="false" outlineLevel="0" collapsed="false">
      <c r="F82" s="4"/>
      <c r="G82" s="139" t="n">
        <v>501.330637899512</v>
      </c>
      <c r="H82" s="139"/>
      <c r="I82" s="139" t="n">
        <v>24.786144136926</v>
      </c>
      <c r="J82" s="139" t="n">
        <v>0.607684988914186</v>
      </c>
      <c r="K82" s="139" t="n">
        <v>24.786144136926</v>
      </c>
      <c r="L82" s="139" t="n">
        <v>8.37778146183223</v>
      </c>
      <c r="M82" s="139" t="n">
        <v>0.260968532898889</v>
      </c>
      <c r="N82" s="139"/>
      <c r="O82" s="139" t="n">
        <v>9.58431439138666</v>
      </c>
      <c r="P82" s="139" t="n">
        <v>0.249247232695843</v>
      </c>
      <c r="Q82" s="139"/>
      <c r="R82" s="139" t="n">
        <v>9.41962906725661</v>
      </c>
      <c r="S82" s="139" t="n">
        <v>0.223533711688948</v>
      </c>
      <c r="T82" s="139"/>
      <c r="U82" s="139"/>
      <c r="V82" s="139"/>
      <c r="W82" s="139" t="n">
        <v>1.36721653213806</v>
      </c>
      <c r="X82" s="139" t="n">
        <v>62.3010032021957</v>
      </c>
      <c r="Y82" s="139" t="n">
        <v>27.5549955140222</v>
      </c>
      <c r="Z82" s="139" t="n">
        <v>73.5304163199354</v>
      </c>
      <c r="AA82" s="139" t="n">
        <v>24.786144136926</v>
      </c>
      <c r="AB82" s="139" t="n">
        <v>0.288382915378761</v>
      </c>
      <c r="AC82" s="139"/>
      <c r="AD82" s="139"/>
      <c r="AE82" s="139" t="n">
        <v>0.278219121635378</v>
      </c>
    </row>
    <row r="83" customFormat="false" ht="14.25" hidden="false" customHeight="false" outlineLevel="0" collapsed="false">
      <c r="F83" s="4"/>
      <c r="G83" s="143" t="n">
        <v>18</v>
      </c>
      <c r="H83" s="143"/>
      <c r="I83" s="143" t="n">
        <v>18</v>
      </c>
      <c r="J83" s="143" t="n">
        <v>18</v>
      </c>
      <c r="K83" s="139" t="n">
        <v>18</v>
      </c>
      <c r="L83" s="139" t="n">
        <v>18</v>
      </c>
      <c r="M83" s="139" t="n">
        <v>18</v>
      </c>
      <c r="N83" s="139"/>
      <c r="O83" s="139" t="n">
        <v>18</v>
      </c>
      <c r="P83" s="139" t="n">
        <v>18</v>
      </c>
      <c r="Q83" s="139"/>
      <c r="R83" s="139" t="n">
        <v>18</v>
      </c>
      <c r="S83" s="139" t="n">
        <v>18</v>
      </c>
      <c r="T83" s="139"/>
      <c r="U83" s="139"/>
      <c r="V83" s="139"/>
      <c r="W83" s="139" t="n">
        <v>18</v>
      </c>
      <c r="X83" s="139" t="n">
        <v>9</v>
      </c>
      <c r="Y83" s="139" t="n">
        <v>9</v>
      </c>
      <c r="Z83" s="139" t="n">
        <v>18</v>
      </c>
      <c r="AA83" s="139" t="n">
        <v>18</v>
      </c>
      <c r="AB83" s="139" t="n">
        <v>18</v>
      </c>
      <c r="AC83" s="139"/>
      <c r="AD83" s="139"/>
      <c r="AE83" s="139" t="n">
        <v>18</v>
      </c>
    </row>
    <row r="84" customFormat="false" ht="14.25" hidden="false" customHeight="false" outlineLevel="0" collapsed="false">
      <c r="F84" s="4"/>
      <c r="G84" s="139" t="n">
        <f aca="false">G82/(SQRT(G83))</f>
        <v>118.164764558441</v>
      </c>
      <c r="H84" s="139"/>
      <c r="I84" s="139" t="n">
        <f aca="false">I82/(SQRT(I83))</f>
        <v>5.84215019956252</v>
      </c>
      <c r="J84" s="139" t="n">
        <f aca="false">J82/(SQRT(J83))</f>
        <v>0.143232725495498</v>
      </c>
      <c r="K84" s="139" t="n">
        <f aca="false">K82/(SQRT(K83))</f>
        <v>5.84215019956252</v>
      </c>
      <c r="L84" s="139" t="n">
        <f aca="false">L82/(SQRT(L83))</f>
        <v>1.97466202765351</v>
      </c>
      <c r="M84" s="139" t="n">
        <f aca="false">M82/(SQRT(M83))</f>
        <v>0.0615108730963698</v>
      </c>
      <c r="N84" s="139"/>
      <c r="O84" s="139" t="n">
        <f aca="false">O82/(SQRT(O83))</f>
        <v>2.25904456639111</v>
      </c>
      <c r="P84" s="139" t="n">
        <f aca="false">P82/(SQRT(P83))</f>
        <v>0.0587481361437374</v>
      </c>
      <c r="Q84" s="139"/>
      <c r="R84" s="139" t="n">
        <f aca="false">R82/(SQRT(R83))</f>
        <v>2.22022786323969</v>
      </c>
      <c r="S84" s="139" t="n">
        <f aca="false">S82/(SQRT(S83))</f>
        <v>0.0526874011196847</v>
      </c>
      <c r="T84" s="139"/>
      <c r="U84" s="139"/>
      <c r="V84" s="139"/>
      <c r="W84" s="139" t="n">
        <f aca="false">W82/(SQRT(W83))</f>
        <v>0.32225602707506</v>
      </c>
      <c r="X84" s="139" t="n">
        <f aca="false">X82/(SQRT(X83))</f>
        <v>20.7670010673986</v>
      </c>
      <c r="Y84" s="139" t="n">
        <f aca="false">Y82/(SQRT(Y83))</f>
        <v>9.18499850467405</v>
      </c>
      <c r="Z84" s="139" t="n">
        <f aca="false">Z82/(SQRT(Z83))</f>
        <v>17.3312853344321</v>
      </c>
      <c r="AA84" s="139" t="n">
        <f aca="false">AA82/(SQRT(AA83))</f>
        <v>5.84215019956252</v>
      </c>
      <c r="AB84" s="139" t="n">
        <f aca="false">AB82/(SQRT(AB83))</f>
        <v>0.0679725050142227</v>
      </c>
      <c r="AC84" s="139"/>
      <c r="AD84" s="139"/>
      <c r="AE84" s="138" t="n">
        <f aca="false">AE82/(SQRT(AE83))</f>
        <v>0.0655768758547136</v>
      </c>
    </row>
  </sheetData>
  <autoFilter ref="G4:BD52"/>
  <mergeCells count="7">
    <mergeCell ref="R3:S3"/>
    <mergeCell ref="W3:AC3"/>
    <mergeCell ref="AF3:AO3"/>
    <mergeCell ref="AP3:AS3"/>
    <mergeCell ref="AT3:AW3"/>
    <mergeCell ref="AU67:BB68"/>
    <mergeCell ref="AG69:AN70"/>
  </mergeCells>
  <printOptions headings="false" gridLines="false" gridLinesSet="true" horizontalCentered="false" verticalCentered="false"/>
  <pageMargins left="0.236111111111111" right="0.236111111111111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2022-03-24T18:29:19Z</dcterms:created>
  <dc:creator>Nathalie</dc:creator>
  <dc:description/>
  <dc:language>fr-FR</dc:language>
  <cp:lastModifiedBy/>
  <cp:lastPrinted>2022-03-24T19:24:57Z</cp:lastPrinted>
  <dcterms:modified xsi:type="dcterms:W3CDTF">2026-10-22T16:05:41Z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